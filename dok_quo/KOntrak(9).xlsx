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NE LP BPI\TERM 83\"/>
    </mc:Choice>
  </mc:AlternateContent>
  <xr:revisionPtr revIDLastSave="0" documentId="13_ncr:1_{14EFE980-F04B-4F0C-85BD-D8539579FB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ntrak ALL" sheetId="3" r:id="rId1"/>
    <sheet name="End" sheetId="5" r:id="rId2"/>
    <sheet name="CS" sheetId="4" r:id="rId3"/>
  </sheets>
  <definedNames>
    <definedName name="_xlnm._FilterDatabase" localSheetId="2" hidden="1">CS!$A$7:$K$255</definedName>
    <definedName name="_xlnm._FilterDatabase" localSheetId="1" hidden="1">End!$A$5:$AP$155</definedName>
    <definedName name="_xlnm._FilterDatabase" localSheetId="0" hidden="1">'Kontrak ALL'!$A$67:$AO$309</definedName>
    <definedName name="_xlnm.Print_Area" localSheetId="0">'Kontrak ALL'!$A$1:$AO$310</definedName>
    <definedName name="_xlnm.Print_Titles" localSheetId="2">CS!$6:$7</definedName>
    <definedName name="_xlnm.Print_Titles" localSheetId="0">'Kontrak ALL'!$66:$67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60" i="5" l="1"/>
  <c r="X160" i="5" s="1"/>
  <c r="S160" i="5"/>
  <c r="P160" i="5"/>
  <c r="AB244" i="3" l="1"/>
  <c r="AA244" i="3"/>
  <c r="AP157" i="5" l="1"/>
  <c r="AP158" i="5"/>
  <c r="AP159" i="5"/>
  <c r="W276" i="3"/>
  <c r="X276" i="3" s="1"/>
  <c r="P276" i="3"/>
  <c r="R276" i="3"/>
  <c r="S276" i="3" s="1"/>
  <c r="W159" i="5"/>
  <c r="X159" i="5" s="1"/>
  <c r="S159" i="5"/>
  <c r="P159" i="5"/>
  <c r="W158" i="5"/>
  <c r="X158" i="5" s="1"/>
  <c r="S158" i="5"/>
  <c r="P158" i="5"/>
  <c r="AC305" i="3"/>
  <c r="AB305" i="3"/>
  <c r="AA305" i="3"/>
  <c r="W306" i="3"/>
  <c r="X306" i="3" s="1"/>
  <c r="P306" i="3"/>
  <c r="R306" i="3"/>
  <c r="S306" i="3" s="1"/>
  <c r="W305" i="3"/>
  <c r="X305" i="3" s="1"/>
  <c r="R305" i="3"/>
  <c r="S305" i="3" s="1"/>
  <c r="P305" i="3"/>
  <c r="W157" i="5" l="1"/>
  <c r="X157" i="5" s="1"/>
  <c r="S157" i="5"/>
  <c r="P157" i="5"/>
  <c r="AP153" i="5"/>
  <c r="AP154" i="5"/>
  <c r="AP155" i="5"/>
  <c r="AP156" i="5"/>
  <c r="W156" i="5"/>
  <c r="X156" i="5" s="1"/>
  <c r="S156" i="5"/>
  <c r="P156" i="5"/>
  <c r="AC222" i="3" l="1"/>
  <c r="AB222" i="3"/>
  <c r="AA222" i="3"/>
  <c r="AC266" i="3" l="1"/>
  <c r="AC253" i="3"/>
  <c r="AC259" i="3"/>
  <c r="AC248" i="3"/>
  <c r="AC245" i="3"/>
  <c r="AC226" i="3"/>
  <c r="AC257" i="3"/>
  <c r="AC269" i="3"/>
  <c r="AC268" i="3"/>
  <c r="AC254" i="3"/>
  <c r="AC263" i="3"/>
  <c r="AC262" i="3"/>
  <c r="AC261" i="3"/>
  <c r="AC241" i="3"/>
  <c r="AC169" i="3"/>
  <c r="AB169" i="3"/>
  <c r="AA169" i="3"/>
  <c r="AC267" i="3"/>
  <c r="AC270" i="3"/>
  <c r="AC260" i="3"/>
  <c r="AC265" i="3"/>
  <c r="AC264" i="3"/>
  <c r="AC255" i="3"/>
  <c r="AC168" i="3"/>
  <c r="AC167" i="3"/>
  <c r="AC165" i="3"/>
  <c r="AC164" i="3"/>
  <c r="AC163" i="3"/>
  <c r="AC162" i="3"/>
  <c r="AC161" i="3"/>
  <c r="AC160" i="3"/>
  <c r="AC158" i="3"/>
  <c r="AC157" i="3"/>
  <c r="AC156" i="3"/>
  <c r="AC155" i="3"/>
  <c r="AC154" i="3"/>
  <c r="AC149" i="3"/>
  <c r="AC148" i="3"/>
  <c r="AC153" i="3"/>
  <c r="AC152" i="3"/>
  <c r="AC151" i="3"/>
  <c r="AC150" i="3"/>
  <c r="AC147" i="3"/>
  <c r="AC146" i="3"/>
  <c r="AC145" i="3"/>
  <c r="AC144" i="3"/>
  <c r="AC143" i="3"/>
  <c r="AC228" i="3"/>
  <c r="AB228" i="3"/>
  <c r="AC170" i="3"/>
  <c r="AB170" i="3"/>
  <c r="AA170" i="3"/>
  <c r="AA304" i="3"/>
  <c r="W304" i="3" l="1"/>
  <c r="X304" i="3" s="1"/>
  <c r="R304" i="3"/>
  <c r="S304" i="3" s="1"/>
  <c r="P304" i="3"/>
  <c r="W155" i="5" l="1"/>
  <c r="X155" i="5" s="1"/>
  <c r="S155" i="5"/>
  <c r="P155" i="5"/>
  <c r="W154" i="5"/>
  <c r="X154" i="5" s="1"/>
  <c r="S154" i="5"/>
  <c r="P154" i="5"/>
  <c r="W153" i="5"/>
  <c r="X153" i="5" s="1"/>
  <c r="S153" i="5"/>
  <c r="P153" i="5"/>
  <c r="AP138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W152" i="5"/>
  <c r="X152" i="5" s="1"/>
  <c r="S152" i="5"/>
  <c r="P152" i="5"/>
  <c r="W151" i="5" l="1"/>
  <c r="X151" i="5" s="1"/>
  <c r="S151" i="5"/>
  <c r="P151" i="5"/>
  <c r="W150" i="5"/>
  <c r="X150" i="5" s="1"/>
  <c r="S150" i="5"/>
  <c r="P150" i="5"/>
  <c r="W149" i="5"/>
  <c r="X149" i="5" s="1"/>
  <c r="S149" i="5"/>
  <c r="P149" i="5"/>
  <c r="W148" i="5"/>
  <c r="X148" i="5" s="1"/>
  <c r="S148" i="5"/>
  <c r="P148" i="5"/>
  <c r="W147" i="5"/>
  <c r="X147" i="5" s="1"/>
  <c r="S147" i="5"/>
  <c r="P147" i="5"/>
  <c r="S145" i="5" l="1"/>
  <c r="W146" i="5"/>
  <c r="X146" i="5" s="1"/>
  <c r="S146" i="5"/>
  <c r="P146" i="5"/>
  <c r="W145" i="5"/>
  <c r="X145" i="5" s="1"/>
  <c r="P145" i="5"/>
  <c r="W117" i="3"/>
  <c r="X117" i="3" s="1"/>
  <c r="R117" i="3"/>
  <c r="S117" i="3" s="1"/>
  <c r="P117" i="3"/>
  <c r="W144" i="5" l="1"/>
  <c r="X144" i="5" s="1"/>
  <c r="S144" i="5"/>
  <c r="P144" i="5"/>
  <c r="W143" i="5"/>
  <c r="X143" i="5" s="1"/>
  <c r="S143" i="5"/>
  <c r="P143" i="5"/>
  <c r="W142" i="5"/>
  <c r="X142" i="5" s="1"/>
  <c r="S142" i="5"/>
  <c r="P142" i="5"/>
  <c r="W141" i="5"/>
  <c r="X141" i="5" s="1"/>
  <c r="S141" i="5"/>
  <c r="P141" i="5"/>
  <c r="W140" i="5" l="1"/>
  <c r="X140" i="5" s="1"/>
  <c r="S140" i="5"/>
  <c r="P140" i="5"/>
  <c r="X139" i="5"/>
  <c r="S139" i="5"/>
  <c r="P139" i="5"/>
  <c r="W138" i="5" l="1"/>
  <c r="X138" i="5" s="1"/>
  <c r="S138" i="5"/>
  <c r="P138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133" i="5"/>
  <c r="AP134" i="5"/>
  <c r="AP135" i="5"/>
  <c r="AP136" i="5"/>
  <c r="AP137" i="5"/>
  <c r="W137" i="5"/>
  <c r="X137" i="5" s="1"/>
  <c r="S137" i="5"/>
  <c r="P137" i="5"/>
  <c r="W81" i="5"/>
  <c r="X81" i="5" s="1"/>
  <c r="S81" i="5"/>
  <c r="P81" i="5"/>
  <c r="W80" i="5"/>
  <c r="X80" i="5" s="1"/>
  <c r="S80" i="5"/>
  <c r="P80" i="5"/>
  <c r="AA136" i="5"/>
  <c r="W136" i="5"/>
  <c r="X136" i="5" s="1"/>
  <c r="S136" i="5"/>
  <c r="P136" i="5"/>
  <c r="W135" i="5"/>
  <c r="X135" i="5" s="1"/>
  <c r="S135" i="5"/>
  <c r="P135" i="5"/>
  <c r="W134" i="5"/>
  <c r="X134" i="5" s="1"/>
  <c r="S134" i="5"/>
  <c r="P134" i="5"/>
  <c r="W133" i="5"/>
  <c r="X133" i="5" s="1"/>
  <c r="S133" i="5"/>
  <c r="P133" i="5"/>
  <c r="AB132" i="5"/>
  <c r="AA132" i="5"/>
  <c r="W132" i="5"/>
  <c r="X132" i="5" s="1"/>
  <c r="S132" i="5"/>
  <c r="P132" i="5"/>
  <c r="W131" i="5"/>
  <c r="X131" i="5" s="1"/>
  <c r="S131" i="5"/>
  <c r="P131" i="5"/>
  <c r="W130" i="5"/>
  <c r="X130" i="5" s="1"/>
  <c r="S130" i="5"/>
  <c r="P130" i="5"/>
  <c r="W129" i="5"/>
  <c r="X129" i="5" s="1"/>
  <c r="S129" i="5"/>
  <c r="P129" i="5"/>
  <c r="W128" i="5"/>
  <c r="X128" i="5" s="1"/>
  <c r="S128" i="5"/>
  <c r="P128" i="5"/>
  <c r="W127" i="5"/>
  <c r="X127" i="5" s="1"/>
  <c r="S127" i="5"/>
  <c r="P127" i="5"/>
  <c r="W126" i="5"/>
  <c r="X126" i="5" s="1"/>
  <c r="S126" i="5"/>
  <c r="P126" i="5"/>
  <c r="AB125" i="5"/>
  <c r="AA125" i="5"/>
  <c r="W125" i="5"/>
  <c r="X125" i="5" s="1"/>
  <c r="S125" i="5"/>
  <c r="P125" i="5"/>
  <c r="W124" i="5"/>
  <c r="X124" i="5" s="1"/>
  <c r="S124" i="5"/>
  <c r="P124" i="5"/>
  <c r="W123" i="5"/>
  <c r="X123" i="5" s="1"/>
  <c r="S123" i="5"/>
  <c r="P123" i="5"/>
  <c r="W122" i="5"/>
  <c r="X122" i="5" s="1"/>
  <c r="S122" i="5"/>
  <c r="P122" i="5"/>
  <c r="W121" i="5"/>
  <c r="X121" i="5" s="1"/>
  <c r="S121" i="5"/>
  <c r="P121" i="5"/>
  <c r="W120" i="5"/>
  <c r="X120" i="5" s="1"/>
  <c r="S120" i="5"/>
  <c r="P120" i="5"/>
  <c r="W119" i="5"/>
  <c r="X119" i="5" s="1"/>
  <c r="S119" i="5"/>
  <c r="P119" i="5"/>
  <c r="W118" i="5"/>
  <c r="X118" i="5" s="1"/>
  <c r="S118" i="5"/>
  <c r="P118" i="5"/>
  <c r="W117" i="5"/>
  <c r="X117" i="5" s="1"/>
  <c r="S117" i="5"/>
  <c r="P117" i="5"/>
  <c r="W116" i="5"/>
  <c r="X116" i="5" s="1"/>
  <c r="S116" i="5"/>
  <c r="P116" i="5"/>
  <c r="W115" i="5"/>
  <c r="X115" i="5" s="1"/>
  <c r="S115" i="5"/>
  <c r="P115" i="5"/>
  <c r="W114" i="5"/>
  <c r="X114" i="5" s="1"/>
  <c r="S114" i="5"/>
  <c r="P114" i="5"/>
  <c r="W113" i="5"/>
  <c r="X113" i="5" s="1"/>
  <c r="S113" i="5"/>
  <c r="P113" i="5"/>
  <c r="W112" i="5"/>
  <c r="X112" i="5" s="1"/>
  <c r="S112" i="5"/>
  <c r="P112" i="5"/>
  <c r="W111" i="5"/>
  <c r="X111" i="5" s="1"/>
  <c r="S111" i="5"/>
  <c r="P111" i="5"/>
  <c r="W110" i="5"/>
  <c r="X110" i="5" s="1"/>
  <c r="S110" i="5"/>
  <c r="P110" i="5"/>
  <c r="L110" i="5"/>
  <c r="W109" i="5"/>
  <c r="X109" i="5" s="1"/>
  <c r="S109" i="5"/>
  <c r="P109" i="5"/>
  <c r="L109" i="5"/>
  <c r="W108" i="5"/>
  <c r="X108" i="5" s="1"/>
  <c r="S108" i="5"/>
  <c r="P108" i="5"/>
  <c r="W107" i="5"/>
  <c r="X107" i="5" s="1"/>
  <c r="S107" i="5"/>
  <c r="P107" i="5"/>
  <c r="W106" i="5"/>
  <c r="X106" i="5" s="1"/>
  <c r="S106" i="5"/>
  <c r="P106" i="5"/>
  <c r="W105" i="5"/>
  <c r="X105" i="5" s="1"/>
  <c r="S105" i="5"/>
  <c r="P105" i="5"/>
  <c r="W104" i="5"/>
  <c r="X104" i="5" s="1"/>
  <c r="S104" i="5"/>
  <c r="W103" i="5"/>
  <c r="X103" i="5" s="1"/>
  <c r="S103" i="5"/>
  <c r="P103" i="5"/>
  <c r="W102" i="5"/>
  <c r="X102" i="5" s="1"/>
  <c r="S102" i="5"/>
  <c r="P102" i="5"/>
  <c r="W101" i="5"/>
  <c r="X101" i="5" s="1"/>
  <c r="S101" i="5"/>
  <c r="P101" i="5"/>
  <c r="W100" i="5"/>
  <c r="X100" i="5" s="1"/>
  <c r="S100" i="5"/>
  <c r="W99" i="5"/>
  <c r="X99" i="5" s="1"/>
  <c r="S99" i="5"/>
  <c r="P99" i="5"/>
  <c r="W98" i="5"/>
  <c r="X98" i="5" s="1"/>
  <c r="S98" i="5"/>
  <c r="P98" i="5"/>
  <c r="W97" i="5"/>
  <c r="X97" i="5" s="1"/>
  <c r="S97" i="5"/>
  <c r="P97" i="5"/>
  <c r="W96" i="5"/>
  <c r="X96" i="5" s="1"/>
  <c r="S96" i="5"/>
  <c r="P96" i="5"/>
  <c r="W95" i="5"/>
  <c r="X95" i="5" s="1"/>
  <c r="S95" i="5"/>
  <c r="P95" i="5"/>
  <c r="W94" i="5"/>
  <c r="X94" i="5" s="1"/>
  <c r="S94" i="5"/>
  <c r="P94" i="5"/>
  <c r="W93" i="5"/>
  <c r="X93" i="5" s="1"/>
  <c r="S93" i="5"/>
  <c r="P93" i="5"/>
  <c r="W92" i="5"/>
  <c r="X92" i="5" s="1"/>
  <c r="S92" i="5"/>
  <c r="P92" i="5"/>
  <c r="W91" i="5"/>
  <c r="X91" i="5" s="1"/>
  <c r="S91" i="5"/>
  <c r="P91" i="5"/>
  <c r="W90" i="5"/>
  <c r="X90" i="5" s="1"/>
  <c r="S90" i="5"/>
  <c r="P90" i="5"/>
  <c r="W89" i="5"/>
  <c r="X89" i="5" s="1"/>
  <c r="S89" i="5"/>
  <c r="P89" i="5"/>
  <c r="W88" i="5"/>
  <c r="X88" i="5" s="1"/>
  <c r="S88" i="5"/>
  <c r="P88" i="5"/>
  <c r="W87" i="5"/>
  <c r="X87" i="5" s="1"/>
  <c r="S87" i="5"/>
  <c r="P87" i="5"/>
  <c r="W86" i="5"/>
  <c r="X86" i="5" s="1"/>
  <c r="S86" i="5"/>
  <c r="P86" i="5"/>
  <c r="W85" i="5"/>
  <c r="X85" i="5" s="1"/>
  <c r="S85" i="5"/>
  <c r="P85" i="5"/>
  <c r="W84" i="5"/>
  <c r="X84" i="5" s="1"/>
  <c r="S84" i="5"/>
  <c r="P84" i="5"/>
  <c r="W83" i="5"/>
  <c r="X83" i="5" s="1"/>
  <c r="S83" i="5"/>
  <c r="P83" i="5"/>
  <c r="W82" i="5"/>
  <c r="X82" i="5" s="1"/>
  <c r="S82" i="5"/>
  <c r="P82" i="5"/>
  <c r="W79" i="5"/>
  <c r="X79" i="5" s="1"/>
  <c r="S79" i="5"/>
  <c r="P79" i="5"/>
  <c r="W78" i="5"/>
  <c r="X78" i="5" s="1"/>
  <c r="S78" i="5"/>
  <c r="P78" i="5"/>
  <c r="W77" i="5"/>
  <c r="X77" i="5" s="1"/>
  <c r="S77" i="5"/>
  <c r="P77" i="5"/>
  <c r="W76" i="5"/>
  <c r="X76" i="5" s="1"/>
  <c r="S76" i="5"/>
  <c r="P76" i="5"/>
  <c r="W75" i="5"/>
  <c r="X75" i="5" s="1"/>
  <c r="S75" i="5"/>
  <c r="P75" i="5"/>
  <c r="W74" i="5"/>
  <c r="X74" i="5" s="1"/>
  <c r="S74" i="5"/>
  <c r="P74" i="5"/>
  <c r="W73" i="5"/>
  <c r="X73" i="5" s="1"/>
  <c r="S73" i="5"/>
  <c r="P73" i="5"/>
  <c r="W72" i="5"/>
  <c r="X72" i="5" s="1"/>
  <c r="S72" i="5"/>
  <c r="P72" i="5"/>
  <c r="W71" i="5"/>
  <c r="X71" i="5" s="1"/>
  <c r="S71" i="5"/>
  <c r="P71" i="5"/>
  <c r="W70" i="5"/>
  <c r="X70" i="5" s="1"/>
  <c r="S70" i="5"/>
  <c r="P70" i="5"/>
  <c r="W69" i="5"/>
  <c r="X69" i="5" s="1"/>
  <c r="S69" i="5"/>
  <c r="P69" i="5"/>
  <c r="W68" i="5"/>
  <c r="X68" i="5" s="1"/>
  <c r="S68" i="5"/>
  <c r="P68" i="5"/>
  <c r="W67" i="5"/>
  <c r="X67" i="5" s="1"/>
  <c r="S67" i="5"/>
  <c r="P67" i="5"/>
  <c r="W66" i="5"/>
  <c r="X66" i="5" s="1"/>
  <c r="S66" i="5"/>
  <c r="P66" i="5"/>
  <c r="W65" i="5"/>
  <c r="X65" i="5" s="1"/>
  <c r="S65" i="5"/>
  <c r="P65" i="5"/>
  <c r="W64" i="5"/>
  <c r="X64" i="5" s="1"/>
  <c r="S64" i="5"/>
  <c r="P64" i="5"/>
  <c r="W63" i="5"/>
  <c r="X63" i="5" s="1"/>
  <c r="S63" i="5"/>
  <c r="P63" i="5"/>
  <c r="W62" i="5"/>
  <c r="X62" i="5" s="1"/>
  <c r="S62" i="5"/>
  <c r="P62" i="5"/>
  <c r="W61" i="5"/>
  <c r="X61" i="5" s="1"/>
  <c r="S61" i="5"/>
  <c r="P61" i="5"/>
  <c r="W60" i="5"/>
  <c r="X60" i="5" s="1"/>
  <c r="S60" i="5"/>
  <c r="P60" i="5"/>
  <c r="AB59" i="5"/>
  <c r="AA59" i="5"/>
  <c r="W59" i="5"/>
  <c r="X59" i="5" s="1"/>
  <c r="S59" i="5"/>
  <c r="P59" i="5"/>
  <c r="AB58" i="5"/>
  <c r="AA58" i="5"/>
  <c r="W58" i="5"/>
  <c r="X58" i="5" s="1"/>
  <c r="S58" i="5"/>
  <c r="P58" i="5"/>
  <c r="W57" i="5"/>
  <c r="X57" i="5" s="1"/>
  <c r="S57" i="5"/>
  <c r="P57" i="5"/>
  <c r="W56" i="5"/>
  <c r="X56" i="5" s="1"/>
  <c r="S56" i="5"/>
  <c r="P56" i="5"/>
  <c r="W303" i="3"/>
  <c r="X303" i="3" s="1"/>
  <c r="R303" i="3"/>
  <c r="S303" i="3" s="1"/>
  <c r="P303" i="3"/>
  <c r="W275" i="3"/>
  <c r="X275" i="3" s="1"/>
  <c r="P275" i="3"/>
  <c r="R275" i="3"/>
  <c r="S275" i="3" s="1"/>
  <c r="W55" i="5"/>
  <c r="X55" i="5" s="1"/>
  <c r="S55" i="5"/>
  <c r="P55" i="5"/>
  <c r="W54" i="5"/>
  <c r="X54" i="5" s="1"/>
  <c r="S54" i="5"/>
  <c r="P54" i="5"/>
  <c r="W53" i="5"/>
  <c r="X53" i="5" s="1"/>
  <c r="S53" i="5"/>
  <c r="P53" i="5"/>
  <c r="W142" i="3"/>
  <c r="X142" i="3" s="1"/>
  <c r="R142" i="3"/>
  <c r="S142" i="3" s="1"/>
  <c r="P142" i="3"/>
  <c r="W52" i="5"/>
  <c r="X52" i="5" s="1"/>
  <c r="S52" i="5"/>
  <c r="P52" i="5"/>
  <c r="W51" i="5"/>
  <c r="X51" i="5" s="1"/>
  <c r="S51" i="5"/>
  <c r="P51" i="5"/>
  <c r="W50" i="5"/>
  <c r="X50" i="5" s="1"/>
  <c r="S50" i="5"/>
  <c r="P50" i="5"/>
  <c r="W49" i="5"/>
  <c r="X49" i="5" s="1"/>
  <c r="S49" i="5"/>
  <c r="P49" i="5"/>
  <c r="W48" i="5"/>
  <c r="X48" i="5" s="1"/>
  <c r="S48" i="5"/>
  <c r="P48" i="5"/>
  <c r="W103" i="3"/>
  <c r="X103" i="3" s="1"/>
  <c r="R103" i="3"/>
  <c r="S103" i="3" s="1"/>
  <c r="P103" i="3"/>
  <c r="W102" i="3"/>
  <c r="X102" i="3" s="1"/>
  <c r="R102" i="3"/>
  <c r="S102" i="3" s="1"/>
  <c r="P102" i="3"/>
  <c r="W47" i="5"/>
  <c r="X47" i="5" s="1"/>
  <c r="S47" i="5"/>
  <c r="P47" i="5"/>
  <c r="W46" i="5"/>
  <c r="X46" i="5" s="1"/>
  <c r="S46" i="5"/>
  <c r="P46" i="5"/>
  <c r="W45" i="5"/>
  <c r="X45" i="5" s="1"/>
  <c r="S45" i="5"/>
  <c r="P45" i="5"/>
  <c r="W44" i="5"/>
  <c r="X44" i="5" s="1"/>
  <c r="S44" i="5"/>
  <c r="P44" i="5"/>
  <c r="W113" i="3" l="1"/>
  <c r="X113" i="3" s="1"/>
  <c r="R113" i="3"/>
  <c r="S113" i="3" s="1"/>
  <c r="P113" i="3"/>
  <c r="W43" i="5"/>
  <c r="X43" i="5" s="1"/>
  <c r="S43" i="5"/>
  <c r="P43" i="5"/>
  <c r="W105" i="3"/>
  <c r="X105" i="3" s="1"/>
  <c r="R105" i="3"/>
  <c r="S105" i="3" s="1"/>
  <c r="P105" i="3"/>
  <c r="W42" i="5"/>
  <c r="X42" i="5" s="1"/>
  <c r="S42" i="5"/>
  <c r="P42" i="5"/>
  <c r="W41" i="5"/>
  <c r="X41" i="5" s="1"/>
  <c r="S41" i="5"/>
  <c r="P41" i="5"/>
  <c r="W40" i="5"/>
  <c r="X40" i="5" s="1"/>
  <c r="S40" i="5"/>
  <c r="P40" i="5"/>
  <c r="W39" i="5"/>
  <c r="X39" i="5" s="1"/>
  <c r="S39" i="5"/>
  <c r="P39" i="5"/>
  <c r="W92" i="3"/>
  <c r="X92" i="3" s="1"/>
  <c r="R92" i="3"/>
  <c r="S92" i="3" s="1"/>
  <c r="P92" i="3"/>
  <c r="W38" i="5"/>
  <c r="X38" i="5" s="1"/>
  <c r="S38" i="5"/>
  <c r="P38" i="5"/>
  <c r="W37" i="5"/>
  <c r="X37" i="5" s="1"/>
  <c r="S37" i="5"/>
  <c r="P37" i="5"/>
  <c r="AP33" i="5"/>
  <c r="AP34" i="5"/>
  <c r="AP35" i="5"/>
  <c r="AP36" i="5"/>
  <c r="W36" i="5"/>
  <c r="X36" i="5" s="1"/>
  <c r="S36" i="5"/>
  <c r="P36" i="5"/>
  <c r="W35" i="5"/>
  <c r="X35" i="5" s="1"/>
  <c r="S35" i="5"/>
  <c r="P35" i="5"/>
  <c r="W34" i="5"/>
  <c r="X34" i="5" s="1"/>
  <c r="S34" i="5"/>
  <c r="P34" i="5"/>
  <c r="W33" i="5"/>
  <c r="X33" i="5" s="1"/>
  <c r="S33" i="5"/>
  <c r="P33" i="5"/>
  <c r="AP30" i="5"/>
  <c r="AP31" i="5"/>
  <c r="AP32" i="5"/>
  <c r="W32" i="5"/>
  <c r="X32" i="5" s="1"/>
  <c r="S32" i="5"/>
  <c r="P32" i="5"/>
  <c r="W31" i="5"/>
  <c r="X31" i="5" s="1"/>
  <c r="S31" i="5"/>
  <c r="P31" i="5"/>
  <c r="W96" i="3"/>
  <c r="X96" i="3" s="1"/>
  <c r="R96" i="3"/>
  <c r="S96" i="3" s="1"/>
  <c r="P96" i="3"/>
  <c r="W30" i="5"/>
  <c r="X30" i="5" s="1"/>
  <c r="S30" i="5"/>
  <c r="P30" i="5"/>
  <c r="W100" i="3"/>
  <c r="X100" i="3" s="1"/>
  <c r="R100" i="3"/>
  <c r="S100" i="3" s="1"/>
  <c r="P100" i="3"/>
  <c r="AP27" i="5"/>
  <c r="AP28" i="5"/>
  <c r="AP29" i="5"/>
  <c r="W29" i="5"/>
  <c r="X29" i="5" s="1"/>
  <c r="S29" i="5"/>
  <c r="P29" i="5"/>
  <c r="W28" i="5"/>
  <c r="X28" i="5" s="1"/>
  <c r="S28" i="5"/>
  <c r="P28" i="5"/>
  <c r="W27" i="5"/>
  <c r="X27" i="5" s="1"/>
  <c r="S27" i="5"/>
  <c r="P27" i="5"/>
  <c r="AP26" i="5"/>
  <c r="W26" i="5"/>
  <c r="X26" i="5" s="1"/>
  <c r="S26" i="5"/>
  <c r="P26" i="5"/>
  <c r="AP25" i="5"/>
  <c r="W25" i="5"/>
  <c r="X25" i="5" s="1"/>
  <c r="S25" i="5"/>
  <c r="P25" i="5"/>
  <c r="AB224" i="3"/>
  <c r="AP24" i="5"/>
  <c r="AA24" i="5"/>
  <c r="W24" i="5"/>
  <c r="X24" i="5" s="1"/>
  <c r="S24" i="5"/>
  <c r="P24" i="5"/>
  <c r="AP23" i="5" l="1"/>
  <c r="AA23" i="5"/>
  <c r="W23" i="5"/>
  <c r="X23" i="5" s="1"/>
  <c r="S23" i="5"/>
  <c r="P23" i="5"/>
  <c r="AP22" i="5"/>
  <c r="W22" i="5"/>
  <c r="X22" i="5" s="1"/>
  <c r="S22" i="5"/>
  <c r="P22" i="5"/>
  <c r="AP21" i="5"/>
  <c r="W21" i="5"/>
  <c r="X21" i="5" s="1"/>
  <c r="S21" i="5"/>
  <c r="P21" i="5"/>
  <c r="W111" i="3"/>
  <c r="X111" i="3" s="1"/>
  <c r="R111" i="3"/>
  <c r="S111" i="3" s="1"/>
  <c r="P111" i="3"/>
  <c r="AP20" i="5"/>
  <c r="W20" i="5"/>
  <c r="X20" i="5" s="1"/>
  <c r="S20" i="5"/>
  <c r="P20" i="5"/>
  <c r="W122" i="3"/>
  <c r="X122" i="3" s="1"/>
  <c r="R122" i="3"/>
  <c r="S122" i="3" s="1"/>
  <c r="P122" i="3"/>
  <c r="AP18" i="5"/>
  <c r="AP19" i="5"/>
  <c r="W19" i="5"/>
  <c r="X19" i="5" s="1"/>
  <c r="S19" i="5"/>
  <c r="P19" i="5"/>
  <c r="AB274" i="3"/>
  <c r="AA274" i="3"/>
  <c r="W274" i="3"/>
  <c r="X274" i="3" s="1"/>
  <c r="P274" i="3"/>
  <c r="R274" i="3"/>
  <c r="S274" i="3" s="1"/>
  <c r="W18" i="5"/>
  <c r="X18" i="5" s="1"/>
  <c r="S18" i="5"/>
  <c r="P18" i="5"/>
  <c r="W302" i="3"/>
  <c r="X302" i="3" s="1"/>
  <c r="R302" i="3"/>
  <c r="S302" i="3" s="1"/>
  <c r="P302" i="3"/>
  <c r="AP7" i="5" l="1"/>
  <c r="AP8" i="5"/>
  <c r="AP9" i="5"/>
  <c r="AP10" i="5"/>
  <c r="AP11" i="5"/>
  <c r="AP12" i="5"/>
  <c r="AP13" i="5"/>
  <c r="AP14" i="5"/>
  <c r="AP15" i="5"/>
  <c r="AP16" i="5"/>
  <c r="AP17" i="5"/>
  <c r="AP6" i="5"/>
  <c r="W17" i="5"/>
  <c r="X17" i="5" s="1"/>
  <c r="S17" i="5"/>
  <c r="P17" i="5"/>
  <c r="W16" i="5"/>
  <c r="X16" i="5" s="1"/>
  <c r="S16" i="5"/>
  <c r="P16" i="5"/>
  <c r="W15" i="5"/>
  <c r="X15" i="5" s="1"/>
  <c r="S15" i="5"/>
  <c r="P15" i="5"/>
  <c r="W14" i="5"/>
  <c r="X14" i="5" s="1"/>
  <c r="S14" i="5"/>
  <c r="P14" i="5"/>
  <c r="W13" i="5"/>
  <c r="X13" i="5" s="1"/>
  <c r="S13" i="5"/>
  <c r="P13" i="5"/>
  <c r="W12" i="5"/>
  <c r="X12" i="5" s="1"/>
  <c r="S12" i="5"/>
  <c r="P12" i="5"/>
  <c r="W11" i="5"/>
  <c r="X11" i="5" s="1"/>
  <c r="S11" i="5"/>
  <c r="P11" i="5"/>
  <c r="W10" i="5"/>
  <c r="X10" i="5" s="1"/>
  <c r="S10" i="5"/>
  <c r="P10" i="5"/>
  <c r="W9" i="5"/>
  <c r="X9" i="5" s="1"/>
  <c r="S9" i="5"/>
  <c r="P9" i="5"/>
  <c r="W8" i="5" l="1"/>
  <c r="X8" i="5" s="1"/>
  <c r="S8" i="5"/>
  <c r="P8" i="5"/>
  <c r="W7" i="5"/>
  <c r="X7" i="5" s="1"/>
  <c r="S7" i="5"/>
  <c r="P7" i="5"/>
  <c r="W6" i="5"/>
  <c r="X6" i="5" s="1"/>
  <c r="S6" i="5"/>
  <c r="P6" i="5"/>
  <c r="P69" i="3"/>
  <c r="R69" i="3"/>
  <c r="S69" i="3" s="1"/>
  <c r="W69" i="3"/>
  <c r="X69" i="3" s="1"/>
  <c r="W186" i="3" l="1"/>
  <c r="X186" i="3" s="1"/>
  <c r="R186" i="3"/>
  <c r="S186" i="3" s="1"/>
  <c r="P186" i="3"/>
  <c r="AA83" i="3"/>
  <c r="AB83" i="3"/>
  <c r="R233" i="3"/>
  <c r="R234" i="3"/>
  <c r="AB252" i="3" l="1"/>
  <c r="AA252" i="3"/>
  <c r="W189" i="3"/>
  <c r="X189" i="3" s="1"/>
  <c r="P189" i="3"/>
  <c r="R189" i="3"/>
  <c r="S189" i="3" s="1"/>
  <c r="AA85" i="3"/>
  <c r="W85" i="3"/>
  <c r="X85" i="3" s="1"/>
  <c r="R85" i="3"/>
  <c r="S85" i="3" s="1"/>
  <c r="P85" i="3"/>
  <c r="AB85" i="3"/>
  <c r="W273" i="3" l="1"/>
  <c r="X273" i="3" s="1"/>
  <c r="P273" i="3"/>
  <c r="R273" i="3"/>
  <c r="S273" i="3" s="1"/>
  <c r="S307" i="3" l="1"/>
  <c r="W301" i="3"/>
  <c r="X301" i="3" s="1"/>
  <c r="P301" i="3"/>
  <c r="R301" i="3"/>
  <c r="S301" i="3" s="1"/>
  <c r="R75" i="3" l="1"/>
  <c r="W300" i="3"/>
  <c r="X300" i="3" s="1"/>
  <c r="P300" i="3"/>
  <c r="R300" i="3"/>
  <c r="S300" i="3" s="1"/>
  <c r="W299" i="3" l="1"/>
  <c r="X299" i="3" s="1"/>
  <c r="P299" i="3"/>
  <c r="R299" i="3"/>
  <c r="S299" i="3" s="1"/>
  <c r="W309" i="3" l="1"/>
  <c r="X309" i="3" s="1"/>
  <c r="S309" i="3"/>
  <c r="W308" i="3"/>
  <c r="X308" i="3" s="1"/>
  <c r="S308" i="3"/>
  <c r="W307" i="3"/>
  <c r="X307" i="3" s="1"/>
  <c r="W298" i="3"/>
  <c r="X298" i="3" s="1"/>
  <c r="R298" i="3"/>
  <c r="S298" i="3" s="1"/>
  <c r="P298" i="3"/>
  <c r="W297" i="3"/>
  <c r="X297" i="3" s="1"/>
  <c r="R297" i="3"/>
  <c r="S297" i="3" s="1"/>
  <c r="P297" i="3"/>
  <c r="W296" i="3"/>
  <c r="X296" i="3" s="1"/>
  <c r="S296" i="3"/>
  <c r="W295" i="3"/>
  <c r="X295" i="3" s="1"/>
  <c r="R295" i="3"/>
  <c r="S295" i="3" s="1"/>
  <c r="P295" i="3"/>
  <c r="W294" i="3"/>
  <c r="X294" i="3" s="1"/>
  <c r="R294" i="3"/>
  <c r="S294" i="3" s="1"/>
  <c r="P294" i="3"/>
  <c r="W293" i="3"/>
  <c r="X293" i="3" s="1"/>
  <c r="R293" i="3"/>
  <c r="S293" i="3" s="1"/>
  <c r="P293" i="3"/>
  <c r="W292" i="3"/>
  <c r="X292" i="3" s="1"/>
  <c r="R292" i="3"/>
  <c r="S292" i="3" s="1"/>
  <c r="P292" i="3"/>
  <c r="W291" i="3"/>
  <c r="X291" i="3" s="1"/>
  <c r="R291" i="3"/>
  <c r="S291" i="3" s="1"/>
  <c r="P291" i="3"/>
  <c r="W290" i="3"/>
  <c r="X290" i="3" s="1"/>
  <c r="R290" i="3"/>
  <c r="S290" i="3" s="1"/>
  <c r="P290" i="3"/>
  <c r="W289" i="3"/>
  <c r="X289" i="3" s="1"/>
  <c r="R289" i="3"/>
  <c r="S289" i="3" s="1"/>
  <c r="P289" i="3"/>
  <c r="W288" i="3"/>
  <c r="X288" i="3" s="1"/>
  <c r="R288" i="3"/>
  <c r="S288" i="3" s="1"/>
  <c r="P288" i="3"/>
  <c r="W287" i="3"/>
  <c r="X287" i="3" s="1"/>
  <c r="R287" i="3"/>
  <c r="S287" i="3" s="1"/>
  <c r="P287" i="3"/>
  <c r="W286" i="3"/>
  <c r="X286" i="3" s="1"/>
  <c r="R286" i="3"/>
  <c r="S286" i="3" s="1"/>
  <c r="P286" i="3"/>
  <c r="W285" i="3"/>
  <c r="X285" i="3" s="1"/>
  <c r="R285" i="3"/>
  <c r="S285" i="3" s="1"/>
  <c r="P285" i="3"/>
  <c r="W284" i="3"/>
  <c r="X284" i="3" s="1"/>
  <c r="R284" i="3"/>
  <c r="S284" i="3" s="1"/>
  <c r="P284" i="3"/>
  <c r="W283" i="3"/>
  <c r="X283" i="3" s="1"/>
  <c r="R283" i="3"/>
  <c r="S283" i="3" s="1"/>
  <c r="P283" i="3"/>
  <c r="W282" i="3"/>
  <c r="X282" i="3" s="1"/>
  <c r="R282" i="3"/>
  <c r="S282" i="3" s="1"/>
  <c r="P282" i="3"/>
  <c r="W281" i="3"/>
  <c r="X281" i="3" s="1"/>
  <c r="R281" i="3"/>
  <c r="S281" i="3" s="1"/>
  <c r="P281" i="3"/>
  <c r="W280" i="3"/>
  <c r="X280" i="3" s="1"/>
  <c r="R280" i="3"/>
  <c r="S280" i="3" s="1"/>
  <c r="P280" i="3"/>
  <c r="W279" i="3"/>
  <c r="X279" i="3" s="1"/>
  <c r="R279" i="3"/>
  <c r="S279" i="3" s="1"/>
  <c r="P279" i="3"/>
  <c r="W278" i="3"/>
  <c r="X278" i="3" s="1"/>
  <c r="R278" i="3"/>
  <c r="S278" i="3" s="1"/>
  <c r="P278" i="3"/>
  <c r="W277" i="3"/>
  <c r="X277" i="3" s="1"/>
  <c r="R277" i="3"/>
  <c r="S277" i="3" s="1"/>
  <c r="P277" i="3"/>
  <c r="W272" i="3"/>
  <c r="X272" i="3" s="1"/>
  <c r="R272" i="3"/>
  <c r="S272" i="3" s="1"/>
  <c r="P272" i="3"/>
  <c r="AB271" i="3"/>
  <c r="AA271" i="3"/>
  <c r="W271" i="3"/>
  <c r="X271" i="3" s="1"/>
  <c r="R271" i="3"/>
  <c r="S271" i="3" s="1"/>
  <c r="P271" i="3"/>
  <c r="AB270" i="3"/>
  <c r="AA270" i="3"/>
  <c r="W270" i="3"/>
  <c r="X270" i="3" s="1"/>
  <c r="R270" i="3"/>
  <c r="S270" i="3" s="1"/>
  <c r="P270" i="3"/>
  <c r="AB269" i="3"/>
  <c r="AA269" i="3"/>
  <c r="W269" i="3"/>
  <c r="X269" i="3" s="1"/>
  <c r="R269" i="3"/>
  <c r="S269" i="3" s="1"/>
  <c r="P269" i="3"/>
  <c r="AB268" i="3"/>
  <c r="AA268" i="3"/>
  <c r="W268" i="3"/>
  <c r="X268" i="3" s="1"/>
  <c r="R268" i="3"/>
  <c r="S268" i="3" s="1"/>
  <c r="P268" i="3"/>
  <c r="AB267" i="3"/>
  <c r="AA267" i="3"/>
  <c r="W267" i="3"/>
  <c r="X267" i="3" s="1"/>
  <c r="R267" i="3"/>
  <c r="S267" i="3" s="1"/>
  <c r="P267" i="3"/>
  <c r="AB266" i="3"/>
  <c r="AA266" i="3"/>
  <c r="W266" i="3"/>
  <c r="X266" i="3" s="1"/>
  <c r="S266" i="3"/>
  <c r="AB265" i="3"/>
  <c r="AA265" i="3"/>
  <c r="W265" i="3"/>
  <c r="X265" i="3" s="1"/>
  <c r="R265" i="3"/>
  <c r="S265" i="3" s="1"/>
  <c r="P265" i="3"/>
  <c r="AB264" i="3"/>
  <c r="AA264" i="3"/>
  <c r="W264" i="3"/>
  <c r="X264" i="3" s="1"/>
  <c r="R264" i="3"/>
  <c r="S264" i="3" s="1"/>
  <c r="P264" i="3"/>
  <c r="AB263" i="3"/>
  <c r="AA263" i="3"/>
  <c r="W263" i="3"/>
  <c r="X263" i="3" s="1"/>
  <c r="R263" i="3"/>
  <c r="S263" i="3" s="1"/>
  <c r="P263" i="3"/>
  <c r="AB262" i="3"/>
  <c r="AA262" i="3"/>
  <c r="W262" i="3"/>
  <c r="X262" i="3" s="1"/>
  <c r="R262" i="3"/>
  <c r="S262" i="3" s="1"/>
  <c r="P262" i="3"/>
  <c r="AB261" i="3"/>
  <c r="AA261" i="3"/>
  <c r="W261" i="3"/>
  <c r="X261" i="3" s="1"/>
  <c r="R261" i="3"/>
  <c r="S261" i="3" s="1"/>
  <c r="P261" i="3"/>
  <c r="AB260" i="3"/>
  <c r="AA260" i="3"/>
  <c r="W260" i="3"/>
  <c r="X260" i="3" s="1"/>
  <c r="R260" i="3"/>
  <c r="S260" i="3" s="1"/>
  <c r="P260" i="3"/>
  <c r="AB259" i="3"/>
  <c r="AA259" i="3"/>
  <c r="W259" i="3"/>
  <c r="X259" i="3" s="1"/>
  <c r="R259" i="3"/>
  <c r="S259" i="3" s="1"/>
  <c r="P259" i="3"/>
  <c r="W258" i="3"/>
  <c r="X258" i="3" s="1"/>
  <c r="S258" i="3"/>
  <c r="AB257" i="3"/>
  <c r="AA257" i="3"/>
  <c r="W257" i="3"/>
  <c r="X257" i="3" s="1"/>
  <c r="R257" i="3"/>
  <c r="S257" i="3" s="1"/>
  <c r="P257" i="3"/>
  <c r="AC256" i="3"/>
  <c r="AB256" i="3"/>
  <c r="AA256" i="3"/>
  <c r="W256" i="3"/>
  <c r="X256" i="3" s="1"/>
  <c r="S256" i="3"/>
  <c r="AB255" i="3"/>
  <c r="AA255" i="3"/>
  <c r="W255" i="3"/>
  <c r="X255" i="3" s="1"/>
  <c r="R255" i="3"/>
  <c r="S255" i="3" s="1"/>
  <c r="P255" i="3"/>
  <c r="AB254" i="3"/>
  <c r="AA254" i="3"/>
  <c r="W254" i="3"/>
  <c r="X254" i="3" s="1"/>
  <c r="R254" i="3"/>
  <c r="S254" i="3" s="1"/>
  <c r="P254" i="3"/>
  <c r="AB253" i="3"/>
  <c r="AA253" i="3"/>
  <c r="W253" i="3"/>
  <c r="X253" i="3" s="1"/>
  <c r="S253" i="3"/>
  <c r="W252" i="3"/>
  <c r="X252" i="3" s="1"/>
  <c r="R252" i="3"/>
  <c r="S252" i="3" s="1"/>
  <c r="P252" i="3"/>
  <c r="W251" i="3"/>
  <c r="X251" i="3" s="1"/>
  <c r="R251" i="3"/>
  <c r="S251" i="3" s="1"/>
  <c r="P251" i="3"/>
  <c r="AC250" i="3"/>
  <c r="AB250" i="3"/>
  <c r="AA250" i="3"/>
  <c r="W250" i="3"/>
  <c r="X250" i="3" s="1"/>
  <c r="S250" i="3"/>
  <c r="AB249" i="3"/>
  <c r="AA249" i="3"/>
  <c r="W249" i="3"/>
  <c r="X249" i="3" s="1"/>
  <c r="S249" i="3"/>
  <c r="AB248" i="3"/>
  <c r="AA248" i="3"/>
  <c r="W248" i="3"/>
  <c r="X248" i="3" s="1"/>
  <c r="R248" i="3"/>
  <c r="S248" i="3" s="1"/>
  <c r="P248" i="3"/>
  <c r="W247" i="3"/>
  <c r="X247" i="3" s="1"/>
  <c r="S247" i="3"/>
  <c r="W246" i="3"/>
  <c r="X246" i="3" s="1"/>
  <c r="R246" i="3"/>
  <c r="S246" i="3" s="1"/>
  <c r="P246" i="3"/>
  <c r="AB245" i="3"/>
  <c r="AA245" i="3"/>
  <c r="W245" i="3"/>
  <c r="X245" i="3" s="1"/>
  <c r="R245" i="3"/>
  <c r="S245" i="3" s="1"/>
  <c r="P245" i="3"/>
  <c r="W244" i="3"/>
  <c r="X244" i="3" s="1"/>
  <c r="R244" i="3"/>
  <c r="S244" i="3" s="1"/>
  <c r="P244" i="3"/>
  <c r="W243" i="3"/>
  <c r="X243" i="3" s="1"/>
  <c r="R243" i="3"/>
  <c r="S243" i="3" s="1"/>
  <c r="P243" i="3"/>
  <c r="W242" i="3"/>
  <c r="X242" i="3" s="1"/>
  <c r="R242" i="3"/>
  <c r="S242" i="3" s="1"/>
  <c r="P242" i="3"/>
  <c r="AB241" i="3"/>
  <c r="AA241" i="3"/>
  <c r="W241" i="3"/>
  <c r="X241" i="3" s="1"/>
  <c r="R241" i="3"/>
  <c r="S241" i="3" s="1"/>
  <c r="P241" i="3"/>
  <c r="W240" i="3"/>
  <c r="X240" i="3" s="1"/>
  <c r="S240" i="3"/>
  <c r="W239" i="3"/>
  <c r="X239" i="3" s="1"/>
  <c r="R239" i="3"/>
  <c r="S239" i="3" s="1"/>
  <c r="P239" i="3"/>
  <c r="W238" i="3"/>
  <c r="X238" i="3" s="1"/>
  <c r="R238" i="3"/>
  <c r="S238" i="3" s="1"/>
  <c r="P238" i="3"/>
  <c r="W237" i="3"/>
  <c r="X237" i="3" s="1"/>
  <c r="R237" i="3"/>
  <c r="S237" i="3" s="1"/>
  <c r="P237" i="3"/>
  <c r="W236" i="3"/>
  <c r="X236" i="3" s="1"/>
  <c r="R236" i="3"/>
  <c r="S236" i="3" s="1"/>
  <c r="P236" i="3"/>
  <c r="W235" i="3"/>
  <c r="X235" i="3" s="1"/>
  <c r="R235" i="3"/>
  <c r="S235" i="3" s="1"/>
  <c r="P235" i="3"/>
  <c r="W234" i="3"/>
  <c r="X234" i="3" s="1"/>
  <c r="S234" i="3"/>
  <c r="P234" i="3"/>
  <c r="W233" i="3"/>
  <c r="X233" i="3" s="1"/>
  <c r="S233" i="3"/>
  <c r="P233" i="3"/>
  <c r="W232" i="3"/>
  <c r="X232" i="3" s="1"/>
  <c r="R232" i="3"/>
  <c r="S232" i="3" s="1"/>
  <c r="P232" i="3"/>
  <c r="AA231" i="3"/>
  <c r="W231" i="3"/>
  <c r="X231" i="3" s="1"/>
  <c r="R231" i="3"/>
  <c r="S231" i="3" s="1"/>
  <c r="P231" i="3"/>
  <c r="AA230" i="3"/>
  <c r="W230" i="3"/>
  <c r="X230" i="3" s="1"/>
  <c r="R230" i="3"/>
  <c r="S230" i="3" s="1"/>
  <c r="P230" i="3"/>
  <c r="AB229" i="3"/>
  <c r="AA229" i="3"/>
  <c r="W229" i="3"/>
  <c r="X229" i="3" s="1"/>
  <c r="R229" i="3"/>
  <c r="S229" i="3" s="1"/>
  <c r="P229" i="3"/>
  <c r="AA228" i="3"/>
  <c r="W228" i="3"/>
  <c r="X228" i="3" s="1"/>
  <c r="R228" i="3"/>
  <c r="S228" i="3" s="1"/>
  <c r="P228" i="3"/>
  <c r="AA227" i="3"/>
  <c r="W227" i="3"/>
  <c r="X227" i="3" s="1"/>
  <c r="R227" i="3"/>
  <c r="S227" i="3" s="1"/>
  <c r="P227" i="3"/>
  <c r="AB226" i="3"/>
  <c r="AA226" i="3"/>
  <c r="W226" i="3"/>
  <c r="X226" i="3" s="1"/>
  <c r="R226" i="3"/>
  <c r="S226" i="3" s="1"/>
  <c r="P226" i="3"/>
  <c r="AB225" i="3"/>
  <c r="AA225" i="3"/>
  <c r="W225" i="3"/>
  <c r="X225" i="3" s="1"/>
  <c r="R225" i="3"/>
  <c r="S225" i="3" s="1"/>
  <c r="P225" i="3"/>
  <c r="AA224" i="3"/>
  <c r="W224" i="3"/>
  <c r="X224" i="3" s="1"/>
  <c r="R224" i="3"/>
  <c r="S224" i="3" s="1"/>
  <c r="P224" i="3"/>
  <c r="AB223" i="3"/>
  <c r="AA223" i="3"/>
  <c r="W223" i="3"/>
  <c r="X223" i="3" s="1"/>
  <c r="R223" i="3"/>
  <c r="S223" i="3" s="1"/>
  <c r="P223" i="3"/>
  <c r="W222" i="3"/>
  <c r="X222" i="3" s="1"/>
  <c r="R222" i="3"/>
  <c r="S222" i="3" s="1"/>
  <c r="P222" i="3"/>
  <c r="AA221" i="3"/>
  <c r="W221" i="3"/>
  <c r="X221" i="3" s="1"/>
  <c r="R221" i="3"/>
  <c r="S221" i="3" s="1"/>
  <c r="P221" i="3"/>
  <c r="W220" i="3"/>
  <c r="X220" i="3" s="1"/>
  <c r="R220" i="3"/>
  <c r="S220" i="3" s="1"/>
  <c r="P220" i="3"/>
  <c r="W219" i="3"/>
  <c r="X219" i="3" s="1"/>
  <c r="R219" i="3"/>
  <c r="S219" i="3" s="1"/>
  <c r="P219" i="3"/>
  <c r="W218" i="3"/>
  <c r="X218" i="3" s="1"/>
  <c r="R218" i="3"/>
  <c r="S218" i="3" s="1"/>
  <c r="P218" i="3"/>
  <c r="AA217" i="3"/>
  <c r="W217" i="3"/>
  <c r="X217" i="3" s="1"/>
  <c r="R217" i="3"/>
  <c r="S217" i="3" s="1"/>
  <c r="P217" i="3"/>
  <c r="W216" i="3"/>
  <c r="X216" i="3" s="1"/>
  <c r="R216" i="3"/>
  <c r="S216" i="3" s="1"/>
  <c r="P216" i="3"/>
  <c r="W215" i="3"/>
  <c r="X215" i="3" s="1"/>
  <c r="R215" i="3"/>
  <c r="S215" i="3" s="1"/>
  <c r="P215" i="3"/>
  <c r="W214" i="3"/>
  <c r="X214" i="3" s="1"/>
  <c r="R214" i="3"/>
  <c r="S214" i="3" s="1"/>
  <c r="P214" i="3"/>
  <c r="W213" i="3"/>
  <c r="X213" i="3" s="1"/>
  <c r="R213" i="3"/>
  <c r="S213" i="3" s="1"/>
  <c r="P213" i="3"/>
  <c r="W212" i="3"/>
  <c r="X212" i="3" s="1"/>
  <c r="R212" i="3"/>
  <c r="S212" i="3" s="1"/>
  <c r="P212" i="3"/>
  <c r="W211" i="3"/>
  <c r="X211" i="3" s="1"/>
  <c r="R211" i="3"/>
  <c r="S211" i="3" s="1"/>
  <c r="P211" i="3"/>
  <c r="W210" i="3"/>
  <c r="X210" i="3" s="1"/>
  <c r="R210" i="3"/>
  <c r="S210" i="3" s="1"/>
  <c r="P210" i="3"/>
  <c r="W209" i="3"/>
  <c r="X209" i="3" s="1"/>
  <c r="R209" i="3"/>
  <c r="S209" i="3" s="1"/>
  <c r="P209" i="3"/>
  <c r="W208" i="3"/>
  <c r="X208" i="3" s="1"/>
  <c r="R208" i="3"/>
  <c r="S208" i="3" s="1"/>
  <c r="P208" i="3"/>
  <c r="W207" i="3"/>
  <c r="X207" i="3" s="1"/>
  <c r="R207" i="3"/>
  <c r="S207" i="3" s="1"/>
  <c r="P207" i="3"/>
  <c r="W206" i="3"/>
  <c r="X206" i="3" s="1"/>
  <c r="R206" i="3"/>
  <c r="S206" i="3" s="1"/>
  <c r="P206" i="3"/>
  <c r="W205" i="3"/>
  <c r="X205" i="3" s="1"/>
  <c r="R205" i="3"/>
  <c r="S205" i="3" s="1"/>
  <c r="P205" i="3"/>
  <c r="W204" i="3"/>
  <c r="X204" i="3" s="1"/>
  <c r="R204" i="3"/>
  <c r="S204" i="3" s="1"/>
  <c r="P204" i="3"/>
  <c r="W203" i="3"/>
  <c r="X203" i="3" s="1"/>
  <c r="R203" i="3"/>
  <c r="S203" i="3" s="1"/>
  <c r="P203" i="3"/>
  <c r="W202" i="3"/>
  <c r="X202" i="3" s="1"/>
  <c r="R202" i="3"/>
  <c r="S202" i="3" s="1"/>
  <c r="P202" i="3"/>
  <c r="AC201" i="3"/>
  <c r="AB201" i="3"/>
  <c r="AA201" i="3"/>
  <c r="W201" i="3"/>
  <c r="X201" i="3" s="1"/>
  <c r="R201" i="3"/>
  <c r="S201" i="3" s="1"/>
  <c r="P201" i="3"/>
  <c r="W200" i="3"/>
  <c r="X200" i="3" s="1"/>
  <c r="R200" i="3"/>
  <c r="S200" i="3" s="1"/>
  <c r="P200" i="3"/>
  <c r="AB199" i="3"/>
  <c r="AA199" i="3"/>
  <c r="W199" i="3"/>
  <c r="X199" i="3" s="1"/>
  <c r="R199" i="3"/>
  <c r="S199" i="3" s="1"/>
  <c r="P199" i="3"/>
  <c r="W198" i="3"/>
  <c r="X198" i="3" s="1"/>
  <c r="R198" i="3"/>
  <c r="S198" i="3" s="1"/>
  <c r="P198" i="3"/>
  <c r="W197" i="3"/>
  <c r="X197" i="3" s="1"/>
  <c r="R197" i="3"/>
  <c r="S197" i="3" s="1"/>
  <c r="P197" i="3"/>
  <c r="W196" i="3"/>
  <c r="X196" i="3" s="1"/>
  <c r="R196" i="3"/>
  <c r="S196" i="3" s="1"/>
  <c r="P196" i="3"/>
  <c r="W195" i="3"/>
  <c r="X195" i="3" s="1"/>
  <c r="R195" i="3"/>
  <c r="S195" i="3" s="1"/>
  <c r="P195" i="3"/>
  <c r="W194" i="3"/>
  <c r="X194" i="3" s="1"/>
  <c r="R194" i="3"/>
  <c r="S194" i="3" s="1"/>
  <c r="P194" i="3"/>
  <c r="W193" i="3"/>
  <c r="X193" i="3" s="1"/>
  <c r="R193" i="3"/>
  <c r="S193" i="3" s="1"/>
  <c r="P193" i="3"/>
  <c r="W192" i="3"/>
  <c r="X192" i="3" s="1"/>
  <c r="R192" i="3"/>
  <c r="S192" i="3" s="1"/>
  <c r="P192" i="3"/>
  <c r="W191" i="3"/>
  <c r="X191" i="3" s="1"/>
  <c r="R191" i="3"/>
  <c r="S191" i="3" s="1"/>
  <c r="P191" i="3"/>
  <c r="X190" i="3"/>
  <c r="R190" i="3"/>
  <c r="S190" i="3" s="1"/>
  <c r="P190" i="3"/>
  <c r="W188" i="3"/>
  <c r="X188" i="3" s="1"/>
  <c r="R188" i="3"/>
  <c r="S188" i="3" s="1"/>
  <c r="P188" i="3"/>
  <c r="W187" i="3"/>
  <c r="X187" i="3" s="1"/>
  <c r="R187" i="3"/>
  <c r="S187" i="3" s="1"/>
  <c r="P187" i="3"/>
  <c r="W185" i="3"/>
  <c r="X185" i="3" s="1"/>
  <c r="R185" i="3"/>
  <c r="S185" i="3" s="1"/>
  <c r="P185" i="3"/>
  <c r="W184" i="3"/>
  <c r="X184" i="3" s="1"/>
  <c r="R184" i="3"/>
  <c r="S184" i="3" s="1"/>
  <c r="P184" i="3"/>
  <c r="W183" i="3"/>
  <c r="X183" i="3" s="1"/>
  <c r="R183" i="3"/>
  <c r="S183" i="3" s="1"/>
  <c r="P183" i="3"/>
  <c r="W182" i="3"/>
  <c r="X182" i="3" s="1"/>
  <c r="R182" i="3"/>
  <c r="S182" i="3" s="1"/>
  <c r="P182" i="3"/>
  <c r="W181" i="3"/>
  <c r="X181" i="3" s="1"/>
  <c r="R181" i="3"/>
  <c r="S181" i="3" s="1"/>
  <c r="P181" i="3"/>
  <c r="W180" i="3"/>
  <c r="X180" i="3" s="1"/>
  <c r="R180" i="3"/>
  <c r="S180" i="3" s="1"/>
  <c r="P180" i="3"/>
  <c r="W179" i="3"/>
  <c r="X179" i="3" s="1"/>
  <c r="R179" i="3"/>
  <c r="S179" i="3" s="1"/>
  <c r="P179" i="3"/>
  <c r="W178" i="3"/>
  <c r="X178" i="3" s="1"/>
  <c r="R178" i="3"/>
  <c r="S178" i="3" s="1"/>
  <c r="P178" i="3"/>
  <c r="AA177" i="3"/>
  <c r="W177" i="3"/>
  <c r="X177" i="3" s="1"/>
  <c r="R177" i="3"/>
  <c r="S177" i="3" s="1"/>
  <c r="P177" i="3"/>
  <c r="W176" i="3"/>
  <c r="X176" i="3" s="1"/>
  <c r="R176" i="3"/>
  <c r="S176" i="3" s="1"/>
  <c r="P176" i="3"/>
  <c r="W175" i="3"/>
  <c r="X175" i="3" s="1"/>
  <c r="R175" i="3"/>
  <c r="S175" i="3" s="1"/>
  <c r="P175" i="3"/>
  <c r="W174" i="3"/>
  <c r="X174" i="3" s="1"/>
  <c r="R174" i="3"/>
  <c r="S174" i="3" s="1"/>
  <c r="P174" i="3"/>
  <c r="W173" i="3"/>
  <c r="X173" i="3" s="1"/>
  <c r="R173" i="3"/>
  <c r="S173" i="3" s="1"/>
  <c r="P173" i="3"/>
  <c r="W172" i="3"/>
  <c r="X172" i="3" s="1"/>
  <c r="R172" i="3"/>
  <c r="S172" i="3" s="1"/>
  <c r="P172" i="3"/>
  <c r="W171" i="3"/>
  <c r="X171" i="3" s="1"/>
  <c r="R171" i="3"/>
  <c r="S171" i="3" s="1"/>
  <c r="P171" i="3"/>
  <c r="W170" i="3"/>
  <c r="X170" i="3" s="1"/>
  <c r="R170" i="3"/>
  <c r="S170" i="3" s="1"/>
  <c r="P170" i="3"/>
  <c r="W169" i="3"/>
  <c r="X169" i="3" s="1"/>
  <c r="R169" i="3"/>
  <c r="S169" i="3" s="1"/>
  <c r="P169" i="3"/>
  <c r="AB168" i="3"/>
  <c r="AA168" i="3"/>
  <c r="W168" i="3"/>
  <c r="X168" i="3" s="1"/>
  <c r="R168" i="3"/>
  <c r="S168" i="3" s="1"/>
  <c r="P168" i="3"/>
  <c r="AB167" i="3"/>
  <c r="AA167" i="3"/>
  <c r="W167" i="3"/>
  <c r="X167" i="3" s="1"/>
  <c r="R167" i="3"/>
  <c r="S167" i="3" s="1"/>
  <c r="P167" i="3"/>
  <c r="AB166" i="3"/>
  <c r="AA166" i="3"/>
  <c r="W166" i="3"/>
  <c r="X166" i="3" s="1"/>
  <c r="R166" i="3"/>
  <c r="S166" i="3" s="1"/>
  <c r="P166" i="3"/>
  <c r="AB165" i="3"/>
  <c r="AA165" i="3"/>
  <c r="W165" i="3"/>
  <c r="X165" i="3" s="1"/>
  <c r="R165" i="3"/>
  <c r="S165" i="3" s="1"/>
  <c r="P165" i="3"/>
  <c r="AB164" i="3"/>
  <c r="AA164" i="3"/>
  <c r="W164" i="3"/>
  <c r="X164" i="3" s="1"/>
  <c r="R164" i="3"/>
  <c r="S164" i="3" s="1"/>
  <c r="P164" i="3"/>
  <c r="AB163" i="3"/>
  <c r="AA163" i="3"/>
  <c r="W163" i="3"/>
  <c r="X163" i="3" s="1"/>
  <c r="R163" i="3"/>
  <c r="S163" i="3" s="1"/>
  <c r="P163" i="3"/>
  <c r="AB162" i="3"/>
  <c r="AA162" i="3"/>
  <c r="W162" i="3"/>
  <c r="X162" i="3" s="1"/>
  <c r="R162" i="3"/>
  <c r="S162" i="3" s="1"/>
  <c r="P162" i="3"/>
  <c r="AB161" i="3"/>
  <c r="AA161" i="3"/>
  <c r="W161" i="3"/>
  <c r="X161" i="3" s="1"/>
  <c r="R161" i="3"/>
  <c r="S161" i="3" s="1"/>
  <c r="P161" i="3"/>
  <c r="AB160" i="3"/>
  <c r="AA160" i="3"/>
  <c r="W160" i="3"/>
  <c r="X160" i="3" s="1"/>
  <c r="R160" i="3"/>
  <c r="S160" i="3" s="1"/>
  <c r="P160" i="3"/>
  <c r="W159" i="3"/>
  <c r="X159" i="3" s="1"/>
  <c r="R159" i="3"/>
  <c r="S159" i="3" s="1"/>
  <c r="P159" i="3"/>
  <c r="AB158" i="3"/>
  <c r="AA158" i="3"/>
  <c r="W158" i="3"/>
  <c r="X158" i="3" s="1"/>
  <c r="R158" i="3"/>
  <c r="S158" i="3" s="1"/>
  <c r="P158" i="3"/>
  <c r="AB157" i="3"/>
  <c r="AA157" i="3"/>
  <c r="W157" i="3"/>
  <c r="X157" i="3" s="1"/>
  <c r="R157" i="3"/>
  <c r="S157" i="3" s="1"/>
  <c r="P157" i="3"/>
  <c r="AB156" i="3"/>
  <c r="AA156" i="3"/>
  <c r="W156" i="3"/>
  <c r="X156" i="3" s="1"/>
  <c r="R156" i="3"/>
  <c r="S156" i="3" s="1"/>
  <c r="P156" i="3"/>
  <c r="AB155" i="3"/>
  <c r="AA155" i="3"/>
  <c r="W155" i="3"/>
  <c r="X155" i="3" s="1"/>
  <c r="R155" i="3"/>
  <c r="S155" i="3" s="1"/>
  <c r="P155" i="3"/>
  <c r="AB154" i="3"/>
  <c r="AA154" i="3"/>
  <c r="W154" i="3"/>
  <c r="X154" i="3" s="1"/>
  <c r="R154" i="3"/>
  <c r="S154" i="3" s="1"/>
  <c r="P154" i="3"/>
  <c r="AB153" i="3"/>
  <c r="AA153" i="3"/>
  <c r="W153" i="3"/>
  <c r="X153" i="3" s="1"/>
  <c r="R153" i="3"/>
  <c r="S153" i="3" s="1"/>
  <c r="P153" i="3"/>
  <c r="AB152" i="3"/>
  <c r="AA152" i="3"/>
  <c r="W152" i="3"/>
  <c r="X152" i="3" s="1"/>
  <c r="R152" i="3"/>
  <c r="S152" i="3" s="1"/>
  <c r="P152" i="3"/>
  <c r="AB151" i="3"/>
  <c r="AA151" i="3"/>
  <c r="W151" i="3"/>
  <c r="X151" i="3" s="1"/>
  <c r="R151" i="3"/>
  <c r="S151" i="3" s="1"/>
  <c r="P151" i="3"/>
  <c r="AB150" i="3"/>
  <c r="AA150" i="3"/>
  <c r="W150" i="3"/>
  <c r="X150" i="3" s="1"/>
  <c r="R150" i="3"/>
  <c r="S150" i="3" s="1"/>
  <c r="P150" i="3"/>
  <c r="AB149" i="3"/>
  <c r="AA149" i="3"/>
  <c r="W149" i="3"/>
  <c r="X149" i="3" s="1"/>
  <c r="R149" i="3"/>
  <c r="S149" i="3" s="1"/>
  <c r="P149" i="3"/>
  <c r="AB148" i="3"/>
  <c r="AA148" i="3"/>
  <c r="W148" i="3"/>
  <c r="X148" i="3" s="1"/>
  <c r="R148" i="3"/>
  <c r="S148" i="3" s="1"/>
  <c r="P148" i="3"/>
  <c r="AB147" i="3"/>
  <c r="AA147" i="3"/>
  <c r="W147" i="3"/>
  <c r="X147" i="3" s="1"/>
  <c r="R147" i="3"/>
  <c r="S147" i="3" s="1"/>
  <c r="P147" i="3"/>
  <c r="AB146" i="3"/>
  <c r="AA146" i="3"/>
  <c r="W146" i="3"/>
  <c r="X146" i="3" s="1"/>
  <c r="R146" i="3"/>
  <c r="S146" i="3" s="1"/>
  <c r="P146" i="3"/>
  <c r="AB145" i="3"/>
  <c r="AA145" i="3"/>
  <c r="W145" i="3"/>
  <c r="X145" i="3" s="1"/>
  <c r="R145" i="3"/>
  <c r="S145" i="3" s="1"/>
  <c r="P145" i="3"/>
  <c r="AB144" i="3"/>
  <c r="AA144" i="3"/>
  <c r="W144" i="3"/>
  <c r="X144" i="3" s="1"/>
  <c r="R144" i="3"/>
  <c r="S144" i="3" s="1"/>
  <c r="P144" i="3"/>
  <c r="AB143" i="3"/>
  <c r="AA143" i="3"/>
  <c r="W143" i="3"/>
  <c r="X143" i="3" s="1"/>
  <c r="R143" i="3"/>
  <c r="S143" i="3" s="1"/>
  <c r="P143" i="3"/>
  <c r="W141" i="3"/>
  <c r="X141" i="3" s="1"/>
  <c r="R141" i="3"/>
  <c r="S141" i="3" s="1"/>
  <c r="P141" i="3"/>
  <c r="W140" i="3"/>
  <c r="X140" i="3" s="1"/>
  <c r="R140" i="3"/>
  <c r="S140" i="3" s="1"/>
  <c r="P140" i="3"/>
  <c r="W139" i="3"/>
  <c r="X139" i="3" s="1"/>
  <c r="R139" i="3"/>
  <c r="S139" i="3" s="1"/>
  <c r="P139" i="3"/>
  <c r="W138" i="3"/>
  <c r="X138" i="3" s="1"/>
  <c r="R138" i="3"/>
  <c r="S138" i="3" s="1"/>
  <c r="P138" i="3"/>
  <c r="W137" i="3"/>
  <c r="X137" i="3" s="1"/>
  <c r="R137" i="3"/>
  <c r="S137" i="3" s="1"/>
  <c r="P137" i="3"/>
  <c r="W136" i="3"/>
  <c r="X136" i="3" s="1"/>
  <c r="R136" i="3"/>
  <c r="S136" i="3" s="1"/>
  <c r="P136" i="3"/>
  <c r="W135" i="3"/>
  <c r="X135" i="3" s="1"/>
  <c r="R135" i="3"/>
  <c r="S135" i="3" s="1"/>
  <c r="P135" i="3"/>
  <c r="W134" i="3"/>
  <c r="X134" i="3" s="1"/>
  <c r="R134" i="3"/>
  <c r="S134" i="3" s="1"/>
  <c r="P134" i="3"/>
  <c r="W133" i="3"/>
  <c r="X133" i="3" s="1"/>
  <c r="R133" i="3"/>
  <c r="S133" i="3" s="1"/>
  <c r="P133" i="3"/>
  <c r="W132" i="3"/>
  <c r="X132" i="3" s="1"/>
  <c r="R132" i="3"/>
  <c r="S132" i="3" s="1"/>
  <c r="P132" i="3"/>
  <c r="W131" i="3"/>
  <c r="X131" i="3" s="1"/>
  <c r="R131" i="3"/>
  <c r="S131" i="3" s="1"/>
  <c r="P131" i="3"/>
  <c r="W130" i="3"/>
  <c r="X130" i="3" s="1"/>
  <c r="R130" i="3"/>
  <c r="S130" i="3" s="1"/>
  <c r="P130" i="3"/>
  <c r="W129" i="3"/>
  <c r="X129" i="3" s="1"/>
  <c r="R129" i="3"/>
  <c r="S129" i="3" s="1"/>
  <c r="P129" i="3"/>
  <c r="W128" i="3"/>
  <c r="X128" i="3" s="1"/>
  <c r="R128" i="3"/>
  <c r="S128" i="3" s="1"/>
  <c r="P128" i="3"/>
  <c r="W127" i="3"/>
  <c r="X127" i="3" s="1"/>
  <c r="R127" i="3"/>
  <c r="S127" i="3" s="1"/>
  <c r="P127" i="3"/>
  <c r="W126" i="3"/>
  <c r="X126" i="3" s="1"/>
  <c r="R126" i="3"/>
  <c r="S126" i="3" s="1"/>
  <c r="P126" i="3"/>
  <c r="W125" i="3"/>
  <c r="X125" i="3" s="1"/>
  <c r="R125" i="3"/>
  <c r="S125" i="3" s="1"/>
  <c r="P125" i="3"/>
  <c r="W124" i="3"/>
  <c r="X124" i="3" s="1"/>
  <c r="R124" i="3"/>
  <c r="S124" i="3" s="1"/>
  <c r="P124" i="3"/>
  <c r="W123" i="3"/>
  <c r="X123" i="3" s="1"/>
  <c r="R123" i="3"/>
  <c r="S123" i="3" s="1"/>
  <c r="P123" i="3"/>
  <c r="W121" i="3"/>
  <c r="X121" i="3" s="1"/>
  <c r="R121" i="3"/>
  <c r="S121" i="3" s="1"/>
  <c r="P121" i="3"/>
  <c r="W120" i="3"/>
  <c r="X120" i="3" s="1"/>
  <c r="R120" i="3"/>
  <c r="S120" i="3" s="1"/>
  <c r="P120" i="3"/>
  <c r="AB119" i="3"/>
  <c r="AA119" i="3"/>
  <c r="W119" i="3"/>
  <c r="X119" i="3" s="1"/>
  <c r="R119" i="3"/>
  <c r="S119" i="3" s="1"/>
  <c r="P119" i="3"/>
  <c r="W118" i="3"/>
  <c r="X118" i="3" s="1"/>
  <c r="R118" i="3"/>
  <c r="S118" i="3" s="1"/>
  <c r="P118" i="3"/>
  <c r="W116" i="3"/>
  <c r="X116" i="3" s="1"/>
  <c r="R116" i="3"/>
  <c r="S116" i="3" s="1"/>
  <c r="P116" i="3"/>
  <c r="W115" i="3"/>
  <c r="X115" i="3" s="1"/>
  <c r="R115" i="3"/>
  <c r="S115" i="3" s="1"/>
  <c r="P115" i="3"/>
  <c r="W114" i="3"/>
  <c r="X114" i="3" s="1"/>
  <c r="R114" i="3"/>
  <c r="S114" i="3" s="1"/>
  <c r="P114" i="3"/>
  <c r="W112" i="3"/>
  <c r="X112" i="3" s="1"/>
  <c r="R112" i="3"/>
  <c r="S112" i="3" s="1"/>
  <c r="P112" i="3"/>
  <c r="W110" i="3"/>
  <c r="X110" i="3" s="1"/>
  <c r="R110" i="3"/>
  <c r="S110" i="3" s="1"/>
  <c r="P110" i="3"/>
  <c r="W109" i="3"/>
  <c r="X109" i="3" s="1"/>
  <c r="R109" i="3"/>
  <c r="S109" i="3" s="1"/>
  <c r="P109" i="3"/>
  <c r="W108" i="3"/>
  <c r="X108" i="3" s="1"/>
  <c r="R108" i="3"/>
  <c r="S108" i="3" s="1"/>
  <c r="P108" i="3"/>
  <c r="W107" i="3"/>
  <c r="X107" i="3" s="1"/>
  <c r="R107" i="3"/>
  <c r="S107" i="3" s="1"/>
  <c r="P107" i="3"/>
  <c r="W106" i="3"/>
  <c r="X106" i="3" s="1"/>
  <c r="R106" i="3"/>
  <c r="S106" i="3" s="1"/>
  <c r="P106" i="3"/>
  <c r="W104" i="3"/>
  <c r="X104" i="3" s="1"/>
  <c r="R104" i="3"/>
  <c r="S104" i="3" s="1"/>
  <c r="P104" i="3"/>
  <c r="W101" i="3"/>
  <c r="X101" i="3" s="1"/>
  <c r="R101" i="3"/>
  <c r="S101" i="3" s="1"/>
  <c r="P101" i="3"/>
  <c r="W99" i="3"/>
  <c r="X99" i="3" s="1"/>
  <c r="R99" i="3"/>
  <c r="S99" i="3" s="1"/>
  <c r="P99" i="3"/>
  <c r="W98" i="3"/>
  <c r="X98" i="3" s="1"/>
  <c r="R98" i="3"/>
  <c r="S98" i="3" s="1"/>
  <c r="P98" i="3"/>
  <c r="W97" i="3"/>
  <c r="X97" i="3" s="1"/>
  <c r="R97" i="3"/>
  <c r="S97" i="3" s="1"/>
  <c r="P97" i="3"/>
  <c r="W95" i="3"/>
  <c r="X95" i="3" s="1"/>
  <c r="R95" i="3"/>
  <c r="S95" i="3" s="1"/>
  <c r="P95" i="3"/>
  <c r="W94" i="3"/>
  <c r="X94" i="3" s="1"/>
  <c r="R94" i="3"/>
  <c r="S94" i="3" s="1"/>
  <c r="P94" i="3"/>
  <c r="W93" i="3"/>
  <c r="X93" i="3" s="1"/>
  <c r="R93" i="3"/>
  <c r="S93" i="3" s="1"/>
  <c r="P93" i="3"/>
  <c r="W91" i="3"/>
  <c r="X91" i="3" s="1"/>
  <c r="R91" i="3"/>
  <c r="S91" i="3" s="1"/>
  <c r="P91" i="3"/>
  <c r="W90" i="3"/>
  <c r="X90" i="3" s="1"/>
  <c r="R90" i="3"/>
  <c r="S90" i="3" s="1"/>
  <c r="P90" i="3"/>
  <c r="AB89" i="3"/>
  <c r="AA89" i="3"/>
  <c r="W89" i="3"/>
  <c r="X89" i="3" s="1"/>
  <c r="R89" i="3"/>
  <c r="S89" i="3" s="1"/>
  <c r="P89" i="3"/>
  <c r="AB88" i="3"/>
  <c r="AA88" i="3"/>
  <c r="W88" i="3"/>
  <c r="X88" i="3" s="1"/>
  <c r="R88" i="3"/>
  <c r="S88" i="3" s="1"/>
  <c r="P88" i="3"/>
  <c r="AB87" i="3"/>
  <c r="AA87" i="3"/>
  <c r="W87" i="3"/>
  <c r="X87" i="3" s="1"/>
  <c r="R87" i="3"/>
  <c r="S87" i="3" s="1"/>
  <c r="P87" i="3"/>
  <c r="AB86" i="3"/>
  <c r="AA86" i="3"/>
  <c r="W86" i="3"/>
  <c r="X86" i="3" s="1"/>
  <c r="R86" i="3"/>
  <c r="S86" i="3" s="1"/>
  <c r="P86" i="3"/>
  <c r="AB84" i="3"/>
  <c r="AA84" i="3"/>
  <c r="W84" i="3"/>
  <c r="X84" i="3" s="1"/>
  <c r="R84" i="3"/>
  <c r="S84" i="3" s="1"/>
  <c r="P84" i="3"/>
  <c r="W83" i="3"/>
  <c r="X83" i="3" s="1"/>
  <c r="R83" i="3"/>
  <c r="S83" i="3" s="1"/>
  <c r="P83" i="3"/>
  <c r="AB82" i="3"/>
  <c r="AA82" i="3"/>
  <c r="W82" i="3"/>
  <c r="X82" i="3" s="1"/>
  <c r="R82" i="3"/>
  <c r="S82" i="3" s="1"/>
  <c r="P82" i="3"/>
  <c r="AB81" i="3"/>
  <c r="AA81" i="3"/>
  <c r="W81" i="3"/>
  <c r="X81" i="3" s="1"/>
  <c r="R81" i="3"/>
  <c r="S81" i="3" s="1"/>
  <c r="P81" i="3"/>
  <c r="AB80" i="3"/>
  <c r="AA80" i="3"/>
  <c r="W80" i="3"/>
  <c r="X80" i="3" s="1"/>
  <c r="R80" i="3"/>
  <c r="S80" i="3" s="1"/>
  <c r="P80" i="3"/>
  <c r="AB79" i="3"/>
  <c r="AA79" i="3"/>
  <c r="W79" i="3"/>
  <c r="X79" i="3" s="1"/>
  <c r="R79" i="3"/>
  <c r="S79" i="3" s="1"/>
  <c r="P79" i="3"/>
  <c r="AB78" i="3"/>
  <c r="AA78" i="3"/>
  <c r="W78" i="3"/>
  <c r="X78" i="3" s="1"/>
  <c r="R78" i="3"/>
  <c r="S78" i="3" s="1"/>
  <c r="P78" i="3"/>
  <c r="AB77" i="3"/>
  <c r="AA77" i="3"/>
  <c r="W77" i="3"/>
  <c r="X77" i="3" s="1"/>
  <c r="R77" i="3"/>
  <c r="S77" i="3" s="1"/>
  <c r="P77" i="3"/>
  <c r="AB76" i="3"/>
  <c r="AA76" i="3"/>
  <c r="W76" i="3"/>
  <c r="X76" i="3" s="1"/>
  <c r="R76" i="3"/>
  <c r="S76" i="3" s="1"/>
  <c r="P76" i="3"/>
  <c r="W75" i="3"/>
  <c r="X75" i="3" s="1"/>
  <c r="S75" i="3"/>
  <c r="P75" i="3"/>
  <c r="W74" i="3"/>
  <c r="X74" i="3" s="1"/>
  <c r="R74" i="3"/>
  <c r="S74" i="3" s="1"/>
  <c r="P74" i="3"/>
  <c r="W73" i="3"/>
  <c r="X73" i="3" s="1"/>
  <c r="R73" i="3"/>
  <c r="S73" i="3" s="1"/>
  <c r="P73" i="3"/>
  <c r="W72" i="3"/>
  <c r="X72" i="3" s="1"/>
  <c r="R72" i="3"/>
  <c r="S72" i="3" s="1"/>
  <c r="P72" i="3"/>
  <c r="W71" i="3"/>
  <c r="X71" i="3" s="1"/>
  <c r="R71" i="3"/>
  <c r="S71" i="3" s="1"/>
  <c r="P71" i="3"/>
  <c r="W70" i="3"/>
  <c r="X70" i="3" s="1"/>
  <c r="R70" i="3"/>
  <c r="S70" i="3" s="1"/>
  <c r="P70" i="3"/>
  <c r="W68" i="3"/>
  <c r="X68" i="3" s="1"/>
  <c r="R68" i="3"/>
  <c r="S68" i="3" s="1"/>
  <c r="P68" i="3"/>
  <c r="Y13" i="3"/>
  <c r="G28" i="3" l="1"/>
  <c r="G19" i="3"/>
  <c r="F19" i="3"/>
  <c r="F23" i="3"/>
  <c r="G27" i="3"/>
  <c r="G23" i="3"/>
  <c r="F27" i="3"/>
  <c r="G25" i="3"/>
  <c r="F25" i="3"/>
  <c r="G26" i="3"/>
  <c r="F26" i="3"/>
  <c r="G18" i="3"/>
  <c r="F18" i="3"/>
  <c r="G24" i="3"/>
  <c r="F24" i="3"/>
  <c r="G20" i="3"/>
  <c r="F20" i="3"/>
  <c r="G22" i="3"/>
  <c r="G21" i="3"/>
  <c r="F21" i="3"/>
  <c r="F22" i="3"/>
  <c r="F28" i="3"/>
  <c r="O26" i="3"/>
  <c r="S24" i="3"/>
  <c r="O24" i="3"/>
  <c r="K24" i="3"/>
  <c r="R22" i="3"/>
  <c r="K22" i="3"/>
  <c r="Q22" i="3"/>
  <c r="J22" i="3"/>
  <c r="O22" i="3"/>
  <c r="I22" i="3"/>
  <c r="S22" i="3"/>
  <c r="M22" i="3"/>
  <c r="Q20" i="3"/>
  <c r="J20" i="3"/>
  <c r="O20" i="3"/>
  <c r="I20" i="3"/>
  <c r="S20" i="3"/>
  <c r="M20" i="3"/>
  <c r="R20" i="3"/>
  <c r="K20" i="3"/>
  <c r="O23" i="3"/>
  <c r="K23" i="3"/>
  <c r="S23" i="3"/>
  <c r="J23" i="3"/>
  <c r="R23" i="3"/>
  <c r="I23" i="3"/>
  <c r="K25" i="3"/>
  <c r="S25" i="3"/>
  <c r="O25" i="3"/>
  <c r="Q18" i="3"/>
  <c r="L18" i="3"/>
  <c r="S18" i="3"/>
  <c r="O18" i="3"/>
  <c r="J18" i="3"/>
  <c r="P18" i="3"/>
  <c r="K18" i="3"/>
  <c r="M18" i="3"/>
  <c r="R18" i="3"/>
  <c r="I18" i="3"/>
  <c r="O28" i="3"/>
  <c r="K28" i="3"/>
  <c r="Q21" i="3"/>
  <c r="J21" i="3"/>
  <c r="K21" i="3"/>
  <c r="O21" i="3"/>
  <c r="I21" i="3"/>
  <c r="S21" i="3"/>
  <c r="M21" i="3"/>
  <c r="R21" i="3"/>
  <c r="S26" i="3"/>
  <c r="Q19" i="3"/>
  <c r="K19" i="3"/>
  <c r="J19" i="3"/>
  <c r="L19" i="3"/>
  <c r="O19" i="3"/>
  <c r="I19" i="3"/>
  <c r="R19" i="3"/>
  <c r="S19" i="3"/>
  <c r="M19" i="3"/>
  <c r="K27" i="3"/>
  <c r="S27" i="3"/>
  <c r="O27" i="3"/>
  <c r="K26" i="3"/>
  <c r="P19" i="3"/>
  <c r="Q28" i="3"/>
  <c r="M28" i="3"/>
  <c r="I28" i="3"/>
  <c r="P28" i="3"/>
  <c r="L28" i="3"/>
  <c r="S28" i="3"/>
  <c r="R28" i="3"/>
  <c r="J28" i="3"/>
  <c r="Q25" i="3"/>
  <c r="M25" i="3"/>
  <c r="I25" i="3"/>
  <c r="P25" i="3"/>
  <c r="L25" i="3"/>
  <c r="R25" i="3"/>
  <c r="J25" i="3"/>
  <c r="Q26" i="3"/>
  <c r="M26" i="3"/>
  <c r="I26" i="3"/>
  <c r="P26" i="3"/>
  <c r="L26" i="3"/>
  <c r="R26" i="3"/>
  <c r="J26" i="3"/>
  <c r="Q24" i="3"/>
  <c r="M24" i="3"/>
  <c r="I24" i="3"/>
  <c r="P24" i="3"/>
  <c r="L24" i="3"/>
  <c r="R24" i="3"/>
  <c r="J24" i="3"/>
  <c r="P21" i="3"/>
  <c r="L21" i="3"/>
  <c r="Q23" i="3"/>
  <c r="M23" i="3"/>
  <c r="P23" i="3"/>
  <c r="L23" i="3"/>
  <c r="P22" i="3"/>
  <c r="L22" i="3"/>
  <c r="P20" i="3"/>
  <c r="L20" i="3"/>
  <c r="Q27" i="3"/>
  <c r="M27" i="3"/>
  <c r="I27" i="3"/>
  <c r="P27" i="3"/>
  <c r="L27" i="3"/>
  <c r="R27" i="3"/>
  <c r="J27" i="3"/>
  <c r="V20" i="3" l="1"/>
  <c r="H23" i="3"/>
  <c r="H19" i="3"/>
  <c r="W28" i="3"/>
  <c r="H28" i="3"/>
  <c r="H22" i="3"/>
  <c r="H25" i="3"/>
  <c r="H27" i="3"/>
  <c r="H24" i="3"/>
  <c r="H20" i="3"/>
  <c r="H18" i="3"/>
  <c r="H21" i="3"/>
  <c r="H26" i="3"/>
  <c r="F29" i="3"/>
  <c r="G29" i="3"/>
  <c r="X20" i="3"/>
  <c r="Y24" i="3"/>
  <c r="Y23" i="3"/>
  <c r="V22" i="3"/>
  <c r="W24" i="3"/>
  <c r="X18" i="3"/>
  <c r="V28" i="3"/>
  <c r="Y26" i="3"/>
  <c r="V18" i="3"/>
  <c r="W21" i="3"/>
  <c r="W18" i="3"/>
  <c r="W23" i="3"/>
  <c r="T19" i="3"/>
  <c r="W27" i="3"/>
  <c r="V23" i="3"/>
  <c r="Y25" i="3"/>
  <c r="X25" i="3"/>
  <c r="X19" i="3"/>
  <c r="W26" i="3"/>
  <c r="T25" i="3"/>
  <c r="X28" i="3"/>
  <c r="V19" i="3"/>
  <c r="N18" i="3"/>
  <c r="T18" i="3"/>
  <c r="T23" i="3"/>
  <c r="T24" i="3"/>
  <c r="S29" i="3"/>
  <c r="T21" i="3"/>
  <c r="V25" i="3"/>
  <c r="Y19" i="3"/>
  <c r="Y22" i="3"/>
  <c r="Y27" i="3"/>
  <c r="X22" i="3"/>
  <c r="O29" i="3"/>
  <c r="V24" i="3"/>
  <c r="Y18" i="3"/>
  <c r="U19" i="3"/>
  <c r="W19" i="3"/>
  <c r="Y21" i="3"/>
  <c r="K29" i="3"/>
  <c r="W20" i="3"/>
  <c r="U20" i="3"/>
  <c r="R29" i="3"/>
  <c r="U18" i="3"/>
  <c r="X27" i="3"/>
  <c r="T27" i="3"/>
  <c r="V27" i="3"/>
  <c r="X23" i="3"/>
  <c r="X21" i="3"/>
  <c r="X24" i="3"/>
  <c r="T26" i="3"/>
  <c r="T28" i="3"/>
  <c r="N19" i="3"/>
  <c r="U21" i="3"/>
  <c r="U23" i="3"/>
  <c r="Y20" i="3"/>
  <c r="U22" i="3"/>
  <c r="W22" i="3"/>
  <c r="U27" i="3"/>
  <c r="N27" i="3"/>
  <c r="T20" i="3"/>
  <c r="J29" i="3"/>
  <c r="W25" i="3"/>
  <c r="V26" i="3"/>
  <c r="U26" i="3"/>
  <c r="N26" i="3"/>
  <c r="Q29" i="3"/>
  <c r="N22" i="3"/>
  <c r="M29" i="3"/>
  <c r="L29" i="3"/>
  <c r="U24" i="3"/>
  <c r="N24" i="3"/>
  <c r="T22" i="3"/>
  <c r="N21" i="3"/>
  <c r="U25" i="3"/>
  <c r="N25" i="3"/>
  <c r="U28" i="3"/>
  <c r="N28" i="3"/>
  <c r="N23" i="3"/>
  <c r="V21" i="3"/>
  <c r="P29" i="3"/>
  <c r="I29" i="3"/>
  <c r="X26" i="3"/>
  <c r="N20" i="3"/>
  <c r="Y28" i="3"/>
  <c r="H29" i="3" l="1"/>
  <c r="F30" i="3"/>
  <c r="W29" i="3"/>
  <c r="V29" i="3"/>
  <c r="Y29" i="3"/>
  <c r="X29" i="3"/>
  <c r="I30" i="3"/>
  <c r="N29" i="3"/>
  <c r="O30" i="3"/>
  <c r="T29" i="3"/>
  <c r="U29" i="3"/>
  <c r="X30" i="3" l="1"/>
  <c r="U30" i="3"/>
  <c r="U31" i="3"/>
</calcChain>
</file>

<file path=xl/sharedStrings.xml><?xml version="1.0" encoding="utf-8"?>
<sst xmlns="http://schemas.openxmlformats.org/spreadsheetml/2006/main" count="9557" uniqueCount="1476">
  <si>
    <t>Printed:</t>
  </si>
  <si>
    <t>NO</t>
  </si>
  <si>
    <t>DEPT</t>
  </si>
  <si>
    <t>AREA</t>
  </si>
  <si>
    <t>Kategori</t>
  </si>
  <si>
    <t>Penting</t>
  </si>
  <si>
    <t>Biasa</t>
  </si>
  <si>
    <t>Total Ada Kontrak</t>
  </si>
  <si>
    <t>Total Tidak Ada Kontrak</t>
  </si>
  <si>
    <t>Total</t>
  </si>
  <si>
    <t>Ada Kontrak</t>
  </si>
  <si>
    <t>Tidak Ada Kontrak</t>
  </si>
  <si>
    <t>Aktif</t>
  </si>
  <si>
    <t>Kadaluarsa&lt;=0 Bulan</t>
  </si>
  <si>
    <t>End Contract</t>
  </si>
  <si>
    <t>Belum Pernah Ada Kontrak</t>
  </si>
  <si>
    <t>Cancel</t>
  </si>
  <si>
    <t>Jumlah</t>
  </si>
  <si>
    <t>PGA</t>
  </si>
  <si>
    <t>GA</t>
  </si>
  <si>
    <t>SHE</t>
  </si>
  <si>
    <t>EXIM</t>
  </si>
  <si>
    <t>MPC</t>
  </si>
  <si>
    <t>HR</t>
  </si>
  <si>
    <t>QA</t>
  </si>
  <si>
    <t>LD</t>
  </si>
  <si>
    <t>IT</t>
  </si>
  <si>
    <t>PPC</t>
  </si>
  <si>
    <t>LOG</t>
  </si>
  <si>
    <t>MTP</t>
  </si>
  <si>
    <t>PE</t>
  </si>
  <si>
    <t>FA</t>
  </si>
  <si>
    <t>Ketarangan:</t>
  </si>
  <si>
    <t>Font biru</t>
  </si>
  <si>
    <t>: Penting</t>
  </si>
  <si>
    <t>: masih berlaku</t>
  </si>
  <si>
    <t>: kontrak belum pernah ada</t>
  </si>
  <si>
    <t>: kadaluarsa/ masa berlaku habis</t>
  </si>
  <si>
    <t>: masa berlaku &lt;4 bulan</t>
  </si>
  <si>
    <t>: end contract</t>
  </si>
  <si>
    <t>: cancel</t>
  </si>
  <si>
    <t>FILING HARDCOPY</t>
  </si>
  <si>
    <t>NILAI KONTRAK　価格</t>
  </si>
  <si>
    <t>PERIODE　契約期間</t>
  </si>
  <si>
    <t>PRIORITAS　優先順位</t>
  </si>
  <si>
    <t>LOKASI</t>
  </si>
  <si>
    <t>BINDER</t>
  </si>
  <si>
    <t>NO PERJANJIAN
契約番号</t>
  </si>
  <si>
    <t>NAMA PERJANJIAN
契約名</t>
  </si>
  <si>
    <t>VENDOR/SUPPLIER
業者名</t>
  </si>
  <si>
    <t>PRODUK
契約対象</t>
  </si>
  <si>
    <t>KONTAK PERSON
取引先の担当者</t>
  </si>
  <si>
    <t>RP</t>
  </si>
  <si>
    <t>PER</t>
  </si>
  <si>
    <t>MULAI</t>
  </si>
  <si>
    <t>AKHIR</t>
  </si>
  <si>
    <t>PERIODE (Tahun)</t>
  </si>
  <si>
    <t>PIC AREA
ユーザ</t>
  </si>
  <si>
    <t>SISA MASA BERLAKU (bulan)
切れるまでのタイミング</t>
  </si>
  <si>
    <t>AVAILABILITY
現状
O = Available
X = Not Available
Y = Kadaluarsa
Z = End Contract
C = Cancel</t>
  </si>
  <si>
    <t>Q</t>
  </si>
  <si>
    <t>C</t>
  </si>
  <si>
    <t>D</t>
  </si>
  <si>
    <t>SKOR</t>
  </si>
  <si>
    <t>KATEGORI</t>
  </si>
  <si>
    <t>REMARK
備考</t>
  </si>
  <si>
    <t>V=Review</t>
  </si>
  <si>
    <t>KET</t>
  </si>
  <si>
    <t>BULAN</t>
  </si>
  <si>
    <t>PIC PROSES
SAMIの担当者</t>
  </si>
  <si>
    <t>V = ADA
X = TIDAK ADA</t>
  </si>
  <si>
    <t>Approval by</t>
  </si>
  <si>
    <t>Approval date</t>
  </si>
  <si>
    <t>Password</t>
  </si>
  <si>
    <t>TF</t>
  </si>
  <si>
    <t>-</t>
  </si>
  <si>
    <t>GJ Iwan Hardjasudarma</t>
  </si>
  <si>
    <t>1 unit Apartemen Barong Unit A Lt.1</t>
  </si>
  <si>
    <t>Iwan, 0816666608, (024)3542202
iwanhardjasudarma@gmail.com</t>
  </si>
  <si>
    <t>End</t>
  </si>
  <si>
    <t>WIN</t>
  </si>
  <si>
    <t>V</t>
  </si>
  <si>
    <t>R</t>
  </si>
  <si>
    <t>Sewa Apartemen (Suzuki)</t>
  </si>
  <si>
    <t>GJ Iwan Hardjasudarma &amp; A. Ira Ananta Arman</t>
  </si>
  <si>
    <t>1 tahun</t>
  </si>
  <si>
    <t>New</t>
  </si>
  <si>
    <t>Tatsuya Matsushita</t>
  </si>
  <si>
    <t>1 unit Apartemen Barong Unit F Lt.3</t>
  </si>
  <si>
    <t>Sewa Apartemen (Kenta Kuroda)</t>
  </si>
  <si>
    <t>Chris Christopher</t>
  </si>
  <si>
    <t>1 unit Apartemen Bromo Unit A Lt.1</t>
  </si>
  <si>
    <t>Chris, 087831045578
chris_24c@yahoo.com</t>
  </si>
  <si>
    <t>Sewa Apartemen (Teppei Mimura)</t>
  </si>
  <si>
    <t>1 unit Apartemen Bromo unit E Lt. 2</t>
  </si>
  <si>
    <t>1 unit Apartemen Barong Unit D Lt.2</t>
  </si>
  <si>
    <t>1 bulan</t>
  </si>
  <si>
    <t>Sewa Apartemen (Toru Yamamoto)</t>
  </si>
  <si>
    <t>Sewa Apartemen (Kato Kenta)</t>
  </si>
  <si>
    <t>1 unit Apartemen Bromo Unit C Lt.1</t>
  </si>
  <si>
    <t>Nozomi Kawasaki</t>
  </si>
  <si>
    <t>Sewa Apartemen (Tatsuya Matsushita)</t>
  </si>
  <si>
    <t>1 unit Apartemen Bromo Unit B Lt.1</t>
  </si>
  <si>
    <t>Sewa Apartemen (Katsuhito Gonda)</t>
  </si>
  <si>
    <t>1 unit Apartemen Barong Unit C Lt. 2</t>
  </si>
  <si>
    <t>Sewa Apartemen (Nozomi Kawazaki)</t>
  </si>
  <si>
    <t>PT. Parama Dewa Raharja</t>
  </si>
  <si>
    <t>1 unit Apartemen Parama Graha, Suite no. 103</t>
  </si>
  <si>
    <t>Sewa Apartemen (Kishimoto)</t>
  </si>
  <si>
    <t>Anastasia Ira Ananta Arman</t>
  </si>
  <si>
    <t>008/LT/LGL.SS.SMG-317/II/2022</t>
  </si>
  <si>
    <t>Sewa Kendaraan (Operasional SAMI-TF)</t>
  </si>
  <si>
    <t>PT. Surya Sudeco (Tunas Rental)</t>
  </si>
  <si>
    <t>2 unit Mobil Toyota New Avanza 1.5 M/T Tahun 2022</t>
  </si>
  <si>
    <t>Dewi Sidomukti, (024)6721758
dewi.sidomukti@intra.tunasgroup.com</t>
  </si>
  <si>
    <t>1 unit/bulan</t>
  </si>
  <si>
    <t>New (gabung)</t>
  </si>
  <si>
    <t>072/LT//LGL.SS.SMG-317/XI/2020</t>
  </si>
  <si>
    <t>Sewa Kendaraan (Tadahiko Kotoda/ Nozomi Kawasaki)</t>
  </si>
  <si>
    <t>Mobil Toyota All New Kijang Innova 2.0 M/T Luxury</t>
  </si>
  <si>
    <t>065/LT/SS-SMG-317/XI/2018</t>
  </si>
  <si>
    <t>Sewa Kendaraan (Tatsuya Matsushita)</t>
  </si>
  <si>
    <t>Mobil All New Innova Venturer 2.0 A/T 2018 H-8827-ZP</t>
  </si>
  <si>
    <t>move to JF</t>
  </si>
  <si>
    <t>009/LT/LGL.SS.SMG-3317/II/2022</t>
  </si>
  <si>
    <t>Sewa Kendaraan (Kenta Kato)</t>
  </si>
  <si>
    <t>Mobil Toyota New Veloz 1.5 M/T Tahun 2022</t>
  </si>
  <si>
    <t>059/LT/SS-SMG-317/IX/2020</t>
  </si>
  <si>
    <t>Sewa Kendaraan (Takashi Nagamori/ Toru Yamamoto)</t>
  </si>
  <si>
    <t>Mobil Mitsubishi Xpander Exceed M/T 2018 H-9126-YP</t>
  </si>
  <si>
    <t>Sewa Kendaraan (Kenta Kuroda)</t>
  </si>
  <si>
    <t>001/LT/LGL.SS.SMG-317/I/2021</t>
  </si>
  <si>
    <t>Mobil Toyota Avanza Grand New Veloz 1.5 M/T 2020</t>
  </si>
  <si>
    <t>038/LT/LGL.SS.SMG-317/VII/2021</t>
  </si>
  <si>
    <t>Sewa Kendaraan (Kishimoto)</t>
  </si>
  <si>
    <t>Mobil Toyota Avanza Grand New Veloz 1.5 M/T 2021</t>
  </si>
  <si>
    <t>084/LT/LGL.SS.SMG-317/XII/2020</t>
  </si>
  <si>
    <t>Sewa Kendaraan (Suzuki)</t>
  </si>
  <si>
    <t>1200004247/LEG/XI/14</t>
  </si>
  <si>
    <t>Sewa Kendaraan (Bambang Rianto)</t>
  </si>
  <si>
    <t>PT. Adi Sarana Armada</t>
  </si>
  <si>
    <t>004/LT/SS-SMG-317/I/2020</t>
  </si>
  <si>
    <t>Sewa Kendaraan (Teppei Mimura)</t>
  </si>
  <si>
    <t>Mobil Toyota All New Innova 2.0 V M/T</t>
  </si>
  <si>
    <t>005/LT/SS-SMG-317/I/2020</t>
  </si>
  <si>
    <t>Sewa Kendaraan (Katsuhito Gonda)</t>
  </si>
  <si>
    <t>Mobil Toyota All New Innova 2.0 G M/T</t>
  </si>
  <si>
    <t>LT-1121.1210059735-1</t>
  </si>
  <si>
    <t>Sewa Kendaraan (Mansur Isnaeni)</t>
  </si>
  <si>
    <t>Mobil Toyota New Innova 2.0 V A/T
B-2959-UFB</t>
  </si>
  <si>
    <t>X</t>
  </si>
  <si>
    <t>052/LT/SS-SMG-317/VI/2022</t>
  </si>
  <si>
    <t>Mobil Toyota New Innova 2.0 V A/T tahun 2022</t>
  </si>
  <si>
    <t>024/LT/SS-SMG-317/IV/2021</t>
  </si>
  <si>
    <t>Sewa Kendaraan (Ahmad Mubarak)</t>
  </si>
  <si>
    <t>Mobil Toyota Avanza Grand New Veloz 1.5 A/T</t>
  </si>
  <si>
    <t>057/LT/SS-SMG-317/IX/2021</t>
  </si>
  <si>
    <t>Sewa Kendaraan (Agus Nugroho)</t>
  </si>
  <si>
    <t>Mobil Toyota Avanza Grand New Veloz 1.5 A/T GR Limited 2021</t>
  </si>
  <si>
    <t>053/LT/SS-SMG-317/VI/2022</t>
  </si>
  <si>
    <t>Sewa Kendaraan (Ari Wijayanti)</t>
  </si>
  <si>
    <t>Mobil Toyota New Veloz 1.5 Q CVT TSS tahun 2022</t>
  </si>
  <si>
    <t>061/LT/SS-SMG-317/VII/2022</t>
  </si>
  <si>
    <t>Sewa Kendaraan (Yoen Yoedono S)</t>
  </si>
  <si>
    <t>SAMI/LKM-LA/06-2022/071</t>
  </si>
  <si>
    <t>Kontrak Perjanjian Cleaning Servise SAMI Tugu</t>
  </si>
  <si>
    <t>PT. Bintara Mitra Andalan</t>
  </si>
  <si>
    <t>Gardener</t>
  </si>
  <si>
    <t>STI</t>
  </si>
  <si>
    <t>SAMI/LKM-LA/12-2021/122</t>
  </si>
  <si>
    <t>PT. Amazon Karya Elok Daya Mandiri</t>
  </si>
  <si>
    <t>Cleaning servis outside (kecuali gardener), inside, polytainer, sewa washroom &amp; pest control</t>
  </si>
  <si>
    <t>Budi, 08157700609</t>
  </si>
  <si>
    <t>Tenaga pengamanan (Security) SAMI-TF</t>
  </si>
  <si>
    <t>SAMI/LKM-LA/12-2021/117</t>
  </si>
  <si>
    <t>Penyediaan dan pengelolaan personil satpam</t>
  </si>
  <si>
    <t>SAMI/LKM-LA/08-2022/097</t>
  </si>
  <si>
    <t>Pengolahan Sampah SAMI-TF</t>
  </si>
  <si>
    <t>PT. Eben Haezer</t>
  </si>
  <si>
    <t>Pengelolaan sampah</t>
  </si>
  <si>
    <t>Agus Suriyanto, (0295)4746122
08122847819</t>
  </si>
  <si>
    <t>SAMI/LKM-LA/11-2021/099</t>
  </si>
  <si>
    <t>Pembuatan Seragam Karyawan dan barang lain dari kain</t>
  </si>
  <si>
    <t>CV. Cipta Cemerlang Abadi</t>
  </si>
  <si>
    <t>seragam, rompi, wearpack, bendera, celemek, topi, dll</t>
  </si>
  <si>
    <t>Rohmat, 085727198941, 085105729200
rohmatcca69@gmail.com</t>
  </si>
  <si>
    <t>Lampiran</t>
  </si>
  <si>
    <t>tidak diperpanjang
bad performance</t>
  </si>
  <si>
    <t>FYH
NZA</t>
  </si>
  <si>
    <t>Perjanjian Sambungan Telkom</t>
  </si>
  <si>
    <t>PT. Telkom</t>
  </si>
  <si>
    <t>Sambungan telekomunikasi</t>
  </si>
  <si>
    <t>FYH</t>
  </si>
  <si>
    <t>GARUDA/DPSAM/20029/2022</t>
  </si>
  <si>
    <t>Coorporate Garuda Indonesia</t>
  </si>
  <si>
    <t>PT. Garuda Indonesia (Persero) Tbk.</t>
  </si>
  <si>
    <t>Diskon harga tiket pesawat Garuda</t>
  </si>
  <si>
    <t>Rachel Jessica
rachel.jessica@garuda-indonesia
081210801223</t>
  </si>
  <si>
    <t>Perjanjian Pengelolaan Cafetaria Tugu</t>
  </si>
  <si>
    <t>Pengelolaan Cafetaria</t>
  </si>
  <si>
    <t>SAMI/LKM-LA/02-2022/016</t>
  </si>
  <si>
    <t>Koperasi SAMI Mart</t>
  </si>
  <si>
    <t>Sulis Hariyanto</t>
  </si>
  <si>
    <t>SAMI/LKM-LA/06-2022/077</t>
  </si>
  <si>
    <t>Pembelian</t>
  </si>
  <si>
    <t>susu prenagen &amp; susu realgood</t>
  </si>
  <si>
    <t>9.800
2.000</t>
  </si>
  <si>
    <t>prenagen
real good</t>
  </si>
  <si>
    <t>0312/III/AZ-SAMI-SMG/I/2022</t>
  </si>
  <si>
    <t>Kerjasama Tenaga Masak Expat</t>
  </si>
  <si>
    <t>Tenaga masak</t>
  </si>
  <si>
    <t>Budi Sanyoto
024-8412753
az.dayamandiri@gmail.com</t>
  </si>
  <si>
    <t>SAMI/LKM-LA/08-2022/099</t>
  </si>
  <si>
    <t>Pembersihan kipas angin</t>
  </si>
  <si>
    <t>pembersihan kipas angin</t>
  </si>
  <si>
    <t>37.500
42.500</t>
  </si>
  <si>
    <t>weekday
weekend</t>
  </si>
  <si>
    <t>S</t>
  </si>
  <si>
    <t>Agen Property</t>
  </si>
  <si>
    <t>PT. Karunia Sola Gratia (LJ Hooker Semarang Kota)</t>
  </si>
  <si>
    <t>Jasa pemasaran penjualan tanah milik PT SAMI di Bergas</t>
  </si>
  <si>
    <t>Thio Mei Lan
ljhsemarangkota@gmail.com
024-8410099</t>
  </si>
  <si>
    <t>nilai jual</t>
  </si>
  <si>
    <t>tidak diperpanjang, ganti vendor</t>
  </si>
  <si>
    <t>AWI</t>
  </si>
  <si>
    <t>SAMI/LKM-LA/10-2021/084</t>
  </si>
  <si>
    <t>Sewa Printer</t>
  </si>
  <si>
    <t>CV. Mitra Media Sukses</t>
  </si>
  <si>
    <t>Printer 20 unit</t>
  </si>
  <si>
    <t>Toni Rahmawan
mitramedia.computer@yahoo.com
081904300844</t>
  </si>
  <si>
    <t>400.000
300.000</t>
  </si>
  <si>
    <t>1 Printer off
1 Printer prd</t>
  </si>
  <si>
    <t>SAMI/LKM-LA/07-2022/088</t>
  </si>
  <si>
    <t>Preventive Komputer</t>
  </si>
  <si>
    <t>preventive dan maintenance komputer</t>
  </si>
  <si>
    <t>Toni Rahmawan
toniwaeyoo@yahoo.com
081904300844</t>
  </si>
  <si>
    <t>AKA</t>
  </si>
  <si>
    <t>SAMI/LKM-LA/07-2022/085</t>
  </si>
  <si>
    <t>Service dan Overhaul AC</t>
  </si>
  <si>
    <t>CV. Mukti Utama Jaya</t>
  </si>
  <si>
    <t>Service dan overhaul AC Split sebanyak 43 unit</t>
  </si>
  <si>
    <t>Angga Mardian
cv.muktiutama2010@gmail.com
024-8452307</t>
  </si>
  <si>
    <t>107.000
1.600.000</t>
  </si>
  <si>
    <t>service
overhaul</t>
  </si>
  <si>
    <t>Kawasaki Nozomi</t>
  </si>
  <si>
    <t>SAMI/LKM-LA/07-2022/092</t>
  </si>
  <si>
    <t>CV. Putra Pandawa</t>
  </si>
  <si>
    <t>Service dan overhaul AC Cassete sebanyak 18 unit</t>
  </si>
  <si>
    <t>Basith Sulistyo Martdhiko
basit.sulistyo@gmail.com
085641014714</t>
  </si>
  <si>
    <t>226.800
2.600.000</t>
  </si>
  <si>
    <t>SAMI/LKM-LA/07-2022/090</t>
  </si>
  <si>
    <t>Preventive IPAL</t>
  </si>
  <si>
    <t>PT. Taiyo Sinar Raya Teknik</t>
  </si>
  <si>
    <t>perwawatan IPAL periodik STP BJ-10, BJ-100 &amp; BJ-150 selama 1 tahun</t>
  </si>
  <si>
    <t>Mohammad Agung Wijaya
021-5253400 / 021-88325503
agungwijaya@tsrt.co.id</t>
  </si>
  <si>
    <t>SAMI/LKM-LA/06-2022/040</t>
  </si>
  <si>
    <t>Sewa Mesin fotocopy</t>
  </si>
  <si>
    <t>CV. Dea Copier</t>
  </si>
  <si>
    <t>1 unit mesin konica minolta bizhub 554e dan 1 unit mesin konica minolta bizhub 362 backup</t>
  </si>
  <si>
    <t>tata9wib1278@gmail.com
081 2253 2554</t>
  </si>
  <si>
    <t>SAMI/LKM-LA/06-2020/066</t>
  </si>
  <si>
    <t>CV. Acindo Perkasa</t>
  </si>
  <si>
    <t>4 unit AC ruang GA, IT, Traning</t>
  </si>
  <si>
    <t>Afan Haryono
acindoperkasa@gmail.com
081901027575</t>
  </si>
  <si>
    <t>4 unit</t>
  </si>
  <si>
    <t>garansi pemasangan 6 bulan
garansi elektronik 1 tahun
garansi compresor outdor 3 tahun</t>
  </si>
  <si>
    <t>SAMI/LKM-LA/09-2021/078</t>
  </si>
  <si>
    <t>Pengurusan SLF</t>
  </si>
  <si>
    <t>CV. Reswara Praptama</t>
  </si>
  <si>
    <t>Pengurusan SLF termasuk Andalalin dan Rekom Kebakaran</t>
  </si>
  <si>
    <t>Wahyu Siswoyo
089601903678
wahyu.reswara@gmail.com</t>
  </si>
  <si>
    <t>SAMI/LKM-LA/10-2021/085</t>
  </si>
  <si>
    <t>Pembuatan Ram Gutter</t>
  </si>
  <si>
    <t>CV. Sangroni Putra</t>
  </si>
  <si>
    <t>Pekerjaan pembuatan dan jasa pemasangan ram goter</t>
  </si>
  <si>
    <t>Imam Hidayat
sangroniputra@gmail.com
081320410997</t>
  </si>
  <si>
    <t>garansi 6 bulan</t>
  </si>
  <si>
    <t>SAMI/LKM-LA/06-2022/041</t>
  </si>
  <si>
    <t>garansi material 1 tahun
garansi pekerjaan 3 bulan</t>
  </si>
  <si>
    <t>SAMI/LKM-LA/01-2022/012</t>
  </si>
  <si>
    <t>Pembuatan Kanopi</t>
  </si>
  <si>
    <t>Pekerjaan pembuatan kanopi samping mushola</t>
  </si>
  <si>
    <t>pekerjaan</t>
  </si>
  <si>
    <t>SAMI/LKM-LA/10-2021/080</t>
  </si>
  <si>
    <t>CV. Bie Jav Engineering</t>
  </si>
  <si>
    <t>Pembelian dan jasa pemasangan lampu jalan</t>
  </si>
  <si>
    <t>Triesal
biejav@gmail.com
024-76332280</t>
  </si>
  <si>
    <t>10 set</t>
  </si>
  <si>
    <t>garansi lampu 3 tahun
garansi pemasangan 6 bulan</t>
  </si>
  <si>
    <t>SAMI/LKM-LA/10-2021/083</t>
  </si>
  <si>
    <t>Perbaikan plafon</t>
  </si>
  <si>
    <t>CV. Karya Tuwuh</t>
  </si>
  <si>
    <t>Pekerjaan penggantian plafon PVC rest area depan kantin</t>
  </si>
  <si>
    <t>Suryadi
karyatuwuh01@gmail.com
085881114328</t>
  </si>
  <si>
    <t>2072/AJS/PS-A/XI/2021</t>
  </si>
  <si>
    <t>CV. Aneka Jaya</t>
  </si>
  <si>
    <t>3.725 paket sembako</t>
  </si>
  <si>
    <t>paket</t>
  </si>
  <si>
    <t>SAMI/LKM-LA/11-2021/093</t>
  </si>
  <si>
    <t>PT. Maxima Surya Abadi</t>
  </si>
  <si>
    <t>46 komputer &amp; 8 laptop</t>
  </si>
  <si>
    <t>Hamsyah Irawan
irhamsyah@maxsa.co.id
031-9925707</t>
  </si>
  <si>
    <t>15.940.000
24.000.000</t>
  </si>
  <si>
    <t>komputer
laptop</t>
  </si>
  <si>
    <t>SAMI/LKM-LA/06-2022/080</t>
  </si>
  <si>
    <t>85 komputer &amp; 11 laptop</t>
  </si>
  <si>
    <t>16.340.000
23.900.000</t>
  </si>
  <si>
    <t>garansi 1 tahun</t>
  </si>
  <si>
    <t>SAMI/LKM-LA/12-2021/126</t>
  </si>
  <si>
    <t>SAMI/LKM-LA/08-2022/096</t>
  </si>
  <si>
    <t>Pekerjaan Instalasi Pipa Hidran</t>
  </si>
  <si>
    <t>pekerjaan instalasi pipa hidran</t>
  </si>
  <si>
    <t>Triesal
biejav@gmail.com
0898 54 50444</t>
  </si>
  <si>
    <t>garansi material 1 tahun
garansi maintenance 2 tahun</t>
  </si>
  <si>
    <t>SAMI/LKM-LA/06-2022/083</t>
  </si>
  <si>
    <t>Pembuatan tandon air hujan</t>
  </si>
  <si>
    <t>PT. Tajako Abadi Sejahtera Group</t>
  </si>
  <si>
    <t>pekerjaan pembuatan tandon air hujan</t>
  </si>
  <si>
    <t>Indah Wati
pttajakoabadisejahteragroup@gmail.com
024-7612557</t>
  </si>
  <si>
    <t>garansi pekerjaan 1 tahun</t>
  </si>
  <si>
    <t>Perangkat komputer</t>
  </si>
  <si>
    <t>Base on quotation letter</t>
  </si>
  <si>
    <t>SAMI/LKM-LA/06/2022/062</t>
  </si>
  <si>
    <t>CV. Abasis Solusi Mandiri</t>
  </si>
  <si>
    <t>Perangkat lunak komputer</t>
  </si>
  <si>
    <t>Ahmad Sopian,
081219510096</t>
  </si>
  <si>
    <t>SAMI/LKM-LA/06-2022/070</t>
  </si>
  <si>
    <t>CV. Anugrah Agung</t>
  </si>
  <si>
    <t>alat listrik, material perawatan gedung &amp; sanitari, alat teknik</t>
  </si>
  <si>
    <t>Wahyu
anugrahagung_adm@yahoo.com
024-76489095 / 76489096</t>
  </si>
  <si>
    <t>SAMI/LKM-LA/07-2020/086</t>
  </si>
  <si>
    <t>CV. Anugrah Sentosa</t>
  </si>
  <si>
    <t>safety shoes &amp; sarung tangan</t>
  </si>
  <si>
    <t>Carina Kusumaningrum.
024-3560445
anugrahsentosasmg@gmail.com</t>
  </si>
  <si>
    <t>ganti dari CV ke PT. Anugrah Sentosa Proteksindo</t>
  </si>
  <si>
    <t>PT. Anugrah Sentosa Proteksindo</t>
  </si>
  <si>
    <t>Sarung tangan comet</t>
  </si>
  <si>
    <t>Rahmat Suwitono
024-3560445</t>
  </si>
  <si>
    <t>SAMI/LKM-LA/06-2022/046</t>
  </si>
  <si>
    <t>CV. Cahaya Purnama Mentari</t>
  </si>
  <si>
    <t>Stiker &amp; Plastik</t>
  </si>
  <si>
    <t>Akhid</t>
  </si>
  <si>
    <t>FYH
TOY</t>
  </si>
  <si>
    <t>Servis air compressor dan air dryer</t>
  </si>
  <si>
    <t>Taryono
(024)76727414</t>
  </si>
  <si>
    <t>JAW</t>
  </si>
  <si>
    <t>SAMI/LKM-LA/06-2022/055</t>
  </si>
  <si>
    <t>CV. Central Java Engineering</t>
  </si>
  <si>
    <t>1 unit air compressor GA90VSD Atlas Copco dan 1 unit air dryer FX16 Atlas Copco</t>
  </si>
  <si>
    <t>SAMI/LKM-LA/06-2022/079</t>
  </si>
  <si>
    <t>PT. Kobelindo Compressors</t>
  </si>
  <si>
    <t>1 unit compresscor dan 1 unit air dryer merk Cobelco</t>
  </si>
  <si>
    <t>Aziz/Santra
semarang@kobelindo.co.id
024-7605446</t>
  </si>
  <si>
    <t>2.545.000
53.863.600</t>
  </si>
  <si>
    <t>jasa
sparepart</t>
  </si>
  <si>
    <t>SAMI/LKM-LA/04-2019/036</t>
  </si>
  <si>
    <t>CV. Gema Insan Mandiri</t>
  </si>
  <si>
    <t>hasil review bulan januari, tidak diperpanjang transaksi tidak rutin</t>
  </si>
  <si>
    <t>Hiroshi Yamashita</t>
  </si>
  <si>
    <t>SAMI/LKM-LA/06-2020/079</t>
  </si>
  <si>
    <t>CV. Jaya Protect</t>
  </si>
  <si>
    <t>Refill APAR</t>
  </si>
  <si>
    <t>Marno,
024-76485055
jayaprotect@yahoo.co.id</t>
  </si>
  <si>
    <t>Tidak diperpanjang
ganti nama PT. Aman Multi Indonesia</t>
  </si>
  <si>
    <t>002/CV/JJA/KDL/IV/'19
SAMI/LKM-LA/05-2019/050</t>
  </si>
  <si>
    <t>CV. JTWO Jaya Abadi</t>
  </si>
  <si>
    <t>jasa advertising/ barang cetakan</t>
  </si>
  <si>
    <t>Moh. Adib
082113425503
mohadib371@gmail.com</t>
  </si>
  <si>
    <t>tidak diperpanjang
transaksi tidak rutin</t>
  </si>
  <si>
    <t>SAMI/LKM-LA/06-2022/068</t>
  </si>
  <si>
    <t>CV. Mitra Teknik</t>
  </si>
  <si>
    <t>perangkat keamanan seperti cctv, alarm, akses door, dll</t>
  </si>
  <si>
    <t>Romi,
024-7609131
info@mitrateknik.co.id</t>
  </si>
  <si>
    <t>SAMI/LKM-LA/06-2022/058</t>
  </si>
  <si>
    <t>CV. Mustika Rajawali</t>
  </si>
  <si>
    <t>Refill toner dan sparepart</t>
  </si>
  <si>
    <t>Ery Dwi Wahyuni,
085100560656/085100173728</t>
  </si>
  <si>
    <t>SAMI/LKM-LA/06-2022/048</t>
  </si>
  <si>
    <t>CV. Prema Jaya</t>
  </si>
  <si>
    <t>label box</t>
  </si>
  <si>
    <t>Budi Dwi Priyanto
08164888581/085100127029
premajaya_1970@yahoo.com</t>
  </si>
  <si>
    <t>SAMI/LKM-LA/05-2019/045</t>
  </si>
  <si>
    <t>CV. Prima Engineering</t>
  </si>
  <si>
    <t>spare part industri</t>
  </si>
  <si>
    <t>Prasetyo
087731733313
rudigloyor@ymail.com</t>
  </si>
  <si>
    <t>SAMI/LKM-LA/06-2022/047</t>
  </si>
  <si>
    <t>CV. Sarana Mitra Sejahtera</t>
  </si>
  <si>
    <t>perlengkapan kantor, peralatan kerja</t>
  </si>
  <si>
    <t>Hary, 081325144858/085865734858
harry_saranams@yahoo.com</t>
  </si>
  <si>
    <t>base on quotation &amp; lampiran</t>
  </si>
  <si>
    <t>FYH
TOY
NZA</t>
  </si>
  <si>
    <t>SAMI/LKM-LA/06-2022/060</t>
  </si>
  <si>
    <t>CV. Sentral Teknik Utama</t>
  </si>
  <si>
    <t>perkakas industri dan jasa instalasi listrik</t>
  </si>
  <si>
    <t>Eko Wibowo
024-76921544
sentral.teknik.utama@gmail.com</t>
  </si>
  <si>
    <t>SAMI/LKM-LA/06-2022/061</t>
  </si>
  <si>
    <t>CV. Sumber Rejeki</t>
  </si>
  <si>
    <t>perkakas industri</t>
  </si>
  <si>
    <t>Eko Kristianto
08987000054
cvsumberrejeki007@gmail.com</t>
  </si>
  <si>
    <t>SAMI/LKM-LA/11-2018/099</t>
  </si>
  <si>
    <t>CV. Xpit Pilar</t>
  </si>
  <si>
    <t>Perangkat komputer &amp; jaringan</t>
  </si>
  <si>
    <t>Budi, 081225048910</t>
  </si>
  <si>
    <t>CV. Gusmanto Kedungombo Putro</t>
  </si>
  <si>
    <t>Air Bersih</t>
  </si>
  <si>
    <t>Gusmanto
081390497282
yunantohandoko4682@gmail.com</t>
  </si>
  <si>
    <t>8m3</t>
  </si>
  <si>
    <t>CV. Kembar Putra Makmur</t>
  </si>
  <si>
    <t>Sairah Riyanti
081904410877
cheche.riyanti5@gmail.com</t>
  </si>
  <si>
    <t>SAMI/LKM-LA/11-2021/096</t>
  </si>
  <si>
    <t>CV. Elang Jagad Group</t>
  </si>
  <si>
    <t>Raeka Angel Setyowati
082133902979
elangjagadgroup21@gmail.com</t>
  </si>
  <si>
    <t>tidak diperpanjang
performance buruk</t>
  </si>
  <si>
    <t>Tunggak Semi Floris</t>
  </si>
  <si>
    <t>Tanaman</t>
  </si>
  <si>
    <t>Mardi
pakmardi298@gmail.com
085640212218</t>
  </si>
  <si>
    <t>PT. Aman Multi Indonesia</t>
  </si>
  <si>
    <t>Marnoto
081575383875
amanmultiindonesia@gmail.com</t>
  </si>
  <si>
    <t>SAMI/LKM-LA/12-2021/125</t>
  </si>
  <si>
    <t>Jasa kalibrasi dan preventive screwdriver desoutter</t>
  </si>
  <si>
    <t>PT. Atlas Copco Indonesia</t>
  </si>
  <si>
    <t>kalibrasi &amp; preventive screwdriver desoutter</t>
  </si>
  <si>
    <t>eko, 08118470756
eko.sarjono@desouttertools.com</t>
  </si>
  <si>
    <t>AZP</t>
  </si>
  <si>
    <t>SAMI/LKM-LA/12-2021/119</t>
  </si>
  <si>
    <t>Jasa kalibrasi</t>
  </si>
  <si>
    <t>PT. Anametri Metrologi Indonesia</t>
  </si>
  <si>
    <t>kalibrasi voltage tester, push pull tester, tube gauge, dll</t>
  </si>
  <si>
    <t>Dita permana putra
anametrimetrologi@gmail.com
sekretariat@anametri.com
024 76402446</t>
  </si>
  <si>
    <t>Jasa Kalibrasi</t>
  </si>
  <si>
    <t>Kalibrasi survey meter/ pendose</t>
  </si>
  <si>
    <t>SAMI/LKM-LA/08-2022/098</t>
  </si>
  <si>
    <t>CV. Cahaya Nuklida Persada</t>
  </si>
  <si>
    <t>SAMI/LKM-LA/06-2022/076</t>
  </si>
  <si>
    <t>PT. Caltesys Indonesia</t>
  </si>
  <si>
    <t>Kalibrasi alat ukur</t>
  </si>
  <si>
    <t>Yunus Rahadiono
yunus@catesys.com
024 76431688</t>
  </si>
  <si>
    <t>USI-1014/1118</t>
  </si>
  <si>
    <t>Sertifikasi IATF 16949:2016 &amp; ISO 9001:2015</t>
  </si>
  <si>
    <t>PT. URS Service Indonesia</t>
  </si>
  <si>
    <t>- 87.500.000
- 66.500.000
- 66.500.000</t>
  </si>
  <si>
    <t>-Recertification
-Audit surveillance 2023
-Audit surveillance 2024</t>
  </si>
  <si>
    <t>DMJ</t>
  </si>
  <si>
    <t>Register DUNS Number</t>
  </si>
  <si>
    <t>PT. D&amp;B Indonesia</t>
  </si>
  <si>
    <t>Sertifikat DUNS</t>
  </si>
  <si>
    <t>otomatis perpanjang untuk 1 tahun berikutnya</t>
  </si>
  <si>
    <t>SAMI/LKM-LA/06-2022/063</t>
  </si>
  <si>
    <t>PT. Autojaya Idetech</t>
  </si>
  <si>
    <t>barang elektronik dan perlengkapan komputer</t>
  </si>
  <si>
    <t>Adrian Dewantoro
adrian.d@acsgroup.co.id
024-76638095/93</t>
  </si>
  <si>
    <t>SAMI/LKM-LA/05-2019/054</t>
  </si>
  <si>
    <t>PT. Bino Mitra Sejati</t>
  </si>
  <si>
    <t>perlengkapan kantor merk Bantex</t>
  </si>
  <si>
    <t>Fendi Firmansyah
adm.binosemarang@gmail.com
024-7627367</t>
  </si>
  <si>
    <t>SAMI/LKM-LA/11-2021/111</t>
  </si>
  <si>
    <t>PT. Central Plotter Indonesia</t>
  </si>
  <si>
    <t>tinta ploter &amp; printhead</t>
  </si>
  <si>
    <t>Zera Donna
zera@centralplotter.com
021 8309744</t>
  </si>
  <si>
    <t>SAMI/LKM-LA/06-2022/059</t>
  </si>
  <si>
    <t>PT. Gading Murni</t>
  </si>
  <si>
    <t>alat tulis kantor</t>
  </si>
  <si>
    <t>Venny Adrianto
031-5474461
venny@gadingmurni.co.id</t>
  </si>
  <si>
    <t>SAMI/LKM-LA/06-2022/064</t>
  </si>
  <si>
    <t>PT. Global Deals Asia</t>
  </si>
  <si>
    <t>Calibration tools</t>
  </si>
  <si>
    <t>Robert Handoyo Susetyo
021-59892241
robert@globaldeals.asia</t>
  </si>
  <si>
    <t>SAMI/LKM-LA/09-2022/103</t>
  </si>
  <si>
    <t>1 unit micro computer universal testing machine, include 1 set grip cap. 2-200 Kgf</t>
  </si>
  <si>
    <t>unit</t>
  </si>
  <si>
    <t>SAMI/LKM-LA/06-2020/065</t>
  </si>
  <si>
    <t>PT. Grafitama Deltakreasi</t>
  </si>
  <si>
    <t>cartridge remanufactur</t>
  </si>
  <si>
    <t>Nana/ Didik
astriana.rengganis@grafitama.com
didik.widiatmoko@grafitama.com</t>
  </si>
  <si>
    <t>SAMI/LKM-LA/06-2021/044</t>
  </si>
  <si>
    <t>PT. Kahar Duta Sarana</t>
  </si>
  <si>
    <t>Label thermal, label sticker syntetic</t>
  </si>
  <si>
    <t>Siti Arifatun
arifatun@kahar.co.id
024-3563879</t>
  </si>
  <si>
    <t>SAMI/LKM-LA/11-2021/102</t>
  </si>
  <si>
    <t>PT. Kawan Lama Sejahtera</t>
  </si>
  <si>
    <t>pembelian alat ukur</t>
  </si>
  <si>
    <t>Sinta
024-3580426
financeklssmg@kawanlama.com</t>
  </si>
  <si>
    <t>PT. Krisbow Indonesia</t>
  </si>
  <si>
    <t>PT. Mandala Adhiperkasa Sejati</t>
  </si>
  <si>
    <t>PT. Nachindo Tape Indonesia</t>
  </si>
  <si>
    <t>SAMI/LKM-LA/11-2018/087</t>
  </si>
  <si>
    <t>PT. Sarana Solusindo Informatika</t>
  </si>
  <si>
    <t>Rudy Siswanto,
021-7201419
rudys@solusi.com</t>
  </si>
  <si>
    <t>05/03/22 BPI: pembelian tidak rutin dan nilai kurang dari 10juta</t>
  </si>
  <si>
    <t>SAMI/LKM-LA/06-2022/081</t>
  </si>
  <si>
    <t>Software Office Std Dev SL &amp; Win Server Dev CAL @85 unit</t>
  </si>
  <si>
    <t>5.650.000
450.000</t>
  </si>
  <si>
    <t>office std
win server</t>
  </si>
  <si>
    <t>SAMI/LKM-LA/07-2022/093</t>
  </si>
  <si>
    <t>Belajar Bahasa</t>
  </si>
  <si>
    <t>LPK Kizuna Mitra Indonesia</t>
  </si>
  <si>
    <t>belajar bahasa jepang</t>
  </si>
  <si>
    <t>Eko Setyo Putro
ekoputrosetyo@gmail.com
085200608802</t>
  </si>
  <si>
    <t>DAP</t>
  </si>
  <si>
    <t>Servis generator set</t>
  </si>
  <si>
    <t>servis 2 unit genset model PL 800</t>
  </si>
  <si>
    <t>SAMI/LKM-LA/09-2022/102</t>
  </si>
  <si>
    <t>Lampu Led, lampu WHS, lampu TL, lampu jalan, jasa pemasangan</t>
  </si>
  <si>
    <t>SAMI/LKM-LA/06-2022/054</t>
  </si>
  <si>
    <t>CV. Aksara Media Promosi</t>
  </si>
  <si>
    <t>MMT</t>
  </si>
  <si>
    <t>Dewi Ratnasari,
08988758080
aksaramediapromosi@gmail.com</t>
  </si>
  <si>
    <t>SAMI/LKM-LA/06-2022/069</t>
  </si>
  <si>
    <t>UD. 21</t>
  </si>
  <si>
    <t>peralatan kebersihan dan perlengkapan rumah tangga</t>
  </si>
  <si>
    <t>Jenni Harsono
harsono_jenni@gmail.com
024-3510464</t>
  </si>
  <si>
    <t>toko21</t>
  </si>
  <si>
    <t>SAMI/LKM-LA/06-2022/049</t>
  </si>
  <si>
    <t>CV. Trijaya Sejahtera</t>
  </si>
  <si>
    <t>alat tulis</t>
  </si>
  <si>
    <t>Nova/ Tini/ Kiky
024-3587278
rudy_budiono@yahoo.com</t>
  </si>
  <si>
    <t>SAMI/LKM-LA/06-2022/065</t>
  </si>
  <si>
    <t>CV. Delta Teknik</t>
  </si>
  <si>
    <t>perlengkapan komputer dan elektronik dan fire alarm</t>
  </si>
  <si>
    <t>Nur Rochman
024-6712424
info@deltateknik.co.id</t>
  </si>
  <si>
    <t>SAMI/LKM-LA/09-2021/075</t>
  </si>
  <si>
    <t>Sewa printer plotter</t>
  </si>
  <si>
    <t>PT. Sahabat Makmur Mandiri</t>
  </si>
  <si>
    <t>1 unit printer plotter T1700</t>
  </si>
  <si>
    <t>Muh. Sunarso
sahabatmakmurmandiri@gmail.com
024-776405991</t>
  </si>
  <si>
    <t>SAMI/LKM-LA/09-2022/104</t>
  </si>
  <si>
    <t>Servis Plotter</t>
  </si>
  <si>
    <t>servis plotter HP Designjet T5130</t>
  </si>
  <si>
    <t>SAMI/LKM-LA/08-2022/101</t>
  </si>
  <si>
    <t>CV. Pramunegeri</t>
  </si>
  <si>
    <t>2 unit printer laser warna M750</t>
  </si>
  <si>
    <t>Shofi
085878124000
elhamedia@ymail.com</t>
  </si>
  <si>
    <t>SAMI/LKM-LA/01-2021/017</t>
  </si>
  <si>
    <t>PT. Sato Label Solutions</t>
  </si>
  <si>
    <t>SATO Barcode Printer dan Accessories</t>
  </si>
  <si>
    <t>Oni Zukhriaddin
oni.zukhriaddin@sato-global.com
024-7603055, 024-76638058</t>
  </si>
  <si>
    <t>22.000.000
6.300.000</t>
  </si>
  <si>
    <t>Printer
Accessories</t>
  </si>
  <si>
    <t>garansi 12 bulan</t>
  </si>
  <si>
    <t>SAMI/LKM-LA/03-2022/020</t>
  </si>
  <si>
    <t>CV. Tri Mulyanto Teknik</t>
  </si>
  <si>
    <t>tangki solar genset kapasitas 8000 liter</t>
  </si>
  <si>
    <t>Tri Mulyanto
tmbajaringan@gmail.com
081226258435</t>
  </si>
  <si>
    <t>SAMI/LKM-LA/05-2022/031</t>
  </si>
  <si>
    <t>PT. Okaya Indonesia</t>
  </si>
  <si>
    <t>software OTRS &amp; instalasi</t>
  </si>
  <si>
    <t>Muhammad Risky
risky@okayajkt.co.id
087885965990</t>
  </si>
  <si>
    <t>okayaotrs</t>
  </si>
  <si>
    <t>SAMI/LKM-LA/07-2022/091</t>
  </si>
  <si>
    <t>PT. Narrada Nayottama Cakti</t>
  </si>
  <si>
    <t>1 QNAP, 10 HDD Seagate Exos 8TB, 1 Rail Kit B02, jasa instalasi</t>
  </si>
  <si>
    <t>Hendri Setiawan
sales.greenfogsrg@gmail.com
024-76605012</t>
  </si>
  <si>
    <t>Sewa Bus Karyawan</t>
  </si>
  <si>
    <t>CV. Pratama Jaya</t>
  </si>
  <si>
    <t>2 unit bus AC kapasitas 31 kursi + driver</t>
  </si>
  <si>
    <t>Arie Kestiawan
ariekestiawan0206@gmail.com
0838-3689-9220</t>
  </si>
  <si>
    <t>1 bus/rute</t>
  </si>
  <si>
    <t>SAMI/LKM-LA/11-2021/097</t>
  </si>
  <si>
    <t>Pembelian Air Minum Galon</t>
  </si>
  <si>
    <t>PT. Mitra Tirta Buwana</t>
  </si>
  <si>
    <t>Air minum kemasan galon merk Hexsoul</t>
  </si>
  <si>
    <t>Surono
surono.se.kokola@gmail.com
mitratirtabuwana_jogja@yahoo.com
0274-488811</t>
  </si>
  <si>
    <t>1 galon</t>
  </si>
  <si>
    <t>SAMI/LKM-LA/11-2021/101</t>
  </si>
  <si>
    <t>CV. Jaya Makmur</t>
  </si>
  <si>
    <t>perangkat hardware PC</t>
  </si>
  <si>
    <t>Reza/Lies Siana
lies@jayamakmurkomputer.com
024-3516396</t>
  </si>
  <si>
    <t>SAMI/LKM-LA/11-2021/106</t>
  </si>
  <si>
    <t>printer &amp; spare part printer</t>
  </si>
  <si>
    <t>SAMI/LKM-LA/06-2022/056</t>
  </si>
  <si>
    <t>Konveksi Sumber Rejeki</t>
  </si>
  <si>
    <t>seragam, rompi, celemek</t>
  </si>
  <si>
    <t>Muhammad Taufiq
taufiq.piji@gmail.com
082324205828</t>
  </si>
  <si>
    <t>SAMI/LKM-LA/06-2022/057</t>
  </si>
  <si>
    <t>Konveksi Passive Clothing</t>
  </si>
  <si>
    <t>Eka Rahman
ekaninoo38@gmail.com
08562750571</t>
  </si>
  <si>
    <t>SAMI/LKM-LA/11-2021/110</t>
  </si>
  <si>
    <t>PT. Yakult Indonesia Persada</t>
  </si>
  <si>
    <t>yakult</t>
  </si>
  <si>
    <t>Mimid Hamid Arif
mimid.hamid@yakult.co.id
024-7602460</t>
  </si>
  <si>
    <t>SAMI/LKM-LA/06-2022/073</t>
  </si>
  <si>
    <t>PT. Solusi Periferal</t>
  </si>
  <si>
    <t>barcode scanner</t>
  </si>
  <si>
    <t>004/SPP/I/2018</t>
  </si>
  <si>
    <t>Sewa Forklift</t>
  </si>
  <si>
    <t>PT. Satria Piranti Perkasa</t>
  </si>
  <si>
    <t>2 unit forklift TOYOTA</t>
  </si>
  <si>
    <t>1 bulan/ unit</t>
  </si>
  <si>
    <t>TOY</t>
  </si>
  <si>
    <t>SAMI/LKM-LA/12-2021/113</t>
  </si>
  <si>
    <t>Sambungan Telepon</t>
  </si>
  <si>
    <t>PT. Flexindo Mandiri Utama</t>
  </si>
  <si>
    <t>Layanan aktivasi sambungan telepon baik SLJJ dan ponsel melalui jaringan GSM</t>
  </si>
  <si>
    <t>SAMI/LKM-LA/03-2021/023</t>
  </si>
  <si>
    <t>CV. Karunia Mas Sewatama</t>
  </si>
  <si>
    <t>1 unit forklift engine TOYOTA</t>
  </si>
  <si>
    <t>SAMI/LKM-LA/09-2020/092</t>
  </si>
  <si>
    <t>2 unit forklift electric TOYOTA</t>
  </si>
  <si>
    <t>SAMI/LKM-LA/8-2019/075</t>
  </si>
  <si>
    <t>Perbaikan/ penambalan talang</t>
  </si>
  <si>
    <t>CV. Varia Usaha Mandiri</t>
  </si>
  <si>
    <t>penambalan talang area produksi</t>
  </si>
  <si>
    <t>Baskoro
(024) 8415648
cvvariausahamandiri@gmail.com</t>
  </si>
  <si>
    <t>garansi 10 tahun</t>
  </si>
  <si>
    <t>SAMI/LKM-LA/07-2020/088</t>
  </si>
  <si>
    <t>PT. Berjaya Bersama Sahabat</t>
  </si>
  <si>
    <t>penambalan talang area produksi seluas 893 M2</t>
  </si>
  <si>
    <t>Faisal
bbs.smg@outlook.com
024 76332280
085101574156</t>
  </si>
  <si>
    <t>SAMI/LKM-LA/08-2021/064</t>
  </si>
  <si>
    <t>Pekerjaan Instalasi Pipa Air Bersih</t>
  </si>
  <si>
    <t>Eka Budi
semarangbbs@gmail.com
085727711224</t>
  </si>
  <si>
    <t>garansi instalasi pipa 3 tahun
garansi aksesoris utama 6 bulan</t>
  </si>
  <si>
    <t>SAMI/LKM-LA/08-2022/010</t>
  </si>
  <si>
    <t>Perbaikan talang</t>
  </si>
  <si>
    <t>Perbaikan talang area produksi, kantin, warehouse, loading dock, ruang mesin pompa, ruang genset</t>
  </si>
  <si>
    <t>SAMI/LKM-LA/10-2022/118</t>
  </si>
  <si>
    <t>CV. Cahaya Cipta Creation</t>
  </si>
  <si>
    <t>pekerjaan pembuatan kanopi TPA</t>
  </si>
  <si>
    <t>Farkhan Syukri
tripleches@gmail.com
081215462373</t>
  </si>
  <si>
    <t>garansi pekerjaan 4 bulan</t>
  </si>
  <si>
    <t>SAMI/LKM-LA/10-2022/117</t>
  </si>
  <si>
    <t>Pekerjaan penggantian instalasi pipa angin</t>
  </si>
  <si>
    <t>CV. Tri Jaya</t>
  </si>
  <si>
    <t>0812 1164 7962
cv.trijaya18@yahoo.com</t>
  </si>
  <si>
    <t>garansi material pipa 1 tahun
garansi pekerjaan 6 bulan</t>
  </si>
  <si>
    <t>new</t>
  </si>
  <si>
    <t>SAMI/LKM-LA/06-2022/084</t>
  </si>
  <si>
    <t>PT. Sedayu Prima Teknik</t>
  </si>
  <si>
    <t>Dani Pramadi Suhendro
sedayuprimateknik@gmail.com
0819 0158 1169</t>
  </si>
  <si>
    <t xml:space="preserve">garansi perkerjaan 6 bulan
</t>
  </si>
  <si>
    <t>SAMI/LKM-LA/07-2022/086</t>
  </si>
  <si>
    <t>Pembuatan gasebo</t>
  </si>
  <si>
    <t>CV. Gumuk Rejo</t>
  </si>
  <si>
    <t>pekerjaan pembuatan gazebo</t>
  </si>
  <si>
    <t>Setiyanti
gumukrejocv@gmail.com
0815 7549 8925</t>
  </si>
  <si>
    <t>SAMI/LKM-LA/07-2022/094</t>
  </si>
  <si>
    <t>Virgin Cake &amp; Bakery</t>
  </si>
  <si>
    <t>snack</t>
  </si>
  <si>
    <t>Mansur Isnaeni</t>
  </si>
  <si>
    <t>SAMI/LKM-LA/06-2022/082</t>
  </si>
  <si>
    <t>PT. Citra Sarana Media</t>
  </si>
  <si>
    <t>pembelian 1 unit dryer &amp; filter orion</t>
  </si>
  <si>
    <t>Enik Kusrini
sales-admin.smg@thecitragroup.com</t>
  </si>
  <si>
    <t>Garansi unit 1 tahun</t>
  </si>
  <si>
    <t>SAMI/LKM-LA/08-2016/010</t>
  </si>
  <si>
    <t>Pemborongan pekerjaan pembangunan ruang sekat (movable partition)</t>
  </si>
  <si>
    <t>PT. Abaccura Indonesia</t>
  </si>
  <si>
    <t>Garansi 5 tahun</t>
  </si>
  <si>
    <t>SAMI/LKM-LA/7-2017/029</t>
  </si>
  <si>
    <t>Pembelian/ pengadaan CPU</t>
  </si>
  <si>
    <t>Pembelian perangkat komputer HP 280 G3 MT-1RY23PA sebanyak 34 unit</t>
  </si>
  <si>
    <t>Teguh, 024-7462212
gemasmg@yahoo.com</t>
  </si>
  <si>
    <t xml:space="preserve">Garansi perangkat 3 tahun
</t>
  </si>
  <si>
    <t>SAMI/LKM-LA/7-2017/033</t>
  </si>
  <si>
    <t>Pembelian/ pengadaan Monitor</t>
  </si>
  <si>
    <t>Pembelian monitor Led Dell S2240T 21,5" sebanyak 34 unit</t>
  </si>
  <si>
    <t>SAMI/LKM-LA/9-2017/060</t>
  </si>
  <si>
    <t>Car Ownership Program (COP) AMU</t>
  </si>
  <si>
    <t>Ahmad Mubarak</t>
  </si>
  <si>
    <t>Mobil Honda Mobilio DD4 1,5 E M-CVT</t>
  </si>
  <si>
    <t>SAMI/LKM-LA/9-2017/061</t>
  </si>
  <si>
    <t>Car Ownership Program (COP) AWI</t>
  </si>
  <si>
    <t>Ari Wijayanti</t>
  </si>
  <si>
    <t>Motoaki Tamaya</t>
  </si>
  <si>
    <t>SAMI/LKM-LA/9-2017/062</t>
  </si>
  <si>
    <t>Car Ownership Program (COP) YYS</t>
  </si>
  <si>
    <t>Yoen Yoedono S</t>
  </si>
  <si>
    <t>SAMI/LKM-LA/9-2017/063</t>
  </si>
  <si>
    <t>Car Ownership Program (COP) MIS</t>
  </si>
  <si>
    <t>Mobil Toyota Innova 2,0 V A/T</t>
  </si>
  <si>
    <t>Pembelian server</t>
  </si>
  <si>
    <t>PT. Mitra Infosarana</t>
  </si>
  <si>
    <t>SAMI/LKM-LA/07-2020/087</t>
  </si>
  <si>
    <t>Perangkat HCI Nutanix-NRDK dan Switch Ruckus</t>
  </si>
  <si>
    <t>Handri Bayudhi
handri@mitrainfosarana.co.id
024 3547356</t>
  </si>
  <si>
    <t>Agreement (plant and equipment investment plan)</t>
  </si>
  <si>
    <t>Yazaki Corporation</t>
  </si>
  <si>
    <t>respect to project management agreement  executed as 24.07.17</t>
  </si>
  <si>
    <t>TMA</t>
  </si>
  <si>
    <t>Project Management Agreement (plan and equipment investment plan)</t>
  </si>
  <si>
    <t>SAMI-BBF Building Demolish &amp; Landslides Prevention Work</t>
  </si>
  <si>
    <t>Addendum agreement 30.09.19 article 5.1</t>
  </si>
  <si>
    <t>Expansion of SAMI production technology building</t>
  </si>
  <si>
    <t>Addendum termination agreement 30.06.20</t>
  </si>
  <si>
    <t>Corporate Support Services Agreement</t>
  </si>
  <si>
    <t>Manpower Agreement</t>
  </si>
  <si>
    <t>automatically be renewed for one year</t>
  </si>
  <si>
    <t>Tadahiko Kotoda</t>
  </si>
  <si>
    <t>340/PPLI-LOA/V-2022</t>
  </si>
  <si>
    <t>Sampah B3 SAMI-TF</t>
  </si>
  <si>
    <t>PPLi (PT. Prasadha Pamunah Limbah Industri)</t>
  </si>
  <si>
    <t>Pengelolaan sampah B3</t>
  </si>
  <si>
    <t>SAMI/LKM-LA/09-2022/106</t>
  </si>
  <si>
    <t>Catering</t>
  </si>
  <si>
    <t>Yukama Catering</t>
  </si>
  <si>
    <t>Penyediaan makan catering</t>
  </si>
  <si>
    <t>Siti Sutami
yukamaputraabadi@gmail.com
085225309187, 085726770334</t>
  </si>
  <si>
    <t>rantang</t>
  </si>
  <si>
    <t>SAMI/LKM-LA/09-2022/107</t>
  </si>
  <si>
    <t>Arto Catering</t>
  </si>
  <si>
    <t>Suyami
setyosantoso58@gmail.com
081932125222</t>
  </si>
  <si>
    <t>SAMI/LKM-LA/09-2022/108</t>
  </si>
  <si>
    <t>Anugrah Catering</t>
  </si>
  <si>
    <t>Jarot Andy Hermawan
sriendangpurwaningsih@gmail.com
081575889058</t>
  </si>
  <si>
    <t>SAMI/LKM-LA/05-2022/036</t>
  </si>
  <si>
    <t>Mandiri Catering</t>
  </si>
  <si>
    <t>Rahmad Widodo
dodoksaputra2018@gmail.com
085326417491</t>
  </si>
  <si>
    <t>SAMI/LKM-LA/09-2022/110</t>
  </si>
  <si>
    <t>Kenanga Catering</t>
  </si>
  <si>
    <t>Nur Amin, Tedy
087821312242</t>
  </si>
  <si>
    <t>SAMI/LKM-LA/09-2022/111</t>
  </si>
  <si>
    <t>Yulia Catering</t>
  </si>
  <si>
    <t>Yulia Ismiani
089504053000, 089677229972</t>
  </si>
  <si>
    <t>SAMI/LKM-LA/09-2022/112</t>
  </si>
  <si>
    <t>Melati Catering</t>
  </si>
  <si>
    <t>Moch. Ari Budiharjo
mocharibudiharjo@gmail.com
081225178843</t>
  </si>
  <si>
    <t>SAMI/LKM-LA/09-2022/113</t>
  </si>
  <si>
    <t>CV. Wahyu Lestari Sumber Waras</t>
  </si>
  <si>
    <t>Nina Juliani
cvwlsumberlaras@gmail.com
081336484299</t>
  </si>
  <si>
    <t>SAMI/LKM-LA/09-2022/105</t>
  </si>
  <si>
    <t>Perjanjian Laboratorium Kesehatan Masyarakat</t>
  </si>
  <si>
    <t>PT. Cito Diagnostika Utama</t>
  </si>
  <si>
    <t>Pengujian lingkungan</t>
  </si>
  <si>
    <t>FY. Indriana
citolabkesmas@yahoo.com
024-7615511
08122522348</t>
  </si>
  <si>
    <t>Pelayanan Kesehatan</t>
  </si>
  <si>
    <t>PT. Nala Mega Cipta</t>
  </si>
  <si>
    <t>In house clinic, pemeriksaan laboratorium, medical check up, swab PCR &amp; rapid test antigen</t>
  </si>
  <si>
    <t>in house clinic
per bulan</t>
  </si>
  <si>
    <t>SAMI/LKM-LA/04-2022/022
445/PKS/883</t>
  </si>
  <si>
    <t>Hospital Kontrak</t>
  </si>
  <si>
    <t>RSUD Tugurejo</t>
  </si>
  <si>
    <t>Pelayanan kesehatan karyawan</t>
  </si>
  <si>
    <t>Dwi Astuti, SKM, M.Kes
0812 2822 098
humas_rsudtugurejo@yahoo.com</t>
  </si>
  <si>
    <t>DPS/FAD</t>
  </si>
  <si>
    <t>4554/RSPWC/PK/IX/2017
SAMI/LKM-LA/10-2017/074</t>
  </si>
  <si>
    <t>RS Panti Wilasa Citarum</t>
  </si>
  <si>
    <t>Riries Anjari BP
marketing.pantiwilasa.citarum@gmail.com
085728098940</t>
  </si>
  <si>
    <t>end contract karena tidak ada respon sejak Mei 22</t>
  </si>
  <si>
    <t>SAMI/LKM-LA/09-2021/077
035/Dir-RSPM/PKS/X/2021</t>
  </si>
  <si>
    <t>RS Permata Medika</t>
  </si>
  <si>
    <t>Dr. Adhi, (024)7625005
rspm_smg@yahoo.co.id</t>
  </si>
  <si>
    <t>SAMI/LKM-LA/11-2021/092</t>
  </si>
  <si>
    <t>RS ST Elisabeth Semarang</t>
  </si>
  <si>
    <t xml:space="preserve">(024)8310076, 8310035
</t>
  </si>
  <si>
    <t>17/10/22 email dari hr_03 (sari) kontrak tidak diperpanjang, pakai BPJS</t>
  </si>
  <si>
    <t>SAMI/LKM-LA/01-2018/002
HK.03.01/I.IV/1747/2017</t>
  </si>
  <si>
    <t>RSUP Dokter Kariadi Semarang</t>
  </si>
  <si>
    <t>(024)8413476
humas_rskariadi@yahoo.co.id</t>
  </si>
  <si>
    <t>selama masa kontrak tidak ada karyawan yang periksa</t>
  </si>
  <si>
    <t>SAMI/LKM-LA/02-2021/022</t>
  </si>
  <si>
    <t>PT. Belefina Sarana Medika (RS Columbia Asia)</t>
  </si>
  <si>
    <t>(024)7629999
customercare.semarang@columbiaasia.com</t>
  </si>
  <si>
    <t>2009033/SIP-SDM/MA/202009</t>
  </si>
  <si>
    <t>Perawatan system</t>
  </si>
  <si>
    <t>PT. Suluh Insan Persada</t>
  </si>
  <si>
    <t>Perawatan sistem SIP-SDM</t>
  </si>
  <si>
    <t>R07.Br.SKC/246/2020
SAMI/LKM-LA/03-2020/017</t>
  </si>
  <si>
    <t>Layanan payroll</t>
  </si>
  <si>
    <t>PT. Bank Mandiri (Persero) Tbk.</t>
  </si>
  <si>
    <t>layanan Mandiri payroll package</t>
  </si>
  <si>
    <t>Ari Widyastuti
024-7612381
13611@bankmandiri.co.id</t>
  </si>
  <si>
    <t>tidak diperpanjang
sudah tidak pakai layanan</t>
  </si>
  <si>
    <t>R07.Br.SKC/351A/2022
SAMI/LKM-LA/02-2022/019</t>
  </si>
  <si>
    <t>Tabungan Payroll</t>
  </si>
  <si>
    <t>Pengelolaan rekening tabungan payroll</t>
  </si>
  <si>
    <t>Erna Sumarwani
024-7612381
13611@bankmandiri.co.id</t>
  </si>
  <si>
    <t>SAMI/LKM-LA/02-2022/018
14/RSPWDC/PKS.03/I/2022</t>
  </si>
  <si>
    <t>RS Panti Wilasa Dr. Cipto</t>
  </si>
  <si>
    <t>Daniel Widhi Herminto
danielxsinga@yahoo.com
081578402367</t>
  </si>
  <si>
    <t>Dana Pensiun</t>
  </si>
  <si>
    <t>DPLK Manulife Indonesia</t>
  </si>
  <si>
    <t>Pengelolaan program pensiun bagi karyawan SAMI</t>
  </si>
  <si>
    <r>
      <t xml:space="preserve">otomatis perpanjang untuk 2 tahun berikutnya
</t>
    </r>
    <r>
      <rPr>
        <i/>
        <sz val="22"/>
        <color theme="1"/>
        <rFont val="Times New Roman"/>
        <family val="1"/>
      </rPr>
      <t>note: email DPS 09.12.21 kontrak diperpanjang otomatis</t>
    </r>
  </si>
  <si>
    <t>Mitsuho Honda</t>
  </si>
  <si>
    <t>SAMI/LKM-LA/12-2021/118</t>
  </si>
  <si>
    <t>Pekerjaan Pemeliharaan Aplikasi Finished Good &amp; Invoicing</t>
  </si>
  <si>
    <t>PT. Dutasoft</t>
  </si>
  <si>
    <t>Layanan pemeliharaan aplikasi finished good &amp; invoicing</t>
  </si>
  <si>
    <t>AFK/AKA</t>
  </si>
  <si>
    <t>PASI-IT-2022-V-006</t>
  </si>
  <si>
    <t>Biaya-biaya (reimbursement) oleh PASI ke SAMI</t>
  </si>
  <si>
    <t>PT. Autocomp System Indonesia</t>
  </si>
  <si>
    <t>Jaringan internet &amp; sortware maintenance</t>
  </si>
  <si>
    <t>03.0068.0311</t>
  </si>
  <si>
    <t>Perjanjian Berlangganan Sistem Jaringan Layanan Internet-SAMI TF</t>
  </si>
  <si>
    <t>PT. Media Sarana Data / GMEDIA</t>
  </si>
  <si>
    <t>Langganan sistem jaringan komunikasi data</t>
  </si>
  <si>
    <t>PANDU, 081327663777</t>
  </si>
  <si>
    <t>03.0399.0811</t>
  </si>
  <si>
    <t>Perjanjian Berlangganan Sistem Jaringan Layanan Internet-SAMI CANDI</t>
  </si>
  <si>
    <t>Layanan Internet</t>
  </si>
  <si>
    <t>PT. Internet Mulia Untuk Negeri / GMEDIA</t>
  </si>
  <si>
    <t>Layanan akses internet SAMI TF &amp; SAMI Candi, Hosting SAMI TF &amp; SAMI JF</t>
  </si>
  <si>
    <t>Pandu Pratomo
024-8509595</t>
  </si>
  <si>
    <t>7.500.000
6.000.000
500.000</t>
  </si>
  <si>
    <t>internet TF
internet Candi
hosting</t>
  </si>
  <si>
    <t>0002/MOU/DATA-SMG/I/2020
SAMI/LKM-LA/12-2020/109</t>
  </si>
  <si>
    <t>PT. Data Utama Dinamika</t>
  </si>
  <si>
    <t>finance@datautama.net.id
024-8453481</t>
  </si>
  <si>
    <t>SAMI/LKM-LA/06-2022/075</t>
  </si>
  <si>
    <t>Maintenance GPNet</t>
  </si>
  <si>
    <t>PT. Global Infotech Solution</t>
  </si>
  <si>
    <t>maintenance Gpnet</t>
  </si>
  <si>
    <t>Della Gitariana
021-5708178</t>
  </si>
  <si>
    <t>Jasa ICS (Indosat Conectivity Solution)</t>
  </si>
  <si>
    <t>PT. Indosat Tbk.</t>
  </si>
  <si>
    <t>berlanggaran jasa ICS dari Indosat</t>
  </si>
  <si>
    <t>diperpanjang otomatis setiap bulan</t>
  </si>
  <si>
    <t>SAMI/LKM-LA/06-2022/078</t>
  </si>
  <si>
    <t>Pemeliharaan dan pengembangan aplikasi</t>
  </si>
  <si>
    <t>CV. Multi Reva Parama</t>
  </si>
  <si>
    <t>SAMI system, Esys, BPS, FACS, SIS, PS, ITSMS</t>
  </si>
  <si>
    <t>Bayu
multirevaparama@gmail.com
0856 4156 8878</t>
  </si>
  <si>
    <t>PENGADAAN MATERIAL</t>
  </si>
  <si>
    <t>ELCOM (Yazaki North America, Inc El Paso)</t>
  </si>
  <si>
    <t>21/2/20 ajukan ke TMA, request matrix resiko
9/4/20 approved TMA, tanda tangan supplier</t>
  </si>
  <si>
    <t>SNK</t>
  </si>
  <si>
    <t>YUKBL (Yazaki Europe Limited)</t>
  </si>
  <si>
    <t>masa berlaku sampai para pihak mengakhiri dengan pemberitahuan 3 bulan sebelumnya.</t>
  </si>
  <si>
    <t>Ver.2012, vol.001</t>
  </si>
  <si>
    <t>HIB (Yazaki Corporation)</t>
  </si>
  <si>
    <t>material wiring harness</t>
  </si>
  <si>
    <t>automatically extended in additional 1 year periods</t>
  </si>
  <si>
    <t>copy</t>
  </si>
  <si>
    <t>AYC/ CPS/ YNA</t>
  </si>
  <si>
    <t>15/5/20 approved TMA, tanda tangan supplier.
'- this agreement will be valid from the date signature from both parties until termination by either party three months in advance</t>
  </si>
  <si>
    <t>Thai Arrow Products Co., Ltd. (TAP-C: Injection, Auto Wire and VTA Tape)</t>
  </si>
  <si>
    <t>ARTRON (TOA E&amp;I International Pte Ltd)</t>
  </si>
  <si>
    <t>3/7/19 tunggu feedback supplier
29/10/19 user follow up vendor
27/5/20 user follow up supplier
27/5/20 supplier reply tdk ada tanggapan dari SAI
28/5/20 supplier kirim koreksi kontrak
16/7/20 cek legal kirim ke user
17/7/20 user email ke vendor
27/7/20 user follow up vendor
29/7/20 user follow up vendor</t>
  </si>
  <si>
    <t>HZY (Hangzhou Yazaki Parts Co., Ltd)</t>
  </si>
  <si>
    <t>29/10/19 user follow up vendor
10/3/20 dibantu follow up oleh PASI (pak Mogi)
27/5/20 user follow up supplier
27/7/20 user follow up supplier</t>
  </si>
  <si>
    <t>YGP (YGP Pte Ltd)</t>
  </si>
  <si>
    <t>C-LUX</t>
  </si>
  <si>
    <t>17/01/2022 email dari SNK, gabung YGP</t>
  </si>
  <si>
    <t>MHART
(Guangzhou Emhart Fastening System Co., Ltd.,)</t>
  </si>
  <si>
    <t>MHATT
(Emhart Teknologies (Thailand) Ltd.)</t>
  </si>
  <si>
    <t>TDK Singapore (Pte) Ltd</t>
  </si>
  <si>
    <t>HELTY (Hellermann Tyton Pte Ltd)</t>
  </si>
  <si>
    <t>NISEI (Nissei Electric (H.K) Co., Ltd</t>
  </si>
  <si>
    <t>YCIC (Yazaki (China) Investment Corp.)</t>
  </si>
  <si>
    <t>PASAW</t>
  </si>
  <si>
    <t>PASI-SPA-03</t>
  </si>
  <si>
    <t>tetap berlaku efektif kecuali ada perubahan atas isi dan persyaratan didalamnya.
Ada perubahan dari PASI, on proses cek</t>
  </si>
  <si>
    <t>IWPI (PT. Indowire Prima Industrindo)</t>
  </si>
  <si>
    <t>kontrak ada di iwpi</t>
  </si>
  <si>
    <t>NMI (Nitto Material Indonesia)</t>
  </si>
  <si>
    <t>material wiring harness - JF</t>
  </si>
  <si>
    <t>PTDKP (PT. Duta Kalingga Pratama)</t>
  </si>
  <si>
    <t>SATO (PT. Satoseiki)</t>
  </si>
  <si>
    <t>AMANDEMEN PERJANJIAN PERGUDANGAN</t>
  </si>
  <si>
    <t>PT. Agility International</t>
  </si>
  <si>
    <t>Jasa pengelolaan gudang (ruang gudang, ruang kantor, personil)</t>
  </si>
  <si>
    <t>YYS</t>
  </si>
  <si>
    <t>08/AGILITY/SAMI/XII/2018</t>
  </si>
  <si>
    <t>PENGELOLAAN GUDANG PLB (Pusat Logistik Berikat)</t>
  </si>
  <si>
    <t>PT. Agility International / PT DSV Solutions Indonesia</t>
  </si>
  <si>
    <t>Pengelolaan gudang PLB</t>
  </si>
  <si>
    <t>715.000.000
16.875.000
67.500
67.500</t>
  </si>
  <si>
    <t>- penyimpanan tetap
- manajemen
- handling in
- handling out</t>
  </si>
  <si>
    <t>FMTHA (Federal Mogul Thailand)</t>
  </si>
  <si>
    <t>PT. EDS Manufacturing Indonesia Automotive Wire Division</t>
  </si>
  <si>
    <t>Finished Part Master Supply Agreement</t>
  </si>
  <si>
    <t>wiring harnesses, battery cables, high tension cables, etc</t>
  </si>
  <si>
    <t>automatically extended in additional 1 year periods
- memorandum 01.10.19
- memorandum 10.11.20</t>
  </si>
  <si>
    <t>WHY</t>
  </si>
  <si>
    <t>PASI-SPA-02</t>
  </si>
  <si>
    <t>Finished Goods Sale And Purchase Agreement For Domestic Customers</t>
  </si>
  <si>
    <t>Jual beli wiring harness</t>
  </si>
  <si>
    <t>perjanjian tetap berlaku dan mengikat selama kondisi bisnis masih berjalan</t>
  </si>
  <si>
    <t>264/PASI/SALES-PRC/VI/2022</t>
  </si>
  <si>
    <t>Sales Contract</t>
  </si>
  <si>
    <t>pcs</t>
  </si>
  <si>
    <t>End contract until this part discontinued</t>
  </si>
  <si>
    <t>SAMI/LKM-LA/08-2022/095
11/SUAI/EXIM/X/2022</t>
  </si>
  <si>
    <t>PT. Subang Autocomp Indonesia</t>
  </si>
  <si>
    <t>Jual beli jyunkan circuit automotive wiring harness</t>
  </si>
  <si>
    <t>Master Supply Agreement</t>
  </si>
  <si>
    <t>PT. Surabaya Autocomp Indonesia</t>
  </si>
  <si>
    <t>Jula beli produk dan komponen wiring harness</t>
  </si>
  <si>
    <t>Vol. 2013-001</t>
  </si>
  <si>
    <t>Components And Parts Master Supply Agreement</t>
  </si>
  <si>
    <t>Foshan Shunde Yazaki Auto Parts Co., Ltd</t>
  </si>
  <si>
    <t>Jual beli jyunkan circuit automotive wiring harness (toyota)</t>
  </si>
  <si>
    <t>Yazaki North America Inc.</t>
  </si>
  <si>
    <t>Jula beli produk dan komponen</t>
  </si>
  <si>
    <t>Part Purchasing Agreement</t>
  </si>
  <si>
    <t>Thai Arrow Products Co., Ltd. (TAP)</t>
  </si>
  <si>
    <t>automotive parts</t>
  </si>
  <si>
    <t>SAMI/LKM-LA/08-2022/075</t>
  </si>
  <si>
    <t>Trucking domestic untuk SAMI Group</t>
  </si>
  <si>
    <t>CV. Tangi Luhur</t>
  </si>
  <si>
    <t>3 unit kendaraan truk peti kemas, supir truk kontainer beserta container</t>
  </si>
  <si>
    <t>1 bulan 1 unit</t>
  </si>
  <si>
    <t>FEP</t>
  </si>
  <si>
    <t>034/PTYIF/GA/VII/2022</t>
  </si>
  <si>
    <t>Custom clearance handling exim</t>
  </si>
  <si>
    <t>PT. Yamato Indonesia Forwarding</t>
  </si>
  <si>
    <t>Jasa pengurusan kargo dan jasa angkut ekspor impor</t>
  </si>
  <si>
    <t>PT. Yusen Logisitc Indonesia</t>
  </si>
  <si>
    <t>Pengurusan jasa kepabeanan dan jasa transportasi</t>
  </si>
  <si>
    <t>SAMI/LKM-LA/12-2021/115
002/STE/DOM/SMG/II/2022</t>
  </si>
  <si>
    <t>Pengurusan Dokumen</t>
  </si>
  <si>
    <t>PT. Sinar Tirta Emas
(Domestik)</t>
  </si>
  <si>
    <t>Jasa pengurusan dokumen BC 2.5</t>
  </si>
  <si>
    <t>Siti Dhohiroh, email: siti@putrasm.com</t>
  </si>
  <si>
    <t>001/STE/SMG/V/2021</t>
  </si>
  <si>
    <t>PT. Sinar Tirta Emas
(Ekspor)</t>
  </si>
  <si>
    <t>Jasa pengurusan jasa kepabeanan dan jasa transportasi</t>
  </si>
  <si>
    <t>Diganti PSM</t>
  </si>
  <si>
    <t>001/PSM/SMG/V/2022</t>
  </si>
  <si>
    <t>PT. Putra Sukses Mulia</t>
  </si>
  <si>
    <t>Agung Suryo Leksono, agung.leksono@psmulia.com
Asih W, spv1.ocean@psmulia.com</t>
  </si>
  <si>
    <t>11/10/22 Addendum perubahan tarif</t>
  </si>
  <si>
    <t>SAMI/LKM-LA/04-2022/030</t>
  </si>
  <si>
    <t>PT. Sejahtera Abadi Trans</t>
  </si>
  <si>
    <t>10 unit kendaraan truk peti kemas, supir truk kontainer beserta container</t>
  </si>
  <si>
    <t>1 unit / 1 bulan</t>
  </si>
  <si>
    <t>004/AGL/SMG/VIII/2022</t>
  </si>
  <si>
    <t>PT. Asia Grow Logistics</t>
  </si>
  <si>
    <t>Harti Kawuri
wuri@asiagrow.com
024-76632980</t>
  </si>
  <si>
    <t>SAMI/LKM-LA/07-2022/089</t>
  </si>
  <si>
    <t>CV. Saka Aksara</t>
  </si>
  <si>
    <t>Kasmanto
sakaaksara66@gmail.com 
024-3517896</t>
  </si>
  <si>
    <t>handling</t>
  </si>
  <si>
    <t>021/MoA-KRR/MKT/I/2022</t>
  </si>
  <si>
    <t>Pengangkutan Barang</t>
  </si>
  <si>
    <t>PT. Karura Freight Forwarding Logistics</t>
  </si>
  <si>
    <t>Jasa pengangkutan barang</t>
  </si>
  <si>
    <t>hendry untara indrapraja
hendry.ui@karura-logistic.com
031-8988035 / 36</t>
  </si>
  <si>
    <t>SAMI/LKM-LA/12-2021/116</t>
  </si>
  <si>
    <t xml:space="preserve">Putra Mandiri Transport                                            </t>
  </si>
  <si>
    <t>Andy
putramandiri.transport@yahoo.com
024-76673430</t>
  </si>
  <si>
    <t>SAMI/LKM-LA/11-2021/114</t>
  </si>
  <si>
    <t>Jasa pengiriman container</t>
  </si>
  <si>
    <t>PT. Pataya Raya</t>
  </si>
  <si>
    <t>Jasa pengiriman container dari dan ke pelabuhan Semarang</t>
  </si>
  <si>
    <t>Riyadi Pataya
riyadipataya@ptpatayaraya.com
024-76631718</t>
  </si>
  <si>
    <t>SAMI/LKM-LA/12-2021/124</t>
  </si>
  <si>
    <t>PT. Platinum Jaya Logistic Semarang</t>
  </si>
  <si>
    <t>Agung Cahyo Budianto
agung_srg@platinumjayalogistic.com
024-76585260 / 08156531770</t>
  </si>
  <si>
    <t>002/PKK/X/2021</t>
  </si>
  <si>
    <t>PT. MCL Trans Indonesia</t>
  </si>
  <si>
    <t>VA-20220601.KWESRG/SAMI.01</t>
  </si>
  <si>
    <t>PT. Kintetsu World Express Indonesia</t>
  </si>
  <si>
    <t>Elok Khotidjah
elok.khotidjah@kwe.com
024-3549680</t>
  </si>
  <si>
    <t>Ekspedisi</t>
  </si>
  <si>
    <t>PT. Birotika Semesta
(DHL Express)</t>
  </si>
  <si>
    <t>jasa ekspedisi/ pengiriman barang</t>
  </si>
  <si>
    <t>SAMI/LKM-LA/06-2022/042</t>
  </si>
  <si>
    <t>CV. Mitra Dunia Palletindo</t>
  </si>
  <si>
    <t>Karton box</t>
  </si>
  <si>
    <t>SAMI/LKM-LA/06-2022/043</t>
  </si>
  <si>
    <t>CV. Samugra Anugrah Sion</t>
  </si>
  <si>
    <t>SAMI/LKM-LA/06-2022/044</t>
  </si>
  <si>
    <t>CV. Semarang Damai Printing</t>
  </si>
  <si>
    <t>SAMI/LKM-LA/06-2022/045</t>
  </si>
  <si>
    <t>CV. Suryamas Boxindo</t>
  </si>
  <si>
    <t>SAMI/LKM-LA/06-2021/043</t>
  </si>
  <si>
    <t>PT. Graha Multisarana Mesindo</t>
  </si>
  <si>
    <t>Container plastik rabbit, LID 6303</t>
  </si>
  <si>
    <t>Henry Santoso
024-76633263
henry.s@grahamultisarana.com</t>
  </si>
  <si>
    <t>tidak diperpanjang
tidak ada order</t>
  </si>
  <si>
    <t>SAMI/LKM-LA/06-2022/053</t>
  </si>
  <si>
    <t>paper tape, double tape</t>
  </si>
  <si>
    <t>Lanny Lindawati
024-3560740
smg.nachindo@yahoo.com</t>
  </si>
  <si>
    <t>SAMI/LKM-LA/06-2022/052</t>
  </si>
  <si>
    <t>PT. Tunas Mitra Sentosa</t>
  </si>
  <si>
    <t>strech film</t>
  </si>
  <si>
    <t>Novan
024-6719014
novan@tunasmitra.co.id</t>
  </si>
  <si>
    <t>SAMI/LKM-LA/05-2020/052</t>
  </si>
  <si>
    <t>UD. Filina</t>
  </si>
  <si>
    <t>karet gelang, kain majun, masker kain, sarung tangan</t>
  </si>
  <si>
    <t>Sanafi, 024-6590118
filina.semarang@gmail.com</t>
  </si>
  <si>
    <t>LD tidak pakai lagi</t>
  </si>
  <si>
    <t>TOY
NZA</t>
  </si>
  <si>
    <t>SAMI/LKM-LA/06-2022/051</t>
  </si>
  <si>
    <t>CV. Mitra Lestari</t>
  </si>
  <si>
    <t>pallet karton, top cover</t>
  </si>
  <si>
    <t>Saheri, 087832930017
saheri17@yahoo.com
mitralestari83@gmail.com</t>
  </si>
  <si>
    <t>SAMI/LKM-LA/06-2022/066</t>
  </si>
  <si>
    <t>PT. Abadi Kemas Pitados</t>
  </si>
  <si>
    <t>Orgapack PP &amp; PET strapping tools, spare part orgapack OR-T 50</t>
  </si>
  <si>
    <t>Yulia Dewi Mariska
085776518967
abadikemaspitados@yahoo.co.id</t>
  </si>
  <si>
    <t>SAMI/LKM-LA/07-2021/062</t>
  </si>
  <si>
    <t>PLL Packaging Sdn. Bhd.</t>
  </si>
  <si>
    <t>Slip Sheet</t>
  </si>
  <si>
    <t>dapat diperpanjang otomatis 1 tahun berikutnya
addendum GADSL, dll</t>
  </si>
  <si>
    <t>SAMI/LKM-LA/06-2022/050</t>
  </si>
  <si>
    <t>CV. Agung Jaya Sentosa</t>
  </si>
  <si>
    <t>Isi staples, dll</t>
  </si>
  <si>
    <t>SAMI/LKM-LA/06-2022/067</t>
  </si>
  <si>
    <t>CV. Dai Sabisu Indonesia</t>
  </si>
  <si>
    <t>Polybox, pallet plastik, container plastik</t>
  </si>
  <si>
    <t>Albertus Bimo Dewanto Caesar
bimo@daisabisuindonesia.com
08119614509</t>
  </si>
  <si>
    <t>MULTILATERAL NETTING AMONG GROUP COMPANIES</t>
  </si>
  <si>
    <t>Yamada,Aya_山田 亜弥 &lt;aya.yamada@jp.yazaki.com&gt;</t>
  </si>
  <si>
    <t>MBM</t>
  </si>
  <si>
    <t>NOTICE OF SERVICE FEES FOR NETTING SERVICE</t>
  </si>
  <si>
    <t>Bambang Rianto</t>
  </si>
  <si>
    <t>CASH MANAGEMENT AGREEMENT / PERJANJIAN PENGELOLAAN KAS</t>
  </si>
  <si>
    <t>MUFG Bank, Ltd</t>
  </si>
  <si>
    <t>Layanan dari bank dalam pengelolaan kas</t>
  </si>
  <si>
    <t>Telp. (021)5706185
Fax. (021)5703953</t>
  </si>
  <si>
    <t>Takashi Takagishi</t>
  </si>
  <si>
    <t>064/PASI-LGL/VII/2020</t>
  </si>
  <si>
    <t xml:space="preserve">INTER COMPANY LOAN AGREEMENT </t>
  </si>
  <si>
    <t>Intern company loan</t>
  </si>
  <si>
    <t>Balaraja, (021)5951535
Cikarang, (021)29288502</t>
  </si>
  <si>
    <t>ROYALTY AGREEMENT / TECHNICAL ASSISTANCE AGREEMENT</t>
  </si>
  <si>
    <t>Royalti</t>
  </si>
  <si>
    <t>Fukasawa,Shuhei_深澤 周平 &lt;shuhei.fukasawa@jp.yazaki.com&gt;</t>
  </si>
  <si>
    <t>328/CF/CDU-JP/22/2022-0034604</t>
  </si>
  <si>
    <t>Confirmation Of Facilities</t>
  </si>
  <si>
    <t>009/SAMI/FA-PKS/VIII/2022</t>
  </si>
  <si>
    <t>Pendampingan &amp; Pelatihan Pajak</t>
  </si>
  <si>
    <t>PT. Sintesis Atlas Sinergi</t>
  </si>
  <si>
    <t>Pendampingan &amp; pelatihan pajak kepada staff pajak SAMI</t>
  </si>
  <si>
    <t>109/09/22/SA/FAN</t>
  </si>
  <si>
    <t>DELOITTE
Imelda &amp; Rekan</t>
  </si>
  <si>
    <t>Reviu atas laporan keuangan SAMI periode 6 bulan yang berakhir 30 sep 22</t>
  </si>
  <si>
    <t>PT. Trustindo Mekatronics Mulya</t>
  </si>
  <si>
    <t>Jual beli material</t>
  </si>
  <si>
    <t>Perpanjang otomatis untuk 6 bulan berikutnya</t>
  </si>
  <si>
    <t>NZA</t>
  </si>
  <si>
    <t>CV. Djaya Mandiri Teknik</t>
  </si>
  <si>
    <t>018/KT/AJT/10/2018
SAMI/LKM-LA/11-2018/096</t>
  </si>
  <si>
    <t>CV. Adijaya Teknik</t>
  </si>
  <si>
    <t>spare part industri
(oil pot, plat SA, pengunci connector new design, plat dudukan Led, stoper ram, bracket applikator)</t>
  </si>
  <si>
    <t>Icoek Adi N
adijaya_teknik88@yahoo.com</t>
  </si>
  <si>
    <t>CV. ANUGRAH SENTOSA</t>
  </si>
  <si>
    <t>SAMI/LKM-LA/12-2019/160</t>
  </si>
  <si>
    <t>CV. Bumi Raya Indonesia</t>
  </si>
  <si>
    <t>barang-barang komputer, elektronik, dan alat-alat kantor</t>
  </si>
  <si>
    <t>Sri Kusmini
teknisi@hitechcomputer.co.id
081325460470, 024 3553888</t>
  </si>
  <si>
    <t>SAMI/LKM-LA/10-2019/107</t>
  </si>
  <si>
    <t>CV. Kurnia Makmur Perkasa</t>
  </si>
  <si>
    <t>spare part pneumatic &amp; electric</t>
  </si>
  <si>
    <t>Ria Purnamasari
kurniamakmurperkasa@yahoo.co.id
024-8311087 / 024-8446268</t>
  </si>
  <si>
    <t>SAMI/LKM-LA/11-2019/142</t>
  </si>
  <si>
    <t>CV. Surya Pranata</t>
  </si>
  <si>
    <t>push button, saklar, bearing</t>
  </si>
  <si>
    <t>Arief Pranoto
pranatasurya5@gmail.com
081328204587</t>
  </si>
  <si>
    <t>base on quotation letter</t>
  </si>
  <si>
    <t>perpanjangan otomatis, harga sama sampai 2022</t>
  </si>
  <si>
    <t>SAMI/LKM-LA/06-2019/065</t>
  </si>
  <si>
    <t>CV. Surya Sinergy</t>
  </si>
  <si>
    <t>barang elektrikal</t>
  </si>
  <si>
    <t>Verry Budi Santoso
surya.sinergy@gmail.com
024-76410779</t>
  </si>
  <si>
    <t>SAMI/LKM-LA/11-2018/097</t>
  </si>
  <si>
    <t>PT. Akurasi Semarang Teknologi Indonesia</t>
  </si>
  <si>
    <t>equipment fabrikasi logam, spt: safety cover, base applicator, part mesin grommet, dll</t>
  </si>
  <si>
    <t>Eka Yulia Purnietik
pt.asti@yahoo.com
024-7627179</t>
  </si>
  <si>
    <t>SAMI/LKM-LA/10-2018/086</t>
  </si>
  <si>
    <t>PT. Denko Wahana Sakti</t>
  </si>
  <si>
    <t>roda trolly</t>
  </si>
  <si>
    <t>Agustina
tina@denko.co.id
024-76580101 / 081326567615</t>
  </si>
  <si>
    <t>SAMI/LKM-LA/07-2019/073</t>
  </si>
  <si>
    <t>PT. Dou Yee Enterprises</t>
  </si>
  <si>
    <t>produk untuk proses silikon injectin di mesin WK13</t>
  </si>
  <si>
    <t>Robet Hutabarat
robet@douyee.com.sg 
021-89901153</t>
  </si>
  <si>
    <t>SAMI/LKM-LA/11-2018/098</t>
  </si>
  <si>
    <t>PT. Eraperkasa Maju Cemerlang</t>
  </si>
  <si>
    <t>airtac peneumatic, autonics sensor control, fabrication</t>
  </si>
  <si>
    <t>Hardi Widodo,
semarang@eraperkasa.com
024-7627090/76469141</t>
  </si>
  <si>
    <t>SAMI/LKM-LA/09-2019/091</t>
  </si>
  <si>
    <t>PT. Hibex Indonesia</t>
  </si>
  <si>
    <t>barang elektronika</t>
  </si>
  <si>
    <t>Diki Novriana
diki@hibex.co.id
021-8936920</t>
  </si>
  <si>
    <t>SAMI/LKM-LA/12-2019/159</t>
  </si>
  <si>
    <t>PT. KAIROS SOLUSI INDONESIA</t>
  </si>
  <si>
    <t>spare part automations</t>
  </si>
  <si>
    <t>Agus
031-8554391
sales@kairos-solusi.com</t>
  </si>
  <si>
    <t>hasil review bulan desember 2021, tidak diperpanjang sudah tidak ada transaksi</t>
  </si>
  <si>
    <t>SAMI/LKM-LA/09-2019/088</t>
  </si>
  <si>
    <t>PT. Keyence Indonesia</t>
  </si>
  <si>
    <t>alat penunjang produksi</t>
  </si>
  <si>
    <t>Faikar
order@keyence.co.id
021-29660120</t>
  </si>
  <si>
    <t>SAMI/LKM-LA/04-2020/020</t>
  </si>
  <si>
    <t>PT. KARYA ABADI INTIBUANA</t>
  </si>
  <si>
    <t>Toluene AR 4 liter Smartlab katalog A-1075</t>
  </si>
  <si>
    <t>Ridho/Nana/Dwi
sales1@kadint.com, finance@kadint.com
03532898511</t>
  </si>
  <si>
    <t>botol</t>
  </si>
  <si>
    <t>hasil review bulan desember 2021, tidak diperpanjang ganti supplier smartlab</t>
  </si>
  <si>
    <t>SAMI/LKM-LA/03-2021/022</t>
  </si>
  <si>
    <t>PT. Kreatif Mandiri Teknologi</t>
  </si>
  <si>
    <t>spare part</t>
  </si>
  <si>
    <t>Ahmad Hildan Nur
kreatifmandiriteknologi@gmail.com
021-22104298</t>
  </si>
  <si>
    <t>SAMI/LKM-LA/02-2020/015</t>
  </si>
  <si>
    <t>alat-alat industrial</t>
  </si>
  <si>
    <t>Novianto Susilo
sr6.srg@krisbow.com
024-7602329</t>
  </si>
  <si>
    <t>SAMI/LKM-LA/08-2019/079</t>
  </si>
  <si>
    <t>insulock, kabel, push button, sensor, spiral, trafo</t>
  </si>
  <si>
    <t>mandala2@mandalasmg.com
085640250386</t>
  </si>
  <si>
    <t>SAMI/LKM-LA/01-2020/005</t>
  </si>
  <si>
    <t>PT. Misumi Indonesia</t>
  </si>
  <si>
    <t>limit switch, bearing, belt, toggle clamp, cutter, dll</t>
  </si>
  <si>
    <t>Novia Mardasari
novia.m@misumi.co.id
021-89840008</t>
  </si>
  <si>
    <t>system MISUMI</t>
  </si>
  <si>
    <t>SAMI/LKM-LA/12-2019/161</t>
  </si>
  <si>
    <t>PT. Oriental Abadi Indonesia</t>
  </si>
  <si>
    <t>spare part mesin produksi</t>
  </si>
  <si>
    <t>Sandra Natalea
sandra@oriental-abadi.com
(031) 8471039 - 40</t>
  </si>
  <si>
    <t>SAMI/LKM-LA/12-2019/162</t>
  </si>
  <si>
    <t>PT. Rhema Konektika Wiratama</t>
  </si>
  <si>
    <t>tools, accessories, barang teknik</t>
  </si>
  <si>
    <t>Deddy/ Agung
info@rhemakonektika.com
024-7624131</t>
  </si>
  <si>
    <t>SAMI/LKM-LA/02-2019/010</t>
  </si>
  <si>
    <t>PT. Sinergi Multi Citramas</t>
  </si>
  <si>
    <t>barang teknik</t>
  </si>
  <si>
    <t>Amelia Rahardjo
accounting@sinergimulticitramas.co.id
(024) 3516599</t>
  </si>
  <si>
    <t>SAMI/LKM-LA/10-2019/111</t>
  </si>
  <si>
    <t>PT. Sugity Creatives</t>
  </si>
  <si>
    <t>bobin</t>
  </si>
  <si>
    <t>Kevin Ajawaila
kevin.a.ajawaila@sugity.co.id
021-8980307</t>
  </si>
  <si>
    <t>SAMI/LKM-LA/09-2019/089</t>
  </si>
  <si>
    <t>PT. Victori Sindo Utama</t>
  </si>
  <si>
    <t>mobil lubricant</t>
  </si>
  <si>
    <t>Laelatul Munafidloh
laelatul@victori.co.id 
024-76928337</t>
  </si>
  <si>
    <t>SAMI/LKM-LA/06-2020/063</t>
  </si>
  <si>
    <t xml:space="preserve">Emdep (Shanghai) Automotive Harness Sys. Co. Ltd                       </t>
  </si>
  <si>
    <t>mesin dan part mesin</t>
  </si>
  <si>
    <t>Zhang Huifeng
hfzhang@emdep.com
86-021-59953812</t>
  </si>
  <si>
    <t>SAMI/LKM-LA/11-2020/104</t>
  </si>
  <si>
    <t xml:space="preserve">Japan Chain Terminal Co., Ltd                                       </t>
  </si>
  <si>
    <t>crimping dies</t>
  </si>
  <si>
    <t>Ken Suzuki
ken_s@j-c-t.co.jp
81-23-653-0180</t>
  </si>
  <si>
    <t>SAMI/LKM-LA/05-2020/057</t>
  </si>
  <si>
    <t>Komax Singapore Pte Ltd</t>
  </si>
  <si>
    <t>mesin &amp; part mesin Komax</t>
  </si>
  <si>
    <t>Koh Sim Seng
kimseng.koh@komaxgroup.com
+65 62859713</t>
  </si>
  <si>
    <t>SAMI/LKM-LA/05-2020/058</t>
  </si>
  <si>
    <t xml:space="preserve">Lakes Precission, Inc                                                           </t>
  </si>
  <si>
    <t>cutter ac90</t>
  </si>
  <si>
    <t>jim@lakesprecision.com
715-546-3070 (USA)</t>
  </si>
  <si>
    <t>SAMI/LKM-LA/06-2020/061</t>
  </si>
  <si>
    <t xml:space="preserve">Schleuniger Japan Co., Ltd                                       </t>
  </si>
  <si>
    <t>air filter, blade, transport belt, body fit screw, dll</t>
  </si>
  <si>
    <t>Mitsuhiro Chiba
81 42 401 6581
mitsuhiro.chiba@schleuniger.co.jp</t>
  </si>
  <si>
    <t>SAMI/LKM-LA/06-2020/062</t>
  </si>
  <si>
    <t xml:space="preserve">Toman Corporation                                                       </t>
  </si>
  <si>
    <t>info@toman-c.co.jp
+81542549600</t>
  </si>
  <si>
    <t>DELFI (Delfingen PH-Filipinas)</t>
  </si>
  <si>
    <t>RELATS
(Relats Insulation Material (Suzhou) Co., Ltd.,)</t>
  </si>
  <si>
    <t>PTCAR (Caturindo Agungjaya Rubber)</t>
  </si>
  <si>
    <t>PTIKP (PT. Indokarlo Perkasa)</t>
  </si>
  <si>
    <t>Kontrak 1</t>
  </si>
  <si>
    <t>Kontrak 2</t>
  </si>
  <si>
    <t>Kontrak 3</t>
  </si>
  <si>
    <t>Kontrak 4</t>
  </si>
  <si>
    <t>Kontrak 5</t>
  </si>
  <si>
    <t>Kontrak 6</t>
  </si>
  <si>
    <t>Kontrak 7</t>
  </si>
  <si>
    <t>Kontrak 8</t>
  </si>
  <si>
    <t>Kontrak 9</t>
  </si>
  <si>
    <t>Kontrak 10</t>
  </si>
  <si>
    <t>Kontrak 11</t>
  </si>
  <si>
    <t>Kontrak 12</t>
  </si>
  <si>
    <t>Kontrak 13</t>
  </si>
  <si>
    <t>Kontrak 14</t>
  </si>
  <si>
    <t>Kontrak 15</t>
  </si>
  <si>
    <t>Kontrak 18</t>
  </si>
  <si>
    <t>Kontrak 17</t>
  </si>
  <si>
    <t>Kontrak 16</t>
  </si>
  <si>
    <t>Kontrak 19</t>
  </si>
  <si>
    <t>Kontrak 20</t>
  </si>
  <si>
    <t>Kontrak 21</t>
  </si>
  <si>
    <t>Kontrak 22</t>
  </si>
  <si>
    <t>SAMI/LKM-LA/10-2022/120</t>
  </si>
  <si>
    <t>Kontrak 23</t>
  </si>
  <si>
    <t>Kontrak 24</t>
  </si>
  <si>
    <t>Kontrak 25</t>
  </si>
  <si>
    <t>Kontrak 26</t>
  </si>
  <si>
    <t>Kontrak 27</t>
  </si>
  <si>
    <t>Kontrak 28</t>
  </si>
  <si>
    <t>Kontrak 29</t>
  </si>
  <si>
    <t>Kontrak 30</t>
  </si>
  <si>
    <t>Kontrak 31</t>
  </si>
  <si>
    <t>kontrak baru PEMI AW</t>
  </si>
  <si>
    <t>Kontrak 32</t>
  </si>
  <si>
    <t>004/PKS/SWI/IX/2022</t>
  </si>
  <si>
    <t>Pengiriman Barang</t>
  </si>
  <si>
    <t>PT. Sentra World Indonesia</t>
  </si>
  <si>
    <t>pengangkutan dan pengiriman barang</t>
  </si>
  <si>
    <t>SAMI/LKM-LA/10-2022/124</t>
  </si>
  <si>
    <t>SAMI/LKM-LA/09-2022/114</t>
  </si>
  <si>
    <t>PT. Cahaya Makmur Propertindo (LJ Hooker Imam Bonjol)</t>
  </si>
  <si>
    <t>Laurensia
ljhimambonjol@gmail.com
024-3584308</t>
  </si>
  <si>
    <t>SAMI/LKM-LA/11-2022/130</t>
  </si>
  <si>
    <t>2370/PKS/NMC/XI/2022
SAMI/LKM-LA/11-2022/128</t>
  </si>
  <si>
    <t>Yuni Artin (082134047522)
Putri Anggit (081325136916)
nmc_health@yahoo.co.id</t>
  </si>
  <si>
    <t>SAMI/LKM-LA/11-2022/126</t>
  </si>
  <si>
    <t>Pengecoran tutup got</t>
  </si>
  <si>
    <t>pengecoran tutup got area parkir motor</t>
  </si>
  <si>
    <t>Management</t>
  </si>
  <si>
    <t>Kontrak 33</t>
  </si>
  <si>
    <t>SAMI/LKM-LA/11-2022/125</t>
  </si>
  <si>
    <t>nov 22/unit
mei 23/unit</t>
  </si>
  <si>
    <t>21.735.980
25.639.089</t>
  </si>
  <si>
    <t>SAMI/LKM-LA/11-2022/142</t>
  </si>
  <si>
    <t>CV. Black Star Production</t>
  </si>
  <si>
    <t>Penyelenggaraan HUT SAMI Ke-21 pada tanggal 8 Januari 2023</t>
  </si>
  <si>
    <t>Irham Dhanu Nurmanto
blackstarkendal@gmail.com
082211445525</t>
  </si>
  <si>
    <t>event</t>
  </si>
  <si>
    <t>SAMI/LKM-LA/11-2020/138</t>
  </si>
  <si>
    <t>SAMI/LKM-LA/11-2020/139</t>
  </si>
  <si>
    <t>SAMI/LKM-LA/11-2020/140</t>
  </si>
  <si>
    <t>PT. Putri Mandiri Catering</t>
  </si>
  <si>
    <t>Kembang Telang Catering</t>
  </si>
  <si>
    <t>CV. Mumun Mandiri Berkah</t>
  </si>
  <si>
    <t>Putri Vitriana
085326417491
cateringputrimandiri@gmail.com</t>
  </si>
  <si>
    <t>Ulin Na'mah Azisa
085727087511
ulinazisa@gmail.com</t>
  </si>
  <si>
    <t>Siti Maemunah
081227012244
mumunmandiriberkah2019@gmail.com</t>
  </si>
  <si>
    <t>email dari BPI 30/11/22 tidak diperpanjang, respon vendor lama</t>
  </si>
  <si>
    <t>SAMI/LKM-LA/11-2022/137</t>
  </si>
  <si>
    <t>Addemdum 01/11/22 :
SAMI/LKM-LA/11-2022/127
Kunci harga kipas angin 30" dan ceiling fan 56"</t>
  </si>
  <si>
    <t>SAMI/LKM-LA/11-2022/129</t>
  </si>
  <si>
    <t>pekerjaan pembuatan kanopi belakang loker karyawan</t>
  </si>
  <si>
    <t>SAMI/LKM-LA/11-2022/134</t>
  </si>
  <si>
    <t>pekerjaan pembuatan kanopi depan loker karyawan</t>
  </si>
  <si>
    <t>SAMI/LKM-LA/11-2022/132</t>
  </si>
  <si>
    <t>SAMI/LKM-LA/11-2022/131</t>
  </si>
  <si>
    <t>KATEGORI
R = Rutin
S = Sekali selesai</t>
  </si>
  <si>
    <t>STATUS 現状</t>
  </si>
  <si>
    <t>LL</t>
  </si>
  <si>
    <t>SPV</t>
  </si>
  <si>
    <t>MGR</t>
  </si>
  <si>
    <t>TTD CS (LEGAL)</t>
  </si>
  <si>
    <t>TTD CS (USER)</t>
  </si>
  <si>
    <t>PIC Leader</t>
  </si>
  <si>
    <t>PIC Teknis</t>
  </si>
  <si>
    <t>CS</t>
  </si>
  <si>
    <t>PLAN REVIEW</t>
  </si>
  <si>
    <t>Event Organizer</t>
  </si>
  <si>
    <t>267/11/22/GA/FAN</t>
  </si>
  <si>
    <t>Audit Laporan Keuangan</t>
  </si>
  <si>
    <t>Audit laporan keuangan PT SAMI terdiri dari laporan posisi keuangan tgl 31 maret 2023</t>
  </si>
  <si>
    <t>audit</t>
  </si>
  <si>
    <t>Reviu Laporan Keuangan</t>
  </si>
  <si>
    <t>PT. SEMARANG AUTOCOMP MANUFACTURING INDONESIA</t>
  </si>
  <si>
    <t>PENGECEKAN CHECKSHEET AGREEMENT</t>
  </si>
  <si>
    <t>Prepare</t>
  </si>
  <si>
    <t>RIY</t>
  </si>
  <si>
    <t>Check</t>
  </si>
  <si>
    <t>Approve</t>
  </si>
  <si>
    <t>Tanggal</t>
  </si>
  <si>
    <t>:</t>
  </si>
  <si>
    <t>SAMI/LKM-LA/10-2022/115</t>
  </si>
  <si>
    <t>Pengurusan Ijin</t>
  </si>
  <si>
    <t>PT. Seema Electra Sejahtera</t>
  </si>
  <si>
    <t>pengurusan ijin rintek B3, ijin pertek air limbah, UKL/UPL</t>
  </si>
  <si>
    <t>Minoto
024 7617180
seemaelectrasejahtera.pt@gmail.com</t>
  </si>
  <si>
    <t>SAMI/LKM-LA/11-2022/133</t>
  </si>
  <si>
    <t>SAMI/LKM-LA/10-2022/119</t>
  </si>
  <si>
    <t>PT. Surveyor Indonesia</t>
  </si>
  <si>
    <t>Verifikasi dokumen potensi bahaya menengah Kepmen Nomor KEP.187/MEN/1999 Tahun 1999</t>
  </si>
  <si>
    <t>- Addendum per 31/08/21:
a. tambahan luasan pergudangan
b. biaya pergudangan
'- Amandemen I 01/06/22:
perubahan nama, before "PT Agility International" after "PT DSV Solutions Indonesia"
- Amandemen 09/12/22: penyesuaian harga 2023</t>
  </si>
  <si>
    <t>SAMI/LKM-LA/12-2022/143</t>
  </si>
  <si>
    <t>Perbaikan &amp; pembuatan pintu</t>
  </si>
  <si>
    <t>perbaikan 8 pintu produksi &amp; pembuatan 1 pintu LD</t>
  </si>
  <si>
    <t>garansi perbaikan pintu 6 bulan, garansi pembuatan pintu 12 bulan</t>
  </si>
  <si>
    <t>SAMI/LKM-LA/11-2022/136</t>
  </si>
  <si>
    <t>Penjualan</t>
  </si>
  <si>
    <t>PT. Tristar Solution</t>
  </si>
  <si>
    <t>Penjualan 1 unit Refrigerant Dryer dan filter element merk Atlas Copco</t>
  </si>
  <si>
    <t>Kontrak 34</t>
  </si>
  <si>
    <t>SAMI/LKM-LA/12-2022/145</t>
  </si>
  <si>
    <t>Pekerjaan variable switch pompa</t>
  </si>
  <si>
    <t>Variable switch kontrol 3 pompa rumah tangga</t>
  </si>
  <si>
    <t>Muchammad Triesal
biejav@gmail.com
08985450444</t>
  </si>
  <si>
    <t>1114/IV/AZ-SAMI.SMG/I/2023</t>
  </si>
  <si>
    <t>SAMI/LKM-LA/11-2022/141</t>
  </si>
  <si>
    <t>Sewa Apartemen (Suzuki =&gt; Nozomi Kawasaki)</t>
  </si>
  <si>
    <t>SAMI/LKM-LA/01-2023/001</t>
  </si>
  <si>
    <t>jaringan akses internet lokal SAMI Tugu ke Jepara 15 Mbps CIR 1:1 (IIX Only)</t>
  </si>
  <si>
    <t>SAMI/LKM-LA/09-2022/116</t>
  </si>
  <si>
    <t>SAMI/LKM-LA/12-2022/148</t>
  </si>
  <si>
    <t>Kontrak Perjanjian Cleaning Service</t>
  </si>
  <si>
    <t>SAMI/LKM-LA/12-2022/151</t>
  </si>
  <si>
    <t>SAMI/LKM-LA/12-2022/150</t>
  </si>
  <si>
    <t>06.01.23 email dari RMU tidak ada perubahan kontrak --&gt; perpanjang otomatis
(1 tahun dan diperpanjang otomatis lagi untuk 1 tahun berikutnya dan seterusnya jika tidak ada perubahan)</t>
  </si>
  <si>
    <t>10/01/23 email dari hr_03 (DPS) kontrak diperpanjang otomatis.
diperpanjang otomatis untuk 1 tahun setelah jangka waktu berakhir</t>
  </si>
  <si>
    <t>SAMI/LKM-LA/12-2022/144</t>
  </si>
  <si>
    <t>Giyanto
adm.project@flexindo.co.id
giyanto@flexindo.co.id
021 8061 5588</t>
  </si>
  <si>
    <t>02/01/23 email WIN tidak diperpanjang</t>
  </si>
  <si>
    <t>SAMI/LKM-LA/01-2023/012</t>
  </si>
  <si>
    <t>Pekerjaan pembuatan marka</t>
  </si>
  <si>
    <t>CV. Abadi Kreasi Utama</t>
  </si>
  <si>
    <t>Marka jalan, rambu, waning lamp</t>
  </si>
  <si>
    <t>Edi Handoko
abadikreasiutama@gmail.com
082225288256</t>
  </si>
  <si>
    <t>garansi pekerjaan 1 bulan
garansi lampu sesuai pabrikan</t>
  </si>
  <si>
    <t>SAMI/LKM-LA/01-2023/007</t>
  </si>
  <si>
    <t>SAMI/LKM-LA/01-2023/003</t>
  </si>
  <si>
    <t>SAMI/LKM-LA/01-2023/006</t>
  </si>
  <si>
    <t>SAMI/LKM-LA/01-2023/004</t>
  </si>
  <si>
    <t>SAMI/LKM-LA/12-2022/146</t>
  </si>
  <si>
    <t>SAMI/LKM-LA/01-2023/005</t>
  </si>
  <si>
    <t>2944/RSK.NW/SDM.031/XII/2022</t>
  </si>
  <si>
    <t>Konsultan</t>
  </si>
  <si>
    <t>PT. Maksi Solusi Enjinering</t>
  </si>
  <si>
    <t>Pengawasan pembangunan gedung parkir 2 lantai</t>
  </si>
  <si>
    <t>Widyo Setyo Eko Putro
maksisolusi.enjinering@gmail.com
08122917210</t>
  </si>
  <si>
    <t>SAMI/LKM-LA/01-2023/008</t>
  </si>
  <si>
    <t>SAMI/LKM-LA/01-2023/009</t>
  </si>
  <si>
    <t>SAMI/LKM-LA/12-2022/147</t>
  </si>
  <si>
    <t>TF JF</t>
  </si>
  <si>
    <t>SAMI/LKM-LA/12-2022/149</t>
  </si>
  <si>
    <t>PT. Naga Pasific</t>
  </si>
  <si>
    <t>Pull tester dan voltage stabilizer 500VA</t>
  </si>
  <si>
    <t>SAMI/LKM-LA/11-2022/135</t>
  </si>
  <si>
    <t>pipa, placon, roda</t>
  </si>
  <si>
    <t>SAMI/LKM-LA/01-2023/011</t>
  </si>
  <si>
    <t>010/LT/LGL.SS.SMG-317/I/2023</t>
  </si>
  <si>
    <t>Sewa Kendaraan (Mimura &amp; Gonda)</t>
  </si>
  <si>
    <t>Mobil Toyota Innova Zenix V CVT &amp; Mobil Toyoya Innova Zenix G CVT</t>
  </si>
  <si>
    <t>9.000.000
8.225.000</t>
  </si>
  <si>
    <t>V CVT
G CVT</t>
  </si>
  <si>
    <t>0030/PJLS-SAMI/12-2022</t>
  </si>
  <si>
    <t>Jasa pengiriman container dari dan/atau ke pelabuhan Semarang &amp; dari dan/atau ke bandara Ahmad &amp;Yani / Soekarno Hatta</t>
  </si>
  <si>
    <t>Jasa pengiriman container dari dan/atau ke pelabuhan Semarang</t>
  </si>
  <si>
    <t>002/JNE-SRG/LGL/I/2023</t>
  </si>
  <si>
    <t>PT. Tiki Jalur Nugraha Ekakurir</t>
  </si>
  <si>
    <t>jasa pengiriman barang</t>
  </si>
  <si>
    <t>Artiwi Unrista Sari
srg.sales-mkt@jne.co.id
0822 9660 0300</t>
  </si>
  <si>
    <t>05/01/23 Addendum
Safety Talk</t>
  </si>
  <si>
    <t>SAMIJF/LKM-LA/01-2023/007</t>
  </si>
  <si>
    <t>diperpanjang 010423-310324
Rp 300,000,000</t>
  </si>
  <si>
    <t>SAMI/LKM-LA/01-2023/002</t>
  </si>
  <si>
    <t>Anugerah Catering</t>
  </si>
  <si>
    <t>SAMI/LKM-LA/02-2023/016</t>
  </si>
  <si>
    <t>SAMI/LKM-LA/02-2023/017</t>
  </si>
  <si>
    <t>020/LT/LGL.S.SMG-317/II/2023</t>
  </si>
  <si>
    <t>Mobil Toyota Innova Zenix V CVT 2023</t>
  </si>
  <si>
    <t>001/PKK/I/2023</t>
  </si>
  <si>
    <t>PT. Segara Artha Mitra Logistik</t>
  </si>
  <si>
    <t>Andi Setiawan
andisemarang5758@gmail.com
085229195858</t>
  </si>
  <si>
    <t>03/03/23 email dari import_01 kontrak tidak diperpanjang</t>
  </si>
  <si>
    <t>NIHONGO</t>
  </si>
  <si>
    <t>Pernah ada</t>
  </si>
  <si>
    <t>Ada</t>
  </si>
  <si>
    <t>Tidak ada</t>
  </si>
  <si>
    <t>001/PSM/SMG/V/2023</t>
  </si>
  <si>
    <t>SAMI/LKM-LA/03-2023/019</t>
  </si>
  <si>
    <t>SAMI/LKM-LA/05-2023/042</t>
  </si>
  <si>
    <t>SAMI/LKM-LA/05-2023/041</t>
  </si>
  <si>
    <t>SAMI/LKM-LA/05-2023/043</t>
  </si>
  <si>
    <t>SAMI/LKM-LA/05-2023/038</t>
  </si>
  <si>
    <t>SAMI/LKM-LA/05-2023/037</t>
  </si>
  <si>
    <t>SAMI/LKM-LA/05-2023/040</t>
  </si>
  <si>
    <t>SAMI/LKM-LA/05-2023/039</t>
  </si>
  <si>
    <t>SAMI/LKM-LA/05-2023/036</t>
  </si>
  <si>
    <t>Tanggal Scrap</t>
  </si>
  <si>
    <t>SAMI/LKM-LA/06-2023/082</t>
  </si>
  <si>
    <t>Pekerjaan pembuatan ducting AHU</t>
  </si>
  <si>
    <t>Pembuatan ducting AHU</t>
  </si>
  <si>
    <t>SAMI/LKM-LA/06-2023/073</t>
  </si>
  <si>
    <t>9 unit kendaraan truk peti kemas, supir truk kontainer beserta container</t>
  </si>
  <si>
    <t>SAMI/LKM-LA/06-2023/058</t>
  </si>
  <si>
    <t>Sewa Printer Nameplate</t>
  </si>
  <si>
    <t>Printer nameplate Zebra Thermal dan Android Handheld</t>
  </si>
  <si>
    <t>Lot</t>
  </si>
  <si>
    <t>GA
MTP</t>
  </si>
  <si>
    <t>SAMI/LKM-LA/06-2023/056</t>
  </si>
  <si>
    <t>SAMI/LKM-LA/06-2023/052</t>
  </si>
  <si>
    <t>SAMI/LKM-LA/06-2023/070</t>
  </si>
  <si>
    <t>350.000
2.950.000</t>
  </si>
  <si>
    <t>SAMI/LKM-LA/06-2023/081</t>
  </si>
  <si>
    <t>1 unit air compressor GA90VSD Atlas Copco</t>
  </si>
  <si>
    <t>SAMI/LKM-LA/02-2023/013</t>
  </si>
  <si>
    <t>SAMI/LKM-LA/06-2023/077</t>
  </si>
  <si>
    <t>1 unit forklift electric TOYOTA</t>
  </si>
  <si>
    <t>SAMI/LKM-LA/07-2023/072</t>
  </si>
  <si>
    <t>SAMI/LKM-LA/05-2023/033</t>
  </si>
  <si>
    <t>SAMI/LKM-LA/05-2023/030</t>
  </si>
  <si>
    <t>SAMI/LKM-LA/05-2023/024</t>
  </si>
  <si>
    <t>GA
LD</t>
  </si>
  <si>
    <t>SAMI/LKM-LA/05-2023/026</t>
  </si>
  <si>
    <t>SAMI/LKM-LA/05-2023/022</t>
  </si>
  <si>
    <t>SAMI/LKM-LA/06-2023/054</t>
  </si>
  <si>
    <t>SAMI/LKM-LA/05-2023/023</t>
  </si>
  <si>
    <t>SAMI/LKM-LA/06-2023/065</t>
  </si>
  <si>
    <t>Cleaning Service</t>
  </si>
  <si>
    <t>Alwi Subekhi
bintaramitraandalan@yahoo.com
(024) 76420025</t>
  </si>
  <si>
    <t>Sewa Apartemen (Nozomi Kawasaki)</t>
  </si>
  <si>
    <t>SAMI/LKM-LA/06-2023/053</t>
  </si>
  <si>
    <t>SAMI/LKM-LA/06-2023/044</t>
  </si>
  <si>
    <t>SAMI/LKM-LA/06-2023/045</t>
  </si>
  <si>
    <t>CV. Samudra Anugrah Sion</t>
  </si>
  <si>
    <t>SAMI/LKM-LA/05-2023/031</t>
  </si>
  <si>
    <t>SAMI/LKM-LA/05-2023/020</t>
  </si>
  <si>
    <t>SAMI/LKM-LA/06-2023/062</t>
  </si>
  <si>
    <t>SAMI/LKM-LA/06-2023/048</t>
  </si>
  <si>
    <t>SAMI/LKM-LA/05-2023/028</t>
  </si>
  <si>
    <t>SAMI/LKM-LA/06-2023/069</t>
  </si>
  <si>
    <t>Service dan overhaul AC Split sebanyak 47 unit</t>
  </si>
  <si>
    <t>125.000
2.300.000</t>
  </si>
  <si>
    <t>SAMI/LKM-LA/05-2023/029</t>
  </si>
  <si>
    <t>Lamhot Panggabean
abhe@tunasmitra.co.id
024-6719014</t>
  </si>
  <si>
    <t>SAMI/LKM-LA/05-2023/025</t>
  </si>
  <si>
    <t>SAMI/LKM-LA/05-2023/027</t>
  </si>
  <si>
    <t>SAMI/LKM-LA/05-2023/032</t>
  </si>
  <si>
    <t>Hari Purnomo
cv_sdpp@gmail.com
085100201414</t>
  </si>
  <si>
    <t>PASI-IT-2023-V-007</t>
  </si>
  <si>
    <t>otomatis diperpanjang 1 tahun untuk tahun-tahun selanjutnya</t>
  </si>
  <si>
    <t>419/PPLI-LOA/V-2023</t>
  </si>
  <si>
    <t>SAMI/LKM-LA/06-2023/047</t>
  </si>
  <si>
    <t>SAMI/LKM-LA/05-2023/021</t>
  </si>
  <si>
    <t>Agung Tri Santoso
agungjayasentosa@rocketmail.com
0817455045</t>
  </si>
  <si>
    <t>SAMI/LKM-LA/06-2023/051</t>
  </si>
  <si>
    <t>SAMI/LKM-LA/06-2023-048</t>
  </si>
  <si>
    <t>SAMI/LKM-LA/06-2023/064</t>
  </si>
  <si>
    <t>SAMI/LKM-LA/06-2023/063</t>
  </si>
  <si>
    <t>Sewa Scanner</t>
  </si>
  <si>
    <t>4 unit Scanner Kodak Alaris S2070 ADF</t>
  </si>
  <si>
    <t>SAMI/LKM-LA/02-2023/018</t>
  </si>
  <si>
    <t>Pengecatan Lantai</t>
  </si>
  <si>
    <t>PT. Bina Adidaya</t>
  </si>
  <si>
    <t>Pengecatan epoxy lantai jalan produksi</t>
  </si>
  <si>
    <t>Christian W. Maulany
christian@binaadidaya.com
081808230601</t>
  </si>
  <si>
    <t>Addendum 1
ADD1/SISUB-II/NKA/2023
Pasal 2 Jangka waktu sampai 31 Maret 2023
Addendum 2
ADD2/SISUB-IV/NKA/2023 Pasal 2 Jangka waktu sampai 30 Juni 2023</t>
  </si>
  <si>
    <t>berakhir sampai serah terima dokumen perijinan</t>
  </si>
  <si>
    <t>NOTICE OF SERVICE FEES FOR NETTING SERVICES</t>
  </si>
  <si>
    <t>JPY 5.000</t>
  </si>
  <si>
    <t>5 tahun diperpanjang otomatis untuk 5 tahun - 5 tahun berikutnya jika tidak ada perubahan
Amendment Agreement 30 Jun 23</t>
  </si>
  <si>
    <t>SAMI/LKM-LA/06-2023/074</t>
  </si>
  <si>
    <t>Alwi Subekhi
bintaramitraandalan@yahoo.com
alwisubekhibima@gmail.com
024-76420025</t>
  </si>
  <si>
    <t>SAMI/LKM-LA/06-2023/061</t>
  </si>
  <si>
    <t>SAMI/LKM-LA/06-2023/059</t>
  </si>
  <si>
    <t>250.000
270.000</t>
  </si>
  <si>
    <t>jul-des / 8m3
jan-jun / 8m3</t>
  </si>
  <si>
    <t>berlaku sampai 180 hari kalender dari tanggal kick off pekerjaan konstruksi
kontrak diakhiri karena pembatalan pekerjaan</t>
  </si>
  <si>
    <t>SAMI/LKM-LA/06-2023/046</t>
  </si>
  <si>
    <t>SAMI/LKM-LA/06-2023/055</t>
  </si>
  <si>
    <t>SAMI/LKM-LA/06-2023/060</t>
  </si>
  <si>
    <t>SAMI/LKM-LA/06-2023/078</t>
  </si>
  <si>
    <t>Putri Ariani
021-5708178</t>
  </si>
  <si>
    <t>SAMI/LKM-LA/06-2023/071</t>
  </si>
  <si>
    <t>SAMI/LKM-LA/06-2023/057</t>
  </si>
  <si>
    <t>SAMI/LKM-LA/06-2023/067</t>
  </si>
  <si>
    <t>SAMI/LKM-LA/06-2023-050</t>
  </si>
  <si>
    <t>SAMI/LKM-LA/07-2023/068</t>
  </si>
  <si>
    <t>SAMI/LKM-LA/06-2023/076</t>
  </si>
  <si>
    <t>SAMI system</t>
  </si>
  <si>
    <t>Hani
multirevaparama@gmail.com
085740577056</t>
  </si>
  <si>
    <t>156.000.000
13.000.000
7.500.000</t>
  </si>
  <si>
    <t>Paket
Tambahan paket
Engineer IoT</t>
  </si>
  <si>
    <t>SAMI/LKM-LA/06-2023/079</t>
  </si>
  <si>
    <t>SAMI/LKM-LA/06-2023/080</t>
  </si>
  <si>
    <t>4.895.000
73.713.050</t>
  </si>
  <si>
    <t>SAMI/LKM-LA/06-2023/066</t>
  </si>
  <si>
    <t>Koneksi Internet</t>
  </si>
  <si>
    <t>PT. Maxindo Mitra Solusi</t>
  </si>
  <si>
    <t>layanan fasilitas koneksi internet</t>
  </si>
  <si>
    <t>(021) 30 611 600
mkt.support@maxindo.net.id</t>
  </si>
  <si>
    <t>FAD</t>
  </si>
  <si>
    <t>SAMI/LKM-LA/07-2023/086</t>
  </si>
  <si>
    <t>SAMI/LKM-LA/07-2023/088</t>
  </si>
  <si>
    <t>Program penanggulangan tuberkulosis</t>
  </si>
  <si>
    <t>Puskesmas Karanganyar</t>
  </si>
  <si>
    <t>Program penanggulangan tuberkulosis strategi DOTS</t>
  </si>
  <si>
    <t>01.0145.0722</t>
  </si>
  <si>
    <t>PT. Internet Mulia Untuk Negeri / NEXA</t>
  </si>
  <si>
    <t>SAMI/LKM-LA/03-2023/020</t>
  </si>
  <si>
    <t>Jaminan Kesehatan bagi Pekerja bukan penerima upah</t>
  </si>
  <si>
    <t>BPJS Kesehatan</t>
  </si>
  <si>
    <t>024 8312520 / 8447698
kcu-semarang@bpjs-kesehatan.go.id</t>
  </si>
  <si>
    <t>CSR BPJS Kesehatan bagi pekerja bukan penerima upah sebanyak 40 orang</t>
  </si>
  <si>
    <t>orang/bulan</t>
  </si>
  <si>
    <t>SAMI/LKM-LA/07-2023/084</t>
  </si>
  <si>
    <t>SAMI/LKM-LA/06-2023/083</t>
  </si>
  <si>
    <t>PT. Multi Instrumentasi Mandiri</t>
  </si>
  <si>
    <t>Kalibrasi bolt tightening, leak tester, load cell, ring gauge</t>
  </si>
  <si>
    <t>Edy Tyas Purwanto
kalibrasi@multi-instrumentasi.co.id
(024) 7470087 / 7475565</t>
  </si>
  <si>
    <t>DATABASE KONTRAK KERJASAMA
PT SEMARANG AUTOCOMP MANUFACTURING INDONESIA - TUGU FACTORY
Bulan Juli 2023</t>
  </si>
  <si>
    <t>SAMI/LKM-LA/07-2023/085</t>
  </si>
  <si>
    <t>09/08/22 email dari Joseph Pangaribuan (PASI) kontrak perpanjang otomatis
04/08/23 email dari MBM kontrak perpanjang otomatis</t>
  </si>
  <si>
    <t>003/AGL/SMG/VIII/2023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</si>
</sst>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(* #,##0.0_);_(* \(#,##0.0\);_(* &quot;-&quot;??_);_(@_)"/>
    <numFmt numFmtId="167" formatCode="[$-409]mmm\-yy;@"/>
  </numFmts>
  <fonts count="3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sz val="22"/>
      <name val="Times New Roman"/>
      <family val="1"/>
    </font>
    <font>
      <b/>
      <sz val="48"/>
      <name val="Times New Roman"/>
      <family val="1"/>
    </font>
    <font>
      <b/>
      <sz val="20"/>
      <name val="Times New Roman"/>
      <family val="1"/>
    </font>
    <font>
      <sz val="36"/>
      <name val="Times New Roman"/>
      <family val="1"/>
    </font>
    <font>
      <i/>
      <sz val="20"/>
      <name val="Times New Roman"/>
      <family val="1"/>
    </font>
    <font>
      <b/>
      <sz val="22"/>
      <name val="Times New Roman"/>
      <family val="1"/>
    </font>
    <font>
      <b/>
      <sz val="26"/>
      <name val="Times New Roman"/>
      <family val="1"/>
    </font>
    <font>
      <sz val="10"/>
      <color theme="1"/>
      <name val="Times New Roman"/>
      <family val="1"/>
    </font>
    <font>
      <sz val="26"/>
      <name val="Times New Roman"/>
      <family val="1"/>
    </font>
    <font>
      <sz val="22"/>
      <color rgb="FFFF0000"/>
      <name val="Times New Roman"/>
      <family val="1"/>
    </font>
    <font>
      <b/>
      <sz val="24"/>
      <name val="Times New Roman"/>
      <family val="1"/>
    </font>
    <font>
      <b/>
      <sz val="11"/>
      <name val="Times New Roman"/>
      <family val="1"/>
    </font>
    <font>
      <sz val="20"/>
      <name val="Times New Roman"/>
      <family val="1"/>
    </font>
    <font>
      <i/>
      <u/>
      <sz val="22"/>
      <name val="Times New Roman"/>
      <family val="1"/>
    </font>
    <font>
      <sz val="22"/>
      <color rgb="FF0000FF"/>
      <name val="Times New Roman"/>
      <family val="1"/>
    </font>
    <font>
      <b/>
      <sz val="18"/>
      <name val="Times New Roman"/>
      <family val="1"/>
    </font>
    <font>
      <b/>
      <sz val="18"/>
      <color theme="1"/>
      <name val="Times New Roman"/>
      <family val="1"/>
    </font>
    <font>
      <b/>
      <sz val="18"/>
      <color theme="0" tint="-0.249977111117893"/>
      <name val="Times New Roman"/>
      <family val="1"/>
    </font>
    <font>
      <sz val="16"/>
      <name val="Times New Roman"/>
      <family val="1"/>
    </font>
    <font>
      <sz val="22"/>
      <color theme="1"/>
      <name val="Times New Roman"/>
      <family val="1"/>
    </font>
    <font>
      <sz val="22"/>
      <color theme="0" tint="-0.249977111117893"/>
      <name val="Times New Roman"/>
      <family val="1"/>
    </font>
    <font>
      <i/>
      <sz val="22"/>
      <color theme="1"/>
      <name val="Times New Roman"/>
      <family val="1"/>
    </font>
    <font>
      <sz val="18"/>
      <color theme="1"/>
      <name val="Times New Roman"/>
      <family val="1"/>
    </font>
    <font>
      <sz val="28"/>
      <name val="Times New Roman"/>
      <family val="1"/>
    </font>
    <font>
      <sz val="30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color theme="1"/>
      <name val="Calibri"/>
      <family val="2"/>
      <scheme val="minor"/>
    </font>
    <font>
      <b/>
      <sz val="8"/>
      <color theme="1"/>
      <name val="Helvetica"/>
    </font>
    <font>
      <b/>
      <sz val="18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87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22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F76A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84E4A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CC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21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14" fontId="7" fillId="0" borderId="0" xfId="0" applyNumberFormat="1" applyFont="1" applyAlignment="1">
      <alignment horizontal="right" wrapText="1"/>
    </xf>
    <xf numFmtId="14" fontId="7" fillId="0" borderId="0" xfId="0" applyNumberFormat="1" applyFont="1"/>
    <xf numFmtId="1" fontId="2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right" vertical="center"/>
    </xf>
    <xf numFmtId="14" fontId="8" fillId="0" borderId="0" xfId="0" applyNumberFormat="1" applyFont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7" borderId="0" xfId="0" applyFont="1" applyFill="1" applyAlignment="1">
      <alignment vertical="center"/>
    </xf>
    <xf numFmtId="0" fontId="9" fillId="8" borderId="1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7" borderId="0" xfId="0" applyNumberFormat="1" applyFont="1" applyFill="1" applyAlignment="1">
      <alignment vertical="center"/>
    </xf>
    <xf numFmtId="1" fontId="13" fillId="3" borderId="12" xfId="0" applyNumberFormat="1" applyFont="1" applyFill="1" applyBorder="1" applyAlignment="1">
      <alignment horizontal="center" vertical="center"/>
    </xf>
    <xf numFmtId="1" fontId="13" fillId="4" borderId="13" xfId="0" applyNumberFormat="1" applyFont="1" applyFill="1" applyBorder="1" applyAlignment="1">
      <alignment horizontal="center" vertical="center"/>
    </xf>
    <xf numFmtId="1" fontId="13" fillId="8" borderId="12" xfId="0" applyNumberFormat="1" applyFont="1" applyFill="1" applyBorder="1" applyAlignment="1">
      <alignment horizontal="center" vertical="center"/>
    </xf>
    <xf numFmtId="1" fontId="13" fillId="9" borderId="13" xfId="0" applyNumberFormat="1" applyFont="1" applyFill="1" applyBorder="1" applyAlignment="1">
      <alignment horizontal="center" vertical="center"/>
    </xf>
    <xf numFmtId="1" fontId="13" fillId="11" borderId="13" xfId="0" applyNumberFormat="1" applyFont="1" applyFill="1" applyBorder="1" applyAlignment="1">
      <alignment horizontal="center" vertical="center"/>
    </xf>
    <xf numFmtId="1" fontId="13" fillId="12" borderId="13" xfId="0" applyNumberFormat="1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/>
    </xf>
    <xf numFmtId="1" fontId="9" fillId="10" borderId="13" xfId="0" applyNumberFormat="1" applyFont="1" applyFill="1" applyBorder="1" applyAlignment="1">
      <alignment horizontal="center" vertical="center" wrapText="1"/>
    </xf>
    <xf numFmtId="1" fontId="13" fillId="0" borderId="14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9" xfId="0" applyNumberFormat="1" applyFont="1" applyBorder="1" applyAlignment="1">
      <alignment vertical="center"/>
    </xf>
    <xf numFmtId="1" fontId="8" fillId="0" borderId="1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vertical="top"/>
    </xf>
    <xf numFmtId="14" fontId="2" fillId="0" borderId="0" xfId="0" applyNumberFormat="1" applyFont="1"/>
    <xf numFmtId="0" fontId="15" fillId="0" borderId="0" xfId="0" applyFont="1"/>
    <xf numFmtId="1" fontId="2" fillId="0" borderId="0" xfId="0" applyNumberFormat="1" applyFont="1" applyAlignment="1">
      <alignment horizontal="center"/>
    </xf>
    <xf numFmtId="0" fontId="9" fillId="0" borderId="0" xfId="0" applyFont="1" applyAlignment="1">
      <alignment vertical="center" wrapText="1"/>
    </xf>
    <xf numFmtId="0" fontId="3" fillId="0" borderId="0" xfId="0" applyFont="1"/>
    <xf numFmtId="14" fontId="5" fillId="0" borderId="0" xfId="0" applyNumberFormat="1" applyFont="1" applyAlignment="1">
      <alignment vertical="center"/>
    </xf>
    <xf numFmtId="0" fontId="16" fillId="0" borderId="0" xfId="0" applyFont="1"/>
    <xf numFmtId="0" fontId="17" fillId="0" borderId="0" xfId="0" applyFont="1"/>
    <xf numFmtId="0" fontId="17" fillId="13" borderId="13" xfId="0" applyFont="1" applyFill="1" applyBorder="1"/>
    <xf numFmtId="0" fontId="3" fillId="14" borderId="13" xfId="0" applyFont="1" applyFill="1" applyBorder="1"/>
    <xf numFmtId="0" fontId="3" fillId="9" borderId="13" xfId="0" applyFont="1" applyFill="1" applyBorder="1"/>
    <xf numFmtId="0" fontId="3" fillId="8" borderId="13" xfId="0" applyFont="1" applyFill="1" applyBorder="1"/>
    <xf numFmtId="0" fontId="3" fillId="10" borderId="13" xfId="0" applyFont="1" applyFill="1" applyBorder="1"/>
    <xf numFmtId="0" fontId="3" fillId="12" borderId="13" xfId="0" applyFont="1" applyFill="1" applyBorder="1"/>
    <xf numFmtId="0" fontId="18" fillId="0" borderId="9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18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21" fillId="0" borderId="0" xfId="0" applyFont="1"/>
    <xf numFmtId="0" fontId="18" fillId="0" borderId="16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4" fontId="18" fillId="0" borderId="13" xfId="0" applyNumberFormat="1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" fontId="22" fillId="0" borderId="13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 wrapText="1"/>
    </xf>
    <xf numFmtId="1" fontId="22" fillId="0" borderId="13" xfId="0" applyNumberFormat="1" applyFont="1" applyBorder="1" applyAlignment="1">
      <alignment vertical="center" wrapText="1"/>
    </xf>
    <xf numFmtId="14" fontId="22" fillId="0" borderId="13" xfId="0" applyNumberFormat="1" applyFont="1" applyBorder="1" applyAlignment="1">
      <alignment vertical="center" wrapText="1"/>
    </xf>
    <xf numFmtId="14" fontId="22" fillId="0" borderId="13" xfId="0" applyNumberFormat="1" applyFont="1" applyBorder="1" applyAlignment="1" applyProtection="1">
      <alignment vertical="center" wrapText="1"/>
      <protection locked="0"/>
    </xf>
    <xf numFmtId="164" fontId="22" fillId="0" borderId="13" xfId="1" applyNumberFormat="1" applyFont="1" applyFill="1" applyBorder="1" applyAlignment="1">
      <alignment vertical="center" wrapText="1"/>
    </xf>
    <xf numFmtId="165" fontId="22" fillId="0" borderId="13" xfId="0" applyNumberFormat="1" applyFont="1" applyBorder="1" applyAlignment="1">
      <alignment vertical="center" wrapText="1"/>
    </xf>
    <xf numFmtId="166" fontId="22" fillId="0" borderId="13" xfId="1" applyNumberFormat="1" applyFont="1" applyFill="1" applyBorder="1" applyAlignment="1">
      <alignment horizontal="center" vertical="center" wrapText="1"/>
    </xf>
    <xf numFmtId="1" fontId="22" fillId="0" borderId="10" xfId="0" applyNumberFormat="1" applyFont="1" applyBorder="1" applyAlignment="1">
      <alignment horizontal="center" vertical="center" wrapText="1"/>
    </xf>
    <xf numFmtId="167" fontId="22" fillId="0" borderId="13" xfId="0" applyNumberFormat="1" applyFont="1" applyBorder="1" applyAlignment="1">
      <alignment vertical="center" wrapText="1"/>
    </xf>
    <xf numFmtId="165" fontId="3" fillId="0" borderId="13" xfId="0" applyNumberFormat="1" applyFont="1" applyBorder="1" applyAlignment="1">
      <alignment horizontal="center" vertical="center"/>
    </xf>
    <xf numFmtId="165" fontId="23" fillId="0" borderId="13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9" fontId="22" fillId="0" borderId="13" xfId="2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16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0" fontId="2" fillId="0" borderId="18" xfId="0" applyFont="1" applyBorder="1"/>
    <xf numFmtId="0" fontId="2" fillId="0" borderId="18" xfId="0" applyFont="1" applyBorder="1" applyAlignment="1">
      <alignment wrapText="1"/>
    </xf>
    <xf numFmtId="14" fontId="2" fillId="0" borderId="18" xfId="0" applyNumberFormat="1" applyFont="1" applyBorder="1" applyAlignment="1">
      <alignment wrapText="1"/>
    </xf>
    <xf numFmtId="1" fontId="25" fillId="0" borderId="0" xfId="0" applyNumberFormat="1" applyFont="1" applyAlignment="1">
      <alignment horizontal="left"/>
    </xf>
    <xf numFmtId="14" fontId="25" fillId="0" borderId="0" xfId="0" applyNumberFormat="1" applyFont="1" applyAlignment="1" applyProtection="1">
      <alignment vertical="top" wrapText="1"/>
      <protection locked="0"/>
    </xf>
    <xf numFmtId="14" fontId="25" fillId="0" borderId="0" xfId="0" applyNumberFormat="1" applyFont="1" applyAlignment="1">
      <alignment vertical="top" wrapText="1"/>
    </xf>
    <xf numFmtId="14" fontId="25" fillId="0" borderId="0" xfId="0" applyNumberFormat="1" applyFont="1" applyAlignment="1">
      <alignment vertical="center" wrapText="1"/>
    </xf>
    <xf numFmtId="164" fontId="25" fillId="0" borderId="0" xfId="1" applyNumberFormat="1" applyFont="1" applyFill="1" applyBorder="1" applyAlignment="1">
      <alignment vertical="top" wrapText="1"/>
    </xf>
    <xf numFmtId="165" fontId="25" fillId="0" borderId="0" xfId="0" applyNumberFormat="1" applyFont="1" applyAlignment="1">
      <alignment vertical="top" wrapText="1"/>
    </xf>
    <xf numFmtId="166" fontId="25" fillId="0" borderId="0" xfId="1" applyNumberFormat="1" applyFont="1" applyFill="1" applyBorder="1" applyAlignment="1">
      <alignment vertical="top" wrapText="1"/>
    </xf>
    <xf numFmtId="1" fontId="25" fillId="0" borderId="0" xfId="0" applyNumberFormat="1" applyFont="1" applyAlignment="1">
      <alignment vertical="top" wrapText="1"/>
    </xf>
    <xf numFmtId="1" fontId="25" fillId="0" borderId="0" xfId="0" applyNumberFormat="1" applyFont="1" applyAlignment="1">
      <alignment horizontal="center" vertical="top" wrapText="1"/>
    </xf>
    <xf numFmtId="1" fontId="25" fillId="0" borderId="0" xfId="0" applyNumberFormat="1" applyFont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" fontId="25" fillId="0" borderId="0" xfId="0" applyNumberFormat="1" applyFont="1" applyAlignment="1">
      <alignment horizontal="left" wrapText="1"/>
    </xf>
    <xf numFmtId="0" fontId="26" fillId="0" borderId="0" xfId="0" applyFont="1" applyAlignment="1">
      <alignment wrapText="1"/>
    </xf>
    <xf numFmtId="9" fontId="22" fillId="0" borderId="13" xfId="2" quotePrefix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17" fontId="3" fillId="0" borderId="14" xfId="0" applyNumberFormat="1" applyFont="1" applyBorder="1" applyAlignment="1">
      <alignment vertical="center"/>
    </xf>
    <xf numFmtId="1" fontId="27" fillId="0" borderId="13" xfId="0" applyNumberFormat="1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1" fontId="29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vertical="center" wrapText="1"/>
    </xf>
    <xf numFmtId="0" fontId="28" fillId="0" borderId="16" xfId="0" applyFont="1" applyBorder="1" applyAlignment="1">
      <alignment horizontal="center" vertical="center" wrapText="1"/>
    </xf>
    <xf numFmtId="1" fontId="29" fillId="0" borderId="13" xfId="0" applyNumberFormat="1" applyFont="1" applyBorder="1" applyAlignment="1">
      <alignment vertical="center" wrapText="1"/>
    </xf>
    <xf numFmtId="14" fontId="29" fillId="0" borderId="13" xfId="0" applyNumberFormat="1" applyFont="1" applyBorder="1" applyAlignment="1">
      <alignment vertical="center" wrapText="1"/>
    </xf>
    <xf numFmtId="0" fontId="28" fillId="0" borderId="9" xfId="0" applyFont="1" applyBorder="1" applyAlignment="1">
      <alignment horizontal="center" vertical="center" wrapText="1"/>
    </xf>
    <xf numFmtId="1" fontId="29" fillId="0" borderId="13" xfId="0" applyNumberFormat="1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1" fontId="29" fillId="15" borderId="13" xfId="0" applyNumberFormat="1" applyFont="1" applyFill="1" applyBorder="1" applyAlignment="1">
      <alignment horizontal="center" vertical="center" wrapText="1"/>
    </xf>
    <xf numFmtId="0" fontId="30" fillId="15" borderId="13" xfId="0" applyFont="1" applyFill="1" applyBorder="1" applyAlignment="1">
      <alignment horizontal="center" vertical="center"/>
    </xf>
    <xf numFmtId="1" fontId="29" fillId="15" borderId="13" xfId="0" applyNumberFormat="1" applyFont="1" applyFill="1" applyBorder="1" applyAlignment="1">
      <alignment horizontal="center" vertical="center"/>
    </xf>
    <xf numFmtId="1" fontId="29" fillId="15" borderId="13" xfId="0" applyNumberFormat="1" applyFont="1" applyFill="1" applyBorder="1" applyAlignment="1">
      <alignment vertical="center" wrapText="1"/>
    </xf>
    <xf numFmtId="14" fontId="29" fillId="15" borderId="13" xfId="0" applyNumberFormat="1" applyFont="1" applyFill="1" applyBorder="1" applyAlignment="1">
      <alignment vertical="center" wrapText="1"/>
    </xf>
    <xf numFmtId="0" fontId="33" fillId="0" borderId="0" xfId="0" applyFont="1"/>
    <xf numFmtId="0" fontId="32" fillId="0" borderId="13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15" fontId="0" fillId="0" borderId="0" xfId="0" applyNumberFormat="1" applyAlignment="1">
      <alignment horizontal="left"/>
    </xf>
    <xf numFmtId="1" fontId="22" fillId="0" borderId="13" xfId="0" quotePrefix="1" applyNumberFormat="1" applyFont="1" applyBorder="1" applyAlignment="1">
      <alignment vertical="center" wrapText="1"/>
    </xf>
    <xf numFmtId="164" fontId="22" fillId="0" borderId="13" xfId="1" applyNumberFormat="1" applyFont="1" applyFill="1" applyBorder="1" applyAlignment="1">
      <alignment horizontal="right" vertical="center" wrapText="1"/>
    </xf>
    <xf numFmtId="14" fontId="36" fillId="0" borderId="13" xfId="3" applyNumberFormat="1" applyBorder="1" applyAlignment="1">
      <alignment vertical="center" wrapText="1"/>
    </xf>
    <xf numFmtId="14" fontId="22" fillId="0" borderId="13" xfId="0" quotePrefix="1" applyNumberFormat="1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14" fontId="18" fillId="0" borderId="12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1" fontId="8" fillId="4" borderId="13" xfId="0" applyNumberFormat="1" applyFont="1" applyFill="1" applyBorder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 vertical="center"/>
    </xf>
    <xf numFmtId="1" fontId="8" fillId="6" borderId="13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9" fillId="2" borderId="9" xfId="0" applyNumberFormat="1" applyFont="1" applyFill="1" applyBorder="1" applyAlignment="1">
      <alignment horizontal="center" vertical="center" wrapText="1"/>
    </xf>
    <xf numFmtId="14" fontId="9" fillId="2" borderId="15" xfId="0" applyNumberFormat="1" applyFont="1" applyFill="1" applyBorder="1" applyAlignment="1">
      <alignment horizontal="center" vertical="center" wrapText="1"/>
    </xf>
    <xf numFmtId="14" fontId="9" fillId="2" borderId="16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402"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FFCC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85DFFF"/>
        </patternFill>
      </fill>
    </dxf>
    <dxf>
      <fill>
        <patternFill>
          <bgColor rgb="FF85DFFF"/>
        </patternFill>
      </fill>
    </dxf>
    <dxf>
      <fill>
        <patternFill>
          <bgColor rgb="FFFF6161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6161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FFCC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99CC00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ont>
        <color rgb="FF0000FF"/>
      </font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FF6161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ont>
        <color rgb="FF0000FF"/>
      </font>
    </dxf>
    <dxf>
      <font>
        <color rgb="FF0000FF"/>
      </font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99CC00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85DF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ont>
        <color rgb="FF0000FF"/>
      </font>
    </dxf>
    <dxf>
      <fill>
        <patternFill>
          <bgColor rgb="FFFF6161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99CC00"/>
        </patternFill>
      </fill>
    </dxf>
    <dxf>
      <fill>
        <patternFill>
          <bgColor rgb="FF85DFFF"/>
        </patternFill>
      </fill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  <dxf>
      <fill>
        <patternFill>
          <bgColor rgb="FF99CC00"/>
        </patternFill>
      </fill>
    </dxf>
    <dxf>
      <fill>
        <patternFill>
          <bgColor rgb="FFFFFF66"/>
        </patternFill>
      </fill>
    </dxf>
    <dxf>
      <fill>
        <patternFill>
          <bgColor rgb="FF85DFFF"/>
        </patternFill>
      </fill>
    </dxf>
    <dxf>
      <fill>
        <patternFill>
          <bgColor rgb="FFFFCCFF"/>
        </patternFill>
      </fill>
    </dxf>
    <dxf>
      <fill>
        <patternFill>
          <bgColor rgb="FFFF6161"/>
        </patternFill>
      </fill>
    </dxf>
    <dxf>
      <font>
        <color rgb="FF0000FF"/>
      </font>
    </dxf>
  </dxfs>
  <tableStyles count="0" defaultTableStyle="TableStyleMedium2" defaultPivotStyle="PivotStyleLight16"/>
  <colors>
    <mruColors>
      <color rgb="FF85DFFF"/>
      <color rgb="FF5DFFFF"/>
      <color rgb="FFFFFF66"/>
      <color rgb="FFFFFF99"/>
      <color rgb="FF0000FF"/>
      <color rgb="FFFFCCFF"/>
      <color rgb="FFFF6161"/>
      <color rgb="FFFF6969"/>
      <color rgb="FFFF5050"/>
      <color rgb="FFFFAF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6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Kategori Kontrak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00B0F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DDA-4652-8007-DEEFE30AFB4F}"/>
              </c:ext>
            </c:extLst>
          </c:dPt>
          <c:dPt>
            <c:idx val="1"/>
            <c:bubble3D val="0"/>
            <c:spPr>
              <a:solidFill>
                <a:srgbClr val="FD8745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DDA-4652-8007-DEEFE30AFB4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'Kontrak ALL'!$F$16:$G$16</c:f>
              <c:strCache>
                <c:ptCount val="2"/>
                <c:pt idx="0">
                  <c:v>Penting</c:v>
                </c:pt>
                <c:pt idx="1">
                  <c:v>Biasa</c:v>
                </c:pt>
              </c:strCache>
            </c:strRef>
          </c:cat>
          <c:val>
            <c:numRef>
              <c:f>'Kontrak ALL'!$F$29:$G$29</c:f>
              <c:numCache>
                <c:formatCode>0</c:formatCode>
                <c:ptCount val="2"/>
                <c:pt idx="0">
                  <c:v>102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DA-4652-8007-DEEFE30AF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Kontrak "Penting"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17719245384549"/>
          <c:y val="0.13577786110069576"/>
          <c:w val="0.48010267878761703"/>
          <c:h val="0.84094171561888098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5FD-4436-8DF4-F1C67196935E}"/>
              </c:ext>
            </c:extLst>
          </c:dPt>
          <c:dPt>
            <c:idx val="1"/>
            <c:bubble3D val="0"/>
            <c:spPr>
              <a:solidFill>
                <a:srgbClr val="FEF76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5FD-4436-8DF4-F1C67196935E}"/>
              </c:ext>
            </c:extLst>
          </c:dPt>
          <c:dPt>
            <c:idx val="2"/>
            <c:bubble3D val="0"/>
            <c:spPr>
              <a:solidFill>
                <a:srgbClr val="66FF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5FD-4436-8DF4-F1C67196935E}"/>
              </c:ext>
            </c:extLst>
          </c:dPt>
          <c:dPt>
            <c:idx val="3"/>
            <c:bubble3D val="0"/>
            <c:spPr>
              <a:solidFill>
                <a:srgbClr val="F84E4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5FD-4436-8DF4-F1C67196935E}"/>
              </c:ext>
            </c:extLst>
          </c:dPt>
          <c:dPt>
            <c:idx val="4"/>
            <c:bubble3D val="0"/>
            <c:spPr>
              <a:solidFill>
                <a:srgbClr val="FF99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5FD-4436-8DF4-F1C67196935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'Kontrak ALL'!$I$16:$M$17</c:f>
              <c:multiLvlStrCache>
                <c:ptCount val="5"/>
                <c:lvl>
                  <c:pt idx="0">
                    <c:v>Aktif</c:v>
                  </c:pt>
                  <c:pt idx="1">
                    <c:v>Kadaluarsa&lt;=0 Bulan</c:v>
                  </c:pt>
                  <c:pt idx="2">
                    <c:v>End Contract</c:v>
                  </c:pt>
                  <c:pt idx="3">
                    <c:v>Belum Pernah Ada Kontrak</c:v>
                  </c:pt>
                  <c:pt idx="4">
                    <c:v>Cancel</c:v>
                  </c:pt>
                </c:lvl>
                <c:lvl>
                  <c:pt idx="0">
                    <c:v>Ada Kontrak</c:v>
                  </c:pt>
                  <c:pt idx="3">
                    <c:v>Tidak Ada Kontrak</c:v>
                  </c:pt>
                </c:lvl>
              </c:multiLvlStrCache>
            </c:multiLvlStrRef>
          </c:cat>
          <c:val>
            <c:numRef>
              <c:f>'Kontrak ALL'!$I$29:$M$29</c:f>
              <c:numCache>
                <c:formatCode>0</c:formatCode>
                <c:ptCount val="5"/>
                <c:pt idx="0">
                  <c:v>68</c:v>
                </c:pt>
                <c:pt idx="1">
                  <c:v>30</c:v>
                </c:pt>
                <c:pt idx="2" formatCode="General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FD-4436-8DF4-F1C671969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Kontrak "Biasa"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17719245384549"/>
          <c:y val="0.13577786110069576"/>
          <c:w val="0.48010267878761703"/>
          <c:h val="0.84094171561888098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2F9-48C4-A4F4-1E3037F34970}"/>
              </c:ext>
            </c:extLst>
          </c:dPt>
          <c:dPt>
            <c:idx val="1"/>
            <c:bubble3D val="0"/>
            <c:spPr>
              <a:solidFill>
                <a:srgbClr val="FEF76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2F9-48C4-A4F4-1E3037F34970}"/>
              </c:ext>
            </c:extLst>
          </c:dPt>
          <c:dPt>
            <c:idx val="2"/>
            <c:bubble3D val="0"/>
            <c:spPr>
              <a:solidFill>
                <a:srgbClr val="66FF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2F9-48C4-A4F4-1E3037F34970}"/>
              </c:ext>
            </c:extLst>
          </c:dPt>
          <c:dPt>
            <c:idx val="3"/>
            <c:bubble3D val="0"/>
            <c:spPr>
              <a:solidFill>
                <a:srgbClr val="F84E4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2F9-48C4-A4F4-1E3037F34970}"/>
              </c:ext>
            </c:extLst>
          </c:dPt>
          <c:dPt>
            <c:idx val="4"/>
            <c:bubble3D val="0"/>
            <c:spPr>
              <a:solidFill>
                <a:srgbClr val="FF99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2F9-48C4-A4F4-1E3037F3497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'Kontrak ALL'!$O$16:$S$17</c:f>
              <c:multiLvlStrCache>
                <c:ptCount val="5"/>
                <c:lvl>
                  <c:pt idx="0">
                    <c:v>Aktif</c:v>
                  </c:pt>
                  <c:pt idx="1">
                    <c:v>Kadaluarsa&lt;=0 Bulan</c:v>
                  </c:pt>
                  <c:pt idx="2">
                    <c:v>End Contract</c:v>
                  </c:pt>
                  <c:pt idx="3">
                    <c:v>Belum Pernah Ada Kontrak</c:v>
                  </c:pt>
                  <c:pt idx="4">
                    <c:v>Cancel</c:v>
                  </c:pt>
                </c:lvl>
                <c:lvl>
                  <c:pt idx="0">
                    <c:v>Ada Kontrak</c:v>
                  </c:pt>
                  <c:pt idx="3">
                    <c:v>Tidak Ada Kontrak</c:v>
                  </c:pt>
                </c:lvl>
              </c:multiLvlStrCache>
            </c:multiLvlStrRef>
          </c:cat>
          <c:val>
            <c:numRef>
              <c:f>'Kontrak ALL'!$O$29:$S$29</c:f>
              <c:numCache>
                <c:formatCode>0</c:formatCode>
                <c:ptCount val="5"/>
                <c:pt idx="0">
                  <c:v>113</c:v>
                </c:pt>
                <c:pt idx="1">
                  <c:v>27</c:v>
                </c:pt>
                <c:pt idx="2" formatCode="General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F9-48C4-A4F4-1E3037F34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95249</xdr:colOff>
      <xdr:row>1</xdr:row>
      <xdr:rowOff>76200</xdr:rowOff>
    </xdr:from>
    <xdr:to>
      <xdr:col>24</xdr:col>
      <xdr:colOff>3411682</xdr:colOff>
      <xdr:row>10</xdr:row>
      <xdr:rowOff>171450</xdr:rowOff>
    </xdr:to>
    <xdr:grpSp>
      <xdr:nvGrpSpPr>
        <xdr:cNvPr id="2" name="Group 15">
          <a:extLst>
            <a:ext uri="{FF2B5EF4-FFF2-40B4-BE49-F238E27FC236}">
              <a16:creationId xmlns:a16="http://schemas.microsoft.com/office/drawing/2014/main" id="{C282A523-4431-417B-A31C-B37EAEC7E64C}"/>
            </a:ext>
          </a:extLst>
        </xdr:cNvPr>
        <xdr:cNvGrpSpPr>
          <a:grpSpLocks/>
        </xdr:cNvGrpSpPr>
      </xdr:nvGrpSpPr>
      <xdr:grpSpPr bwMode="auto">
        <a:xfrm>
          <a:off x="35871149" y="152400"/>
          <a:ext cx="12231833" cy="3181350"/>
          <a:chOff x="27443204" y="380999"/>
          <a:chExt cx="2756648" cy="14791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F31739E-FA5D-4CC3-80C6-279F21E8F355}"/>
              </a:ext>
            </a:extLst>
          </xdr:cNvPr>
          <xdr:cNvSpPr/>
        </xdr:nvSpPr>
        <xdr:spPr>
          <a:xfrm>
            <a:off x="29273885" y="380999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Prepared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6260A09-D99B-4805-9318-BCAA1B30EF00}"/>
              </a:ext>
            </a:extLst>
          </xdr:cNvPr>
          <xdr:cNvSpPr/>
        </xdr:nvSpPr>
        <xdr:spPr>
          <a:xfrm>
            <a:off x="28369171" y="380999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978765DE-6576-42F8-BEF4-10F84E5A9F98}"/>
              </a:ext>
            </a:extLst>
          </xdr:cNvPr>
          <xdr:cNvSpPr/>
        </xdr:nvSpPr>
        <xdr:spPr>
          <a:xfrm>
            <a:off x="27443204" y="380999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281D70A5-5318-45D3-A098-D28E0CFB79D3}"/>
              </a:ext>
            </a:extLst>
          </xdr:cNvPr>
          <xdr:cNvSpPr/>
        </xdr:nvSpPr>
        <xdr:spPr>
          <a:xfrm>
            <a:off x="29273885" y="625540"/>
            <a:ext cx="925967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A6C1320-6C39-44A9-B231-FDD0CFB29C81}"/>
              </a:ext>
            </a:extLst>
          </xdr:cNvPr>
          <xdr:cNvSpPr/>
        </xdr:nvSpPr>
        <xdr:spPr>
          <a:xfrm>
            <a:off x="28369171" y="625540"/>
            <a:ext cx="904715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1AD5AA4D-F887-4BBC-99BA-10AEC0CC4DAC}"/>
              </a:ext>
            </a:extLst>
          </xdr:cNvPr>
          <xdr:cNvSpPr/>
        </xdr:nvSpPr>
        <xdr:spPr>
          <a:xfrm>
            <a:off x="27443204" y="625540"/>
            <a:ext cx="925967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26B3F566-C5B4-423B-9120-D0599E152F8D}"/>
              </a:ext>
            </a:extLst>
          </xdr:cNvPr>
          <xdr:cNvSpPr/>
        </xdr:nvSpPr>
        <xdr:spPr>
          <a:xfrm>
            <a:off x="29273885" y="1371093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RIY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E5C5D7B-9F75-45FB-AFD8-1C66D7E54502}"/>
              </a:ext>
            </a:extLst>
          </xdr:cNvPr>
          <xdr:cNvSpPr/>
        </xdr:nvSpPr>
        <xdr:spPr>
          <a:xfrm>
            <a:off x="28369171" y="1371093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STI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A0BABBC-D84D-4237-AA33-FABA59FF68FB}"/>
              </a:ext>
            </a:extLst>
          </xdr:cNvPr>
          <xdr:cNvSpPr/>
        </xdr:nvSpPr>
        <xdr:spPr>
          <a:xfrm>
            <a:off x="27443204" y="1371093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AWI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1540DA41-FA0D-496E-A8C4-794D8426D48E}"/>
              </a:ext>
            </a:extLst>
          </xdr:cNvPr>
          <xdr:cNvSpPr/>
        </xdr:nvSpPr>
        <xdr:spPr>
          <a:xfrm>
            <a:off x="29273885" y="1615634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LEADER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91C9D28-3E7F-45D5-B434-5E91B438FD6A}"/>
              </a:ext>
            </a:extLst>
          </xdr:cNvPr>
          <xdr:cNvSpPr/>
        </xdr:nvSpPr>
        <xdr:spPr>
          <a:xfrm>
            <a:off x="28369171" y="1615634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SUPERVISOR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5E83BEB-8B71-4885-ABD2-D6EABF4013DE}"/>
              </a:ext>
            </a:extLst>
          </xdr:cNvPr>
          <xdr:cNvSpPr/>
        </xdr:nvSpPr>
        <xdr:spPr>
          <a:xfrm>
            <a:off x="27443204" y="1615634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MANAGER</a:t>
            </a:r>
          </a:p>
        </xdr:txBody>
      </xdr:sp>
    </xdr:grpSp>
    <xdr:clientData/>
  </xdr:twoCellAnchor>
  <xdr:twoCellAnchor>
    <xdr:from>
      <xdr:col>2</xdr:col>
      <xdr:colOff>214312</xdr:colOff>
      <xdr:row>33</xdr:row>
      <xdr:rowOff>38100</xdr:rowOff>
    </xdr:from>
    <xdr:to>
      <xdr:col>6</xdr:col>
      <xdr:colOff>4314825</xdr:colOff>
      <xdr:row>51</xdr:row>
      <xdr:rowOff>38100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C73C6BB5-1CD0-4689-AEDD-FA74C346D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666750</xdr:colOff>
      <xdr:row>53</xdr:row>
      <xdr:rowOff>257175</xdr:rowOff>
    </xdr:from>
    <xdr:to>
      <xdr:col>23</xdr:col>
      <xdr:colOff>702685</xdr:colOff>
      <xdr:row>64</xdr:row>
      <xdr:rowOff>247650</xdr:rowOff>
    </xdr:to>
    <xdr:pic>
      <xdr:nvPicPr>
        <xdr:cNvPr id="20" name="Picture 29">
          <a:extLst>
            <a:ext uri="{FF2B5EF4-FFF2-40B4-BE49-F238E27FC236}">
              <a16:creationId xmlns:a16="http://schemas.microsoft.com/office/drawing/2014/main" id="{600FD601-1A46-4E28-A5C0-2747620E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95" t="37782" r="7487" b="19547"/>
        <a:stretch>
          <a:fillRect/>
        </a:stretch>
      </xdr:blipFill>
      <xdr:spPr bwMode="auto">
        <a:xfrm>
          <a:off x="39347775" y="42367200"/>
          <a:ext cx="5979535" cy="355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33</xdr:row>
      <xdr:rowOff>114300</xdr:rowOff>
    </xdr:from>
    <xdr:to>
      <xdr:col>10</xdr:col>
      <xdr:colOff>4191000</xdr:colOff>
      <xdr:row>51</xdr:row>
      <xdr:rowOff>114300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92EB6897-7E8E-46FD-9296-AA25FA71A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23812</xdr:colOff>
      <xdr:row>33</xdr:row>
      <xdr:rowOff>171450</xdr:rowOff>
    </xdr:from>
    <xdr:to>
      <xdr:col>17</xdr:col>
      <xdr:colOff>819150</xdr:colOff>
      <xdr:row>51</xdr:row>
      <xdr:rowOff>171450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BAC679C6-6E18-4B11-99B8-55826709C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0.05713</cdr:x>
      <cdr:y>0.04826</cdr:y>
    </cdr:from>
    <cdr:to>
      <cdr:x>0.24606</cdr:x>
      <cdr:y>0.17493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82254" y="285153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</a:t>
          </a:r>
          <a:r>
            <a:rPr lang="en-US" sz="4000" baseline="0"/>
            <a:t>242</a:t>
          </a:r>
          <a:endParaRPr lang="en-US" sz="4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0.05408</cdr:x>
      <cdr:y>0.04404</cdr:y>
    </cdr:from>
    <cdr:to>
      <cdr:x>0.23979</cdr:x>
      <cdr:y>0.17096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34629" y="261341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</a:t>
          </a:r>
          <a:r>
            <a:rPr lang="en-US" sz="4000" baseline="0"/>
            <a:t>102</a:t>
          </a:r>
          <a:endParaRPr lang="en-US" sz="40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0.05408</cdr:x>
      <cdr:y>0.04801</cdr:y>
    </cdr:from>
    <cdr:to>
      <cdr:x>0.24004</cdr:x>
      <cdr:y>0.17493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34628" y="285153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</a:t>
          </a:r>
          <a:r>
            <a:rPr lang="en-US" sz="4000" baseline="0"/>
            <a:t>140</a:t>
          </a:r>
          <a:endParaRPr lang="en-US" sz="4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m@lakesprecision.com715-546-3070%20(USA)" TargetMode="External"/><Relationship Id="rId2" Type="http://schemas.openxmlformats.org/officeDocument/2006/relationships/hyperlink" Target="mailto:tata9wib1278@gmail.com081%202253%202554" TargetMode="External"/><Relationship Id="rId1" Type="http://schemas.openxmlformats.org/officeDocument/2006/relationships/hyperlink" Target="mailto:info@toman-c.co.jp+81542549600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ata9wib1278@gmail.com081%202253%20255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349"/>
  <sheetViews>
    <sheetView showGridLines="0" tabSelected="1" view="pageBreakPreview" topLeftCell="A42" zoomScale="25" zoomScaleNormal="25" zoomScaleSheetLayoutView="25" workbookViewId="0">
      <selection activeCell="F108" sqref="F108"/>
    </sheetView>
  </sheetViews>
  <sheetFormatPr defaultRowHeight="15" x14ac:dyDescent="0.25"/>
  <cols>
    <col min="1" max="1" width="10.28515625" style="1" customWidth="1"/>
    <col min="2" max="2" width="12.42578125" style="1" customWidth="1"/>
    <col min="3" max="3" width="26.5703125" style="1" bestFit="1" customWidth="1"/>
    <col min="4" max="4" width="16.140625" style="1" customWidth="1"/>
    <col min="5" max="5" width="19.140625" style="1" customWidth="1"/>
    <col min="6" max="6" width="36.85546875" style="1" customWidth="1"/>
    <col min="7" max="7" width="72.42578125" style="2" customWidth="1"/>
    <col min="8" max="8" width="39" style="2" customWidth="1"/>
    <col min="9" max="9" width="24" style="2" customWidth="1"/>
    <col min="10" max="10" width="39.5703125" style="2" customWidth="1"/>
    <col min="11" max="11" width="70.28515625" style="2" customWidth="1"/>
    <col min="12" max="12" width="32" style="2" customWidth="1"/>
    <col min="13" max="13" width="30.140625" style="2" customWidth="1"/>
    <col min="14" max="14" width="24" style="3" customWidth="1"/>
    <col min="15" max="15" width="25.28515625" style="3" customWidth="1"/>
    <col min="16" max="17" width="17.7109375" style="2" customWidth="1"/>
    <col min="18" max="24" width="22.28515625" style="2" customWidth="1"/>
    <col min="25" max="25" width="53.28515625" style="2" customWidth="1"/>
    <col min="26" max="29" width="23.5703125" style="2" customWidth="1"/>
    <col min="30" max="31" width="22.28515625" style="2" customWidth="1"/>
    <col min="32" max="32" width="24.85546875" style="1" customWidth="1"/>
    <col min="33" max="33" width="22.28515625" style="1" customWidth="1"/>
    <col min="34" max="38" width="13.85546875" style="1" customWidth="1"/>
    <col min="39" max="39" width="24.140625" style="1" customWidth="1"/>
    <col min="40" max="41" width="24.7109375" style="1" customWidth="1"/>
    <col min="42" max="44" width="18.42578125" style="1" customWidth="1"/>
    <col min="45" max="46" width="19.85546875" style="1" customWidth="1"/>
    <col min="47" max="53" width="34.85546875" style="1" customWidth="1"/>
    <col min="54" max="16384" width="9.140625" style="1"/>
  </cols>
  <sheetData>
    <row r="1" spans="3:52" ht="5.25" customHeight="1" thickBot="1" x14ac:dyDescent="0.3">
      <c r="AV1" s="4"/>
    </row>
    <row r="2" spans="3:52" ht="25.5" customHeight="1" x14ac:dyDescent="0.25">
      <c r="C2" s="180" t="s">
        <v>1472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2"/>
      <c r="S2" s="111"/>
      <c r="T2" s="111"/>
      <c r="U2" s="111"/>
      <c r="V2" s="111"/>
      <c r="W2" s="111"/>
      <c r="X2" s="111"/>
      <c r="AV2" s="4"/>
    </row>
    <row r="3" spans="3:52" ht="25.5" customHeight="1" x14ac:dyDescent="0.25">
      <c r="C3" s="183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5"/>
      <c r="S3" s="111"/>
      <c r="T3" s="111"/>
      <c r="U3" s="111"/>
      <c r="V3" s="111"/>
      <c r="W3" s="111"/>
      <c r="X3" s="111"/>
      <c r="AV3" s="4"/>
    </row>
    <row r="4" spans="3:52" ht="25.5" customHeight="1" x14ac:dyDescent="0.25">
      <c r="C4" s="183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5"/>
      <c r="S4" s="111"/>
      <c r="T4" s="111"/>
      <c r="U4" s="111"/>
      <c r="V4" s="111"/>
      <c r="W4" s="111"/>
      <c r="X4" s="111"/>
      <c r="AV4" s="4"/>
    </row>
    <row r="5" spans="3:52" ht="25.5" customHeight="1" x14ac:dyDescent="0.25">
      <c r="C5" s="183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5"/>
      <c r="S5" s="111"/>
      <c r="T5" s="111"/>
      <c r="U5" s="111"/>
      <c r="V5" s="111"/>
      <c r="W5" s="111"/>
      <c r="X5" s="111"/>
      <c r="AV5" s="4"/>
    </row>
    <row r="6" spans="3:52" ht="25.5" customHeight="1" x14ac:dyDescent="0.25">
      <c r="C6" s="183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5"/>
      <c r="S6" s="111"/>
      <c r="T6" s="111"/>
      <c r="U6" s="111"/>
      <c r="V6" s="111"/>
      <c r="W6" s="111"/>
      <c r="X6" s="111"/>
      <c r="AV6" s="4"/>
    </row>
    <row r="7" spans="3:52" ht="25.5" customHeight="1" x14ac:dyDescent="0.25">
      <c r="C7" s="183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5"/>
      <c r="S7" s="111"/>
      <c r="T7" s="111"/>
      <c r="U7" s="111"/>
      <c r="V7" s="111"/>
      <c r="W7" s="111"/>
      <c r="X7" s="111"/>
      <c r="AV7" s="4"/>
    </row>
    <row r="8" spans="3:52" ht="25.5" customHeight="1" x14ac:dyDescent="0.25">
      <c r="C8" s="183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5"/>
      <c r="S8" s="111"/>
      <c r="T8" s="111"/>
      <c r="U8" s="111"/>
      <c r="V8" s="111"/>
      <c r="W8" s="111"/>
      <c r="X8" s="111"/>
      <c r="AV8" s="4"/>
    </row>
    <row r="9" spans="3:52" ht="25.5" customHeight="1" x14ac:dyDescent="0.25">
      <c r="C9" s="183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5"/>
      <c r="S9" s="111"/>
      <c r="T9" s="111"/>
      <c r="U9" s="111"/>
      <c r="V9" s="111"/>
      <c r="W9" s="111"/>
      <c r="X9" s="111"/>
      <c r="AV9" s="4"/>
    </row>
    <row r="10" spans="3:52" ht="25.5" customHeight="1" x14ac:dyDescent="0.25">
      <c r="C10" s="183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5"/>
      <c r="S10" s="111"/>
      <c r="T10" s="111"/>
      <c r="U10" s="111"/>
      <c r="V10" s="111"/>
      <c r="W10" s="111"/>
      <c r="X10" s="111"/>
      <c r="AV10" s="4"/>
    </row>
    <row r="11" spans="3:52" ht="25.5" customHeight="1" thickBot="1" x14ac:dyDescent="0.3">
      <c r="C11" s="186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8"/>
      <c r="S11" s="111"/>
      <c r="T11" s="111"/>
      <c r="U11" s="111"/>
      <c r="V11" s="111"/>
      <c r="W11" s="111"/>
      <c r="X11" s="111"/>
      <c r="AV11" s="4"/>
    </row>
    <row r="12" spans="3:52" ht="25.5" customHeight="1" x14ac:dyDescent="0.25">
      <c r="AD12" s="5"/>
      <c r="AV12" s="4"/>
    </row>
    <row r="13" spans="3:52" ht="25.5" customHeight="1" x14ac:dyDescent="0.65">
      <c r="G13" s="1"/>
      <c r="H13" s="6"/>
      <c r="N13" s="7"/>
      <c r="O13" s="8"/>
      <c r="Q13" s="9"/>
      <c r="R13" s="9"/>
      <c r="V13" s="9"/>
      <c r="W13" s="9"/>
      <c r="X13" s="10" t="s">
        <v>0</v>
      </c>
      <c r="Y13" s="11">
        <f ca="1">TODAY()</f>
        <v>45258</v>
      </c>
      <c r="AV13" s="4"/>
    </row>
    <row r="14" spans="3:52" ht="25.5" customHeight="1" x14ac:dyDescent="0.25">
      <c r="Q14" s="9"/>
      <c r="R14" s="9"/>
      <c r="S14" s="9"/>
      <c r="T14" s="9"/>
      <c r="U14" s="9"/>
      <c r="V14" s="9"/>
      <c r="W14" s="9"/>
      <c r="X14" s="9"/>
      <c r="AV14" s="4"/>
    </row>
    <row r="15" spans="3:52" ht="72.75" customHeight="1" x14ac:dyDescent="0.25">
      <c r="C15" s="189" t="s">
        <v>1</v>
      </c>
      <c r="D15" s="189" t="s">
        <v>2</v>
      </c>
      <c r="E15" s="189" t="s">
        <v>3</v>
      </c>
      <c r="F15" s="192" t="s">
        <v>4</v>
      </c>
      <c r="G15" s="193"/>
      <c r="H15" s="194"/>
      <c r="I15" s="195" t="s">
        <v>5</v>
      </c>
      <c r="J15" s="195"/>
      <c r="K15" s="195"/>
      <c r="L15" s="195"/>
      <c r="M15" s="195"/>
      <c r="N15" s="195"/>
      <c r="O15" s="196" t="s">
        <v>6</v>
      </c>
      <c r="P15" s="196"/>
      <c r="Q15" s="196"/>
      <c r="R15" s="196"/>
      <c r="S15" s="196"/>
      <c r="T15" s="196"/>
      <c r="U15" s="199" t="s">
        <v>7</v>
      </c>
      <c r="V15" s="200"/>
      <c r="W15" s="201"/>
      <c r="X15" s="198" t="s">
        <v>8</v>
      </c>
      <c r="Y15" s="198"/>
      <c r="Z15" s="12"/>
      <c r="AA15" s="13"/>
      <c r="AB15" s="13"/>
      <c r="AC15" s="13"/>
      <c r="AM15" s="14"/>
      <c r="AS15" s="2"/>
      <c r="AT15" s="2"/>
      <c r="AX15" s="15"/>
      <c r="AY15" s="15"/>
      <c r="AZ15" s="15"/>
    </row>
    <row r="16" spans="3:52" ht="72.75" customHeight="1" x14ac:dyDescent="0.25">
      <c r="C16" s="190"/>
      <c r="D16" s="190"/>
      <c r="E16" s="190"/>
      <c r="F16" s="202" t="s">
        <v>5</v>
      </c>
      <c r="G16" s="204" t="s">
        <v>6</v>
      </c>
      <c r="H16" s="206" t="s">
        <v>9</v>
      </c>
      <c r="I16" s="197" t="s">
        <v>10</v>
      </c>
      <c r="J16" s="197"/>
      <c r="K16" s="197"/>
      <c r="L16" s="198" t="s">
        <v>11</v>
      </c>
      <c r="M16" s="198"/>
      <c r="N16" s="195" t="s">
        <v>9</v>
      </c>
      <c r="O16" s="197" t="s">
        <v>10</v>
      </c>
      <c r="P16" s="197"/>
      <c r="Q16" s="197"/>
      <c r="R16" s="198" t="s">
        <v>11</v>
      </c>
      <c r="S16" s="198"/>
      <c r="T16" s="196" t="s">
        <v>9</v>
      </c>
      <c r="U16" s="174" t="s">
        <v>12</v>
      </c>
      <c r="V16" s="176" t="s">
        <v>13</v>
      </c>
      <c r="W16" s="178" t="s">
        <v>14</v>
      </c>
      <c r="X16" s="208" t="s">
        <v>15</v>
      </c>
      <c r="Y16" s="157" t="s">
        <v>16</v>
      </c>
      <c r="Z16" s="12"/>
      <c r="AA16" s="13"/>
      <c r="AB16" s="13"/>
      <c r="AC16" s="13"/>
      <c r="AM16" s="14"/>
      <c r="AP16" s="159"/>
      <c r="AQ16" s="160"/>
      <c r="AR16" s="160"/>
      <c r="AS16" s="160"/>
      <c r="AZ16" s="15"/>
    </row>
    <row r="17" spans="3:75" ht="115.5" customHeight="1" x14ac:dyDescent="0.25">
      <c r="C17" s="191"/>
      <c r="D17" s="191"/>
      <c r="E17" s="191"/>
      <c r="F17" s="203"/>
      <c r="G17" s="205"/>
      <c r="H17" s="207"/>
      <c r="I17" s="16" t="s">
        <v>12</v>
      </c>
      <c r="J17" s="17" t="s">
        <v>13</v>
      </c>
      <c r="K17" s="18" t="s">
        <v>14</v>
      </c>
      <c r="L17" s="19" t="s">
        <v>15</v>
      </c>
      <c r="M17" s="20" t="s">
        <v>16</v>
      </c>
      <c r="N17" s="195"/>
      <c r="O17" s="16" t="s">
        <v>12</v>
      </c>
      <c r="P17" s="17" t="s">
        <v>13</v>
      </c>
      <c r="Q17" s="18" t="s">
        <v>14</v>
      </c>
      <c r="R17" s="19" t="s">
        <v>15</v>
      </c>
      <c r="S17" s="20" t="s">
        <v>16</v>
      </c>
      <c r="T17" s="196"/>
      <c r="U17" s="175"/>
      <c r="V17" s="177"/>
      <c r="W17" s="179"/>
      <c r="X17" s="209"/>
      <c r="Y17" s="158"/>
      <c r="Z17" s="12"/>
      <c r="AA17" s="13"/>
      <c r="AB17" s="13"/>
      <c r="AC17" s="13"/>
      <c r="AF17" s="2"/>
      <c r="AG17" s="2"/>
      <c r="AP17" s="12"/>
      <c r="AQ17" s="13"/>
      <c r="AR17" s="13"/>
      <c r="AS17" s="13"/>
    </row>
    <row r="18" spans="3:75" ht="25.5" customHeight="1" x14ac:dyDescent="0.25">
      <c r="C18" s="21">
        <v>1</v>
      </c>
      <c r="D18" s="153" t="s">
        <v>18</v>
      </c>
      <c r="E18" s="21" t="s">
        <v>19</v>
      </c>
      <c r="F18" s="22">
        <f>COUNTIFS($Q$68:$Q$309,"GA",$X$68:$X$309,"Penting")</f>
        <v>26</v>
      </c>
      <c r="G18" s="22">
        <f>COUNTIFS($Q$68:$Q$309,"GA",$X$68:$X$309,"Biasa")</f>
        <v>85</v>
      </c>
      <c r="H18" s="22">
        <f t="shared" ref="H18:H29" si="0">SUM(F18:G18)</f>
        <v>111</v>
      </c>
      <c r="I18" s="23">
        <f ca="1">COUNTIFS($Q$68:$Q$309,"GA",$S$68:$S$309,"O",$X$68:$X$309,"Penting")</f>
        <v>11</v>
      </c>
      <c r="J18" s="23">
        <f ca="1">COUNTIFS($Q$68:$Q$309,"GA",$S$68:$S$309,"Y",$X$68:$X$309,"Penting")</f>
        <v>15</v>
      </c>
      <c r="K18" s="23">
        <f ca="1">COUNTIFS($Q$68:$Q$309,"GA",$S$68:$S$309,"Z",$X$68:$X$309,"Penting")</f>
        <v>0</v>
      </c>
      <c r="L18" s="23">
        <f ca="1">COUNTIFS($Q$68:$Q$309,"GA",$S$68:$S$309,"X",$X$68:$X$309,"Penting")</f>
        <v>0</v>
      </c>
      <c r="M18" s="23">
        <f ca="1">COUNTIFS($Q$68:$Q$309,"GA",$S$68:$S$309,"C",$X$68:$X$309,"Penting")</f>
        <v>0</v>
      </c>
      <c r="N18" s="23">
        <f t="shared" ref="N18:N29" ca="1" si="1">SUM(I18:M18)</f>
        <v>26</v>
      </c>
      <c r="O18" s="22">
        <f ca="1">COUNTIFS($Q$68:$Q$309,"GA",$S$68:$S$309,"O",$X$68:$X$309,"Biasa")</f>
        <v>72</v>
      </c>
      <c r="P18" s="22">
        <f ca="1">COUNTIFS($Q$68:$Q$309,"GA",$S$68:$S$309,"Y",$X$68:$X$309,"Biasa")</f>
        <v>13</v>
      </c>
      <c r="Q18" s="22">
        <f ca="1">COUNTIFS($Q$68:$Q$309,"GA",$S$68:$S$309,"Z",$X$68:$X$309,"Biasa")</f>
        <v>0</v>
      </c>
      <c r="R18" s="22">
        <f ca="1">COUNTIFS($Q$68:$Q$309,"GA",$S$68:$S$309,"X",$X$68:$X$309,"Biasa")</f>
        <v>0</v>
      </c>
      <c r="S18" s="22">
        <f ca="1">COUNTIFS($Q$68:$Q$309,"GA",$S$68:$S$309,"C",$X$68:$X$309,"Biasa")</f>
        <v>0</v>
      </c>
      <c r="T18" s="22">
        <f t="shared" ref="T18:T29" ca="1" si="2">SUM(O18:S18)</f>
        <v>85</v>
      </c>
      <c r="U18" s="22">
        <f t="shared" ref="U18:U28" ca="1" si="3">I18+O18</f>
        <v>83</v>
      </c>
      <c r="V18" s="22">
        <f t="shared" ref="V18:V28" ca="1" si="4">J18+P18</f>
        <v>28</v>
      </c>
      <c r="W18" s="24">
        <f t="shared" ref="W18:W28" ca="1" si="5">K18+Q18</f>
        <v>0</v>
      </c>
      <c r="X18" s="22">
        <f t="shared" ref="X18:X28" ca="1" si="6">L18+R18</f>
        <v>0</v>
      </c>
      <c r="Y18" s="24">
        <f t="shared" ref="Y18:Y28" ca="1" si="7">M18+S18</f>
        <v>0</v>
      </c>
      <c r="Z18" s="25"/>
      <c r="AA18" s="26"/>
      <c r="AB18" s="26"/>
      <c r="AC18" s="26"/>
      <c r="AF18" s="2"/>
      <c r="AG18" s="2"/>
      <c r="AP18" s="114"/>
      <c r="AQ18" s="4"/>
      <c r="AR18" s="4"/>
      <c r="AS18" s="4"/>
    </row>
    <row r="19" spans="3:75" ht="25.5" customHeight="1" x14ac:dyDescent="0.25">
      <c r="C19" s="21">
        <v>2</v>
      </c>
      <c r="D19" s="154"/>
      <c r="E19" s="21" t="s">
        <v>20</v>
      </c>
      <c r="F19" s="22">
        <f>COUNTIFS($Q$68:$Q$309,"SHE",$X$68:$X$309,"Penting")</f>
        <v>4</v>
      </c>
      <c r="G19" s="22">
        <f>COUNTIFS($Q$68:$Q$309,"SHE",$X$68:$X$309,"Biasa")</f>
        <v>1</v>
      </c>
      <c r="H19" s="22">
        <f t="shared" si="0"/>
        <v>5</v>
      </c>
      <c r="I19" s="22">
        <f ca="1">COUNTIFS($Q$68:$Q$309,"SHE",$S$68:$S$309,"O",$X$68:$X$309,"Penting")</f>
        <v>2</v>
      </c>
      <c r="J19" s="22">
        <f ca="1">COUNTIFS($Q$68:$Q$309,"SHE",$S$68:$S$309,"Y",$X$68:$X$309,"Penting")</f>
        <v>2</v>
      </c>
      <c r="K19" s="22">
        <f ca="1">COUNTIFS($Q$68:$Q$309,"SHE",$S$68:$S$309,"Z",$X$68:$X$309,"Penting")</f>
        <v>0</v>
      </c>
      <c r="L19" s="22">
        <f ca="1">COUNTIFS($Q$68:$Q$309,"SHE",$S$68:$S$309,"X",$X$68:$X$309,"Penting")</f>
        <v>0</v>
      </c>
      <c r="M19" s="23">
        <f ca="1">COUNTIFS($Q$68:$Q$309,"SHE",$S$68:$S$309,"C",$X$68:$X$309,"Penting")</f>
        <v>0</v>
      </c>
      <c r="N19" s="23">
        <f t="shared" ca="1" si="1"/>
        <v>4</v>
      </c>
      <c r="O19" s="22">
        <f ca="1">COUNTIFS($Q$68:$Q$309,"SHE",$S$68:$S$309,"O",$X$68:$X$309,"Biasa")</f>
        <v>1</v>
      </c>
      <c r="P19" s="22">
        <f ca="1">COUNTIFS($Q$68:$Q$309,"SHE",$S$68:$S$309,"Y",$X$68:$X$309,"Biasa")</f>
        <v>0</v>
      </c>
      <c r="Q19" s="22">
        <f ca="1">COUNTIFS($Q$68:$Q$309,"SHE",$S$68:$S$309,"Z",$X$68:$X$309,"Biasa")</f>
        <v>0</v>
      </c>
      <c r="R19" s="22">
        <f ca="1">COUNTIFS($Q$68:$Q$309,"SHE",$S$68:$S$309,"X",$X$68:$X$309,"Biasa")</f>
        <v>0</v>
      </c>
      <c r="S19" s="22">
        <f ca="1">COUNTIFS($Q$68:$Q$309,"SHE",$S$68:$S$309,"C",$X$68:$X$309,"Biasa")</f>
        <v>0</v>
      </c>
      <c r="T19" s="22">
        <f t="shared" ca="1" si="2"/>
        <v>1</v>
      </c>
      <c r="U19" s="22">
        <f t="shared" ca="1" si="3"/>
        <v>3</v>
      </c>
      <c r="V19" s="22">
        <f t="shared" ca="1" si="4"/>
        <v>2</v>
      </c>
      <c r="W19" s="24">
        <f t="shared" ca="1" si="5"/>
        <v>0</v>
      </c>
      <c r="X19" s="22">
        <f t="shared" ca="1" si="6"/>
        <v>0</v>
      </c>
      <c r="Y19" s="24">
        <f t="shared" ca="1" si="7"/>
        <v>0</v>
      </c>
      <c r="Z19" s="25"/>
      <c r="AA19" s="26"/>
      <c r="AB19" s="26"/>
      <c r="AC19" s="26"/>
      <c r="AF19" s="2"/>
      <c r="AG19" s="2"/>
      <c r="AP19" s="114"/>
      <c r="AQ19" s="4"/>
      <c r="AR19" s="4"/>
      <c r="AS19" s="4"/>
    </row>
    <row r="20" spans="3:75" ht="25.5" customHeight="1" x14ac:dyDescent="0.25">
      <c r="C20" s="21">
        <v>3</v>
      </c>
      <c r="D20" s="154"/>
      <c r="E20" s="21" t="s">
        <v>23</v>
      </c>
      <c r="F20" s="22">
        <f>COUNTIFS($Q$68:$Q$309,"HR",$X$68:$X$309,"Penting")</f>
        <v>0</v>
      </c>
      <c r="G20" s="22">
        <f>COUNTIFS($Q$68:$Q$309,"HR",$X$68:$X$309,"Biasa")</f>
        <v>8</v>
      </c>
      <c r="H20" s="22">
        <f t="shared" si="0"/>
        <v>8</v>
      </c>
      <c r="I20" s="22">
        <f ca="1">COUNTIFS($Q$68:$Q$309,"HR",$S$68:$S$309,"O",$X$68:$X$309,"Penting")</f>
        <v>0</v>
      </c>
      <c r="J20" s="22">
        <f ca="1">COUNTIFS($Q$68:$Q$309,"HR",$S$68:$S$309,"Y",$X$68:$X$309,"Penting")</f>
        <v>0</v>
      </c>
      <c r="K20" s="22">
        <f ca="1">COUNTIFS($Q$68:$Q$309,"HR",$S$68:$S$309,"Z",$X$68:$X$309,"Penting")</f>
        <v>0</v>
      </c>
      <c r="L20" s="22">
        <f ca="1">COUNTIFS($Q$68:$Q$309,"HR",$S$68:$S$309,"X",$X$68:$X$309,"Penting")</f>
        <v>0</v>
      </c>
      <c r="M20" s="23">
        <f ca="1">COUNTIFS($Q$68:$Q$309,"HR",$S$68:$S$309,"C",$X$68:$X$309,"Penting")</f>
        <v>0</v>
      </c>
      <c r="N20" s="23">
        <f t="shared" ca="1" si="1"/>
        <v>0</v>
      </c>
      <c r="O20" s="22">
        <f ca="1">COUNTIFS($Q$68:$Q$309,"HR",$S$68:$S$309,"O",$X$68:$X$309,"Biasa")</f>
        <v>6</v>
      </c>
      <c r="P20" s="22">
        <f ca="1">COUNTIFS($Q$68:$Q$309,"HR",$S$68:$S$309,"Y",$X$68:$X$309,"Biasa")</f>
        <v>2</v>
      </c>
      <c r="Q20" s="22">
        <f ca="1">COUNTIFS($Q$68:$Q$309,"HR",$S$68:$S$309,"Z",$X$68:$X$309,"Biasa")</f>
        <v>0</v>
      </c>
      <c r="R20" s="22">
        <f ca="1">COUNTIFS($Q$68:$Q$309,"HR",$S$68:$S$309,"X",$X$68:$X$309,"Biasa")</f>
        <v>0</v>
      </c>
      <c r="S20" s="22">
        <f ca="1">COUNTIFS($Q$68:$Q$309,"HR",$S$68:$S$309,"C",$X$68:$X$309,"Biasa")</f>
        <v>0</v>
      </c>
      <c r="T20" s="22">
        <f t="shared" ca="1" si="2"/>
        <v>8</v>
      </c>
      <c r="U20" s="22">
        <f t="shared" ca="1" si="3"/>
        <v>6</v>
      </c>
      <c r="V20" s="22">
        <f t="shared" ca="1" si="4"/>
        <v>2</v>
      </c>
      <c r="W20" s="24">
        <f t="shared" ca="1" si="5"/>
        <v>0</v>
      </c>
      <c r="X20" s="22">
        <f t="shared" ca="1" si="6"/>
        <v>0</v>
      </c>
      <c r="Y20" s="24">
        <f t="shared" ca="1" si="7"/>
        <v>0</v>
      </c>
      <c r="Z20" s="25"/>
      <c r="AA20" s="26"/>
      <c r="AB20" s="26"/>
      <c r="AC20" s="26"/>
      <c r="AF20" s="2"/>
      <c r="AG20" s="2"/>
      <c r="AP20" s="114"/>
      <c r="AQ20" s="28"/>
      <c r="AR20" s="28"/>
      <c r="AS20" s="4"/>
    </row>
    <row r="21" spans="3:75" ht="25.5" customHeight="1" x14ac:dyDescent="0.25">
      <c r="C21" s="21">
        <v>4</v>
      </c>
      <c r="D21" s="155"/>
      <c r="E21" s="21" t="s">
        <v>26</v>
      </c>
      <c r="F21" s="22">
        <f>COUNTIFS($Q$68:$Q$309,"IT",$X$68:$X$309,"Penting")</f>
        <v>3</v>
      </c>
      <c r="G21" s="22">
        <f>COUNTIFS($Q$68:$Q$309,"IT",$X$68:$X$309,"Biasa")</f>
        <v>8</v>
      </c>
      <c r="H21" s="22">
        <f t="shared" si="0"/>
        <v>11</v>
      </c>
      <c r="I21" s="22">
        <f ca="1">COUNTIFS($Q$68:$Q$309,"IT",$S$68:$S$309,"O",$X$68:$X$309,"Penting")</f>
        <v>3</v>
      </c>
      <c r="J21" s="22">
        <f ca="1">COUNTIFS($Q$68:$Q$309,"IT",$S$68:$S$309,"Y",$X$68:$X$309,"Penting")</f>
        <v>0</v>
      </c>
      <c r="K21" s="22">
        <f ca="1">COUNTIFS($Q$68:$Q$309,"IT",$S$68:$S$309,"Z",$X$68:$X$309,"Penting")</f>
        <v>0</v>
      </c>
      <c r="L21" s="22">
        <f ca="1">COUNTIFS($Q$68:$Q$309,"IT",$S$68:$S$309,"X",$X$68:$X$309,"Penting")</f>
        <v>0</v>
      </c>
      <c r="M21" s="23">
        <f ca="1">COUNTIFS($Q$68:$Q$309,"IT",$S$68:$S$309,"C",$X$68:$X$309,"Penting")</f>
        <v>0</v>
      </c>
      <c r="N21" s="23">
        <f t="shared" ca="1" si="1"/>
        <v>3</v>
      </c>
      <c r="O21" s="22">
        <f ca="1">COUNTIFS($Q$68:$Q$309,"IT",$S$68:$S$309,"O",$X$68:$X$309,"Biasa")</f>
        <v>7</v>
      </c>
      <c r="P21" s="22">
        <f ca="1">COUNTIFS($Q$68:$Q$309,"IT",$S$68:$S$309,"Y",$X$68:$X$309,"Biasa")</f>
        <v>1</v>
      </c>
      <c r="Q21" s="22">
        <f ca="1">COUNTIFS($Q$68:$Q$309,"IT",$S$68:$S$309,"Z",$X$68:$X$309,"Biasa")</f>
        <v>0</v>
      </c>
      <c r="R21" s="22">
        <f ca="1">COUNTIFS($Q$68:$Q$309,"IT",$S$68:$S$309,"X",$X$68:$X$309,"Biasa")</f>
        <v>0</v>
      </c>
      <c r="S21" s="22">
        <f ca="1">COUNTIFS($Q$68:$Q$309,"IT",$S$68:$S$309,"C",$X$68:$X$309,"Biasa")</f>
        <v>0</v>
      </c>
      <c r="T21" s="22">
        <f t="shared" ca="1" si="2"/>
        <v>8</v>
      </c>
      <c r="U21" s="22">
        <f t="shared" ca="1" si="3"/>
        <v>10</v>
      </c>
      <c r="V21" s="22">
        <f t="shared" ca="1" si="4"/>
        <v>1</v>
      </c>
      <c r="W21" s="24">
        <f t="shared" ca="1" si="5"/>
        <v>0</v>
      </c>
      <c r="X21" s="22">
        <f t="shared" ca="1" si="6"/>
        <v>0</v>
      </c>
      <c r="Y21" s="24">
        <f t="shared" ca="1" si="7"/>
        <v>0</v>
      </c>
      <c r="Z21" s="25"/>
      <c r="AA21" s="26"/>
      <c r="AB21" s="26"/>
      <c r="AC21" s="26"/>
      <c r="AF21" s="2"/>
      <c r="AG21" s="2"/>
      <c r="AP21" s="114"/>
      <c r="AQ21" s="28"/>
      <c r="AR21" s="28"/>
      <c r="AS21" s="4"/>
    </row>
    <row r="22" spans="3:75" ht="25.5" customHeight="1" x14ac:dyDescent="0.25">
      <c r="C22" s="21">
        <v>5</v>
      </c>
      <c r="D22" s="153" t="s">
        <v>28</v>
      </c>
      <c r="E22" s="21" t="s">
        <v>21</v>
      </c>
      <c r="F22" s="22">
        <f>COUNTIFS($Q$68:$Q$309,"EXIM",$X$68:$X$309,"Penting")</f>
        <v>16</v>
      </c>
      <c r="G22" s="22">
        <f>COUNTIFS($Q$68:$Q$309,"EXIM",$X$68:$X$309,"Biasa")</f>
        <v>0</v>
      </c>
      <c r="H22" s="22">
        <f t="shared" si="0"/>
        <v>16</v>
      </c>
      <c r="I22" s="22">
        <f ca="1">COUNTIFS($Q$68:$Q$309,"EXIM",$S$68:$S$309,"O",$X$68:$X$309,"Penting")</f>
        <v>12</v>
      </c>
      <c r="J22" s="22">
        <f ca="1">COUNTIFS($Q$68:$Q$309,"EXIM",$S$68:$S$309,"Y",$X$68:$X$309,"Penting")</f>
        <v>4</v>
      </c>
      <c r="K22" s="22">
        <f ca="1">COUNTIFS($Q$68:$Q$309,"EXIM",$S$68:$S$309,"Z",$X$68:$X$309,"Penting")</f>
        <v>0</v>
      </c>
      <c r="L22" s="22">
        <f ca="1">COUNTIFS($Q$68:$Q$309,"EXIM",$S$68:$S$309,"X",$X$68:$X$309,"Penting")</f>
        <v>0</v>
      </c>
      <c r="M22" s="23">
        <f ca="1">COUNTIFS($Q$68:$Q$309,"EXIM",$S$68:$S$309,"C",$X$68:$X$309,"Penting")</f>
        <v>0</v>
      </c>
      <c r="N22" s="23">
        <f t="shared" ca="1" si="1"/>
        <v>16</v>
      </c>
      <c r="O22" s="22">
        <f ca="1">COUNTIFS($Q$68:$Q$309,"EXIM",$S$68:$S$309,"O",$X$68:$X$309,"Biasa")</f>
        <v>0</v>
      </c>
      <c r="P22" s="22">
        <f ca="1">COUNTIFS($Q$68:$Q$309,"EXIM",$S$68:$S$309,"Y",$X$68:$X$309,"Biasa")</f>
        <v>0</v>
      </c>
      <c r="Q22" s="22">
        <f ca="1">COUNTIFS($Q$68:$Q$309,"EXIM",$S$68:$S$309,"Z",$X$68:$X$309,"Biasa")</f>
        <v>0</v>
      </c>
      <c r="R22" s="22">
        <f ca="1">COUNTIFS($Q$68:$Q$309,"EXIM",$S$68:$S$309,"X",$X$68:$X$309,"Biasa")</f>
        <v>0</v>
      </c>
      <c r="S22" s="22">
        <f ca="1">COUNTIFS($Q$68:$Q$309,"EXIM",$S$68:$S$309,"C",$X$68:$X$309,"Biasa")</f>
        <v>0</v>
      </c>
      <c r="T22" s="22">
        <f t="shared" ca="1" si="2"/>
        <v>0</v>
      </c>
      <c r="U22" s="22">
        <f t="shared" ca="1" si="3"/>
        <v>12</v>
      </c>
      <c r="V22" s="22">
        <f t="shared" ca="1" si="4"/>
        <v>4</v>
      </c>
      <c r="W22" s="24">
        <f t="shared" ca="1" si="5"/>
        <v>0</v>
      </c>
      <c r="X22" s="22">
        <f t="shared" ca="1" si="6"/>
        <v>0</v>
      </c>
      <c r="Y22" s="24">
        <f t="shared" ca="1" si="7"/>
        <v>0</v>
      </c>
      <c r="Z22" s="25"/>
      <c r="AA22" s="26"/>
      <c r="AB22" s="26"/>
      <c r="AC22" s="26"/>
      <c r="AF22" s="2"/>
      <c r="AG22" s="2"/>
      <c r="AP22" s="114"/>
      <c r="AQ22" s="28"/>
      <c r="AR22" s="28"/>
      <c r="AS22" s="4"/>
    </row>
    <row r="23" spans="3:75" ht="25.5" customHeight="1" x14ac:dyDescent="0.25">
      <c r="C23" s="21">
        <v>6</v>
      </c>
      <c r="D23" s="154"/>
      <c r="E23" s="21" t="s">
        <v>27</v>
      </c>
      <c r="F23" s="22">
        <f>COUNTIFS($Q$68:$Q$309,"PPC",$X$68:$X$309,"Penting")</f>
        <v>8</v>
      </c>
      <c r="G23" s="22">
        <f>COUNTIFS($Q$68:$Q$309,"PPC",$X$68:$X$309,"Biasa")</f>
        <v>0</v>
      </c>
      <c r="H23" s="22">
        <f t="shared" si="0"/>
        <v>8</v>
      </c>
      <c r="I23" s="22">
        <f ca="1">COUNTIFS($Q$68:$Q$309,"PPC",$S$68:$S$309,"O",$X$68:$X$309,"Penting")</f>
        <v>7</v>
      </c>
      <c r="J23" s="22">
        <f ca="1">COUNTIFS($Q$68:$Q$309,"PPC",$S$68:$S$309,"Y",$X$68:$X$309,"Penting")</f>
        <v>1</v>
      </c>
      <c r="K23" s="22">
        <f ca="1">COUNTIFS($Q$68:$Q$309,"PPC",$S$68:$S$309,"Z",$X$68:$X$309,"Penting")</f>
        <v>0</v>
      </c>
      <c r="L23" s="22">
        <f ca="1">COUNTIFS($Q$68:$Q$309,"PPC",$S$68:$S$309,"X",$X$68:$X$309,"Penting")</f>
        <v>0</v>
      </c>
      <c r="M23" s="23">
        <f ca="1">COUNTIFS($Q$68:$Q$309,"PPC",$S$68:$S$309,"C",$X$68:$X$309,"Penting")</f>
        <v>0</v>
      </c>
      <c r="N23" s="23">
        <f t="shared" ca="1" si="1"/>
        <v>8</v>
      </c>
      <c r="O23" s="22">
        <f ca="1">COUNTIFS($Q$68:$Q$309,"PPC",$S$68:$S$309,"O",$X$68:$X$309,"Biasa")</f>
        <v>0</v>
      </c>
      <c r="P23" s="22">
        <f ca="1">COUNTIFS($Q$68:$Q$309,"PPC",$S$68:$S$309,"Y",$X$68:$X$309,"Biasa")</f>
        <v>0</v>
      </c>
      <c r="Q23" s="22">
        <f ca="1">COUNTIFS($Q$68:$Q$309,"PPC",$S$68:$S$309,"Z",$X$68:$X$309,"Biasa")</f>
        <v>0</v>
      </c>
      <c r="R23" s="22">
        <f ca="1">COUNTIFS($Q$68:$Q$309,"PPC",$S$68:$S$309,"X",$X$68:$X$309,"Biasa")</f>
        <v>0</v>
      </c>
      <c r="S23" s="22">
        <f ca="1">COUNTIFS($Q$68:$Q$309,"PPC",$S$68:$S$309,"C",$X$68:$X$309,"Biasa")</f>
        <v>0</v>
      </c>
      <c r="T23" s="22">
        <f t="shared" ca="1" si="2"/>
        <v>0</v>
      </c>
      <c r="U23" s="22">
        <f t="shared" ca="1" si="3"/>
        <v>7</v>
      </c>
      <c r="V23" s="22">
        <f t="shared" ca="1" si="4"/>
        <v>1</v>
      </c>
      <c r="W23" s="24">
        <f t="shared" ca="1" si="5"/>
        <v>0</v>
      </c>
      <c r="X23" s="22">
        <f t="shared" ca="1" si="6"/>
        <v>0</v>
      </c>
      <c r="Y23" s="24">
        <f t="shared" ca="1" si="7"/>
        <v>0</v>
      </c>
      <c r="Z23" s="25"/>
      <c r="AA23" s="26"/>
      <c r="AB23" s="26"/>
      <c r="AC23" s="26"/>
      <c r="AF23" s="2"/>
      <c r="AG23" s="2"/>
      <c r="AP23" s="114"/>
      <c r="AQ23" s="28"/>
      <c r="AR23" s="28"/>
      <c r="AS23" s="4"/>
    </row>
    <row r="24" spans="3:75" ht="25.5" customHeight="1" x14ac:dyDescent="0.25">
      <c r="C24" s="21">
        <v>7</v>
      </c>
      <c r="D24" s="154"/>
      <c r="E24" s="21" t="s">
        <v>25</v>
      </c>
      <c r="F24" s="22">
        <f>COUNTIFS($Q$68:$Q$309,"LD",$X$68:$X$309,"Penting")</f>
        <v>11</v>
      </c>
      <c r="G24" s="22">
        <f>COUNTIFS($Q$68:$Q$309,"LD",$X$68:$X$309,"Biasa")</f>
        <v>7</v>
      </c>
      <c r="H24" s="22">
        <f t="shared" si="0"/>
        <v>18</v>
      </c>
      <c r="I24" s="22">
        <f ca="1">COUNTIFS($Q$68:$Q$309,"LD",$S$68:$S$309,"O",$X$68:$X$309,"Penting")</f>
        <v>11</v>
      </c>
      <c r="J24" s="22">
        <f ca="1">COUNTIFS($Q$68:$Q$309,"LD",$S$68:$S$309,"Y",$X$68:$X$309,"Penting")</f>
        <v>0</v>
      </c>
      <c r="K24" s="22">
        <f ca="1">COUNTIFS($Q$68:$Q$309,"LD",$S$68:$S$309,"Z",$X$68:$X$309,"Penting")</f>
        <v>0</v>
      </c>
      <c r="L24" s="22">
        <f ca="1">COUNTIFS($Q$68:$Q$309,"LD",$S$68:$S$309,"X",$X$68:$X$309,"Penting")</f>
        <v>0</v>
      </c>
      <c r="M24" s="23">
        <f ca="1">COUNTIFS($Q$68:$Q$309,"LD",$S$68:$S$309,"C",$X$68:$X$309,"Penting")</f>
        <v>0</v>
      </c>
      <c r="N24" s="23">
        <f t="shared" ca="1" si="1"/>
        <v>11</v>
      </c>
      <c r="O24" s="22">
        <f ca="1">COUNTIFS($Q$68:$Q$309,"LD",$S$68:$S$309,"O",$X$68:$X$309,"Biasa")</f>
        <v>6</v>
      </c>
      <c r="P24" s="22">
        <f ca="1">COUNTIFS($Q$68:$Q$309,"LD",$S$68:$S$309,"Y",$X$68:$X$309,"Biasa")</f>
        <v>1</v>
      </c>
      <c r="Q24" s="22">
        <f ca="1">COUNTIFS($Q$68:$Q$309,"LD",$S$68:$S$309,"Z",$X$68:$X$309,"Biasa")</f>
        <v>0</v>
      </c>
      <c r="R24" s="22">
        <f ca="1">COUNTIFS($Q$68:$Q$309,"LD",$S$68:$S$309,"X",$X$68:$X$309,"Biasa")</f>
        <v>0</v>
      </c>
      <c r="S24" s="22">
        <f ca="1">COUNTIFS($Q$68:$Q$309,"LD",$S$68:$S$309,"C",$X$68:$X$309,"Biasa")</f>
        <v>0</v>
      </c>
      <c r="T24" s="22">
        <f t="shared" ca="1" si="2"/>
        <v>7</v>
      </c>
      <c r="U24" s="22">
        <f t="shared" ca="1" si="3"/>
        <v>17</v>
      </c>
      <c r="V24" s="22">
        <f t="shared" ca="1" si="4"/>
        <v>1</v>
      </c>
      <c r="W24" s="24">
        <f t="shared" ca="1" si="5"/>
        <v>0</v>
      </c>
      <c r="X24" s="22">
        <f t="shared" ca="1" si="6"/>
        <v>0</v>
      </c>
      <c r="Y24" s="24">
        <f t="shared" ca="1" si="7"/>
        <v>0</v>
      </c>
      <c r="Z24" s="25"/>
      <c r="AA24" s="26"/>
      <c r="AB24" s="26"/>
      <c r="AC24" s="26"/>
      <c r="AF24" s="2"/>
      <c r="AG24" s="2"/>
      <c r="AP24" s="114"/>
      <c r="AQ24" s="28"/>
      <c r="AR24" s="28"/>
      <c r="AS24" s="4"/>
    </row>
    <row r="25" spans="3:75" ht="25.5" customHeight="1" x14ac:dyDescent="0.25">
      <c r="C25" s="21">
        <v>8</v>
      </c>
      <c r="D25" s="154"/>
      <c r="E25" s="21" t="s">
        <v>22</v>
      </c>
      <c r="F25" s="22">
        <f>COUNTIFS($Q$68:$Q$309,"MPC",$X$68:$X$309,"Penting")</f>
        <v>18</v>
      </c>
      <c r="G25" s="22">
        <f>COUNTIFS($Q$68:$Q$309,"MPC",$X$68:$X$309,"Biasa")</f>
        <v>0</v>
      </c>
      <c r="H25" s="22">
        <f t="shared" si="0"/>
        <v>18</v>
      </c>
      <c r="I25" s="22">
        <f ca="1">COUNTIFS($Q$68:$Q$309,"MPC",$S$68:$S$309,"O",$X$68:$X$309,"Penting")</f>
        <v>11</v>
      </c>
      <c r="J25" s="22">
        <f ca="1">COUNTIFS($Q$68:$Q$309,"MPC",$S$68:$S$309,"Y",$X$68:$X$309,"Penting")</f>
        <v>3</v>
      </c>
      <c r="K25" s="22">
        <f ca="1">COUNTIFS($Q$68:$Q$309,"MPC",$S$68:$S$309,"Z",$X$68:$X$309,"Penting")</f>
        <v>0</v>
      </c>
      <c r="L25" s="22">
        <f ca="1">COUNTIFS($Q$68:$Q$309,"MPC",$S$68:$S$309,"X",$X$68:$X$309,"Penting")</f>
        <v>4</v>
      </c>
      <c r="M25" s="23">
        <f ca="1">COUNTIFS($Q$68:$Q$309,"MPC",$S$68:$S$309,"C",$X$68:$X$309,"Penting")</f>
        <v>0</v>
      </c>
      <c r="N25" s="23">
        <f t="shared" ca="1" si="1"/>
        <v>18</v>
      </c>
      <c r="O25" s="22">
        <f ca="1">COUNTIFS($Q$68:$Q$309,"MPC",$S$68:$S$309,"O",$X$68:$X$309,"Biasa")</f>
        <v>0</v>
      </c>
      <c r="P25" s="22">
        <f ca="1">COUNTIFS($Q$68:$Q$309,"MPC",$S$68:$S$309,"Y",$X$68:$X$309,"Biasa")</f>
        <v>0</v>
      </c>
      <c r="Q25" s="22">
        <f ca="1">COUNTIFS($Q$68:$Q$309,"MPC",$S$68:$S$309,"Z",$X$68:$X$309,"Biasa")</f>
        <v>0</v>
      </c>
      <c r="R25" s="22">
        <f ca="1">COUNTIFS($Q$68:$Q$309,"MPC",$S$68:$S$309,"X",$X$68:$X$309,"Biasa")</f>
        <v>0</v>
      </c>
      <c r="S25" s="22">
        <f ca="1">COUNTIFS($Q$68:$Q$309,"MPC",$S$68:$S$309,"C",$X$68:$X$309,"Biasa")</f>
        <v>0</v>
      </c>
      <c r="T25" s="22">
        <f t="shared" ca="1" si="2"/>
        <v>0</v>
      </c>
      <c r="U25" s="22">
        <f t="shared" ca="1" si="3"/>
        <v>11</v>
      </c>
      <c r="V25" s="22">
        <f t="shared" ca="1" si="4"/>
        <v>3</v>
      </c>
      <c r="W25" s="24">
        <f t="shared" ca="1" si="5"/>
        <v>0</v>
      </c>
      <c r="X25" s="22">
        <f t="shared" ca="1" si="6"/>
        <v>4</v>
      </c>
      <c r="Y25" s="24">
        <f t="shared" ca="1" si="7"/>
        <v>0</v>
      </c>
      <c r="Z25" s="25"/>
      <c r="AA25" s="26"/>
      <c r="AB25" s="26"/>
      <c r="AC25" s="26"/>
      <c r="AF25" s="2"/>
      <c r="AG25" s="2"/>
      <c r="AP25" s="114"/>
      <c r="AQ25" s="28"/>
      <c r="AR25" s="28"/>
      <c r="AS25" s="4"/>
    </row>
    <row r="26" spans="3:75" ht="25.5" customHeight="1" x14ac:dyDescent="0.25">
      <c r="C26" s="21">
        <v>9</v>
      </c>
      <c r="D26" s="21" t="s">
        <v>30</v>
      </c>
      <c r="E26" s="21" t="s">
        <v>29</v>
      </c>
      <c r="F26" s="22">
        <f>COUNTIFS($Q$68:$Q$309,"MTP",$X$68:$X$309,"Penting")</f>
        <v>15</v>
      </c>
      <c r="G26" s="22">
        <f>COUNTIFS($Q$68:$Q$309,"MTP",$X$68:$X$309,"Biasa")</f>
        <v>21</v>
      </c>
      <c r="H26" s="22">
        <f t="shared" si="0"/>
        <v>36</v>
      </c>
      <c r="I26" s="22">
        <f ca="1">COUNTIFS($Q$68:$Q$309,"MTP",$S$68:$S$309,"O",$X$68:$X$309,"Penting")</f>
        <v>10</v>
      </c>
      <c r="J26" s="22">
        <f ca="1">COUNTIFS($Q$68:$Q$309,"MTP",$S$68:$S$309,"Y",$X$68:$X$309,"Penting")</f>
        <v>5</v>
      </c>
      <c r="K26" s="22">
        <f ca="1">COUNTIFS($Q$68:$Q$309,"MTP",$S$68:$S$309,"Z",$X$68:$X$309,"Penting")</f>
        <v>0</v>
      </c>
      <c r="L26" s="22">
        <f ca="1">COUNTIFS($Q$68:$Q$309,"MTP",$S$68:$S$309,"X",$X$68:$X$309,"Penting")</f>
        <v>0</v>
      </c>
      <c r="M26" s="23">
        <f ca="1">COUNTIFS($Q$68:$Q$309,"MTP",$S$68:$S$309,"C",$X$68:$X$309,"Penting")</f>
        <v>0</v>
      </c>
      <c r="N26" s="23">
        <f t="shared" ca="1" si="1"/>
        <v>15</v>
      </c>
      <c r="O26" s="22">
        <f ca="1">COUNTIFS($Q$68:$Q$309,"MTP",$S$68:$S$309,"O",$X$68:$X$309,"Biasa")</f>
        <v>12</v>
      </c>
      <c r="P26" s="22">
        <f ca="1">COUNTIFS($Q$68:$Q$309,"MTP",$S$68:$S$309,"Y",$X$68:$X$309,"Biasa")</f>
        <v>9</v>
      </c>
      <c r="Q26" s="22">
        <f ca="1">COUNTIFS($Q$68:$Q$309,"MTP",$S$68:$S$309,"Z",$X$68:$X$309,"Biasa")</f>
        <v>0</v>
      </c>
      <c r="R26" s="22">
        <f ca="1">COUNTIFS($Q$68:$Q$309,"MTP",$S$68:$S$309,"X",$X$68:$X$309,"Biasa")</f>
        <v>0</v>
      </c>
      <c r="S26" s="22">
        <f ca="1">COUNTIFS($Q$68:$Q$309,"MTP",$S$68:$S$309,"C",$X$68:$X$309,"Biasa")</f>
        <v>0</v>
      </c>
      <c r="T26" s="22">
        <f t="shared" ca="1" si="2"/>
        <v>21</v>
      </c>
      <c r="U26" s="22">
        <f t="shared" ca="1" si="3"/>
        <v>22</v>
      </c>
      <c r="V26" s="22">
        <f t="shared" ca="1" si="4"/>
        <v>14</v>
      </c>
      <c r="W26" s="24">
        <f t="shared" ca="1" si="5"/>
        <v>0</v>
      </c>
      <c r="X26" s="22">
        <f t="shared" ca="1" si="6"/>
        <v>0</v>
      </c>
      <c r="Y26" s="24">
        <f t="shared" ca="1" si="7"/>
        <v>0</v>
      </c>
      <c r="Z26" s="25"/>
      <c r="AA26" s="26"/>
      <c r="AB26" s="26"/>
      <c r="AC26" s="26"/>
      <c r="AF26" s="2"/>
      <c r="AG26" s="2"/>
      <c r="AP26" s="114"/>
      <c r="AQ26" s="28"/>
      <c r="AR26" s="28"/>
      <c r="AS26" s="4"/>
    </row>
    <row r="27" spans="3:75" ht="25.5" customHeight="1" x14ac:dyDescent="0.25">
      <c r="C27" s="21">
        <v>10</v>
      </c>
      <c r="D27" s="21" t="s">
        <v>31</v>
      </c>
      <c r="E27" s="21" t="s">
        <v>31</v>
      </c>
      <c r="F27" s="22">
        <f>COUNTIFS($Q$68:$Q$309,"FA",$X$68:$X$309,"Penting")</f>
        <v>1</v>
      </c>
      <c r="G27" s="22">
        <f>COUNTIFS($Q$68:$Q$309,"FA",$X$68:$X$309,"Biasa")</f>
        <v>6</v>
      </c>
      <c r="H27" s="22">
        <f t="shared" si="0"/>
        <v>7</v>
      </c>
      <c r="I27" s="22">
        <f ca="1">COUNTIFS($Q$68:$Q$309,"FA",$S$68:$S$309,"O",$X$68:$X$309,"Penting")</f>
        <v>1</v>
      </c>
      <c r="J27" s="22">
        <f ca="1">COUNTIFS($Q$68:$Q$309,"FA",$S$68:$S$309,"Y",$X$68:$X$309,"Penting")</f>
        <v>0</v>
      </c>
      <c r="K27" s="22">
        <f ca="1">COUNTIFS($Q$68:$Q$309,"FA",$S$68:$S$309,"Z",$X$68:$X$309,"Penting")</f>
        <v>0</v>
      </c>
      <c r="L27" s="22">
        <f ca="1">COUNTIFS($Q$68:$Q$309,"FA",$S$68:$S$309,"X",$X$68:$X$309,"Penting")</f>
        <v>0</v>
      </c>
      <c r="M27" s="23">
        <f ca="1">COUNTIFS($Q$68:$Q$309,"FA",$S$68:$S$309,"C",$X$68:$X$309,"Penting")</f>
        <v>0</v>
      </c>
      <c r="N27" s="23">
        <f t="shared" ca="1" si="1"/>
        <v>1</v>
      </c>
      <c r="O27" s="22">
        <f ca="1">COUNTIFS($Q$68:$Q$309,"FA",$S$68:$S$309,"O",$X$68:$X$309,"Biasa")</f>
        <v>5</v>
      </c>
      <c r="P27" s="22">
        <f ca="1">COUNTIFS($Q$68:$Q$309,"FA",$S$68:$S$309,"Y",$X$68:$X$309,"Biasa")</f>
        <v>1</v>
      </c>
      <c r="Q27" s="22">
        <f ca="1">COUNTIFS($Q$68:$Q$309,"FA",$S$68:$S$309,"Z",$X$68:$X$309,"Biasa")</f>
        <v>0</v>
      </c>
      <c r="R27" s="22">
        <f ca="1">COUNTIFS($Q$68:$Q$309,"FA",$S$68:$S$309,"X",$X$68:$X$309,"Biasa")</f>
        <v>0</v>
      </c>
      <c r="S27" s="22">
        <f ca="1">COUNTIFS($Q$68:$Q$309,"FA",$S$68:$S$309,"C",$X$68:$X$309,"Biasa")</f>
        <v>0</v>
      </c>
      <c r="T27" s="22">
        <f t="shared" ca="1" si="2"/>
        <v>6</v>
      </c>
      <c r="U27" s="22">
        <f t="shared" ca="1" si="3"/>
        <v>6</v>
      </c>
      <c r="V27" s="22">
        <f t="shared" ca="1" si="4"/>
        <v>1</v>
      </c>
      <c r="W27" s="24">
        <f t="shared" ca="1" si="5"/>
        <v>0</v>
      </c>
      <c r="X27" s="22">
        <f t="shared" ca="1" si="6"/>
        <v>0</v>
      </c>
      <c r="Y27" s="24">
        <f t="shared" ca="1" si="7"/>
        <v>0</v>
      </c>
      <c r="Z27" s="25"/>
      <c r="AA27" s="26"/>
      <c r="AB27" s="26"/>
      <c r="AC27" s="26"/>
      <c r="AF27" s="2"/>
      <c r="AG27" s="2"/>
      <c r="AP27" s="114"/>
      <c r="AQ27" s="28"/>
      <c r="AR27" s="28"/>
      <c r="AS27" s="4"/>
    </row>
    <row r="28" spans="3:75" ht="25.5" customHeight="1" x14ac:dyDescent="0.25">
      <c r="C28" s="21">
        <v>11</v>
      </c>
      <c r="D28" s="21" t="s">
        <v>24</v>
      </c>
      <c r="E28" s="21" t="s">
        <v>24</v>
      </c>
      <c r="F28" s="22">
        <f>COUNTIFS($Q$68:$Q$309,"QA",$X$68:$X$309,"Penting")</f>
        <v>0</v>
      </c>
      <c r="G28" s="22">
        <f>COUNTIFS($Q$68:$Q$309,"QA",$X$68:$X$309,"Biasa")</f>
        <v>4</v>
      </c>
      <c r="H28" s="22">
        <f t="shared" si="0"/>
        <v>4</v>
      </c>
      <c r="I28" s="22">
        <f ca="1">COUNTIFS($Q$68:$Q$309,"QA",$S$68:$S$309,"O",$X$68:$X$309,"Penting")</f>
        <v>0</v>
      </c>
      <c r="J28" s="22">
        <f ca="1">COUNTIFS($Q$68:$Q$309,"QA",$S$68:$S$309,"Y",$X$68:$X$309,"Penting")</f>
        <v>0</v>
      </c>
      <c r="K28" s="22">
        <f ca="1">COUNTIFS($Q$68:$Q$309,"QA",$S$68:$S$309,"Z",$X$68:$X$309,"Penting")</f>
        <v>0</v>
      </c>
      <c r="L28" s="22">
        <f ca="1">COUNTIFS($Q$68:$Q$309,"QA",$S$68:$S$309,"X",$X$68:$X$309,"Penting")</f>
        <v>0</v>
      </c>
      <c r="M28" s="23">
        <f ca="1">COUNTIFS($Q$68:$Q$309,"QA",$S$68:$S$309,"C",$X$68:$X$309,"Penting")</f>
        <v>0</v>
      </c>
      <c r="N28" s="23">
        <f t="shared" ca="1" si="1"/>
        <v>0</v>
      </c>
      <c r="O28" s="22">
        <f ca="1">COUNTIFS($Q$68:$Q$309,"QA",$S$68:$S$309,"O",$X$68:$X$309,"Biasa")</f>
        <v>4</v>
      </c>
      <c r="P28" s="22">
        <f ca="1">COUNTIFS($Q$68:$Q$309,"QA",$S$68:$S$309,"Y",$X$68:$X$309,"Biasa")</f>
        <v>0</v>
      </c>
      <c r="Q28" s="22">
        <f ca="1">COUNTIFS($Q$68:$Q$309,"QA",$S$68:$S$309,"Z",$X$68:$X$309,"Biasa")</f>
        <v>0</v>
      </c>
      <c r="R28" s="22">
        <f ca="1">COUNTIFS($Q$68:$Q$309,"QA",$S$68:$S$309,"X",$X$68:$X$309,"Biasa")</f>
        <v>0</v>
      </c>
      <c r="S28" s="22">
        <f ca="1">COUNTIFS($Q$68:$Q$309,"QA",$S$68:$S$309,"C",$X$68:$X$309,"Biasa")</f>
        <v>0</v>
      </c>
      <c r="T28" s="22">
        <f t="shared" ca="1" si="2"/>
        <v>4</v>
      </c>
      <c r="U28" s="29">
        <f t="shared" ca="1" si="3"/>
        <v>4</v>
      </c>
      <c r="V28" s="29">
        <f t="shared" ca="1" si="4"/>
        <v>0</v>
      </c>
      <c r="W28" s="24">
        <f t="shared" ca="1" si="5"/>
        <v>0</v>
      </c>
      <c r="X28" s="22">
        <f t="shared" ca="1" si="6"/>
        <v>0</v>
      </c>
      <c r="Y28" s="24">
        <f t="shared" ca="1" si="7"/>
        <v>0</v>
      </c>
      <c r="Z28" s="25"/>
      <c r="AA28" s="26"/>
      <c r="AB28" s="26"/>
      <c r="AC28" s="26"/>
      <c r="AF28" s="2"/>
      <c r="AG28" s="2"/>
      <c r="AP28" s="114"/>
      <c r="AQ28" s="4"/>
      <c r="AR28" s="4"/>
      <c r="AS28" s="4"/>
      <c r="AZ28" s="30"/>
    </row>
    <row r="29" spans="3:75" ht="25.5" customHeight="1" x14ac:dyDescent="0.25">
      <c r="C29" s="162" t="s">
        <v>17</v>
      </c>
      <c r="D29" s="163"/>
      <c r="E29" s="164"/>
      <c r="F29" s="31">
        <f>SUM(F18:F28)</f>
        <v>102</v>
      </c>
      <c r="G29" s="32">
        <f>SUM(G18:G28)</f>
        <v>140</v>
      </c>
      <c r="H29" s="112">
        <f t="shared" si="0"/>
        <v>242</v>
      </c>
      <c r="I29" s="33">
        <f ca="1">SUM(I18:I28)</f>
        <v>68</v>
      </c>
      <c r="J29" s="34">
        <f ca="1">SUM(J18:J28)</f>
        <v>30</v>
      </c>
      <c r="K29" s="18">
        <f ca="1">SUM(K18:K28)</f>
        <v>0</v>
      </c>
      <c r="L29" s="35">
        <f ca="1">SUM(L18:L28)</f>
        <v>4</v>
      </c>
      <c r="M29" s="36">
        <f ca="1">SUM(M18:M28)</f>
        <v>0</v>
      </c>
      <c r="N29" s="113">
        <f t="shared" ca="1" si="1"/>
        <v>102</v>
      </c>
      <c r="O29" s="33">
        <f ca="1">SUM(O18:O28)</f>
        <v>113</v>
      </c>
      <c r="P29" s="34">
        <f ca="1">SUM(P18:P28)</f>
        <v>27</v>
      </c>
      <c r="Q29" s="18">
        <f ca="1">SUM(Q18:Q28)</f>
        <v>0</v>
      </c>
      <c r="R29" s="35">
        <f ca="1">SUM(R18:R28)</f>
        <v>0</v>
      </c>
      <c r="S29" s="36">
        <f ca="1">SUM(S18:S28)</f>
        <v>0</v>
      </c>
      <c r="T29" s="37">
        <f t="shared" ca="1" si="2"/>
        <v>140</v>
      </c>
      <c r="U29" s="33">
        <f ca="1">SUM(U18:U28)</f>
        <v>181</v>
      </c>
      <c r="V29" s="34">
        <f ca="1">SUM(V18:V28)</f>
        <v>57</v>
      </c>
      <c r="W29" s="38">
        <f ca="1">SUM(W18:W28)</f>
        <v>0</v>
      </c>
      <c r="X29" s="35">
        <f ca="1">SUM(X18:X28)</f>
        <v>4</v>
      </c>
      <c r="Y29" s="36">
        <f ca="1">SUM(Y18:Y28)</f>
        <v>0</v>
      </c>
      <c r="Z29" s="39"/>
      <c r="AA29" s="40"/>
      <c r="AB29" s="40"/>
      <c r="AC29" s="40"/>
      <c r="AF29" s="2"/>
      <c r="AG29" s="2"/>
    </row>
    <row r="30" spans="3:75" ht="33" customHeight="1" x14ac:dyDescent="0.25">
      <c r="C30" s="165"/>
      <c r="D30" s="166"/>
      <c r="E30" s="167"/>
      <c r="F30" s="168">
        <f>SUM(F29:G29)</f>
        <v>242</v>
      </c>
      <c r="G30" s="169"/>
      <c r="I30" s="170">
        <f ca="1">SUM(I29:M29)</f>
        <v>102</v>
      </c>
      <c r="J30" s="170"/>
      <c r="K30" s="170"/>
      <c r="L30" s="170"/>
      <c r="M30" s="170"/>
      <c r="N30" s="2"/>
      <c r="O30" s="171">
        <f ca="1">SUM(O29:S29)</f>
        <v>140</v>
      </c>
      <c r="P30" s="171"/>
      <c r="Q30" s="171"/>
      <c r="R30" s="171"/>
      <c r="S30" s="171"/>
      <c r="T30" s="41"/>
      <c r="U30" s="172">
        <f ca="1">SUM(U29:W29)</f>
        <v>238</v>
      </c>
      <c r="V30" s="172"/>
      <c r="W30" s="172"/>
      <c r="X30" s="173">
        <f ca="1">SUM(X29:Y29)</f>
        <v>4</v>
      </c>
      <c r="Y30" s="173"/>
      <c r="Z30" s="42"/>
      <c r="AA30" s="43"/>
      <c r="AB30" s="43"/>
      <c r="AC30" s="43"/>
      <c r="AF30" s="2"/>
      <c r="AG30" s="2"/>
    </row>
    <row r="31" spans="3:75" ht="43.5" customHeight="1" x14ac:dyDescent="0.25">
      <c r="D31" s="2"/>
      <c r="J31" s="44"/>
      <c r="L31" s="44"/>
      <c r="N31" s="44"/>
      <c r="O31" s="44"/>
      <c r="P31" s="44"/>
      <c r="R31" s="45"/>
      <c r="U31" s="161">
        <f ca="1">SUM(U29:Y29)</f>
        <v>242</v>
      </c>
      <c r="V31" s="161"/>
      <c r="W31" s="161"/>
      <c r="X31" s="161"/>
      <c r="Y31" s="161"/>
      <c r="Z31" s="43"/>
      <c r="AA31" s="43"/>
      <c r="AB31" s="43"/>
      <c r="AC31" s="43"/>
    </row>
    <row r="32" spans="3:75" ht="25.5" customHeight="1" x14ac:dyDescent="0.25">
      <c r="G32" s="1"/>
      <c r="H32" s="1"/>
      <c r="I32" s="4"/>
      <c r="J32" s="4"/>
      <c r="K32" s="28"/>
      <c r="L32" s="28"/>
      <c r="M32" s="28"/>
      <c r="Y32" s="1"/>
      <c r="Z32" s="1"/>
      <c r="AA32" s="1"/>
      <c r="AB32" s="1"/>
      <c r="AC32" s="1"/>
      <c r="BV32" s="4"/>
      <c r="BW32" s="4"/>
    </row>
    <row r="33" spans="7:79" ht="25.5" customHeight="1" x14ac:dyDescent="0.4">
      <c r="G33" s="1"/>
      <c r="H33" s="1"/>
      <c r="I33" s="4"/>
      <c r="J33" s="4"/>
      <c r="K33" s="28"/>
      <c r="L33" s="28"/>
      <c r="M33" s="28"/>
      <c r="O33" s="46"/>
      <c r="P33" s="47"/>
      <c r="Q33" s="1"/>
      <c r="R33" s="1"/>
      <c r="S33" s="48"/>
      <c r="T33" s="48"/>
      <c r="U33" s="48"/>
      <c r="V33" s="48"/>
      <c r="W33" s="48"/>
      <c r="X33" s="48"/>
      <c r="Y33" s="1"/>
      <c r="Z33" s="1"/>
      <c r="AA33" s="1"/>
      <c r="AB33" s="1"/>
      <c r="AC33" s="1"/>
      <c r="AD33" s="1"/>
      <c r="AE33" s="1"/>
      <c r="CA33" s="49"/>
    </row>
    <row r="34" spans="7:79" ht="25.5" customHeight="1" x14ac:dyDescent="0.4">
      <c r="G34" s="1"/>
      <c r="H34" s="1"/>
      <c r="I34" s="4"/>
      <c r="J34" s="4"/>
      <c r="K34" s="28"/>
      <c r="L34" s="28"/>
      <c r="M34" s="28"/>
      <c r="O34" s="46"/>
      <c r="P34" s="1"/>
      <c r="Q34" s="1"/>
      <c r="R34" s="1"/>
      <c r="S34" s="48"/>
      <c r="T34" s="48"/>
      <c r="U34" s="48"/>
      <c r="V34" s="48"/>
      <c r="W34" s="48"/>
      <c r="X34" s="48"/>
      <c r="Y34" s="1"/>
      <c r="Z34" s="1"/>
      <c r="AA34" s="1"/>
      <c r="AB34" s="1"/>
      <c r="AC34" s="1"/>
      <c r="AD34" s="1"/>
      <c r="AE34" s="1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</row>
    <row r="35" spans="7:79" ht="25.5" customHeight="1" x14ac:dyDescent="0.4">
      <c r="G35" s="1"/>
      <c r="H35" s="1"/>
      <c r="I35" s="4"/>
      <c r="J35" s="4"/>
      <c r="K35" s="28"/>
      <c r="L35" s="28"/>
      <c r="M35" s="28"/>
      <c r="O35" s="46"/>
      <c r="P35" s="1"/>
      <c r="Q35" s="1"/>
      <c r="R35" s="1"/>
      <c r="S35" s="48"/>
      <c r="T35" s="48"/>
      <c r="U35" s="48"/>
      <c r="V35" s="48"/>
      <c r="W35" s="48"/>
      <c r="X35" s="48"/>
      <c r="Y35" s="1"/>
      <c r="Z35" s="1"/>
      <c r="AA35" s="1"/>
      <c r="AB35" s="1"/>
      <c r="AC35" s="1"/>
      <c r="AD35" s="1"/>
      <c r="AE35" s="1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</row>
    <row r="36" spans="7:79" ht="25.5" customHeight="1" x14ac:dyDescent="0.4">
      <c r="G36" s="1"/>
      <c r="H36" s="1"/>
      <c r="I36" s="4"/>
      <c r="J36" s="4"/>
      <c r="K36" s="28"/>
      <c r="L36" s="28"/>
      <c r="M36" s="28"/>
      <c r="O36" s="46"/>
      <c r="P36" s="1"/>
      <c r="Q36" s="1"/>
      <c r="R36" s="1"/>
      <c r="S36" s="28"/>
      <c r="T36" s="28"/>
      <c r="U36" s="28"/>
      <c r="V36" s="28"/>
      <c r="W36" s="28"/>
      <c r="X36" s="28"/>
      <c r="Y36" s="1"/>
      <c r="Z36" s="1"/>
      <c r="AA36" s="1"/>
      <c r="AB36" s="1"/>
      <c r="AC36" s="1"/>
      <c r="AD36" s="1"/>
      <c r="AE36" s="1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</row>
    <row r="37" spans="7:79" ht="25.5" customHeight="1" x14ac:dyDescent="0.4">
      <c r="G37" s="1"/>
      <c r="H37" s="1"/>
      <c r="I37" s="4"/>
      <c r="J37" s="4"/>
      <c r="K37" s="28"/>
      <c r="L37" s="28"/>
      <c r="M37" s="28"/>
      <c r="O37" s="46"/>
      <c r="P37" s="1"/>
      <c r="Q37" s="1"/>
      <c r="R37" s="1"/>
      <c r="S37" s="28"/>
      <c r="T37" s="28"/>
      <c r="U37" s="28"/>
      <c r="V37" s="28"/>
      <c r="W37" s="28"/>
      <c r="X37" s="28"/>
      <c r="Y37" s="1"/>
      <c r="Z37" s="1"/>
      <c r="AA37" s="1"/>
      <c r="AB37" s="1"/>
      <c r="AC37" s="1"/>
      <c r="AD37" s="1"/>
      <c r="AE37" s="1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</row>
    <row r="38" spans="7:79" ht="25.5" customHeight="1" x14ac:dyDescent="0.4">
      <c r="G38" s="1"/>
      <c r="H38" s="1"/>
      <c r="I38" s="4"/>
      <c r="J38" s="4"/>
      <c r="K38" s="28"/>
      <c r="L38" s="28"/>
      <c r="M38" s="28"/>
      <c r="O38" s="46"/>
      <c r="P38" s="1"/>
      <c r="Q38" s="1"/>
      <c r="R38" s="1"/>
      <c r="S38" s="28"/>
      <c r="T38" s="28"/>
      <c r="U38" s="28"/>
      <c r="V38" s="28"/>
      <c r="W38" s="28"/>
      <c r="X38" s="28"/>
      <c r="Y38" s="1"/>
      <c r="Z38" s="1"/>
      <c r="AA38" s="1"/>
      <c r="AB38" s="1"/>
      <c r="AC38" s="1"/>
      <c r="AD38" s="1"/>
      <c r="AE38" s="1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</row>
    <row r="39" spans="7:79" ht="25.5" customHeight="1" x14ac:dyDescent="0.4">
      <c r="I39" s="4"/>
      <c r="J39" s="4"/>
      <c r="K39" s="28"/>
      <c r="L39" s="28"/>
      <c r="M39" s="28"/>
      <c r="O39" s="46"/>
      <c r="P39" s="1"/>
      <c r="Q39" s="1"/>
      <c r="R39" s="1"/>
      <c r="S39" s="28"/>
      <c r="T39" s="48"/>
      <c r="U39" s="48"/>
      <c r="V39" s="48"/>
      <c r="W39" s="48"/>
      <c r="X39" s="48"/>
      <c r="Y39" s="1"/>
      <c r="Z39" s="1"/>
      <c r="AA39" s="1"/>
      <c r="AB39" s="1"/>
      <c r="AC39" s="1"/>
      <c r="AD39" s="1"/>
      <c r="AE39" s="1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</row>
    <row r="40" spans="7:79" ht="25.5" customHeight="1" x14ac:dyDescent="0.4">
      <c r="I40" s="4"/>
      <c r="J40" s="4"/>
      <c r="K40" s="28"/>
      <c r="L40" s="28"/>
      <c r="M40" s="28"/>
      <c r="O40" s="4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</row>
    <row r="41" spans="7:79" ht="25.5" customHeight="1" x14ac:dyDescent="0.4">
      <c r="N41" s="51"/>
      <c r="O41" s="51"/>
      <c r="P41" s="51"/>
      <c r="Q41" s="51"/>
      <c r="R41" s="51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</row>
    <row r="42" spans="7:79" ht="25.5" customHeight="1" x14ac:dyDescent="0.4">
      <c r="N42" s="51"/>
      <c r="O42" s="51"/>
      <c r="P42" s="51"/>
      <c r="Q42" s="51"/>
      <c r="R42" s="51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</row>
    <row r="43" spans="7:79" ht="25.5" customHeight="1" x14ac:dyDescent="0.4">
      <c r="N43" s="51"/>
      <c r="O43" s="51"/>
      <c r="P43" s="51"/>
      <c r="Q43" s="51"/>
      <c r="R43" s="51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</row>
    <row r="44" spans="7:79" ht="25.5" customHeight="1" x14ac:dyDescent="0.4">
      <c r="N44" s="51"/>
      <c r="O44" s="51"/>
      <c r="P44" s="51"/>
      <c r="Q44" s="51"/>
      <c r="R44" s="51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</row>
    <row r="45" spans="7:79" ht="25.5" customHeight="1" x14ac:dyDescent="0.4">
      <c r="N45" s="51"/>
      <c r="O45" s="51"/>
      <c r="P45" s="51"/>
      <c r="Q45" s="51"/>
      <c r="R45" s="51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</row>
    <row r="46" spans="7:79" ht="25.5" customHeight="1" x14ac:dyDescent="0.4">
      <c r="N46" s="51"/>
      <c r="O46" s="51"/>
      <c r="P46" s="51"/>
      <c r="Q46" s="51"/>
      <c r="R46" s="51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</row>
    <row r="47" spans="7:79" ht="25.5" customHeight="1" x14ac:dyDescent="0.4">
      <c r="N47" s="51"/>
      <c r="O47" s="51"/>
      <c r="P47" s="51"/>
      <c r="Q47" s="51"/>
      <c r="R47" s="51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</row>
    <row r="48" spans="7:79" ht="25.5" customHeight="1" x14ac:dyDescent="0.4">
      <c r="N48" s="51"/>
      <c r="O48" s="51"/>
      <c r="P48" s="51"/>
      <c r="Q48" s="51"/>
      <c r="R48" s="51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</row>
    <row r="49" spans="14:46" ht="25.5" customHeight="1" x14ac:dyDescent="0.4">
      <c r="N49" s="51"/>
      <c r="O49" s="51"/>
      <c r="P49" s="51"/>
      <c r="Q49" s="51"/>
      <c r="R49" s="51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</row>
    <row r="50" spans="14:46" ht="25.5" customHeight="1" x14ac:dyDescent="0.4">
      <c r="N50" s="51"/>
      <c r="O50" s="51"/>
      <c r="P50" s="51"/>
      <c r="Q50" s="51"/>
      <c r="R50" s="51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</row>
    <row r="51" spans="14:46" ht="25.5" customHeight="1" x14ac:dyDescent="0.4">
      <c r="N51" s="51"/>
      <c r="O51" s="51"/>
      <c r="P51" s="51"/>
      <c r="Q51" s="51"/>
      <c r="R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</row>
    <row r="52" spans="14:46" ht="25.5" customHeight="1" x14ac:dyDescent="0.4">
      <c r="N52" s="51"/>
      <c r="O52" s="51"/>
      <c r="P52" s="51"/>
      <c r="Q52" s="51"/>
      <c r="R52" s="5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</row>
    <row r="53" spans="14:46" ht="25.5" customHeight="1" x14ac:dyDescent="0.4">
      <c r="N53" s="51"/>
      <c r="O53" s="51"/>
      <c r="P53" s="51"/>
      <c r="Q53" s="51"/>
      <c r="R53" s="51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</row>
    <row r="54" spans="14:46" ht="25.5" customHeight="1" x14ac:dyDescent="0.4">
      <c r="N54" s="51"/>
      <c r="O54" s="51"/>
      <c r="P54" s="51"/>
      <c r="Q54" s="51"/>
      <c r="R54" s="51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</row>
    <row r="55" spans="14:46" ht="25.5" customHeight="1" x14ac:dyDescent="0.4">
      <c r="N55" s="51"/>
      <c r="O55" s="51"/>
      <c r="P55" s="51"/>
      <c r="Q55" s="51"/>
      <c r="R55" s="51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</row>
    <row r="56" spans="14:46" ht="25.5" customHeight="1" x14ac:dyDescent="0.4">
      <c r="N56" s="51"/>
      <c r="O56" s="51"/>
      <c r="P56" s="51"/>
      <c r="Q56" s="51"/>
      <c r="R56" s="51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</row>
    <row r="57" spans="14:46" ht="25.5" customHeight="1" x14ac:dyDescent="0.4">
      <c r="N57" s="51"/>
      <c r="O57" s="51"/>
      <c r="P57" s="51"/>
      <c r="Q57" s="51"/>
      <c r="R57" s="51"/>
      <c r="AE57" s="52" t="s">
        <v>32</v>
      </c>
      <c r="AF57" s="50"/>
      <c r="AG57" s="50"/>
      <c r="AH57" s="50"/>
      <c r="AI57" s="50"/>
      <c r="AJ57" s="50"/>
      <c r="AM57" s="50"/>
      <c r="AN57" s="50"/>
      <c r="AO57" s="50"/>
      <c r="AP57" s="50"/>
      <c r="AQ57" s="50"/>
      <c r="AR57" s="50"/>
      <c r="AS57" s="50"/>
      <c r="AT57" s="50"/>
    </row>
    <row r="58" spans="14:46" ht="25.5" customHeight="1" x14ac:dyDescent="0.4">
      <c r="N58" s="51"/>
      <c r="O58" s="51"/>
      <c r="P58" s="51"/>
      <c r="Q58" s="51"/>
      <c r="R58" s="51"/>
      <c r="AE58" s="53" t="s">
        <v>33</v>
      </c>
      <c r="AF58" s="50" t="s">
        <v>34</v>
      </c>
      <c r="AG58" s="50"/>
      <c r="AH58" s="50"/>
      <c r="AI58" s="50"/>
      <c r="AJ58" s="50"/>
      <c r="AM58" s="50"/>
      <c r="AN58" s="50"/>
      <c r="AO58" s="50"/>
      <c r="AP58" s="50"/>
      <c r="AQ58" s="50"/>
      <c r="AR58" s="50"/>
      <c r="AS58" s="50"/>
      <c r="AT58" s="50"/>
    </row>
    <row r="59" spans="14:46" ht="25.5" customHeight="1" x14ac:dyDescent="0.4">
      <c r="N59" s="51"/>
      <c r="O59" s="51"/>
      <c r="P59" s="51"/>
      <c r="Q59" s="51"/>
      <c r="R59" s="51"/>
      <c r="AE59" s="54"/>
      <c r="AF59" s="50" t="s">
        <v>35</v>
      </c>
      <c r="AG59" s="50"/>
      <c r="AH59" s="50"/>
      <c r="AI59" s="50"/>
      <c r="AJ59" s="50"/>
      <c r="AM59" s="50"/>
      <c r="AN59" s="50"/>
      <c r="AO59" s="50"/>
      <c r="AP59" s="50"/>
      <c r="AQ59" s="50"/>
      <c r="AR59" s="50"/>
      <c r="AS59" s="50"/>
      <c r="AT59" s="50"/>
    </row>
    <row r="60" spans="14:46" ht="25.5" customHeight="1" x14ac:dyDescent="0.4">
      <c r="N60" s="51"/>
      <c r="O60" s="51"/>
      <c r="P60" s="51"/>
      <c r="Q60" s="51"/>
      <c r="R60" s="51"/>
      <c r="AE60" s="55"/>
      <c r="AF60" s="50" t="s">
        <v>36</v>
      </c>
      <c r="AG60" s="50"/>
      <c r="AH60" s="50"/>
      <c r="AI60" s="50"/>
      <c r="AJ60" s="50"/>
      <c r="AM60" s="50"/>
      <c r="AN60" s="50"/>
      <c r="AO60" s="50"/>
      <c r="AP60" s="50"/>
      <c r="AQ60" s="50"/>
      <c r="AR60" s="50"/>
      <c r="AS60" s="50"/>
      <c r="AT60" s="50"/>
    </row>
    <row r="61" spans="14:46" ht="25.5" customHeight="1" x14ac:dyDescent="0.4">
      <c r="N61" s="51"/>
      <c r="O61" s="51"/>
      <c r="P61" s="51"/>
      <c r="Q61" s="51"/>
      <c r="R61" s="51"/>
      <c r="AE61" s="56"/>
      <c r="AF61" s="50" t="s">
        <v>37</v>
      </c>
      <c r="AG61" s="50"/>
      <c r="AH61" s="50"/>
      <c r="AI61" s="50"/>
      <c r="AJ61" s="50"/>
      <c r="AM61" s="50"/>
      <c r="AN61" s="50"/>
      <c r="AO61" s="50"/>
      <c r="AP61" s="50"/>
      <c r="AQ61" s="50"/>
      <c r="AR61" s="50"/>
      <c r="AS61" s="50"/>
      <c r="AT61" s="50"/>
    </row>
    <row r="62" spans="14:46" ht="25.5" customHeight="1" x14ac:dyDescent="0.4">
      <c r="N62" s="51"/>
      <c r="O62" s="51"/>
      <c r="P62" s="51"/>
      <c r="Q62" s="51"/>
      <c r="R62" s="51"/>
      <c r="AE62" s="57"/>
      <c r="AF62" s="50" t="s">
        <v>38</v>
      </c>
      <c r="AG62" s="50"/>
      <c r="AH62" s="50"/>
      <c r="AI62" s="50"/>
      <c r="AJ62" s="50"/>
      <c r="AM62" s="50"/>
      <c r="AN62" s="50"/>
      <c r="AO62" s="50"/>
      <c r="AP62" s="50"/>
      <c r="AQ62" s="50"/>
      <c r="AR62" s="50"/>
      <c r="AS62" s="50"/>
      <c r="AT62" s="50"/>
    </row>
    <row r="63" spans="14:46" ht="25.5" customHeight="1" x14ac:dyDescent="0.4">
      <c r="N63" s="51"/>
      <c r="O63" s="51"/>
      <c r="P63" s="51"/>
      <c r="Q63" s="51"/>
      <c r="R63" s="51"/>
      <c r="AE63" s="58"/>
      <c r="AF63" s="50" t="s">
        <v>39</v>
      </c>
      <c r="AG63" s="50"/>
      <c r="AH63" s="50"/>
      <c r="AI63" s="50"/>
      <c r="AJ63" s="50"/>
      <c r="AM63" s="50"/>
      <c r="AN63" s="50"/>
      <c r="AO63" s="50"/>
      <c r="AP63" s="50"/>
      <c r="AQ63" s="50"/>
      <c r="AR63" s="50"/>
      <c r="AS63" s="50"/>
      <c r="AT63" s="50"/>
    </row>
    <row r="64" spans="14:46" ht="25.5" customHeight="1" x14ac:dyDescent="0.4">
      <c r="N64" s="51"/>
      <c r="O64" s="51"/>
      <c r="P64" s="51"/>
      <c r="Q64" s="51"/>
      <c r="R64" s="51"/>
      <c r="AE64" s="59"/>
      <c r="AF64" s="50" t="s">
        <v>40</v>
      </c>
      <c r="AG64" s="50"/>
      <c r="AH64" s="50"/>
      <c r="AI64" s="50"/>
      <c r="AJ64" s="50"/>
      <c r="AM64" s="50"/>
      <c r="AN64" s="50"/>
      <c r="AO64" s="50"/>
      <c r="AP64" s="50"/>
      <c r="AQ64" s="50"/>
      <c r="AR64" s="50"/>
      <c r="AS64" s="50"/>
      <c r="AT64" s="50"/>
    </row>
    <row r="65" spans="1:46" ht="25.5" customHeight="1" x14ac:dyDescent="0.4">
      <c r="N65" s="51"/>
      <c r="O65" s="51"/>
      <c r="P65" s="51"/>
      <c r="Q65" s="51"/>
      <c r="R65" s="51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</row>
    <row r="66" spans="1:46" s="67" customFormat="1" ht="40.5" customHeight="1" x14ac:dyDescent="0.3">
      <c r="A66" s="60"/>
      <c r="B66" s="60"/>
      <c r="C66" s="143" t="s">
        <v>41</v>
      </c>
      <c r="D66" s="144"/>
      <c r="E66" s="61"/>
      <c r="F66" s="60"/>
      <c r="G66" s="60"/>
      <c r="H66" s="60"/>
      <c r="I66" s="61"/>
      <c r="J66" s="60"/>
      <c r="K66" s="60"/>
      <c r="L66" s="143" t="s">
        <v>42</v>
      </c>
      <c r="M66" s="144"/>
      <c r="N66" s="145" t="s">
        <v>43</v>
      </c>
      <c r="O66" s="146"/>
      <c r="P66" s="60"/>
      <c r="Q66" s="60"/>
      <c r="R66" s="61"/>
      <c r="S66" s="61"/>
      <c r="T66" s="147" t="s">
        <v>44</v>
      </c>
      <c r="U66" s="148"/>
      <c r="V66" s="148"/>
      <c r="W66" s="148"/>
      <c r="X66" s="149"/>
      <c r="Y66" s="60"/>
      <c r="Z66" s="62"/>
      <c r="AA66" s="150" t="s">
        <v>1231</v>
      </c>
      <c r="AB66" s="151"/>
      <c r="AC66" s="152"/>
      <c r="AD66" s="143" t="s">
        <v>1222</v>
      </c>
      <c r="AE66" s="144"/>
      <c r="AF66" s="60"/>
      <c r="AG66" s="63" t="s">
        <v>1230</v>
      </c>
      <c r="AH66" s="156" t="s">
        <v>1226</v>
      </c>
      <c r="AI66" s="156"/>
      <c r="AJ66" s="156"/>
      <c r="AK66" s="156" t="s">
        <v>1227</v>
      </c>
      <c r="AL66" s="156"/>
      <c r="AM66" s="63"/>
      <c r="AN66" s="60"/>
      <c r="AO66" s="64"/>
      <c r="AP66" s="65"/>
      <c r="AQ66" s="65"/>
      <c r="AR66" s="65"/>
      <c r="AS66" s="66"/>
      <c r="AT66" s="66"/>
    </row>
    <row r="67" spans="1:46" s="67" customFormat="1" ht="84" customHeight="1" x14ac:dyDescent="0.3">
      <c r="A67" s="68" t="s">
        <v>1</v>
      </c>
      <c r="B67" s="68" t="s">
        <v>45</v>
      </c>
      <c r="C67" s="69" t="s">
        <v>46</v>
      </c>
      <c r="D67" s="69" t="s">
        <v>1</v>
      </c>
      <c r="E67" s="70" t="s">
        <v>1221</v>
      </c>
      <c r="F67" s="68" t="s">
        <v>47</v>
      </c>
      <c r="G67" s="68" t="s">
        <v>48</v>
      </c>
      <c r="H67" s="68" t="s">
        <v>49</v>
      </c>
      <c r="I67" s="70" t="s">
        <v>1336</v>
      </c>
      <c r="J67" s="68" t="s">
        <v>50</v>
      </c>
      <c r="K67" s="68" t="s">
        <v>51</v>
      </c>
      <c r="L67" s="69" t="s">
        <v>52</v>
      </c>
      <c r="M67" s="69" t="s">
        <v>53</v>
      </c>
      <c r="N67" s="71" t="s">
        <v>54</v>
      </c>
      <c r="O67" s="71" t="s">
        <v>55</v>
      </c>
      <c r="P67" s="68" t="s">
        <v>56</v>
      </c>
      <c r="Q67" s="68" t="s">
        <v>57</v>
      </c>
      <c r="R67" s="70" t="s">
        <v>58</v>
      </c>
      <c r="S67" s="70" t="s">
        <v>59</v>
      </c>
      <c r="T67" s="72" t="s">
        <v>60</v>
      </c>
      <c r="U67" s="72" t="s">
        <v>61</v>
      </c>
      <c r="V67" s="72" t="s">
        <v>62</v>
      </c>
      <c r="W67" s="72" t="s">
        <v>63</v>
      </c>
      <c r="X67" s="72" t="s">
        <v>64</v>
      </c>
      <c r="Y67" s="68" t="s">
        <v>65</v>
      </c>
      <c r="Z67" s="68" t="s">
        <v>66</v>
      </c>
      <c r="AA67" s="69">
        <v>1</v>
      </c>
      <c r="AB67" s="69">
        <v>2</v>
      </c>
      <c r="AC67" s="69">
        <v>3</v>
      </c>
      <c r="AD67" s="73" t="s">
        <v>67</v>
      </c>
      <c r="AE67" s="73" t="s">
        <v>68</v>
      </c>
      <c r="AF67" s="74" t="s">
        <v>69</v>
      </c>
      <c r="AG67" s="74" t="s">
        <v>70</v>
      </c>
      <c r="AH67" s="74" t="s">
        <v>1225</v>
      </c>
      <c r="AI67" s="68" t="s">
        <v>1224</v>
      </c>
      <c r="AJ67" s="68" t="s">
        <v>1223</v>
      </c>
      <c r="AK67" s="69" t="s">
        <v>1228</v>
      </c>
      <c r="AL67" s="69" t="s">
        <v>1229</v>
      </c>
      <c r="AM67" s="68" t="s">
        <v>71</v>
      </c>
      <c r="AN67" s="68" t="s">
        <v>72</v>
      </c>
      <c r="AO67" s="75" t="s">
        <v>73</v>
      </c>
      <c r="AP67" s="66"/>
      <c r="AQ67" s="66"/>
      <c r="AR67" s="66"/>
      <c r="AS67" s="66"/>
      <c r="AT67" s="66"/>
    </row>
    <row r="68" spans="1:46" s="88" customFormat="1" ht="111.95" hidden="1" customHeight="1" x14ac:dyDescent="0.25">
      <c r="A68" s="76">
        <v>1</v>
      </c>
      <c r="B68" s="76" t="s">
        <v>74</v>
      </c>
      <c r="C68" s="76" t="s">
        <v>1145</v>
      </c>
      <c r="D68" s="76">
        <v>1</v>
      </c>
      <c r="E68" s="76" t="s">
        <v>82</v>
      </c>
      <c r="F68" s="78" t="s">
        <v>75</v>
      </c>
      <c r="G68" s="79" t="s">
        <v>1382</v>
      </c>
      <c r="H68" s="79" t="s">
        <v>84</v>
      </c>
      <c r="I68" s="80" t="s">
        <v>1339</v>
      </c>
      <c r="J68" s="79" t="s">
        <v>77</v>
      </c>
      <c r="K68" s="79" t="s">
        <v>78</v>
      </c>
      <c r="L68" s="81">
        <v>305000000</v>
      </c>
      <c r="M68" s="81" t="s">
        <v>85</v>
      </c>
      <c r="N68" s="82">
        <v>45139</v>
      </c>
      <c r="O68" s="82">
        <v>45504</v>
      </c>
      <c r="P68" s="83">
        <f t="shared" ref="P68:P99" si="8">(O68-N68)/365</f>
        <v>1</v>
      </c>
      <c r="Q68" s="77" t="s">
        <v>19</v>
      </c>
      <c r="R68" s="77">
        <f t="shared" ref="R68:R99" ca="1" si="9">(O68-NOW()+1)/31</f>
        <v>7.9495982340203257</v>
      </c>
      <c r="S68" s="77" t="str">
        <f t="shared" ref="S68:S131" ca="1" si="10">IF(R68="End","Z",IF(R68="Cancel","C",IF(SUM(R68)&gt;0,"O",IF(ISBLANK(R68),"X",IF(SUM(R68)&lt;0,"Y",IF(SUM(R68),"-","O"))))))</f>
        <v>O</v>
      </c>
      <c r="T68" s="84">
        <v>1</v>
      </c>
      <c r="U68" s="84">
        <v>3</v>
      </c>
      <c r="V68" s="84">
        <v>1</v>
      </c>
      <c r="W68" s="84">
        <f t="shared" ref="W68:W99" si="11">T68+U68+V68</f>
        <v>5</v>
      </c>
      <c r="X68" s="84" t="str">
        <f t="shared" ref="X68:X131" si="12">IF(W68&gt;5,"Penting",IF(ISBLANK(W68),"","Biasa"))</f>
        <v>Biasa</v>
      </c>
      <c r="Y68" s="78"/>
      <c r="Z68" s="115"/>
      <c r="AA68" s="82"/>
      <c r="AB68" s="82"/>
      <c r="AC68" s="82"/>
      <c r="AD68" s="27" t="s">
        <v>86</v>
      </c>
      <c r="AE68" s="85">
        <v>44407</v>
      </c>
      <c r="AF68" s="77" t="s">
        <v>192</v>
      </c>
      <c r="AG68" s="77" t="s">
        <v>81</v>
      </c>
      <c r="AH68" s="21" t="s">
        <v>81</v>
      </c>
      <c r="AI68" s="21" t="s">
        <v>81</v>
      </c>
      <c r="AJ68" s="21" t="s">
        <v>81</v>
      </c>
      <c r="AK68" s="21" t="s">
        <v>81</v>
      </c>
      <c r="AL68" s="21" t="s">
        <v>81</v>
      </c>
      <c r="AM68" s="27" t="s">
        <v>100</v>
      </c>
      <c r="AN68" s="86">
        <v>45101</v>
      </c>
      <c r="AO68" s="87"/>
      <c r="AP68" s="4"/>
      <c r="AQ68" s="4"/>
      <c r="AR68" s="4"/>
      <c r="AS68" s="4"/>
      <c r="AT68" s="4"/>
    </row>
    <row r="69" spans="1:46" s="88" customFormat="1" ht="111.95" hidden="1" customHeight="1" x14ac:dyDescent="0.25">
      <c r="A69" s="76">
        <v>2</v>
      </c>
      <c r="B69" s="76" t="s">
        <v>74</v>
      </c>
      <c r="C69" s="76" t="s">
        <v>1145</v>
      </c>
      <c r="D69" s="76">
        <v>2</v>
      </c>
      <c r="E69" s="76" t="s">
        <v>82</v>
      </c>
      <c r="F69" s="78" t="s">
        <v>75</v>
      </c>
      <c r="G69" s="79" t="s">
        <v>89</v>
      </c>
      <c r="H69" s="79" t="s">
        <v>90</v>
      </c>
      <c r="I69" s="80" t="s">
        <v>1339</v>
      </c>
      <c r="J69" s="79" t="s">
        <v>91</v>
      </c>
      <c r="K69" s="79" t="s">
        <v>92</v>
      </c>
      <c r="L69" s="81">
        <v>275000000</v>
      </c>
      <c r="M69" s="81" t="s">
        <v>85</v>
      </c>
      <c r="N69" s="82">
        <v>45047</v>
      </c>
      <c r="O69" s="82">
        <v>45412</v>
      </c>
      <c r="P69" s="83">
        <f t="shared" si="8"/>
        <v>1</v>
      </c>
      <c r="Q69" s="77" t="s">
        <v>19</v>
      </c>
      <c r="R69" s="77">
        <f t="shared" ca="1" si="9"/>
        <v>4.9818562985364547</v>
      </c>
      <c r="S69" s="77" t="str">
        <f t="shared" ca="1" si="10"/>
        <v>O</v>
      </c>
      <c r="T69" s="84">
        <v>1</v>
      </c>
      <c r="U69" s="84">
        <v>3</v>
      </c>
      <c r="V69" s="84">
        <v>1</v>
      </c>
      <c r="W69" s="84">
        <f t="shared" si="11"/>
        <v>5</v>
      </c>
      <c r="X69" s="84" t="str">
        <f t="shared" si="12"/>
        <v>Biasa</v>
      </c>
      <c r="Y69" s="78"/>
      <c r="Z69" s="115"/>
      <c r="AA69" s="82"/>
      <c r="AB69" s="82"/>
      <c r="AC69" s="82"/>
      <c r="AD69" s="27"/>
      <c r="AE69" s="85"/>
      <c r="AF69" s="77" t="s">
        <v>192</v>
      </c>
      <c r="AG69" s="77" t="s">
        <v>81</v>
      </c>
      <c r="AH69" s="21" t="s">
        <v>81</v>
      </c>
      <c r="AI69" s="21" t="s">
        <v>81</v>
      </c>
      <c r="AJ69" s="21" t="s">
        <v>81</v>
      </c>
      <c r="AK69" s="21" t="s">
        <v>81</v>
      </c>
      <c r="AL69" s="21" t="s">
        <v>81</v>
      </c>
      <c r="AM69" s="27" t="s">
        <v>100</v>
      </c>
      <c r="AN69" s="86">
        <v>45034</v>
      </c>
      <c r="AO69" s="87"/>
      <c r="AP69" s="4"/>
      <c r="AQ69" s="4"/>
      <c r="AR69" s="4"/>
      <c r="AS69" s="4"/>
      <c r="AT69" s="4"/>
    </row>
    <row r="70" spans="1:46" s="88" customFormat="1" ht="111.95" hidden="1" customHeight="1" x14ac:dyDescent="0.25">
      <c r="A70" s="76">
        <v>3</v>
      </c>
      <c r="B70" s="76" t="s">
        <v>74</v>
      </c>
      <c r="C70" s="76" t="s">
        <v>1145</v>
      </c>
      <c r="D70" s="76">
        <v>3</v>
      </c>
      <c r="E70" s="76" t="s">
        <v>82</v>
      </c>
      <c r="F70" s="78" t="s">
        <v>75</v>
      </c>
      <c r="G70" s="79" t="s">
        <v>93</v>
      </c>
      <c r="H70" s="79" t="s">
        <v>76</v>
      </c>
      <c r="I70" s="80" t="s">
        <v>1339</v>
      </c>
      <c r="J70" s="79" t="s">
        <v>94</v>
      </c>
      <c r="K70" s="79" t="s">
        <v>78</v>
      </c>
      <c r="L70" s="81">
        <v>300000000</v>
      </c>
      <c r="M70" s="81" t="s">
        <v>85</v>
      </c>
      <c r="N70" s="82">
        <v>45017</v>
      </c>
      <c r="O70" s="82">
        <v>45382</v>
      </c>
      <c r="P70" s="83">
        <f t="shared" si="8"/>
        <v>1</v>
      </c>
      <c r="Q70" s="77" t="s">
        <v>19</v>
      </c>
      <c r="R70" s="77">
        <f t="shared" ca="1" si="9"/>
        <v>4.0141143630525837</v>
      </c>
      <c r="S70" s="77" t="str">
        <f t="shared" ca="1" si="10"/>
        <v>O</v>
      </c>
      <c r="T70" s="84">
        <v>1</v>
      </c>
      <c r="U70" s="84">
        <v>3</v>
      </c>
      <c r="V70" s="84">
        <v>1</v>
      </c>
      <c r="W70" s="84">
        <f t="shared" si="11"/>
        <v>5</v>
      </c>
      <c r="X70" s="84" t="str">
        <f t="shared" si="12"/>
        <v>Biasa</v>
      </c>
      <c r="Y70" s="78" t="s">
        <v>1325</v>
      </c>
      <c r="Z70" s="115"/>
      <c r="AA70" s="82"/>
      <c r="AB70" s="82"/>
      <c r="AC70" s="82"/>
      <c r="AD70" s="27"/>
      <c r="AE70" s="85"/>
      <c r="AF70" s="77" t="s">
        <v>192</v>
      </c>
      <c r="AG70" s="77" t="s">
        <v>81</v>
      </c>
      <c r="AH70" s="21" t="s">
        <v>81</v>
      </c>
      <c r="AI70" s="21" t="s">
        <v>81</v>
      </c>
      <c r="AJ70" s="21" t="s">
        <v>81</v>
      </c>
      <c r="AK70" s="21" t="s">
        <v>81</v>
      </c>
      <c r="AL70" s="21" t="s">
        <v>81</v>
      </c>
      <c r="AM70" s="27" t="s">
        <v>100</v>
      </c>
      <c r="AN70" s="86">
        <v>44981</v>
      </c>
      <c r="AO70" s="87"/>
      <c r="AP70" s="4"/>
      <c r="AQ70" s="4"/>
      <c r="AR70" s="4"/>
      <c r="AS70" s="4"/>
      <c r="AT70" s="4"/>
    </row>
    <row r="71" spans="1:46" s="88" customFormat="1" ht="111.95" hidden="1" customHeight="1" x14ac:dyDescent="0.25">
      <c r="A71" s="76">
        <v>4</v>
      </c>
      <c r="B71" s="76" t="s">
        <v>74</v>
      </c>
      <c r="C71" s="76" t="s">
        <v>1145</v>
      </c>
      <c r="D71" s="76">
        <v>4</v>
      </c>
      <c r="E71" s="76" t="s">
        <v>82</v>
      </c>
      <c r="F71" s="78" t="s">
        <v>75</v>
      </c>
      <c r="G71" s="79" t="s">
        <v>97</v>
      </c>
      <c r="H71" s="79" t="s">
        <v>84</v>
      </c>
      <c r="I71" s="80" t="s">
        <v>1339</v>
      </c>
      <c r="J71" s="79" t="s">
        <v>95</v>
      </c>
      <c r="K71" s="79" t="s">
        <v>78</v>
      </c>
      <c r="L71" s="81">
        <v>305000000</v>
      </c>
      <c r="M71" s="81" t="s">
        <v>85</v>
      </c>
      <c r="N71" s="82">
        <v>45139</v>
      </c>
      <c r="O71" s="82">
        <v>45504</v>
      </c>
      <c r="P71" s="83">
        <f t="shared" si="8"/>
        <v>1</v>
      </c>
      <c r="Q71" s="77" t="s">
        <v>19</v>
      </c>
      <c r="R71" s="77">
        <f t="shared" ca="1" si="9"/>
        <v>7.9495982340203257</v>
      </c>
      <c r="S71" s="77" t="str">
        <f t="shared" ca="1" si="10"/>
        <v>O</v>
      </c>
      <c r="T71" s="84">
        <v>1</v>
      </c>
      <c r="U71" s="84">
        <v>3</v>
      </c>
      <c r="V71" s="84">
        <v>1</v>
      </c>
      <c r="W71" s="84">
        <f t="shared" si="11"/>
        <v>5</v>
      </c>
      <c r="X71" s="84" t="str">
        <f t="shared" si="12"/>
        <v>Biasa</v>
      </c>
      <c r="Y71" s="78"/>
      <c r="Z71" s="115"/>
      <c r="AA71" s="82"/>
      <c r="AB71" s="82"/>
      <c r="AC71" s="82"/>
      <c r="AD71" s="27" t="s">
        <v>86</v>
      </c>
      <c r="AE71" s="85">
        <v>44407</v>
      </c>
      <c r="AF71" s="77" t="s">
        <v>192</v>
      </c>
      <c r="AG71" s="77" t="s">
        <v>81</v>
      </c>
      <c r="AH71" s="21" t="s">
        <v>81</v>
      </c>
      <c r="AI71" s="21" t="s">
        <v>81</v>
      </c>
      <c r="AJ71" s="21" t="s">
        <v>81</v>
      </c>
      <c r="AK71" s="21" t="s">
        <v>81</v>
      </c>
      <c r="AL71" s="21" t="s">
        <v>81</v>
      </c>
      <c r="AM71" s="27" t="s">
        <v>100</v>
      </c>
      <c r="AN71" s="86">
        <v>45101</v>
      </c>
      <c r="AO71" s="87"/>
      <c r="AP71" s="4"/>
      <c r="AQ71" s="4"/>
      <c r="AR71" s="4"/>
      <c r="AS71" s="4"/>
      <c r="AT71" s="4"/>
    </row>
    <row r="72" spans="1:46" s="88" customFormat="1" ht="111.95" hidden="1" customHeight="1" x14ac:dyDescent="0.25">
      <c r="A72" s="76">
        <v>5</v>
      </c>
      <c r="B72" s="76" t="s">
        <v>74</v>
      </c>
      <c r="C72" s="76" t="s">
        <v>1145</v>
      </c>
      <c r="D72" s="76">
        <v>5</v>
      </c>
      <c r="E72" s="76" t="s">
        <v>82</v>
      </c>
      <c r="F72" s="78" t="s">
        <v>75</v>
      </c>
      <c r="G72" s="79" t="s">
        <v>98</v>
      </c>
      <c r="H72" s="79" t="s">
        <v>90</v>
      </c>
      <c r="I72" s="80" t="s">
        <v>1339</v>
      </c>
      <c r="J72" s="79" t="s">
        <v>99</v>
      </c>
      <c r="K72" s="79" t="s">
        <v>92</v>
      </c>
      <c r="L72" s="81">
        <v>265000000</v>
      </c>
      <c r="M72" s="81" t="s">
        <v>85</v>
      </c>
      <c r="N72" s="82">
        <v>44866</v>
      </c>
      <c r="O72" s="82">
        <v>45230</v>
      </c>
      <c r="P72" s="83">
        <f t="shared" si="8"/>
        <v>0.99726027397260275</v>
      </c>
      <c r="Q72" s="77" t="s">
        <v>19</v>
      </c>
      <c r="R72" s="77">
        <f t="shared" ca="1" si="9"/>
        <v>-0.88911144339902914</v>
      </c>
      <c r="S72" s="77" t="str">
        <f t="shared" ca="1" si="10"/>
        <v>Y</v>
      </c>
      <c r="T72" s="84">
        <v>1</v>
      </c>
      <c r="U72" s="84">
        <v>3</v>
      </c>
      <c r="V72" s="84">
        <v>1</v>
      </c>
      <c r="W72" s="84">
        <f t="shared" si="11"/>
        <v>5</v>
      </c>
      <c r="X72" s="84" t="str">
        <f t="shared" si="12"/>
        <v>Biasa</v>
      </c>
      <c r="Y72" s="78"/>
      <c r="Z72" s="115"/>
      <c r="AA72" s="82"/>
      <c r="AB72" s="82"/>
      <c r="AC72" s="82"/>
      <c r="AD72" s="27"/>
      <c r="AE72" s="85"/>
      <c r="AF72" s="77" t="s">
        <v>192</v>
      </c>
      <c r="AG72" s="77" t="s">
        <v>81</v>
      </c>
      <c r="AH72" s="21" t="s">
        <v>81</v>
      </c>
      <c r="AI72" s="21" t="s">
        <v>81</v>
      </c>
      <c r="AJ72" s="21" t="s">
        <v>81</v>
      </c>
      <c r="AK72" s="21" t="s">
        <v>81</v>
      </c>
      <c r="AL72" s="21" t="s">
        <v>81</v>
      </c>
      <c r="AM72" s="27" t="s">
        <v>100</v>
      </c>
      <c r="AN72" s="86">
        <v>44824</v>
      </c>
      <c r="AO72" s="87"/>
      <c r="AP72" s="4"/>
      <c r="AQ72" s="4"/>
      <c r="AR72" s="4"/>
      <c r="AS72" s="4"/>
      <c r="AT72" s="4"/>
    </row>
    <row r="73" spans="1:46" s="88" customFormat="1" ht="111.95" hidden="1" customHeight="1" x14ac:dyDescent="0.25">
      <c r="A73" s="76">
        <v>6</v>
      </c>
      <c r="B73" s="76" t="s">
        <v>74</v>
      </c>
      <c r="C73" s="76" t="s">
        <v>1146</v>
      </c>
      <c r="D73" s="76">
        <v>2</v>
      </c>
      <c r="E73" s="76" t="s">
        <v>82</v>
      </c>
      <c r="F73" s="78" t="s">
        <v>75</v>
      </c>
      <c r="G73" s="79" t="s">
        <v>103</v>
      </c>
      <c r="H73" s="79" t="s">
        <v>84</v>
      </c>
      <c r="I73" s="80" t="s">
        <v>1339</v>
      </c>
      <c r="J73" s="79" t="s">
        <v>104</v>
      </c>
      <c r="K73" s="79" t="s">
        <v>78</v>
      </c>
      <c r="L73" s="81">
        <v>300000000</v>
      </c>
      <c r="M73" s="81" t="s">
        <v>85</v>
      </c>
      <c r="N73" s="82">
        <v>44961</v>
      </c>
      <c r="O73" s="82">
        <v>45325</v>
      </c>
      <c r="P73" s="83">
        <f t="shared" si="8"/>
        <v>0.99726027397260275</v>
      </c>
      <c r="Q73" s="77" t="s">
        <v>19</v>
      </c>
      <c r="R73" s="77">
        <f t="shared" ca="1" si="9"/>
        <v>2.1754046856332288</v>
      </c>
      <c r="S73" s="77" t="str">
        <f t="shared" ca="1" si="10"/>
        <v>O</v>
      </c>
      <c r="T73" s="84">
        <v>1</v>
      </c>
      <c r="U73" s="84">
        <v>3</v>
      </c>
      <c r="V73" s="84">
        <v>1</v>
      </c>
      <c r="W73" s="84">
        <f t="shared" si="11"/>
        <v>5</v>
      </c>
      <c r="X73" s="84" t="str">
        <f t="shared" si="12"/>
        <v>Biasa</v>
      </c>
      <c r="Y73" s="78"/>
      <c r="Z73" s="115"/>
      <c r="AA73" s="82"/>
      <c r="AB73" s="82"/>
      <c r="AC73" s="82"/>
      <c r="AD73" s="27" t="s">
        <v>86</v>
      </c>
      <c r="AE73" s="85">
        <v>43850</v>
      </c>
      <c r="AF73" s="77" t="s">
        <v>192</v>
      </c>
      <c r="AG73" s="77" t="s">
        <v>81</v>
      </c>
      <c r="AH73" s="21" t="s">
        <v>81</v>
      </c>
      <c r="AI73" s="21" t="s">
        <v>81</v>
      </c>
      <c r="AJ73" s="21" t="s">
        <v>81</v>
      </c>
      <c r="AK73" s="21" t="s">
        <v>81</v>
      </c>
      <c r="AL73" s="21" t="s">
        <v>81</v>
      </c>
      <c r="AM73" s="27" t="s">
        <v>100</v>
      </c>
      <c r="AN73" s="86">
        <v>44917</v>
      </c>
      <c r="AO73" s="87"/>
      <c r="AP73" s="4"/>
      <c r="AQ73" s="4"/>
      <c r="AR73" s="4"/>
      <c r="AS73" s="4"/>
      <c r="AT73" s="4"/>
    </row>
    <row r="74" spans="1:46" s="88" customFormat="1" ht="111.95" hidden="1" customHeight="1" x14ac:dyDescent="0.25">
      <c r="A74" s="76">
        <v>7</v>
      </c>
      <c r="B74" s="76" t="s">
        <v>74</v>
      </c>
      <c r="C74" s="76" t="s">
        <v>1146</v>
      </c>
      <c r="D74" s="76">
        <v>3</v>
      </c>
      <c r="E74" s="76" t="s">
        <v>82</v>
      </c>
      <c r="F74" s="78" t="s">
        <v>75</v>
      </c>
      <c r="G74" s="79" t="s">
        <v>108</v>
      </c>
      <c r="H74" s="79" t="s">
        <v>109</v>
      </c>
      <c r="I74" s="80" t="s">
        <v>1339</v>
      </c>
      <c r="J74" s="79" t="s">
        <v>88</v>
      </c>
      <c r="K74" s="79" t="s">
        <v>78</v>
      </c>
      <c r="L74" s="81">
        <v>300000000</v>
      </c>
      <c r="M74" s="81" t="s">
        <v>85</v>
      </c>
      <c r="N74" s="82">
        <v>45027</v>
      </c>
      <c r="O74" s="82">
        <v>45392</v>
      </c>
      <c r="P74" s="83">
        <f t="shared" si="8"/>
        <v>1</v>
      </c>
      <c r="Q74" s="77" t="s">
        <v>19</v>
      </c>
      <c r="R74" s="77">
        <f t="shared" ca="1" si="9"/>
        <v>4.3366950082138738</v>
      </c>
      <c r="S74" s="77" t="str">
        <f t="shared" ca="1" si="10"/>
        <v>O</v>
      </c>
      <c r="T74" s="84">
        <v>1</v>
      </c>
      <c r="U74" s="84">
        <v>3</v>
      </c>
      <c r="V74" s="84">
        <v>1</v>
      </c>
      <c r="W74" s="84">
        <f t="shared" si="11"/>
        <v>5</v>
      </c>
      <c r="X74" s="84" t="str">
        <f t="shared" si="12"/>
        <v>Biasa</v>
      </c>
      <c r="Y74" s="78"/>
      <c r="Z74" s="115"/>
      <c r="AA74" s="82"/>
      <c r="AB74" s="82"/>
      <c r="AC74" s="82"/>
      <c r="AD74" s="27" t="s">
        <v>86</v>
      </c>
      <c r="AE74" s="85">
        <v>44662</v>
      </c>
      <c r="AF74" s="77" t="s">
        <v>192</v>
      </c>
      <c r="AG74" s="77" t="s">
        <v>81</v>
      </c>
      <c r="AH74" s="21" t="s">
        <v>81</v>
      </c>
      <c r="AI74" s="21" t="s">
        <v>81</v>
      </c>
      <c r="AJ74" s="21" t="s">
        <v>81</v>
      </c>
      <c r="AK74" s="21" t="s">
        <v>81</v>
      </c>
      <c r="AL74" s="21" t="s">
        <v>81</v>
      </c>
      <c r="AM74" s="27" t="s">
        <v>100</v>
      </c>
      <c r="AN74" s="86">
        <v>44981</v>
      </c>
      <c r="AO74" s="87"/>
      <c r="AP74" s="4"/>
      <c r="AQ74" s="4"/>
      <c r="AR74" s="4"/>
      <c r="AS74" s="4"/>
      <c r="AT74" s="4"/>
    </row>
    <row r="75" spans="1:46" s="88" customFormat="1" ht="111.95" hidden="1" customHeight="1" x14ac:dyDescent="0.25">
      <c r="A75" s="76">
        <v>8</v>
      </c>
      <c r="B75" s="76" t="s">
        <v>74</v>
      </c>
      <c r="C75" s="76" t="s">
        <v>1146</v>
      </c>
      <c r="D75" s="76">
        <v>4</v>
      </c>
      <c r="E75" s="76" t="s">
        <v>82</v>
      </c>
      <c r="F75" s="78" t="s">
        <v>75</v>
      </c>
      <c r="G75" s="79" t="s">
        <v>83</v>
      </c>
      <c r="H75" s="79" t="s">
        <v>90</v>
      </c>
      <c r="I75" s="80" t="s">
        <v>1339</v>
      </c>
      <c r="J75" s="79" t="s">
        <v>102</v>
      </c>
      <c r="K75" s="79" t="s">
        <v>92</v>
      </c>
      <c r="L75" s="81">
        <v>275000000</v>
      </c>
      <c r="M75" s="81" t="s">
        <v>85</v>
      </c>
      <c r="N75" s="82">
        <v>44907</v>
      </c>
      <c r="O75" s="82">
        <v>45271</v>
      </c>
      <c r="P75" s="83">
        <f t="shared" si="8"/>
        <v>0.99726027397260275</v>
      </c>
      <c r="Q75" s="77" t="s">
        <v>19</v>
      </c>
      <c r="R75" s="77">
        <f t="shared" ca="1" si="9"/>
        <v>0.43346920176226111</v>
      </c>
      <c r="S75" s="77" t="str">
        <f t="shared" ca="1" si="10"/>
        <v>O</v>
      </c>
      <c r="T75" s="84">
        <v>1</v>
      </c>
      <c r="U75" s="84">
        <v>3</v>
      </c>
      <c r="V75" s="84">
        <v>1</v>
      </c>
      <c r="W75" s="84">
        <f t="shared" si="11"/>
        <v>5</v>
      </c>
      <c r="X75" s="84" t="str">
        <f t="shared" si="12"/>
        <v>Biasa</v>
      </c>
      <c r="Y75" s="78"/>
      <c r="Z75" s="115"/>
      <c r="AA75" s="82"/>
      <c r="AB75" s="82"/>
      <c r="AC75" s="82"/>
      <c r="AD75" s="27"/>
      <c r="AE75" s="85"/>
      <c r="AF75" s="77" t="s">
        <v>192</v>
      </c>
      <c r="AG75" s="77" t="s">
        <v>81</v>
      </c>
      <c r="AH75" s="21" t="s">
        <v>81</v>
      </c>
      <c r="AI75" s="21" t="s">
        <v>81</v>
      </c>
      <c r="AJ75" s="21" t="s">
        <v>81</v>
      </c>
      <c r="AK75" s="21" t="s">
        <v>81</v>
      </c>
      <c r="AL75" s="21" t="s">
        <v>81</v>
      </c>
      <c r="AM75" s="27" t="s">
        <v>100</v>
      </c>
      <c r="AN75" s="86">
        <v>44902</v>
      </c>
      <c r="AO75" s="87"/>
      <c r="AP75" s="4"/>
      <c r="AQ75" s="4"/>
      <c r="AR75" s="4"/>
      <c r="AS75" s="4"/>
      <c r="AT75" s="4"/>
    </row>
    <row r="76" spans="1:46" s="88" customFormat="1" ht="111.95" hidden="1" customHeight="1" x14ac:dyDescent="0.25">
      <c r="A76" s="76">
        <v>9</v>
      </c>
      <c r="B76" s="76" t="s">
        <v>74</v>
      </c>
      <c r="C76" s="76" t="s">
        <v>1146</v>
      </c>
      <c r="D76" s="76">
        <v>5</v>
      </c>
      <c r="E76" s="76" t="s">
        <v>82</v>
      </c>
      <c r="F76" s="78" t="s">
        <v>110</v>
      </c>
      <c r="G76" s="79" t="s">
        <v>111</v>
      </c>
      <c r="H76" s="79" t="s">
        <v>112</v>
      </c>
      <c r="I76" s="80" t="s">
        <v>1337</v>
      </c>
      <c r="J76" s="79" t="s">
        <v>113</v>
      </c>
      <c r="K76" s="79" t="s">
        <v>114</v>
      </c>
      <c r="L76" s="81">
        <v>4425000</v>
      </c>
      <c r="M76" s="81" t="s">
        <v>115</v>
      </c>
      <c r="N76" s="82">
        <v>44621</v>
      </c>
      <c r="O76" s="82">
        <v>45716</v>
      </c>
      <c r="P76" s="83">
        <f t="shared" si="8"/>
        <v>3</v>
      </c>
      <c r="Q76" s="77" t="s">
        <v>19</v>
      </c>
      <c r="R76" s="77">
        <f t="shared" ca="1" si="9"/>
        <v>14.788307911439681</v>
      </c>
      <c r="S76" s="77" t="str">
        <f t="shared" ca="1" si="10"/>
        <v>O</v>
      </c>
      <c r="T76" s="84">
        <v>1</v>
      </c>
      <c r="U76" s="84">
        <v>1</v>
      </c>
      <c r="V76" s="84">
        <v>1</v>
      </c>
      <c r="W76" s="84">
        <f t="shared" si="11"/>
        <v>3</v>
      </c>
      <c r="X76" s="84" t="str">
        <f t="shared" si="12"/>
        <v>Biasa</v>
      </c>
      <c r="Y76" s="78"/>
      <c r="Z76" s="115" t="s">
        <v>81</v>
      </c>
      <c r="AA76" s="82">
        <f t="shared" ref="AA76:AA89" si="13">N76+270</f>
        <v>44891</v>
      </c>
      <c r="AB76" s="82">
        <f t="shared" ref="AB76:AB88" si="14">+N76+635</f>
        <v>45256</v>
      </c>
      <c r="AC76" s="82"/>
      <c r="AD76" s="27" t="s">
        <v>116</v>
      </c>
      <c r="AE76" s="85">
        <v>43525</v>
      </c>
      <c r="AF76" s="77" t="s">
        <v>192</v>
      </c>
      <c r="AG76" s="77" t="s">
        <v>81</v>
      </c>
      <c r="AH76" s="21" t="s">
        <v>81</v>
      </c>
      <c r="AI76" s="21" t="s">
        <v>81</v>
      </c>
      <c r="AJ76" s="21" t="s">
        <v>81</v>
      </c>
      <c r="AK76" s="21" t="s">
        <v>81</v>
      </c>
      <c r="AL76" s="21" t="s">
        <v>81</v>
      </c>
      <c r="AM76" s="27" t="s">
        <v>87</v>
      </c>
      <c r="AN76" s="86">
        <v>44617</v>
      </c>
      <c r="AO76" s="87"/>
      <c r="AP76" s="4"/>
      <c r="AQ76" s="4"/>
      <c r="AR76" s="4"/>
      <c r="AS76" s="4"/>
      <c r="AT76" s="4"/>
    </row>
    <row r="77" spans="1:46" s="88" customFormat="1" ht="111.95" hidden="1" customHeight="1" x14ac:dyDescent="0.25">
      <c r="A77" s="76">
        <v>10</v>
      </c>
      <c r="B77" s="76" t="s">
        <v>74</v>
      </c>
      <c r="C77" s="76" t="s">
        <v>1147</v>
      </c>
      <c r="D77" s="76">
        <v>1</v>
      </c>
      <c r="E77" s="76" t="s">
        <v>82</v>
      </c>
      <c r="F77" s="78" t="s">
        <v>117</v>
      </c>
      <c r="G77" s="79" t="s">
        <v>118</v>
      </c>
      <c r="H77" s="79" t="s">
        <v>112</v>
      </c>
      <c r="I77" s="80" t="s">
        <v>1337</v>
      </c>
      <c r="J77" s="79" t="s">
        <v>119</v>
      </c>
      <c r="K77" s="79" t="s">
        <v>114</v>
      </c>
      <c r="L77" s="81">
        <v>6800000</v>
      </c>
      <c r="M77" s="81" t="s">
        <v>96</v>
      </c>
      <c r="N77" s="82">
        <v>44166</v>
      </c>
      <c r="O77" s="82">
        <v>45260</v>
      </c>
      <c r="P77" s="83">
        <f t="shared" si="8"/>
        <v>2.9972602739726026</v>
      </c>
      <c r="Q77" s="77" t="s">
        <v>19</v>
      </c>
      <c r="R77" s="77">
        <f t="shared" ca="1" si="9"/>
        <v>7.8630492084841769E-2</v>
      </c>
      <c r="S77" s="77" t="str">
        <f t="shared" ca="1" si="10"/>
        <v>O</v>
      </c>
      <c r="T77" s="84">
        <v>1</v>
      </c>
      <c r="U77" s="84">
        <v>1</v>
      </c>
      <c r="V77" s="84">
        <v>1</v>
      </c>
      <c r="W77" s="84">
        <f t="shared" si="11"/>
        <v>3</v>
      </c>
      <c r="X77" s="84" t="str">
        <f t="shared" si="12"/>
        <v>Biasa</v>
      </c>
      <c r="Y77" s="78"/>
      <c r="Z77" s="115" t="s">
        <v>81</v>
      </c>
      <c r="AA77" s="82">
        <f t="shared" si="13"/>
        <v>44436</v>
      </c>
      <c r="AB77" s="82">
        <f t="shared" si="14"/>
        <v>44801</v>
      </c>
      <c r="AC77" s="82"/>
      <c r="AD77" s="27"/>
      <c r="AE77" s="85"/>
      <c r="AF77" s="77" t="s">
        <v>192</v>
      </c>
      <c r="AG77" s="77" t="s">
        <v>81</v>
      </c>
      <c r="AH77" s="21" t="s">
        <v>81</v>
      </c>
      <c r="AI77" s="21" t="s">
        <v>81</v>
      </c>
      <c r="AJ77" s="21" t="s">
        <v>81</v>
      </c>
      <c r="AK77" s="21" t="s">
        <v>81</v>
      </c>
      <c r="AL77" s="21" t="s">
        <v>81</v>
      </c>
      <c r="AM77" s="27" t="s">
        <v>87</v>
      </c>
      <c r="AN77" s="86">
        <v>44154</v>
      </c>
      <c r="AO77" s="87"/>
      <c r="AP77" s="4"/>
      <c r="AQ77" s="4"/>
      <c r="AR77" s="4"/>
      <c r="AS77" s="4"/>
      <c r="AT77" s="4"/>
    </row>
    <row r="78" spans="1:46" s="88" customFormat="1" ht="111.95" hidden="1" customHeight="1" x14ac:dyDescent="0.25">
      <c r="A78" s="76">
        <v>11</v>
      </c>
      <c r="B78" s="76" t="s">
        <v>74</v>
      </c>
      <c r="C78" s="76" t="s">
        <v>1147</v>
      </c>
      <c r="D78" s="76">
        <v>2</v>
      </c>
      <c r="E78" s="76" t="s">
        <v>82</v>
      </c>
      <c r="F78" s="78" t="s">
        <v>124</v>
      </c>
      <c r="G78" s="79" t="s">
        <v>125</v>
      </c>
      <c r="H78" s="79" t="s">
        <v>112</v>
      </c>
      <c r="I78" s="80" t="s">
        <v>1337</v>
      </c>
      <c r="J78" s="79" t="s">
        <v>126</v>
      </c>
      <c r="K78" s="79" t="s">
        <v>114</v>
      </c>
      <c r="L78" s="81">
        <v>5225000</v>
      </c>
      <c r="M78" s="81" t="s">
        <v>96</v>
      </c>
      <c r="N78" s="82">
        <v>44624</v>
      </c>
      <c r="O78" s="82">
        <v>45719</v>
      </c>
      <c r="P78" s="83">
        <f t="shared" si="8"/>
        <v>3</v>
      </c>
      <c r="Q78" s="77" t="s">
        <v>19</v>
      </c>
      <c r="R78" s="77">
        <f t="shared" ca="1" si="9"/>
        <v>14.885082104988067</v>
      </c>
      <c r="S78" s="77" t="str">
        <f t="shared" ca="1" si="10"/>
        <v>O</v>
      </c>
      <c r="T78" s="84">
        <v>1</v>
      </c>
      <c r="U78" s="84">
        <v>1</v>
      </c>
      <c r="V78" s="84">
        <v>1</v>
      </c>
      <c r="W78" s="84">
        <f t="shared" si="11"/>
        <v>3</v>
      </c>
      <c r="X78" s="84" t="str">
        <f t="shared" si="12"/>
        <v>Biasa</v>
      </c>
      <c r="Y78" s="78"/>
      <c r="Z78" s="115" t="s">
        <v>81</v>
      </c>
      <c r="AA78" s="82">
        <f t="shared" si="13"/>
        <v>44894</v>
      </c>
      <c r="AB78" s="82">
        <f t="shared" si="14"/>
        <v>45259</v>
      </c>
      <c r="AC78" s="82"/>
      <c r="AD78" s="27"/>
      <c r="AE78" s="85"/>
      <c r="AF78" s="77" t="s">
        <v>192</v>
      </c>
      <c r="AG78" s="77" t="s">
        <v>81</v>
      </c>
      <c r="AH78" s="21" t="s">
        <v>81</v>
      </c>
      <c r="AI78" s="21" t="s">
        <v>81</v>
      </c>
      <c r="AJ78" s="21" t="s">
        <v>81</v>
      </c>
      <c r="AK78" s="21" t="s">
        <v>81</v>
      </c>
      <c r="AL78" s="21" t="s">
        <v>81</v>
      </c>
      <c r="AM78" s="27" t="s">
        <v>87</v>
      </c>
      <c r="AN78" s="86">
        <v>44617</v>
      </c>
      <c r="AO78" s="87"/>
      <c r="AP78" s="4"/>
      <c r="AQ78" s="4"/>
      <c r="AR78" s="4"/>
      <c r="AS78" s="4"/>
      <c r="AT78" s="4"/>
    </row>
    <row r="79" spans="1:46" s="88" customFormat="1" ht="111.95" hidden="1" customHeight="1" x14ac:dyDescent="0.25">
      <c r="A79" s="76">
        <v>12</v>
      </c>
      <c r="B79" s="76" t="s">
        <v>74</v>
      </c>
      <c r="C79" s="76" t="s">
        <v>1147</v>
      </c>
      <c r="D79" s="76">
        <v>3</v>
      </c>
      <c r="E79" s="76" t="s">
        <v>82</v>
      </c>
      <c r="F79" s="78" t="s">
        <v>127</v>
      </c>
      <c r="G79" s="79" t="s">
        <v>128</v>
      </c>
      <c r="H79" s="79" t="s">
        <v>112</v>
      </c>
      <c r="I79" s="80" t="s">
        <v>1337</v>
      </c>
      <c r="J79" s="79" t="s">
        <v>129</v>
      </c>
      <c r="K79" s="79" t="s">
        <v>114</v>
      </c>
      <c r="L79" s="81">
        <v>4000000</v>
      </c>
      <c r="M79" s="81" t="s">
        <v>96</v>
      </c>
      <c r="N79" s="82">
        <v>44114</v>
      </c>
      <c r="O79" s="82">
        <v>45208</v>
      </c>
      <c r="P79" s="83">
        <f t="shared" si="8"/>
        <v>2.9972602739726026</v>
      </c>
      <c r="Q79" s="77" t="s">
        <v>19</v>
      </c>
      <c r="R79" s="77">
        <f t="shared" ca="1" si="9"/>
        <v>-1.598788862753868</v>
      </c>
      <c r="S79" s="77" t="str">
        <f t="shared" ca="1" si="10"/>
        <v>Y</v>
      </c>
      <c r="T79" s="84">
        <v>1</v>
      </c>
      <c r="U79" s="84">
        <v>1</v>
      </c>
      <c r="V79" s="84">
        <v>1</v>
      </c>
      <c r="W79" s="84">
        <f t="shared" si="11"/>
        <v>3</v>
      </c>
      <c r="X79" s="84" t="str">
        <f t="shared" si="12"/>
        <v>Biasa</v>
      </c>
      <c r="Y79" s="78"/>
      <c r="Z79" s="115" t="s">
        <v>81</v>
      </c>
      <c r="AA79" s="82">
        <f t="shared" si="13"/>
        <v>44384</v>
      </c>
      <c r="AB79" s="82">
        <f t="shared" si="14"/>
        <v>44749</v>
      </c>
      <c r="AC79" s="82"/>
      <c r="AD79" s="27"/>
      <c r="AE79" s="85"/>
      <c r="AF79" s="77" t="s">
        <v>192</v>
      </c>
      <c r="AG79" s="77" t="s">
        <v>81</v>
      </c>
      <c r="AH79" s="21" t="s">
        <v>81</v>
      </c>
      <c r="AI79" s="21" t="s">
        <v>81</v>
      </c>
      <c r="AJ79" s="21" t="s">
        <v>81</v>
      </c>
      <c r="AK79" s="21" t="s">
        <v>81</v>
      </c>
      <c r="AL79" s="21" t="s">
        <v>81</v>
      </c>
      <c r="AM79" s="27" t="s">
        <v>87</v>
      </c>
      <c r="AN79" s="86">
        <v>44105</v>
      </c>
      <c r="AO79" s="87"/>
      <c r="AP79" s="4"/>
      <c r="AQ79" s="4"/>
      <c r="AR79" s="4"/>
      <c r="AS79" s="4"/>
      <c r="AT79" s="4"/>
    </row>
    <row r="80" spans="1:46" s="88" customFormat="1" ht="111.95" hidden="1" customHeight="1" x14ac:dyDescent="0.25">
      <c r="A80" s="76">
        <v>13</v>
      </c>
      <c r="B80" s="76" t="s">
        <v>74</v>
      </c>
      <c r="C80" s="76" t="s">
        <v>1147</v>
      </c>
      <c r="D80" s="76">
        <v>4</v>
      </c>
      <c r="E80" s="76" t="s">
        <v>82</v>
      </c>
      <c r="F80" s="78" t="s">
        <v>131</v>
      </c>
      <c r="G80" s="79" t="s">
        <v>130</v>
      </c>
      <c r="H80" s="79" t="s">
        <v>112</v>
      </c>
      <c r="I80" s="80" t="s">
        <v>1337</v>
      </c>
      <c r="J80" s="79" t="s">
        <v>132</v>
      </c>
      <c r="K80" s="79" t="s">
        <v>114</v>
      </c>
      <c r="L80" s="81">
        <v>4475000</v>
      </c>
      <c r="M80" s="81" t="s">
        <v>96</v>
      </c>
      <c r="N80" s="82">
        <v>44228</v>
      </c>
      <c r="O80" s="82">
        <v>45322</v>
      </c>
      <c r="P80" s="83">
        <f t="shared" si="8"/>
        <v>2.9972602739726026</v>
      </c>
      <c r="Q80" s="77" t="s">
        <v>19</v>
      </c>
      <c r="R80" s="77">
        <f t="shared" ca="1" si="9"/>
        <v>2.0786304920848417</v>
      </c>
      <c r="S80" s="77" t="str">
        <f t="shared" ca="1" si="10"/>
        <v>O</v>
      </c>
      <c r="T80" s="84">
        <v>1</v>
      </c>
      <c r="U80" s="84">
        <v>1</v>
      </c>
      <c r="V80" s="84">
        <v>1</v>
      </c>
      <c r="W80" s="84">
        <f t="shared" si="11"/>
        <v>3</v>
      </c>
      <c r="X80" s="84" t="str">
        <f t="shared" si="12"/>
        <v>Biasa</v>
      </c>
      <c r="Y80" s="78"/>
      <c r="Z80" s="115" t="s">
        <v>81</v>
      </c>
      <c r="AA80" s="82">
        <f t="shared" si="13"/>
        <v>44498</v>
      </c>
      <c r="AB80" s="82">
        <f t="shared" si="14"/>
        <v>44863</v>
      </c>
      <c r="AC80" s="82"/>
      <c r="AD80" s="27"/>
      <c r="AE80" s="85"/>
      <c r="AF80" s="77" t="s">
        <v>192</v>
      </c>
      <c r="AG80" s="77" t="s">
        <v>81</v>
      </c>
      <c r="AH80" s="21" t="s">
        <v>81</v>
      </c>
      <c r="AI80" s="21" t="s">
        <v>81</v>
      </c>
      <c r="AJ80" s="21" t="s">
        <v>81</v>
      </c>
      <c r="AK80" s="21" t="s">
        <v>81</v>
      </c>
      <c r="AL80" s="21" t="s">
        <v>81</v>
      </c>
      <c r="AM80" s="27" t="s">
        <v>87</v>
      </c>
      <c r="AN80" s="86">
        <v>44225</v>
      </c>
      <c r="AO80" s="87"/>
      <c r="AP80" s="4"/>
      <c r="AQ80" s="4"/>
      <c r="AR80" s="4"/>
      <c r="AS80" s="4"/>
      <c r="AT80" s="4"/>
    </row>
    <row r="81" spans="1:46" s="88" customFormat="1" ht="111.75" hidden="1" customHeight="1" x14ac:dyDescent="0.25">
      <c r="A81" s="76">
        <v>14</v>
      </c>
      <c r="B81" s="76" t="s">
        <v>74</v>
      </c>
      <c r="C81" s="76" t="s">
        <v>1147</v>
      </c>
      <c r="D81" s="76">
        <v>5</v>
      </c>
      <c r="E81" s="76" t="s">
        <v>82</v>
      </c>
      <c r="F81" s="78" t="s">
        <v>133</v>
      </c>
      <c r="G81" s="79" t="s">
        <v>134</v>
      </c>
      <c r="H81" s="79" t="s">
        <v>112</v>
      </c>
      <c r="I81" s="80" t="s">
        <v>1337</v>
      </c>
      <c r="J81" s="79" t="s">
        <v>135</v>
      </c>
      <c r="K81" s="79" t="s">
        <v>114</v>
      </c>
      <c r="L81" s="81">
        <v>4475000</v>
      </c>
      <c r="M81" s="81" t="s">
        <v>96</v>
      </c>
      <c r="N81" s="82">
        <v>44412</v>
      </c>
      <c r="O81" s="82">
        <v>45507</v>
      </c>
      <c r="P81" s="83">
        <f t="shared" si="8"/>
        <v>3</v>
      </c>
      <c r="Q81" s="77" t="s">
        <v>19</v>
      </c>
      <c r="R81" s="77">
        <f t="shared" ca="1" si="9"/>
        <v>8.0463724275687127</v>
      </c>
      <c r="S81" s="77" t="str">
        <f t="shared" ca="1" si="10"/>
        <v>O</v>
      </c>
      <c r="T81" s="84">
        <v>1</v>
      </c>
      <c r="U81" s="84">
        <v>1</v>
      </c>
      <c r="V81" s="84">
        <v>1</v>
      </c>
      <c r="W81" s="84">
        <f t="shared" si="11"/>
        <v>3</v>
      </c>
      <c r="X81" s="84" t="str">
        <f t="shared" si="12"/>
        <v>Biasa</v>
      </c>
      <c r="Y81" s="78"/>
      <c r="Z81" s="115" t="s">
        <v>81</v>
      </c>
      <c r="AA81" s="82">
        <f t="shared" si="13"/>
        <v>44682</v>
      </c>
      <c r="AB81" s="82">
        <f t="shared" si="14"/>
        <v>45047</v>
      </c>
      <c r="AC81" s="82"/>
      <c r="AD81" s="27"/>
      <c r="AE81" s="85"/>
      <c r="AF81" s="77" t="s">
        <v>192</v>
      </c>
      <c r="AG81" s="77" t="s">
        <v>81</v>
      </c>
      <c r="AH81" s="21" t="s">
        <v>81</v>
      </c>
      <c r="AI81" s="21" t="s">
        <v>81</v>
      </c>
      <c r="AJ81" s="21" t="s">
        <v>81</v>
      </c>
      <c r="AK81" s="21" t="s">
        <v>81</v>
      </c>
      <c r="AL81" s="21" t="s">
        <v>81</v>
      </c>
      <c r="AM81" s="27" t="s">
        <v>87</v>
      </c>
      <c r="AN81" s="86">
        <v>44407</v>
      </c>
      <c r="AO81" s="87"/>
      <c r="AP81" s="4"/>
      <c r="AQ81" s="4"/>
      <c r="AR81" s="4"/>
      <c r="AS81" s="4"/>
      <c r="AT81" s="4"/>
    </row>
    <row r="82" spans="1:46" s="88" customFormat="1" ht="111.95" hidden="1" customHeight="1" x14ac:dyDescent="0.25">
      <c r="A82" s="76">
        <v>15</v>
      </c>
      <c r="B82" s="76" t="s">
        <v>74</v>
      </c>
      <c r="C82" s="76" t="s">
        <v>1148</v>
      </c>
      <c r="D82" s="76">
        <v>1</v>
      </c>
      <c r="E82" s="76" t="s">
        <v>82</v>
      </c>
      <c r="F82" s="78" t="s">
        <v>136</v>
      </c>
      <c r="G82" s="79" t="s">
        <v>137</v>
      </c>
      <c r="H82" s="79" t="s">
        <v>112</v>
      </c>
      <c r="I82" s="80" t="s">
        <v>1337</v>
      </c>
      <c r="J82" s="79" t="s">
        <v>132</v>
      </c>
      <c r="K82" s="79" t="s">
        <v>114</v>
      </c>
      <c r="L82" s="81">
        <v>4475000</v>
      </c>
      <c r="M82" s="81" t="s">
        <v>96</v>
      </c>
      <c r="N82" s="82">
        <v>44180</v>
      </c>
      <c r="O82" s="82">
        <v>45274</v>
      </c>
      <c r="P82" s="83">
        <f t="shared" si="8"/>
        <v>2.9972602739726026</v>
      </c>
      <c r="Q82" s="77" t="s">
        <v>19</v>
      </c>
      <c r="R82" s="77">
        <f t="shared" ca="1" si="9"/>
        <v>0.53024339531064824</v>
      </c>
      <c r="S82" s="77" t="str">
        <f t="shared" ca="1" si="10"/>
        <v>O</v>
      </c>
      <c r="T82" s="84">
        <v>1</v>
      </c>
      <c r="U82" s="84">
        <v>1</v>
      </c>
      <c r="V82" s="84">
        <v>1</v>
      </c>
      <c r="W82" s="84">
        <f t="shared" si="11"/>
        <v>3</v>
      </c>
      <c r="X82" s="84" t="str">
        <f t="shared" si="12"/>
        <v>Biasa</v>
      </c>
      <c r="Y82" s="78"/>
      <c r="Z82" s="115" t="s">
        <v>81</v>
      </c>
      <c r="AA82" s="82">
        <f t="shared" si="13"/>
        <v>44450</v>
      </c>
      <c r="AB82" s="82">
        <f t="shared" si="14"/>
        <v>44815</v>
      </c>
      <c r="AC82" s="82"/>
      <c r="AD82" s="27" t="s">
        <v>86</v>
      </c>
      <c r="AE82" s="85">
        <v>44180</v>
      </c>
      <c r="AF82" s="77" t="s">
        <v>192</v>
      </c>
      <c r="AG82" s="77" t="s">
        <v>81</v>
      </c>
      <c r="AH82" s="21" t="s">
        <v>81</v>
      </c>
      <c r="AI82" s="21" t="s">
        <v>81</v>
      </c>
      <c r="AJ82" s="21" t="s">
        <v>81</v>
      </c>
      <c r="AK82" s="21" t="s">
        <v>81</v>
      </c>
      <c r="AL82" s="21" t="s">
        <v>81</v>
      </c>
      <c r="AM82" s="27" t="s">
        <v>87</v>
      </c>
      <c r="AN82" s="86">
        <v>44179</v>
      </c>
      <c r="AO82" s="87"/>
      <c r="AP82" s="4"/>
      <c r="AQ82" s="4"/>
      <c r="AR82" s="4"/>
      <c r="AS82" s="4"/>
      <c r="AT82" s="4"/>
    </row>
    <row r="83" spans="1:46" s="88" customFormat="1" ht="111.95" hidden="1" customHeight="1" x14ac:dyDescent="0.25">
      <c r="A83" s="76">
        <v>16</v>
      </c>
      <c r="B83" s="76" t="s">
        <v>74</v>
      </c>
      <c r="C83" s="76" t="s">
        <v>1148</v>
      </c>
      <c r="D83" s="76">
        <v>4</v>
      </c>
      <c r="E83" s="76" t="s">
        <v>82</v>
      </c>
      <c r="F83" s="78" t="s">
        <v>1330</v>
      </c>
      <c r="G83" s="79" t="s">
        <v>139</v>
      </c>
      <c r="H83" s="79" t="s">
        <v>140</v>
      </c>
      <c r="I83" s="80" t="s">
        <v>1337</v>
      </c>
      <c r="J83" s="79" t="s">
        <v>1331</v>
      </c>
      <c r="K83" s="79"/>
      <c r="L83" s="81">
        <v>9000000</v>
      </c>
      <c r="M83" s="81" t="s">
        <v>96</v>
      </c>
      <c r="N83" s="82">
        <v>44986</v>
      </c>
      <c r="O83" s="82">
        <v>46081</v>
      </c>
      <c r="P83" s="83">
        <f t="shared" si="8"/>
        <v>3</v>
      </c>
      <c r="Q83" s="77" t="s">
        <v>19</v>
      </c>
      <c r="R83" s="77">
        <f t="shared" ca="1" si="9"/>
        <v>26.562501459826777</v>
      </c>
      <c r="S83" s="77" t="str">
        <f t="shared" ca="1" si="10"/>
        <v>O</v>
      </c>
      <c r="T83" s="84">
        <v>1</v>
      </c>
      <c r="U83" s="84">
        <v>1</v>
      </c>
      <c r="V83" s="84">
        <v>1</v>
      </c>
      <c r="W83" s="84">
        <f t="shared" si="11"/>
        <v>3</v>
      </c>
      <c r="X83" s="84" t="str">
        <f t="shared" si="12"/>
        <v>Biasa</v>
      </c>
      <c r="Y83" s="78"/>
      <c r="Z83" s="115" t="s">
        <v>81</v>
      </c>
      <c r="AA83" s="82">
        <f t="shared" si="13"/>
        <v>45256</v>
      </c>
      <c r="AB83" s="82">
        <f t="shared" si="14"/>
        <v>45621</v>
      </c>
      <c r="AC83" s="82"/>
      <c r="AD83" s="27"/>
      <c r="AE83" s="85"/>
      <c r="AF83" s="77" t="s">
        <v>192</v>
      </c>
      <c r="AG83" s="77" t="s">
        <v>81</v>
      </c>
      <c r="AH83" s="21" t="s">
        <v>81</v>
      </c>
      <c r="AI83" s="21" t="s">
        <v>81</v>
      </c>
      <c r="AJ83" s="21" t="s">
        <v>81</v>
      </c>
      <c r="AK83" s="21" t="s">
        <v>81</v>
      </c>
      <c r="AL83" s="21" t="s">
        <v>81</v>
      </c>
      <c r="AM83" s="27" t="s">
        <v>100</v>
      </c>
      <c r="AN83" s="86">
        <v>44981</v>
      </c>
      <c r="AO83" s="87"/>
      <c r="AP83" s="4"/>
      <c r="AQ83" s="4"/>
      <c r="AR83" s="4"/>
      <c r="AS83" s="4"/>
      <c r="AT83" s="4"/>
    </row>
    <row r="84" spans="1:46" s="88" customFormat="1" ht="111.95" hidden="1" customHeight="1" x14ac:dyDescent="0.25">
      <c r="A84" s="76">
        <v>17</v>
      </c>
      <c r="B84" s="76" t="s">
        <v>74</v>
      </c>
      <c r="C84" s="76" t="s">
        <v>1148</v>
      </c>
      <c r="D84" s="76">
        <v>5</v>
      </c>
      <c r="E84" s="76" t="s">
        <v>82</v>
      </c>
      <c r="F84" s="78" t="s">
        <v>156</v>
      </c>
      <c r="G84" s="79" t="s">
        <v>157</v>
      </c>
      <c r="H84" s="79" t="s">
        <v>112</v>
      </c>
      <c r="I84" s="80" t="s">
        <v>1337</v>
      </c>
      <c r="J84" s="79" t="s">
        <v>158</v>
      </c>
      <c r="K84" s="79"/>
      <c r="L84" s="81">
        <v>4675000</v>
      </c>
      <c r="M84" s="81" t="s">
        <v>96</v>
      </c>
      <c r="N84" s="82">
        <v>44470</v>
      </c>
      <c r="O84" s="82">
        <v>45565</v>
      </c>
      <c r="P84" s="83">
        <f t="shared" si="8"/>
        <v>3</v>
      </c>
      <c r="Q84" s="77" t="s">
        <v>19</v>
      </c>
      <c r="R84" s="77">
        <f t="shared" ca="1" si="9"/>
        <v>9.9173401695041967</v>
      </c>
      <c r="S84" s="77" t="str">
        <f t="shared" ca="1" si="10"/>
        <v>O</v>
      </c>
      <c r="T84" s="84">
        <v>1</v>
      </c>
      <c r="U84" s="84">
        <v>1</v>
      </c>
      <c r="V84" s="84">
        <v>1</v>
      </c>
      <c r="W84" s="84">
        <f t="shared" si="11"/>
        <v>3</v>
      </c>
      <c r="X84" s="84" t="str">
        <f t="shared" si="12"/>
        <v>Biasa</v>
      </c>
      <c r="Y84" s="78"/>
      <c r="Z84" s="115" t="s">
        <v>81</v>
      </c>
      <c r="AA84" s="82">
        <f t="shared" si="13"/>
        <v>44740</v>
      </c>
      <c r="AB84" s="82">
        <f t="shared" si="14"/>
        <v>45105</v>
      </c>
      <c r="AC84" s="82"/>
      <c r="AD84" s="27" t="s">
        <v>86</v>
      </c>
      <c r="AE84" s="85">
        <v>44470</v>
      </c>
      <c r="AF84" s="77" t="s">
        <v>192</v>
      </c>
      <c r="AG84" s="77" t="s">
        <v>81</v>
      </c>
      <c r="AH84" s="21" t="s">
        <v>81</v>
      </c>
      <c r="AI84" s="21" t="s">
        <v>81</v>
      </c>
      <c r="AJ84" s="21" t="s">
        <v>81</v>
      </c>
      <c r="AK84" s="21" t="s">
        <v>81</v>
      </c>
      <c r="AL84" s="21" t="s">
        <v>81</v>
      </c>
      <c r="AM84" s="27" t="s">
        <v>87</v>
      </c>
      <c r="AN84" s="86"/>
      <c r="AO84" s="87"/>
      <c r="AP84" s="4"/>
      <c r="AQ84" s="4"/>
      <c r="AR84" s="4"/>
      <c r="AS84" s="4"/>
      <c r="AT84" s="4"/>
    </row>
    <row r="85" spans="1:46" s="88" customFormat="1" ht="111.95" hidden="1" customHeight="1" x14ac:dyDescent="0.25">
      <c r="A85" s="76">
        <v>18</v>
      </c>
      <c r="B85" s="76" t="s">
        <v>74</v>
      </c>
      <c r="C85" s="76" t="s">
        <v>1148</v>
      </c>
      <c r="D85" s="76">
        <v>6</v>
      </c>
      <c r="E85" s="76" t="s">
        <v>82</v>
      </c>
      <c r="F85" s="78" t="s">
        <v>1311</v>
      </c>
      <c r="G85" s="79" t="s">
        <v>1312</v>
      </c>
      <c r="H85" s="79" t="s">
        <v>112</v>
      </c>
      <c r="I85" s="80" t="s">
        <v>1337</v>
      </c>
      <c r="J85" s="79" t="s">
        <v>1313</v>
      </c>
      <c r="K85" s="79"/>
      <c r="L85" s="140" t="s">
        <v>1314</v>
      </c>
      <c r="M85" s="81" t="s">
        <v>1315</v>
      </c>
      <c r="N85" s="82">
        <v>44960</v>
      </c>
      <c r="O85" s="82">
        <v>46056</v>
      </c>
      <c r="P85" s="83">
        <f t="shared" si="8"/>
        <v>3.0027397260273974</v>
      </c>
      <c r="Q85" s="77" t="s">
        <v>19</v>
      </c>
      <c r="R85" s="77">
        <f t="shared" ca="1" si="9"/>
        <v>25.756049846923553</v>
      </c>
      <c r="S85" s="77" t="str">
        <f t="shared" ca="1" si="10"/>
        <v>O</v>
      </c>
      <c r="T85" s="84">
        <v>1</v>
      </c>
      <c r="U85" s="84">
        <v>1</v>
      </c>
      <c r="V85" s="84">
        <v>1</v>
      </c>
      <c r="W85" s="84">
        <f t="shared" si="11"/>
        <v>3</v>
      </c>
      <c r="X85" s="84" t="str">
        <f t="shared" si="12"/>
        <v>Biasa</v>
      </c>
      <c r="Y85" s="78"/>
      <c r="Z85" s="115" t="s">
        <v>81</v>
      </c>
      <c r="AA85" s="82">
        <f t="shared" si="13"/>
        <v>45230</v>
      </c>
      <c r="AB85" s="82">
        <f t="shared" si="14"/>
        <v>45595</v>
      </c>
      <c r="AC85" s="82"/>
      <c r="AD85" s="27"/>
      <c r="AE85" s="85"/>
      <c r="AF85" s="77" t="s">
        <v>192</v>
      </c>
      <c r="AG85" s="77" t="s">
        <v>81</v>
      </c>
      <c r="AH85" s="21" t="s">
        <v>81</v>
      </c>
      <c r="AI85" s="21" t="s">
        <v>81</v>
      </c>
      <c r="AJ85" s="21" t="s">
        <v>81</v>
      </c>
      <c r="AK85" s="21" t="s">
        <v>81</v>
      </c>
      <c r="AL85" s="21" t="s">
        <v>81</v>
      </c>
      <c r="AM85" s="27" t="s">
        <v>100</v>
      </c>
      <c r="AN85" s="86">
        <v>44967</v>
      </c>
      <c r="AO85" s="87"/>
      <c r="AP85" s="4"/>
      <c r="AQ85" s="4"/>
      <c r="AR85" s="4"/>
      <c r="AS85" s="4"/>
      <c r="AT85" s="4"/>
    </row>
    <row r="86" spans="1:46" s="88" customFormat="1" ht="111.95" hidden="1" customHeight="1" x14ac:dyDescent="0.25">
      <c r="A86" s="76">
        <v>19</v>
      </c>
      <c r="B86" s="76" t="s">
        <v>74</v>
      </c>
      <c r="C86" s="76" t="s">
        <v>1149</v>
      </c>
      <c r="D86" s="76">
        <v>1</v>
      </c>
      <c r="E86" s="76" t="s">
        <v>82</v>
      </c>
      <c r="F86" s="78" t="s">
        <v>153</v>
      </c>
      <c r="G86" s="79" t="s">
        <v>154</v>
      </c>
      <c r="H86" s="79" t="s">
        <v>112</v>
      </c>
      <c r="I86" s="80" t="s">
        <v>1337</v>
      </c>
      <c r="J86" s="79" t="s">
        <v>155</v>
      </c>
      <c r="K86" s="79"/>
      <c r="L86" s="81">
        <v>4525000</v>
      </c>
      <c r="M86" s="81" t="s">
        <v>96</v>
      </c>
      <c r="N86" s="82">
        <v>44317</v>
      </c>
      <c r="O86" s="82">
        <v>45412</v>
      </c>
      <c r="P86" s="83">
        <f t="shared" si="8"/>
        <v>3</v>
      </c>
      <c r="Q86" s="77" t="s">
        <v>19</v>
      </c>
      <c r="R86" s="77">
        <f t="shared" ca="1" si="9"/>
        <v>4.9818562985364547</v>
      </c>
      <c r="S86" s="77" t="str">
        <f t="shared" ca="1" si="10"/>
        <v>O</v>
      </c>
      <c r="T86" s="84">
        <v>1</v>
      </c>
      <c r="U86" s="84">
        <v>1</v>
      </c>
      <c r="V86" s="84">
        <v>1</v>
      </c>
      <c r="W86" s="84">
        <f t="shared" si="11"/>
        <v>3</v>
      </c>
      <c r="X86" s="84" t="str">
        <f t="shared" si="12"/>
        <v>Biasa</v>
      </c>
      <c r="Y86" s="78"/>
      <c r="Z86" s="115" t="s">
        <v>81</v>
      </c>
      <c r="AA86" s="82">
        <f t="shared" si="13"/>
        <v>44587</v>
      </c>
      <c r="AB86" s="82">
        <f t="shared" si="14"/>
        <v>44952</v>
      </c>
      <c r="AC86" s="82"/>
      <c r="AD86" s="27" t="s">
        <v>86</v>
      </c>
      <c r="AE86" s="85">
        <v>44317</v>
      </c>
      <c r="AF86" s="77" t="s">
        <v>192</v>
      </c>
      <c r="AG86" s="77" t="s">
        <v>81</v>
      </c>
      <c r="AH86" s="21" t="s">
        <v>81</v>
      </c>
      <c r="AI86" s="21" t="s">
        <v>81</v>
      </c>
      <c r="AJ86" s="21" t="s">
        <v>81</v>
      </c>
      <c r="AK86" s="21" t="s">
        <v>81</v>
      </c>
      <c r="AL86" s="21" t="s">
        <v>81</v>
      </c>
      <c r="AM86" s="27" t="s">
        <v>87</v>
      </c>
      <c r="AN86" s="86"/>
      <c r="AO86" s="87"/>
      <c r="AP86" s="4"/>
      <c r="AQ86" s="4"/>
      <c r="AR86" s="4"/>
      <c r="AS86" s="4"/>
      <c r="AT86" s="4"/>
    </row>
    <row r="87" spans="1:46" s="88" customFormat="1" ht="111.95" hidden="1" customHeight="1" x14ac:dyDescent="0.25">
      <c r="A87" s="76">
        <v>20</v>
      </c>
      <c r="B87" s="76" t="s">
        <v>74</v>
      </c>
      <c r="C87" s="76" t="s">
        <v>1149</v>
      </c>
      <c r="D87" s="76">
        <v>2</v>
      </c>
      <c r="E87" s="76" t="s">
        <v>82</v>
      </c>
      <c r="F87" s="78" t="s">
        <v>159</v>
      </c>
      <c r="G87" s="79" t="s">
        <v>160</v>
      </c>
      <c r="H87" s="79" t="s">
        <v>112</v>
      </c>
      <c r="I87" s="80" t="s">
        <v>1337</v>
      </c>
      <c r="J87" s="79" t="s">
        <v>161</v>
      </c>
      <c r="K87" s="79"/>
      <c r="L87" s="81">
        <v>5575000</v>
      </c>
      <c r="M87" s="81" t="s">
        <v>96</v>
      </c>
      <c r="N87" s="82">
        <v>44757</v>
      </c>
      <c r="O87" s="82">
        <v>45852</v>
      </c>
      <c r="P87" s="83">
        <f t="shared" si="8"/>
        <v>3</v>
      </c>
      <c r="Q87" s="77" t="s">
        <v>19</v>
      </c>
      <c r="R87" s="77">
        <f t="shared" ca="1" si="9"/>
        <v>19.175404685633229</v>
      </c>
      <c r="S87" s="77" t="str">
        <f t="shared" ca="1" si="10"/>
        <v>O</v>
      </c>
      <c r="T87" s="84">
        <v>1</v>
      </c>
      <c r="U87" s="84">
        <v>1</v>
      </c>
      <c r="V87" s="84">
        <v>1</v>
      </c>
      <c r="W87" s="84">
        <f t="shared" si="11"/>
        <v>3</v>
      </c>
      <c r="X87" s="84" t="str">
        <f t="shared" si="12"/>
        <v>Biasa</v>
      </c>
      <c r="Y87" s="78"/>
      <c r="Z87" s="115" t="s">
        <v>81</v>
      </c>
      <c r="AA87" s="82">
        <f t="shared" si="13"/>
        <v>45027</v>
      </c>
      <c r="AB87" s="82">
        <f t="shared" si="14"/>
        <v>45392</v>
      </c>
      <c r="AC87" s="82"/>
      <c r="AD87" s="27" t="s">
        <v>86</v>
      </c>
      <c r="AE87" s="85">
        <v>44757</v>
      </c>
      <c r="AF87" s="77" t="s">
        <v>192</v>
      </c>
      <c r="AG87" s="77" t="s">
        <v>81</v>
      </c>
      <c r="AH87" s="21" t="s">
        <v>81</v>
      </c>
      <c r="AI87" s="21" t="s">
        <v>81</v>
      </c>
      <c r="AJ87" s="21" t="s">
        <v>81</v>
      </c>
      <c r="AK87" s="21" t="s">
        <v>81</v>
      </c>
      <c r="AL87" s="21" t="s">
        <v>81</v>
      </c>
      <c r="AM87" s="27" t="s">
        <v>100</v>
      </c>
      <c r="AN87" s="86">
        <v>44750</v>
      </c>
      <c r="AO87" s="87"/>
      <c r="AP87" s="4"/>
      <c r="AQ87" s="4"/>
      <c r="AR87" s="4"/>
      <c r="AS87" s="4"/>
      <c r="AT87" s="4"/>
    </row>
    <row r="88" spans="1:46" s="88" customFormat="1" ht="111.95" hidden="1" customHeight="1" x14ac:dyDescent="0.25">
      <c r="A88" s="76">
        <v>21</v>
      </c>
      <c r="B88" s="76" t="s">
        <v>74</v>
      </c>
      <c r="C88" s="76" t="s">
        <v>1149</v>
      </c>
      <c r="D88" s="76">
        <v>3</v>
      </c>
      <c r="E88" s="76" t="s">
        <v>82</v>
      </c>
      <c r="F88" s="78" t="s">
        <v>162</v>
      </c>
      <c r="G88" s="79" t="s">
        <v>163</v>
      </c>
      <c r="H88" s="79" t="s">
        <v>112</v>
      </c>
      <c r="I88" s="80" t="s">
        <v>1337</v>
      </c>
      <c r="J88" s="79" t="s">
        <v>161</v>
      </c>
      <c r="K88" s="79"/>
      <c r="L88" s="81">
        <v>5575000</v>
      </c>
      <c r="M88" s="81" t="s">
        <v>96</v>
      </c>
      <c r="N88" s="82">
        <v>44774</v>
      </c>
      <c r="O88" s="82">
        <v>45869</v>
      </c>
      <c r="P88" s="83">
        <f t="shared" si="8"/>
        <v>3</v>
      </c>
      <c r="Q88" s="77" t="s">
        <v>19</v>
      </c>
      <c r="R88" s="77">
        <f t="shared" ca="1" si="9"/>
        <v>19.723791782407421</v>
      </c>
      <c r="S88" s="77" t="str">
        <f t="shared" ca="1" si="10"/>
        <v>O</v>
      </c>
      <c r="T88" s="84">
        <v>1</v>
      </c>
      <c r="U88" s="84">
        <v>1</v>
      </c>
      <c r="V88" s="84">
        <v>1</v>
      </c>
      <c r="W88" s="84">
        <f t="shared" si="11"/>
        <v>3</v>
      </c>
      <c r="X88" s="84" t="str">
        <f t="shared" si="12"/>
        <v>Biasa</v>
      </c>
      <c r="Y88" s="78"/>
      <c r="Z88" s="115" t="s">
        <v>81</v>
      </c>
      <c r="AA88" s="82">
        <f t="shared" si="13"/>
        <v>45044</v>
      </c>
      <c r="AB88" s="82">
        <f t="shared" si="14"/>
        <v>45409</v>
      </c>
      <c r="AC88" s="82"/>
      <c r="AD88" s="27" t="s">
        <v>86</v>
      </c>
      <c r="AE88" s="85">
        <v>44774</v>
      </c>
      <c r="AF88" s="77" t="s">
        <v>192</v>
      </c>
      <c r="AG88" s="77" t="s">
        <v>81</v>
      </c>
      <c r="AH88" s="21" t="s">
        <v>81</v>
      </c>
      <c r="AI88" s="21" t="s">
        <v>81</v>
      </c>
      <c r="AJ88" s="21" t="s">
        <v>81</v>
      </c>
      <c r="AK88" s="21" t="s">
        <v>81</v>
      </c>
      <c r="AL88" s="21" t="s">
        <v>81</v>
      </c>
      <c r="AM88" s="27" t="s">
        <v>100</v>
      </c>
      <c r="AN88" s="86">
        <v>44770</v>
      </c>
      <c r="AO88" s="87"/>
      <c r="AP88" s="4"/>
      <c r="AQ88" s="4"/>
      <c r="AR88" s="4"/>
      <c r="AS88" s="4"/>
      <c r="AT88" s="4"/>
    </row>
    <row r="89" spans="1:46" s="88" customFormat="1" ht="111.95" hidden="1" customHeight="1" x14ac:dyDescent="0.25">
      <c r="A89" s="76">
        <v>22</v>
      </c>
      <c r="B89" s="76" t="s">
        <v>74</v>
      </c>
      <c r="C89" s="76" t="s">
        <v>1149</v>
      </c>
      <c r="D89" s="76">
        <v>4</v>
      </c>
      <c r="E89" s="76" t="s">
        <v>82</v>
      </c>
      <c r="F89" s="78" t="s">
        <v>151</v>
      </c>
      <c r="G89" s="79" t="s">
        <v>148</v>
      </c>
      <c r="H89" s="79" t="s">
        <v>112</v>
      </c>
      <c r="I89" s="80" t="s">
        <v>1337</v>
      </c>
      <c r="J89" s="79" t="s">
        <v>152</v>
      </c>
      <c r="K89" s="79"/>
      <c r="L89" s="81">
        <v>7625000</v>
      </c>
      <c r="M89" s="81" t="s">
        <v>96</v>
      </c>
      <c r="N89" s="82">
        <v>44743</v>
      </c>
      <c r="O89" s="82">
        <v>45838</v>
      </c>
      <c r="P89" s="83">
        <f t="shared" si="8"/>
        <v>3</v>
      </c>
      <c r="Q89" s="77" t="s">
        <v>19</v>
      </c>
      <c r="R89" s="77">
        <f t="shared" ca="1" si="9"/>
        <v>18.723791782407421</v>
      </c>
      <c r="S89" s="77" t="str">
        <f t="shared" ca="1" si="10"/>
        <v>O</v>
      </c>
      <c r="T89" s="84">
        <v>1</v>
      </c>
      <c r="U89" s="84">
        <v>1</v>
      </c>
      <c r="V89" s="84">
        <v>1</v>
      </c>
      <c r="W89" s="84">
        <f t="shared" si="11"/>
        <v>3</v>
      </c>
      <c r="X89" s="84" t="str">
        <f t="shared" si="12"/>
        <v>Biasa</v>
      </c>
      <c r="Y89" s="78"/>
      <c r="Z89" s="115" t="s">
        <v>81</v>
      </c>
      <c r="AA89" s="82">
        <f t="shared" si="13"/>
        <v>45013</v>
      </c>
      <c r="AB89" s="82">
        <f>N89+635</f>
        <v>45378</v>
      </c>
      <c r="AC89" s="82"/>
      <c r="AD89" s="27"/>
      <c r="AE89" s="85"/>
      <c r="AF89" s="77" t="s">
        <v>192</v>
      </c>
      <c r="AG89" s="77" t="s">
        <v>81</v>
      </c>
      <c r="AH89" s="21" t="s">
        <v>81</v>
      </c>
      <c r="AI89" s="21" t="s">
        <v>81</v>
      </c>
      <c r="AJ89" s="21" t="s">
        <v>81</v>
      </c>
      <c r="AK89" s="21" t="s">
        <v>81</v>
      </c>
      <c r="AL89" s="21" t="s">
        <v>81</v>
      </c>
      <c r="AM89" s="27" t="s">
        <v>100</v>
      </c>
      <c r="AN89" s="86">
        <v>44750</v>
      </c>
      <c r="AO89" s="87"/>
      <c r="AP89" s="4"/>
      <c r="AQ89" s="4"/>
      <c r="AR89" s="4"/>
      <c r="AS89" s="4"/>
      <c r="AT89" s="4"/>
    </row>
    <row r="90" spans="1:46" s="88" customFormat="1" ht="111.95" hidden="1" customHeight="1" x14ac:dyDescent="0.25">
      <c r="A90" s="76">
        <v>23</v>
      </c>
      <c r="B90" s="76" t="s">
        <v>74</v>
      </c>
      <c r="C90" s="76" t="s">
        <v>1150</v>
      </c>
      <c r="D90" s="76">
        <v>1</v>
      </c>
      <c r="E90" s="76" t="s">
        <v>82</v>
      </c>
      <c r="F90" s="78" t="s">
        <v>1384</v>
      </c>
      <c r="G90" s="79" t="s">
        <v>204</v>
      </c>
      <c r="H90" s="79" t="s">
        <v>323</v>
      </c>
      <c r="I90" s="80" t="s">
        <v>1338</v>
      </c>
      <c r="J90" s="79" t="s">
        <v>324</v>
      </c>
      <c r="K90" s="79" t="s">
        <v>325</v>
      </c>
      <c r="L90" s="81" t="s">
        <v>321</v>
      </c>
      <c r="M90" s="81"/>
      <c r="N90" s="82">
        <v>45108</v>
      </c>
      <c r="O90" s="82">
        <v>45473</v>
      </c>
      <c r="P90" s="83">
        <f t="shared" si="8"/>
        <v>1</v>
      </c>
      <c r="Q90" s="77" t="s">
        <v>19</v>
      </c>
      <c r="R90" s="77">
        <f t="shared" ca="1" si="9"/>
        <v>6.9495982340203257</v>
      </c>
      <c r="S90" s="77" t="str">
        <f t="shared" ca="1" si="10"/>
        <v>O</v>
      </c>
      <c r="T90" s="84">
        <v>1</v>
      </c>
      <c r="U90" s="84">
        <v>2</v>
      </c>
      <c r="V90" s="84">
        <v>2</v>
      </c>
      <c r="W90" s="84">
        <f t="shared" si="11"/>
        <v>5</v>
      </c>
      <c r="X90" s="84" t="str">
        <f t="shared" si="12"/>
        <v>Biasa</v>
      </c>
      <c r="Y90" s="78"/>
      <c r="Z90" s="115"/>
      <c r="AA90" s="82"/>
      <c r="AB90" s="82"/>
      <c r="AC90" s="82"/>
      <c r="AD90" s="27"/>
      <c r="AE90" s="85"/>
      <c r="AF90" s="77" t="s">
        <v>192</v>
      </c>
      <c r="AG90" s="77" t="s">
        <v>81</v>
      </c>
      <c r="AH90" s="21" t="s">
        <v>81</v>
      </c>
      <c r="AI90" s="21" t="s">
        <v>81</v>
      </c>
      <c r="AJ90" s="21" t="s">
        <v>81</v>
      </c>
      <c r="AK90" s="21" t="s">
        <v>81</v>
      </c>
      <c r="AL90" s="21" t="s">
        <v>81</v>
      </c>
      <c r="AM90" s="27" t="s">
        <v>100</v>
      </c>
      <c r="AN90" s="86">
        <v>45082</v>
      </c>
      <c r="AO90" s="87"/>
      <c r="AP90" s="4"/>
      <c r="AQ90" s="4"/>
      <c r="AR90" s="4"/>
      <c r="AS90" s="4"/>
      <c r="AT90" s="4"/>
    </row>
    <row r="91" spans="1:46" s="88" customFormat="1" ht="111.95" hidden="1" customHeight="1" x14ac:dyDescent="0.25">
      <c r="A91" s="76">
        <v>24</v>
      </c>
      <c r="B91" s="76" t="s">
        <v>74</v>
      </c>
      <c r="C91" s="76" t="s">
        <v>1150</v>
      </c>
      <c r="D91" s="76">
        <v>2</v>
      </c>
      <c r="E91" s="76" t="s">
        <v>82</v>
      </c>
      <c r="F91" s="78" t="s">
        <v>1385</v>
      </c>
      <c r="G91" s="79" t="s">
        <v>204</v>
      </c>
      <c r="H91" s="79" t="s">
        <v>327</v>
      </c>
      <c r="I91" s="80" t="s">
        <v>1338</v>
      </c>
      <c r="J91" s="79" t="s">
        <v>328</v>
      </c>
      <c r="K91" s="79" t="s">
        <v>329</v>
      </c>
      <c r="L91" s="81" t="s">
        <v>321</v>
      </c>
      <c r="M91" s="81"/>
      <c r="N91" s="82">
        <v>45108</v>
      </c>
      <c r="O91" s="82">
        <v>45473</v>
      </c>
      <c r="P91" s="83">
        <f t="shared" si="8"/>
        <v>1</v>
      </c>
      <c r="Q91" s="77" t="s">
        <v>19</v>
      </c>
      <c r="R91" s="77">
        <f t="shared" ca="1" si="9"/>
        <v>6.9495982340203257</v>
      </c>
      <c r="S91" s="77" t="str">
        <f t="shared" ca="1" si="10"/>
        <v>O</v>
      </c>
      <c r="T91" s="84">
        <v>1</v>
      </c>
      <c r="U91" s="84">
        <v>2</v>
      </c>
      <c r="V91" s="84">
        <v>2</v>
      </c>
      <c r="W91" s="84">
        <f t="shared" si="11"/>
        <v>5</v>
      </c>
      <c r="X91" s="84" t="str">
        <f t="shared" si="12"/>
        <v>Biasa</v>
      </c>
      <c r="Y91" s="78"/>
      <c r="Z91" s="115"/>
      <c r="AA91" s="82"/>
      <c r="AB91" s="82"/>
      <c r="AC91" s="82"/>
      <c r="AD91" s="27"/>
      <c r="AE91" s="85"/>
      <c r="AF91" s="77" t="s">
        <v>188</v>
      </c>
      <c r="AG91" s="77" t="s">
        <v>81</v>
      </c>
      <c r="AH91" s="21" t="s">
        <v>81</v>
      </c>
      <c r="AI91" s="21" t="s">
        <v>81</v>
      </c>
      <c r="AJ91" s="21" t="s">
        <v>81</v>
      </c>
      <c r="AK91" s="21" t="s">
        <v>81</v>
      </c>
      <c r="AL91" s="21" t="s">
        <v>81</v>
      </c>
      <c r="AM91" s="27" t="s">
        <v>100</v>
      </c>
      <c r="AN91" s="86">
        <v>45082</v>
      </c>
      <c r="AO91" s="87"/>
      <c r="AP91" s="4"/>
      <c r="AQ91" s="4"/>
      <c r="AR91" s="4"/>
      <c r="AS91" s="4"/>
      <c r="AT91" s="4"/>
    </row>
    <row r="92" spans="1:46" s="88" customFormat="1" ht="111.95" hidden="1" customHeight="1" x14ac:dyDescent="0.25">
      <c r="A92" s="76">
        <v>25</v>
      </c>
      <c r="B92" s="76" t="s">
        <v>74</v>
      </c>
      <c r="C92" s="76" t="s">
        <v>1150</v>
      </c>
      <c r="D92" s="76">
        <v>2</v>
      </c>
      <c r="E92" s="76" t="s">
        <v>82</v>
      </c>
      <c r="F92" s="78" t="s">
        <v>1385</v>
      </c>
      <c r="G92" s="79" t="s">
        <v>204</v>
      </c>
      <c r="H92" s="79" t="s">
        <v>327</v>
      </c>
      <c r="I92" s="80" t="s">
        <v>1338</v>
      </c>
      <c r="J92" s="79" t="s">
        <v>328</v>
      </c>
      <c r="K92" s="79" t="s">
        <v>329</v>
      </c>
      <c r="L92" s="81" t="s">
        <v>321</v>
      </c>
      <c r="M92" s="81"/>
      <c r="N92" s="82">
        <v>45108</v>
      </c>
      <c r="O92" s="82">
        <v>45473</v>
      </c>
      <c r="P92" s="83">
        <f t="shared" si="8"/>
        <v>1</v>
      </c>
      <c r="Q92" s="77" t="s">
        <v>29</v>
      </c>
      <c r="R92" s="77">
        <f t="shared" ca="1" si="9"/>
        <v>6.9495982340203257</v>
      </c>
      <c r="S92" s="77" t="str">
        <f t="shared" ca="1" si="10"/>
        <v>O</v>
      </c>
      <c r="T92" s="84">
        <v>1</v>
      </c>
      <c r="U92" s="84">
        <v>2</v>
      </c>
      <c r="V92" s="84">
        <v>2</v>
      </c>
      <c r="W92" s="84">
        <f t="shared" si="11"/>
        <v>5</v>
      </c>
      <c r="X92" s="84" t="str">
        <f t="shared" si="12"/>
        <v>Biasa</v>
      </c>
      <c r="Y92" s="78"/>
      <c r="Z92" s="115"/>
      <c r="AA92" s="82"/>
      <c r="AB92" s="82"/>
      <c r="AC92" s="82"/>
      <c r="AD92" s="27"/>
      <c r="AE92" s="85"/>
      <c r="AF92" s="77" t="s">
        <v>188</v>
      </c>
      <c r="AG92" s="77" t="s">
        <v>81</v>
      </c>
      <c r="AH92" s="21" t="s">
        <v>81</v>
      </c>
      <c r="AI92" s="21" t="s">
        <v>81</v>
      </c>
      <c r="AJ92" s="21" t="s">
        <v>81</v>
      </c>
      <c r="AK92" s="21" t="s">
        <v>81</v>
      </c>
      <c r="AL92" s="21" t="s">
        <v>81</v>
      </c>
      <c r="AM92" s="27" t="s">
        <v>100</v>
      </c>
      <c r="AN92" s="86">
        <v>45082</v>
      </c>
      <c r="AO92" s="87"/>
      <c r="AP92" s="4"/>
      <c r="AQ92" s="4"/>
      <c r="AR92" s="4"/>
      <c r="AS92" s="4"/>
      <c r="AT92" s="4"/>
    </row>
    <row r="93" spans="1:46" s="88" customFormat="1" ht="111.95" hidden="1" customHeight="1" x14ac:dyDescent="0.25">
      <c r="A93" s="76">
        <v>26</v>
      </c>
      <c r="B93" s="76" t="s">
        <v>74</v>
      </c>
      <c r="C93" s="76" t="s">
        <v>1150</v>
      </c>
      <c r="D93" s="76">
        <v>3</v>
      </c>
      <c r="E93" s="76" t="s">
        <v>82</v>
      </c>
      <c r="F93" s="78" t="s">
        <v>1183</v>
      </c>
      <c r="G93" s="79" t="s">
        <v>204</v>
      </c>
      <c r="H93" s="79" t="s">
        <v>335</v>
      </c>
      <c r="I93" s="80" t="s">
        <v>1339</v>
      </c>
      <c r="J93" s="79" t="s">
        <v>336</v>
      </c>
      <c r="K93" s="79" t="s">
        <v>337</v>
      </c>
      <c r="L93" s="81" t="s">
        <v>186</v>
      </c>
      <c r="M93" s="81"/>
      <c r="N93" s="82">
        <v>44866</v>
      </c>
      <c r="O93" s="82">
        <v>45230</v>
      </c>
      <c r="P93" s="83">
        <f t="shared" si="8"/>
        <v>0.99726027397260275</v>
      </c>
      <c r="Q93" s="77" t="s">
        <v>19</v>
      </c>
      <c r="R93" s="77">
        <f t="shared" ca="1" si="9"/>
        <v>-0.88911144339902914</v>
      </c>
      <c r="S93" s="77" t="str">
        <f t="shared" ca="1" si="10"/>
        <v>Y</v>
      </c>
      <c r="T93" s="84">
        <v>1</v>
      </c>
      <c r="U93" s="84">
        <v>2</v>
      </c>
      <c r="V93" s="84">
        <v>2</v>
      </c>
      <c r="W93" s="84">
        <f t="shared" si="11"/>
        <v>5</v>
      </c>
      <c r="X93" s="84" t="str">
        <f t="shared" si="12"/>
        <v>Biasa</v>
      </c>
      <c r="Y93" s="78"/>
      <c r="Z93" s="115"/>
      <c r="AA93" s="82"/>
      <c r="AB93" s="82"/>
      <c r="AC93" s="82"/>
      <c r="AD93" s="27"/>
      <c r="AE93" s="85"/>
      <c r="AF93" s="77" t="s">
        <v>188</v>
      </c>
      <c r="AG93" s="77" t="s">
        <v>81</v>
      </c>
      <c r="AH93" s="21" t="s">
        <v>81</v>
      </c>
      <c r="AI93" s="21" t="s">
        <v>81</v>
      </c>
      <c r="AJ93" s="21" t="s">
        <v>81</v>
      </c>
      <c r="AK93" s="21" t="s">
        <v>81</v>
      </c>
      <c r="AL93" s="21" t="s">
        <v>81</v>
      </c>
      <c r="AM93" s="27" t="s">
        <v>100</v>
      </c>
      <c r="AN93" s="86">
        <v>44865</v>
      </c>
      <c r="AO93" s="87"/>
      <c r="AP93" s="4"/>
      <c r="AQ93" s="4"/>
      <c r="AR93" s="4"/>
      <c r="AS93" s="4"/>
      <c r="AT93" s="4"/>
    </row>
    <row r="94" spans="1:46" s="88" customFormat="1" ht="111.95" hidden="1" customHeight="1" x14ac:dyDescent="0.25">
      <c r="A94" s="76">
        <v>27</v>
      </c>
      <c r="B94" s="76" t="s">
        <v>74</v>
      </c>
      <c r="C94" s="76" t="s">
        <v>1150</v>
      </c>
      <c r="D94" s="76">
        <v>3</v>
      </c>
      <c r="E94" s="76" t="s">
        <v>82</v>
      </c>
      <c r="F94" s="78" t="s">
        <v>1183</v>
      </c>
      <c r="G94" s="79" t="s">
        <v>204</v>
      </c>
      <c r="H94" s="79" t="s">
        <v>335</v>
      </c>
      <c r="I94" s="80" t="s">
        <v>1339</v>
      </c>
      <c r="J94" s="79" t="s">
        <v>336</v>
      </c>
      <c r="K94" s="79" t="s">
        <v>337</v>
      </c>
      <c r="L94" s="81" t="s">
        <v>186</v>
      </c>
      <c r="M94" s="81"/>
      <c r="N94" s="82">
        <v>44866</v>
      </c>
      <c r="O94" s="82">
        <v>45230</v>
      </c>
      <c r="P94" s="83">
        <f t="shared" si="8"/>
        <v>0.99726027397260275</v>
      </c>
      <c r="Q94" s="77" t="s">
        <v>29</v>
      </c>
      <c r="R94" s="77">
        <f t="shared" ca="1" si="9"/>
        <v>-0.88911144339902914</v>
      </c>
      <c r="S94" s="77" t="str">
        <f t="shared" ca="1" si="10"/>
        <v>Y</v>
      </c>
      <c r="T94" s="84">
        <v>1</v>
      </c>
      <c r="U94" s="84">
        <v>2</v>
      </c>
      <c r="V94" s="84">
        <v>2</v>
      </c>
      <c r="W94" s="84">
        <f t="shared" si="11"/>
        <v>5</v>
      </c>
      <c r="X94" s="84" t="str">
        <f t="shared" si="12"/>
        <v>Biasa</v>
      </c>
      <c r="Y94" s="78"/>
      <c r="Z94" s="115"/>
      <c r="AA94" s="82"/>
      <c r="AB94" s="82"/>
      <c r="AC94" s="82"/>
      <c r="AD94" s="27"/>
      <c r="AE94" s="85"/>
      <c r="AF94" s="77" t="s">
        <v>188</v>
      </c>
      <c r="AG94" s="77" t="s">
        <v>81</v>
      </c>
      <c r="AH94" s="21" t="s">
        <v>81</v>
      </c>
      <c r="AI94" s="21" t="s">
        <v>81</v>
      </c>
      <c r="AJ94" s="21" t="s">
        <v>81</v>
      </c>
      <c r="AK94" s="21" t="s">
        <v>81</v>
      </c>
      <c r="AL94" s="21" t="s">
        <v>81</v>
      </c>
      <c r="AM94" s="27" t="s">
        <v>100</v>
      </c>
      <c r="AN94" s="86">
        <v>44865</v>
      </c>
      <c r="AO94" s="87"/>
      <c r="AP94" s="4"/>
      <c r="AQ94" s="4"/>
      <c r="AR94" s="4"/>
      <c r="AS94" s="4"/>
      <c r="AT94" s="4"/>
    </row>
    <row r="95" spans="1:46" s="88" customFormat="1" ht="111.95" hidden="1" customHeight="1" x14ac:dyDescent="0.25">
      <c r="A95" s="76">
        <v>28</v>
      </c>
      <c r="B95" s="76" t="s">
        <v>74</v>
      </c>
      <c r="C95" s="76" t="s">
        <v>1150</v>
      </c>
      <c r="D95" s="76">
        <v>4</v>
      </c>
      <c r="E95" s="76" t="s">
        <v>82</v>
      </c>
      <c r="F95" s="78" t="s">
        <v>1376</v>
      </c>
      <c r="G95" s="79" t="s">
        <v>204</v>
      </c>
      <c r="H95" s="79" t="s">
        <v>339</v>
      </c>
      <c r="I95" s="80" t="s">
        <v>1338</v>
      </c>
      <c r="J95" s="79" t="s">
        <v>340</v>
      </c>
      <c r="K95" s="79" t="s">
        <v>341</v>
      </c>
      <c r="L95" s="81" t="s">
        <v>186</v>
      </c>
      <c r="M95" s="81"/>
      <c r="N95" s="82">
        <v>45108</v>
      </c>
      <c r="O95" s="82">
        <v>45473</v>
      </c>
      <c r="P95" s="83">
        <f t="shared" si="8"/>
        <v>1</v>
      </c>
      <c r="Q95" s="77" t="s">
        <v>19</v>
      </c>
      <c r="R95" s="77">
        <f t="shared" ca="1" si="9"/>
        <v>6.9495982340203257</v>
      </c>
      <c r="S95" s="77" t="str">
        <f t="shared" ca="1" si="10"/>
        <v>O</v>
      </c>
      <c r="T95" s="84">
        <v>2</v>
      </c>
      <c r="U95" s="84">
        <v>2</v>
      </c>
      <c r="V95" s="84">
        <v>2</v>
      </c>
      <c r="W95" s="84">
        <f t="shared" si="11"/>
        <v>6</v>
      </c>
      <c r="X95" s="84" t="str">
        <f t="shared" si="12"/>
        <v>Penting</v>
      </c>
      <c r="Y95" s="78"/>
      <c r="Z95" s="115"/>
      <c r="AA95" s="82"/>
      <c r="AB95" s="82"/>
      <c r="AC95" s="82"/>
      <c r="AD95" s="27"/>
      <c r="AE95" s="85"/>
      <c r="AF95" s="77" t="s">
        <v>342</v>
      </c>
      <c r="AG95" s="77" t="s">
        <v>81</v>
      </c>
      <c r="AH95" s="21" t="s">
        <v>81</v>
      </c>
      <c r="AI95" s="21" t="s">
        <v>81</v>
      </c>
      <c r="AJ95" s="21" t="s">
        <v>81</v>
      </c>
      <c r="AK95" s="21" t="s">
        <v>81</v>
      </c>
      <c r="AL95" s="21" t="s">
        <v>81</v>
      </c>
      <c r="AM95" s="27" t="s">
        <v>100</v>
      </c>
      <c r="AN95" s="86">
        <v>45082</v>
      </c>
      <c r="AO95" s="87"/>
      <c r="AP95" s="4"/>
      <c r="AQ95" s="4"/>
      <c r="AR95" s="4"/>
      <c r="AS95" s="4"/>
      <c r="AT95" s="4"/>
    </row>
    <row r="96" spans="1:46" s="88" customFormat="1" ht="111.95" hidden="1" customHeight="1" x14ac:dyDescent="0.25">
      <c r="A96" s="76">
        <v>29</v>
      </c>
      <c r="B96" s="76" t="s">
        <v>74</v>
      </c>
      <c r="C96" s="76" t="s">
        <v>1150</v>
      </c>
      <c r="D96" s="76">
        <v>4</v>
      </c>
      <c r="E96" s="76" t="s">
        <v>82</v>
      </c>
      <c r="F96" s="78" t="s">
        <v>1376</v>
      </c>
      <c r="G96" s="79" t="s">
        <v>204</v>
      </c>
      <c r="H96" s="79" t="s">
        <v>339</v>
      </c>
      <c r="I96" s="80" t="s">
        <v>1338</v>
      </c>
      <c r="J96" s="79" t="s">
        <v>340</v>
      </c>
      <c r="K96" s="79" t="s">
        <v>341</v>
      </c>
      <c r="L96" s="81" t="s">
        <v>186</v>
      </c>
      <c r="M96" s="81"/>
      <c r="N96" s="82">
        <v>45108</v>
      </c>
      <c r="O96" s="82">
        <v>45473</v>
      </c>
      <c r="P96" s="83">
        <f t="shared" si="8"/>
        <v>1</v>
      </c>
      <c r="Q96" s="77" t="s">
        <v>25</v>
      </c>
      <c r="R96" s="77">
        <f t="shared" ca="1" si="9"/>
        <v>6.9495982340203257</v>
      </c>
      <c r="S96" s="77" t="str">
        <f t="shared" ca="1" si="10"/>
        <v>O</v>
      </c>
      <c r="T96" s="84">
        <v>2</v>
      </c>
      <c r="U96" s="84">
        <v>2</v>
      </c>
      <c r="V96" s="84">
        <v>2</v>
      </c>
      <c r="W96" s="84">
        <f t="shared" si="11"/>
        <v>6</v>
      </c>
      <c r="X96" s="84" t="str">
        <f t="shared" si="12"/>
        <v>Penting</v>
      </c>
      <c r="Y96" s="78"/>
      <c r="Z96" s="115"/>
      <c r="AA96" s="82"/>
      <c r="AB96" s="82"/>
      <c r="AC96" s="82"/>
      <c r="AD96" s="27"/>
      <c r="AE96" s="85"/>
      <c r="AF96" s="77" t="s">
        <v>342</v>
      </c>
      <c r="AG96" s="77" t="s">
        <v>81</v>
      </c>
      <c r="AH96" s="21" t="s">
        <v>81</v>
      </c>
      <c r="AI96" s="21" t="s">
        <v>81</v>
      </c>
      <c r="AJ96" s="21" t="s">
        <v>81</v>
      </c>
      <c r="AK96" s="21" t="s">
        <v>81</v>
      </c>
      <c r="AL96" s="21" t="s">
        <v>81</v>
      </c>
      <c r="AM96" s="27" t="s">
        <v>100</v>
      </c>
      <c r="AN96" s="86">
        <v>45082</v>
      </c>
      <c r="AO96" s="87"/>
      <c r="AP96" s="4"/>
      <c r="AQ96" s="4"/>
      <c r="AR96" s="4"/>
      <c r="AS96" s="4"/>
      <c r="AT96" s="4"/>
    </row>
    <row r="97" spans="1:46" s="88" customFormat="1" ht="111.95" hidden="1" customHeight="1" x14ac:dyDescent="0.25">
      <c r="A97" s="76">
        <v>30</v>
      </c>
      <c r="B97" s="76" t="s">
        <v>74</v>
      </c>
      <c r="C97" s="76" t="s">
        <v>1150</v>
      </c>
      <c r="D97" s="76">
        <v>5</v>
      </c>
      <c r="E97" s="76" t="s">
        <v>82</v>
      </c>
      <c r="F97" s="78" t="s">
        <v>1430</v>
      </c>
      <c r="G97" s="79" t="s">
        <v>204</v>
      </c>
      <c r="H97" s="79" t="s">
        <v>370</v>
      </c>
      <c r="I97" s="80" t="s">
        <v>1339</v>
      </c>
      <c r="J97" s="79" t="s">
        <v>371</v>
      </c>
      <c r="K97" s="79" t="s">
        <v>372</v>
      </c>
      <c r="L97" s="81" t="s">
        <v>321</v>
      </c>
      <c r="M97" s="81"/>
      <c r="N97" s="82">
        <v>45108</v>
      </c>
      <c r="O97" s="82">
        <v>45473</v>
      </c>
      <c r="P97" s="83">
        <f t="shared" si="8"/>
        <v>1</v>
      </c>
      <c r="Q97" s="77" t="s">
        <v>19</v>
      </c>
      <c r="R97" s="77">
        <f t="shared" ca="1" si="9"/>
        <v>6.9495982340203257</v>
      </c>
      <c r="S97" s="77" t="str">
        <f t="shared" ca="1" si="10"/>
        <v>O</v>
      </c>
      <c r="T97" s="84">
        <v>2</v>
      </c>
      <c r="U97" s="84">
        <v>2</v>
      </c>
      <c r="V97" s="84">
        <v>1</v>
      </c>
      <c r="W97" s="84">
        <f t="shared" si="11"/>
        <v>5</v>
      </c>
      <c r="X97" s="84" t="str">
        <f t="shared" si="12"/>
        <v>Biasa</v>
      </c>
      <c r="Y97" s="78"/>
      <c r="Z97" s="115"/>
      <c r="AA97" s="82"/>
      <c r="AB97" s="82"/>
      <c r="AC97" s="82"/>
      <c r="AD97" s="27"/>
      <c r="AE97" s="85"/>
      <c r="AF97" s="77" t="s">
        <v>192</v>
      </c>
      <c r="AG97" s="77" t="s">
        <v>81</v>
      </c>
      <c r="AH97" s="21" t="s">
        <v>81</v>
      </c>
      <c r="AI97" s="21" t="s">
        <v>81</v>
      </c>
      <c r="AJ97" s="21" t="s">
        <v>81</v>
      </c>
      <c r="AK97" s="21" t="s">
        <v>81</v>
      </c>
      <c r="AL97" s="21" t="s">
        <v>81</v>
      </c>
      <c r="AM97" s="27" t="s">
        <v>100</v>
      </c>
      <c r="AN97" s="86">
        <v>45082</v>
      </c>
      <c r="AO97" s="87"/>
      <c r="AP97" s="4"/>
      <c r="AQ97" s="4"/>
      <c r="AR97" s="4"/>
      <c r="AS97" s="4"/>
      <c r="AT97" s="4"/>
    </row>
    <row r="98" spans="1:46" s="88" customFormat="1" ht="111.75" hidden="1" customHeight="1" x14ac:dyDescent="0.25">
      <c r="A98" s="76">
        <v>31</v>
      </c>
      <c r="B98" s="76" t="s">
        <v>74</v>
      </c>
      <c r="C98" s="76" t="s">
        <v>1151</v>
      </c>
      <c r="D98" s="76">
        <v>1</v>
      </c>
      <c r="E98" s="76" t="s">
        <v>82</v>
      </c>
      <c r="F98" s="78" t="s">
        <v>1404</v>
      </c>
      <c r="G98" s="79" t="s">
        <v>204</v>
      </c>
      <c r="H98" s="79" t="s">
        <v>374</v>
      </c>
      <c r="I98" s="80" t="s">
        <v>1339</v>
      </c>
      <c r="J98" s="79" t="s">
        <v>375</v>
      </c>
      <c r="K98" s="79" t="s">
        <v>376</v>
      </c>
      <c r="L98" s="81" t="s">
        <v>321</v>
      </c>
      <c r="M98" s="81"/>
      <c r="N98" s="82">
        <v>45108</v>
      </c>
      <c r="O98" s="82">
        <v>45473</v>
      </c>
      <c r="P98" s="83">
        <f t="shared" si="8"/>
        <v>1</v>
      </c>
      <c r="Q98" s="77" t="s">
        <v>19</v>
      </c>
      <c r="R98" s="77">
        <f t="shared" ca="1" si="9"/>
        <v>6.9495982340203257</v>
      </c>
      <c r="S98" s="77" t="str">
        <f t="shared" ca="1" si="10"/>
        <v>O</v>
      </c>
      <c r="T98" s="84">
        <v>1</v>
      </c>
      <c r="U98" s="84">
        <v>1</v>
      </c>
      <c r="V98" s="84">
        <v>1</v>
      </c>
      <c r="W98" s="84">
        <f t="shared" si="11"/>
        <v>3</v>
      </c>
      <c r="X98" s="84" t="str">
        <f t="shared" si="12"/>
        <v>Biasa</v>
      </c>
      <c r="Y98" s="78"/>
      <c r="Z98" s="115"/>
      <c r="AA98" s="82"/>
      <c r="AB98" s="82"/>
      <c r="AC98" s="82"/>
      <c r="AD98" s="27"/>
      <c r="AE98" s="85"/>
      <c r="AF98" s="77" t="s">
        <v>192</v>
      </c>
      <c r="AG98" s="77" t="s">
        <v>81</v>
      </c>
      <c r="AH98" s="21" t="s">
        <v>81</v>
      </c>
      <c r="AI98" s="21" t="s">
        <v>81</v>
      </c>
      <c r="AJ98" s="21" t="s">
        <v>81</v>
      </c>
      <c r="AK98" s="21" t="s">
        <v>81</v>
      </c>
      <c r="AL98" s="21" t="s">
        <v>81</v>
      </c>
      <c r="AM98" s="27" t="s">
        <v>100</v>
      </c>
      <c r="AN98" s="86">
        <v>45091</v>
      </c>
      <c r="AO98" s="87"/>
      <c r="AP98" s="4"/>
      <c r="AQ98" s="4"/>
      <c r="AR98" s="4"/>
      <c r="AS98" s="4"/>
      <c r="AT98" s="4"/>
    </row>
    <row r="99" spans="1:46" s="88" customFormat="1" ht="111.95" hidden="1" customHeight="1" x14ac:dyDescent="0.25">
      <c r="A99" s="76">
        <v>32</v>
      </c>
      <c r="B99" s="76" t="s">
        <v>74</v>
      </c>
      <c r="C99" s="76" t="s">
        <v>1151</v>
      </c>
      <c r="D99" s="76">
        <v>2</v>
      </c>
      <c r="E99" s="76" t="s">
        <v>82</v>
      </c>
      <c r="F99" s="78" t="s">
        <v>1375</v>
      </c>
      <c r="G99" s="79" t="s">
        <v>204</v>
      </c>
      <c r="H99" s="79" t="s">
        <v>378</v>
      </c>
      <c r="I99" s="80" t="s">
        <v>1338</v>
      </c>
      <c r="J99" s="79" t="s">
        <v>379</v>
      </c>
      <c r="K99" s="79" t="s">
        <v>380</v>
      </c>
      <c r="L99" s="81" t="s">
        <v>186</v>
      </c>
      <c r="M99" s="81"/>
      <c r="N99" s="82">
        <v>45108</v>
      </c>
      <c r="O99" s="82">
        <v>45473</v>
      </c>
      <c r="P99" s="83">
        <f t="shared" si="8"/>
        <v>1</v>
      </c>
      <c r="Q99" s="77" t="s">
        <v>19</v>
      </c>
      <c r="R99" s="77">
        <f t="shared" ca="1" si="9"/>
        <v>6.9495982340203257</v>
      </c>
      <c r="S99" s="77" t="str">
        <f t="shared" ca="1" si="10"/>
        <v>O</v>
      </c>
      <c r="T99" s="84">
        <v>1</v>
      </c>
      <c r="U99" s="84">
        <v>1</v>
      </c>
      <c r="V99" s="84">
        <v>1</v>
      </c>
      <c r="W99" s="84">
        <f t="shared" si="11"/>
        <v>3</v>
      </c>
      <c r="X99" s="84" t="str">
        <f t="shared" si="12"/>
        <v>Biasa</v>
      </c>
      <c r="Y99" s="78"/>
      <c r="Z99" s="115"/>
      <c r="AA99" s="82"/>
      <c r="AB99" s="82"/>
      <c r="AC99" s="82"/>
      <c r="AD99" s="27"/>
      <c r="AE99" s="85"/>
      <c r="AF99" s="77" t="s">
        <v>342</v>
      </c>
      <c r="AG99" s="77" t="s">
        <v>81</v>
      </c>
      <c r="AH99" s="21" t="s">
        <v>81</v>
      </c>
      <c r="AI99" s="21" t="s">
        <v>81</v>
      </c>
      <c r="AJ99" s="21" t="s">
        <v>81</v>
      </c>
      <c r="AK99" s="21" t="s">
        <v>81</v>
      </c>
      <c r="AL99" s="21" t="s">
        <v>81</v>
      </c>
      <c r="AM99" s="27" t="s">
        <v>100</v>
      </c>
      <c r="AN99" s="86">
        <v>45082</v>
      </c>
      <c r="AO99" s="87"/>
      <c r="AP99" s="4"/>
      <c r="AQ99" s="4"/>
      <c r="AR99" s="4"/>
      <c r="AS99" s="4"/>
      <c r="AT99" s="4"/>
    </row>
    <row r="100" spans="1:46" s="88" customFormat="1" ht="111.95" hidden="1" customHeight="1" x14ac:dyDescent="0.25">
      <c r="A100" s="76">
        <v>33</v>
      </c>
      <c r="B100" s="76" t="s">
        <v>74</v>
      </c>
      <c r="C100" s="76" t="s">
        <v>1151</v>
      </c>
      <c r="D100" s="76">
        <v>2</v>
      </c>
      <c r="E100" s="76" t="s">
        <v>82</v>
      </c>
      <c r="F100" s="78" t="s">
        <v>1375</v>
      </c>
      <c r="G100" s="79" t="s">
        <v>204</v>
      </c>
      <c r="H100" s="79" t="s">
        <v>378</v>
      </c>
      <c r="I100" s="80" t="s">
        <v>1338</v>
      </c>
      <c r="J100" s="79" t="s">
        <v>379</v>
      </c>
      <c r="K100" s="79" t="s">
        <v>380</v>
      </c>
      <c r="L100" s="81" t="s">
        <v>186</v>
      </c>
      <c r="M100" s="81"/>
      <c r="N100" s="82">
        <v>45108</v>
      </c>
      <c r="O100" s="82">
        <v>45473</v>
      </c>
      <c r="P100" s="83">
        <f t="shared" ref="P100:P131" si="15">(O100-N100)/365</f>
        <v>1</v>
      </c>
      <c r="Q100" s="77" t="s">
        <v>25</v>
      </c>
      <c r="R100" s="77">
        <f t="shared" ref="R100:R131" ca="1" si="16">(O100-NOW()+1)/31</f>
        <v>6.9495982340203257</v>
      </c>
      <c r="S100" s="77" t="str">
        <f t="shared" ca="1" si="10"/>
        <v>O</v>
      </c>
      <c r="T100" s="84">
        <v>1</v>
      </c>
      <c r="U100" s="84">
        <v>1</v>
      </c>
      <c r="V100" s="84">
        <v>1</v>
      </c>
      <c r="W100" s="84">
        <f t="shared" ref="W100:W131" si="17">T100+U100+V100</f>
        <v>3</v>
      </c>
      <c r="X100" s="84" t="str">
        <f t="shared" si="12"/>
        <v>Biasa</v>
      </c>
      <c r="Y100" s="78"/>
      <c r="Z100" s="115"/>
      <c r="AA100" s="82"/>
      <c r="AB100" s="82"/>
      <c r="AC100" s="82"/>
      <c r="AD100" s="27"/>
      <c r="AE100" s="85"/>
      <c r="AF100" s="77" t="s">
        <v>342</v>
      </c>
      <c r="AG100" s="77" t="s">
        <v>81</v>
      </c>
      <c r="AH100" s="21" t="s">
        <v>81</v>
      </c>
      <c r="AI100" s="21" t="s">
        <v>81</v>
      </c>
      <c r="AJ100" s="21" t="s">
        <v>81</v>
      </c>
      <c r="AK100" s="21" t="s">
        <v>81</v>
      </c>
      <c r="AL100" s="21" t="s">
        <v>81</v>
      </c>
      <c r="AM100" s="27" t="s">
        <v>100</v>
      </c>
      <c r="AN100" s="86">
        <v>45082</v>
      </c>
      <c r="AO100" s="87"/>
      <c r="AP100" s="4"/>
      <c r="AQ100" s="4"/>
      <c r="AR100" s="4"/>
      <c r="AS100" s="4"/>
      <c r="AT100" s="4"/>
    </row>
    <row r="101" spans="1:46" s="88" customFormat="1" ht="138" hidden="1" customHeight="1" x14ac:dyDescent="0.25">
      <c r="A101" s="76">
        <v>34</v>
      </c>
      <c r="B101" s="76" t="s">
        <v>74</v>
      </c>
      <c r="C101" s="76" t="s">
        <v>1151</v>
      </c>
      <c r="D101" s="76">
        <v>3</v>
      </c>
      <c r="E101" s="76" t="s">
        <v>82</v>
      </c>
      <c r="F101" s="78" t="s">
        <v>1398</v>
      </c>
      <c r="G101" s="79" t="s">
        <v>204</v>
      </c>
      <c r="H101" s="79" t="s">
        <v>386</v>
      </c>
      <c r="I101" s="80" t="s">
        <v>1338</v>
      </c>
      <c r="J101" s="79" t="s">
        <v>387</v>
      </c>
      <c r="K101" s="79" t="s">
        <v>388</v>
      </c>
      <c r="L101" s="81" t="s">
        <v>389</v>
      </c>
      <c r="M101" s="81"/>
      <c r="N101" s="82">
        <v>45108</v>
      </c>
      <c r="O101" s="82">
        <v>45473</v>
      </c>
      <c r="P101" s="83">
        <f t="shared" si="15"/>
        <v>1</v>
      </c>
      <c r="Q101" s="77" t="s">
        <v>19</v>
      </c>
      <c r="R101" s="77">
        <f t="shared" ca="1" si="16"/>
        <v>6.9495982340203257</v>
      </c>
      <c r="S101" s="77" t="str">
        <f t="shared" ca="1" si="10"/>
        <v>O</v>
      </c>
      <c r="T101" s="84">
        <v>1</v>
      </c>
      <c r="U101" s="84">
        <v>2</v>
      </c>
      <c r="V101" s="84">
        <v>2</v>
      </c>
      <c r="W101" s="84">
        <f t="shared" si="17"/>
        <v>5</v>
      </c>
      <c r="X101" s="84" t="str">
        <f t="shared" si="12"/>
        <v>Biasa</v>
      </c>
      <c r="Y101" s="78"/>
      <c r="Z101" s="115"/>
      <c r="AA101" s="82"/>
      <c r="AB101" s="82"/>
      <c r="AC101" s="82"/>
      <c r="AD101" s="27"/>
      <c r="AE101" s="85"/>
      <c r="AF101" s="77" t="s">
        <v>390</v>
      </c>
      <c r="AG101" s="77" t="s">
        <v>81</v>
      </c>
      <c r="AH101" s="21" t="s">
        <v>81</v>
      </c>
      <c r="AI101" s="21" t="s">
        <v>81</v>
      </c>
      <c r="AJ101" s="21" t="s">
        <v>81</v>
      </c>
      <c r="AK101" s="21" t="s">
        <v>81</v>
      </c>
      <c r="AL101" s="21" t="s">
        <v>81</v>
      </c>
      <c r="AM101" s="27" t="s">
        <v>100</v>
      </c>
      <c r="AN101" s="86">
        <v>45082</v>
      </c>
      <c r="AO101" s="87"/>
      <c r="AP101" s="4"/>
      <c r="AQ101" s="4"/>
      <c r="AR101" s="4"/>
      <c r="AS101" s="4"/>
      <c r="AT101" s="4"/>
    </row>
    <row r="102" spans="1:46" s="88" customFormat="1" ht="111.95" hidden="1" customHeight="1" x14ac:dyDescent="0.25">
      <c r="A102" s="76">
        <v>35</v>
      </c>
      <c r="B102" s="76" t="s">
        <v>74</v>
      </c>
      <c r="C102" s="76" t="s">
        <v>1151</v>
      </c>
      <c r="D102" s="76">
        <v>3</v>
      </c>
      <c r="E102" s="76" t="s">
        <v>82</v>
      </c>
      <c r="F102" s="78" t="s">
        <v>1398</v>
      </c>
      <c r="G102" s="79" t="s">
        <v>204</v>
      </c>
      <c r="H102" s="79" t="s">
        <v>386</v>
      </c>
      <c r="I102" s="80" t="s">
        <v>1338</v>
      </c>
      <c r="J102" s="79" t="s">
        <v>387</v>
      </c>
      <c r="K102" s="79" t="s">
        <v>388</v>
      </c>
      <c r="L102" s="81" t="s">
        <v>389</v>
      </c>
      <c r="M102" s="81"/>
      <c r="N102" s="82">
        <v>45108</v>
      </c>
      <c r="O102" s="82">
        <v>45473</v>
      </c>
      <c r="P102" s="83">
        <f t="shared" si="15"/>
        <v>1</v>
      </c>
      <c r="Q102" s="77" t="s">
        <v>25</v>
      </c>
      <c r="R102" s="77">
        <f t="shared" ca="1" si="16"/>
        <v>6.9495982414875703</v>
      </c>
      <c r="S102" s="77" t="str">
        <f t="shared" ca="1" si="10"/>
        <v>O</v>
      </c>
      <c r="T102" s="84">
        <v>1</v>
      </c>
      <c r="U102" s="84">
        <v>2</v>
      </c>
      <c r="V102" s="84">
        <v>2</v>
      </c>
      <c r="W102" s="84">
        <f t="shared" si="17"/>
        <v>5</v>
      </c>
      <c r="X102" s="84" t="str">
        <f t="shared" si="12"/>
        <v>Biasa</v>
      </c>
      <c r="Y102" s="78"/>
      <c r="Z102" s="115"/>
      <c r="AA102" s="82"/>
      <c r="AB102" s="82"/>
      <c r="AC102" s="82"/>
      <c r="AD102" s="27"/>
      <c r="AE102" s="85"/>
      <c r="AF102" s="77" t="s">
        <v>390</v>
      </c>
      <c r="AG102" s="77" t="s">
        <v>81</v>
      </c>
      <c r="AH102" s="21" t="s">
        <v>81</v>
      </c>
      <c r="AI102" s="21" t="s">
        <v>81</v>
      </c>
      <c r="AJ102" s="21" t="s">
        <v>81</v>
      </c>
      <c r="AK102" s="21" t="s">
        <v>81</v>
      </c>
      <c r="AL102" s="21" t="s">
        <v>81</v>
      </c>
      <c r="AM102" s="27" t="s">
        <v>100</v>
      </c>
      <c r="AN102" s="86">
        <v>45082</v>
      </c>
      <c r="AO102" s="87"/>
      <c r="AP102" s="4"/>
      <c r="AQ102" s="4"/>
      <c r="AR102" s="4"/>
      <c r="AS102" s="4"/>
      <c r="AT102" s="4"/>
    </row>
    <row r="103" spans="1:46" s="88" customFormat="1" ht="111.95" hidden="1" customHeight="1" x14ac:dyDescent="0.25">
      <c r="A103" s="76">
        <v>36</v>
      </c>
      <c r="B103" s="76" t="s">
        <v>74</v>
      </c>
      <c r="C103" s="76" t="s">
        <v>1151</v>
      </c>
      <c r="D103" s="76">
        <v>3</v>
      </c>
      <c r="E103" s="76" t="s">
        <v>82</v>
      </c>
      <c r="F103" s="78" t="s">
        <v>1398</v>
      </c>
      <c r="G103" s="79" t="s">
        <v>204</v>
      </c>
      <c r="H103" s="79" t="s">
        <v>386</v>
      </c>
      <c r="I103" s="80" t="s">
        <v>1338</v>
      </c>
      <c r="J103" s="79" t="s">
        <v>387</v>
      </c>
      <c r="K103" s="79" t="s">
        <v>388</v>
      </c>
      <c r="L103" s="81" t="s">
        <v>389</v>
      </c>
      <c r="M103" s="81"/>
      <c r="N103" s="82">
        <v>45108</v>
      </c>
      <c r="O103" s="82">
        <v>45473</v>
      </c>
      <c r="P103" s="83">
        <f t="shared" si="15"/>
        <v>1</v>
      </c>
      <c r="Q103" s="77" t="s">
        <v>29</v>
      </c>
      <c r="R103" s="77">
        <f t="shared" ca="1" si="16"/>
        <v>6.9495982414875703</v>
      </c>
      <c r="S103" s="77" t="str">
        <f t="shared" ca="1" si="10"/>
        <v>O</v>
      </c>
      <c r="T103" s="84">
        <v>1</v>
      </c>
      <c r="U103" s="84">
        <v>2</v>
      </c>
      <c r="V103" s="84">
        <v>2</v>
      </c>
      <c r="W103" s="84">
        <f t="shared" si="17"/>
        <v>5</v>
      </c>
      <c r="X103" s="84" t="str">
        <f t="shared" si="12"/>
        <v>Biasa</v>
      </c>
      <c r="Y103" s="78"/>
      <c r="Z103" s="115"/>
      <c r="AA103" s="82"/>
      <c r="AB103" s="82"/>
      <c r="AC103" s="82"/>
      <c r="AD103" s="27"/>
      <c r="AE103" s="85"/>
      <c r="AF103" s="77" t="s">
        <v>390</v>
      </c>
      <c r="AG103" s="77" t="s">
        <v>81</v>
      </c>
      <c r="AH103" s="21" t="s">
        <v>81</v>
      </c>
      <c r="AI103" s="21" t="s">
        <v>81</v>
      </c>
      <c r="AJ103" s="21" t="s">
        <v>81</v>
      </c>
      <c r="AK103" s="21" t="s">
        <v>81</v>
      </c>
      <c r="AL103" s="21" t="s">
        <v>81</v>
      </c>
      <c r="AM103" s="27" t="s">
        <v>100</v>
      </c>
      <c r="AN103" s="86">
        <v>45082</v>
      </c>
      <c r="AO103" s="87"/>
      <c r="AP103" s="4"/>
      <c r="AQ103" s="4"/>
      <c r="AR103" s="4"/>
      <c r="AS103" s="4"/>
      <c r="AT103" s="4"/>
    </row>
    <row r="104" spans="1:46" s="88" customFormat="1" ht="111.95" hidden="1" customHeight="1" x14ac:dyDescent="0.25">
      <c r="A104" s="76">
        <v>37</v>
      </c>
      <c r="B104" s="76" t="s">
        <v>74</v>
      </c>
      <c r="C104" s="76" t="s">
        <v>1151</v>
      </c>
      <c r="D104" s="76">
        <v>4</v>
      </c>
      <c r="E104" s="76" t="s">
        <v>82</v>
      </c>
      <c r="F104" s="78" t="s">
        <v>1390</v>
      </c>
      <c r="G104" s="79" t="s">
        <v>204</v>
      </c>
      <c r="H104" s="79" t="s">
        <v>392</v>
      </c>
      <c r="I104" s="80" t="s">
        <v>1339</v>
      </c>
      <c r="J104" s="79" t="s">
        <v>393</v>
      </c>
      <c r="K104" s="79" t="s">
        <v>394</v>
      </c>
      <c r="L104" s="81" t="s">
        <v>321</v>
      </c>
      <c r="M104" s="81"/>
      <c r="N104" s="82">
        <v>45108</v>
      </c>
      <c r="O104" s="82">
        <v>45473</v>
      </c>
      <c r="P104" s="83">
        <f t="shared" si="15"/>
        <v>1</v>
      </c>
      <c r="Q104" s="77" t="s">
        <v>19</v>
      </c>
      <c r="R104" s="77">
        <f t="shared" ca="1" si="16"/>
        <v>6.9495982340203257</v>
      </c>
      <c r="S104" s="77" t="str">
        <f t="shared" ca="1" si="10"/>
        <v>O</v>
      </c>
      <c r="T104" s="84">
        <v>1</v>
      </c>
      <c r="U104" s="84">
        <v>2</v>
      </c>
      <c r="V104" s="84">
        <v>1</v>
      </c>
      <c r="W104" s="84">
        <f t="shared" si="17"/>
        <v>4</v>
      </c>
      <c r="X104" s="84" t="str">
        <f t="shared" si="12"/>
        <v>Biasa</v>
      </c>
      <c r="Y104" s="78"/>
      <c r="Z104" s="115"/>
      <c r="AA104" s="82"/>
      <c r="AB104" s="82"/>
      <c r="AC104" s="82"/>
      <c r="AD104" s="27"/>
      <c r="AE104" s="85"/>
      <c r="AF104" s="77" t="s">
        <v>188</v>
      </c>
      <c r="AG104" s="77" t="s">
        <v>81</v>
      </c>
      <c r="AH104" s="21" t="s">
        <v>81</v>
      </c>
      <c r="AI104" s="21" t="s">
        <v>81</v>
      </c>
      <c r="AJ104" s="21" t="s">
        <v>81</v>
      </c>
      <c r="AK104" s="21" t="s">
        <v>81</v>
      </c>
      <c r="AL104" s="21" t="s">
        <v>81</v>
      </c>
      <c r="AM104" s="27" t="s">
        <v>100</v>
      </c>
      <c r="AN104" s="86">
        <v>45091</v>
      </c>
      <c r="AO104" s="87"/>
      <c r="AP104" s="4"/>
      <c r="AQ104" s="4"/>
      <c r="AR104" s="4"/>
      <c r="AS104" s="4"/>
      <c r="AT104" s="4"/>
    </row>
    <row r="105" spans="1:46" s="88" customFormat="1" ht="111.95" hidden="1" customHeight="1" x14ac:dyDescent="0.25">
      <c r="A105" s="76">
        <v>38</v>
      </c>
      <c r="B105" s="76" t="s">
        <v>74</v>
      </c>
      <c r="C105" s="76" t="s">
        <v>1151</v>
      </c>
      <c r="D105" s="76">
        <v>4</v>
      </c>
      <c r="E105" s="76" t="s">
        <v>82</v>
      </c>
      <c r="F105" s="78" t="s">
        <v>1390</v>
      </c>
      <c r="G105" s="79" t="s">
        <v>204</v>
      </c>
      <c r="H105" s="79" t="s">
        <v>392</v>
      </c>
      <c r="I105" s="80" t="s">
        <v>1339</v>
      </c>
      <c r="J105" s="79" t="s">
        <v>393</v>
      </c>
      <c r="K105" s="79" t="s">
        <v>394</v>
      </c>
      <c r="L105" s="81" t="s">
        <v>321</v>
      </c>
      <c r="M105" s="81"/>
      <c r="N105" s="82">
        <v>45108</v>
      </c>
      <c r="O105" s="82">
        <v>45473</v>
      </c>
      <c r="P105" s="83">
        <f t="shared" si="15"/>
        <v>1</v>
      </c>
      <c r="Q105" s="77" t="s">
        <v>29</v>
      </c>
      <c r="R105" s="77">
        <f t="shared" ca="1" si="16"/>
        <v>6.9495982340203257</v>
      </c>
      <c r="S105" s="77" t="str">
        <f t="shared" ca="1" si="10"/>
        <v>O</v>
      </c>
      <c r="T105" s="84">
        <v>1</v>
      </c>
      <c r="U105" s="84">
        <v>2</v>
      </c>
      <c r="V105" s="84">
        <v>1</v>
      </c>
      <c r="W105" s="84">
        <f t="shared" si="17"/>
        <v>4</v>
      </c>
      <c r="X105" s="84" t="str">
        <f t="shared" si="12"/>
        <v>Biasa</v>
      </c>
      <c r="Y105" s="78"/>
      <c r="Z105" s="115"/>
      <c r="AA105" s="82"/>
      <c r="AB105" s="82"/>
      <c r="AC105" s="82"/>
      <c r="AD105" s="27"/>
      <c r="AE105" s="85"/>
      <c r="AF105" s="77" t="s">
        <v>188</v>
      </c>
      <c r="AG105" s="77" t="s">
        <v>81</v>
      </c>
      <c r="AH105" s="21" t="s">
        <v>81</v>
      </c>
      <c r="AI105" s="21" t="s">
        <v>81</v>
      </c>
      <c r="AJ105" s="21" t="s">
        <v>81</v>
      </c>
      <c r="AK105" s="21" t="s">
        <v>81</v>
      </c>
      <c r="AL105" s="21" t="s">
        <v>81</v>
      </c>
      <c r="AM105" s="27" t="s">
        <v>100</v>
      </c>
      <c r="AN105" s="86">
        <v>45091</v>
      </c>
      <c r="AO105" s="87"/>
      <c r="AP105" s="4"/>
      <c r="AQ105" s="4"/>
      <c r="AR105" s="4"/>
      <c r="AS105" s="4"/>
      <c r="AT105" s="4"/>
    </row>
    <row r="106" spans="1:46" s="88" customFormat="1" ht="111.95" hidden="1" customHeight="1" x14ac:dyDescent="0.25">
      <c r="A106" s="76">
        <v>39</v>
      </c>
      <c r="B106" s="76" t="s">
        <v>74</v>
      </c>
      <c r="C106" s="76" t="s">
        <v>1151</v>
      </c>
      <c r="D106" s="76">
        <v>5</v>
      </c>
      <c r="E106" s="76" t="s">
        <v>82</v>
      </c>
      <c r="F106" s="78" t="s">
        <v>1217</v>
      </c>
      <c r="G106" s="79" t="s">
        <v>204</v>
      </c>
      <c r="H106" s="79" t="s">
        <v>479</v>
      </c>
      <c r="I106" s="80" t="s">
        <v>1339</v>
      </c>
      <c r="J106" s="79" t="s">
        <v>480</v>
      </c>
      <c r="K106" s="79" t="s">
        <v>481</v>
      </c>
      <c r="L106" s="81" t="s">
        <v>321</v>
      </c>
      <c r="M106" s="81"/>
      <c r="N106" s="82">
        <v>44896</v>
      </c>
      <c r="O106" s="82">
        <v>45260</v>
      </c>
      <c r="P106" s="83">
        <f t="shared" si="15"/>
        <v>0.99726027397260275</v>
      </c>
      <c r="Q106" s="77" t="s">
        <v>19</v>
      </c>
      <c r="R106" s="77">
        <f t="shared" ca="1" si="16"/>
        <v>7.8630492084841769E-2</v>
      </c>
      <c r="S106" s="77" t="str">
        <f t="shared" ca="1" si="10"/>
        <v>O</v>
      </c>
      <c r="T106" s="84">
        <v>1</v>
      </c>
      <c r="U106" s="84">
        <v>2</v>
      </c>
      <c r="V106" s="84">
        <v>2</v>
      </c>
      <c r="W106" s="84">
        <f t="shared" si="17"/>
        <v>5</v>
      </c>
      <c r="X106" s="84" t="str">
        <f t="shared" si="12"/>
        <v>Biasa</v>
      </c>
      <c r="Y106" s="78"/>
      <c r="Z106" s="115"/>
      <c r="AA106" s="82"/>
      <c r="AB106" s="82"/>
      <c r="AC106" s="82"/>
      <c r="AD106" s="27" t="s">
        <v>86</v>
      </c>
      <c r="AE106" s="85">
        <v>44682</v>
      </c>
      <c r="AF106" s="77" t="s">
        <v>192</v>
      </c>
      <c r="AG106" s="77" t="s">
        <v>81</v>
      </c>
      <c r="AH106" s="21" t="s">
        <v>81</v>
      </c>
      <c r="AI106" s="21" t="s">
        <v>81</v>
      </c>
      <c r="AJ106" s="21" t="s">
        <v>81</v>
      </c>
      <c r="AK106" s="21" t="s">
        <v>81</v>
      </c>
      <c r="AL106" s="21" t="s">
        <v>81</v>
      </c>
      <c r="AM106" s="27" t="s">
        <v>100</v>
      </c>
      <c r="AN106" s="86">
        <v>44903</v>
      </c>
      <c r="AO106" s="87"/>
      <c r="AP106" s="4"/>
      <c r="AQ106" s="4"/>
      <c r="AR106" s="4"/>
      <c r="AS106" s="4"/>
      <c r="AT106" s="4"/>
    </row>
    <row r="107" spans="1:46" s="88" customFormat="1" ht="111.95" hidden="1" customHeight="1" x14ac:dyDescent="0.25">
      <c r="A107" s="76">
        <v>40</v>
      </c>
      <c r="B107" s="76" t="s">
        <v>74</v>
      </c>
      <c r="C107" s="76" t="s">
        <v>1152</v>
      </c>
      <c r="D107" s="76">
        <v>2</v>
      </c>
      <c r="E107" s="76" t="s">
        <v>82</v>
      </c>
      <c r="F107" s="78" t="s">
        <v>1408</v>
      </c>
      <c r="G107" s="79" t="s">
        <v>204</v>
      </c>
      <c r="H107" s="79" t="s">
        <v>396</v>
      </c>
      <c r="I107" s="80" t="s">
        <v>1339</v>
      </c>
      <c r="J107" s="79" t="s">
        <v>397</v>
      </c>
      <c r="K107" s="79" t="s">
        <v>398</v>
      </c>
      <c r="L107" s="81" t="s">
        <v>321</v>
      </c>
      <c r="M107" s="81"/>
      <c r="N107" s="82">
        <v>45108</v>
      </c>
      <c r="O107" s="82">
        <v>45473</v>
      </c>
      <c r="P107" s="83">
        <f t="shared" si="15"/>
        <v>1</v>
      </c>
      <c r="Q107" s="77" t="s">
        <v>19</v>
      </c>
      <c r="R107" s="77">
        <f t="shared" ca="1" si="16"/>
        <v>6.9495982340203257</v>
      </c>
      <c r="S107" s="77" t="str">
        <f t="shared" ca="1" si="10"/>
        <v>O</v>
      </c>
      <c r="T107" s="84">
        <v>1</v>
      </c>
      <c r="U107" s="84">
        <v>2</v>
      </c>
      <c r="V107" s="84">
        <v>1</v>
      </c>
      <c r="W107" s="84">
        <f t="shared" si="17"/>
        <v>4</v>
      </c>
      <c r="X107" s="84" t="str">
        <f t="shared" si="12"/>
        <v>Biasa</v>
      </c>
      <c r="Y107" s="78"/>
      <c r="Z107" s="115"/>
      <c r="AA107" s="82"/>
      <c r="AB107" s="82"/>
      <c r="AC107" s="82"/>
      <c r="AD107" s="27"/>
      <c r="AE107" s="85"/>
      <c r="AF107" s="77" t="s">
        <v>192</v>
      </c>
      <c r="AG107" s="77" t="s">
        <v>81</v>
      </c>
      <c r="AH107" s="21" t="s">
        <v>81</v>
      </c>
      <c r="AI107" s="21" t="s">
        <v>81</v>
      </c>
      <c r="AJ107" s="21" t="s">
        <v>81</v>
      </c>
      <c r="AK107" s="21" t="s">
        <v>81</v>
      </c>
      <c r="AL107" s="21" t="s">
        <v>81</v>
      </c>
      <c r="AM107" s="27" t="s">
        <v>100</v>
      </c>
      <c r="AN107" s="86">
        <v>45091</v>
      </c>
      <c r="AO107" s="87"/>
      <c r="AP107" s="4"/>
      <c r="AQ107" s="4"/>
      <c r="AR107" s="4"/>
      <c r="AS107" s="4"/>
      <c r="AT107" s="4"/>
    </row>
    <row r="108" spans="1:46" s="88" customFormat="1" ht="111.95" customHeight="1" x14ac:dyDescent="0.25">
      <c r="A108" s="76">
        <v>41</v>
      </c>
      <c r="B108" s="76" t="s">
        <v>74</v>
      </c>
      <c r="C108" s="76" t="s">
        <v>1152</v>
      </c>
      <c r="D108" s="76">
        <v>3</v>
      </c>
      <c r="E108" s="76" t="s">
        <v>82</v>
      </c>
      <c r="F108" s="78" t="s">
        <v>1438</v>
      </c>
      <c r="G108" s="79" t="s">
        <v>204</v>
      </c>
      <c r="H108" s="79" t="s">
        <v>464</v>
      </c>
      <c r="I108" s="80" t="s">
        <v>1339</v>
      </c>
      <c r="J108" s="79" t="s">
        <v>465</v>
      </c>
      <c r="K108" s="79" t="s">
        <v>466</v>
      </c>
      <c r="L108" s="81" t="s">
        <v>321</v>
      </c>
      <c r="M108" s="81"/>
      <c r="N108" s="82">
        <v>45108</v>
      </c>
      <c r="O108" s="82">
        <v>45473</v>
      </c>
      <c r="P108" s="83">
        <f t="shared" si="15"/>
        <v>1</v>
      </c>
      <c r="Q108" s="77" t="s">
        <v>19</v>
      </c>
      <c r="R108" s="77">
        <f t="shared" ca="1" si="16"/>
        <v>6.9495982340203257</v>
      </c>
      <c r="S108" s="77" t="str">
        <f t="shared" ca="1" si="10"/>
        <v>O</v>
      </c>
      <c r="T108" s="84">
        <v>1</v>
      </c>
      <c r="U108" s="84">
        <v>1</v>
      </c>
      <c r="V108" s="84">
        <v>1</v>
      </c>
      <c r="W108" s="84">
        <f t="shared" si="17"/>
        <v>3</v>
      </c>
      <c r="X108" s="84" t="str">
        <f t="shared" si="12"/>
        <v>Biasa</v>
      </c>
      <c r="Y108" s="78"/>
      <c r="Z108" s="115"/>
      <c r="AA108" s="82"/>
      <c r="AB108" s="82"/>
      <c r="AC108" s="82"/>
      <c r="AD108" s="27"/>
      <c r="AE108" s="85"/>
      <c r="AF108" s="77" t="s">
        <v>192</v>
      </c>
      <c r="AG108" s="77" t="s">
        <v>81</v>
      </c>
      <c r="AH108" s="21" t="s">
        <v>81</v>
      </c>
      <c r="AI108" s="21" t="s">
        <v>81</v>
      </c>
      <c r="AJ108" s="21" t="s">
        <v>81</v>
      </c>
      <c r="AK108" s="21" t="s">
        <v>81</v>
      </c>
      <c r="AL108" s="21" t="s">
        <v>81</v>
      </c>
      <c r="AM108" s="27" t="s">
        <v>100</v>
      </c>
      <c r="AN108" s="86">
        <v>45084</v>
      </c>
      <c r="AO108" s="87"/>
      <c r="AP108" s="4"/>
      <c r="AQ108" s="4"/>
      <c r="AR108" s="4"/>
      <c r="AS108" s="4"/>
      <c r="AT108" s="4"/>
    </row>
    <row r="109" spans="1:46" s="88" customFormat="1" ht="111.95" hidden="1" customHeight="1" x14ac:dyDescent="0.25">
      <c r="A109" s="76">
        <v>42</v>
      </c>
      <c r="B109" s="76" t="s">
        <v>74</v>
      </c>
      <c r="C109" s="76" t="s">
        <v>1152</v>
      </c>
      <c r="D109" s="76">
        <v>4</v>
      </c>
      <c r="E109" s="76" t="s">
        <v>82</v>
      </c>
      <c r="F109" s="78" t="s">
        <v>1407</v>
      </c>
      <c r="G109" s="79" t="s">
        <v>204</v>
      </c>
      <c r="H109" s="79" t="s">
        <v>504</v>
      </c>
      <c r="I109" s="80" t="s">
        <v>1338</v>
      </c>
      <c r="J109" s="79" t="s">
        <v>505</v>
      </c>
      <c r="K109" s="79" t="s">
        <v>506</v>
      </c>
      <c r="L109" s="81" t="s">
        <v>186</v>
      </c>
      <c r="M109" s="81"/>
      <c r="N109" s="82">
        <v>45108</v>
      </c>
      <c r="O109" s="82">
        <v>45473</v>
      </c>
      <c r="P109" s="83">
        <f t="shared" si="15"/>
        <v>1</v>
      </c>
      <c r="Q109" s="77" t="s">
        <v>19</v>
      </c>
      <c r="R109" s="77">
        <f t="shared" ca="1" si="16"/>
        <v>6.9495982340203257</v>
      </c>
      <c r="S109" s="77" t="str">
        <f t="shared" ca="1" si="10"/>
        <v>O</v>
      </c>
      <c r="T109" s="84">
        <v>1</v>
      </c>
      <c r="U109" s="84">
        <v>1</v>
      </c>
      <c r="V109" s="84">
        <v>1</v>
      </c>
      <c r="W109" s="84">
        <f t="shared" si="17"/>
        <v>3</v>
      </c>
      <c r="X109" s="84" t="str">
        <f t="shared" si="12"/>
        <v>Biasa</v>
      </c>
      <c r="Y109" s="78"/>
      <c r="Z109" s="115"/>
      <c r="AA109" s="82"/>
      <c r="AB109" s="82"/>
      <c r="AC109" s="82"/>
      <c r="AD109" s="27"/>
      <c r="AE109" s="85"/>
      <c r="AF109" s="77" t="s">
        <v>192</v>
      </c>
      <c r="AG109" s="77" t="s">
        <v>81</v>
      </c>
      <c r="AH109" s="21" t="s">
        <v>81</v>
      </c>
      <c r="AI109" s="21" t="s">
        <v>81</v>
      </c>
      <c r="AJ109" s="21" t="s">
        <v>81</v>
      </c>
      <c r="AK109" s="21" t="s">
        <v>81</v>
      </c>
      <c r="AL109" s="21" t="s">
        <v>81</v>
      </c>
      <c r="AM109" s="27" t="s">
        <v>100</v>
      </c>
      <c r="AN109" s="86">
        <v>45091</v>
      </c>
      <c r="AO109" s="87"/>
      <c r="AP109" s="4"/>
      <c r="AQ109" s="4"/>
      <c r="AR109" s="4"/>
      <c r="AS109" s="4"/>
      <c r="AT109" s="4"/>
    </row>
    <row r="110" spans="1:46" s="88" customFormat="1" ht="111.95" hidden="1" customHeight="1" x14ac:dyDescent="0.25">
      <c r="A110" s="76">
        <v>43</v>
      </c>
      <c r="B110" s="76" t="s">
        <v>74</v>
      </c>
      <c r="C110" s="76" t="s">
        <v>1152</v>
      </c>
      <c r="D110" s="76">
        <v>5</v>
      </c>
      <c r="E110" s="76" t="s">
        <v>82</v>
      </c>
      <c r="F110" s="78" t="s">
        <v>1362</v>
      </c>
      <c r="G110" s="79" t="s">
        <v>204</v>
      </c>
      <c r="H110" s="79" t="s">
        <v>508</v>
      </c>
      <c r="I110" s="80" t="s">
        <v>1339</v>
      </c>
      <c r="J110" s="79" t="s">
        <v>509</v>
      </c>
      <c r="K110" s="79" t="s">
        <v>510</v>
      </c>
      <c r="L110" s="81" t="s">
        <v>321</v>
      </c>
      <c r="M110" s="81"/>
      <c r="N110" s="82">
        <v>45108</v>
      </c>
      <c r="O110" s="82">
        <v>45473</v>
      </c>
      <c r="P110" s="83">
        <f t="shared" si="15"/>
        <v>1</v>
      </c>
      <c r="Q110" s="77" t="s">
        <v>19</v>
      </c>
      <c r="R110" s="77">
        <f t="shared" ca="1" si="16"/>
        <v>6.9495982340203257</v>
      </c>
      <c r="S110" s="77" t="str">
        <f t="shared" ca="1" si="10"/>
        <v>O</v>
      </c>
      <c r="T110" s="84">
        <v>1</v>
      </c>
      <c r="U110" s="84">
        <v>1</v>
      </c>
      <c r="V110" s="84">
        <v>1</v>
      </c>
      <c r="W110" s="84">
        <f t="shared" si="17"/>
        <v>3</v>
      </c>
      <c r="X110" s="84" t="str">
        <f t="shared" si="12"/>
        <v>Biasa</v>
      </c>
      <c r="Y110" s="78"/>
      <c r="Z110" s="115"/>
      <c r="AA110" s="82"/>
      <c r="AB110" s="82"/>
      <c r="AC110" s="82"/>
      <c r="AD110" s="27"/>
      <c r="AE110" s="85"/>
      <c r="AF110" s="77" t="s">
        <v>188</v>
      </c>
      <c r="AG110" s="77" t="s">
        <v>81</v>
      </c>
      <c r="AH110" s="21" t="s">
        <v>81</v>
      </c>
      <c r="AI110" s="21" t="s">
        <v>81</v>
      </c>
      <c r="AJ110" s="21" t="s">
        <v>81</v>
      </c>
      <c r="AK110" s="21" t="s">
        <v>81</v>
      </c>
      <c r="AL110" s="21" t="s">
        <v>81</v>
      </c>
      <c r="AM110" s="27" t="s">
        <v>100</v>
      </c>
      <c r="AN110" s="86">
        <v>45091</v>
      </c>
      <c r="AO110" s="87" t="s">
        <v>511</v>
      </c>
      <c r="AP110" s="4"/>
      <c r="AQ110" s="4"/>
      <c r="AR110" s="4"/>
      <c r="AS110" s="4"/>
      <c r="AT110" s="4"/>
    </row>
    <row r="111" spans="1:46" s="88" customFormat="1" ht="111.95" hidden="1" customHeight="1" x14ac:dyDescent="0.25">
      <c r="A111" s="76">
        <v>44</v>
      </c>
      <c r="B111" s="76" t="s">
        <v>74</v>
      </c>
      <c r="C111" s="76" t="s">
        <v>1152</v>
      </c>
      <c r="D111" s="76">
        <v>5</v>
      </c>
      <c r="E111" s="76" t="s">
        <v>82</v>
      </c>
      <c r="F111" s="78" t="s">
        <v>1362</v>
      </c>
      <c r="G111" s="79" t="s">
        <v>204</v>
      </c>
      <c r="H111" s="79" t="s">
        <v>508</v>
      </c>
      <c r="I111" s="80" t="s">
        <v>1339</v>
      </c>
      <c r="J111" s="79" t="s">
        <v>509</v>
      </c>
      <c r="K111" s="79" t="s">
        <v>510</v>
      </c>
      <c r="L111" s="81" t="s">
        <v>321</v>
      </c>
      <c r="M111" s="81"/>
      <c r="N111" s="82">
        <v>45108</v>
      </c>
      <c r="O111" s="82">
        <v>45473</v>
      </c>
      <c r="P111" s="83">
        <f t="shared" si="15"/>
        <v>1</v>
      </c>
      <c r="Q111" s="77" t="s">
        <v>29</v>
      </c>
      <c r="R111" s="77">
        <f t="shared" ca="1" si="16"/>
        <v>6.9495982340203257</v>
      </c>
      <c r="S111" s="77" t="str">
        <f t="shared" ca="1" si="10"/>
        <v>O</v>
      </c>
      <c r="T111" s="84">
        <v>1</v>
      </c>
      <c r="U111" s="84">
        <v>1</v>
      </c>
      <c r="V111" s="84">
        <v>1</v>
      </c>
      <c r="W111" s="84">
        <f t="shared" si="17"/>
        <v>3</v>
      </c>
      <c r="X111" s="84" t="str">
        <f t="shared" si="12"/>
        <v>Biasa</v>
      </c>
      <c r="Y111" s="78"/>
      <c r="Z111" s="115"/>
      <c r="AA111" s="82"/>
      <c r="AB111" s="82"/>
      <c r="AC111" s="82"/>
      <c r="AD111" s="27"/>
      <c r="AE111" s="85"/>
      <c r="AF111" s="77" t="s">
        <v>188</v>
      </c>
      <c r="AG111" s="77" t="s">
        <v>81</v>
      </c>
      <c r="AH111" s="21" t="s">
        <v>81</v>
      </c>
      <c r="AI111" s="21" t="s">
        <v>81</v>
      </c>
      <c r="AJ111" s="21" t="s">
        <v>81</v>
      </c>
      <c r="AK111" s="21" t="s">
        <v>81</v>
      </c>
      <c r="AL111" s="21" t="s">
        <v>81</v>
      </c>
      <c r="AM111" s="27" t="s">
        <v>100</v>
      </c>
      <c r="AN111" s="86">
        <v>45091</v>
      </c>
      <c r="AO111" s="87" t="s">
        <v>511</v>
      </c>
      <c r="AP111" s="4"/>
      <c r="AQ111" s="4"/>
      <c r="AR111" s="4"/>
      <c r="AS111" s="4"/>
      <c r="AT111" s="4"/>
    </row>
    <row r="112" spans="1:46" s="88" customFormat="1" ht="111.95" hidden="1" customHeight="1" x14ac:dyDescent="0.25">
      <c r="A112" s="76">
        <v>45</v>
      </c>
      <c r="B112" s="76" t="s">
        <v>74</v>
      </c>
      <c r="C112" s="76" t="s">
        <v>1153</v>
      </c>
      <c r="D112" s="76">
        <v>1</v>
      </c>
      <c r="E112" s="76" t="s">
        <v>82</v>
      </c>
      <c r="F112" s="78" t="s">
        <v>1391</v>
      </c>
      <c r="G112" s="79" t="s">
        <v>204</v>
      </c>
      <c r="H112" s="79" t="s">
        <v>513</v>
      </c>
      <c r="I112" s="80" t="s">
        <v>1338</v>
      </c>
      <c r="J112" s="79" t="s">
        <v>514</v>
      </c>
      <c r="K112" s="79" t="s">
        <v>515</v>
      </c>
      <c r="L112" s="81" t="s">
        <v>321</v>
      </c>
      <c r="M112" s="81"/>
      <c r="N112" s="82">
        <v>45108</v>
      </c>
      <c r="O112" s="82">
        <v>45473</v>
      </c>
      <c r="P112" s="83">
        <f t="shared" si="15"/>
        <v>1</v>
      </c>
      <c r="Q112" s="77" t="s">
        <v>19</v>
      </c>
      <c r="R112" s="77">
        <f t="shared" ca="1" si="16"/>
        <v>6.9495982340203257</v>
      </c>
      <c r="S112" s="77" t="str">
        <f t="shared" ca="1" si="10"/>
        <v>O</v>
      </c>
      <c r="T112" s="84">
        <v>1</v>
      </c>
      <c r="U112" s="84">
        <v>2</v>
      </c>
      <c r="V112" s="84">
        <v>1</v>
      </c>
      <c r="W112" s="84">
        <f t="shared" si="17"/>
        <v>4</v>
      </c>
      <c r="X112" s="84" t="str">
        <f t="shared" si="12"/>
        <v>Biasa</v>
      </c>
      <c r="Y112" s="78"/>
      <c r="Z112" s="115"/>
      <c r="AA112" s="82"/>
      <c r="AB112" s="82"/>
      <c r="AC112" s="82"/>
      <c r="AD112" s="27"/>
      <c r="AE112" s="85"/>
      <c r="AF112" s="77" t="s">
        <v>342</v>
      </c>
      <c r="AG112" s="77" t="s">
        <v>81</v>
      </c>
      <c r="AH112" s="21" t="s">
        <v>81</v>
      </c>
      <c r="AI112" s="21" t="s">
        <v>81</v>
      </c>
      <c r="AJ112" s="21" t="s">
        <v>81</v>
      </c>
      <c r="AK112" s="21" t="s">
        <v>81</v>
      </c>
      <c r="AL112" s="21" t="s">
        <v>81</v>
      </c>
      <c r="AM112" s="27" t="s">
        <v>100</v>
      </c>
      <c r="AN112" s="86">
        <v>45083</v>
      </c>
      <c r="AO112" s="87"/>
      <c r="AP112" s="4"/>
      <c r="AQ112" s="4"/>
      <c r="AR112" s="4"/>
      <c r="AS112" s="4"/>
      <c r="AT112" s="4"/>
    </row>
    <row r="113" spans="1:46" s="88" customFormat="1" ht="111.75" hidden="1" customHeight="1" x14ac:dyDescent="0.25">
      <c r="A113" s="76">
        <v>46</v>
      </c>
      <c r="B113" s="76" t="s">
        <v>74</v>
      </c>
      <c r="C113" s="76" t="s">
        <v>1153</v>
      </c>
      <c r="D113" s="76">
        <v>1</v>
      </c>
      <c r="E113" s="76" t="s">
        <v>82</v>
      </c>
      <c r="F113" s="78" t="s">
        <v>1391</v>
      </c>
      <c r="G113" s="79" t="s">
        <v>204</v>
      </c>
      <c r="H113" s="79" t="s">
        <v>513</v>
      </c>
      <c r="I113" s="80" t="s">
        <v>1338</v>
      </c>
      <c r="J113" s="79" t="s">
        <v>514</v>
      </c>
      <c r="K113" s="79" t="s">
        <v>515</v>
      </c>
      <c r="L113" s="81" t="s">
        <v>321</v>
      </c>
      <c r="M113" s="81"/>
      <c r="N113" s="82">
        <v>45108</v>
      </c>
      <c r="O113" s="82">
        <v>45473</v>
      </c>
      <c r="P113" s="83">
        <f t="shared" si="15"/>
        <v>1</v>
      </c>
      <c r="Q113" s="77" t="s">
        <v>25</v>
      </c>
      <c r="R113" s="77">
        <f t="shared" ca="1" si="16"/>
        <v>6.9495982340203257</v>
      </c>
      <c r="S113" s="77" t="str">
        <f t="shared" ca="1" si="10"/>
        <v>O</v>
      </c>
      <c r="T113" s="84">
        <v>1</v>
      </c>
      <c r="U113" s="84">
        <v>2</v>
      </c>
      <c r="V113" s="84">
        <v>1</v>
      </c>
      <c r="W113" s="84">
        <f t="shared" si="17"/>
        <v>4</v>
      </c>
      <c r="X113" s="84" t="str">
        <f t="shared" si="12"/>
        <v>Biasa</v>
      </c>
      <c r="Y113" s="78"/>
      <c r="Z113" s="115"/>
      <c r="AA113" s="82"/>
      <c r="AB113" s="82"/>
      <c r="AC113" s="82"/>
      <c r="AD113" s="27"/>
      <c r="AE113" s="85"/>
      <c r="AF113" s="77" t="s">
        <v>342</v>
      </c>
      <c r="AG113" s="77" t="s">
        <v>81</v>
      </c>
      <c r="AH113" s="21" t="s">
        <v>81</v>
      </c>
      <c r="AI113" s="21" t="s">
        <v>81</v>
      </c>
      <c r="AJ113" s="21" t="s">
        <v>81</v>
      </c>
      <c r="AK113" s="21" t="s">
        <v>81</v>
      </c>
      <c r="AL113" s="21" t="s">
        <v>81</v>
      </c>
      <c r="AM113" s="27" t="s">
        <v>100</v>
      </c>
      <c r="AN113" s="86">
        <v>45083</v>
      </c>
      <c r="AO113" s="87"/>
      <c r="AP113" s="4"/>
      <c r="AQ113" s="4"/>
      <c r="AR113" s="4"/>
      <c r="AS113" s="4"/>
      <c r="AT113" s="4"/>
    </row>
    <row r="114" spans="1:46" s="88" customFormat="1" ht="111.95" hidden="1" customHeight="1" x14ac:dyDescent="0.25">
      <c r="A114" s="76">
        <v>47</v>
      </c>
      <c r="B114" s="76" t="s">
        <v>74</v>
      </c>
      <c r="C114" s="76" t="s">
        <v>1153</v>
      </c>
      <c r="D114" s="76">
        <v>2</v>
      </c>
      <c r="E114" s="76" t="s">
        <v>82</v>
      </c>
      <c r="F114" s="78" t="s">
        <v>1383</v>
      </c>
      <c r="G114" s="79" t="s">
        <v>204</v>
      </c>
      <c r="H114" s="79" t="s">
        <v>517</v>
      </c>
      <c r="I114" s="80" t="s">
        <v>1339</v>
      </c>
      <c r="J114" s="79" t="s">
        <v>518</v>
      </c>
      <c r="K114" s="79" t="s">
        <v>519</v>
      </c>
      <c r="L114" s="81" t="s">
        <v>321</v>
      </c>
      <c r="M114" s="81"/>
      <c r="N114" s="82">
        <v>45108</v>
      </c>
      <c r="O114" s="82">
        <v>45473</v>
      </c>
      <c r="P114" s="83">
        <f t="shared" si="15"/>
        <v>1</v>
      </c>
      <c r="Q114" s="77" t="s">
        <v>19</v>
      </c>
      <c r="R114" s="77">
        <f t="shared" ca="1" si="16"/>
        <v>6.9495982340203257</v>
      </c>
      <c r="S114" s="77" t="str">
        <f t="shared" ca="1" si="10"/>
        <v>O</v>
      </c>
      <c r="T114" s="84">
        <v>1</v>
      </c>
      <c r="U114" s="84">
        <v>1</v>
      </c>
      <c r="V114" s="84">
        <v>1</v>
      </c>
      <c r="W114" s="84">
        <f t="shared" si="17"/>
        <v>3</v>
      </c>
      <c r="X114" s="84" t="str">
        <f t="shared" si="12"/>
        <v>Biasa</v>
      </c>
      <c r="Y114" s="78"/>
      <c r="Z114" s="115"/>
      <c r="AA114" s="82"/>
      <c r="AB114" s="82"/>
      <c r="AC114" s="82"/>
      <c r="AD114" s="27"/>
      <c r="AE114" s="85"/>
      <c r="AF114" s="77" t="s">
        <v>192</v>
      </c>
      <c r="AG114" s="77" t="s">
        <v>81</v>
      </c>
      <c r="AH114" s="21" t="s">
        <v>81</v>
      </c>
      <c r="AI114" s="21" t="s">
        <v>81</v>
      </c>
      <c r="AJ114" s="21" t="s">
        <v>81</v>
      </c>
      <c r="AK114" s="21" t="s">
        <v>81</v>
      </c>
      <c r="AL114" s="21" t="s">
        <v>81</v>
      </c>
      <c r="AM114" s="27" t="s">
        <v>100</v>
      </c>
      <c r="AN114" s="86">
        <v>45097</v>
      </c>
      <c r="AO114" s="87"/>
      <c r="AP114" s="4"/>
      <c r="AQ114" s="4"/>
      <c r="AR114" s="4"/>
      <c r="AS114" s="4"/>
      <c r="AT114" s="4"/>
    </row>
    <row r="115" spans="1:46" s="88" customFormat="1" ht="111.95" hidden="1" customHeight="1" x14ac:dyDescent="0.25">
      <c r="A115" s="76">
        <v>48</v>
      </c>
      <c r="B115" s="76" t="s">
        <v>74</v>
      </c>
      <c r="C115" s="76" t="s">
        <v>1153</v>
      </c>
      <c r="D115" s="76">
        <v>3</v>
      </c>
      <c r="E115" s="76" t="s">
        <v>82</v>
      </c>
      <c r="F115" s="78" t="s">
        <v>1377</v>
      </c>
      <c r="G115" s="79" t="s">
        <v>204</v>
      </c>
      <c r="H115" s="79" t="s">
        <v>448</v>
      </c>
      <c r="I115" s="80" t="s">
        <v>1339</v>
      </c>
      <c r="J115" s="79" t="s">
        <v>449</v>
      </c>
      <c r="K115" s="79" t="s">
        <v>450</v>
      </c>
      <c r="L115" s="81" t="s">
        <v>321</v>
      </c>
      <c r="M115" s="81"/>
      <c r="N115" s="82">
        <v>45108</v>
      </c>
      <c r="O115" s="82">
        <v>45473</v>
      </c>
      <c r="P115" s="83">
        <f t="shared" si="15"/>
        <v>1</v>
      </c>
      <c r="Q115" s="77" t="s">
        <v>19</v>
      </c>
      <c r="R115" s="77">
        <f t="shared" ca="1" si="16"/>
        <v>6.9495982340203257</v>
      </c>
      <c r="S115" s="77" t="str">
        <f t="shared" ca="1" si="10"/>
        <v>O</v>
      </c>
      <c r="T115" s="84">
        <v>1</v>
      </c>
      <c r="U115" s="84">
        <v>1</v>
      </c>
      <c r="V115" s="84">
        <v>1</v>
      </c>
      <c r="W115" s="84">
        <f t="shared" si="17"/>
        <v>3</v>
      </c>
      <c r="X115" s="84" t="str">
        <f t="shared" si="12"/>
        <v>Biasa</v>
      </c>
      <c r="Y115" s="78"/>
      <c r="Z115" s="115"/>
      <c r="AA115" s="82"/>
      <c r="AB115" s="82"/>
      <c r="AC115" s="82"/>
      <c r="AD115" s="27"/>
      <c r="AE115" s="85"/>
      <c r="AF115" s="77" t="s">
        <v>192</v>
      </c>
      <c r="AG115" s="77" t="s">
        <v>81</v>
      </c>
      <c r="AH115" s="21" t="s">
        <v>81</v>
      </c>
      <c r="AI115" s="21" t="s">
        <v>81</v>
      </c>
      <c r="AJ115" s="21" t="s">
        <v>81</v>
      </c>
      <c r="AK115" s="21" t="s">
        <v>81</v>
      </c>
      <c r="AL115" s="21" t="s">
        <v>81</v>
      </c>
      <c r="AM115" s="27" t="s">
        <v>100</v>
      </c>
      <c r="AN115" s="86">
        <v>45084</v>
      </c>
      <c r="AO115" s="87"/>
      <c r="AP115" s="4"/>
      <c r="AQ115" s="4"/>
      <c r="AR115" s="4"/>
      <c r="AS115" s="4"/>
      <c r="AT115" s="4"/>
    </row>
    <row r="116" spans="1:46" s="88" customFormat="1" ht="111.95" hidden="1" customHeight="1" x14ac:dyDescent="0.25">
      <c r="A116" s="76">
        <v>49</v>
      </c>
      <c r="B116" s="76" t="s">
        <v>74</v>
      </c>
      <c r="C116" s="76" t="s">
        <v>1153</v>
      </c>
      <c r="D116" s="76">
        <v>4</v>
      </c>
      <c r="E116" s="76" t="s">
        <v>82</v>
      </c>
      <c r="F116" s="78" t="s">
        <v>1431</v>
      </c>
      <c r="G116" s="79" t="s">
        <v>204</v>
      </c>
      <c r="H116" s="79" t="s">
        <v>460</v>
      </c>
      <c r="I116" s="80" t="s">
        <v>1339</v>
      </c>
      <c r="J116" s="79" t="s">
        <v>461</v>
      </c>
      <c r="K116" s="79" t="s">
        <v>462</v>
      </c>
      <c r="L116" s="81" t="s">
        <v>186</v>
      </c>
      <c r="M116" s="81"/>
      <c r="N116" s="82">
        <v>45108</v>
      </c>
      <c r="O116" s="82">
        <v>45473</v>
      </c>
      <c r="P116" s="83">
        <f t="shared" si="15"/>
        <v>1</v>
      </c>
      <c r="Q116" s="77" t="s">
        <v>19</v>
      </c>
      <c r="R116" s="77">
        <f t="shared" ca="1" si="16"/>
        <v>6.9495982340203257</v>
      </c>
      <c r="S116" s="77" t="str">
        <f t="shared" ca="1" si="10"/>
        <v>O</v>
      </c>
      <c r="T116" s="84">
        <v>1</v>
      </c>
      <c r="U116" s="84">
        <v>1</v>
      </c>
      <c r="V116" s="84">
        <v>1</v>
      </c>
      <c r="W116" s="84">
        <f t="shared" si="17"/>
        <v>3</v>
      </c>
      <c r="X116" s="84" t="str">
        <f t="shared" si="12"/>
        <v>Biasa</v>
      </c>
      <c r="Y116" s="78"/>
      <c r="Z116" s="115"/>
      <c r="AA116" s="82"/>
      <c r="AB116" s="82"/>
      <c r="AC116" s="82"/>
      <c r="AD116" s="27"/>
      <c r="AE116" s="85"/>
      <c r="AF116" s="77" t="s">
        <v>188</v>
      </c>
      <c r="AG116" s="77" t="s">
        <v>81</v>
      </c>
      <c r="AH116" s="21" t="s">
        <v>81</v>
      </c>
      <c r="AI116" s="21" t="s">
        <v>81</v>
      </c>
      <c r="AJ116" s="21" t="s">
        <v>81</v>
      </c>
      <c r="AK116" s="21" t="s">
        <v>81</v>
      </c>
      <c r="AL116" s="21" t="s">
        <v>81</v>
      </c>
      <c r="AM116" s="27" t="s">
        <v>100</v>
      </c>
      <c r="AN116" s="86">
        <v>45091</v>
      </c>
      <c r="AO116" s="87"/>
      <c r="AP116" s="4"/>
      <c r="AQ116" s="4"/>
      <c r="AR116" s="4"/>
      <c r="AS116" s="4"/>
      <c r="AT116" s="4"/>
    </row>
    <row r="117" spans="1:46" s="88" customFormat="1" ht="111.95" hidden="1" customHeight="1" x14ac:dyDescent="0.25">
      <c r="A117" s="76">
        <v>50</v>
      </c>
      <c r="B117" s="76" t="s">
        <v>74</v>
      </c>
      <c r="C117" s="76" t="s">
        <v>1153</v>
      </c>
      <c r="D117" s="76">
        <v>4</v>
      </c>
      <c r="E117" s="76" t="s">
        <v>82</v>
      </c>
      <c r="F117" s="78" t="s">
        <v>1431</v>
      </c>
      <c r="G117" s="79" t="s">
        <v>204</v>
      </c>
      <c r="H117" s="79" t="s">
        <v>460</v>
      </c>
      <c r="I117" s="80" t="s">
        <v>1339</v>
      </c>
      <c r="J117" s="79" t="s">
        <v>461</v>
      </c>
      <c r="K117" s="79" t="s">
        <v>462</v>
      </c>
      <c r="L117" s="81" t="s">
        <v>186</v>
      </c>
      <c r="M117" s="81"/>
      <c r="N117" s="82">
        <v>45108</v>
      </c>
      <c r="O117" s="82">
        <v>45473</v>
      </c>
      <c r="P117" s="83">
        <f t="shared" ref="P117" si="18">(O117-N117)/365</f>
        <v>1</v>
      </c>
      <c r="Q117" s="77" t="s">
        <v>29</v>
      </c>
      <c r="R117" s="77">
        <f t="shared" ref="R117" ca="1" si="19">(O117-NOW()+1)/31</f>
        <v>6.9495982414875703</v>
      </c>
      <c r="S117" s="77" t="str">
        <f t="shared" ref="S117" ca="1" si="20">IF(R117="End","Z",IF(R117="Cancel","C",IF(SUM(R117)&gt;0,"O",IF(ISBLANK(R117),"X",IF(SUM(R117)&lt;0,"Y",IF(SUM(R117),"-","O"))))))</f>
        <v>O</v>
      </c>
      <c r="T117" s="84">
        <v>1</v>
      </c>
      <c r="U117" s="84">
        <v>1</v>
      </c>
      <c r="V117" s="84">
        <v>1</v>
      </c>
      <c r="W117" s="84">
        <f t="shared" ref="W117" si="21">T117+U117+V117</f>
        <v>3</v>
      </c>
      <c r="X117" s="84" t="str">
        <f t="shared" ref="X117" si="22">IF(W117&gt;5,"Penting",IF(ISBLANK(W117),"","Biasa"))</f>
        <v>Biasa</v>
      </c>
      <c r="Y117" s="78"/>
      <c r="Z117" s="115"/>
      <c r="AA117" s="82"/>
      <c r="AB117" s="82"/>
      <c r="AC117" s="82"/>
      <c r="AD117" s="27"/>
      <c r="AE117" s="85"/>
      <c r="AF117" s="77" t="s">
        <v>188</v>
      </c>
      <c r="AG117" s="77" t="s">
        <v>81</v>
      </c>
      <c r="AH117" s="21" t="s">
        <v>81</v>
      </c>
      <c r="AI117" s="21" t="s">
        <v>81</v>
      </c>
      <c r="AJ117" s="21" t="s">
        <v>81</v>
      </c>
      <c r="AK117" s="21" t="s">
        <v>81</v>
      </c>
      <c r="AL117" s="21" t="s">
        <v>81</v>
      </c>
      <c r="AM117" s="27" t="s">
        <v>100</v>
      </c>
      <c r="AN117" s="86">
        <v>45091</v>
      </c>
      <c r="AO117" s="87"/>
      <c r="AP117" s="4"/>
      <c r="AQ117" s="4"/>
      <c r="AR117" s="4"/>
      <c r="AS117" s="4"/>
      <c r="AT117" s="4"/>
    </row>
    <row r="118" spans="1:46" s="88" customFormat="1" ht="111.95" hidden="1" customHeight="1" x14ac:dyDescent="0.25">
      <c r="A118" s="76">
        <v>51</v>
      </c>
      <c r="B118" s="76" t="s">
        <v>74</v>
      </c>
      <c r="C118" s="76" t="s">
        <v>1153</v>
      </c>
      <c r="D118" s="76">
        <v>5</v>
      </c>
      <c r="E118" s="76" t="s">
        <v>82</v>
      </c>
      <c r="F118" s="78" t="s">
        <v>501</v>
      </c>
      <c r="G118" s="79" t="s">
        <v>204</v>
      </c>
      <c r="H118" s="79" t="s">
        <v>284</v>
      </c>
      <c r="I118" s="80" t="s">
        <v>1339</v>
      </c>
      <c r="J118" s="79" t="s">
        <v>502</v>
      </c>
      <c r="K118" s="79" t="s">
        <v>286</v>
      </c>
      <c r="L118" s="81" t="s">
        <v>186</v>
      </c>
      <c r="M118" s="81"/>
      <c r="N118" s="82">
        <v>44805</v>
      </c>
      <c r="O118" s="82">
        <v>45169</v>
      </c>
      <c r="P118" s="83">
        <f t="shared" si="15"/>
        <v>0.99726027397260275</v>
      </c>
      <c r="Q118" s="77" t="s">
        <v>19</v>
      </c>
      <c r="R118" s="77">
        <f t="shared" ca="1" si="16"/>
        <v>-2.8568533788829003</v>
      </c>
      <c r="S118" s="77" t="str">
        <f t="shared" ca="1" si="10"/>
        <v>Y</v>
      </c>
      <c r="T118" s="84">
        <v>3</v>
      </c>
      <c r="U118" s="84">
        <v>2</v>
      </c>
      <c r="V118" s="84">
        <v>2</v>
      </c>
      <c r="W118" s="84">
        <f t="shared" si="17"/>
        <v>7</v>
      </c>
      <c r="X118" s="84" t="str">
        <f t="shared" si="12"/>
        <v>Penting</v>
      </c>
      <c r="Y118" s="78"/>
      <c r="Z118" s="115"/>
      <c r="AA118" s="82"/>
      <c r="AB118" s="82"/>
      <c r="AC118" s="82"/>
      <c r="AD118" s="27"/>
      <c r="AE118" s="85"/>
      <c r="AF118" s="77" t="s">
        <v>192</v>
      </c>
      <c r="AG118" s="77" t="s">
        <v>81</v>
      </c>
      <c r="AH118" s="21" t="s">
        <v>81</v>
      </c>
      <c r="AI118" s="21" t="s">
        <v>81</v>
      </c>
      <c r="AJ118" s="21" t="s">
        <v>81</v>
      </c>
      <c r="AK118" s="21" t="s">
        <v>81</v>
      </c>
      <c r="AL118" s="21" t="s">
        <v>81</v>
      </c>
      <c r="AM118" s="27" t="s">
        <v>100</v>
      </c>
      <c r="AN118" s="86">
        <v>44811</v>
      </c>
      <c r="AO118" s="87"/>
      <c r="AP118" s="4"/>
      <c r="AQ118" s="4"/>
      <c r="AR118" s="4"/>
      <c r="AS118" s="4"/>
      <c r="AT118" s="4"/>
    </row>
    <row r="119" spans="1:46" s="88" customFormat="1" ht="111.95" hidden="1" customHeight="1" x14ac:dyDescent="0.25">
      <c r="A119" s="76">
        <v>52</v>
      </c>
      <c r="B119" s="76" t="s">
        <v>74</v>
      </c>
      <c r="C119" s="76" t="s">
        <v>1154</v>
      </c>
      <c r="D119" s="76">
        <v>1</v>
      </c>
      <c r="E119" s="76" t="s">
        <v>82</v>
      </c>
      <c r="F119" s="78" t="s">
        <v>557</v>
      </c>
      <c r="G119" s="79" t="s">
        <v>558</v>
      </c>
      <c r="H119" s="79" t="s">
        <v>559</v>
      </c>
      <c r="I119" s="80" t="s">
        <v>1339</v>
      </c>
      <c r="J119" s="79" t="s">
        <v>560</v>
      </c>
      <c r="K119" s="79" t="s">
        <v>561</v>
      </c>
      <c r="L119" s="81">
        <v>8500</v>
      </c>
      <c r="M119" s="81" t="s">
        <v>562</v>
      </c>
      <c r="N119" s="82">
        <v>44531</v>
      </c>
      <c r="O119" s="82">
        <v>45626</v>
      </c>
      <c r="P119" s="83">
        <f t="shared" si="15"/>
        <v>3</v>
      </c>
      <c r="Q119" s="77" t="s">
        <v>19</v>
      </c>
      <c r="R119" s="77">
        <f t="shared" ca="1" si="16"/>
        <v>11.885082104988067</v>
      </c>
      <c r="S119" s="77" t="str">
        <f t="shared" ca="1" si="10"/>
        <v>O</v>
      </c>
      <c r="T119" s="84">
        <v>1</v>
      </c>
      <c r="U119" s="84">
        <v>2</v>
      </c>
      <c r="V119" s="84">
        <v>1</v>
      </c>
      <c r="W119" s="84">
        <f t="shared" si="17"/>
        <v>4</v>
      </c>
      <c r="X119" s="84" t="str">
        <f t="shared" si="12"/>
        <v>Biasa</v>
      </c>
      <c r="Y119" s="78"/>
      <c r="Z119" s="115" t="s">
        <v>81</v>
      </c>
      <c r="AA119" s="82">
        <f>N119+270</f>
        <v>44801</v>
      </c>
      <c r="AB119" s="82">
        <f>+N119+635</f>
        <v>45166</v>
      </c>
      <c r="AC119" s="82"/>
      <c r="AD119" s="27" t="s">
        <v>86</v>
      </c>
      <c r="AE119" s="85">
        <v>43787</v>
      </c>
      <c r="AF119" s="77" t="s">
        <v>192</v>
      </c>
      <c r="AG119" s="77" t="s">
        <v>81</v>
      </c>
      <c r="AH119" s="21" t="s">
        <v>81</v>
      </c>
      <c r="AI119" s="21" t="s">
        <v>81</v>
      </c>
      <c r="AJ119" s="21" t="s">
        <v>81</v>
      </c>
      <c r="AK119" s="21" t="s">
        <v>81</v>
      </c>
      <c r="AL119" s="21" t="s">
        <v>81</v>
      </c>
      <c r="AM119" s="27" t="s">
        <v>87</v>
      </c>
      <c r="AN119" s="86"/>
      <c r="AO119" s="87"/>
      <c r="AP119" s="4"/>
      <c r="AQ119" s="4"/>
      <c r="AR119" s="4"/>
      <c r="AS119" s="4"/>
      <c r="AT119" s="4"/>
    </row>
    <row r="120" spans="1:46" s="88" customFormat="1" ht="111.95" hidden="1" customHeight="1" x14ac:dyDescent="0.25">
      <c r="A120" s="76">
        <v>53</v>
      </c>
      <c r="B120" s="76" t="s">
        <v>74</v>
      </c>
      <c r="C120" s="76" t="s">
        <v>1154</v>
      </c>
      <c r="D120" s="76">
        <v>2</v>
      </c>
      <c r="E120" s="76" t="s">
        <v>82</v>
      </c>
      <c r="F120" s="78" t="s">
        <v>1436</v>
      </c>
      <c r="G120" s="79" t="s">
        <v>204</v>
      </c>
      <c r="H120" s="79" t="s">
        <v>201</v>
      </c>
      <c r="I120" s="80" t="s">
        <v>1339</v>
      </c>
      <c r="J120" s="79" t="s">
        <v>205</v>
      </c>
      <c r="K120" s="79" t="s">
        <v>202</v>
      </c>
      <c r="L120" s="81" t="s">
        <v>206</v>
      </c>
      <c r="M120" s="81" t="s">
        <v>207</v>
      </c>
      <c r="N120" s="82">
        <v>45108</v>
      </c>
      <c r="O120" s="82">
        <v>45291</v>
      </c>
      <c r="P120" s="83">
        <f t="shared" si="15"/>
        <v>0.50136986301369868</v>
      </c>
      <c r="Q120" s="77" t="s">
        <v>19</v>
      </c>
      <c r="R120" s="77">
        <f t="shared" ca="1" si="16"/>
        <v>1.0786304920848417</v>
      </c>
      <c r="S120" s="77" t="str">
        <f t="shared" ca="1" si="10"/>
        <v>O</v>
      </c>
      <c r="T120" s="84">
        <v>1</v>
      </c>
      <c r="U120" s="84">
        <v>2</v>
      </c>
      <c r="V120" s="84">
        <v>1</v>
      </c>
      <c r="W120" s="84">
        <f t="shared" si="17"/>
        <v>4</v>
      </c>
      <c r="X120" s="84" t="str">
        <f t="shared" si="12"/>
        <v>Biasa</v>
      </c>
      <c r="Y120" s="78"/>
      <c r="Z120" s="115"/>
      <c r="AA120" s="82"/>
      <c r="AB120" s="82"/>
      <c r="AC120" s="82"/>
      <c r="AD120" s="27" t="s">
        <v>86</v>
      </c>
      <c r="AE120" s="85">
        <v>44741</v>
      </c>
      <c r="AF120" s="77" t="s">
        <v>192</v>
      </c>
      <c r="AG120" s="77" t="s">
        <v>81</v>
      </c>
      <c r="AH120" s="21" t="s">
        <v>81</v>
      </c>
      <c r="AI120" s="21" t="s">
        <v>81</v>
      </c>
      <c r="AJ120" s="21" t="s">
        <v>81</v>
      </c>
      <c r="AK120" s="21" t="s">
        <v>81</v>
      </c>
      <c r="AL120" s="21" t="s">
        <v>81</v>
      </c>
      <c r="AM120" s="27" t="s">
        <v>100</v>
      </c>
      <c r="AN120" s="86">
        <v>45101</v>
      </c>
      <c r="AO120" s="87"/>
      <c r="AP120" s="4"/>
      <c r="AQ120" s="4"/>
      <c r="AR120" s="4"/>
      <c r="AS120" s="4"/>
      <c r="AT120" s="4"/>
    </row>
    <row r="121" spans="1:46" s="88" customFormat="1" ht="111.95" hidden="1" customHeight="1" x14ac:dyDescent="0.25">
      <c r="A121" s="76">
        <v>54</v>
      </c>
      <c r="B121" s="76" t="s">
        <v>74</v>
      </c>
      <c r="C121" s="76" t="s">
        <v>1154</v>
      </c>
      <c r="D121" s="76">
        <v>3</v>
      </c>
      <c r="E121" s="76" t="s">
        <v>82</v>
      </c>
      <c r="F121" s="78" t="s">
        <v>1361</v>
      </c>
      <c r="G121" s="79" t="s">
        <v>204</v>
      </c>
      <c r="H121" s="79" t="s">
        <v>581</v>
      </c>
      <c r="I121" s="80" t="s">
        <v>1339</v>
      </c>
      <c r="J121" s="79" t="s">
        <v>582</v>
      </c>
      <c r="K121" s="79" t="s">
        <v>450</v>
      </c>
      <c r="L121" s="81" t="s">
        <v>186</v>
      </c>
      <c r="M121" s="81"/>
      <c r="N121" s="82">
        <v>45108</v>
      </c>
      <c r="O121" s="82">
        <v>45473</v>
      </c>
      <c r="P121" s="83">
        <f t="shared" si="15"/>
        <v>1</v>
      </c>
      <c r="Q121" s="77" t="s">
        <v>19</v>
      </c>
      <c r="R121" s="77">
        <f t="shared" ca="1" si="16"/>
        <v>6.9495982340203257</v>
      </c>
      <c r="S121" s="77" t="str">
        <f t="shared" ca="1" si="10"/>
        <v>O</v>
      </c>
      <c r="T121" s="84">
        <v>1</v>
      </c>
      <c r="U121" s="84">
        <v>2</v>
      </c>
      <c r="V121" s="84">
        <v>2</v>
      </c>
      <c r="W121" s="84">
        <f t="shared" si="17"/>
        <v>5</v>
      </c>
      <c r="X121" s="84" t="str">
        <f t="shared" si="12"/>
        <v>Biasa</v>
      </c>
      <c r="Y121" s="78"/>
      <c r="Z121" s="115"/>
      <c r="AA121" s="82"/>
      <c r="AB121" s="82"/>
      <c r="AC121" s="82"/>
      <c r="AD121" s="27"/>
      <c r="AE121" s="85"/>
      <c r="AF121" s="77" t="s">
        <v>188</v>
      </c>
      <c r="AG121" s="77" t="s">
        <v>81</v>
      </c>
      <c r="AH121" s="21" t="s">
        <v>81</v>
      </c>
      <c r="AI121" s="21" t="s">
        <v>81</v>
      </c>
      <c r="AJ121" s="21" t="s">
        <v>81</v>
      </c>
      <c r="AK121" s="21" t="s">
        <v>81</v>
      </c>
      <c r="AL121" s="21" t="s">
        <v>81</v>
      </c>
      <c r="AM121" s="27" t="s">
        <v>100</v>
      </c>
      <c r="AN121" s="86">
        <v>45091</v>
      </c>
      <c r="AO121" s="87"/>
      <c r="AP121" s="4"/>
      <c r="AQ121" s="4"/>
      <c r="AR121" s="4"/>
      <c r="AS121" s="4"/>
      <c r="AT121" s="4"/>
    </row>
    <row r="122" spans="1:46" s="88" customFormat="1" ht="111.95" hidden="1" customHeight="1" x14ac:dyDescent="0.25">
      <c r="A122" s="76">
        <v>55</v>
      </c>
      <c r="B122" s="76" t="s">
        <v>74</v>
      </c>
      <c r="C122" s="76" t="s">
        <v>1154</v>
      </c>
      <c r="D122" s="76">
        <v>3</v>
      </c>
      <c r="E122" s="76" t="s">
        <v>82</v>
      </c>
      <c r="F122" s="78" t="s">
        <v>1361</v>
      </c>
      <c r="G122" s="79" t="s">
        <v>204</v>
      </c>
      <c r="H122" s="79" t="s">
        <v>581</v>
      </c>
      <c r="I122" s="80" t="s">
        <v>1339</v>
      </c>
      <c r="J122" s="79" t="s">
        <v>582</v>
      </c>
      <c r="K122" s="79" t="s">
        <v>450</v>
      </c>
      <c r="L122" s="81" t="s">
        <v>186</v>
      </c>
      <c r="M122" s="81"/>
      <c r="N122" s="82">
        <v>45108</v>
      </c>
      <c r="O122" s="82">
        <v>45473</v>
      </c>
      <c r="P122" s="83">
        <f t="shared" si="15"/>
        <v>1</v>
      </c>
      <c r="Q122" s="77" t="s">
        <v>29</v>
      </c>
      <c r="R122" s="77">
        <f t="shared" ca="1" si="16"/>
        <v>6.9495982340203257</v>
      </c>
      <c r="S122" s="77" t="str">
        <f t="shared" ca="1" si="10"/>
        <v>O</v>
      </c>
      <c r="T122" s="84">
        <v>1</v>
      </c>
      <c r="U122" s="84">
        <v>2</v>
      </c>
      <c r="V122" s="84">
        <v>2</v>
      </c>
      <c r="W122" s="84">
        <f t="shared" si="17"/>
        <v>5</v>
      </c>
      <c r="X122" s="84" t="str">
        <f t="shared" si="12"/>
        <v>Biasa</v>
      </c>
      <c r="Y122" s="78"/>
      <c r="Z122" s="115"/>
      <c r="AA122" s="82"/>
      <c r="AB122" s="82"/>
      <c r="AC122" s="82"/>
      <c r="AD122" s="27"/>
      <c r="AE122" s="85"/>
      <c r="AF122" s="77" t="s">
        <v>188</v>
      </c>
      <c r="AG122" s="77" t="s">
        <v>81</v>
      </c>
      <c r="AH122" s="21" t="s">
        <v>81</v>
      </c>
      <c r="AI122" s="21" t="s">
        <v>81</v>
      </c>
      <c r="AJ122" s="21" t="s">
        <v>81</v>
      </c>
      <c r="AK122" s="21" t="s">
        <v>81</v>
      </c>
      <c r="AL122" s="21" t="s">
        <v>81</v>
      </c>
      <c r="AM122" s="27" t="s">
        <v>100</v>
      </c>
      <c r="AN122" s="86">
        <v>45091</v>
      </c>
      <c r="AO122" s="87"/>
      <c r="AP122" s="4"/>
      <c r="AQ122" s="4"/>
      <c r="AR122" s="4"/>
      <c r="AS122" s="4"/>
      <c r="AT122" s="4"/>
    </row>
    <row r="123" spans="1:46" s="88" customFormat="1" ht="111.95" hidden="1" customHeight="1" x14ac:dyDescent="0.25">
      <c r="A123" s="76">
        <v>56</v>
      </c>
      <c r="B123" s="76" t="s">
        <v>74</v>
      </c>
      <c r="C123" s="76" t="s">
        <v>1154</v>
      </c>
      <c r="D123" s="76">
        <v>4</v>
      </c>
      <c r="E123" s="76" t="s">
        <v>82</v>
      </c>
      <c r="F123" s="78" t="s">
        <v>1426</v>
      </c>
      <c r="G123" s="79" t="s">
        <v>204</v>
      </c>
      <c r="H123" s="79" t="s">
        <v>403</v>
      </c>
      <c r="I123" s="80" t="s">
        <v>1339</v>
      </c>
      <c r="J123" s="79" t="s">
        <v>404</v>
      </c>
      <c r="K123" s="79" t="s">
        <v>405</v>
      </c>
      <c r="L123" s="81" t="s">
        <v>1427</v>
      </c>
      <c r="M123" s="81" t="s">
        <v>1428</v>
      </c>
      <c r="N123" s="82">
        <v>45108</v>
      </c>
      <c r="O123" s="82">
        <v>45473</v>
      </c>
      <c r="P123" s="83">
        <f t="shared" si="15"/>
        <v>1</v>
      </c>
      <c r="Q123" s="77" t="s">
        <v>19</v>
      </c>
      <c r="R123" s="77">
        <f t="shared" ca="1" si="16"/>
        <v>6.9495982340203257</v>
      </c>
      <c r="S123" s="77" t="str">
        <f t="shared" ca="1" si="10"/>
        <v>O</v>
      </c>
      <c r="T123" s="84">
        <v>1</v>
      </c>
      <c r="U123" s="84">
        <v>2</v>
      </c>
      <c r="V123" s="84">
        <v>1</v>
      </c>
      <c r="W123" s="84">
        <f t="shared" si="17"/>
        <v>4</v>
      </c>
      <c r="X123" s="84" t="str">
        <f t="shared" si="12"/>
        <v>Biasa</v>
      </c>
      <c r="Y123" s="78"/>
      <c r="Z123" s="115"/>
      <c r="AA123" s="82"/>
      <c r="AB123" s="82"/>
      <c r="AC123" s="82"/>
      <c r="AD123" s="27" t="s">
        <v>86</v>
      </c>
      <c r="AE123" s="85">
        <v>44501</v>
      </c>
      <c r="AF123" s="77" t="s">
        <v>192</v>
      </c>
      <c r="AG123" s="77" t="s">
        <v>81</v>
      </c>
      <c r="AH123" s="21" t="s">
        <v>81</v>
      </c>
      <c r="AI123" s="21" t="s">
        <v>81</v>
      </c>
      <c r="AJ123" s="21" t="s">
        <v>81</v>
      </c>
      <c r="AK123" s="21" t="s">
        <v>81</v>
      </c>
      <c r="AL123" s="21" t="s">
        <v>81</v>
      </c>
      <c r="AM123" s="27" t="s">
        <v>100</v>
      </c>
      <c r="AN123" s="86">
        <v>45082</v>
      </c>
      <c r="AO123" s="87"/>
      <c r="AP123" s="4"/>
      <c r="AQ123" s="4"/>
      <c r="AR123" s="4"/>
      <c r="AS123" s="4"/>
      <c r="AT123" s="4"/>
    </row>
    <row r="124" spans="1:46" s="88" customFormat="1" ht="111.95" hidden="1" customHeight="1" x14ac:dyDescent="0.25">
      <c r="A124" s="76">
        <v>57</v>
      </c>
      <c r="B124" s="76" t="s">
        <v>74</v>
      </c>
      <c r="C124" s="76" t="s">
        <v>1154</v>
      </c>
      <c r="D124" s="76">
        <v>5</v>
      </c>
      <c r="E124" s="76" t="s">
        <v>82</v>
      </c>
      <c r="F124" s="78" t="s">
        <v>1432</v>
      </c>
      <c r="G124" s="79" t="s">
        <v>204</v>
      </c>
      <c r="H124" s="79" t="s">
        <v>407</v>
      </c>
      <c r="I124" s="80" t="s">
        <v>1339</v>
      </c>
      <c r="J124" s="79" t="s">
        <v>404</v>
      </c>
      <c r="K124" s="79" t="s">
        <v>408</v>
      </c>
      <c r="L124" s="81" t="s">
        <v>1427</v>
      </c>
      <c r="M124" s="81" t="s">
        <v>1428</v>
      </c>
      <c r="N124" s="82">
        <v>45108</v>
      </c>
      <c r="O124" s="82">
        <v>45473</v>
      </c>
      <c r="P124" s="83">
        <f t="shared" si="15"/>
        <v>1</v>
      </c>
      <c r="Q124" s="77" t="s">
        <v>19</v>
      </c>
      <c r="R124" s="77">
        <f t="shared" ca="1" si="16"/>
        <v>6.9495982340203257</v>
      </c>
      <c r="S124" s="77" t="str">
        <f t="shared" ca="1" si="10"/>
        <v>O</v>
      </c>
      <c r="T124" s="84">
        <v>1</v>
      </c>
      <c r="U124" s="84">
        <v>2</v>
      </c>
      <c r="V124" s="84">
        <v>1</v>
      </c>
      <c r="W124" s="84">
        <f t="shared" si="17"/>
        <v>4</v>
      </c>
      <c r="X124" s="84" t="str">
        <f t="shared" si="12"/>
        <v>Biasa</v>
      </c>
      <c r="Y124" s="78"/>
      <c r="Z124" s="115"/>
      <c r="AA124" s="82"/>
      <c r="AB124" s="82"/>
      <c r="AC124" s="82"/>
      <c r="AD124" s="27" t="s">
        <v>86</v>
      </c>
      <c r="AE124" s="85">
        <v>44501</v>
      </c>
      <c r="AF124" s="77" t="s">
        <v>192</v>
      </c>
      <c r="AG124" s="77" t="s">
        <v>81</v>
      </c>
      <c r="AH124" s="21" t="s">
        <v>81</v>
      </c>
      <c r="AI124" s="21" t="s">
        <v>81</v>
      </c>
      <c r="AJ124" s="21" t="s">
        <v>81</v>
      </c>
      <c r="AK124" s="21" t="s">
        <v>81</v>
      </c>
      <c r="AL124" s="21" t="s">
        <v>81</v>
      </c>
      <c r="AM124" s="27" t="s">
        <v>100</v>
      </c>
      <c r="AN124" s="86">
        <v>45082</v>
      </c>
      <c r="AO124" s="87"/>
      <c r="AP124" s="4"/>
      <c r="AQ124" s="4"/>
      <c r="AR124" s="4"/>
      <c r="AS124" s="4"/>
      <c r="AT124" s="4"/>
    </row>
    <row r="125" spans="1:46" s="88" customFormat="1" ht="111.95" hidden="1" customHeight="1" x14ac:dyDescent="0.25">
      <c r="A125" s="76">
        <v>58</v>
      </c>
      <c r="B125" s="76" t="s">
        <v>74</v>
      </c>
      <c r="C125" s="76" t="s">
        <v>1155</v>
      </c>
      <c r="D125" s="76">
        <v>1</v>
      </c>
      <c r="E125" s="76" t="s">
        <v>82</v>
      </c>
      <c r="F125" s="78" t="s">
        <v>1220</v>
      </c>
      <c r="G125" s="79" t="s">
        <v>204</v>
      </c>
      <c r="H125" s="79" t="s">
        <v>413</v>
      </c>
      <c r="I125" s="80" t="s">
        <v>1339</v>
      </c>
      <c r="J125" s="79" t="s">
        <v>414</v>
      </c>
      <c r="K125" s="79" t="s">
        <v>415</v>
      </c>
      <c r="L125" s="81" t="s">
        <v>321</v>
      </c>
      <c r="M125" s="81"/>
      <c r="N125" s="82">
        <v>44896</v>
      </c>
      <c r="O125" s="82">
        <v>45260</v>
      </c>
      <c r="P125" s="83">
        <f t="shared" si="15"/>
        <v>0.99726027397260275</v>
      </c>
      <c r="Q125" s="77" t="s">
        <v>19</v>
      </c>
      <c r="R125" s="77">
        <f t="shared" ca="1" si="16"/>
        <v>7.8630492084841769E-2</v>
      </c>
      <c r="S125" s="77" t="str">
        <f t="shared" ca="1" si="10"/>
        <v>O</v>
      </c>
      <c r="T125" s="84">
        <v>1</v>
      </c>
      <c r="U125" s="84">
        <v>2</v>
      </c>
      <c r="V125" s="84">
        <v>1</v>
      </c>
      <c r="W125" s="84">
        <f t="shared" si="17"/>
        <v>4</v>
      </c>
      <c r="X125" s="84" t="str">
        <f t="shared" si="12"/>
        <v>Biasa</v>
      </c>
      <c r="Y125" s="78"/>
      <c r="Z125" s="115"/>
      <c r="AA125" s="82"/>
      <c r="AB125" s="82"/>
      <c r="AC125" s="82"/>
      <c r="AD125" s="27" t="s">
        <v>86</v>
      </c>
      <c r="AE125" s="85">
        <v>44542</v>
      </c>
      <c r="AF125" s="77" t="s">
        <v>192</v>
      </c>
      <c r="AG125" s="77" t="s">
        <v>81</v>
      </c>
      <c r="AH125" s="21" t="s">
        <v>81</v>
      </c>
      <c r="AI125" s="21" t="s">
        <v>81</v>
      </c>
      <c r="AJ125" s="21" t="s">
        <v>81</v>
      </c>
      <c r="AK125" s="21" t="s">
        <v>81</v>
      </c>
      <c r="AL125" s="21" t="s">
        <v>81</v>
      </c>
      <c r="AM125" s="27" t="s">
        <v>100</v>
      </c>
      <c r="AN125" s="86">
        <v>44894</v>
      </c>
      <c r="AO125" s="87"/>
      <c r="AP125" s="4"/>
      <c r="AQ125" s="4"/>
      <c r="AR125" s="4"/>
      <c r="AS125" s="4"/>
      <c r="AT125" s="4"/>
    </row>
    <row r="126" spans="1:46" s="88" customFormat="1" ht="111.95" hidden="1" customHeight="1" x14ac:dyDescent="0.25">
      <c r="A126" s="76">
        <v>59</v>
      </c>
      <c r="B126" s="76" t="s">
        <v>74</v>
      </c>
      <c r="C126" s="76" t="s">
        <v>1155</v>
      </c>
      <c r="D126" s="76">
        <v>2</v>
      </c>
      <c r="E126" s="76" t="s">
        <v>82</v>
      </c>
      <c r="F126" s="78" t="s">
        <v>1219</v>
      </c>
      <c r="G126" s="79" t="s">
        <v>204</v>
      </c>
      <c r="H126" s="79" t="s">
        <v>416</v>
      </c>
      <c r="I126" s="80" t="s">
        <v>1339</v>
      </c>
      <c r="J126" s="79" t="s">
        <v>361</v>
      </c>
      <c r="K126" s="79" t="s">
        <v>417</v>
      </c>
      <c r="L126" s="81" t="s">
        <v>186</v>
      </c>
      <c r="M126" s="81"/>
      <c r="N126" s="82">
        <v>44896</v>
      </c>
      <c r="O126" s="82">
        <v>45260</v>
      </c>
      <c r="P126" s="83">
        <f t="shared" si="15"/>
        <v>0.99726027397260275</v>
      </c>
      <c r="Q126" s="77" t="s">
        <v>19</v>
      </c>
      <c r="R126" s="77">
        <f t="shared" ca="1" si="16"/>
        <v>7.8630492084841769E-2</v>
      </c>
      <c r="S126" s="77" t="str">
        <f t="shared" ca="1" si="10"/>
        <v>O</v>
      </c>
      <c r="T126" s="84">
        <v>3</v>
      </c>
      <c r="U126" s="84">
        <v>1</v>
      </c>
      <c r="V126" s="84">
        <v>1</v>
      </c>
      <c r="W126" s="84">
        <f t="shared" si="17"/>
        <v>5</v>
      </c>
      <c r="X126" s="84" t="str">
        <f t="shared" si="12"/>
        <v>Biasa</v>
      </c>
      <c r="Y126" s="78"/>
      <c r="Z126" s="115"/>
      <c r="AA126" s="82"/>
      <c r="AB126" s="82"/>
      <c r="AC126" s="82"/>
      <c r="AD126" s="27" t="s">
        <v>86</v>
      </c>
      <c r="AE126" s="85">
        <v>44542</v>
      </c>
      <c r="AF126" s="77" t="s">
        <v>192</v>
      </c>
      <c r="AG126" s="77" t="s">
        <v>81</v>
      </c>
      <c r="AH126" s="21" t="s">
        <v>81</v>
      </c>
      <c r="AI126" s="21" t="s">
        <v>81</v>
      </c>
      <c r="AJ126" s="21" t="s">
        <v>81</v>
      </c>
      <c r="AK126" s="21" t="s">
        <v>81</v>
      </c>
      <c r="AL126" s="21" t="s">
        <v>81</v>
      </c>
      <c r="AM126" s="27" t="s">
        <v>100</v>
      </c>
      <c r="AN126" s="86">
        <v>44894</v>
      </c>
      <c r="AO126" s="87"/>
      <c r="AP126" s="4"/>
      <c r="AQ126" s="4"/>
      <c r="AR126" s="4"/>
      <c r="AS126" s="4"/>
      <c r="AT126" s="4"/>
    </row>
    <row r="127" spans="1:46" s="88" customFormat="1" ht="111.95" hidden="1" customHeight="1" x14ac:dyDescent="0.25">
      <c r="A127" s="76">
        <v>60</v>
      </c>
      <c r="B127" s="76" t="s">
        <v>74</v>
      </c>
      <c r="C127" s="76" t="s">
        <v>1155</v>
      </c>
      <c r="D127" s="76">
        <v>3</v>
      </c>
      <c r="E127" s="76" t="s">
        <v>82</v>
      </c>
      <c r="F127" s="78" t="s">
        <v>1251</v>
      </c>
      <c r="G127" s="79" t="s">
        <v>204</v>
      </c>
      <c r="H127" s="79" t="s">
        <v>533</v>
      </c>
      <c r="I127" s="80" t="s">
        <v>1339</v>
      </c>
      <c r="J127" s="79" t="s">
        <v>568</v>
      </c>
      <c r="K127" s="79" t="s">
        <v>535</v>
      </c>
      <c r="L127" s="81" t="s">
        <v>186</v>
      </c>
      <c r="M127" s="81"/>
      <c r="N127" s="82">
        <v>44896</v>
      </c>
      <c r="O127" s="82">
        <v>45260</v>
      </c>
      <c r="P127" s="83">
        <f t="shared" si="15"/>
        <v>0.99726027397260275</v>
      </c>
      <c r="Q127" s="77" t="s">
        <v>19</v>
      </c>
      <c r="R127" s="77">
        <f t="shared" ca="1" si="16"/>
        <v>7.8630492084841769E-2</v>
      </c>
      <c r="S127" s="77" t="str">
        <f t="shared" ca="1" si="10"/>
        <v>O</v>
      </c>
      <c r="T127" s="84">
        <v>1</v>
      </c>
      <c r="U127" s="84">
        <v>1</v>
      </c>
      <c r="V127" s="84">
        <v>2</v>
      </c>
      <c r="W127" s="84">
        <f t="shared" si="17"/>
        <v>4</v>
      </c>
      <c r="X127" s="84" t="str">
        <f t="shared" si="12"/>
        <v>Biasa</v>
      </c>
      <c r="Y127" s="78"/>
      <c r="Z127" s="115"/>
      <c r="AA127" s="82"/>
      <c r="AB127" s="82"/>
      <c r="AC127" s="82"/>
      <c r="AD127" s="27" t="s">
        <v>86</v>
      </c>
      <c r="AE127" s="85">
        <v>44562</v>
      </c>
      <c r="AF127" s="77" t="s">
        <v>192</v>
      </c>
      <c r="AG127" s="77" t="s">
        <v>81</v>
      </c>
      <c r="AH127" s="21" t="s">
        <v>81</v>
      </c>
      <c r="AI127" s="21" t="s">
        <v>81</v>
      </c>
      <c r="AJ127" s="21" t="s">
        <v>81</v>
      </c>
      <c r="AK127" s="21" t="s">
        <v>81</v>
      </c>
      <c r="AL127" s="21" t="s">
        <v>81</v>
      </c>
      <c r="AM127" s="27" t="s">
        <v>100</v>
      </c>
      <c r="AN127" s="86">
        <v>44902</v>
      </c>
      <c r="AO127" s="87"/>
      <c r="AP127" s="4"/>
      <c r="AQ127" s="4"/>
      <c r="AR127" s="4"/>
      <c r="AS127" s="4"/>
      <c r="AT127" s="4"/>
    </row>
    <row r="128" spans="1:46" s="88" customFormat="1" ht="111.95" hidden="1" customHeight="1" x14ac:dyDescent="0.25">
      <c r="A128" s="76">
        <v>61</v>
      </c>
      <c r="B128" s="76" t="s">
        <v>74</v>
      </c>
      <c r="C128" s="76" t="s">
        <v>1155</v>
      </c>
      <c r="D128" s="76">
        <v>4</v>
      </c>
      <c r="E128" s="76" t="s">
        <v>82</v>
      </c>
      <c r="F128" s="78" t="s">
        <v>1389</v>
      </c>
      <c r="G128" s="79" t="s">
        <v>204</v>
      </c>
      <c r="H128" s="79" t="s">
        <v>570</v>
      </c>
      <c r="I128" s="80" t="s">
        <v>1339</v>
      </c>
      <c r="J128" s="79" t="s">
        <v>571</v>
      </c>
      <c r="K128" s="79" t="s">
        <v>572</v>
      </c>
      <c r="L128" s="81" t="s">
        <v>186</v>
      </c>
      <c r="M128" s="81"/>
      <c r="N128" s="82">
        <v>45108</v>
      </c>
      <c r="O128" s="82">
        <v>45473</v>
      </c>
      <c r="P128" s="83">
        <f t="shared" si="15"/>
        <v>1</v>
      </c>
      <c r="Q128" s="77" t="s">
        <v>19</v>
      </c>
      <c r="R128" s="77">
        <f t="shared" ca="1" si="16"/>
        <v>6.9495982340203257</v>
      </c>
      <c r="S128" s="77" t="str">
        <f t="shared" ca="1" si="10"/>
        <v>O</v>
      </c>
      <c r="T128" s="84">
        <v>1</v>
      </c>
      <c r="U128" s="84">
        <v>2</v>
      </c>
      <c r="V128" s="84">
        <v>1</v>
      </c>
      <c r="W128" s="84">
        <f t="shared" si="17"/>
        <v>4</v>
      </c>
      <c r="X128" s="84" t="str">
        <f t="shared" si="12"/>
        <v>Biasa</v>
      </c>
      <c r="Y128" s="78"/>
      <c r="Z128" s="115"/>
      <c r="AA128" s="82"/>
      <c r="AB128" s="82"/>
      <c r="AC128" s="82"/>
      <c r="AD128" s="27" t="s">
        <v>86</v>
      </c>
      <c r="AE128" s="85">
        <v>44586</v>
      </c>
      <c r="AF128" s="77" t="s">
        <v>192</v>
      </c>
      <c r="AG128" s="77" t="s">
        <v>81</v>
      </c>
      <c r="AH128" s="21" t="s">
        <v>81</v>
      </c>
      <c r="AI128" s="21" t="s">
        <v>81</v>
      </c>
      <c r="AJ128" s="21" t="s">
        <v>81</v>
      </c>
      <c r="AK128" s="21" t="s">
        <v>81</v>
      </c>
      <c r="AL128" s="21" t="s">
        <v>81</v>
      </c>
      <c r="AM128" s="27" t="s">
        <v>100</v>
      </c>
      <c r="AN128" s="86">
        <v>45082</v>
      </c>
      <c r="AO128" s="87"/>
      <c r="AP128" s="4"/>
      <c r="AQ128" s="4"/>
      <c r="AR128" s="4"/>
      <c r="AS128" s="4"/>
      <c r="AT128" s="4"/>
    </row>
    <row r="129" spans="1:46" s="88" customFormat="1" ht="111.75" hidden="1" customHeight="1" x14ac:dyDescent="0.25">
      <c r="A129" s="76">
        <v>62</v>
      </c>
      <c r="B129" s="76" t="s">
        <v>74</v>
      </c>
      <c r="C129" s="76" t="s">
        <v>1155</v>
      </c>
      <c r="D129" s="76">
        <v>5</v>
      </c>
      <c r="E129" s="76" t="s">
        <v>82</v>
      </c>
      <c r="F129" s="78" t="s">
        <v>1425</v>
      </c>
      <c r="G129" s="79" t="s">
        <v>204</v>
      </c>
      <c r="H129" s="79" t="s">
        <v>574</v>
      </c>
      <c r="I129" s="80" t="s">
        <v>1339</v>
      </c>
      <c r="J129" s="79" t="s">
        <v>571</v>
      </c>
      <c r="K129" s="79" t="s">
        <v>575</v>
      </c>
      <c r="L129" s="81" t="s">
        <v>186</v>
      </c>
      <c r="M129" s="81"/>
      <c r="N129" s="82">
        <v>45108</v>
      </c>
      <c r="O129" s="82">
        <v>45473</v>
      </c>
      <c r="P129" s="83">
        <f t="shared" si="15"/>
        <v>1</v>
      </c>
      <c r="Q129" s="77" t="s">
        <v>19</v>
      </c>
      <c r="R129" s="77">
        <f t="shared" ca="1" si="16"/>
        <v>6.9495982340203257</v>
      </c>
      <c r="S129" s="77" t="str">
        <f t="shared" ca="1" si="10"/>
        <v>O</v>
      </c>
      <c r="T129" s="84">
        <v>1</v>
      </c>
      <c r="U129" s="84">
        <v>2</v>
      </c>
      <c r="V129" s="84">
        <v>1</v>
      </c>
      <c r="W129" s="84">
        <f t="shared" si="17"/>
        <v>4</v>
      </c>
      <c r="X129" s="84" t="str">
        <f t="shared" si="12"/>
        <v>Biasa</v>
      </c>
      <c r="Y129" s="78"/>
      <c r="Z129" s="115"/>
      <c r="AA129" s="82"/>
      <c r="AB129" s="82"/>
      <c r="AC129" s="82"/>
      <c r="AD129" s="27" t="s">
        <v>86</v>
      </c>
      <c r="AE129" s="85">
        <v>44617</v>
      </c>
      <c r="AF129" s="77" t="s">
        <v>192</v>
      </c>
      <c r="AG129" s="77" t="s">
        <v>81</v>
      </c>
      <c r="AH129" s="21" t="s">
        <v>81</v>
      </c>
      <c r="AI129" s="21" t="s">
        <v>81</v>
      </c>
      <c r="AJ129" s="21" t="s">
        <v>81</v>
      </c>
      <c r="AK129" s="21" t="s">
        <v>81</v>
      </c>
      <c r="AL129" s="21" t="s">
        <v>81</v>
      </c>
      <c r="AM129" s="27" t="s">
        <v>100</v>
      </c>
      <c r="AN129" s="86">
        <v>45082</v>
      </c>
      <c r="AO129" s="87"/>
      <c r="AP129" s="4"/>
      <c r="AQ129" s="4"/>
      <c r="AR129" s="4"/>
      <c r="AS129" s="4"/>
      <c r="AT129" s="4"/>
    </row>
    <row r="130" spans="1:46" s="88" customFormat="1" ht="111.75" hidden="1" customHeight="1" x14ac:dyDescent="0.25">
      <c r="A130" s="76">
        <v>63</v>
      </c>
      <c r="B130" s="76" t="s">
        <v>74</v>
      </c>
      <c r="C130" s="76" t="s">
        <v>1156</v>
      </c>
      <c r="D130" s="76">
        <v>1</v>
      </c>
      <c r="E130" s="76" t="s">
        <v>82</v>
      </c>
      <c r="F130" s="78" t="s">
        <v>1251</v>
      </c>
      <c r="G130" s="79" t="s">
        <v>204</v>
      </c>
      <c r="H130" s="79" t="s">
        <v>456</v>
      </c>
      <c r="I130" s="80" t="s">
        <v>1339</v>
      </c>
      <c r="J130" s="79" t="s">
        <v>457</v>
      </c>
      <c r="K130" s="79" t="s">
        <v>458</v>
      </c>
      <c r="L130" s="81" t="s">
        <v>321</v>
      </c>
      <c r="M130" s="81"/>
      <c r="N130" s="82">
        <v>44927</v>
      </c>
      <c r="O130" s="82">
        <v>45291</v>
      </c>
      <c r="P130" s="83">
        <f t="shared" si="15"/>
        <v>0.99726027397260275</v>
      </c>
      <c r="Q130" s="77" t="s">
        <v>19</v>
      </c>
      <c r="R130" s="77">
        <f t="shared" ca="1" si="16"/>
        <v>1.0786304920848417</v>
      </c>
      <c r="S130" s="77" t="str">
        <f t="shared" ca="1" si="10"/>
        <v>O</v>
      </c>
      <c r="T130" s="84">
        <v>1</v>
      </c>
      <c r="U130" s="84">
        <v>1</v>
      </c>
      <c r="V130" s="84">
        <v>2</v>
      </c>
      <c r="W130" s="84">
        <f t="shared" si="17"/>
        <v>4</v>
      </c>
      <c r="X130" s="84" t="str">
        <f t="shared" si="12"/>
        <v>Biasa</v>
      </c>
      <c r="Y130" s="78"/>
      <c r="Z130" s="115"/>
      <c r="AA130" s="82"/>
      <c r="AB130" s="82"/>
      <c r="AC130" s="82"/>
      <c r="AD130" s="27" t="s">
        <v>86</v>
      </c>
      <c r="AE130" s="85">
        <v>44593</v>
      </c>
      <c r="AF130" s="77" t="s">
        <v>192</v>
      </c>
      <c r="AG130" s="77" t="s">
        <v>81</v>
      </c>
      <c r="AH130" s="21" t="s">
        <v>81</v>
      </c>
      <c r="AI130" s="21" t="s">
        <v>81</v>
      </c>
      <c r="AJ130" s="21" t="s">
        <v>81</v>
      </c>
      <c r="AK130" s="21" t="s">
        <v>81</v>
      </c>
      <c r="AL130" s="21" t="s">
        <v>81</v>
      </c>
      <c r="AM130" s="27" t="s">
        <v>100</v>
      </c>
      <c r="AN130" s="86">
        <v>44902</v>
      </c>
      <c r="AO130" s="87"/>
      <c r="AP130" s="4"/>
      <c r="AQ130" s="4"/>
      <c r="AR130" s="4"/>
      <c r="AS130" s="4"/>
      <c r="AT130" s="4"/>
    </row>
    <row r="131" spans="1:46" s="88" customFormat="1" ht="111.75" hidden="1" customHeight="1" x14ac:dyDescent="0.25">
      <c r="A131" s="76">
        <v>64</v>
      </c>
      <c r="B131" s="76" t="s">
        <v>74</v>
      </c>
      <c r="C131" s="76" t="s">
        <v>1156</v>
      </c>
      <c r="D131" s="76">
        <v>2</v>
      </c>
      <c r="E131" s="76" t="s">
        <v>82</v>
      </c>
      <c r="F131" s="78" t="s">
        <v>1326</v>
      </c>
      <c r="G131" s="79" t="s">
        <v>204</v>
      </c>
      <c r="H131" s="79" t="s">
        <v>577</v>
      </c>
      <c r="I131" s="80" t="s">
        <v>1339</v>
      </c>
      <c r="J131" s="79" t="s">
        <v>578</v>
      </c>
      <c r="K131" s="79" t="s">
        <v>579</v>
      </c>
      <c r="L131" s="81" t="s">
        <v>321</v>
      </c>
      <c r="M131" s="81"/>
      <c r="N131" s="82">
        <v>44929</v>
      </c>
      <c r="O131" s="82">
        <v>45293</v>
      </c>
      <c r="P131" s="83">
        <f t="shared" si="15"/>
        <v>0.99726027397260275</v>
      </c>
      <c r="Q131" s="77" t="s">
        <v>19</v>
      </c>
      <c r="R131" s="77">
        <f t="shared" ca="1" si="16"/>
        <v>1.1431466211170997</v>
      </c>
      <c r="S131" s="77" t="str">
        <f t="shared" ca="1" si="10"/>
        <v>O</v>
      </c>
      <c r="T131" s="84">
        <v>1</v>
      </c>
      <c r="U131" s="84">
        <v>1</v>
      </c>
      <c r="V131" s="84">
        <v>1</v>
      </c>
      <c r="W131" s="84">
        <f t="shared" si="17"/>
        <v>3</v>
      </c>
      <c r="X131" s="84" t="str">
        <f t="shared" si="12"/>
        <v>Biasa</v>
      </c>
      <c r="Y131" s="78"/>
      <c r="Z131" s="115"/>
      <c r="AA131" s="82"/>
      <c r="AB131" s="82"/>
      <c r="AC131" s="82"/>
      <c r="AD131" s="27" t="s">
        <v>86</v>
      </c>
      <c r="AE131" s="85">
        <v>44617</v>
      </c>
      <c r="AF131" s="77" t="s">
        <v>192</v>
      </c>
      <c r="AG131" s="77" t="s">
        <v>81</v>
      </c>
      <c r="AH131" s="21" t="s">
        <v>81</v>
      </c>
      <c r="AI131" s="21" t="s">
        <v>81</v>
      </c>
      <c r="AJ131" s="21" t="s">
        <v>81</v>
      </c>
      <c r="AK131" s="21" t="s">
        <v>81</v>
      </c>
      <c r="AL131" s="21" t="s">
        <v>81</v>
      </c>
      <c r="AM131" s="27" t="s">
        <v>100</v>
      </c>
      <c r="AN131" s="86">
        <v>44951</v>
      </c>
      <c r="AO131" s="87"/>
      <c r="AP131" s="4"/>
      <c r="AQ131" s="4"/>
      <c r="AR131" s="4"/>
      <c r="AS131" s="4"/>
      <c r="AT131" s="4"/>
    </row>
    <row r="132" spans="1:46" s="88" customFormat="1" ht="111.95" hidden="1" customHeight="1" x14ac:dyDescent="0.25">
      <c r="A132" s="76">
        <v>65</v>
      </c>
      <c r="B132" s="76" t="s">
        <v>74</v>
      </c>
      <c r="C132" s="76" t="s">
        <v>1156</v>
      </c>
      <c r="D132" s="76">
        <v>3</v>
      </c>
      <c r="E132" s="76" t="s">
        <v>82</v>
      </c>
      <c r="F132" s="78" t="s">
        <v>1388</v>
      </c>
      <c r="G132" s="79" t="s">
        <v>204</v>
      </c>
      <c r="H132" s="79" t="s">
        <v>980</v>
      </c>
      <c r="I132" s="80" t="s">
        <v>1339</v>
      </c>
      <c r="J132" s="79" t="s">
        <v>981</v>
      </c>
      <c r="K132" s="79" t="s">
        <v>982</v>
      </c>
      <c r="L132" s="81" t="s">
        <v>186</v>
      </c>
      <c r="M132" s="81"/>
      <c r="N132" s="82">
        <v>45108</v>
      </c>
      <c r="O132" s="82">
        <v>45473</v>
      </c>
      <c r="P132" s="83">
        <f t="shared" ref="P132:P163" si="23">(O132-N132)/365</f>
        <v>1</v>
      </c>
      <c r="Q132" s="77" t="s">
        <v>25</v>
      </c>
      <c r="R132" s="77">
        <f t="shared" ref="R132:R163" ca="1" si="24">(O132-NOW()+1)/31</f>
        <v>6.9495982340203257</v>
      </c>
      <c r="S132" s="77" t="str">
        <f t="shared" ref="S132:S195" ca="1" si="25">IF(R132="End","Z",IF(R132="Cancel","C",IF(SUM(R132)&gt;0,"O",IF(ISBLANK(R132),"X",IF(SUM(R132)&lt;0,"Y",IF(SUM(R132),"-","O"))))))</f>
        <v>O</v>
      </c>
      <c r="T132" s="84">
        <v>2</v>
      </c>
      <c r="U132" s="84">
        <v>2</v>
      </c>
      <c r="V132" s="84">
        <v>2</v>
      </c>
      <c r="W132" s="84">
        <f t="shared" ref="W132:W163" si="26">T132+U132+V132</f>
        <v>6</v>
      </c>
      <c r="X132" s="84" t="str">
        <f t="shared" ref="X132:X195" si="27">IF(W132&gt;5,"Penting",IF(ISBLANK(W132),"","Biasa"))</f>
        <v>Penting</v>
      </c>
      <c r="Y132" s="78"/>
      <c r="Z132" s="115"/>
      <c r="AA132" s="82"/>
      <c r="AB132" s="82"/>
      <c r="AC132" s="82"/>
      <c r="AD132" s="27"/>
      <c r="AE132" s="85"/>
      <c r="AF132" s="77" t="s">
        <v>588</v>
      </c>
      <c r="AG132" s="77" t="s">
        <v>81</v>
      </c>
      <c r="AH132" s="21" t="s">
        <v>81</v>
      </c>
      <c r="AI132" s="21" t="s">
        <v>81</v>
      </c>
      <c r="AJ132" s="21" t="s">
        <v>81</v>
      </c>
      <c r="AK132" s="21" t="s">
        <v>81</v>
      </c>
      <c r="AL132" s="21" t="s">
        <v>81</v>
      </c>
      <c r="AM132" s="27" t="s">
        <v>100</v>
      </c>
      <c r="AN132" s="86">
        <v>45082</v>
      </c>
      <c r="AO132" s="87"/>
      <c r="AP132" s="4"/>
      <c r="AQ132" s="4"/>
      <c r="AR132" s="4"/>
      <c r="AS132" s="4"/>
      <c r="AT132" s="4"/>
    </row>
    <row r="133" spans="1:46" s="88" customFormat="1" ht="111.95" hidden="1" customHeight="1" x14ac:dyDescent="0.25">
      <c r="A133" s="76">
        <v>66</v>
      </c>
      <c r="B133" s="76" t="s">
        <v>74</v>
      </c>
      <c r="C133" s="76" t="s">
        <v>1156</v>
      </c>
      <c r="D133" s="76">
        <v>4</v>
      </c>
      <c r="E133" s="76" t="s">
        <v>82</v>
      </c>
      <c r="F133" s="78" t="s">
        <v>1373</v>
      </c>
      <c r="G133" s="79" t="s">
        <v>204</v>
      </c>
      <c r="H133" s="79" t="s">
        <v>976</v>
      </c>
      <c r="I133" s="80" t="s">
        <v>1338</v>
      </c>
      <c r="J133" s="79" t="s">
        <v>977</v>
      </c>
      <c r="K133" s="79" t="s">
        <v>978</v>
      </c>
      <c r="L133" s="81" t="s">
        <v>186</v>
      </c>
      <c r="M133" s="81"/>
      <c r="N133" s="82">
        <v>45108</v>
      </c>
      <c r="O133" s="82">
        <v>45473</v>
      </c>
      <c r="P133" s="83">
        <f t="shared" si="23"/>
        <v>1</v>
      </c>
      <c r="Q133" s="77" t="s">
        <v>25</v>
      </c>
      <c r="R133" s="77">
        <f t="shared" ca="1" si="24"/>
        <v>6.9495982340203257</v>
      </c>
      <c r="S133" s="77" t="str">
        <f t="shared" ca="1" si="25"/>
        <v>O</v>
      </c>
      <c r="T133" s="84">
        <v>2</v>
      </c>
      <c r="U133" s="84">
        <v>2</v>
      </c>
      <c r="V133" s="84">
        <v>2</v>
      </c>
      <c r="W133" s="84">
        <f t="shared" si="26"/>
        <v>6</v>
      </c>
      <c r="X133" s="84" t="str">
        <f t="shared" si="27"/>
        <v>Penting</v>
      </c>
      <c r="Y133" s="78"/>
      <c r="Z133" s="115"/>
      <c r="AA133" s="82"/>
      <c r="AB133" s="82"/>
      <c r="AC133" s="82"/>
      <c r="AD133" s="27" t="s">
        <v>86</v>
      </c>
      <c r="AE133" s="85">
        <v>43497</v>
      </c>
      <c r="AF133" s="77" t="s">
        <v>588</v>
      </c>
      <c r="AG133" s="77" t="s">
        <v>81</v>
      </c>
      <c r="AH133" s="21" t="s">
        <v>81</v>
      </c>
      <c r="AI133" s="21" t="s">
        <v>81</v>
      </c>
      <c r="AJ133" s="21" t="s">
        <v>81</v>
      </c>
      <c r="AK133" s="21" t="s">
        <v>81</v>
      </c>
      <c r="AL133" s="21" t="s">
        <v>81</v>
      </c>
      <c r="AM133" s="27" t="s">
        <v>100</v>
      </c>
      <c r="AN133" s="86">
        <v>45082</v>
      </c>
      <c r="AO133" s="87"/>
      <c r="AP133" s="4"/>
      <c r="AQ133" s="4"/>
      <c r="AR133" s="4"/>
      <c r="AS133" s="4"/>
      <c r="AT133" s="4"/>
    </row>
    <row r="134" spans="1:46" s="88" customFormat="1" ht="111.95" hidden="1" customHeight="1" x14ac:dyDescent="0.25">
      <c r="A134" s="76">
        <v>67</v>
      </c>
      <c r="B134" s="76" t="s">
        <v>74</v>
      </c>
      <c r="C134" s="76" t="s">
        <v>1156</v>
      </c>
      <c r="D134" s="76">
        <v>5</v>
      </c>
      <c r="E134" s="76" t="s">
        <v>82</v>
      </c>
      <c r="F134" s="78" t="s">
        <v>1397</v>
      </c>
      <c r="G134" s="79" t="s">
        <v>204</v>
      </c>
      <c r="H134" s="79" t="s">
        <v>484</v>
      </c>
      <c r="I134" s="80" t="s">
        <v>1338</v>
      </c>
      <c r="J134" s="79" t="s">
        <v>963</v>
      </c>
      <c r="K134" s="79" t="s">
        <v>964</v>
      </c>
      <c r="L134" s="81" t="s">
        <v>186</v>
      </c>
      <c r="M134" s="81"/>
      <c r="N134" s="82">
        <v>45108</v>
      </c>
      <c r="O134" s="82">
        <v>45473</v>
      </c>
      <c r="P134" s="83">
        <f t="shared" si="23"/>
        <v>1</v>
      </c>
      <c r="Q134" s="77" t="s">
        <v>25</v>
      </c>
      <c r="R134" s="77">
        <f t="shared" ca="1" si="24"/>
        <v>6.9495982340203257</v>
      </c>
      <c r="S134" s="77" t="str">
        <f t="shared" ca="1" si="25"/>
        <v>O</v>
      </c>
      <c r="T134" s="84">
        <v>1</v>
      </c>
      <c r="U134" s="84">
        <v>2</v>
      </c>
      <c r="V134" s="84">
        <v>2</v>
      </c>
      <c r="W134" s="84">
        <f t="shared" si="26"/>
        <v>5</v>
      </c>
      <c r="X134" s="84" t="str">
        <f t="shared" si="27"/>
        <v>Biasa</v>
      </c>
      <c r="Y134" s="78"/>
      <c r="Z134" s="115"/>
      <c r="AA134" s="82"/>
      <c r="AB134" s="82"/>
      <c r="AC134" s="82"/>
      <c r="AD134" s="27"/>
      <c r="AE134" s="85"/>
      <c r="AF134" s="77" t="s">
        <v>588</v>
      </c>
      <c r="AG134" s="77" t="s">
        <v>81</v>
      </c>
      <c r="AH134" s="21" t="s">
        <v>81</v>
      </c>
      <c r="AI134" s="21" t="s">
        <v>81</v>
      </c>
      <c r="AJ134" s="21" t="s">
        <v>81</v>
      </c>
      <c r="AK134" s="21" t="s">
        <v>81</v>
      </c>
      <c r="AL134" s="21" t="s">
        <v>81</v>
      </c>
      <c r="AM134" s="27" t="s">
        <v>100</v>
      </c>
      <c r="AN134" s="86">
        <v>45082</v>
      </c>
      <c r="AO134" s="87"/>
      <c r="AP134" s="4"/>
      <c r="AQ134" s="4"/>
      <c r="AR134" s="4"/>
      <c r="AS134" s="4"/>
      <c r="AT134" s="4"/>
    </row>
    <row r="135" spans="1:46" s="88" customFormat="1" ht="111.95" hidden="1" customHeight="1" x14ac:dyDescent="0.25">
      <c r="A135" s="76">
        <v>68</v>
      </c>
      <c r="B135" s="76" t="s">
        <v>74</v>
      </c>
      <c r="C135" s="76" t="s">
        <v>1157</v>
      </c>
      <c r="D135" s="76">
        <v>1</v>
      </c>
      <c r="E135" s="76" t="s">
        <v>82</v>
      </c>
      <c r="F135" s="78" t="s">
        <v>1372</v>
      </c>
      <c r="G135" s="79" t="s">
        <v>204</v>
      </c>
      <c r="H135" s="79" t="s">
        <v>949</v>
      </c>
      <c r="I135" s="80" t="s">
        <v>1338</v>
      </c>
      <c r="J135" s="79" t="s">
        <v>950</v>
      </c>
      <c r="K135" s="79"/>
      <c r="L135" s="81" t="s">
        <v>186</v>
      </c>
      <c r="M135" s="81"/>
      <c r="N135" s="82">
        <v>45108</v>
      </c>
      <c r="O135" s="82">
        <v>45473</v>
      </c>
      <c r="P135" s="83">
        <f t="shared" si="23"/>
        <v>1</v>
      </c>
      <c r="Q135" s="77" t="s">
        <v>25</v>
      </c>
      <c r="R135" s="77">
        <f t="shared" ca="1" si="24"/>
        <v>6.9495982340203257</v>
      </c>
      <c r="S135" s="77" t="str">
        <f t="shared" ca="1" si="25"/>
        <v>O</v>
      </c>
      <c r="T135" s="84">
        <v>3</v>
      </c>
      <c r="U135" s="84">
        <v>3</v>
      </c>
      <c r="V135" s="84">
        <v>3</v>
      </c>
      <c r="W135" s="84">
        <f t="shared" si="26"/>
        <v>9</v>
      </c>
      <c r="X135" s="84" t="str">
        <f t="shared" si="27"/>
        <v>Penting</v>
      </c>
      <c r="Y135" s="78"/>
      <c r="Z135" s="115"/>
      <c r="AA135" s="82"/>
      <c r="AB135" s="82"/>
      <c r="AC135" s="82"/>
      <c r="AD135" s="27"/>
      <c r="AE135" s="85"/>
      <c r="AF135" s="77" t="s">
        <v>588</v>
      </c>
      <c r="AG135" s="77" t="s">
        <v>81</v>
      </c>
      <c r="AH135" s="21" t="s">
        <v>81</v>
      </c>
      <c r="AI135" s="21" t="s">
        <v>81</v>
      </c>
      <c r="AJ135" s="21" t="s">
        <v>81</v>
      </c>
      <c r="AK135" s="21" t="s">
        <v>81</v>
      </c>
      <c r="AL135" s="21" t="s">
        <v>81</v>
      </c>
      <c r="AM135" s="27" t="s">
        <v>100</v>
      </c>
      <c r="AN135" s="86">
        <v>45082</v>
      </c>
      <c r="AO135" s="87"/>
      <c r="AP135" s="90"/>
      <c r="AQ135" s="4"/>
      <c r="AR135" s="4"/>
      <c r="AS135" s="4"/>
      <c r="AT135" s="4"/>
    </row>
    <row r="136" spans="1:46" s="88" customFormat="1" ht="111.95" hidden="1" customHeight="1" x14ac:dyDescent="0.25">
      <c r="A136" s="76">
        <v>69</v>
      </c>
      <c r="B136" s="76" t="s">
        <v>74</v>
      </c>
      <c r="C136" s="76" t="s">
        <v>1157</v>
      </c>
      <c r="D136" s="76">
        <v>2</v>
      </c>
      <c r="E136" s="76" t="s">
        <v>82</v>
      </c>
      <c r="F136" s="78" t="s">
        <v>1387</v>
      </c>
      <c r="G136" s="79" t="s">
        <v>204</v>
      </c>
      <c r="H136" s="79" t="s">
        <v>1386</v>
      </c>
      <c r="I136" s="80" t="s">
        <v>1339</v>
      </c>
      <c r="J136" s="79" t="s">
        <v>950</v>
      </c>
      <c r="K136" s="79"/>
      <c r="L136" s="81" t="s">
        <v>186</v>
      </c>
      <c r="M136" s="81"/>
      <c r="N136" s="82">
        <v>45108</v>
      </c>
      <c r="O136" s="82">
        <v>45473</v>
      </c>
      <c r="P136" s="83">
        <f t="shared" si="23"/>
        <v>1</v>
      </c>
      <c r="Q136" s="77" t="s">
        <v>25</v>
      </c>
      <c r="R136" s="77">
        <f t="shared" ca="1" si="24"/>
        <v>6.9495982340203257</v>
      </c>
      <c r="S136" s="77" t="str">
        <f t="shared" ca="1" si="25"/>
        <v>O</v>
      </c>
      <c r="T136" s="84">
        <v>3</v>
      </c>
      <c r="U136" s="84">
        <v>3</v>
      </c>
      <c r="V136" s="84">
        <v>3</v>
      </c>
      <c r="W136" s="84">
        <f t="shared" si="26"/>
        <v>9</v>
      </c>
      <c r="X136" s="84" t="str">
        <f t="shared" si="27"/>
        <v>Penting</v>
      </c>
      <c r="Y136" s="78"/>
      <c r="Z136" s="115"/>
      <c r="AA136" s="82"/>
      <c r="AB136" s="82"/>
      <c r="AC136" s="82"/>
      <c r="AD136" s="27"/>
      <c r="AE136" s="85"/>
      <c r="AF136" s="77" t="s">
        <v>588</v>
      </c>
      <c r="AG136" s="77" t="s">
        <v>81</v>
      </c>
      <c r="AH136" s="21" t="s">
        <v>81</v>
      </c>
      <c r="AI136" s="21" t="s">
        <v>81</v>
      </c>
      <c r="AJ136" s="21" t="s">
        <v>81</v>
      </c>
      <c r="AK136" s="21" t="s">
        <v>81</v>
      </c>
      <c r="AL136" s="21" t="s">
        <v>81</v>
      </c>
      <c r="AM136" s="27" t="s">
        <v>100</v>
      </c>
      <c r="AN136" s="86">
        <v>45082</v>
      </c>
      <c r="AO136" s="87"/>
      <c r="AP136" s="90"/>
      <c r="AQ136" s="4"/>
      <c r="AR136" s="4"/>
      <c r="AS136" s="4"/>
      <c r="AT136" s="4"/>
    </row>
    <row r="137" spans="1:46" s="88" customFormat="1" ht="111.95" hidden="1" customHeight="1" x14ac:dyDescent="0.25">
      <c r="A137" s="76">
        <v>70</v>
      </c>
      <c r="B137" s="76" t="s">
        <v>74</v>
      </c>
      <c r="C137" s="76" t="s">
        <v>1157</v>
      </c>
      <c r="D137" s="76">
        <v>3</v>
      </c>
      <c r="E137" s="76" t="s">
        <v>82</v>
      </c>
      <c r="F137" s="78" t="s">
        <v>1399</v>
      </c>
      <c r="G137" s="79" t="s">
        <v>204</v>
      </c>
      <c r="H137" s="79" t="s">
        <v>954</v>
      </c>
      <c r="I137" s="80" t="s">
        <v>1338</v>
      </c>
      <c r="J137" s="79" t="s">
        <v>950</v>
      </c>
      <c r="K137" s="79" t="s">
        <v>1400</v>
      </c>
      <c r="L137" s="81" t="s">
        <v>186</v>
      </c>
      <c r="M137" s="81"/>
      <c r="N137" s="82">
        <v>45108</v>
      </c>
      <c r="O137" s="82">
        <v>45473</v>
      </c>
      <c r="P137" s="83">
        <f t="shared" si="23"/>
        <v>1</v>
      </c>
      <c r="Q137" s="77" t="s">
        <v>25</v>
      </c>
      <c r="R137" s="77">
        <f t="shared" ca="1" si="24"/>
        <v>6.9495982340203257</v>
      </c>
      <c r="S137" s="77" t="str">
        <f t="shared" ca="1" si="25"/>
        <v>O</v>
      </c>
      <c r="T137" s="84">
        <v>3</v>
      </c>
      <c r="U137" s="84">
        <v>3</v>
      </c>
      <c r="V137" s="84">
        <v>3</v>
      </c>
      <c r="W137" s="84">
        <f t="shared" si="26"/>
        <v>9</v>
      </c>
      <c r="X137" s="84" t="str">
        <f t="shared" si="27"/>
        <v>Penting</v>
      </c>
      <c r="Y137" s="78"/>
      <c r="Z137" s="115"/>
      <c r="AA137" s="82"/>
      <c r="AB137" s="82"/>
      <c r="AC137" s="82"/>
      <c r="AD137" s="27"/>
      <c r="AE137" s="85"/>
      <c r="AF137" s="77" t="s">
        <v>588</v>
      </c>
      <c r="AG137" s="77" t="s">
        <v>81</v>
      </c>
      <c r="AH137" s="21" t="s">
        <v>81</v>
      </c>
      <c r="AI137" s="21" t="s">
        <v>81</v>
      </c>
      <c r="AJ137" s="21" t="s">
        <v>81</v>
      </c>
      <c r="AK137" s="21" t="s">
        <v>81</v>
      </c>
      <c r="AL137" s="21" t="s">
        <v>81</v>
      </c>
      <c r="AM137" s="27" t="s">
        <v>100</v>
      </c>
      <c r="AN137" s="86">
        <v>45082</v>
      </c>
      <c r="AO137" s="87"/>
      <c r="AP137" s="4"/>
      <c r="AQ137" s="4"/>
      <c r="AR137" s="4"/>
      <c r="AS137" s="4"/>
      <c r="AT137" s="4"/>
    </row>
    <row r="138" spans="1:46" s="88" customFormat="1" ht="111.95" hidden="1" customHeight="1" x14ac:dyDescent="0.25">
      <c r="A138" s="76">
        <v>71</v>
      </c>
      <c r="B138" s="76" t="s">
        <v>74</v>
      </c>
      <c r="C138" s="76" t="s">
        <v>1157</v>
      </c>
      <c r="D138" s="76">
        <v>4</v>
      </c>
      <c r="E138" s="76" t="s">
        <v>82</v>
      </c>
      <c r="F138" s="78" t="s">
        <v>1371</v>
      </c>
      <c r="G138" s="79" t="s">
        <v>204</v>
      </c>
      <c r="H138" s="79" t="s">
        <v>956</v>
      </c>
      <c r="I138" s="80" t="s">
        <v>1338</v>
      </c>
      <c r="J138" s="79" t="s">
        <v>950</v>
      </c>
      <c r="K138" s="79"/>
      <c r="L138" s="81" t="s">
        <v>186</v>
      </c>
      <c r="M138" s="81"/>
      <c r="N138" s="82">
        <v>45108</v>
      </c>
      <c r="O138" s="82">
        <v>45473</v>
      </c>
      <c r="P138" s="83">
        <f t="shared" si="23"/>
        <v>1</v>
      </c>
      <c r="Q138" s="77" t="s">
        <v>25</v>
      </c>
      <c r="R138" s="77">
        <f t="shared" ca="1" si="24"/>
        <v>6.9495982340203257</v>
      </c>
      <c r="S138" s="77" t="str">
        <f t="shared" ca="1" si="25"/>
        <v>O</v>
      </c>
      <c r="T138" s="84">
        <v>3</v>
      </c>
      <c r="U138" s="84">
        <v>3</v>
      </c>
      <c r="V138" s="84">
        <v>3</v>
      </c>
      <c r="W138" s="84">
        <f t="shared" si="26"/>
        <v>9</v>
      </c>
      <c r="X138" s="84" t="str">
        <f t="shared" si="27"/>
        <v>Penting</v>
      </c>
      <c r="Y138" s="78"/>
      <c r="Z138" s="115"/>
      <c r="AA138" s="82"/>
      <c r="AB138" s="82"/>
      <c r="AC138" s="82"/>
      <c r="AD138" s="27"/>
      <c r="AE138" s="85"/>
      <c r="AF138" s="77" t="s">
        <v>588</v>
      </c>
      <c r="AG138" s="77" t="s">
        <v>81</v>
      </c>
      <c r="AH138" s="21" t="s">
        <v>81</v>
      </c>
      <c r="AI138" s="21" t="s">
        <v>81</v>
      </c>
      <c r="AJ138" s="21" t="s">
        <v>81</v>
      </c>
      <c r="AK138" s="21" t="s">
        <v>81</v>
      </c>
      <c r="AL138" s="21" t="s">
        <v>81</v>
      </c>
      <c r="AM138" s="27" t="s">
        <v>100</v>
      </c>
      <c r="AN138" s="86">
        <v>45082</v>
      </c>
      <c r="AO138" s="87"/>
      <c r="AP138" s="4"/>
      <c r="AQ138" s="4"/>
      <c r="AR138" s="4"/>
      <c r="AS138" s="4"/>
      <c r="AT138" s="4"/>
    </row>
    <row r="139" spans="1:46" s="88" customFormat="1" ht="111.95" hidden="1" customHeight="1" x14ac:dyDescent="0.25">
      <c r="A139" s="76">
        <v>72</v>
      </c>
      <c r="B139" s="76" t="s">
        <v>74</v>
      </c>
      <c r="C139" s="76" t="s">
        <v>1157</v>
      </c>
      <c r="D139" s="76">
        <v>5</v>
      </c>
      <c r="E139" s="76" t="s">
        <v>82</v>
      </c>
      <c r="F139" s="78" t="s">
        <v>1395</v>
      </c>
      <c r="G139" s="79" t="s">
        <v>204</v>
      </c>
      <c r="H139" s="79" t="s">
        <v>966</v>
      </c>
      <c r="I139" s="80" t="s">
        <v>1338</v>
      </c>
      <c r="J139" s="79" t="s">
        <v>967</v>
      </c>
      <c r="K139" s="79" t="s">
        <v>1396</v>
      </c>
      <c r="L139" s="81" t="s">
        <v>186</v>
      </c>
      <c r="M139" s="81"/>
      <c r="N139" s="82">
        <v>45108</v>
      </c>
      <c r="O139" s="82">
        <v>45473</v>
      </c>
      <c r="P139" s="83">
        <f t="shared" si="23"/>
        <v>1</v>
      </c>
      <c r="Q139" s="77" t="s">
        <v>25</v>
      </c>
      <c r="R139" s="77">
        <f t="shared" ca="1" si="24"/>
        <v>6.9495982340203257</v>
      </c>
      <c r="S139" s="77" t="str">
        <f t="shared" ca="1" si="25"/>
        <v>O</v>
      </c>
      <c r="T139" s="84">
        <v>2</v>
      </c>
      <c r="U139" s="84">
        <v>2</v>
      </c>
      <c r="V139" s="84">
        <v>2</v>
      </c>
      <c r="W139" s="84">
        <f t="shared" si="26"/>
        <v>6</v>
      </c>
      <c r="X139" s="84" t="str">
        <f t="shared" si="27"/>
        <v>Penting</v>
      </c>
      <c r="Y139" s="78"/>
      <c r="Z139" s="115"/>
      <c r="AA139" s="82"/>
      <c r="AB139" s="82"/>
      <c r="AC139" s="82"/>
      <c r="AD139" s="27"/>
      <c r="AE139" s="85"/>
      <c r="AF139" s="77" t="s">
        <v>588</v>
      </c>
      <c r="AG139" s="77" t="s">
        <v>81</v>
      </c>
      <c r="AH139" s="21" t="s">
        <v>81</v>
      </c>
      <c r="AI139" s="21" t="s">
        <v>81</v>
      </c>
      <c r="AJ139" s="21" t="s">
        <v>81</v>
      </c>
      <c r="AK139" s="21" t="s">
        <v>81</v>
      </c>
      <c r="AL139" s="21" t="s">
        <v>81</v>
      </c>
      <c r="AM139" s="27" t="s">
        <v>100</v>
      </c>
      <c r="AN139" s="86">
        <v>45082</v>
      </c>
      <c r="AO139" s="87"/>
      <c r="AP139" s="4"/>
      <c r="AQ139" s="4"/>
      <c r="AR139" s="4"/>
      <c r="AS139" s="4"/>
      <c r="AT139" s="4"/>
    </row>
    <row r="140" spans="1:46" s="88" customFormat="1" ht="111.95" hidden="1" customHeight="1" x14ac:dyDescent="0.25">
      <c r="A140" s="76">
        <v>73</v>
      </c>
      <c r="B140" s="76" t="s">
        <v>74</v>
      </c>
      <c r="C140" s="76" t="s">
        <v>1158</v>
      </c>
      <c r="D140" s="76">
        <v>1</v>
      </c>
      <c r="E140" s="76" t="s">
        <v>82</v>
      </c>
      <c r="F140" s="78" t="s">
        <v>1378</v>
      </c>
      <c r="G140" s="79" t="s">
        <v>204</v>
      </c>
      <c r="H140" s="79" t="s">
        <v>991</v>
      </c>
      <c r="I140" s="80" t="s">
        <v>1339</v>
      </c>
      <c r="J140" s="79" t="s">
        <v>992</v>
      </c>
      <c r="K140" s="79" t="s">
        <v>993</v>
      </c>
      <c r="L140" s="81" t="s">
        <v>186</v>
      </c>
      <c r="M140" s="81"/>
      <c r="N140" s="82">
        <v>45108</v>
      </c>
      <c r="O140" s="82">
        <v>45473</v>
      </c>
      <c r="P140" s="83">
        <f t="shared" si="23"/>
        <v>1</v>
      </c>
      <c r="Q140" s="77" t="s">
        <v>25</v>
      </c>
      <c r="R140" s="77">
        <f t="shared" ca="1" si="24"/>
        <v>6.9495982340203257</v>
      </c>
      <c r="S140" s="77" t="str">
        <f t="shared" ca="1" si="25"/>
        <v>O</v>
      </c>
      <c r="T140" s="84">
        <v>2</v>
      </c>
      <c r="U140" s="84">
        <v>2</v>
      </c>
      <c r="V140" s="84">
        <v>2</v>
      </c>
      <c r="W140" s="84">
        <f t="shared" si="26"/>
        <v>6</v>
      </c>
      <c r="X140" s="84" t="str">
        <f t="shared" si="27"/>
        <v>Penting</v>
      </c>
      <c r="Y140" s="78"/>
      <c r="Z140" s="115"/>
      <c r="AA140" s="82"/>
      <c r="AB140" s="82"/>
      <c r="AC140" s="82"/>
      <c r="AD140" s="27" t="s">
        <v>86</v>
      </c>
      <c r="AE140" s="85">
        <v>44732</v>
      </c>
      <c r="AF140" s="77" t="s">
        <v>588</v>
      </c>
      <c r="AG140" s="77" t="s">
        <v>81</v>
      </c>
      <c r="AH140" s="21" t="s">
        <v>81</v>
      </c>
      <c r="AI140" s="21" t="s">
        <v>81</v>
      </c>
      <c r="AJ140" s="21" t="s">
        <v>81</v>
      </c>
      <c r="AK140" s="21" t="s">
        <v>81</v>
      </c>
      <c r="AL140" s="21" t="s">
        <v>81</v>
      </c>
      <c r="AM140" s="27" t="s">
        <v>100</v>
      </c>
      <c r="AN140" s="86">
        <v>45082</v>
      </c>
      <c r="AO140" s="87"/>
      <c r="AP140" s="4"/>
      <c r="AQ140" s="4"/>
      <c r="AR140" s="4"/>
      <c r="AS140" s="4"/>
      <c r="AT140" s="4"/>
    </row>
    <row r="141" spans="1:46" s="88" customFormat="1" ht="111.95" hidden="1" customHeight="1" x14ac:dyDescent="0.25">
      <c r="A141" s="76">
        <v>74</v>
      </c>
      <c r="B141" s="76" t="s">
        <v>74</v>
      </c>
      <c r="C141" s="76" t="s">
        <v>1158</v>
      </c>
      <c r="D141" s="76">
        <v>2</v>
      </c>
      <c r="E141" s="76" t="s">
        <v>82</v>
      </c>
      <c r="F141" s="78" t="s">
        <v>1405</v>
      </c>
      <c r="G141" s="79" t="s">
        <v>204</v>
      </c>
      <c r="H141" s="79" t="s">
        <v>988</v>
      </c>
      <c r="I141" s="80" t="s">
        <v>1338</v>
      </c>
      <c r="J141" s="79" t="s">
        <v>989</v>
      </c>
      <c r="K141" s="79" t="s">
        <v>1406</v>
      </c>
      <c r="L141" s="81" t="s">
        <v>186</v>
      </c>
      <c r="M141" s="81"/>
      <c r="N141" s="82">
        <v>45108</v>
      </c>
      <c r="O141" s="82">
        <v>45473</v>
      </c>
      <c r="P141" s="83">
        <f t="shared" si="23"/>
        <v>1</v>
      </c>
      <c r="Q141" s="77" t="s">
        <v>25</v>
      </c>
      <c r="R141" s="77">
        <f t="shared" ca="1" si="24"/>
        <v>6.9495982340203257</v>
      </c>
      <c r="S141" s="77" t="str">
        <f t="shared" ca="1" si="25"/>
        <v>O</v>
      </c>
      <c r="T141" s="84">
        <v>2</v>
      </c>
      <c r="U141" s="84">
        <v>2</v>
      </c>
      <c r="V141" s="84">
        <v>2</v>
      </c>
      <c r="W141" s="84">
        <f t="shared" si="26"/>
        <v>6</v>
      </c>
      <c r="X141" s="84" t="str">
        <f t="shared" si="27"/>
        <v>Penting</v>
      </c>
      <c r="Y141" s="78"/>
      <c r="Z141" s="115"/>
      <c r="AA141" s="82"/>
      <c r="AB141" s="82"/>
      <c r="AC141" s="82"/>
      <c r="AD141" s="27"/>
      <c r="AE141" s="85"/>
      <c r="AF141" s="77" t="s">
        <v>974</v>
      </c>
      <c r="AG141" s="77" t="s">
        <v>81</v>
      </c>
      <c r="AH141" s="21" t="s">
        <v>81</v>
      </c>
      <c r="AI141" s="21" t="s">
        <v>81</v>
      </c>
      <c r="AJ141" s="21" t="s">
        <v>81</v>
      </c>
      <c r="AK141" s="21" t="s">
        <v>81</v>
      </c>
      <c r="AL141" s="21" t="s">
        <v>81</v>
      </c>
      <c r="AM141" s="27" t="s">
        <v>100</v>
      </c>
      <c r="AN141" s="86">
        <v>45082</v>
      </c>
      <c r="AO141" s="87"/>
      <c r="AP141" s="4"/>
      <c r="AQ141" s="4"/>
      <c r="AR141" s="4"/>
      <c r="AS141" s="4"/>
      <c r="AT141" s="4"/>
    </row>
    <row r="142" spans="1:46" s="88" customFormat="1" ht="111.95" hidden="1" customHeight="1" x14ac:dyDescent="0.25">
      <c r="A142" s="76">
        <v>75</v>
      </c>
      <c r="B142" s="76" t="s">
        <v>74</v>
      </c>
      <c r="C142" s="76" t="s">
        <v>1158</v>
      </c>
      <c r="D142" s="76">
        <v>2</v>
      </c>
      <c r="E142" s="76" t="s">
        <v>82</v>
      </c>
      <c r="F142" s="78" t="s">
        <v>1405</v>
      </c>
      <c r="G142" s="79" t="s">
        <v>204</v>
      </c>
      <c r="H142" s="79" t="s">
        <v>988</v>
      </c>
      <c r="I142" s="80" t="s">
        <v>1338</v>
      </c>
      <c r="J142" s="79" t="s">
        <v>989</v>
      </c>
      <c r="K142" s="79" t="s">
        <v>1406</v>
      </c>
      <c r="L142" s="81" t="s">
        <v>186</v>
      </c>
      <c r="M142" s="81"/>
      <c r="N142" s="82">
        <v>45108</v>
      </c>
      <c r="O142" s="82">
        <v>45473</v>
      </c>
      <c r="P142" s="83">
        <f t="shared" si="23"/>
        <v>1</v>
      </c>
      <c r="Q142" s="77" t="s">
        <v>29</v>
      </c>
      <c r="R142" s="77">
        <f t="shared" ca="1" si="24"/>
        <v>6.9495982414875703</v>
      </c>
      <c r="S142" s="77" t="str">
        <f t="shared" ca="1" si="25"/>
        <v>O</v>
      </c>
      <c r="T142" s="84">
        <v>2</v>
      </c>
      <c r="U142" s="84">
        <v>2</v>
      </c>
      <c r="V142" s="84">
        <v>2</v>
      </c>
      <c r="W142" s="84">
        <f t="shared" si="26"/>
        <v>6</v>
      </c>
      <c r="X142" s="84" t="str">
        <f t="shared" si="27"/>
        <v>Penting</v>
      </c>
      <c r="Y142" s="78"/>
      <c r="Z142" s="115"/>
      <c r="AA142" s="82"/>
      <c r="AB142" s="82"/>
      <c r="AC142" s="82"/>
      <c r="AD142" s="27"/>
      <c r="AE142" s="85"/>
      <c r="AF142" s="77" t="s">
        <v>974</v>
      </c>
      <c r="AG142" s="77" t="s">
        <v>81</v>
      </c>
      <c r="AH142" s="21" t="s">
        <v>81</v>
      </c>
      <c r="AI142" s="21" t="s">
        <v>81</v>
      </c>
      <c r="AJ142" s="21" t="s">
        <v>81</v>
      </c>
      <c r="AK142" s="21" t="s">
        <v>81</v>
      </c>
      <c r="AL142" s="21" t="s">
        <v>81</v>
      </c>
      <c r="AM142" s="27" t="s">
        <v>100</v>
      </c>
      <c r="AN142" s="86">
        <v>45082</v>
      </c>
      <c r="AO142" s="87"/>
      <c r="AP142" s="90"/>
      <c r="AQ142" s="4"/>
      <c r="AR142" s="4"/>
      <c r="AS142" s="4"/>
      <c r="AT142" s="4"/>
    </row>
    <row r="143" spans="1:46" s="88" customFormat="1" ht="111.95" hidden="1" customHeight="1" x14ac:dyDescent="0.25">
      <c r="A143" s="76">
        <v>76</v>
      </c>
      <c r="B143" s="76" t="s">
        <v>74</v>
      </c>
      <c r="C143" s="76" t="s">
        <v>1158</v>
      </c>
      <c r="D143" s="76">
        <v>3</v>
      </c>
      <c r="E143" s="76" t="s">
        <v>82</v>
      </c>
      <c r="F143" s="78" t="s">
        <v>1025</v>
      </c>
      <c r="G143" s="79" t="s">
        <v>204</v>
      </c>
      <c r="H143" s="79" t="s">
        <v>1026</v>
      </c>
      <c r="I143" s="80" t="s">
        <v>1339</v>
      </c>
      <c r="J143" s="79" t="s">
        <v>1027</v>
      </c>
      <c r="K143" s="79" t="s">
        <v>1028</v>
      </c>
      <c r="L143" s="81" t="s">
        <v>186</v>
      </c>
      <c r="M143" s="81"/>
      <c r="N143" s="82">
        <v>43710</v>
      </c>
      <c r="O143" s="82">
        <v>45170</v>
      </c>
      <c r="P143" s="83">
        <f t="shared" si="23"/>
        <v>4</v>
      </c>
      <c r="Q143" s="77" t="s">
        <v>29</v>
      </c>
      <c r="R143" s="77">
        <f t="shared" ca="1" si="24"/>
        <v>-2.8245953143667712</v>
      </c>
      <c r="S143" s="77" t="str">
        <f t="shared" ca="1" si="25"/>
        <v>Y</v>
      </c>
      <c r="T143" s="84">
        <v>1</v>
      </c>
      <c r="U143" s="84">
        <v>2</v>
      </c>
      <c r="V143" s="84">
        <v>2</v>
      </c>
      <c r="W143" s="84">
        <f t="shared" si="26"/>
        <v>5</v>
      </c>
      <c r="X143" s="84" t="str">
        <f t="shared" si="27"/>
        <v>Biasa</v>
      </c>
      <c r="Y143" s="78" t="s">
        <v>446</v>
      </c>
      <c r="Z143" s="115" t="s">
        <v>81</v>
      </c>
      <c r="AA143" s="82">
        <f>N143+1000</f>
        <v>44710</v>
      </c>
      <c r="AB143" s="82">
        <f>+N143+1365</f>
        <v>45075</v>
      </c>
      <c r="AC143" s="82">
        <f>N143+1730</f>
        <v>45440</v>
      </c>
      <c r="AD143" s="27"/>
      <c r="AE143" s="85"/>
      <c r="AF143" s="77" t="s">
        <v>1023</v>
      </c>
      <c r="AG143" s="77" t="s">
        <v>81</v>
      </c>
      <c r="AH143" s="21" t="s">
        <v>81</v>
      </c>
      <c r="AI143" s="21" t="s">
        <v>81</v>
      </c>
      <c r="AJ143" s="21" t="s">
        <v>81</v>
      </c>
      <c r="AK143" s="21" t="s">
        <v>81</v>
      </c>
      <c r="AL143" s="21" t="s">
        <v>81</v>
      </c>
      <c r="AM143" s="27"/>
      <c r="AN143" s="86">
        <v>43756</v>
      </c>
      <c r="AO143" s="87"/>
      <c r="AP143" s="4"/>
      <c r="AQ143" s="4"/>
      <c r="AR143" s="4"/>
      <c r="AS143" s="4"/>
      <c r="AT143" s="4"/>
    </row>
    <row r="144" spans="1:46" s="88" customFormat="1" ht="111.95" hidden="1" customHeight="1" x14ac:dyDescent="0.25">
      <c r="A144" s="76">
        <v>77</v>
      </c>
      <c r="B144" s="76" t="s">
        <v>74</v>
      </c>
      <c r="C144" s="76" t="s">
        <v>1158</v>
      </c>
      <c r="D144" s="76">
        <v>4</v>
      </c>
      <c r="E144" s="76" t="s">
        <v>82</v>
      </c>
      <c r="F144" s="78" t="s">
        <v>1044</v>
      </c>
      <c r="G144" s="79" t="s">
        <v>204</v>
      </c>
      <c r="H144" s="79" t="s">
        <v>1045</v>
      </c>
      <c r="I144" s="80" t="s">
        <v>1339</v>
      </c>
      <c r="J144" s="79" t="s">
        <v>1046</v>
      </c>
      <c r="K144" s="79" t="s">
        <v>1047</v>
      </c>
      <c r="L144" s="81" t="s">
        <v>186</v>
      </c>
      <c r="M144" s="81"/>
      <c r="N144" s="82">
        <v>43709</v>
      </c>
      <c r="O144" s="82">
        <v>45169</v>
      </c>
      <c r="P144" s="83">
        <f t="shared" si="23"/>
        <v>4</v>
      </c>
      <c r="Q144" s="77" t="s">
        <v>29</v>
      </c>
      <c r="R144" s="77">
        <f t="shared" ca="1" si="24"/>
        <v>-2.8568533788829003</v>
      </c>
      <c r="S144" s="77" t="str">
        <f t="shared" ca="1" si="25"/>
        <v>Y</v>
      </c>
      <c r="T144" s="84">
        <v>1</v>
      </c>
      <c r="U144" s="84">
        <v>2</v>
      </c>
      <c r="V144" s="84">
        <v>1</v>
      </c>
      <c r="W144" s="84">
        <f t="shared" si="26"/>
        <v>4</v>
      </c>
      <c r="X144" s="84" t="str">
        <f t="shared" si="27"/>
        <v>Biasa</v>
      </c>
      <c r="Y144" s="78" t="s">
        <v>446</v>
      </c>
      <c r="Z144" s="115" t="s">
        <v>81</v>
      </c>
      <c r="AA144" s="82">
        <f>N144+1000</f>
        <v>44709</v>
      </c>
      <c r="AB144" s="82">
        <f>+N144+1365</f>
        <v>45074</v>
      </c>
      <c r="AC144" s="82">
        <f>N144+1730</f>
        <v>45439</v>
      </c>
      <c r="AD144" s="27"/>
      <c r="AE144" s="85"/>
      <c r="AF144" s="77" t="s">
        <v>1023</v>
      </c>
      <c r="AG144" s="77" t="s">
        <v>81</v>
      </c>
      <c r="AH144" s="21" t="s">
        <v>81</v>
      </c>
      <c r="AI144" s="21" t="s">
        <v>81</v>
      </c>
      <c r="AJ144" s="21" t="s">
        <v>81</v>
      </c>
      <c r="AK144" s="21" t="s">
        <v>81</v>
      </c>
      <c r="AL144" s="21" t="s">
        <v>81</v>
      </c>
      <c r="AM144" s="27"/>
      <c r="AN144" s="86">
        <v>43734</v>
      </c>
      <c r="AO144" s="87"/>
      <c r="AP144" s="4"/>
      <c r="AQ144" s="4"/>
      <c r="AR144" s="4"/>
      <c r="AS144" s="4"/>
      <c r="AT144" s="4"/>
    </row>
    <row r="145" spans="1:46" s="88" customFormat="1" ht="111.95" hidden="1" customHeight="1" x14ac:dyDescent="0.25">
      <c r="A145" s="76">
        <v>78</v>
      </c>
      <c r="B145" s="76" t="s">
        <v>74</v>
      </c>
      <c r="C145" s="76" t="s">
        <v>1158</v>
      </c>
      <c r="D145" s="76">
        <v>5</v>
      </c>
      <c r="E145" s="76" t="s">
        <v>82</v>
      </c>
      <c r="F145" s="78" t="s">
        <v>1060</v>
      </c>
      <c r="G145" s="79" t="s">
        <v>204</v>
      </c>
      <c r="H145" s="79" t="s">
        <v>1061</v>
      </c>
      <c r="I145" s="80" t="s">
        <v>1339</v>
      </c>
      <c r="J145" s="79" t="s">
        <v>1062</v>
      </c>
      <c r="K145" s="79" t="s">
        <v>1063</v>
      </c>
      <c r="L145" s="81" t="s">
        <v>186</v>
      </c>
      <c r="M145" s="81"/>
      <c r="N145" s="82">
        <v>43709</v>
      </c>
      <c r="O145" s="82">
        <v>45169</v>
      </c>
      <c r="P145" s="83">
        <f t="shared" si="23"/>
        <v>4</v>
      </c>
      <c r="Q145" s="77" t="s">
        <v>29</v>
      </c>
      <c r="R145" s="77">
        <f t="shared" ca="1" si="24"/>
        <v>-2.8568533788829003</v>
      </c>
      <c r="S145" s="77" t="str">
        <f t="shared" ca="1" si="25"/>
        <v>Y</v>
      </c>
      <c r="T145" s="84">
        <v>1</v>
      </c>
      <c r="U145" s="84">
        <v>2</v>
      </c>
      <c r="V145" s="84">
        <v>3</v>
      </c>
      <c r="W145" s="84">
        <f t="shared" si="26"/>
        <v>6</v>
      </c>
      <c r="X145" s="84" t="str">
        <f t="shared" si="27"/>
        <v>Penting</v>
      </c>
      <c r="Y145" s="78" t="s">
        <v>446</v>
      </c>
      <c r="Z145" s="115" t="s">
        <v>81</v>
      </c>
      <c r="AA145" s="82">
        <f>N145+1000</f>
        <v>44709</v>
      </c>
      <c r="AB145" s="82">
        <f>+N145+1365</f>
        <v>45074</v>
      </c>
      <c r="AC145" s="82">
        <f>N145+1730</f>
        <v>45439</v>
      </c>
      <c r="AD145" s="27"/>
      <c r="AE145" s="85"/>
      <c r="AF145" s="77" t="s">
        <v>1023</v>
      </c>
      <c r="AG145" s="77" t="s">
        <v>81</v>
      </c>
      <c r="AH145" s="21" t="s">
        <v>81</v>
      </c>
      <c r="AI145" s="21" t="s">
        <v>81</v>
      </c>
      <c r="AJ145" s="21" t="s">
        <v>81</v>
      </c>
      <c r="AK145" s="21" t="s">
        <v>81</v>
      </c>
      <c r="AL145" s="21" t="s">
        <v>81</v>
      </c>
      <c r="AM145" s="27"/>
      <c r="AN145" s="86">
        <v>43766</v>
      </c>
      <c r="AO145" s="87"/>
      <c r="AP145" s="4"/>
      <c r="AQ145" s="4"/>
      <c r="AR145" s="4"/>
      <c r="AS145" s="4"/>
      <c r="AT145" s="4"/>
    </row>
    <row r="146" spans="1:46" s="88" customFormat="1" ht="111.95" hidden="1" customHeight="1" x14ac:dyDescent="0.25">
      <c r="A146" s="76">
        <v>79</v>
      </c>
      <c r="B146" s="76" t="s">
        <v>74</v>
      </c>
      <c r="C146" s="76" t="s">
        <v>1158</v>
      </c>
      <c r="D146" s="76">
        <v>6</v>
      </c>
      <c r="E146" s="76" t="s">
        <v>82</v>
      </c>
      <c r="F146" s="78" t="s">
        <v>1056</v>
      </c>
      <c r="G146" s="79" t="s">
        <v>204</v>
      </c>
      <c r="H146" s="79" t="s">
        <v>1057</v>
      </c>
      <c r="I146" s="80" t="s">
        <v>1339</v>
      </c>
      <c r="J146" s="79" t="s">
        <v>1058</v>
      </c>
      <c r="K146" s="79" t="s">
        <v>1059</v>
      </c>
      <c r="L146" s="81" t="s">
        <v>321</v>
      </c>
      <c r="M146" s="81"/>
      <c r="N146" s="82">
        <v>43739</v>
      </c>
      <c r="O146" s="82">
        <v>45199</v>
      </c>
      <c r="P146" s="83">
        <f t="shared" si="23"/>
        <v>4</v>
      </c>
      <c r="Q146" s="77" t="s">
        <v>29</v>
      </c>
      <c r="R146" s="77">
        <f t="shared" ca="1" si="24"/>
        <v>-1.8891114433990293</v>
      </c>
      <c r="S146" s="77" t="str">
        <f t="shared" ca="1" si="25"/>
        <v>Y</v>
      </c>
      <c r="T146" s="84">
        <v>3</v>
      </c>
      <c r="U146" s="84">
        <v>2</v>
      </c>
      <c r="V146" s="84">
        <v>3</v>
      </c>
      <c r="W146" s="84">
        <f t="shared" si="26"/>
        <v>8</v>
      </c>
      <c r="X146" s="84" t="str">
        <f t="shared" si="27"/>
        <v>Penting</v>
      </c>
      <c r="Y146" s="78" t="s">
        <v>446</v>
      </c>
      <c r="Z146" s="115" t="s">
        <v>81</v>
      </c>
      <c r="AA146" s="82">
        <f>N146+1000</f>
        <v>44739</v>
      </c>
      <c r="AB146" s="82">
        <f>+N146+1365</f>
        <v>45104</v>
      </c>
      <c r="AC146" s="82">
        <f>N146+1730</f>
        <v>45469</v>
      </c>
      <c r="AD146" s="27"/>
      <c r="AE146" s="85"/>
      <c r="AF146" s="77" t="s">
        <v>1023</v>
      </c>
      <c r="AG146" s="77" t="s">
        <v>81</v>
      </c>
      <c r="AH146" s="21" t="s">
        <v>81</v>
      </c>
      <c r="AI146" s="21" t="s">
        <v>81</v>
      </c>
      <c r="AJ146" s="21" t="s">
        <v>81</v>
      </c>
      <c r="AK146" s="21" t="s">
        <v>81</v>
      </c>
      <c r="AL146" s="21" t="s">
        <v>81</v>
      </c>
      <c r="AM146" s="27"/>
      <c r="AN146" s="86">
        <v>43773</v>
      </c>
      <c r="AO146" s="87"/>
      <c r="AP146" s="4"/>
      <c r="AQ146" s="4"/>
      <c r="AR146" s="4"/>
      <c r="AS146" s="4"/>
      <c r="AT146" s="4"/>
    </row>
    <row r="147" spans="1:46" s="88" customFormat="1" ht="111.95" hidden="1" customHeight="1" x14ac:dyDescent="0.25">
      <c r="A147" s="76">
        <v>80</v>
      </c>
      <c r="B147" s="76" t="s">
        <v>74</v>
      </c>
      <c r="C147" s="76" t="s">
        <v>1158</v>
      </c>
      <c r="D147" s="76">
        <v>7</v>
      </c>
      <c r="E147" s="76" t="s">
        <v>82</v>
      </c>
      <c r="F147" s="78" t="s">
        <v>1114</v>
      </c>
      <c r="G147" s="79" t="s">
        <v>204</v>
      </c>
      <c r="H147" s="79" t="s">
        <v>1115</v>
      </c>
      <c r="I147" s="80" t="s">
        <v>1339</v>
      </c>
      <c r="J147" s="79" t="s">
        <v>1116</v>
      </c>
      <c r="K147" s="79" t="s">
        <v>1117</v>
      </c>
      <c r="L147" s="81" t="s">
        <v>321</v>
      </c>
      <c r="M147" s="81"/>
      <c r="N147" s="82">
        <v>43739</v>
      </c>
      <c r="O147" s="82">
        <v>45199</v>
      </c>
      <c r="P147" s="83">
        <f t="shared" si="23"/>
        <v>4</v>
      </c>
      <c r="Q147" s="77" t="s">
        <v>29</v>
      </c>
      <c r="R147" s="77">
        <f t="shared" ca="1" si="24"/>
        <v>-1.8891114433990293</v>
      </c>
      <c r="S147" s="77" t="str">
        <f t="shared" ca="1" si="25"/>
        <v>Y</v>
      </c>
      <c r="T147" s="84">
        <v>3</v>
      </c>
      <c r="U147" s="84">
        <v>2</v>
      </c>
      <c r="V147" s="84">
        <v>3</v>
      </c>
      <c r="W147" s="84">
        <f t="shared" si="26"/>
        <v>8</v>
      </c>
      <c r="X147" s="84" t="str">
        <f t="shared" si="27"/>
        <v>Penting</v>
      </c>
      <c r="Y147" s="78" t="s">
        <v>446</v>
      </c>
      <c r="Z147" s="115" t="s">
        <v>81</v>
      </c>
      <c r="AA147" s="82">
        <f>N147+1000</f>
        <v>44739</v>
      </c>
      <c r="AB147" s="82">
        <f>+N147+1365</f>
        <v>45104</v>
      </c>
      <c r="AC147" s="82">
        <f>N147+1730</f>
        <v>45469</v>
      </c>
      <c r="AD147" s="27"/>
      <c r="AE147" s="85"/>
      <c r="AF147" s="77" t="s">
        <v>1023</v>
      </c>
      <c r="AG147" s="77" t="s">
        <v>81</v>
      </c>
      <c r="AH147" s="21" t="s">
        <v>81</v>
      </c>
      <c r="AI147" s="21" t="s">
        <v>81</v>
      </c>
      <c r="AJ147" s="21" t="s">
        <v>81</v>
      </c>
      <c r="AK147" s="21" t="s">
        <v>81</v>
      </c>
      <c r="AL147" s="21" t="s">
        <v>81</v>
      </c>
      <c r="AM147" s="27"/>
      <c r="AN147" s="86">
        <v>43784</v>
      </c>
      <c r="AO147" s="87"/>
      <c r="AP147" s="4"/>
      <c r="AQ147" s="4"/>
      <c r="AR147" s="4"/>
      <c r="AS147" s="4"/>
      <c r="AT147" s="4"/>
    </row>
    <row r="148" spans="1:46" s="88" customFormat="1" ht="111.95" hidden="1" customHeight="1" x14ac:dyDescent="0.25">
      <c r="A148" s="76">
        <v>81</v>
      </c>
      <c r="B148" s="76" t="s">
        <v>74</v>
      </c>
      <c r="C148" s="76" t="s">
        <v>1158</v>
      </c>
      <c r="D148" s="76">
        <v>8</v>
      </c>
      <c r="E148" s="76" t="s">
        <v>82</v>
      </c>
      <c r="F148" s="78" t="s">
        <v>1052</v>
      </c>
      <c r="G148" s="79" t="s">
        <v>204</v>
      </c>
      <c r="H148" s="79" t="s">
        <v>1053</v>
      </c>
      <c r="I148" s="80" t="s">
        <v>1339</v>
      </c>
      <c r="J148" s="79" t="s">
        <v>1054</v>
      </c>
      <c r="K148" s="79" t="s">
        <v>1055</v>
      </c>
      <c r="L148" s="81" t="s">
        <v>186</v>
      </c>
      <c r="M148" s="81"/>
      <c r="N148" s="82">
        <v>43770</v>
      </c>
      <c r="O148" s="82">
        <v>45230</v>
      </c>
      <c r="P148" s="83">
        <f t="shared" si="23"/>
        <v>4</v>
      </c>
      <c r="Q148" s="77" t="s">
        <v>29</v>
      </c>
      <c r="R148" s="77">
        <f t="shared" ca="1" si="24"/>
        <v>-0.88911144339902914</v>
      </c>
      <c r="S148" s="77" t="str">
        <f t="shared" ca="1" si="25"/>
        <v>Y</v>
      </c>
      <c r="T148" s="84">
        <v>1</v>
      </c>
      <c r="U148" s="84">
        <v>1</v>
      </c>
      <c r="V148" s="84">
        <v>3</v>
      </c>
      <c r="W148" s="84">
        <f t="shared" si="26"/>
        <v>5</v>
      </c>
      <c r="X148" s="84" t="str">
        <f t="shared" si="27"/>
        <v>Biasa</v>
      </c>
      <c r="Y148" s="78" t="s">
        <v>446</v>
      </c>
      <c r="Z148" s="115" t="s">
        <v>81</v>
      </c>
      <c r="AA148" s="82">
        <f>N148+635</f>
        <v>44405</v>
      </c>
      <c r="AB148" s="82">
        <f>+N148+1000</f>
        <v>44770</v>
      </c>
      <c r="AC148" s="82">
        <f>N148+1365</f>
        <v>45135</v>
      </c>
      <c r="AD148" s="27"/>
      <c r="AE148" s="85"/>
      <c r="AF148" s="77" t="s">
        <v>1023</v>
      </c>
      <c r="AG148" s="77" t="s">
        <v>81</v>
      </c>
      <c r="AH148" s="21" t="s">
        <v>81</v>
      </c>
      <c r="AI148" s="21" t="s">
        <v>81</v>
      </c>
      <c r="AJ148" s="21" t="s">
        <v>81</v>
      </c>
      <c r="AK148" s="21" t="s">
        <v>81</v>
      </c>
      <c r="AL148" s="21" t="s">
        <v>81</v>
      </c>
      <c r="AM148" s="27"/>
      <c r="AN148" s="86">
        <v>43802</v>
      </c>
      <c r="AO148" s="87"/>
      <c r="AP148" s="4"/>
      <c r="AQ148" s="4"/>
      <c r="AR148" s="4"/>
      <c r="AS148" s="4"/>
      <c r="AT148" s="4"/>
    </row>
    <row r="149" spans="1:46" s="88" customFormat="1" ht="111.95" hidden="1" customHeight="1" x14ac:dyDescent="0.25">
      <c r="A149" s="76">
        <v>82</v>
      </c>
      <c r="B149" s="76" t="s">
        <v>74</v>
      </c>
      <c r="C149" s="76" t="s">
        <v>1158</v>
      </c>
      <c r="D149" s="76">
        <v>9</v>
      </c>
      <c r="E149" s="76" t="s">
        <v>82</v>
      </c>
      <c r="F149" s="78" t="s">
        <v>1038</v>
      </c>
      <c r="G149" s="79" t="s">
        <v>204</v>
      </c>
      <c r="H149" s="79" t="s">
        <v>1039</v>
      </c>
      <c r="I149" s="80" t="s">
        <v>1339</v>
      </c>
      <c r="J149" s="79" t="s">
        <v>1040</v>
      </c>
      <c r="K149" s="79" t="s">
        <v>1041</v>
      </c>
      <c r="L149" s="81" t="s">
        <v>1042</v>
      </c>
      <c r="M149" s="81"/>
      <c r="N149" s="82">
        <v>43800</v>
      </c>
      <c r="O149" s="82">
        <v>45260</v>
      </c>
      <c r="P149" s="83">
        <f t="shared" si="23"/>
        <v>4</v>
      </c>
      <c r="Q149" s="77" t="s">
        <v>29</v>
      </c>
      <c r="R149" s="77">
        <f t="shared" ca="1" si="24"/>
        <v>7.8630492084841769E-2</v>
      </c>
      <c r="S149" s="77" t="str">
        <f t="shared" ca="1" si="25"/>
        <v>O</v>
      </c>
      <c r="T149" s="84">
        <v>1</v>
      </c>
      <c r="U149" s="84">
        <v>2</v>
      </c>
      <c r="V149" s="84">
        <v>2</v>
      </c>
      <c r="W149" s="84">
        <f t="shared" si="26"/>
        <v>5</v>
      </c>
      <c r="X149" s="84" t="str">
        <f t="shared" si="27"/>
        <v>Biasa</v>
      </c>
      <c r="Y149" s="78" t="s">
        <v>1043</v>
      </c>
      <c r="Z149" s="115" t="s">
        <v>81</v>
      </c>
      <c r="AA149" s="82">
        <f>N149+635</f>
        <v>44435</v>
      </c>
      <c r="AB149" s="82">
        <f>+N149+1000</f>
        <v>44800</v>
      </c>
      <c r="AC149" s="82">
        <f>N149+1365</f>
        <v>45165</v>
      </c>
      <c r="AD149" s="27"/>
      <c r="AE149" s="85"/>
      <c r="AF149" s="77" t="s">
        <v>1023</v>
      </c>
      <c r="AG149" s="77" t="s">
        <v>81</v>
      </c>
      <c r="AH149" s="21" t="s">
        <v>81</v>
      </c>
      <c r="AI149" s="21" t="s">
        <v>81</v>
      </c>
      <c r="AJ149" s="21" t="s">
        <v>81</v>
      </c>
      <c r="AK149" s="21" t="s">
        <v>81</v>
      </c>
      <c r="AL149" s="21" t="s">
        <v>81</v>
      </c>
      <c r="AM149" s="27"/>
      <c r="AN149" s="86">
        <v>43851</v>
      </c>
      <c r="AO149" s="87"/>
      <c r="AP149" s="4"/>
      <c r="AQ149" s="4"/>
      <c r="AR149" s="4"/>
      <c r="AS149" s="4"/>
      <c r="AT149" s="4"/>
    </row>
    <row r="150" spans="1:46" s="88" customFormat="1" ht="111.95" hidden="1" customHeight="1" x14ac:dyDescent="0.25">
      <c r="A150" s="76">
        <v>83</v>
      </c>
      <c r="B150" s="76" t="s">
        <v>74</v>
      </c>
      <c r="C150" s="76" t="s">
        <v>1158</v>
      </c>
      <c r="D150" s="76">
        <v>10</v>
      </c>
      <c r="E150" s="76" t="s">
        <v>82</v>
      </c>
      <c r="F150" s="78" t="s">
        <v>1106</v>
      </c>
      <c r="G150" s="79" t="s">
        <v>204</v>
      </c>
      <c r="H150" s="79" t="s">
        <v>1107</v>
      </c>
      <c r="I150" s="80" t="s">
        <v>1339</v>
      </c>
      <c r="J150" s="79" t="s">
        <v>1108</v>
      </c>
      <c r="K150" s="79" t="s">
        <v>1109</v>
      </c>
      <c r="L150" s="81" t="s">
        <v>186</v>
      </c>
      <c r="M150" s="81"/>
      <c r="N150" s="82">
        <v>43739</v>
      </c>
      <c r="O150" s="82">
        <v>45199</v>
      </c>
      <c r="P150" s="83">
        <f t="shared" si="23"/>
        <v>4</v>
      </c>
      <c r="Q150" s="77" t="s">
        <v>29</v>
      </c>
      <c r="R150" s="77">
        <f t="shared" ca="1" si="24"/>
        <v>-1.8891114433990293</v>
      </c>
      <c r="S150" s="77" t="str">
        <f t="shared" ca="1" si="25"/>
        <v>Y</v>
      </c>
      <c r="T150" s="84">
        <v>1</v>
      </c>
      <c r="U150" s="84">
        <v>2</v>
      </c>
      <c r="V150" s="84">
        <v>2</v>
      </c>
      <c r="W150" s="84">
        <f t="shared" si="26"/>
        <v>5</v>
      </c>
      <c r="X150" s="84" t="str">
        <f t="shared" si="27"/>
        <v>Biasa</v>
      </c>
      <c r="Y150" s="78" t="s">
        <v>446</v>
      </c>
      <c r="Z150" s="115" t="s">
        <v>81</v>
      </c>
      <c r="AA150" s="82">
        <f>N150+1000</f>
        <v>44739</v>
      </c>
      <c r="AB150" s="82">
        <f>+N150+1365</f>
        <v>45104</v>
      </c>
      <c r="AC150" s="82">
        <f>N150+1730</f>
        <v>45469</v>
      </c>
      <c r="AD150" s="27"/>
      <c r="AE150" s="85"/>
      <c r="AF150" s="77" t="s">
        <v>1023</v>
      </c>
      <c r="AG150" s="77" t="s">
        <v>81</v>
      </c>
      <c r="AH150" s="21" t="s">
        <v>81</v>
      </c>
      <c r="AI150" s="21" t="s">
        <v>81</v>
      </c>
      <c r="AJ150" s="21" t="s">
        <v>81</v>
      </c>
      <c r="AK150" s="21" t="s">
        <v>81</v>
      </c>
      <c r="AL150" s="21" t="s">
        <v>81</v>
      </c>
      <c r="AM150" s="27"/>
      <c r="AN150" s="86">
        <v>43852</v>
      </c>
      <c r="AO150" s="87"/>
      <c r="AP150" s="4"/>
      <c r="AQ150" s="4"/>
      <c r="AR150" s="4"/>
      <c r="AS150" s="4"/>
      <c r="AT150" s="4"/>
    </row>
    <row r="151" spans="1:46" s="88" customFormat="1" ht="111.95" hidden="1" customHeight="1" x14ac:dyDescent="0.25">
      <c r="A151" s="76">
        <v>84</v>
      </c>
      <c r="B151" s="76" t="s">
        <v>74</v>
      </c>
      <c r="C151" s="76" t="s">
        <v>1159</v>
      </c>
      <c r="D151" s="76">
        <v>1</v>
      </c>
      <c r="E151" s="76" t="s">
        <v>82</v>
      </c>
      <c r="F151" s="78" t="s">
        <v>1090</v>
      </c>
      <c r="G151" s="79" t="s">
        <v>204</v>
      </c>
      <c r="H151" s="79" t="s">
        <v>483</v>
      </c>
      <c r="I151" s="80" t="s">
        <v>1339</v>
      </c>
      <c r="J151" s="79" t="s">
        <v>1091</v>
      </c>
      <c r="K151" s="79" t="s">
        <v>1092</v>
      </c>
      <c r="L151" s="81" t="s">
        <v>321</v>
      </c>
      <c r="M151" s="81"/>
      <c r="N151" s="82">
        <v>43710</v>
      </c>
      <c r="O151" s="82">
        <v>45170</v>
      </c>
      <c r="P151" s="83">
        <f t="shared" si="23"/>
        <v>4</v>
      </c>
      <c r="Q151" s="77" t="s">
        <v>29</v>
      </c>
      <c r="R151" s="77">
        <f t="shared" ca="1" si="24"/>
        <v>-2.8245953143667712</v>
      </c>
      <c r="S151" s="77" t="str">
        <f t="shared" ca="1" si="25"/>
        <v>Y</v>
      </c>
      <c r="T151" s="84">
        <v>1</v>
      </c>
      <c r="U151" s="84">
        <v>1</v>
      </c>
      <c r="V151" s="84">
        <v>2</v>
      </c>
      <c r="W151" s="84">
        <f t="shared" si="26"/>
        <v>4</v>
      </c>
      <c r="X151" s="84" t="str">
        <f t="shared" si="27"/>
        <v>Biasa</v>
      </c>
      <c r="Y151" s="78" t="s">
        <v>446</v>
      </c>
      <c r="Z151" s="115" t="s">
        <v>81</v>
      </c>
      <c r="AA151" s="82">
        <f>N151+1000</f>
        <v>44710</v>
      </c>
      <c r="AB151" s="82">
        <f>+N151+1365</f>
        <v>45075</v>
      </c>
      <c r="AC151" s="82">
        <f>N151+1730</f>
        <v>45440</v>
      </c>
      <c r="AD151" s="27"/>
      <c r="AE151" s="85"/>
      <c r="AF151" s="77" t="s">
        <v>1023</v>
      </c>
      <c r="AG151" s="77" t="s">
        <v>81</v>
      </c>
      <c r="AH151" s="21" t="s">
        <v>81</v>
      </c>
      <c r="AI151" s="21" t="s">
        <v>81</v>
      </c>
      <c r="AJ151" s="21" t="s">
        <v>81</v>
      </c>
      <c r="AK151" s="21" t="s">
        <v>81</v>
      </c>
      <c r="AL151" s="21" t="s">
        <v>81</v>
      </c>
      <c r="AM151" s="27"/>
      <c r="AN151" s="86"/>
      <c r="AO151" s="87"/>
      <c r="AP151" s="4"/>
      <c r="AQ151" s="4"/>
      <c r="AR151" s="4"/>
      <c r="AS151" s="4"/>
      <c r="AT151" s="4"/>
    </row>
    <row r="152" spans="1:46" s="88" customFormat="1" ht="111.95" hidden="1" customHeight="1" x14ac:dyDescent="0.25">
      <c r="A152" s="76">
        <v>85</v>
      </c>
      <c r="B152" s="76" t="s">
        <v>74</v>
      </c>
      <c r="C152" s="76" t="s">
        <v>1159</v>
      </c>
      <c r="D152" s="76">
        <v>2</v>
      </c>
      <c r="E152" s="76" t="s">
        <v>82</v>
      </c>
      <c r="F152" s="78" t="s">
        <v>1034</v>
      </c>
      <c r="G152" s="79" t="s">
        <v>204</v>
      </c>
      <c r="H152" s="79" t="s">
        <v>1035</v>
      </c>
      <c r="I152" s="80" t="s">
        <v>1339</v>
      </c>
      <c r="J152" s="79" t="s">
        <v>1036</v>
      </c>
      <c r="K152" s="79" t="s">
        <v>1037</v>
      </c>
      <c r="L152" s="81" t="s">
        <v>186</v>
      </c>
      <c r="M152" s="81"/>
      <c r="N152" s="82">
        <v>43739</v>
      </c>
      <c r="O152" s="82">
        <v>45199</v>
      </c>
      <c r="P152" s="83">
        <f t="shared" si="23"/>
        <v>4</v>
      </c>
      <c r="Q152" s="77" t="s">
        <v>29</v>
      </c>
      <c r="R152" s="77">
        <f t="shared" ca="1" si="24"/>
        <v>-1.8891114433990293</v>
      </c>
      <c r="S152" s="77" t="str">
        <f t="shared" ca="1" si="25"/>
        <v>Y</v>
      </c>
      <c r="T152" s="84">
        <v>2</v>
      </c>
      <c r="U152" s="84">
        <v>2</v>
      </c>
      <c r="V152" s="84">
        <v>2</v>
      </c>
      <c r="W152" s="84">
        <f t="shared" si="26"/>
        <v>6</v>
      </c>
      <c r="X152" s="84" t="str">
        <f t="shared" si="27"/>
        <v>Penting</v>
      </c>
      <c r="Y152" s="78" t="s">
        <v>446</v>
      </c>
      <c r="Z152" s="115" t="s">
        <v>81</v>
      </c>
      <c r="AA152" s="82">
        <f>N152+1000</f>
        <v>44739</v>
      </c>
      <c r="AB152" s="82">
        <f>+N152+1365</f>
        <v>45104</v>
      </c>
      <c r="AC152" s="82">
        <f>N152+1730</f>
        <v>45469</v>
      </c>
      <c r="AD152" s="27"/>
      <c r="AE152" s="85"/>
      <c r="AF152" s="77" t="s">
        <v>1023</v>
      </c>
      <c r="AG152" s="77" t="s">
        <v>81</v>
      </c>
      <c r="AH152" s="21" t="s">
        <v>81</v>
      </c>
      <c r="AI152" s="21" t="s">
        <v>81</v>
      </c>
      <c r="AJ152" s="21" t="s">
        <v>81</v>
      </c>
      <c r="AK152" s="21" t="s">
        <v>81</v>
      </c>
      <c r="AL152" s="21" t="s">
        <v>81</v>
      </c>
      <c r="AM152" s="27"/>
      <c r="AN152" s="86">
        <v>43858</v>
      </c>
      <c r="AO152" s="87"/>
      <c r="AP152" s="4"/>
      <c r="AQ152" s="4"/>
      <c r="AR152" s="4"/>
      <c r="AS152" s="4"/>
      <c r="AT152" s="4"/>
    </row>
    <row r="153" spans="1:46" s="88" customFormat="1" ht="111.95" hidden="1" customHeight="1" x14ac:dyDescent="0.25">
      <c r="A153" s="76">
        <v>86</v>
      </c>
      <c r="B153" s="76" t="s">
        <v>74</v>
      </c>
      <c r="C153" s="76" t="s">
        <v>1159</v>
      </c>
      <c r="D153" s="76">
        <v>3</v>
      </c>
      <c r="E153" s="76" t="s">
        <v>82</v>
      </c>
      <c r="F153" s="78" t="s">
        <v>1073</v>
      </c>
      <c r="G153" s="79" t="s">
        <v>204</v>
      </c>
      <c r="H153" s="79" t="s">
        <v>1074</v>
      </c>
      <c r="I153" s="80" t="s">
        <v>1339</v>
      </c>
      <c r="J153" s="79" t="s">
        <v>1075</v>
      </c>
      <c r="K153" s="79" t="s">
        <v>1076</v>
      </c>
      <c r="L153" s="81" t="s">
        <v>321</v>
      </c>
      <c r="M153" s="81"/>
      <c r="N153" s="82">
        <v>43739</v>
      </c>
      <c r="O153" s="82">
        <v>45199</v>
      </c>
      <c r="P153" s="83">
        <f t="shared" si="23"/>
        <v>4</v>
      </c>
      <c r="Q153" s="77" t="s">
        <v>29</v>
      </c>
      <c r="R153" s="77">
        <f t="shared" ca="1" si="24"/>
        <v>-1.8891114433990293</v>
      </c>
      <c r="S153" s="77" t="str">
        <f t="shared" ca="1" si="25"/>
        <v>Y</v>
      </c>
      <c r="T153" s="84">
        <v>2</v>
      </c>
      <c r="U153" s="84">
        <v>2</v>
      </c>
      <c r="V153" s="84">
        <v>2</v>
      </c>
      <c r="W153" s="84">
        <f t="shared" si="26"/>
        <v>6</v>
      </c>
      <c r="X153" s="84" t="str">
        <f t="shared" si="27"/>
        <v>Penting</v>
      </c>
      <c r="Y153" s="78" t="s">
        <v>446</v>
      </c>
      <c r="Z153" s="115" t="s">
        <v>81</v>
      </c>
      <c r="AA153" s="82">
        <f>N153+1000</f>
        <v>44739</v>
      </c>
      <c r="AB153" s="82">
        <f>+N153+1365</f>
        <v>45104</v>
      </c>
      <c r="AC153" s="82">
        <f>N153+1730</f>
        <v>45469</v>
      </c>
      <c r="AD153" s="27"/>
      <c r="AE153" s="85"/>
      <c r="AF153" s="77" t="s">
        <v>1023</v>
      </c>
      <c r="AG153" s="77" t="s">
        <v>81</v>
      </c>
      <c r="AH153" s="21" t="s">
        <v>81</v>
      </c>
      <c r="AI153" s="21" t="s">
        <v>81</v>
      </c>
      <c r="AJ153" s="21" t="s">
        <v>81</v>
      </c>
      <c r="AK153" s="21" t="s">
        <v>81</v>
      </c>
      <c r="AL153" s="21" t="s">
        <v>81</v>
      </c>
      <c r="AM153" s="27"/>
      <c r="AN153" s="86">
        <v>43861</v>
      </c>
      <c r="AO153" s="87"/>
      <c r="AP153" s="4"/>
      <c r="AQ153" s="4"/>
      <c r="AR153" s="4"/>
      <c r="AS153" s="4"/>
      <c r="AT153" s="4"/>
    </row>
    <row r="154" spans="1:46" s="88" customFormat="1" ht="111.95" hidden="1" customHeight="1" x14ac:dyDescent="0.25">
      <c r="A154" s="76">
        <v>87</v>
      </c>
      <c r="B154" s="76" t="s">
        <v>74</v>
      </c>
      <c r="C154" s="76" t="s">
        <v>1159</v>
      </c>
      <c r="D154" s="76">
        <v>4</v>
      </c>
      <c r="E154" s="76" t="s">
        <v>82</v>
      </c>
      <c r="F154" s="78" t="s">
        <v>1064</v>
      </c>
      <c r="G154" s="79" t="s">
        <v>204</v>
      </c>
      <c r="H154" s="79" t="s">
        <v>1065</v>
      </c>
      <c r="I154" s="80" t="s">
        <v>1339</v>
      </c>
      <c r="J154" s="79" t="s">
        <v>1066</v>
      </c>
      <c r="K154" s="79" t="s">
        <v>1067</v>
      </c>
      <c r="L154" s="81" t="s">
        <v>321</v>
      </c>
      <c r="M154" s="81"/>
      <c r="N154" s="82">
        <v>43770</v>
      </c>
      <c r="O154" s="82">
        <v>45230</v>
      </c>
      <c r="P154" s="83">
        <f t="shared" si="23"/>
        <v>4</v>
      </c>
      <c r="Q154" s="77" t="s">
        <v>29</v>
      </c>
      <c r="R154" s="77">
        <f t="shared" ca="1" si="24"/>
        <v>-0.88911144339902914</v>
      </c>
      <c r="S154" s="77" t="str">
        <f t="shared" ca="1" si="25"/>
        <v>Y</v>
      </c>
      <c r="T154" s="84">
        <v>1</v>
      </c>
      <c r="U154" s="84">
        <v>2</v>
      </c>
      <c r="V154" s="84">
        <v>2</v>
      </c>
      <c r="W154" s="84">
        <f t="shared" si="26"/>
        <v>5</v>
      </c>
      <c r="X154" s="84" t="str">
        <f t="shared" si="27"/>
        <v>Biasa</v>
      </c>
      <c r="Y154" s="78" t="s">
        <v>446</v>
      </c>
      <c r="Z154" s="115" t="s">
        <v>81</v>
      </c>
      <c r="AA154" s="82">
        <f>N154+635</f>
        <v>44405</v>
      </c>
      <c r="AB154" s="82">
        <f>+N154+1000</f>
        <v>44770</v>
      </c>
      <c r="AC154" s="82">
        <f>N154+1365</f>
        <v>45135</v>
      </c>
      <c r="AD154" s="27"/>
      <c r="AE154" s="85"/>
      <c r="AF154" s="77" t="s">
        <v>1023</v>
      </c>
      <c r="AG154" s="77" t="s">
        <v>81</v>
      </c>
      <c r="AH154" s="21" t="s">
        <v>81</v>
      </c>
      <c r="AI154" s="21" t="s">
        <v>81</v>
      </c>
      <c r="AJ154" s="21" t="s">
        <v>81</v>
      </c>
      <c r="AK154" s="21" t="s">
        <v>81</v>
      </c>
      <c r="AL154" s="21" t="s">
        <v>81</v>
      </c>
      <c r="AM154" s="27"/>
      <c r="AN154" s="86">
        <v>43861</v>
      </c>
      <c r="AO154" s="87"/>
      <c r="AP154" s="4"/>
      <c r="AQ154" s="4"/>
      <c r="AR154" s="4"/>
      <c r="AS154" s="4"/>
      <c r="AT154" s="4"/>
    </row>
    <row r="155" spans="1:46" s="88" customFormat="1" ht="111.95" hidden="1" customHeight="1" x14ac:dyDescent="0.25">
      <c r="A155" s="76">
        <v>88</v>
      </c>
      <c r="B155" s="76" t="s">
        <v>74</v>
      </c>
      <c r="C155" s="76" t="s">
        <v>1159</v>
      </c>
      <c r="D155" s="76">
        <v>5</v>
      </c>
      <c r="E155" s="76" t="s">
        <v>82</v>
      </c>
      <c r="F155" s="78" t="s">
        <v>1110</v>
      </c>
      <c r="G155" s="79" t="s">
        <v>204</v>
      </c>
      <c r="H155" s="79" t="s">
        <v>1111</v>
      </c>
      <c r="I155" s="80" t="s">
        <v>1339</v>
      </c>
      <c r="J155" s="79" t="s">
        <v>1112</v>
      </c>
      <c r="K155" s="79" t="s">
        <v>1113</v>
      </c>
      <c r="L155" s="81" t="s">
        <v>186</v>
      </c>
      <c r="M155" s="81"/>
      <c r="N155" s="82">
        <v>43846</v>
      </c>
      <c r="O155" s="82">
        <v>45306</v>
      </c>
      <c r="P155" s="83">
        <f t="shared" si="23"/>
        <v>4</v>
      </c>
      <c r="Q155" s="77" t="s">
        <v>29</v>
      </c>
      <c r="R155" s="77">
        <f t="shared" ca="1" si="24"/>
        <v>1.5625014598267772</v>
      </c>
      <c r="S155" s="77" t="str">
        <f t="shared" ca="1" si="25"/>
        <v>O</v>
      </c>
      <c r="T155" s="84">
        <v>2</v>
      </c>
      <c r="U155" s="84">
        <v>2</v>
      </c>
      <c r="V155" s="84">
        <v>2</v>
      </c>
      <c r="W155" s="84">
        <f t="shared" si="26"/>
        <v>6</v>
      </c>
      <c r="X155" s="84" t="str">
        <f t="shared" si="27"/>
        <v>Penting</v>
      </c>
      <c r="Y155" s="78" t="s">
        <v>446</v>
      </c>
      <c r="Z155" s="115" t="s">
        <v>81</v>
      </c>
      <c r="AA155" s="82">
        <f>N155+635</f>
        <v>44481</v>
      </c>
      <c r="AB155" s="82">
        <f>+N155+1000</f>
        <v>44846</v>
      </c>
      <c r="AC155" s="82">
        <f>N155+1365</f>
        <v>45211</v>
      </c>
      <c r="AD155" s="27"/>
      <c r="AE155" s="85"/>
      <c r="AF155" s="77" t="s">
        <v>1023</v>
      </c>
      <c r="AG155" s="77" t="s">
        <v>81</v>
      </c>
      <c r="AH155" s="21" t="s">
        <v>81</v>
      </c>
      <c r="AI155" s="21" t="s">
        <v>81</v>
      </c>
      <c r="AJ155" s="21" t="s">
        <v>81</v>
      </c>
      <c r="AK155" s="21" t="s">
        <v>81</v>
      </c>
      <c r="AL155" s="21" t="s">
        <v>81</v>
      </c>
      <c r="AM155" s="27"/>
      <c r="AN155" s="86">
        <v>43910</v>
      </c>
      <c r="AO155" s="87"/>
      <c r="AP155" s="4"/>
      <c r="AQ155" s="4"/>
      <c r="AR155" s="4"/>
      <c r="AS155" s="4"/>
      <c r="AT155" s="4"/>
    </row>
    <row r="156" spans="1:46" s="88" customFormat="1" ht="111.95" hidden="1" customHeight="1" x14ac:dyDescent="0.25">
      <c r="A156" s="76">
        <v>89</v>
      </c>
      <c r="B156" s="76" t="s">
        <v>74</v>
      </c>
      <c r="C156" s="76" t="s">
        <v>1159</v>
      </c>
      <c r="D156" s="76">
        <v>6</v>
      </c>
      <c r="E156" s="76" t="s">
        <v>82</v>
      </c>
      <c r="F156" s="78" t="s">
        <v>1098</v>
      </c>
      <c r="G156" s="79" t="s">
        <v>204</v>
      </c>
      <c r="H156" s="79" t="s">
        <v>1099</v>
      </c>
      <c r="I156" s="80" t="s">
        <v>1339</v>
      </c>
      <c r="J156" s="79" t="s">
        <v>1100</v>
      </c>
      <c r="K156" s="79" t="s">
        <v>1101</v>
      </c>
      <c r="L156" s="81" t="s">
        <v>321</v>
      </c>
      <c r="M156" s="81"/>
      <c r="N156" s="82">
        <v>43832</v>
      </c>
      <c r="O156" s="82">
        <v>45293</v>
      </c>
      <c r="P156" s="83">
        <f t="shared" si="23"/>
        <v>4.0027397260273974</v>
      </c>
      <c r="Q156" s="77" t="s">
        <v>29</v>
      </c>
      <c r="R156" s="77">
        <f t="shared" ca="1" si="24"/>
        <v>1.1431466211170997</v>
      </c>
      <c r="S156" s="77" t="str">
        <f t="shared" ca="1" si="25"/>
        <v>O</v>
      </c>
      <c r="T156" s="84">
        <v>1</v>
      </c>
      <c r="U156" s="84">
        <v>1</v>
      </c>
      <c r="V156" s="84">
        <v>3</v>
      </c>
      <c r="W156" s="84">
        <f t="shared" si="26"/>
        <v>5</v>
      </c>
      <c r="X156" s="84" t="str">
        <f t="shared" si="27"/>
        <v>Biasa</v>
      </c>
      <c r="Y156" s="78" t="s">
        <v>446</v>
      </c>
      <c r="Z156" s="115" t="s">
        <v>81</v>
      </c>
      <c r="AA156" s="82">
        <f>N156+635</f>
        <v>44467</v>
      </c>
      <c r="AB156" s="82">
        <f>+N156+1000</f>
        <v>44832</v>
      </c>
      <c r="AC156" s="82">
        <f>N156+1365</f>
        <v>45197</v>
      </c>
      <c r="AD156" s="27"/>
      <c r="AE156" s="85"/>
      <c r="AF156" s="77" t="s">
        <v>1023</v>
      </c>
      <c r="AG156" s="77" t="s">
        <v>81</v>
      </c>
      <c r="AH156" s="21" t="s">
        <v>81</v>
      </c>
      <c r="AI156" s="21" t="s">
        <v>81</v>
      </c>
      <c r="AJ156" s="21" t="s">
        <v>81</v>
      </c>
      <c r="AK156" s="21" t="s">
        <v>81</v>
      </c>
      <c r="AL156" s="21" t="s">
        <v>81</v>
      </c>
      <c r="AM156" s="27"/>
      <c r="AN156" s="86">
        <v>43874</v>
      </c>
      <c r="AO156" s="87"/>
      <c r="AP156" s="4"/>
      <c r="AQ156" s="4"/>
      <c r="AR156" s="4"/>
      <c r="AS156" s="4"/>
      <c r="AT156" s="4"/>
    </row>
    <row r="157" spans="1:46" s="88" customFormat="1" ht="111.95" hidden="1" customHeight="1" x14ac:dyDescent="0.25">
      <c r="A157" s="76">
        <v>90</v>
      </c>
      <c r="B157" s="76" t="s">
        <v>74</v>
      </c>
      <c r="C157" s="76" t="s">
        <v>1159</v>
      </c>
      <c r="D157" s="76">
        <v>7</v>
      </c>
      <c r="E157" s="76" t="s">
        <v>82</v>
      </c>
      <c r="F157" s="78" t="s">
        <v>1102</v>
      </c>
      <c r="G157" s="79" t="s">
        <v>204</v>
      </c>
      <c r="H157" s="79" t="s">
        <v>1103</v>
      </c>
      <c r="I157" s="80" t="s">
        <v>1339</v>
      </c>
      <c r="J157" s="79" t="s">
        <v>1104</v>
      </c>
      <c r="K157" s="79" t="s">
        <v>1105</v>
      </c>
      <c r="L157" s="81" t="s">
        <v>321</v>
      </c>
      <c r="M157" s="81"/>
      <c r="N157" s="82">
        <v>43832</v>
      </c>
      <c r="O157" s="82">
        <v>45293</v>
      </c>
      <c r="P157" s="83">
        <f t="shared" si="23"/>
        <v>4.0027397260273974</v>
      </c>
      <c r="Q157" s="77" t="s">
        <v>29</v>
      </c>
      <c r="R157" s="77">
        <f t="shared" ca="1" si="24"/>
        <v>1.1431466211170997</v>
      </c>
      <c r="S157" s="77" t="str">
        <f t="shared" ca="1" si="25"/>
        <v>O</v>
      </c>
      <c r="T157" s="84">
        <v>1</v>
      </c>
      <c r="U157" s="84">
        <v>2</v>
      </c>
      <c r="V157" s="84">
        <v>2</v>
      </c>
      <c r="W157" s="84">
        <f t="shared" si="26"/>
        <v>5</v>
      </c>
      <c r="X157" s="84" t="str">
        <f t="shared" si="27"/>
        <v>Biasa</v>
      </c>
      <c r="Y157" s="78" t="s">
        <v>446</v>
      </c>
      <c r="Z157" s="115" t="s">
        <v>81</v>
      </c>
      <c r="AA157" s="82">
        <f>N157+635</f>
        <v>44467</v>
      </c>
      <c r="AB157" s="82">
        <f>+N157+1000</f>
        <v>44832</v>
      </c>
      <c r="AC157" s="82">
        <f>N157+1365</f>
        <v>45197</v>
      </c>
      <c r="AD157" s="27"/>
      <c r="AE157" s="85"/>
      <c r="AF157" s="77" t="s">
        <v>1023</v>
      </c>
      <c r="AG157" s="77" t="s">
        <v>81</v>
      </c>
      <c r="AH157" s="21" t="s">
        <v>81</v>
      </c>
      <c r="AI157" s="21" t="s">
        <v>81</v>
      </c>
      <c r="AJ157" s="21" t="s">
        <v>81</v>
      </c>
      <c r="AK157" s="21" t="s">
        <v>81</v>
      </c>
      <c r="AL157" s="21" t="s">
        <v>81</v>
      </c>
      <c r="AM157" s="27"/>
      <c r="AN157" s="86">
        <v>43895</v>
      </c>
      <c r="AO157" s="87"/>
      <c r="AP157" s="4"/>
      <c r="AQ157" s="4"/>
      <c r="AR157" s="4"/>
      <c r="AS157" s="4"/>
      <c r="AT157" s="4"/>
    </row>
    <row r="158" spans="1:46" s="88" customFormat="1" ht="111.75" hidden="1" customHeight="1" x14ac:dyDescent="0.25">
      <c r="A158" s="76">
        <v>91</v>
      </c>
      <c r="B158" s="76" t="s">
        <v>74</v>
      </c>
      <c r="C158" s="76" t="s">
        <v>1159</v>
      </c>
      <c r="D158" s="76">
        <v>8</v>
      </c>
      <c r="E158" s="76" t="s">
        <v>82</v>
      </c>
      <c r="F158" s="78" t="s">
        <v>1093</v>
      </c>
      <c r="G158" s="79" t="s">
        <v>204</v>
      </c>
      <c r="H158" s="79" t="s">
        <v>1094</v>
      </c>
      <c r="I158" s="80" t="s">
        <v>1339</v>
      </c>
      <c r="J158" s="79" t="s">
        <v>1095</v>
      </c>
      <c r="K158" s="79" t="s">
        <v>1096</v>
      </c>
      <c r="L158" s="81" t="s">
        <v>1097</v>
      </c>
      <c r="M158" s="81"/>
      <c r="N158" s="82">
        <v>43864</v>
      </c>
      <c r="O158" s="82">
        <v>45324</v>
      </c>
      <c r="P158" s="83">
        <f t="shared" si="23"/>
        <v>4</v>
      </c>
      <c r="Q158" s="77" t="s">
        <v>29</v>
      </c>
      <c r="R158" s="77">
        <f t="shared" ca="1" si="24"/>
        <v>2.1431466211170997</v>
      </c>
      <c r="S158" s="77" t="str">
        <f t="shared" ca="1" si="25"/>
        <v>O</v>
      </c>
      <c r="T158" s="84">
        <v>2</v>
      </c>
      <c r="U158" s="84">
        <v>2</v>
      </c>
      <c r="V158" s="84">
        <v>2</v>
      </c>
      <c r="W158" s="84">
        <f t="shared" si="26"/>
        <v>6</v>
      </c>
      <c r="X158" s="84" t="str">
        <f t="shared" si="27"/>
        <v>Penting</v>
      </c>
      <c r="Y158" s="78" t="s">
        <v>446</v>
      </c>
      <c r="Z158" s="115" t="s">
        <v>81</v>
      </c>
      <c r="AA158" s="82">
        <f>N158+635</f>
        <v>44499</v>
      </c>
      <c r="AB158" s="82">
        <f>+N158+1000</f>
        <v>44864</v>
      </c>
      <c r="AC158" s="82">
        <f>N158+1365</f>
        <v>45229</v>
      </c>
      <c r="AD158" s="27"/>
      <c r="AE158" s="85"/>
      <c r="AF158" s="77" t="s">
        <v>1023</v>
      </c>
      <c r="AG158" s="77" t="s">
        <v>81</v>
      </c>
      <c r="AH158" s="21" t="s">
        <v>81</v>
      </c>
      <c r="AI158" s="21" t="s">
        <v>81</v>
      </c>
      <c r="AJ158" s="21" t="s">
        <v>81</v>
      </c>
      <c r="AK158" s="21" t="s">
        <v>81</v>
      </c>
      <c r="AL158" s="21" t="s">
        <v>81</v>
      </c>
      <c r="AM158" s="27"/>
      <c r="AN158" s="86">
        <v>43949</v>
      </c>
      <c r="AO158" s="87"/>
      <c r="AP158" s="4"/>
      <c r="AQ158" s="4"/>
      <c r="AR158" s="4"/>
      <c r="AS158" s="4"/>
      <c r="AT158" s="4"/>
    </row>
    <row r="159" spans="1:46" s="88" customFormat="1" ht="111.95" hidden="1" customHeight="1" x14ac:dyDescent="0.25">
      <c r="A159" s="76">
        <v>92</v>
      </c>
      <c r="B159" s="76" t="s">
        <v>74</v>
      </c>
      <c r="C159" s="76" t="s">
        <v>1159</v>
      </c>
      <c r="D159" s="76">
        <v>9</v>
      </c>
      <c r="E159" s="76" t="s">
        <v>82</v>
      </c>
      <c r="F159" s="78" t="s">
        <v>1367</v>
      </c>
      <c r="G159" s="79" t="s">
        <v>204</v>
      </c>
      <c r="H159" s="79" t="s">
        <v>1084</v>
      </c>
      <c r="I159" s="80" t="s">
        <v>1339</v>
      </c>
      <c r="J159" s="79" t="s">
        <v>1085</v>
      </c>
      <c r="K159" s="79" t="s">
        <v>1086</v>
      </c>
      <c r="L159" s="81" t="s">
        <v>321</v>
      </c>
      <c r="M159" s="81"/>
      <c r="N159" s="82">
        <v>44986</v>
      </c>
      <c r="O159" s="82">
        <v>45351</v>
      </c>
      <c r="P159" s="83">
        <f t="shared" si="23"/>
        <v>1</v>
      </c>
      <c r="Q159" s="77" t="s">
        <v>29</v>
      </c>
      <c r="R159" s="77">
        <f t="shared" ca="1" si="24"/>
        <v>3.0141143630525837</v>
      </c>
      <c r="S159" s="77" t="str">
        <f t="shared" ca="1" si="25"/>
        <v>O</v>
      </c>
      <c r="T159" s="84">
        <v>1</v>
      </c>
      <c r="U159" s="84">
        <v>1</v>
      </c>
      <c r="V159" s="84">
        <v>2</v>
      </c>
      <c r="W159" s="84">
        <f t="shared" si="26"/>
        <v>4</v>
      </c>
      <c r="X159" s="84" t="str">
        <f t="shared" si="27"/>
        <v>Biasa</v>
      </c>
      <c r="Y159" s="78"/>
      <c r="Z159" s="115"/>
      <c r="AA159" s="82"/>
      <c r="AB159" s="82"/>
      <c r="AC159" s="82"/>
      <c r="AD159" s="27"/>
      <c r="AE159" s="85"/>
      <c r="AF159" s="77" t="s">
        <v>1023</v>
      </c>
      <c r="AG159" s="77" t="s">
        <v>81</v>
      </c>
      <c r="AH159" s="21" t="s">
        <v>81</v>
      </c>
      <c r="AI159" s="21" t="s">
        <v>81</v>
      </c>
      <c r="AJ159" s="21" t="s">
        <v>81</v>
      </c>
      <c r="AK159" s="21" t="s">
        <v>81</v>
      </c>
      <c r="AL159" s="21" t="s">
        <v>81</v>
      </c>
      <c r="AM159" s="27" t="s">
        <v>100</v>
      </c>
      <c r="AN159" s="86">
        <v>45034</v>
      </c>
      <c r="AO159" s="87"/>
      <c r="AP159" s="4"/>
      <c r="AQ159" s="4"/>
      <c r="AR159" s="4"/>
      <c r="AS159" s="4"/>
      <c r="AT159" s="4"/>
    </row>
    <row r="160" spans="1:46" s="88" customFormat="1" ht="111.95" hidden="1" customHeight="1" x14ac:dyDescent="0.25">
      <c r="A160" s="76">
        <v>93</v>
      </c>
      <c r="B160" s="76" t="s">
        <v>74</v>
      </c>
      <c r="C160" s="76" t="s">
        <v>1159</v>
      </c>
      <c r="D160" s="76">
        <v>10</v>
      </c>
      <c r="E160" s="76" t="s">
        <v>82</v>
      </c>
      <c r="F160" s="78" t="s">
        <v>1030</v>
      </c>
      <c r="G160" s="79" t="s">
        <v>204</v>
      </c>
      <c r="H160" s="79" t="s">
        <v>1031</v>
      </c>
      <c r="I160" s="80" t="s">
        <v>1339</v>
      </c>
      <c r="J160" s="79" t="s">
        <v>1032</v>
      </c>
      <c r="K160" s="79" t="s">
        <v>1033</v>
      </c>
      <c r="L160" s="81" t="s">
        <v>321</v>
      </c>
      <c r="M160" s="81"/>
      <c r="N160" s="82">
        <v>43922</v>
      </c>
      <c r="O160" s="82">
        <v>45382</v>
      </c>
      <c r="P160" s="83">
        <f t="shared" si="23"/>
        <v>4</v>
      </c>
      <c r="Q160" s="77" t="s">
        <v>29</v>
      </c>
      <c r="R160" s="77">
        <f t="shared" ca="1" si="24"/>
        <v>4.0141143630525837</v>
      </c>
      <c r="S160" s="77" t="str">
        <f t="shared" ca="1" si="25"/>
        <v>O</v>
      </c>
      <c r="T160" s="84">
        <v>1</v>
      </c>
      <c r="U160" s="84">
        <v>1</v>
      </c>
      <c r="V160" s="84">
        <v>2</v>
      </c>
      <c r="W160" s="84">
        <f t="shared" si="26"/>
        <v>4</v>
      </c>
      <c r="X160" s="84" t="str">
        <f t="shared" si="27"/>
        <v>Biasa</v>
      </c>
      <c r="Y160" s="78" t="s">
        <v>446</v>
      </c>
      <c r="Z160" s="115" t="s">
        <v>81</v>
      </c>
      <c r="AA160" s="82">
        <f t="shared" ref="AA160:AA165" si="28">N160+635</f>
        <v>44557</v>
      </c>
      <c r="AB160" s="82">
        <f t="shared" ref="AB160:AB165" si="29">+N160+1000</f>
        <v>44922</v>
      </c>
      <c r="AC160" s="82">
        <f t="shared" ref="AC160:AC165" si="30">N160+1365</f>
        <v>45287</v>
      </c>
      <c r="AD160" s="27"/>
      <c r="AE160" s="85"/>
      <c r="AF160" s="77" t="s">
        <v>1023</v>
      </c>
      <c r="AG160" s="77" t="s">
        <v>81</v>
      </c>
      <c r="AH160" s="21" t="s">
        <v>81</v>
      </c>
      <c r="AI160" s="21" t="s">
        <v>81</v>
      </c>
      <c r="AJ160" s="21" t="s">
        <v>81</v>
      </c>
      <c r="AK160" s="21" t="s">
        <v>81</v>
      </c>
      <c r="AL160" s="21" t="s">
        <v>81</v>
      </c>
      <c r="AM160" s="27"/>
      <c r="AN160" s="86">
        <v>43959</v>
      </c>
      <c r="AO160" s="87"/>
      <c r="AP160" s="4"/>
      <c r="AQ160" s="4"/>
      <c r="AR160" s="4"/>
      <c r="AS160" s="4"/>
      <c r="AT160" s="4"/>
    </row>
    <row r="161" spans="1:47" s="88" customFormat="1" ht="111.95" hidden="1" customHeight="1" x14ac:dyDescent="0.25">
      <c r="A161" s="76">
        <v>94</v>
      </c>
      <c r="B161" s="76" t="s">
        <v>74</v>
      </c>
      <c r="C161" s="76" t="s">
        <v>1159</v>
      </c>
      <c r="D161" s="76">
        <v>11</v>
      </c>
      <c r="E161" s="76" t="s">
        <v>82</v>
      </c>
      <c r="F161" s="78" t="s">
        <v>1048</v>
      </c>
      <c r="G161" s="79" t="s">
        <v>204</v>
      </c>
      <c r="H161" s="79" t="s">
        <v>1049</v>
      </c>
      <c r="I161" s="80" t="s">
        <v>1339</v>
      </c>
      <c r="J161" s="79" t="s">
        <v>1050</v>
      </c>
      <c r="K161" s="79" t="s">
        <v>1051</v>
      </c>
      <c r="L161" s="81" t="s">
        <v>186</v>
      </c>
      <c r="M161" s="81"/>
      <c r="N161" s="82">
        <v>43922</v>
      </c>
      <c r="O161" s="82">
        <v>45382</v>
      </c>
      <c r="P161" s="83">
        <f t="shared" si="23"/>
        <v>4</v>
      </c>
      <c r="Q161" s="77" t="s">
        <v>29</v>
      </c>
      <c r="R161" s="77">
        <f t="shared" ca="1" si="24"/>
        <v>4.0141143630525837</v>
      </c>
      <c r="S161" s="77" t="str">
        <f t="shared" ca="1" si="25"/>
        <v>O</v>
      </c>
      <c r="T161" s="84">
        <v>2</v>
      </c>
      <c r="U161" s="84">
        <v>1</v>
      </c>
      <c r="V161" s="84">
        <v>3</v>
      </c>
      <c r="W161" s="84">
        <f t="shared" si="26"/>
        <v>6</v>
      </c>
      <c r="X161" s="84" t="str">
        <f t="shared" si="27"/>
        <v>Penting</v>
      </c>
      <c r="Y161" s="78" t="s">
        <v>446</v>
      </c>
      <c r="Z161" s="115" t="s">
        <v>81</v>
      </c>
      <c r="AA161" s="82">
        <f t="shared" si="28"/>
        <v>44557</v>
      </c>
      <c r="AB161" s="82">
        <f t="shared" si="29"/>
        <v>44922</v>
      </c>
      <c r="AC161" s="82">
        <f t="shared" si="30"/>
        <v>45287</v>
      </c>
      <c r="AD161" s="27"/>
      <c r="AE161" s="85"/>
      <c r="AF161" s="77" t="s">
        <v>1023</v>
      </c>
      <c r="AG161" s="77" t="s">
        <v>81</v>
      </c>
      <c r="AH161" s="21" t="s">
        <v>81</v>
      </c>
      <c r="AI161" s="21" t="s">
        <v>81</v>
      </c>
      <c r="AJ161" s="21" t="s">
        <v>81</v>
      </c>
      <c r="AK161" s="21" t="s">
        <v>81</v>
      </c>
      <c r="AL161" s="21" t="s">
        <v>81</v>
      </c>
      <c r="AM161" s="27"/>
      <c r="AN161" s="86">
        <v>43949</v>
      </c>
      <c r="AO161" s="87"/>
      <c r="AP161" s="90"/>
      <c r="AQ161" s="4"/>
      <c r="AR161" s="4"/>
      <c r="AS161" s="4"/>
      <c r="AT161" s="4"/>
    </row>
    <row r="162" spans="1:47" s="88" customFormat="1" ht="111.95" hidden="1" customHeight="1" x14ac:dyDescent="0.25">
      <c r="A162" s="76">
        <v>95</v>
      </c>
      <c r="B162" s="76" t="s">
        <v>74</v>
      </c>
      <c r="C162" s="76" t="s">
        <v>1159</v>
      </c>
      <c r="D162" s="76">
        <v>12</v>
      </c>
      <c r="E162" s="76" t="s">
        <v>82</v>
      </c>
      <c r="F162" s="78" t="s">
        <v>1087</v>
      </c>
      <c r="G162" s="79" t="s">
        <v>204</v>
      </c>
      <c r="H162" s="79" t="s">
        <v>482</v>
      </c>
      <c r="I162" s="80" t="s">
        <v>1339</v>
      </c>
      <c r="J162" s="79" t="s">
        <v>1088</v>
      </c>
      <c r="K162" s="79" t="s">
        <v>1089</v>
      </c>
      <c r="L162" s="81" t="s">
        <v>321</v>
      </c>
      <c r="M162" s="81"/>
      <c r="N162" s="82">
        <v>43871</v>
      </c>
      <c r="O162" s="82">
        <v>45331</v>
      </c>
      <c r="P162" s="83">
        <f t="shared" si="23"/>
        <v>4</v>
      </c>
      <c r="Q162" s="77" t="s">
        <v>29</v>
      </c>
      <c r="R162" s="77">
        <f t="shared" ca="1" si="24"/>
        <v>2.3689530727300032</v>
      </c>
      <c r="S162" s="77" t="str">
        <f t="shared" ca="1" si="25"/>
        <v>O</v>
      </c>
      <c r="T162" s="84">
        <v>1</v>
      </c>
      <c r="U162" s="84">
        <v>2</v>
      </c>
      <c r="V162" s="84">
        <v>2</v>
      </c>
      <c r="W162" s="84">
        <f t="shared" si="26"/>
        <v>5</v>
      </c>
      <c r="X162" s="84" t="str">
        <f t="shared" si="27"/>
        <v>Biasa</v>
      </c>
      <c r="Y162" s="78" t="s">
        <v>446</v>
      </c>
      <c r="Z162" s="115" t="s">
        <v>81</v>
      </c>
      <c r="AA162" s="82">
        <f t="shared" si="28"/>
        <v>44506</v>
      </c>
      <c r="AB162" s="82">
        <f t="shared" si="29"/>
        <v>44871</v>
      </c>
      <c r="AC162" s="82">
        <f t="shared" si="30"/>
        <v>45236</v>
      </c>
      <c r="AD162" s="27"/>
      <c r="AE162" s="85"/>
      <c r="AF162" s="77" t="s">
        <v>1023</v>
      </c>
      <c r="AG162" s="77" t="s">
        <v>81</v>
      </c>
      <c r="AH162" s="21" t="s">
        <v>81</v>
      </c>
      <c r="AI162" s="21" t="s">
        <v>81</v>
      </c>
      <c r="AJ162" s="21" t="s">
        <v>81</v>
      </c>
      <c r="AK162" s="21" t="s">
        <v>81</v>
      </c>
      <c r="AL162" s="21" t="s">
        <v>81</v>
      </c>
      <c r="AM162" s="27"/>
      <c r="AN162" s="86">
        <v>43966</v>
      </c>
      <c r="AO162" s="87"/>
      <c r="AP162" s="4"/>
      <c r="AQ162" s="4"/>
      <c r="AR162" s="4"/>
      <c r="AS162" s="4"/>
      <c r="AT162" s="4"/>
    </row>
    <row r="163" spans="1:47" s="88" customFormat="1" ht="111.95" hidden="1" customHeight="1" x14ac:dyDescent="0.25">
      <c r="A163" s="76">
        <v>96</v>
      </c>
      <c r="B163" s="76" t="s">
        <v>74</v>
      </c>
      <c r="C163" s="76" t="s">
        <v>1159</v>
      </c>
      <c r="D163" s="76">
        <v>13</v>
      </c>
      <c r="E163" s="76" t="s">
        <v>82</v>
      </c>
      <c r="F163" s="78" t="s">
        <v>1126</v>
      </c>
      <c r="G163" s="79" t="s">
        <v>204</v>
      </c>
      <c r="H163" s="79" t="s">
        <v>1127</v>
      </c>
      <c r="I163" s="80" t="s">
        <v>1339</v>
      </c>
      <c r="J163" s="79" t="s">
        <v>1128</v>
      </c>
      <c r="K163" s="79" t="s">
        <v>1129</v>
      </c>
      <c r="L163" s="81" t="s">
        <v>321</v>
      </c>
      <c r="M163" s="81"/>
      <c r="N163" s="82">
        <v>43985</v>
      </c>
      <c r="O163" s="82">
        <v>45445</v>
      </c>
      <c r="P163" s="83">
        <f t="shared" si="23"/>
        <v>4</v>
      </c>
      <c r="Q163" s="77" t="s">
        <v>29</v>
      </c>
      <c r="R163" s="77">
        <f t="shared" ca="1" si="24"/>
        <v>6.0463724275687127</v>
      </c>
      <c r="S163" s="77" t="str">
        <f t="shared" ca="1" si="25"/>
        <v>O</v>
      </c>
      <c r="T163" s="84">
        <v>1</v>
      </c>
      <c r="U163" s="84">
        <v>2</v>
      </c>
      <c r="V163" s="84">
        <v>3</v>
      </c>
      <c r="W163" s="84">
        <f t="shared" si="26"/>
        <v>6</v>
      </c>
      <c r="X163" s="84" t="str">
        <f t="shared" si="27"/>
        <v>Penting</v>
      </c>
      <c r="Y163" s="78" t="s">
        <v>446</v>
      </c>
      <c r="Z163" s="115" t="s">
        <v>81</v>
      </c>
      <c r="AA163" s="82">
        <f t="shared" si="28"/>
        <v>44620</v>
      </c>
      <c r="AB163" s="82">
        <f t="shared" si="29"/>
        <v>44985</v>
      </c>
      <c r="AC163" s="82">
        <f t="shared" si="30"/>
        <v>45350</v>
      </c>
      <c r="AD163" s="27"/>
      <c r="AE163" s="85"/>
      <c r="AF163" s="77" t="s">
        <v>1023</v>
      </c>
      <c r="AG163" s="77" t="s">
        <v>81</v>
      </c>
      <c r="AH163" s="21" t="s">
        <v>81</v>
      </c>
      <c r="AI163" s="21" t="s">
        <v>81</v>
      </c>
      <c r="AJ163" s="21" t="s">
        <v>81</v>
      </c>
      <c r="AK163" s="21" t="s">
        <v>81</v>
      </c>
      <c r="AL163" s="21" t="s">
        <v>81</v>
      </c>
      <c r="AM163" s="27"/>
      <c r="AN163" s="86">
        <v>43985</v>
      </c>
      <c r="AO163" s="87"/>
      <c r="AP163" s="4"/>
      <c r="AQ163" s="4"/>
      <c r="AR163" s="4"/>
      <c r="AS163" s="4"/>
      <c r="AT163" s="4"/>
    </row>
    <row r="164" spans="1:47" s="88" customFormat="1" ht="111.95" hidden="1" customHeight="1" x14ac:dyDescent="0.25">
      <c r="A164" s="76">
        <v>97</v>
      </c>
      <c r="B164" s="76" t="s">
        <v>74</v>
      </c>
      <c r="C164" s="76" t="s">
        <v>1159</v>
      </c>
      <c r="D164" s="76">
        <v>14</v>
      </c>
      <c r="E164" s="76" t="s">
        <v>82</v>
      </c>
      <c r="F164" s="78" t="s">
        <v>1118</v>
      </c>
      <c r="G164" s="79" t="s">
        <v>204</v>
      </c>
      <c r="H164" s="79" t="s">
        <v>1119</v>
      </c>
      <c r="I164" s="80" t="s">
        <v>1339</v>
      </c>
      <c r="J164" s="79" t="s">
        <v>1120</v>
      </c>
      <c r="K164" s="79" t="s">
        <v>1121</v>
      </c>
      <c r="L164" s="81" t="s">
        <v>321</v>
      </c>
      <c r="M164" s="81"/>
      <c r="N164" s="82">
        <v>43985</v>
      </c>
      <c r="O164" s="82">
        <v>45445</v>
      </c>
      <c r="P164" s="83">
        <f t="shared" ref="P164:P195" si="31">(O164-N164)/365</f>
        <v>4</v>
      </c>
      <c r="Q164" s="77" t="s">
        <v>29</v>
      </c>
      <c r="R164" s="77">
        <f t="shared" ref="R164:R195" ca="1" si="32">(O164-NOW()+1)/31</f>
        <v>6.0463724275687127</v>
      </c>
      <c r="S164" s="77" t="str">
        <f t="shared" ca="1" si="25"/>
        <v>O</v>
      </c>
      <c r="T164" s="84">
        <v>1</v>
      </c>
      <c r="U164" s="84">
        <v>2</v>
      </c>
      <c r="V164" s="84">
        <v>3</v>
      </c>
      <c r="W164" s="84">
        <f t="shared" ref="W164:W189" si="33">T164+U164+V164</f>
        <v>6</v>
      </c>
      <c r="X164" s="84" t="str">
        <f t="shared" si="27"/>
        <v>Penting</v>
      </c>
      <c r="Y164" s="78" t="s">
        <v>446</v>
      </c>
      <c r="Z164" s="115" t="s">
        <v>81</v>
      </c>
      <c r="AA164" s="82">
        <f t="shared" si="28"/>
        <v>44620</v>
      </c>
      <c r="AB164" s="82">
        <f t="shared" si="29"/>
        <v>44985</v>
      </c>
      <c r="AC164" s="82">
        <f t="shared" si="30"/>
        <v>45350</v>
      </c>
      <c r="AD164" s="27"/>
      <c r="AE164" s="85"/>
      <c r="AF164" s="77" t="s">
        <v>1023</v>
      </c>
      <c r="AG164" s="77" t="s">
        <v>81</v>
      </c>
      <c r="AH164" s="21" t="s">
        <v>81</v>
      </c>
      <c r="AI164" s="21" t="s">
        <v>81</v>
      </c>
      <c r="AJ164" s="21" t="s">
        <v>81</v>
      </c>
      <c r="AK164" s="21" t="s">
        <v>81</v>
      </c>
      <c r="AL164" s="21" t="s">
        <v>81</v>
      </c>
      <c r="AM164" s="27"/>
      <c r="AN164" s="86">
        <v>44008</v>
      </c>
      <c r="AO164" s="87"/>
      <c r="AP164" s="4"/>
      <c r="AQ164" s="4"/>
      <c r="AR164" s="4"/>
      <c r="AS164" s="4"/>
      <c r="AT164" s="4"/>
    </row>
    <row r="165" spans="1:47" s="88" customFormat="1" ht="111.95" hidden="1" customHeight="1" x14ac:dyDescent="0.25">
      <c r="A165" s="76">
        <v>98</v>
      </c>
      <c r="B165" s="76" t="s">
        <v>74</v>
      </c>
      <c r="C165" s="76" t="s">
        <v>1159</v>
      </c>
      <c r="D165" s="76">
        <v>15</v>
      </c>
      <c r="E165" s="76" t="s">
        <v>82</v>
      </c>
      <c r="F165" s="78" t="s">
        <v>1138</v>
      </c>
      <c r="G165" s="79" t="s">
        <v>204</v>
      </c>
      <c r="H165" s="79" t="s">
        <v>1139</v>
      </c>
      <c r="I165" s="80" t="s">
        <v>1339</v>
      </c>
      <c r="J165" s="79" t="s">
        <v>1120</v>
      </c>
      <c r="K165" s="79" t="s">
        <v>1140</v>
      </c>
      <c r="L165" s="81" t="s">
        <v>321</v>
      </c>
      <c r="M165" s="81"/>
      <c r="N165" s="82">
        <v>43985</v>
      </c>
      <c r="O165" s="82">
        <v>45445</v>
      </c>
      <c r="P165" s="83">
        <f t="shared" si="31"/>
        <v>4</v>
      </c>
      <c r="Q165" s="77" t="s">
        <v>29</v>
      </c>
      <c r="R165" s="77">
        <f t="shared" ca="1" si="32"/>
        <v>6.0463724275687127</v>
      </c>
      <c r="S165" s="77" t="str">
        <f t="shared" ca="1" si="25"/>
        <v>O</v>
      </c>
      <c r="T165" s="84">
        <v>1</v>
      </c>
      <c r="U165" s="84">
        <v>2</v>
      </c>
      <c r="V165" s="84">
        <v>3</v>
      </c>
      <c r="W165" s="84">
        <f t="shared" si="33"/>
        <v>6</v>
      </c>
      <c r="X165" s="84" t="str">
        <f t="shared" si="27"/>
        <v>Penting</v>
      </c>
      <c r="Y165" s="78" t="s">
        <v>446</v>
      </c>
      <c r="Z165" s="115" t="s">
        <v>81</v>
      </c>
      <c r="AA165" s="82">
        <f t="shared" si="28"/>
        <v>44620</v>
      </c>
      <c r="AB165" s="82">
        <f t="shared" si="29"/>
        <v>44985</v>
      </c>
      <c r="AC165" s="82">
        <f t="shared" si="30"/>
        <v>45350</v>
      </c>
      <c r="AD165" s="27"/>
      <c r="AE165" s="85"/>
      <c r="AF165" s="77" t="s">
        <v>1023</v>
      </c>
      <c r="AG165" s="77" t="s">
        <v>81</v>
      </c>
      <c r="AH165" s="21" t="s">
        <v>81</v>
      </c>
      <c r="AI165" s="21" t="s">
        <v>81</v>
      </c>
      <c r="AJ165" s="21" t="s">
        <v>81</v>
      </c>
      <c r="AK165" s="21" t="s">
        <v>81</v>
      </c>
      <c r="AL165" s="21" t="s">
        <v>81</v>
      </c>
      <c r="AM165" s="27"/>
      <c r="AN165" s="86">
        <v>44008</v>
      </c>
      <c r="AO165" s="87"/>
      <c r="AP165" s="4"/>
      <c r="AQ165" s="4"/>
      <c r="AR165" s="4"/>
      <c r="AS165" s="4"/>
      <c r="AT165" s="4"/>
    </row>
    <row r="166" spans="1:47" s="88" customFormat="1" ht="111.95" hidden="1" customHeight="1" x14ac:dyDescent="0.25">
      <c r="A166" s="76">
        <v>99</v>
      </c>
      <c r="B166" s="76" t="s">
        <v>74</v>
      </c>
      <c r="C166" s="76" t="s">
        <v>1162</v>
      </c>
      <c r="D166" s="76">
        <v>1</v>
      </c>
      <c r="E166" s="76" t="s">
        <v>82</v>
      </c>
      <c r="F166" s="78" t="s">
        <v>1122</v>
      </c>
      <c r="G166" s="79" t="s">
        <v>204</v>
      </c>
      <c r="H166" s="79" t="s">
        <v>1123</v>
      </c>
      <c r="I166" s="80" t="s">
        <v>1338</v>
      </c>
      <c r="J166" s="79" t="s">
        <v>1124</v>
      </c>
      <c r="K166" s="79" t="s">
        <v>1125</v>
      </c>
      <c r="L166" s="81" t="s">
        <v>186</v>
      </c>
      <c r="M166" s="81"/>
      <c r="N166" s="82">
        <v>44165</v>
      </c>
      <c r="O166" s="82">
        <v>45259</v>
      </c>
      <c r="P166" s="83">
        <f t="shared" si="31"/>
        <v>2.9972602739726026</v>
      </c>
      <c r="Q166" s="77" t="s">
        <v>29</v>
      </c>
      <c r="R166" s="77">
        <f t="shared" ca="1" si="32"/>
        <v>4.6372427568712737E-2</v>
      </c>
      <c r="S166" s="77" t="str">
        <f t="shared" ca="1" si="25"/>
        <v>O</v>
      </c>
      <c r="T166" s="84">
        <v>1</v>
      </c>
      <c r="U166" s="84">
        <v>2</v>
      </c>
      <c r="V166" s="84">
        <v>3</v>
      </c>
      <c r="W166" s="84">
        <f t="shared" si="33"/>
        <v>6</v>
      </c>
      <c r="X166" s="84" t="str">
        <f t="shared" si="27"/>
        <v>Penting</v>
      </c>
      <c r="Y166" s="78" t="s">
        <v>446</v>
      </c>
      <c r="Z166" s="115" t="s">
        <v>81</v>
      </c>
      <c r="AA166" s="82">
        <f>N166+270</f>
        <v>44435</v>
      </c>
      <c r="AB166" s="82">
        <f>+N166+635</f>
        <v>44800</v>
      </c>
      <c r="AC166" s="82"/>
      <c r="AD166" s="27"/>
      <c r="AE166" s="85"/>
      <c r="AF166" s="77" t="s">
        <v>1023</v>
      </c>
      <c r="AG166" s="77" t="s">
        <v>81</v>
      </c>
      <c r="AH166" s="21" t="s">
        <v>81</v>
      </c>
      <c r="AI166" s="21" t="s">
        <v>81</v>
      </c>
      <c r="AJ166" s="21" t="s">
        <v>81</v>
      </c>
      <c r="AK166" s="21" t="s">
        <v>81</v>
      </c>
      <c r="AL166" s="21" t="s">
        <v>81</v>
      </c>
      <c r="AM166" s="27"/>
      <c r="AN166" s="86">
        <v>44172</v>
      </c>
      <c r="AO166" s="87"/>
      <c r="AP166" s="4"/>
      <c r="AQ166" s="4"/>
      <c r="AR166" s="4"/>
      <c r="AS166" s="4"/>
      <c r="AT166" s="4"/>
    </row>
    <row r="167" spans="1:47" s="88" customFormat="1" ht="111.95" hidden="1" customHeight="1" x14ac:dyDescent="0.25">
      <c r="A167" s="76">
        <v>100</v>
      </c>
      <c r="B167" s="76" t="s">
        <v>74</v>
      </c>
      <c r="C167" s="76" t="s">
        <v>1162</v>
      </c>
      <c r="D167" s="76">
        <v>2</v>
      </c>
      <c r="E167" s="76" t="s">
        <v>82</v>
      </c>
      <c r="F167" s="78" t="s">
        <v>1130</v>
      </c>
      <c r="G167" s="79" t="s">
        <v>204</v>
      </c>
      <c r="H167" s="79" t="s">
        <v>1131</v>
      </c>
      <c r="I167" s="80" t="s">
        <v>1339</v>
      </c>
      <c r="J167" s="79" t="s">
        <v>1132</v>
      </c>
      <c r="K167" s="79" t="s">
        <v>1133</v>
      </c>
      <c r="L167" s="81" t="s">
        <v>321</v>
      </c>
      <c r="M167" s="81"/>
      <c r="N167" s="82">
        <v>43965</v>
      </c>
      <c r="O167" s="82">
        <v>45425</v>
      </c>
      <c r="P167" s="83">
        <f t="shared" si="31"/>
        <v>4</v>
      </c>
      <c r="Q167" s="77" t="s">
        <v>29</v>
      </c>
      <c r="R167" s="77">
        <f t="shared" ca="1" si="32"/>
        <v>5.4012111372461318</v>
      </c>
      <c r="S167" s="77" t="str">
        <f t="shared" ca="1" si="25"/>
        <v>O</v>
      </c>
      <c r="T167" s="84">
        <v>1</v>
      </c>
      <c r="U167" s="84">
        <v>2</v>
      </c>
      <c r="V167" s="84">
        <v>3</v>
      </c>
      <c r="W167" s="84">
        <f t="shared" si="33"/>
        <v>6</v>
      </c>
      <c r="X167" s="84" t="str">
        <f t="shared" si="27"/>
        <v>Penting</v>
      </c>
      <c r="Y167" s="78" t="s">
        <v>446</v>
      </c>
      <c r="Z167" s="115" t="s">
        <v>81</v>
      </c>
      <c r="AA167" s="82">
        <f>N167+635</f>
        <v>44600</v>
      </c>
      <c r="AB167" s="82">
        <f>+N167+1000</f>
        <v>44965</v>
      </c>
      <c r="AC167" s="82">
        <f>N167+1365</f>
        <v>45330</v>
      </c>
      <c r="AD167" s="27"/>
      <c r="AE167" s="85"/>
      <c r="AF167" s="77" t="s">
        <v>1023</v>
      </c>
      <c r="AG167" s="77" t="s">
        <v>81</v>
      </c>
      <c r="AH167" s="21" t="s">
        <v>81</v>
      </c>
      <c r="AI167" s="21" t="s">
        <v>81</v>
      </c>
      <c r="AJ167" s="21" t="s">
        <v>81</v>
      </c>
      <c r="AK167" s="21" t="s">
        <v>81</v>
      </c>
      <c r="AL167" s="21" t="s">
        <v>81</v>
      </c>
      <c r="AM167" s="27"/>
      <c r="AN167" s="86">
        <v>44040</v>
      </c>
      <c r="AO167" s="87"/>
      <c r="AP167" s="4"/>
      <c r="AQ167" s="4"/>
      <c r="AR167" s="4"/>
      <c r="AS167" s="4"/>
      <c r="AT167" s="4"/>
    </row>
    <row r="168" spans="1:47" s="88" customFormat="1" ht="111.95" hidden="1" customHeight="1" x14ac:dyDescent="0.25">
      <c r="A168" s="76">
        <v>101</v>
      </c>
      <c r="B168" s="76" t="s">
        <v>74</v>
      </c>
      <c r="C168" s="76" t="s">
        <v>1162</v>
      </c>
      <c r="D168" s="76">
        <v>3</v>
      </c>
      <c r="E168" s="76" t="s">
        <v>82</v>
      </c>
      <c r="F168" s="78" t="s">
        <v>1134</v>
      </c>
      <c r="G168" s="79" t="s">
        <v>204</v>
      </c>
      <c r="H168" s="79" t="s">
        <v>1135</v>
      </c>
      <c r="I168" s="80" t="s">
        <v>1339</v>
      </c>
      <c r="J168" s="79" t="s">
        <v>1136</v>
      </c>
      <c r="K168" s="79" t="s">
        <v>1137</v>
      </c>
      <c r="L168" s="81" t="s">
        <v>321</v>
      </c>
      <c r="M168" s="81"/>
      <c r="N168" s="82">
        <v>43997</v>
      </c>
      <c r="O168" s="82">
        <v>45457</v>
      </c>
      <c r="P168" s="83">
        <f t="shared" si="31"/>
        <v>4</v>
      </c>
      <c r="Q168" s="77" t="s">
        <v>29</v>
      </c>
      <c r="R168" s="77">
        <f t="shared" ca="1" si="32"/>
        <v>6.4334692017622608</v>
      </c>
      <c r="S168" s="77" t="str">
        <f t="shared" ca="1" si="25"/>
        <v>O</v>
      </c>
      <c r="T168" s="84">
        <v>1</v>
      </c>
      <c r="U168" s="84">
        <v>2</v>
      </c>
      <c r="V168" s="84">
        <v>3</v>
      </c>
      <c r="W168" s="84">
        <f t="shared" si="33"/>
        <v>6</v>
      </c>
      <c r="X168" s="84" t="str">
        <f t="shared" si="27"/>
        <v>Penting</v>
      </c>
      <c r="Y168" s="78" t="s">
        <v>446</v>
      </c>
      <c r="Z168" s="115" t="s">
        <v>81</v>
      </c>
      <c r="AA168" s="82">
        <f>N168+635</f>
        <v>44632</v>
      </c>
      <c r="AB168" s="82">
        <f>+N168+1000</f>
        <v>44997</v>
      </c>
      <c r="AC168" s="82">
        <f>N168+1365</f>
        <v>45362</v>
      </c>
      <c r="AD168" s="27"/>
      <c r="AE168" s="85"/>
      <c r="AF168" s="77" t="s">
        <v>1023</v>
      </c>
      <c r="AG168" s="77" t="s">
        <v>81</v>
      </c>
      <c r="AH168" s="21" t="s">
        <v>81</v>
      </c>
      <c r="AI168" s="21" t="s">
        <v>81</v>
      </c>
      <c r="AJ168" s="21" t="s">
        <v>81</v>
      </c>
      <c r="AK168" s="21" t="s">
        <v>81</v>
      </c>
      <c r="AL168" s="21" t="s">
        <v>81</v>
      </c>
      <c r="AM168" s="27"/>
      <c r="AN168" s="86">
        <v>44040</v>
      </c>
      <c r="AO168" s="87"/>
      <c r="AP168" s="4"/>
      <c r="AQ168" s="4"/>
      <c r="AR168" s="4"/>
      <c r="AS168" s="4"/>
      <c r="AT168" s="4"/>
    </row>
    <row r="169" spans="1:47" s="88" customFormat="1" ht="111.75" hidden="1" customHeight="1" x14ac:dyDescent="0.25">
      <c r="A169" s="76">
        <v>102</v>
      </c>
      <c r="B169" s="76" t="s">
        <v>74</v>
      </c>
      <c r="C169" s="76" t="s">
        <v>1162</v>
      </c>
      <c r="D169" s="76">
        <v>4</v>
      </c>
      <c r="E169" s="76" t="s">
        <v>82</v>
      </c>
      <c r="F169" s="78"/>
      <c r="G169" s="79" t="s">
        <v>204</v>
      </c>
      <c r="H169" s="79" t="s">
        <v>1024</v>
      </c>
      <c r="I169" s="80" t="s">
        <v>1339</v>
      </c>
      <c r="J169" s="79" t="s">
        <v>1021</v>
      </c>
      <c r="K169" s="79"/>
      <c r="L169" s="81"/>
      <c r="M169" s="81"/>
      <c r="N169" s="82">
        <v>43018</v>
      </c>
      <c r="O169" s="82">
        <v>45208</v>
      </c>
      <c r="P169" s="83">
        <f t="shared" si="31"/>
        <v>6</v>
      </c>
      <c r="Q169" s="77" t="s">
        <v>29</v>
      </c>
      <c r="R169" s="77">
        <f t="shared" ca="1" si="32"/>
        <v>-1.598788862753868</v>
      </c>
      <c r="S169" s="77" t="str">
        <f t="shared" ca="1" si="25"/>
        <v>Y</v>
      </c>
      <c r="T169" s="84">
        <v>1</v>
      </c>
      <c r="U169" s="84">
        <v>2</v>
      </c>
      <c r="V169" s="84">
        <v>2</v>
      </c>
      <c r="W169" s="84">
        <f t="shared" si="33"/>
        <v>5</v>
      </c>
      <c r="X169" s="84" t="str">
        <f t="shared" si="27"/>
        <v>Biasa</v>
      </c>
      <c r="Y169" s="78" t="s">
        <v>1022</v>
      </c>
      <c r="Z169" s="115" t="s">
        <v>81</v>
      </c>
      <c r="AA169" s="82">
        <f>N169+1730</f>
        <v>44748</v>
      </c>
      <c r="AB169" s="82">
        <f>+N169+2095</f>
        <v>45113</v>
      </c>
      <c r="AC169" s="82">
        <f>N169+2460</f>
        <v>45478</v>
      </c>
      <c r="AD169" s="27"/>
      <c r="AE169" s="85"/>
      <c r="AF169" s="77" t="s">
        <v>1023</v>
      </c>
      <c r="AG169" s="77" t="s">
        <v>81</v>
      </c>
      <c r="AH169" s="21" t="s">
        <v>81</v>
      </c>
      <c r="AI169" s="21" t="s">
        <v>81</v>
      </c>
      <c r="AJ169" s="21" t="s">
        <v>81</v>
      </c>
      <c r="AK169" s="21" t="s">
        <v>81</v>
      </c>
      <c r="AL169" s="21" t="s">
        <v>81</v>
      </c>
      <c r="AM169" s="27"/>
      <c r="AN169" s="86"/>
      <c r="AO169" s="87"/>
      <c r="AP169" s="4"/>
      <c r="AQ169" s="4"/>
      <c r="AR169" s="4"/>
      <c r="AS169" s="4"/>
      <c r="AT169" s="4"/>
    </row>
    <row r="170" spans="1:47" s="88" customFormat="1" ht="111.95" hidden="1" customHeight="1" x14ac:dyDescent="0.25">
      <c r="A170" s="76">
        <v>103</v>
      </c>
      <c r="B170" s="76" t="s">
        <v>74</v>
      </c>
      <c r="C170" s="76" t="s">
        <v>1162</v>
      </c>
      <c r="D170" s="76">
        <v>5</v>
      </c>
      <c r="E170" s="76" t="s">
        <v>82</v>
      </c>
      <c r="F170" s="78" t="s">
        <v>983</v>
      </c>
      <c r="G170" s="79" t="s">
        <v>204</v>
      </c>
      <c r="H170" s="79" t="s">
        <v>984</v>
      </c>
      <c r="I170" s="80" t="s">
        <v>1339</v>
      </c>
      <c r="J170" s="79" t="s">
        <v>985</v>
      </c>
      <c r="K170" s="79"/>
      <c r="L170" s="81" t="s">
        <v>321</v>
      </c>
      <c r="M170" s="81"/>
      <c r="N170" s="82">
        <v>44378</v>
      </c>
      <c r="O170" s="82">
        <v>45473</v>
      </c>
      <c r="P170" s="83">
        <f t="shared" si="31"/>
        <v>3</v>
      </c>
      <c r="Q170" s="77" t="s">
        <v>25</v>
      </c>
      <c r="R170" s="77">
        <f t="shared" ca="1" si="32"/>
        <v>6.9495982340203257</v>
      </c>
      <c r="S170" s="77" t="str">
        <f t="shared" ca="1" si="25"/>
        <v>O</v>
      </c>
      <c r="T170" s="84">
        <v>1</v>
      </c>
      <c r="U170" s="84">
        <v>2</v>
      </c>
      <c r="V170" s="84">
        <v>2</v>
      </c>
      <c r="W170" s="84">
        <f t="shared" si="33"/>
        <v>5</v>
      </c>
      <c r="X170" s="84" t="str">
        <f t="shared" si="27"/>
        <v>Biasa</v>
      </c>
      <c r="Y170" s="78" t="s">
        <v>986</v>
      </c>
      <c r="Z170" s="115" t="s">
        <v>81</v>
      </c>
      <c r="AA170" s="82">
        <f>N170+270</f>
        <v>44648</v>
      </c>
      <c r="AB170" s="82">
        <f>+N170+635</f>
        <v>45013</v>
      </c>
      <c r="AC170" s="82">
        <f>N170+1000</f>
        <v>45378</v>
      </c>
      <c r="AD170" s="27" t="s">
        <v>86</v>
      </c>
      <c r="AE170" s="85">
        <v>43497</v>
      </c>
      <c r="AF170" s="77" t="s">
        <v>588</v>
      </c>
      <c r="AG170" s="77" t="s">
        <v>81</v>
      </c>
      <c r="AH170" s="21" t="s">
        <v>81</v>
      </c>
      <c r="AI170" s="21" t="s">
        <v>81</v>
      </c>
      <c r="AJ170" s="21" t="s">
        <v>81</v>
      </c>
      <c r="AK170" s="21" t="s">
        <v>81</v>
      </c>
      <c r="AL170" s="21" t="s">
        <v>81</v>
      </c>
      <c r="AM170" s="27"/>
      <c r="AN170" s="86">
        <v>43760</v>
      </c>
      <c r="AO170" s="87"/>
      <c r="AP170" s="4"/>
      <c r="AQ170" s="4"/>
      <c r="AR170" s="4"/>
      <c r="AS170" s="4"/>
      <c r="AT170" s="4"/>
    </row>
    <row r="171" spans="1:47" s="88" customFormat="1" ht="111.95" hidden="1" customHeight="1" x14ac:dyDescent="0.25">
      <c r="A171" s="76">
        <v>104</v>
      </c>
      <c r="B171" s="76" t="s">
        <v>74</v>
      </c>
      <c r="C171" s="76" t="s">
        <v>1162</v>
      </c>
      <c r="D171" s="76">
        <v>6</v>
      </c>
      <c r="E171" s="76" t="s">
        <v>82</v>
      </c>
      <c r="F171" s="78" t="s">
        <v>1308</v>
      </c>
      <c r="G171" s="79" t="s">
        <v>204</v>
      </c>
      <c r="H171" s="79" t="s">
        <v>1020</v>
      </c>
      <c r="I171" s="80" t="s">
        <v>1339</v>
      </c>
      <c r="J171" s="79" t="s">
        <v>1309</v>
      </c>
      <c r="K171" s="79"/>
      <c r="L171" s="81" t="s">
        <v>321</v>
      </c>
      <c r="M171" s="81"/>
      <c r="N171" s="82">
        <v>44866</v>
      </c>
      <c r="O171" s="82">
        <v>45230</v>
      </c>
      <c r="P171" s="83">
        <f t="shared" si="31"/>
        <v>0.99726027397260275</v>
      </c>
      <c r="Q171" s="77" t="s">
        <v>29</v>
      </c>
      <c r="R171" s="77">
        <f t="shared" ca="1" si="32"/>
        <v>-0.88911144339902914</v>
      </c>
      <c r="S171" s="77" t="str">
        <f t="shared" ca="1" si="25"/>
        <v>Y</v>
      </c>
      <c r="T171" s="84">
        <v>1</v>
      </c>
      <c r="U171" s="84">
        <v>2</v>
      </c>
      <c r="V171" s="84">
        <v>2</v>
      </c>
      <c r="W171" s="84">
        <f t="shared" si="33"/>
        <v>5</v>
      </c>
      <c r="X171" s="84" t="str">
        <f t="shared" si="27"/>
        <v>Biasa</v>
      </c>
      <c r="Y171" s="78"/>
      <c r="Z171" s="115"/>
      <c r="AA171" s="82"/>
      <c r="AB171" s="82"/>
      <c r="AC171" s="82"/>
      <c r="AD171" s="27"/>
      <c r="AE171" s="85"/>
      <c r="AF171" s="77" t="s">
        <v>1023</v>
      </c>
      <c r="AG171" s="77" t="s">
        <v>81</v>
      </c>
      <c r="AH171" s="21" t="s">
        <v>81</v>
      </c>
      <c r="AI171" s="21" t="s">
        <v>81</v>
      </c>
      <c r="AJ171" s="21" t="s">
        <v>81</v>
      </c>
      <c r="AK171" s="21" t="s">
        <v>81</v>
      </c>
      <c r="AL171" s="21" t="s">
        <v>81</v>
      </c>
      <c r="AM171" s="27" t="s">
        <v>100</v>
      </c>
      <c r="AN171" s="86">
        <v>44890</v>
      </c>
      <c r="AO171" s="87"/>
      <c r="AP171" s="4"/>
      <c r="AQ171" s="4"/>
      <c r="AR171" s="4"/>
      <c r="AS171" s="4"/>
      <c r="AT171" s="4"/>
    </row>
    <row r="172" spans="1:47" s="88" customFormat="1" ht="111.75" hidden="1" customHeight="1" x14ac:dyDescent="0.25">
      <c r="A172" s="76">
        <v>105</v>
      </c>
      <c r="B172" s="76" t="s">
        <v>74</v>
      </c>
      <c r="C172" s="76" t="s">
        <v>1162</v>
      </c>
      <c r="D172" s="76">
        <v>7</v>
      </c>
      <c r="E172" s="76" t="s">
        <v>82</v>
      </c>
      <c r="F172" s="78" t="s">
        <v>1270</v>
      </c>
      <c r="G172" s="79" t="s">
        <v>419</v>
      </c>
      <c r="H172" s="79" t="s">
        <v>420</v>
      </c>
      <c r="I172" s="80" t="s">
        <v>1339</v>
      </c>
      <c r="J172" s="79" t="s">
        <v>421</v>
      </c>
      <c r="K172" s="79" t="s">
        <v>422</v>
      </c>
      <c r="L172" s="81" t="s">
        <v>321</v>
      </c>
      <c r="M172" s="81"/>
      <c r="N172" s="82">
        <v>44928</v>
      </c>
      <c r="O172" s="82">
        <v>45292</v>
      </c>
      <c r="P172" s="83">
        <f t="shared" si="31"/>
        <v>0.99726027397260275</v>
      </c>
      <c r="Q172" s="77" t="s">
        <v>24</v>
      </c>
      <c r="R172" s="77">
        <f t="shared" ca="1" si="32"/>
        <v>1.1108885566009707</v>
      </c>
      <c r="S172" s="77" t="str">
        <f t="shared" ca="1" si="25"/>
        <v>O</v>
      </c>
      <c r="T172" s="84">
        <v>2</v>
      </c>
      <c r="U172" s="84">
        <v>1</v>
      </c>
      <c r="V172" s="84">
        <v>2</v>
      </c>
      <c r="W172" s="84">
        <f t="shared" si="33"/>
        <v>5</v>
      </c>
      <c r="X172" s="84" t="str">
        <f t="shared" si="27"/>
        <v>Biasa</v>
      </c>
      <c r="Y172" s="78"/>
      <c r="Z172" s="115"/>
      <c r="AA172" s="82"/>
      <c r="AB172" s="82"/>
      <c r="AC172" s="82"/>
      <c r="AD172" s="27"/>
      <c r="AE172" s="85"/>
      <c r="AF172" s="77" t="s">
        <v>423</v>
      </c>
      <c r="AG172" s="77" t="s">
        <v>81</v>
      </c>
      <c r="AH172" s="21" t="s">
        <v>81</v>
      </c>
      <c r="AI172" s="21" t="s">
        <v>81</v>
      </c>
      <c r="AJ172" s="21" t="s">
        <v>81</v>
      </c>
      <c r="AK172" s="21" t="s">
        <v>81</v>
      </c>
      <c r="AL172" s="21" t="s">
        <v>81</v>
      </c>
      <c r="AM172" s="27" t="s">
        <v>100</v>
      </c>
      <c r="AN172" s="86">
        <v>44894</v>
      </c>
      <c r="AO172" s="87"/>
      <c r="AP172" s="92"/>
      <c r="AQ172" s="4"/>
      <c r="AR172" s="4"/>
      <c r="AS172" s="90"/>
      <c r="AT172" s="90"/>
      <c r="AU172" s="90"/>
    </row>
    <row r="173" spans="1:47" s="88" customFormat="1" ht="111.95" hidden="1" customHeight="1" x14ac:dyDescent="0.25">
      <c r="A173" s="76">
        <v>106</v>
      </c>
      <c r="B173" s="76" t="s">
        <v>74</v>
      </c>
      <c r="C173" s="76" t="s">
        <v>1162</v>
      </c>
      <c r="D173" s="76">
        <v>9</v>
      </c>
      <c r="E173" s="76" t="s">
        <v>82</v>
      </c>
      <c r="F173" s="78" t="s">
        <v>1370</v>
      </c>
      <c r="G173" s="79" t="s">
        <v>429</v>
      </c>
      <c r="H173" s="79" t="s">
        <v>432</v>
      </c>
      <c r="I173" s="80" t="s">
        <v>1339</v>
      </c>
      <c r="J173" s="79" t="s">
        <v>430</v>
      </c>
      <c r="K173" s="79"/>
      <c r="L173" s="81"/>
      <c r="M173" s="81"/>
      <c r="N173" s="82">
        <v>45139</v>
      </c>
      <c r="O173" s="82">
        <v>45504</v>
      </c>
      <c r="P173" s="83">
        <f t="shared" si="31"/>
        <v>1</v>
      </c>
      <c r="Q173" s="77" t="s">
        <v>24</v>
      </c>
      <c r="R173" s="77">
        <f t="shared" ca="1" si="32"/>
        <v>7.9495982340203257</v>
      </c>
      <c r="S173" s="77" t="str">
        <f t="shared" ca="1" si="25"/>
        <v>O</v>
      </c>
      <c r="T173" s="84">
        <v>2</v>
      </c>
      <c r="U173" s="84">
        <v>1</v>
      </c>
      <c r="V173" s="84">
        <v>2</v>
      </c>
      <c r="W173" s="84">
        <f t="shared" si="33"/>
        <v>5</v>
      </c>
      <c r="X173" s="84" t="str">
        <f t="shared" si="27"/>
        <v>Biasa</v>
      </c>
      <c r="Y173" s="78"/>
      <c r="Z173" s="115"/>
      <c r="AA173" s="82"/>
      <c r="AB173" s="82"/>
      <c r="AC173" s="82"/>
      <c r="AD173" s="27" t="s">
        <v>86</v>
      </c>
      <c r="AE173" s="85">
        <v>44774</v>
      </c>
      <c r="AF173" s="77" t="s">
        <v>423</v>
      </c>
      <c r="AG173" s="77" t="s">
        <v>81</v>
      </c>
      <c r="AH173" s="21" t="s">
        <v>81</v>
      </c>
      <c r="AI173" s="21" t="s">
        <v>81</v>
      </c>
      <c r="AJ173" s="21" t="s">
        <v>81</v>
      </c>
      <c r="AK173" s="21" t="s">
        <v>81</v>
      </c>
      <c r="AL173" s="21" t="s">
        <v>81</v>
      </c>
      <c r="AM173" s="27" t="s">
        <v>100</v>
      </c>
      <c r="AN173" s="86">
        <v>45097</v>
      </c>
      <c r="AO173" s="87"/>
      <c r="AP173" s="92"/>
      <c r="AQ173" s="4"/>
      <c r="AR173" s="4"/>
      <c r="AS173" s="90"/>
      <c r="AT173" s="90"/>
      <c r="AU173" s="90"/>
    </row>
    <row r="174" spans="1:47" s="88" customFormat="1" ht="111.95" hidden="1" customHeight="1" x14ac:dyDescent="0.25">
      <c r="A174" s="76">
        <v>107</v>
      </c>
      <c r="B174" s="76" t="s">
        <v>74</v>
      </c>
      <c r="C174" s="76" t="s">
        <v>1162</v>
      </c>
      <c r="D174" s="76">
        <v>10</v>
      </c>
      <c r="E174" s="76" t="s">
        <v>82</v>
      </c>
      <c r="F174" s="78" t="s">
        <v>1439</v>
      </c>
      <c r="G174" s="79" t="s">
        <v>425</v>
      </c>
      <c r="H174" s="79" t="s">
        <v>434</v>
      </c>
      <c r="I174" s="80" t="s">
        <v>1339</v>
      </c>
      <c r="J174" s="79" t="s">
        <v>435</v>
      </c>
      <c r="K174" s="79" t="s">
        <v>436</v>
      </c>
      <c r="L174" s="81" t="s">
        <v>321</v>
      </c>
      <c r="M174" s="81"/>
      <c r="N174" s="82">
        <v>45123</v>
      </c>
      <c r="O174" s="82">
        <v>45488</v>
      </c>
      <c r="P174" s="83">
        <f t="shared" si="31"/>
        <v>1</v>
      </c>
      <c r="Q174" s="77" t="s">
        <v>24</v>
      </c>
      <c r="R174" s="77">
        <f t="shared" ca="1" si="32"/>
        <v>7.4334692017622608</v>
      </c>
      <c r="S174" s="77" t="str">
        <f t="shared" ca="1" si="25"/>
        <v>O</v>
      </c>
      <c r="T174" s="84">
        <v>2</v>
      </c>
      <c r="U174" s="84">
        <v>1</v>
      </c>
      <c r="V174" s="84">
        <v>2</v>
      </c>
      <c r="W174" s="84">
        <f t="shared" si="33"/>
        <v>5</v>
      </c>
      <c r="X174" s="84" t="str">
        <f t="shared" si="27"/>
        <v>Biasa</v>
      </c>
      <c r="Y174" s="78"/>
      <c r="Z174" s="115"/>
      <c r="AA174" s="82"/>
      <c r="AB174" s="82"/>
      <c r="AC174" s="82"/>
      <c r="AD174" s="27" t="s">
        <v>86</v>
      </c>
      <c r="AE174" s="85">
        <v>44044</v>
      </c>
      <c r="AF174" s="77" t="s">
        <v>423</v>
      </c>
      <c r="AG174" s="77" t="s">
        <v>81</v>
      </c>
      <c r="AH174" s="21" t="s">
        <v>81</v>
      </c>
      <c r="AI174" s="21" t="s">
        <v>81</v>
      </c>
      <c r="AJ174" s="21" t="s">
        <v>81</v>
      </c>
      <c r="AK174" s="21" t="s">
        <v>81</v>
      </c>
      <c r="AL174" s="21" t="s">
        <v>81</v>
      </c>
      <c r="AM174" s="27" t="s">
        <v>100</v>
      </c>
      <c r="AN174" s="86">
        <v>45097</v>
      </c>
      <c r="AO174" s="87"/>
      <c r="AP174" s="92"/>
      <c r="AQ174" s="4"/>
      <c r="AR174" s="4"/>
      <c r="AS174" s="90"/>
      <c r="AT174" s="90"/>
      <c r="AU174" s="90"/>
    </row>
    <row r="175" spans="1:47" s="88" customFormat="1" ht="111.95" hidden="1" customHeight="1" x14ac:dyDescent="0.25">
      <c r="A175" s="76">
        <v>108</v>
      </c>
      <c r="B175" s="76" t="s">
        <v>74</v>
      </c>
      <c r="C175" s="76" t="s">
        <v>1161</v>
      </c>
      <c r="D175" s="76">
        <v>1</v>
      </c>
      <c r="E175" s="76" t="s">
        <v>82</v>
      </c>
      <c r="F175" s="78" t="s">
        <v>1473</v>
      </c>
      <c r="G175" s="79" t="s">
        <v>889</v>
      </c>
      <c r="H175" s="79" t="s">
        <v>890</v>
      </c>
      <c r="I175" s="80" t="s">
        <v>1338</v>
      </c>
      <c r="J175" s="79" t="s">
        <v>891</v>
      </c>
      <c r="K175" s="79"/>
      <c r="L175" s="81">
        <v>37500000</v>
      </c>
      <c r="M175" s="81" t="s">
        <v>892</v>
      </c>
      <c r="N175" s="82">
        <v>45139</v>
      </c>
      <c r="O175" s="82">
        <v>45504</v>
      </c>
      <c r="P175" s="83">
        <f t="shared" si="31"/>
        <v>1</v>
      </c>
      <c r="Q175" s="77" t="s">
        <v>21</v>
      </c>
      <c r="R175" s="77">
        <f t="shared" ca="1" si="32"/>
        <v>7.9495982340203257</v>
      </c>
      <c r="S175" s="77" t="str">
        <f t="shared" ca="1" si="25"/>
        <v>O</v>
      </c>
      <c r="T175" s="84">
        <v>3</v>
      </c>
      <c r="U175" s="84">
        <v>3</v>
      </c>
      <c r="V175" s="84">
        <v>3</v>
      </c>
      <c r="W175" s="84">
        <f t="shared" si="33"/>
        <v>9</v>
      </c>
      <c r="X175" s="84" t="str">
        <f t="shared" si="27"/>
        <v>Penting</v>
      </c>
      <c r="Y175" s="78"/>
      <c r="Z175" s="115"/>
      <c r="AA175" s="82"/>
      <c r="AB175" s="82"/>
      <c r="AC175" s="82"/>
      <c r="AD175" s="27"/>
      <c r="AE175" s="85"/>
      <c r="AF175" s="77" t="s">
        <v>893</v>
      </c>
      <c r="AG175" s="77" t="s">
        <v>81</v>
      </c>
      <c r="AH175" s="21" t="s">
        <v>81</v>
      </c>
      <c r="AI175" s="21" t="s">
        <v>81</v>
      </c>
      <c r="AJ175" s="21" t="s">
        <v>81</v>
      </c>
      <c r="AK175" s="21" t="s">
        <v>81</v>
      </c>
      <c r="AL175" s="21" t="s">
        <v>81</v>
      </c>
      <c r="AM175" s="27" t="s">
        <v>100</v>
      </c>
      <c r="AN175" s="86">
        <v>45134</v>
      </c>
      <c r="AO175" s="87"/>
      <c r="AP175" s="4"/>
      <c r="AQ175" s="4"/>
      <c r="AR175" s="4"/>
      <c r="AS175" s="4"/>
      <c r="AT175" s="4"/>
    </row>
    <row r="176" spans="1:47" s="88" customFormat="1" ht="111.95" hidden="1" customHeight="1" x14ac:dyDescent="0.25">
      <c r="A176" s="76">
        <v>109</v>
      </c>
      <c r="B176" s="76" t="s">
        <v>74</v>
      </c>
      <c r="C176" s="76" t="s">
        <v>1161</v>
      </c>
      <c r="D176" s="76">
        <v>2</v>
      </c>
      <c r="E176" s="76" t="s">
        <v>82</v>
      </c>
      <c r="F176" s="78" t="s">
        <v>894</v>
      </c>
      <c r="G176" s="79" t="s">
        <v>895</v>
      </c>
      <c r="H176" s="79" t="s">
        <v>896</v>
      </c>
      <c r="I176" s="80" t="s">
        <v>1338</v>
      </c>
      <c r="J176" s="79" t="s">
        <v>897</v>
      </c>
      <c r="K176" s="79"/>
      <c r="L176" s="81"/>
      <c r="M176" s="81"/>
      <c r="N176" s="82">
        <v>44774</v>
      </c>
      <c r="O176" s="82">
        <v>45138</v>
      </c>
      <c r="P176" s="83">
        <f t="shared" si="31"/>
        <v>0.99726027397260275</v>
      </c>
      <c r="Q176" s="77" t="s">
        <v>21</v>
      </c>
      <c r="R176" s="77">
        <f t="shared" ca="1" si="32"/>
        <v>-3.8568533788829003</v>
      </c>
      <c r="S176" s="77" t="str">
        <f t="shared" ca="1" si="25"/>
        <v>Y</v>
      </c>
      <c r="T176" s="84">
        <v>3</v>
      </c>
      <c r="U176" s="84">
        <v>3</v>
      </c>
      <c r="V176" s="84">
        <v>3</v>
      </c>
      <c r="W176" s="84">
        <f t="shared" si="33"/>
        <v>9</v>
      </c>
      <c r="X176" s="84" t="str">
        <f t="shared" si="27"/>
        <v>Penting</v>
      </c>
      <c r="Y176" s="78"/>
      <c r="Z176" s="115"/>
      <c r="AA176" s="82"/>
      <c r="AB176" s="82"/>
      <c r="AC176" s="82"/>
      <c r="AD176" s="27"/>
      <c r="AE176" s="85"/>
      <c r="AF176" s="77" t="s">
        <v>893</v>
      </c>
      <c r="AG176" s="77" t="s">
        <v>81</v>
      </c>
      <c r="AH176" s="21" t="s">
        <v>81</v>
      </c>
      <c r="AI176" s="21" t="s">
        <v>81</v>
      </c>
      <c r="AJ176" s="21" t="s">
        <v>81</v>
      </c>
      <c r="AK176" s="21" t="s">
        <v>81</v>
      </c>
      <c r="AL176" s="21" t="s">
        <v>81</v>
      </c>
      <c r="AM176" s="27" t="s">
        <v>100</v>
      </c>
      <c r="AN176" s="86">
        <v>44757</v>
      </c>
      <c r="AO176" s="87"/>
      <c r="AP176" s="4"/>
      <c r="AQ176" s="4"/>
      <c r="AR176" s="4"/>
      <c r="AS176" s="4"/>
      <c r="AT176" s="4"/>
    </row>
    <row r="177" spans="1:46" s="88" customFormat="1" ht="111.95" hidden="1" customHeight="1" x14ac:dyDescent="0.25">
      <c r="A177" s="76">
        <v>110</v>
      </c>
      <c r="B177" s="76" t="s">
        <v>74</v>
      </c>
      <c r="C177" s="76" t="s">
        <v>1161</v>
      </c>
      <c r="D177" s="76">
        <v>3</v>
      </c>
      <c r="E177" s="76" t="s">
        <v>82</v>
      </c>
      <c r="F177" s="78" t="s">
        <v>1274</v>
      </c>
      <c r="G177" s="79" t="s">
        <v>895</v>
      </c>
      <c r="H177" s="79" t="s">
        <v>898</v>
      </c>
      <c r="I177" s="80" t="s">
        <v>1338</v>
      </c>
      <c r="J177" s="79" t="s">
        <v>899</v>
      </c>
      <c r="K177" s="79"/>
      <c r="L177" s="81"/>
      <c r="M177" s="81"/>
      <c r="N177" s="82">
        <v>44866</v>
      </c>
      <c r="O177" s="82">
        <v>45596</v>
      </c>
      <c r="P177" s="83">
        <f t="shared" si="31"/>
        <v>2</v>
      </c>
      <c r="Q177" s="77" t="s">
        <v>21</v>
      </c>
      <c r="R177" s="77">
        <f t="shared" ca="1" si="32"/>
        <v>10.917340169504197</v>
      </c>
      <c r="S177" s="77" t="str">
        <f t="shared" ca="1" si="25"/>
        <v>O</v>
      </c>
      <c r="T177" s="84">
        <v>3</v>
      </c>
      <c r="U177" s="84">
        <v>3</v>
      </c>
      <c r="V177" s="84">
        <v>3</v>
      </c>
      <c r="W177" s="84">
        <f t="shared" si="33"/>
        <v>9</v>
      </c>
      <c r="X177" s="84" t="str">
        <f t="shared" si="27"/>
        <v>Penting</v>
      </c>
      <c r="Y177" s="78" t="s">
        <v>1323</v>
      </c>
      <c r="Z177" s="115" t="s">
        <v>81</v>
      </c>
      <c r="AA177" s="82">
        <f>N177+270</f>
        <v>45136</v>
      </c>
      <c r="AB177" s="82"/>
      <c r="AC177" s="82"/>
      <c r="AD177" s="27"/>
      <c r="AE177" s="85"/>
      <c r="AF177" s="77" t="s">
        <v>893</v>
      </c>
      <c r="AG177" s="77" t="s">
        <v>81</v>
      </c>
      <c r="AH177" s="21" t="s">
        <v>81</v>
      </c>
      <c r="AI177" s="21" t="s">
        <v>81</v>
      </c>
      <c r="AJ177" s="21" t="s">
        <v>81</v>
      </c>
      <c r="AK177" s="21" t="s">
        <v>81</v>
      </c>
      <c r="AL177" s="21" t="s">
        <v>81</v>
      </c>
      <c r="AM177" s="27" t="s">
        <v>100</v>
      </c>
      <c r="AN177" s="86">
        <v>44851</v>
      </c>
      <c r="AO177" s="87"/>
      <c r="AP177" s="4"/>
      <c r="AQ177" s="4"/>
      <c r="AR177" s="4"/>
      <c r="AS177" s="4"/>
      <c r="AT177" s="4"/>
    </row>
    <row r="178" spans="1:46" s="88" customFormat="1" ht="111.95" hidden="1" customHeight="1" x14ac:dyDescent="0.25">
      <c r="A178" s="76">
        <v>111</v>
      </c>
      <c r="B178" s="76" t="s">
        <v>74</v>
      </c>
      <c r="C178" s="76" t="s">
        <v>1161</v>
      </c>
      <c r="D178" s="76">
        <v>4</v>
      </c>
      <c r="E178" s="76" t="s">
        <v>82</v>
      </c>
      <c r="F178" s="78" t="s">
        <v>1310</v>
      </c>
      <c r="G178" s="79" t="s">
        <v>901</v>
      </c>
      <c r="H178" s="79" t="s">
        <v>902</v>
      </c>
      <c r="I178" s="80" t="s">
        <v>1339</v>
      </c>
      <c r="J178" s="79" t="s">
        <v>903</v>
      </c>
      <c r="K178" s="79" t="s">
        <v>904</v>
      </c>
      <c r="L178" s="81" t="s">
        <v>186</v>
      </c>
      <c r="M178" s="81"/>
      <c r="N178" s="82">
        <v>44958</v>
      </c>
      <c r="O178" s="82">
        <v>45322</v>
      </c>
      <c r="P178" s="83">
        <f t="shared" si="31"/>
        <v>0.99726027397260275</v>
      </c>
      <c r="Q178" s="77" t="s">
        <v>21</v>
      </c>
      <c r="R178" s="77">
        <f t="shared" ca="1" si="32"/>
        <v>2.0786304920848417</v>
      </c>
      <c r="S178" s="77" t="str">
        <f t="shared" ca="1" si="25"/>
        <v>O</v>
      </c>
      <c r="T178" s="84">
        <v>3</v>
      </c>
      <c r="U178" s="84">
        <v>3</v>
      </c>
      <c r="V178" s="84">
        <v>3</v>
      </c>
      <c r="W178" s="84">
        <f t="shared" si="33"/>
        <v>9</v>
      </c>
      <c r="X178" s="84" t="str">
        <f t="shared" si="27"/>
        <v>Penting</v>
      </c>
      <c r="Y178" s="78"/>
      <c r="Z178" s="115"/>
      <c r="AA178" s="82"/>
      <c r="AB178" s="82"/>
      <c r="AC178" s="82"/>
      <c r="AD178" s="27"/>
      <c r="AE178" s="85"/>
      <c r="AF178" s="77" t="s">
        <v>893</v>
      </c>
      <c r="AG178" s="77" t="s">
        <v>81</v>
      </c>
      <c r="AH178" s="21" t="s">
        <v>81</v>
      </c>
      <c r="AI178" s="21" t="s">
        <v>81</v>
      </c>
      <c r="AJ178" s="21" t="s">
        <v>81</v>
      </c>
      <c r="AK178" s="21" t="s">
        <v>81</v>
      </c>
      <c r="AL178" s="21" t="s">
        <v>81</v>
      </c>
      <c r="AM178" s="27" t="s">
        <v>100</v>
      </c>
      <c r="AN178" s="86">
        <v>44943</v>
      </c>
      <c r="AO178" s="87"/>
      <c r="AP178" s="4"/>
      <c r="AQ178" s="4"/>
      <c r="AR178" s="4"/>
      <c r="AS178" s="4"/>
      <c r="AT178" s="4"/>
    </row>
    <row r="179" spans="1:46" s="88" customFormat="1" ht="111.95" hidden="1" customHeight="1" x14ac:dyDescent="0.25">
      <c r="A179" s="76">
        <v>112</v>
      </c>
      <c r="B179" s="76" t="s">
        <v>74</v>
      </c>
      <c r="C179" s="76" t="s">
        <v>1161</v>
      </c>
      <c r="D179" s="76">
        <v>5</v>
      </c>
      <c r="E179" s="76" t="s">
        <v>82</v>
      </c>
      <c r="F179" s="78" t="s">
        <v>1340</v>
      </c>
      <c r="G179" s="79" t="s">
        <v>901</v>
      </c>
      <c r="H179" s="79" t="s">
        <v>910</v>
      </c>
      <c r="I179" s="80" t="s">
        <v>1338</v>
      </c>
      <c r="J179" s="79" t="s">
        <v>907</v>
      </c>
      <c r="K179" s="79" t="s">
        <v>911</v>
      </c>
      <c r="L179" s="81" t="s">
        <v>186</v>
      </c>
      <c r="M179" s="81"/>
      <c r="N179" s="82">
        <v>45048</v>
      </c>
      <c r="O179" s="82">
        <v>45413</v>
      </c>
      <c r="P179" s="83">
        <f t="shared" si="31"/>
        <v>1</v>
      </c>
      <c r="Q179" s="77" t="s">
        <v>21</v>
      </c>
      <c r="R179" s="77">
        <f t="shared" ca="1" si="32"/>
        <v>5.0141143630525837</v>
      </c>
      <c r="S179" s="77" t="str">
        <f t="shared" ca="1" si="25"/>
        <v>O</v>
      </c>
      <c r="T179" s="84">
        <v>3</v>
      </c>
      <c r="U179" s="84">
        <v>3</v>
      </c>
      <c r="V179" s="84">
        <v>3</v>
      </c>
      <c r="W179" s="84">
        <f t="shared" si="33"/>
        <v>9</v>
      </c>
      <c r="X179" s="84" t="str">
        <f t="shared" si="27"/>
        <v>Penting</v>
      </c>
      <c r="Y179" s="78"/>
      <c r="Z179" s="115"/>
      <c r="AA179" s="82"/>
      <c r="AB179" s="82"/>
      <c r="AC179" s="82"/>
      <c r="AD179" s="27" t="s">
        <v>86</v>
      </c>
      <c r="AE179" s="85">
        <v>44694</v>
      </c>
      <c r="AF179" s="77" t="s">
        <v>893</v>
      </c>
      <c r="AG179" s="77" t="s">
        <v>81</v>
      </c>
      <c r="AH179" s="21" t="s">
        <v>81</v>
      </c>
      <c r="AI179" s="21" t="s">
        <v>81</v>
      </c>
      <c r="AJ179" s="21" t="s">
        <v>81</v>
      </c>
      <c r="AK179" s="21" t="s">
        <v>81</v>
      </c>
      <c r="AL179" s="21" t="s">
        <v>81</v>
      </c>
      <c r="AM179" s="27" t="s">
        <v>100</v>
      </c>
      <c r="AN179" s="86">
        <v>45034</v>
      </c>
      <c r="AO179" s="87"/>
      <c r="AP179" s="4"/>
      <c r="AQ179" s="4"/>
      <c r="AR179" s="4"/>
      <c r="AS179" s="4"/>
      <c r="AT179" s="4"/>
    </row>
    <row r="180" spans="1:46" s="88" customFormat="1" ht="111.95" hidden="1" customHeight="1" x14ac:dyDescent="0.25">
      <c r="A180" s="76">
        <v>113</v>
      </c>
      <c r="B180" s="76" t="s">
        <v>74</v>
      </c>
      <c r="C180" s="76" t="s">
        <v>1160</v>
      </c>
      <c r="D180" s="76">
        <v>1</v>
      </c>
      <c r="E180" s="76" t="s">
        <v>82</v>
      </c>
      <c r="F180" s="78" t="s">
        <v>1354</v>
      </c>
      <c r="G180" s="79" t="s">
        <v>889</v>
      </c>
      <c r="H180" s="79" t="s">
        <v>914</v>
      </c>
      <c r="I180" s="80" t="s">
        <v>1338</v>
      </c>
      <c r="J180" s="79" t="s">
        <v>1355</v>
      </c>
      <c r="K180" s="79"/>
      <c r="L180" s="81">
        <v>37500000</v>
      </c>
      <c r="M180" s="81" t="s">
        <v>916</v>
      </c>
      <c r="N180" s="82">
        <v>45109</v>
      </c>
      <c r="O180" s="82">
        <v>45474</v>
      </c>
      <c r="P180" s="83">
        <f t="shared" si="31"/>
        <v>1</v>
      </c>
      <c r="Q180" s="77" t="s">
        <v>21</v>
      </c>
      <c r="R180" s="77">
        <f t="shared" ca="1" si="32"/>
        <v>6.9818562985364547</v>
      </c>
      <c r="S180" s="77" t="str">
        <f t="shared" ca="1" si="25"/>
        <v>O</v>
      </c>
      <c r="T180" s="84">
        <v>3</v>
      </c>
      <c r="U180" s="84">
        <v>3</v>
      </c>
      <c r="V180" s="84">
        <v>3</v>
      </c>
      <c r="W180" s="84">
        <f t="shared" si="33"/>
        <v>9</v>
      </c>
      <c r="X180" s="84" t="str">
        <f t="shared" si="27"/>
        <v>Penting</v>
      </c>
      <c r="Y180" s="78"/>
      <c r="Z180" s="115"/>
      <c r="AA180" s="82"/>
      <c r="AB180" s="82"/>
      <c r="AC180" s="82"/>
      <c r="AD180" s="27" t="s">
        <v>86</v>
      </c>
      <c r="AE180" s="85">
        <v>43497</v>
      </c>
      <c r="AF180" s="77" t="s">
        <v>893</v>
      </c>
      <c r="AG180" s="77" t="s">
        <v>81</v>
      </c>
      <c r="AH180" s="21" t="s">
        <v>81</v>
      </c>
      <c r="AI180" s="21" t="s">
        <v>81</v>
      </c>
      <c r="AJ180" s="21" t="s">
        <v>81</v>
      </c>
      <c r="AK180" s="21" t="s">
        <v>81</v>
      </c>
      <c r="AL180" s="21" t="s">
        <v>81</v>
      </c>
      <c r="AM180" s="27" t="s">
        <v>100</v>
      </c>
      <c r="AN180" s="86">
        <v>45101</v>
      </c>
      <c r="AO180" s="87"/>
      <c r="AP180" s="4"/>
      <c r="AQ180" s="4"/>
      <c r="AR180" s="4"/>
      <c r="AS180" s="4"/>
      <c r="AT180" s="4"/>
    </row>
    <row r="181" spans="1:46" s="88" customFormat="1" ht="111.95" hidden="1" customHeight="1" x14ac:dyDescent="0.25">
      <c r="A181" s="76">
        <v>114</v>
      </c>
      <c r="B181" s="76" t="s">
        <v>74</v>
      </c>
      <c r="C181" s="76" t="s">
        <v>1160</v>
      </c>
      <c r="D181" s="76">
        <v>2</v>
      </c>
      <c r="E181" s="76" t="s">
        <v>82</v>
      </c>
      <c r="F181" s="78" t="s">
        <v>1475</v>
      </c>
      <c r="G181" s="79" t="s">
        <v>901</v>
      </c>
      <c r="H181" s="79" t="s">
        <v>918</v>
      </c>
      <c r="I181" s="80" t="s">
        <v>1339</v>
      </c>
      <c r="J181" s="79" t="s">
        <v>907</v>
      </c>
      <c r="K181" s="79" t="s">
        <v>919</v>
      </c>
      <c r="L181" s="81" t="s">
        <v>186</v>
      </c>
      <c r="M181" s="81"/>
      <c r="N181" s="82">
        <v>45139</v>
      </c>
      <c r="O181" s="82">
        <v>45504</v>
      </c>
      <c r="P181" s="83">
        <f t="shared" si="31"/>
        <v>1</v>
      </c>
      <c r="Q181" s="77" t="s">
        <v>21</v>
      </c>
      <c r="R181" s="77">
        <f t="shared" ca="1" si="32"/>
        <v>7.9495982340203257</v>
      </c>
      <c r="S181" s="77" t="str">
        <f t="shared" ca="1" si="25"/>
        <v>O</v>
      </c>
      <c r="T181" s="84">
        <v>3</v>
      </c>
      <c r="U181" s="84">
        <v>3</v>
      </c>
      <c r="V181" s="84">
        <v>3</v>
      </c>
      <c r="W181" s="84">
        <f t="shared" si="33"/>
        <v>9</v>
      </c>
      <c r="X181" s="84" t="str">
        <f t="shared" si="27"/>
        <v>Penting</v>
      </c>
      <c r="Y181" s="78"/>
      <c r="Z181" s="115"/>
      <c r="AA181" s="82"/>
      <c r="AB181" s="82"/>
      <c r="AC181" s="82"/>
      <c r="AD181" s="27" t="s">
        <v>86</v>
      </c>
      <c r="AE181" s="85">
        <v>43602</v>
      </c>
      <c r="AF181" s="77" t="s">
        <v>893</v>
      </c>
      <c r="AG181" s="77" t="s">
        <v>81</v>
      </c>
      <c r="AH181" s="21" t="s">
        <v>81</v>
      </c>
      <c r="AI181" s="21" t="s">
        <v>81</v>
      </c>
      <c r="AJ181" s="21" t="s">
        <v>81</v>
      </c>
      <c r="AK181" s="21" t="s">
        <v>81</v>
      </c>
      <c r="AL181" s="21" t="s">
        <v>81</v>
      </c>
      <c r="AM181" s="27" t="s">
        <v>100</v>
      </c>
      <c r="AN181" s="86">
        <v>45134</v>
      </c>
      <c r="AO181" s="87"/>
      <c r="AP181" s="4"/>
      <c r="AQ181" s="4"/>
      <c r="AR181" s="4"/>
      <c r="AS181" s="4"/>
      <c r="AT181" s="4"/>
    </row>
    <row r="182" spans="1:46" s="88" customFormat="1" ht="111.75" hidden="1" customHeight="1" x14ac:dyDescent="0.25">
      <c r="A182" s="76">
        <v>115</v>
      </c>
      <c r="B182" s="76" t="s">
        <v>74</v>
      </c>
      <c r="C182" s="76" t="s">
        <v>1160</v>
      </c>
      <c r="D182" s="76">
        <v>3</v>
      </c>
      <c r="E182" s="76" t="s">
        <v>82</v>
      </c>
      <c r="F182" s="78" t="s">
        <v>1467</v>
      </c>
      <c r="G182" s="79" t="s">
        <v>901</v>
      </c>
      <c r="H182" s="79" t="s">
        <v>921</v>
      </c>
      <c r="I182" s="80" t="s">
        <v>1339</v>
      </c>
      <c r="J182" s="79" t="s">
        <v>903</v>
      </c>
      <c r="K182" s="79" t="s">
        <v>922</v>
      </c>
      <c r="L182" s="81">
        <v>1250000</v>
      </c>
      <c r="M182" s="81" t="s">
        <v>923</v>
      </c>
      <c r="N182" s="82">
        <v>45139</v>
      </c>
      <c r="O182" s="82">
        <v>45504</v>
      </c>
      <c r="P182" s="83">
        <f t="shared" si="31"/>
        <v>1</v>
      </c>
      <c r="Q182" s="77" t="s">
        <v>21</v>
      </c>
      <c r="R182" s="77">
        <f t="shared" ca="1" si="32"/>
        <v>7.9495982340203257</v>
      </c>
      <c r="S182" s="77" t="str">
        <f t="shared" ca="1" si="25"/>
        <v>O</v>
      </c>
      <c r="T182" s="84">
        <v>3</v>
      </c>
      <c r="U182" s="84">
        <v>3</v>
      </c>
      <c r="V182" s="84">
        <v>3</v>
      </c>
      <c r="W182" s="84">
        <f t="shared" si="33"/>
        <v>9</v>
      </c>
      <c r="X182" s="84" t="str">
        <f t="shared" si="27"/>
        <v>Penting</v>
      </c>
      <c r="Y182" s="78"/>
      <c r="Z182" s="115"/>
      <c r="AA182" s="82"/>
      <c r="AB182" s="82"/>
      <c r="AC182" s="82"/>
      <c r="AD182" s="27" t="s">
        <v>86</v>
      </c>
      <c r="AE182" s="85">
        <v>43608</v>
      </c>
      <c r="AF182" s="77" t="s">
        <v>893</v>
      </c>
      <c r="AG182" s="77" t="s">
        <v>81</v>
      </c>
      <c r="AH182" s="21" t="s">
        <v>81</v>
      </c>
      <c r="AI182" s="21" t="s">
        <v>81</v>
      </c>
      <c r="AJ182" s="21" t="s">
        <v>81</v>
      </c>
      <c r="AK182" s="21" t="s">
        <v>81</v>
      </c>
      <c r="AL182" s="21" t="s">
        <v>81</v>
      </c>
      <c r="AM182" s="27" t="s">
        <v>100</v>
      </c>
      <c r="AN182" s="86">
        <v>45134</v>
      </c>
      <c r="AO182" s="87"/>
      <c r="AP182" s="4"/>
      <c r="AQ182" s="4"/>
      <c r="AR182" s="4"/>
      <c r="AS182" s="4"/>
      <c r="AT182" s="4"/>
    </row>
    <row r="183" spans="1:46" s="88" customFormat="1" ht="111.95" hidden="1" customHeight="1" x14ac:dyDescent="0.25">
      <c r="A183" s="76">
        <v>116</v>
      </c>
      <c r="B183" s="76" t="s">
        <v>74</v>
      </c>
      <c r="C183" s="76" t="s">
        <v>1160</v>
      </c>
      <c r="D183" s="76">
        <v>5</v>
      </c>
      <c r="E183" s="76" t="s">
        <v>82</v>
      </c>
      <c r="F183" s="78" t="s">
        <v>1303</v>
      </c>
      <c r="G183" s="79" t="s">
        <v>925</v>
      </c>
      <c r="H183" s="79" t="s">
        <v>930</v>
      </c>
      <c r="I183" s="80" t="s">
        <v>1339</v>
      </c>
      <c r="J183" s="79" t="s">
        <v>927</v>
      </c>
      <c r="K183" s="79" t="s">
        <v>931</v>
      </c>
      <c r="L183" s="81" t="s">
        <v>186</v>
      </c>
      <c r="M183" s="81"/>
      <c r="N183" s="82">
        <v>44947</v>
      </c>
      <c r="O183" s="82">
        <v>45311</v>
      </c>
      <c r="P183" s="83">
        <f t="shared" si="31"/>
        <v>0.99726027397260275</v>
      </c>
      <c r="Q183" s="77" t="s">
        <v>21</v>
      </c>
      <c r="R183" s="77">
        <f t="shared" ca="1" si="32"/>
        <v>1.7237917824074225</v>
      </c>
      <c r="S183" s="77" t="str">
        <f t="shared" ca="1" si="25"/>
        <v>O</v>
      </c>
      <c r="T183" s="84">
        <v>3</v>
      </c>
      <c r="U183" s="84">
        <v>3</v>
      </c>
      <c r="V183" s="84">
        <v>3</v>
      </c>
      <c r="W183" s="84">
        <f t="shared" si="33"/>
        <v>9</v>
      </c>
      <c r="X183" s="84" t="str">
        <f t="shared" si="27"/>
        <v>Penting</v>
      </c>
      <c r="Y183" s="78"/>
      <c r="Z183" s="115"/>
      <c r="AA183" s="82"/>
      <c r="AB183" s="82"/>
      <c r="AC183" s="82"/>
      <c r="AD183" s="27" t="s">
        <v>86</v>
      </c>
      <c r="AE183" s="85">
        <v>43608</v>
      </c>
      <c r="AF183" s="77" t="s">
        <v>893</v>
      </c>
      <c r="AG183" s="77" t="s">
        <v>81</v>
      </c>
      <c r="AH183" s="21" t="s">
        <v>81</v>
      </c>
      <c r="AI183" s="21" t="s">
        <v>81</v>
      </c>
      <c r="AJ183" s="21" t="s">
        <v>81</v>
      </c>
      <c r="AK183" s="21" t="s">
        <v>81</v>
      </c>
      <c r="AL183" s="21" t="s">
        <v>81</v>
      </c>
      <c r="AM183" s="27" t="s">
        <v>100</v>
      </c>
      <c r="AN183" s="86">
        <v>44917</v>
      </c>
      <c r="AO183" s="87"/>
      <c r="AP183" s="4"/>
      <c r="AQ183" s="4"/>
      <c r="AR183" s="4"/>
      <c r="AS183" s="4"/>
      <c r="AT183" s="4"/>
    </row>
    <row r="184" spans="1:46" s="88" customFormat="1" ht="111.95" hidden="1" customHeight="1" x14ac:dyDescent="0.25">
      <c r="A184" s="76">
        <v>117</v>
      </c>
      <c r="B184" s="76" t="s">
        <v>74</v>
      </c>
      <c r="C184" s="76" t="s">
        <v>1163</v>
      </c>
      <c r="D184" s="76">
        <v>1</v>
      </c>
      <c r="E184" s="76" t="s">
        <v>82</v>
      </c>
      <c r="F184" s="78" t="s">
        <v>1294</v>
      </c>
      <c r="G184" s="79" t="s">
        <v>933</v>
      </c>
      <c r="H184" s="79" t="s">
        <v>934</v>
      </c>
      <c r="I184" s="80" t="s">
        <v>1339</v>
      </c>
      <c r="J184" s="79" t="s">
        <v>935</v>
      </c>
      <c r="K184" s="79" t="s">
        <v>936</v>
      </c>
      <c r="L184" s="81" t="s">
        <v>186</v>
      </c>
      <c r="M184" s="81"/>
      <c r="N184" s="82">
        <v>44942</v>
      </c>
      <c r="O184" s="82">
        <v>45306</v>
      </c>
      <c r="P184" s="83">
        <f t="shared" si="31"/>
        <v>0.99726027397260275</v>
      </c>
      <c r="Q184" s="77" t="s">
        <v>21</v>
      </c>
      <c r="R184" s="77">
        <f t="shared" ca="1" si="32"/>
        <v>1.5625014598267772</v>
      </c>
      <c r="S184" s="77" t="str">
        <f t="shared" ca="1" si="25"/>
        <v>O</v>
      </c>
      <c r="T184" s="84">
        <v>3</v>
      </c>
      <c r="U184" s="84">
        <v>3</v>
      </c>
      <c r="V184" s="84">
        <v>3</v>
      </c>
      <c r="W184" s="84">
        <f t="shared" si="33"/>
        <v>9</v>
      </c>
      <c r="X184" s="84" t="str">
        <f t="shared" si="27"/>
        <v>Penting</v>
      </c>
      <c r="Y184" s="78"/>
      <c r="Z184" s="115"/>
      <c r="AA184" s="82"/>
      <c r="AB184" s="82"/>
      <c r="AC184" s="82"/>
      <c r="AD184" s="27" t="s">
        <v>86</v>
      </c>
      <c r="AE184" s="85">
        <v>44576</v>
      </c>
      <c r="AF184" s="77" t="s">
        <v>893</v>
      </c>
      <c r="AG184" s="77" t="s">
        <v>81</v>
      </c>
      <c r="AH184" s="21" t="s">
        <v>81</v>
      </c>
      <c r="AI184" s="21" t="s">
        <v>81</v>
      </c>
      <c r="AJ184" s="21" t="s">
        <v>81</v>
      </c>
      <c r="AK184" s="21" t="s">
        <v>81</v>
      </c>
      <c r="AL184" s="21" t="s">
        <v>81</v>
      </c>
      <c r="AM184" s="27" t="s">
        <v>100</v>
      </c>
      <c r="AN184" s="86">
        <v>44917</v>
      </c>
      <c r="AO184" s="87"/>
      <c r="AP184" s="4"/>
      <c r="AQ184" s="4"/>
      <c r="AR184" s="4"/>
      <c r="AS184" s="4"/>
      <c r="AT184" s="4"/>
    </row>
    <row r="185" spans="1:46" s="88" customFormat="1" ht="111.95" hidden="1" customHeight="1" x14ac:dyDescent="0.25">
      <c r="A185" s="76">
        <v>118</v>
      </c>
      <c r="B185" s="76" t="s">
        <v>74</v>
      </c>
      <c r="C185" s="76" t="s">
        <v>1163</v>
      </c>
      <c r="D185" s="76">
        <v>2</v>
      </c>
      <c r="E185" s="76" t="s">
        <v>82</v>
      </c>
      <c r="F185" s="78" t="s">
        <v>1316</v>
      </c>
      <c r="G185" s="79" t="s">
        <v>933</v>
      </c>
      <c r="H185" s="79" t="s">
        <v>938</v>
      </c>
      <c r="I185" s="80" t="s">
        <v>1339</v>
      </c>
      <c r="J185" s="79" t="s">
        <v>1317</v>
      </c>
      <c r="K185" s="79" t="s">
        <v>939</v>
      </c>
      <c r="L185" s="81" t="s">
        <v>186</v>
      </c>
      <c r="M185" s="81"/>
      <c r="N185" s="82">
        <v>44973</v>
      </c>
      <c r="O185" s="82">
        <v>45337</v>
      </c>
      <c r="P185" s="83">
        <f t="shared" si="31"/>
        <v>0.99726027397260275</v>
      </c>
      <c r="Q185" s="77" t="s">
        <v>21</v>
      </c>
      <c r="R185" s="77">
        <f t="shared" ca="1" si="32"/>
        <v>2.5625014598267772</v>
      </c>
      <c r="S185" s="77" t="str">
        <f t="shared" ca="1" si="25"/>
        <v>O</v>
      </c>
      <c r="T185" s="84">
        <v>3</v>
      </c>
      <c r="U185" s="84">
        <v>3</v>
      </c>
      <c r="V185" s="84">
        <v>3</v>
      </c>
      <c r="W185" s="84">
        <f t="shared" si="33"/>
        <v>9</v>
      </c>
      <c r="X185" s="84" t="str">
        <f t="shared" si="27"/>
        <v>Penting</v>
      </c>
      <c r="Y185" s="78"/>
      <c r="Z185" s="115"/>
      <c r="AA185" s="82"/>
      <c r="AB185" s="82"/>
      <c r="AC185" s="82"/>
      <c r="AD185" s="27" t="s">
        <v>86</v>
      </c>
      <c r="AE185" s="85">
        <v>44630</v>
      </c>
      <c r="AF185" s="77" t="s">
        <v>893</v>
      </c>
      <c r="AG185" s="77" t="s">
        <v>81</v>
      </c>
      <c r="AH185" s="21" t="s">
        <v>81</v>
      </c>
      <c r="AI185" s="21" t="s">
        <v>81</v>
      </c>
      <c r="AJ185" s="21" t="s">
        <v>81</v>
      </c>
      <c r="AK185" s="21" t="s">
        <v>81</v>
      </c>
      <c r="AL185" s="21" t="s">
        <v>81</v>
      </c>
      <c r="AM185" s="27" t="s">
        <v>100</v>
      </c>
      <c r="AN185" s="86">
        <v>44967</v>
      </c>
      <c r="AO185" s="87"/>
      <c r="AP185" s="4"/>
      <c r="AQ185" s="4"/>
      <c r="AR185" s="4"/>
      <c r="AS185" s="4"/>
      <c r="AT185" s="4"/>
    </row>
    <row r="186" spans="1:46" s="88" customFormat="1" ht="111.95" hidden="1" customHeight="1" x14ac:dyDescent="0.25">
      <c r="A186" s="76">
        <v>119</v>
      </c>
      <c r="B186" s="76" t="s">
        <v>74</v>
      </c>
      <c r="C186" s="76" t="s">
        <v>1163</v>
      </c>
      <c r="D186" s="76">
        <v>3</v>
      </c>
      <c r="E186" s="76" t="s">
        <v>82</v>
      </c>
      <c r="F186" s="78" t="s">
        <v>1332</v>
      </c>
      <c r="G186" s="79" t="s">
        <v>933</v>
      </c>
      <c r="H186" s="79" t="s">
        <v>1333</v>
      </c>
      <c r="I186" s="80" t="s">
        <v>1339</v>
      </c>
      <c r="J186" s="79" t="s">
        <v>1318</v>
      </c>
      <c r="K186" s="79" t="s">
        <v>1334</v>
      </c>
      <c r="L186" s="81" t="s">
        <v>186</v>
      </c>
      <c r="M186" s="81"/>
      <c r="N186" s="82">
        <v>44973</v>
      </c>
      <c r="O186" s="82">
        <v>45337</v>
      </c>
      <c r="P186" s="83">
        <f t="shared" si="31"/>
        <v>0.99726027397260275</v>
      </c>
      <c r="Q186" s="77" t="s">
        <v>21</v>
      </c>
      <c r="R186" s="77">
        <f t="shared" ca="1" si="32"/>
        <v>2.5625014598267772</v>
      </c>
      <c r="S186" s="77" t="str">
        <f t="shared" ca="1" si="25"/>
        <v>O</v>
      </c>
      <c r="T186" s="84">
        <v>3</v>
      </c>
      <c r="U186" s="84">
        <v>3</v>
      </c>
      <c r="V186" s="84">
        <v>3</v>
      </c>
      <c r="W186" s="84">
        <f t="shared" si="33"/>
        <v>9</v>
      </c>
      <c r="X186" s="84" t="str">
        <f t="shared" si="27"/>
        <v>Penting</v>
      </c>
      <c r="Y186" s="78"/>
      <c r="Z186" s="115"/>
      <c r="AA186" s="82"/>
      <c r="AB186" s="82"/>
      <c r="AC186" s="82"/>
      <c r="AD186" s="27"/>
      <c r="AE186" s="85"/>
      <c r="AF186" s="77" t="s">
        <v>893</v>
      </c>
      <c r="AG186" s="77" t="s">
        <v>81</v>
      </c>
      <c r="AH186" s="21" t="s">
        <v>81</v>
      </c>
      <c r="AI186" s="21" t="s">
        <v>81</v>
      </c>
      <c r="AJ186" s="21" t="s">
        <v>81</v>
      </c>
      <c r="AK186" s="21" t="s">
        <v>81</v>
      </c>
      <c r="AL186" s="21" t="s">
        <v>81</v>
      </c>
      <c r="AM186" s="27" t="s">
        <v>100</v>
      </c>
      <c r="AN186" s="86">
        <v>44981</v>
      </c>
      <c r="AO186" s="87"/>
      <c r="AP186" s="4"/>
      <c r="AQ186" s="4"/>
      <c r="AR186" s="4"/>
      <c r="AS186" s="4"/>
      <c r="AT186" s="4"/>
    </row>
    <row r="187" spans="1:46" s="88" customFormat="1" ht="111.95" hidden="1" customHeight="1" x14ac:dyDescent="0.25">
      <c r="A187" s="76">
        <v>120</v>
      </c>
      <c r="B187" s="76" t="s">
        <v>74</v>
      </c>
      <c r="C187" s="76" t="s">
        <v>1163</v>
      </c>
      <c r="D187" s="76">
        <v>4</v>
      </c>
      <c r="E187" s="76" t="s">
        <v>82</v>
      </c>
      <c r="F187" s="78" t="s">
        <v>942</v>
      </c>
      <c r="G187" s="79" t="s">
        <v>925</v>
      </c>
      <c r="H187" s="79" t="s">
        <v>943</v>
      </c>
      <c r="I187" s="80" t="s">
        <v>1339</v>
      </c>
      <c r="J187" s="79" t="s">
        <v>927</v>
      </c>
      <c r="K187" s="79" t="s">
        <v>944</v>
      </c>
      <c r="L187" s="81" t="s">
        <v>186</v>
      </c>
      <c r="M187" s="81"/>
      <c r="N187" s="82">
        <v>44805</v>
      </c>
      <c r="O187" s="82">
        <v>45169</v>
      </c>
      <c r="P187" s="83">
        <f t="shared" si="31"/>
        <v>0.99726027397260275</v>
      </c>
      <c r="Q187" s="77" t="s">
        <v>21</v>
      </c>
      <c r="R187" s="77">
        <f t="shared" ca="1" si="32"/>
        <v>-2.8568533788829003</v>
      </c>
      <c r="S187" s="77" t="str">
        <f t="shared" ca="1" si="25"/>
        <v>Y</v>
      </c>
      <c r="T187" s="84">
        <v>3</v>
      </c>
      <c r="U187" s="84">
        <v>3</v>
      </c>
      <c r="V187" s="84">
        <v>3</v>
      </c>
      <c r="W187" s="84">
        <f t="shared" si="33"/>
        <v>9</v>
      </c>
      <c r="X187" s="84" t="str">
        <f t="shared" si="27"/>
        <v>Penting</v>
      </c>
      <c r="Y187" s="78"/>
      <c r="Z187" s="115"/>
      <c r="AA187" s="82"/>
      <c r="AB187" s="82"/>
      <c r="AC187" s="82"/>
      <c r="AD187" s="27" t="s">
        <v>86</v>
      </c>
      <c r="AE187" s="85">
        <v>44805</v>
      </c>
      <c r="AF187" s="77" t="s">
        <v>893</v>
      </c>
      <c r="AG187" s="77" t="s">
        <v>81</v>
      </c>
      <c r="AH187" s="21" t="s">
        <v>81</v>
      </c>
      <c r="AI187" s="21" t="s">
        <v>81</v>
      </c>
      <c r="AJ187" s="21" t="s">
        <v>81</v>
      </c>
      <c r="AK187" s="21" t="s">
        <v>81</v>
      </c>
      <c r="AL187" s="21" t="s">
        <v>81</v>
      </c>
      <c r="AM187" s="27" t="s">
        <v>100</v>
      </c>
      <c r="AN187" s="86">
        <v>44819</v>
      </c>
      <c r="AO187" s="87"/>
      <c r="AP187" s="4"/>
      <c r="AQ187" s="4"/>
      <c r="AR187" s="4"/>
      <c r="AS187" s="4"/>
      <c r="AT187" s="4"/>
    </row>
    <row r="188" spans="1:46" s="88" customFormat="1" ht="111.95" hidden="1" customHeight="1" x14ac:dyDescent="0.25">
      <c r="A188" s="76">
        <v>121</v>
      </c>
      <c r="B188" s="76" t="s">
        <v>74</v>
      </c>
      <c r="C188" s="76" t="s">
        <v>1163</v>
      </c>
      <c r="D188" s="76">
        <v>5</v>
      </c>
      <c r="E188" s="76" t="s">
        <v>82</v>
      </c>
      <c r="F188" s="78" t="s">
        <v>75</v>
      </c>
      <c r="G188" s="79" t="s">
        <v>945</v>
      </c>
      <c r="H188" s="79" t="s">
        <v>946</v>
      </c>
      <c r="I188" s="80" t="s">
        <v>1339</v>
      </c>
      <c r="J188" s="79" t="s">
        <v>947</v>
      </c>
      <c r="K188" s="79"/>
      <c r="L188" s="81" t="s">
        <v>186</v>
      </c>
      <c r="M188" s="81"/>
      <c r="N188" s="82">
        <v>44881</v>
      </c>
      <c r="O188" s="82">
        <v>45245</v>
      </c>
      <c r="P188" s="83">
        <f t="shared" si="31"/>
        <v>0.99726027397260275</v>
      </c>
      <c r="Q188" s="77" t="s">
        <v>21</v>
      </c>
      <c r="R188" s="77">
        <f t="shared" ca="1" si="32"/>
        <v>-0.4052404756570937</v>
      </c>
      <c r="S188" s="77" t="str">
        <f t="shared" ca="1" si="25"/>
        <v>Y</v>
      </c>
      <c r="T188" s="84">
        <v>2</v>
      </c>
      <c r="U188" s="84">
        <v>3</v>
      </c>
      <c r="V188" s="84">
        <v>2</v>
      </c>
      <c r="W188" s="84">
        <f t="shared" si="33"/>
        <v>7</v>
      </c>
      <c r="X188" s="84" t="str">
        <f t="shared" si="27"/>
        <v>Penting</v>
      </c>
      <c r="Y188" s="78"/>
      <c r="Z188" s="115"/>
      <c r="AA188" s="82"/>
      <c r="AB188" s="82"/>
      <c r="AC188" s="82"/>
      <c r="AD188" s="27" t="s">
        <v>86</v>
      </c>
      <c r="AE188" s="85">
        <v>44866</v>
      </c>
      <c r="AF188" s="77" t="s">
        <v>893</v>
      </c>
      <c r="AG188" s="77" t="s">
        <v>81</v>
      </c>
      <c r="AH188" s="21" t="s">
        <v>81</v>
      </c>
      <c r="AI188" s="21" t="s">
        <v>81</v>
      </c>
      <c r="AJ188" s="21" t="s">
        <v>81</v>
      </c>
      <c r="AK188" s="21" t="s">
        <v>81</v>
      </c>
      <c r="AL188" s="21" t="s">
        <v>81</v>
      </c>
      <c r="AM188" s="27" t="s">
        <v>100</v>
      </c>
      <c r="AN188" s="86">
        <v>44860</v>
      </c>
      <c r="AO188" s="87"/>
      <c r="AP188" s="4"/>
      <c r="AQ188" s="4"/>
      <c r="AR188" s="4"/>
      <c r="AS188" s="4"/>
      <c r="AT188" s="4"/>
    </row>
    <row r="189" spans="1:46" s="88" customFormat="1" ht="111.95" hidden="1" customHeight="1" x14ac:dyDescent="0.25">
      <c r="A189" s="76">
        <v>122</v>
      </c>
      <c r="B189" s="76" t="s">
        <v>74</v>
      </c>
      <c r="C189" s="76" t="s">
        <v>1163</v>
      </c>
      <c r="D189" s="76">
        <v>6</v>
      </c>
      <c r="E189" s="76" t="s">
        <v>82</v>
      </c>
      <c r="F189" s="78" t="s">
        <v>1319</v>
      </c>
      <c r="G189" s="79" t="s">
        <v>945</v>
      </c>
      <c r="H189" s="79" t="s">
        <v>1320</v>
      </c>
      <c r="I189" s="80" t="s">
        <v>1339</v>
      </c>
      <c r="J189" s="79" t="s">
        <v>1321</v>
      </c>
      <c r="K189" s="79" t="s">
        <v>1322</v>
      </c>
      <c r="L189" s="81" t="s">
        <v>186</v>
      </c>
      <c r="M189" s="81"/>
      <c r="N189" s="82">
        <v>44928</v>
      </c>
      <c r="O189" s="82">
        <v>45292</v>
      </c>
      <c r="P189" s="83">
        <f t="shared" si="31"/>
        <v>0.99726027397260275</v>
      </c>
      <c r="Q189" s="77" t="s">
        <v>21</v>
      </c>
      <c r="R189" s="77">
        <f t="shared" ca="1" si="32"/>
        <v>1.1108885566009707</v>
      </c>
      <c r="S189" s="77" t="str">
        <f t="shared" ca="1" si="25"/>
        <v>O</v>
      </c>
      <c r="T189" s="84">
        <v>1</v>
      </c>
      <c r="U189" s="84">
        <v>3</v>
      </c>
      <c r="V189" s="84">
        <v>2</v>
      </c>
      <c r="W189" s="84">
        <f t="shared" si="33"/>
        <v>6</v>
      </c>
      <c r="X189" s="84" t="str">
        <f t="shared" si="27"/>
        <v>Penting</v>
      </c>
      <c r="Y189" s="78"/>
      <c r="Z189" s="115"/>
      <c r="AA189" s="82"/>
      <c r="AB189" s="82"/>
      <c r="AC189" s="82"/>
      <c r="AD189" s="27"/>
      <c r="AE189" s="85"/>
      <c r="AF189" s="77" t="s">
        <v>893</v>
      </c>
      <c r="AG189" s="77" t="s">
        <v>81</v>
      </c>
      <c r="AH189" s="21" t="s">
        <v>81</v>
      </c>
      <c r="AI189" s="21" t="s">
        <v>81</v>
      </c>
      <c r="AJ189" s="21" t="s">
        <v>81</v>
      </c>
      <c r="AK189" s="21" t="s">
        <v>81</v>
      </c>
      <c r="AL189" s="21" t="s">
        <v>81</v>
      </c>
      <c r="AM189" s="27" t="s">
        <v>100</v>
      </c>
      <c r="AN189" s="86">
        <v>44967</v>
      </c>
      <c r="AO189" s="87"/>
      <c r="AP189" s="4"/>
      <c r="AQ189" s="4"/>
      <c r="AR189" s="4"/>
      <c r="AS189" s="4"/>
      <c r="AT189" s="4"/>
    </row>
    <row r="190" spans="1:46" s="88" customFormat="1" ht="111.95" hidden="1" customHeight="1" x14ac:dyDescent="0.25">
      <c r="A190" s="76">
        <v>123</v>
      </c>
      <c r="B190" s="76" t="s">
        <v>74</v>
      </c>
      <c r="C190" s="76" t="s">
        <v>1164</v>
      </c>
      <c r="D190" s="76">
        <v>1</v>
      </c>
      <c r="E190" s="76" t="s">
        <v>82</v>
      </c>
      <c r="F190" s="78" t="s">
        <v>1423</v>
      </c>
      <c r="G190" s="79" t="s">
        <v>1380</v>
      </c>
      <c r="H190" s="79" t="s">
        <v>166</v>
      </c>
      <c r="I190" s="80" t="s">
        <v>1339</v>
      </c>
      <c r="J190" s="79" t="s">
        <v>171</v>
      </c>
      <c r="K190" s="79" t="s">
        <v>1424</v>
      </c>
      <c r="L190" s="81">
        <v>99600278.959999993</v>
      </c>
      <c r="M190" s="81" t="s">
        <v>96</v>
      </c>
      <c r="N190" s="82">
        <v>45108</v>
      </c>
      <c r="O190" s="82">
        <v>45291</v>
      </c>
      <c r="P190" s="83">
        <f t="shared" si="31"/>
        <v>0.50136986301369868</v>
      </c>
      <c r="Q190" s="77" t="s">
        <v>19</v>
      </c>
      <c r="R190" s="77">
        <f t="shared" ca="1" si="32"/>
        <v>1.0786304920848417</v>
      </c>
      <c r="S190" s="77" t="str">
        <f t="shared" ca="1" si="25"/>
        <v>O</v>
      </c>
      <c r="T190" s="84">
        <v>1</v>
      </c>
      <c r="U190" s="84">
        <v>2</v>
      </c>
      <c r="V190" s="84">
        <v>1</v>
      </c>
      <c r="W190" s="84">
        <v>5</v>
      </c>
      <c r="X190" s="84" t="str">
        <f t="shared" si="27"/>
        <v>Biasa</v>
      </c>
      <c r="Y190" s="78"/>
      <c r="Z190" s="115"/>
      <c r="AA190" s="82"/>
      <c r="AB190" s="82"/>
      <c r="AC190" s="82"/>
      <c r="AD190" s="27"/>
      <c r="AE190" s="85"/>
      <c r="AF190" s="77" t="s">
        <v>168</v>
      </c>
      <c r="AG190" s="77" t="s">
        <v>81</v>
      </c>
      <c r="AH190" s="21" t="s">
        <v>81</v>
      </c>
      <c r="AI190" s="21" t="s">
        <v>81</v>
      </c>
      <c r="AJ190" s="21" t="s">
        <v>81</v>
      </c>
      <c r="AK190" s="21" t="s">
        <v>81</v>
      </c>
      <c r="AL190" s="21" t="s">
        <v>81</v>
      </c>
      <c r="AM190" s="27" t="s">
        <v>100</v>
      </c>
      <c r="AN190" s="86">
        <v>45101</v>
      </c>
      <c r="AO190" s="87"/>
      <c r="AP190" s="4"/>
      <c r="AQ190" s="4"/>
      <c r="AR190" s="4"/>
      <c r="AS190" s="4"/>
      <c r="AT190" s="4"/>
    </row>
    <row r="191" spans="1:46" s="88" customFormat="1" ht="111.95" hidden="1" customHeight="1" x14ac:dyDescent="0.25">
      <c r="A191" s="76">
        <v>124</v>
      </c>
      <c r="B191" s="76" t="s">
        <v>74</v>
      </c>
      <c r="C191" s="76" t="s">
        <v>1164</v>
      </c>
      <c r="D191" s="76">
        <v>2</v>
      </c>
      <c r="E191" s="76" t="s">
        <v>82</v>
      </c>
      <c r="F191" s="78" t="s">
        <v>1269</v>
      </c>
      <c r="G191" s="79" t="s">
        <v>209</v>
      </c>
      <c r="H191" s="79" t="s">
        <v>170</v>
      </c>
      <c r="I191" s="80" t="s">
        <v>1339</v>
      </c>
      <c r="J191" s="79" t="s">
        <v>210</v>
      </c>
      <c r="K191" s="79" t="s">
        <v>211</v>
      </c>
      <c r="L191" s="81">
        <v>5997600</v>
      </c>
      <c r="M191" s="81" t="s">
        <v>96</v>
      </c>
      <c r="N191" s="82">
        <v>44927</v>
      </c>
      <c r="O191" s="82">
        <v>45291</v>
      </c>
      <c r="P191" s="83">
        <f t="shared" si="31"/>
        <v>0.99726027397260275</v>
      </c>
      <c r="Q191" s="77" t="s">
        <v>19</v>
      </c>
      <c r="R191" s="77">
        <f t="shared" ca="1" si="32"/>
        <v>1.0786304920848417</v>
      </c>
      <c r="S191" s="77" t="str">
        <f t="shared" ca="1" si="25"/>
        <v>O</v>
      </c>
      <c r="T191" s="84">
        <v>1</v>
      </c>
      <c r="U191" s="84">
        <v>1</v>
      </c>
      <c r="V191" s="84">
        <v>1</v>
      </c>
      <c r="W191" s="84">
        <f t="shared" ref="W191:W222" si="34">T191+U191+V191</f>
        <v>3</v>
      </c>
      <c r="X191" s="84" t="str">
        <f t="shared" si="27"/>
        <v>Biasa</v>
      </c>
      <c r="Y191" s="78"/>
      <c r="Z191" s="115"/>
      <c r="AA191" s="82"/>
      <c r="AB191" s="82"/>
      <c r="AC191" s="82"/>
      <c r="AD191" s="27"/>
      <c r="AE191" s="85"/>
      <c r="AF191" s="77" t="s">
        <v>192</v>
      </c>
      <c r="AG191" s="77" t="s">
        <v>81</v>
      </c>
      <c r="AH191" s="21" t="s">
        <v>81</v>
      </c>
      <c r="AI191" s="21" t="s">
        <v>81</v>
      </c>
      <c r="AJ191" s="21" t="s">
        <v>81</v>
      </c>
      <c r="AK191" s="21" t="s">
        <v>81</v>
      </c>
      <c r="AL191" s="21" t="s">
        <v>81</v>
      </c>
      <c r="AM191" s="27" t="s">
        <v>100</v>
      </c>
      <c r="AN191" s="86">
        <v>44917</v>
      </c>
      <c r="AO191" s="87"/>
      <c r="AP191" s="4"/>
      <c r="AQ191" s="4"/>
      <c r="AR191" s="4"/>
      <c r="AS191" s="4"/>
      <c r="AT191" s="4"/>
    </row>
    <row r="192" spans="1:46" s="88" customFormat="1" ht="111.95" hidden="1" customHeight="1" x14ac:dyDescent="0.25">
      <c r="A192" s="76">
        <v>125</v>
      </c>
      <c r="B192" s="76" t="s">
        <v>74</v>
      </c>
      <c r="C192" s="76" t="s">
        <v>1164</v>
      </c>
      <c r="D192" s="76">
        <v>3</v>
      </c>
      <c r="E192" s="76" t="s">
        <v>82</v>
      </c>
      <c r="F192" s="78" t="s">
        <v>1379</v>
      </c>
      <c r="G192" s="79" t="s">
        <v>1380</v>
      </c>
      <c r="H192" s="79" t="s">
        <v>166</v>
      </c>
      <c r="I192" s="80" t="s">
        <v>1339</v>
      </c>
      <c r="J192" s="79" t="s">
        <v>167</v>
      </c>
      <c r="K192" s="79" t="s">
        <v>1381</v>
      </c>
      <c r="L192" s="81">
        <v>12818516.41</v>
      </c>
      <c r="M192" s="81" t="s">
        <v>96</v>
      </c>
      <c r="N192" s="82">
        <v>45108</v>
      </c>
      <c r="O192" s="82">
        <v>45291</v>
      </c>
      <c r="P192" s="83">
        <f t="shared" si="31"/>
        <v>0.50136986301369868</v>
      </c>
      <c r="Q192" s="77" t="s">
        <v>19</v>
      </c>
      <c r="R192" s="77">
        <f t="shared" ca="1" si="32"/>
        <v>1.0786304920848417</v>
      </c>
      <c r="S192" s="77" t="str">
        <f t="shared" ca="1" si="25"/>
        <v>O</v>
      </c>
      <c r="T192" s="84">
        <v>1</v>
      </c>
      <c r="U192" s="84">
        <v>1</v>
      </c>
      <c r="V192" s="84">
        <v>1</v>
      </c>
      <c r="W192" s="84">
        <f t="shared" si="34"/>
        <v>3</v>
      </c>
      <c r="X192" s="84" t="str">
        <f t="shared" si="27"/>
        <v>Biasa</v>
      </c>
      <c r="Y192" s="78"/>
      <c r="Z192" s="115"/>
      <c r="AA192" s="82"/>
      <c r="AB192" s="82"/>
      <c r="AC192" s="82"/>
      <c r="AD192" s="27"/>
      <c r="AE192" s="85"/>
      <c r="AF192" s="77" t="s">
        <v>168</v>
      </c>
      <c r="AG192" s="77" t="s">
        <v>81</v>
      </c>
      <c r="AH192" s="21" t="s">
        <v>81</v>
      </c>
      <c r="AI192" s="21" t="s">
        <v>81</v>
      </c>
      <c r="AJ192" s="21" t="s">
        <v>81</v>
      </c>
      <c r="AK192" s="21" t="s">
        <v>81</v>
      </c>
      <c r="AL192" s="21" t="s">
        <v>81</v>
      </c>
      <c r="AM192" s="27" t="s">
        <v>100</v>
      </c>
      <c r="AN192" s="86">
        <v>45091</v>
      </c>
      <c r="AO192" s="87"/>
      <c r="AP192" s="4"/>
      <c r="AQ192" s="4"/>
      <c r="AR192" s="4"/>
      <c r="AS192" s="4"/>
      <c r="AT192" s="4"/>
    </row>
    <row r="193" spans="1:47" s="88" customFormat="1" ht="111.95" hidden="1" customHeight="1" x14ac:dyDescent="0.25">
      <c r="A193" s="76">
        <v>126</v>
      </c>
      <c r="B193" s="76" t="s">
        <v>74</v>
      </c>
      <c r="C193" s="76" t="s">
        <v>1164</v>
      </c>
      <c r="D193" s="76">
        <v>4</v>
      </c>
      <c r="E193" s="76" t="s">
        <v>82</v>
      </c>
      <c r="F193" s="78" t="s">
        <v>1278</v>
      </c>
      <c r="G193" s="79" t="s">
        <v>175</v>
      </c>
      <c r="H193" s="79" t="s">
        <v>166</v>
      </c>
      <c r="I193" s="80" t="s">
        <v>1339</v>
      </c>
      <c r="J193" s="79" t="s">
        <v>173</v>
      </c>
      <c r="K193" s="79" t="s">
        <v>1424</v>
      </c>
      <c r="L193" s="81">
        <v>89584615</v>
      </c>
      <c r="M193" s="81" t="s">
        <v>96</v>
      </c>
      <c r="N193" s="82">
        <v>44927</v>
      </c>
      <c r="O193" s="82">
        <v>45291</v>
      </c>
      <c r="P193" s="83">
        <f t="shared" si="31"/>
        <v>0.99726027397260275</v>
      </c>
      <c r="Q193" s="77" t="s">
        <v>19</v>
      </c>
      <c r="R193" s="77">
        <f t="shared" ca="1" si="32"/>
        <v>1.0786304920848417</v>
      </c>
      <c r="S193" s="77" t="str">
        <f t="shared" ca="1" si="25"/>
        <v>O</v>
      </c>
      <c r="T193" s="84">
        <v>1</v>
      </c>
      <c r="U193" s="84">
        <v>2</v>
      </c>
      <c r="V193" s="84">
        <v>1</v>
      </c>
      <c r="W193" s="84">
        <f t="shared" si="34"/>
        <v>4</v>
      </c>
      <c r="X193" s="84" t="str">
        <f t="shared" si="27"/>
        <v>Biasa</v>
      </c>
      <c r="Y193" s="78"/>
      <c r="Z193" s="115"/>
      <c r="AA193" s="82"/>
      <c r="AB193" s="82"/>
      <c r="AC193" s="82"/>
      <c r="AD193" s="27"/>
      <c r="AE193" s="85"/>
      <c r="AF193" s="77" t="s">
        <v>168</v>
      </c>
      <c r="AG193" s="77" t="s">
        <v>81</v>
      </c>
      <c r="AH193" s="21" t="s">
        <v>81</v>
      </c>
      <c r="AI193" s="21" t="s">
        <v>81</v>
      </c>
      <c r="AJ193" s="21" t="s">
        <v>81</v>
      </c>
      <c r="AK193" s="21" t="s">
        <v>81</v>
      </c>
      <c r="AL193" s="21" t="s">
        <v>81</v>
      </c>
      <c r="AM193" s="27" t="s">
        <v>100</v>
      </c>
      <c r="AN193" s="86">
        <v>44925</v>
      </c>
      <c r="AO193" s="87"/>
      <c r="AP193" s="4"/>
      <c r="AQ193" s="4"/>
      <c r="AR193" s="4"/>
      <c r="AS193" s="4"/>
      <c r="AT193" s="4"/>
    </row>
    <row r="194" spans="1:47" s="88" customFormat="1" ht="111.95" hidden="1" customHeight="1" x14ac:dyDescent="0.25">
      <c r="A194" s="76">
        <v>127</v>
      </c>
      <c r="B194" s="76" t="s">
        <v>74</v>
      </c>
      <c r="C194" s="76" t="s">
        <v>1164</v>
      </c>
      <c r="D194" s="76">
        <v>5</v>
      </c>
      <c r="E194" s="76" t="s">
        <v>82</v>
      </c>
      <c r="F194" s="78" t="s">
        <v>1454</v>
      </c>
      <c r="G194" s="79" t="s">
        <v>198</v>
      </c>
      <c r="H194" s="79" t="s">
        <v>201</v>
      </c>
      <c r="I194" s="80" t="s">
        <v>1338</v>
      </c>
      <c r="J194" s="79" t="s">
        <v>199</v>
      </c>
      <c r="K194" s="79" t="s">
        <v>202</v>
      </c>
      <c r="L194" s="81"/>
      <c r="M194" s="81"/>
      <c r="N194" s="82">
        <v>45108</v>
      </c>
      <c r="O194" s="82">
        <v>45169</v>
      </c>
      <c r="P194" s="83">
        <f t="shared" si="31"/>
        <v>0.16712328767123288</v>
      </c>
      <c r="Q194" s="77" t="s">
        <v>19</v>
      </c>
      <c r="R194" s="77">
        <f t="shared" ca="1" si="32"/>
        <v>-2.8568533788829003</v>
      </c>
      <c r="S194" s="77" t="str">
        <f t="shared" ca="1" si="25"/>
        <v>Y</v>
      </c>
      <c r="T194" s="84">
        <v>1</v>
      </c>
      <c r="U194" s="84">
        <v>1</v>
      </c>
      <c r="V194" s="84">
        <v>1</v>
      </c>
      <c r="W194" s="84">
        <f t="shared" si="34"/>
        <v>3</v>
      </c>
      <c r="X194" s="84" t="str">
        <f t="shared" si="27"/>
        <v>Biasa</v>
      </c>
      <c r="Y194" s="78"/>
      <c r="Z194" s="115"/>
      <c r="AA194" s="82"/>
      <c r="AB194" s="82"/>
      <c r="AC194" s="82"/>
      <c r="AD194" s="27" t="s">
        <v>86</v>
      </c>
      <c r="AE194" s="85">
        <v>44256</v>
      </c>
      <c r="AF194" s="77" t="s">
        <v>168</v>
      </c>
      <c r="AG194" s="77" t="s">
        <v>81</v>
      </c>
      <c r="AH194" s="21" t="s">
        <v>81</v>
      </c>
      <c r="AI194" s="21" t="s">
        <v>81</v>
      </c>
      <c r="AJ194" s="21" t="s">
        <v>81</v>
      </c>
      <c r="AK194" s="21" t="s">
        <v>81</v>
      </c>
      <c r="AL194" s="21" t="s">
        <v>81</v>
      </c>
      <c r="AM194" s="27" t="s">
        <v>100</v>
      </c>
      <c r="AN194" s="86">
        <v>45104</v>
      </c>
      <c r="AO194" s="87"/>
      <c r="AP194" s="4"/>
      <c r="AQ194" s="4"/>
      <c r="AR194" s="4"/>
      <c r="AS194" s="4"/>
      <c r="AT194" s="4"/>
    </row>
    <row r="195" spans="1:47" s="88" customFormat="1" ht="111.75" hidden="1" customHeight="1" x14ac:dyDescent="0.25">
      <c r="A195" s="76">
        <v>128</v>
      </c>
      <c r="B195" s="76" t="s">
        <v>74</v>
      </c>
      <c r="C195" s="76" t="s">
        <v>1165</v>
      </c>
      <c r="D195" s="76">
        <v>1</v>
      </c>
      <c r="E195" s="76" t="s">
        <v>82</v>
      </c>
      <c r="F195" s="78" t="s">
        <v>1403</v>
      </c>
      <c r="G195" s="79" t="s">
        <v>689</v>
      </c>
      <c r="H195" s="79" t="s">
        <v>690</v>
      </c>
      <c r="I195" s="80" t="s">
        <v>1339</v>
      </c>
      <c r="J195" s="79" t="s">
        <v>691</v>
      </c>
      <c r="K195" s="79"/>
      <c r="L195" s="81" t="s">
        <v>186</v>
      </c>
      <c r="M195" s="81"/>
      <c r="N195" s="82">
        <v>45084</v>
      </c>
      <c r="O195" s="82">
        <v>45449</v>
      </c>
      <c r="P195" s="83">
        <f t="shared" si="31"/>
        <v>1</v>
      </c>
      <c r="Q195" s="77" t="s">
        <v>20</v>
      </c>
      <c r="R195" s="77">
        <f t="shared" ca="1" si="32"/>
        <v>6.1754046856332288</v>
      </c>
      <c r="S195" s="77" t="str">
        <f t="shared" ca="1" si="25"/>
        <v>O</v>
      </c>
      <c r="T195" s="84">
        <v>3</v>
      </c>
      <c r="U195" s="84">
        <v>3</v>
      </c>
      <c r="V195" s="84">
        <v>1</v>
      </c>
      <c r="W195" s="84">
        <f t="shared" si="34"/>
        <v>7</v>
      </c>
      <c r="X195" s="84" t="str">
        <f t="shared" si="27"/>
        <v>Penting</v>
      </c>
      <c r="Y195" s="78"/>
      <c r="Z195" s="115"/>
      <c r="AA195" s="82"/>
      <c r="AB195" s="82"/>
      <c r="AC195" s="82"/>
      <c r="AD195" s="27"/>
      <c r="AE195" s="85"/>
      <c r="AF195" s="77" t="s">
        <v>345</v>
      </c>
      <c r="AG195" s="77" t="s">
        <v>81</v>
      </c>
      <c r="AH195" s="21" t="s">
        <v>81</v>
      </c>
      <c r="AI195" s="21" t="s">
        <v>81</v>
      </c>
      <c r="AJ195" s="21" t="s">
        <v>81</v>
      </c>
      <c r="AK195" s="21" t="s">
        <v>81</v>
      </c>
      <c r="AL195" s="21" t="s">
        <v>81</v>
      </c>
      <c r="AM195" s="27" t="s">
        <v>100</v>
      </c>
      <c r="AN195" s="86">
        <v>45082</v>
      </c>
      <c r="AO195" s="87"/>
      <c r="AP195" s="92"/>
      <c r="AQ195" s="4"/>
      <c r="AR195" s="4"/>
      <c r="AS195" s="90"/>
      <c r="AT195" s="90"/>
      <c r="AU195" s="90"/>
    </row>
    <row r="196" spans="1:47" s="88" customFormat="1" ht="111.95" hidden="1" customHeight="1" x14ac:dyDescent="0.25">
      <c r="A196" s="76">
        <v>129</v>
      </c>
      <c r="B196" s="76" t="s">
        <v>1304</v>
      </c>
      <c r="C196" s="76" t="s">
        <v>1165</v>
      </c>
      <c r="D196" s="76">
        <v>2</v>
      </c>
      <c r="E196" s="76" t="s">
        <v>82</v>
      </c>
      <c r="F196" s="78" t="s">
        <v>1324</v>
      </c>
      <c r="G196" s="79" t="s">
        <v>177</v>
      </c>
      <c r="H196" s="79" t="s">
        <v>178</v>
      </c>
      <c r="I196" s="80" t="s">
        <v>1339</v>
      </c>
      <c r="J196" s="79" t="s">
        <v>179</v>
      </c>
      <c r="K196" s="79" t="s">
        <v>180</v>
      </c>
      <c r="L196" s="81"/>
      <c r="M196" s="81"/>
      <c r="N196" s="82">
        <v>44986</v>
      </c>
      <c r="O196" s="82">
        <v>45169</v>
      </c>
      <c r="P196" s="83">
        <f t="shared" ref="P196:P227" si="35">(O196-N196)/365</f>
        <v>0.50136986301369868</v>
      </c>
      <c r="Q196" s="77" t="s">
        <v>19</v>
      </c>
      <c r="R196" s="77">
        <f t="shared" ref="R196:R227" ca="1" si="36">(O196-NOW()+1)/31</f>
        <v>-2.8568533788829003</v>
      </c>
      <c r="S196" s="77" t="str">
        <f t="shared" ref="S196:S259" ca="1" si="37">IF(R196="End","Z",IF(R196="Cancel","C",IF(SUM(R196)&gt;0,"O",IF(ISBLANK(R196),"X",IF(SUM(R196)&lt;0,"Y",IF(SUM(R196),"-","O"))))))</f>
        <v>Y</v>
      </c>
      <c r="T196" s="84">
        <v>3</v>
      </c>
      <c r="U196" s="84">
        <v>3</v>
      </c>
      <c r="V196" s="84">
        <v>1</v>
      </c>
      <c r="W196" s="84">
        <f t="shared" si="34"/>
        <v>7</v>
      </c>
      <c r="X196" s="84" t="str">
        <f t="shared" ref="X196:X259" si="38">IF(W196&gt;5,"Penting",IF(ISBLANK(W196),"","Biasa"))</f>
        <v>Penting</v>
      </c>
      <c r="Y196" s="78"/>
      <c r="Z196" s="115"/>
      <c r="AA196" s="82"/>
      <c r="AB196" s="82"/>
      <c r="AC196" s="82"/>
      <c r="AD196" s="27"/>
      <c r="AE196" s="85"/>
      <c r="AF196" s="77" t="s">
        <v>168</v>
      </c>
      <c r="AG196" s="77" t="s">
        <v>81</v>
      </c>
      <c r="AH196" s="21" t="s">
        <v>81</v>
      </c>
      <c r="AI196" s="21" t="s">
        <v>81</v>
      </c>
      <c r="AJ196" s="21" t="s">
        <v>81</v>
      </c>
      <c r="AK196" s="21" t="s">
        <v>81</v>
      </c>
      <c r="AL196" s="21" t="s">
        <v>81</v>
      </c>
      <c r="AM196" s="27" t="s">
        <v>100</v>
      </c>
      <c r="AN196" s="86">
        <v>44943</v>
      </c>
      <c r="AO196" s="87"/>
      <c r="AP196" s="4"/>
      <c r="AQ196" s="4"/>
      <c r="AR196" s="4"/>
      <c r="AS196" s="4"/>
      <c r="AT196" s="4"/>
    </row>
    <row r="197" spans="1:47" s="88" customFormat="1" ht="111.95" hidden="1" customHeight="1" x14ac:dyDescent="0.25">
      <c r="A197" s="76">
        <v>130</v>
      </c>
      <c r="B197" s="76" t="s">
        <v>74</v>
      </c>
      <c r="C197" s="76" t="s">
        <v>1165</v>
      </c>
      <c r="D197" s="76">
        <v>3</v>
      </c>
      <c r="E197" s="76" t="s">
        <v>82</v>
      </c>
      <c r="F197" s="78" t="s">
        <v>719</v>
      </c>
      <c r="G197" s="79" t="s">
        <v>720</v>
      </c>
      <c r="H197" s="79" t="s">
        <v>721</v>
      </c>
      <c r="I197" s="80" t="s">
        <v>1339</v>
      </c>
      <c r="J197" s="79" t="s">
        <v>722</v>
      </c>
      <c r="K197" s="79" t="s">
        <v>723</v>
      </c>
      <c r="L197" s="81"/>
      <c r="M197" s="81"/>
      <c r="N197" s="82">
        <v>44820</v>
      </c>
      <c r="O197" s="82">
        <v>45184</v>
      </c>
      <c r="P197" s="83">
        <f t="shared" si="35"/>
        <v>0.99726027397260275</v>
      </c>
      <c r="Q197" s="77" t="s">
        <v>20</v>
      </c>
      <c r="R197" s="77">
        <f t="shared" ca="1" si="36"/>
        <v>-2.3729824111409648</v>
      </c>
      <c r="S197" s="77" t="str">
        <f t="shared" ca="1" si="37"/>
        <v>Y</v>
      </c>
      <c r="T197" s="84">
        <v>3</v>
      </c>
      <c r="U197" s="84">
        <v>2</v>
      </c>
      <c r="V197" s="84">
        <v>1</v>
      </c>
      <c r="W197" s="84">
        <f t="shared" si="34"/>
        <v>6</v>
      </c>
      <c r="X197" s="84" t="str">
        <f t="shared" si="38"/>
        <v>Penting</v>
      </c>
      <c r="Y197" s="78"/>
      <c r="Z197" s="115"/>
      <c r="AA197" s="82"/>
      <c r="AB197" s="82"/>
      <c r="AC197" s="82"/>
      <c r="AD197" s="27"/>
      <c r="AE197" s="85"/>
      <c r="AF197" s="77" t="s">
        <v>345</v>
      </c>
      <c r="AG197" s="77" t="s">
        <v>81</v>
      </c>
      <c r="AH197" s="21" t="s">
        <v>81</v>
      </c>
      <c r="AI197" s="21" t="s">
        <v>81</v>
      </c>
      <c r="AJ197" s="21" t="s">
        <v>81</v>
      </c>
      <c r="AK197" s="21" t="s">
        <v>81</v>
      </c>
      <c r="AL197" s="21" t="s">
        <v>81</v>
      </c>
      <c r="AM197" s="27" t="s">
        <v>100</v>
      </c>
      <c r="AN197" s="86">
        <v>44819</v>
      </c>
      <c r="AO197" s="87"/>
      <c r="AP197" s="92"/>
      <c r="AQ197" s="4"/>
      <c r="AR197" s="4"/>
      <c r="AS197" s="90"/>
      <c r="AT197" s="90"/>
      <c r="AU197" s="90"/>
    </row>
    <row r="198" spans="1:47" s="88" customFormat="1" ht="111.95" hidden="1" customHeight="1" x14ac:dyDescent="0.25">
      <c r="A198" s="76">
        <v>131</v>
      </c>
      <c r="B198" s="76" t="s">
        <v>74</v>
      </c>
      <c r="C198" s="76" t="s">
        <v>1165</v>
      </c>
      <c r="D198" s="76">
        <v>4</v>
      </c>
      <c r="E198" s="76" t="s">
        <v>82</v>
      </c>
      <c r="F198" s="78" t="s">
        <v>1188</v>
      </c>
      <c r="G198" s="79" t="s">
        <v>724</v>
      </c>
      <c r="H198" s="79" t="s">
        <v>725</v>
      </c>
      <c r="I198" s="80" t="s">
        <v>1339</v>
      </c>
      <c r="J198" s="79" t="s">
        <v>726</v>
      </c>
      <c r="K198" s="79" t="s">
        <v>1189</v>
      </c>
      <c r="L198" s="81">
        <v>22000000</v>
      </c>
      <c r="M198" s="81" t="s">
        <v>727</v>
      </c>
      <c r="N198" s="82">
        <v>44867</v>
      </c>
      <c r="O198" s="82">
        <v>45231</v>
      </c>
      <c r="P198" s="83">
        <f t="shared" si="35"/>
        <v>0.99726027397260275</v>
      </c>
      <c r="Q198" s="77" t="s">
        <v>20</v>
      </c>
      <c r="R198" s="77">
        <f t="shared" ca="1" si="36"/>
        <v>-0.85685337888290014</v>
      </c>
      <c r="S198" s="77" t="str">
        <f t="shared" ca="1" si="37"/>
        <v>Y</v>
      </c>
      <c r="T198" s="84">
        <v>3</v>
      </c>
      <c r="U198" s="84">
        <v>2</v>
      </c>
      <c r="V198" s="84">
        <v>1</v>
      </c>
      <c r="W198" s="84">
        <f t="shared" si="34"/>
        <v>6</v>
      </c>
      <c r="X198" s="84" t="str">
        <f t="shared" si="38"/>
        <v>Penting</v>
      </c>
      <c r="Y198" s="78"/>
      <c r="Z198" s="115"/>
      <c r="AA198" s="82"/>
      <c r="AB198" s="82"/>
      <c r="AC198" s="82"/>
      <c r="AD198" s="27"/>
      <c r="AE198" s="85"/>
      <c r="AF198" s="77" t="s">
        <v>345</v>
      </c>
      <c r="AG198" s="77" t="s">
        <v>81</v>
      </c>
      <c r="AH198" s="21" t="s">
        <v>81</v>
      </c>
      <c r="AI198" s="21" t="s">
        <v>81</v>
      </c>
      <c r="AJ198" s="21" t="s">
        <v>81</v>
      </c>
      <c r="AK198" s="21" t="s">
        <v>81</v>
      </c>
      <c r="AL198" s="21" t="s">
        <v>81</v>
      </c>
      <c r="AM198" s="27" t="s">
        <v>100</v>
      </c>
      <c r="AN198" s="86">
        <v>44883</v>
      </c>
      <c r="AO198" s="87"/>
      <c r="AP198" s="92"/>
      <c r="AQ198" s="4"/>
      <c r="AR198" s="4"/>
      <c r="AS198" s="90"/>
      <c r="AT198" s="90"/>
      <c r="AU198" s="90"/>
    </row>
    <row r="199" spans="1:47" s="88" customFormat="1" ht="111.95" hidden="1" customHeight="1" x14ac:dyDescent="0.25">
      <c r="A199" s="76">
        <v>132</v>
      </c>
      <c r="B199" s="76" t="s">
        <v>74</v>
      </c>
      <c r="C199" s="76" t="s">
        <v>1166</v>
      </c>
      <c r="D199" s="76">
        <v>1</v>
      </c>
      <c r="E199" s="76" t="s">
        <v>82</v>
      </c>
      <c r="F199" s="78" t="s">
        <v>225</v>
      </c>
      <c r="G199" s="79" t="s">
        <v>226</v>
      </c>
      <c r="H199" s="79" t="s">
        <v>227</v>
      </c>
      <c r="I199" s="80" t="s">
        <v>1339</v>
      </c>
      <c r="J199" s="79" t="s">
        <v>228</v>
      </c>
      <c r="K199" s="79" t="s">
        <v>229</v>
      </c>
      <c r="L199" s="81" t="s">
        <v>230</v>
      </c>
      <c r="M199" s="81" t="s">
        <v>231</v>
      </c>
      <c r="N199" s="82">
        <v>44501</v>
      </c>
      <c r="O199" s="82">
        <v>45596</v>
      </c>
      <c r="P199" s="83">
        <f t="shared" si="35"/>
        <v>3</v>
      </c>
      <c r="Q199" s="77" t="s">
        <v>19</v>
      </c>
      <c r="R199" s="77">
        <f t="shared" ca="1" si="36"/>
        <v>10.917340169504197</v>
      </c>
      <c r="S199" s="77" t="str">
        <f t="shared" ca="1" si="37"/>
        <v>O</v>
      </c>
      <c r="T199" s="84">
        <v>1</v>
      </c>
      <c r="U199" s="84">
        <v>2</v>
      </c>
      <c r="V199" s="84">
        <v>3</v>
      </c>
      <c r="W199" s="84">
        <f t="shared" si="34"/>
        <v>6</v>
      </c>
      <c r="X199" s="84" t="str">
        <f t="shared" si="38"/>
        <v>Penting</v>
      </c>
      <c r="Y199" s="78"/>
      <c r="Z199" s="115" t="s">
        <v>81</v>
      </c>
      <c r="AA199" s="82">
        <f>N199+270</f>
        <v>44771</v>
      </c>
      <c r="AB199" s="82">
        <f>+N199+635</f>
        <v>45136</v>
      </c>
      <c r="AC199" s="82"/>
      <c r="AD199" s="27"/>
      <c r="AE199" s="85"/>
      <c r="AF199" s="77" t="s">
        <v>192</v>
      </c>
      <c r="AG199" s="77" t="s">
        <v>81</v>
      </c>
      <c r="AH199" s="21" t="s">
        <v>81</v>
      </c>
      <c r="AI199" s="21" t="s">
        <v>81</v>
      </c>
      <c r="AJ199" s="21" t="s">
        <v>81</v>
      </c>
      <c r="AK199" s="21" t="s">
        <v>81</v>
      </c>
      <c r="AL199" s="21" t="s">
        <v>81</v>
      </c>
      <c r="AM199" s="27" t="s">
        <v>87</v>
      </c>
      <c r="AN199" s="86">
        <v>44492</v>
      </c>
      <c r="AO199" s="87"/>
      <c r="AP199" s="4"/>
      <c r="AQ199" s="4"/>
      <c r="AR199" s="4"/>
      <c r="AS199" s="4"/>
      <c r="AT199" s="4"/>
    </row>
    <row r="200" spans="1:47" s="88" customFormat="1" ht="111.95" hidden="1" customHeight="1" x14ac:dyDescent="0.25">
      <c r="A200" s="76">
        <v>133</v>
      </c>
      <c r="B200" s="76" t="s">
        <v>74</v>
      </c>
      <c r="C200" s="76" t="s">
        <v>1166</v>
      </c>
      <c r="D200" s="76">
        <v>2</v>
      </c>
      <c r="E200" s="76" t="s">
        <v>82</v>
      </c>
      <c r="F200" s="78" t="s">
        <v>528</v>
      </c>
      <c r="G200" s="79" t="s">
        <v>226</v>
      </c>
      <c r="H200" s="79" t="s">
        <v>529</v>
      </c>
      <c r="I200" s="80" t="s">
        <v>1339</v>
      </c>
      <c r="J200" s="79" t="s">
        <v>530</v>
      </c>
      <c r="K200" s="79" t="s">
        <v>531</v>
      </c>
      <c r="L200" s="81">
        <v>1100000</v>
      </c>
      <c r="M200" s="81" t="s">
        <v>96</v>
      </c>
      <c r="N200" s="82">
        <v>44805</v>
      </c>
      <c r="O200" s="82">
        <v>45169</v>
      </c>
      <c r="P200" s="83">
        <f t="shared" si="35"/>
        <v>0.99726027397260275</v>
      </c>
      <c r="Q200" s="77" t="s">
        <v>19</v>
      </c>
      <c r="R200" s="77">
        <f t="shared" ca="1" si="36"/>
        <v>-2.8568533788829003</v>
      </c>
      <c r="S200" s="77" t="str">
        <f t="shared" ca="1" si="37"/>
        <v>Y</v>
      </c>
      <c r="T200" s="84">
        <v>1</v>
      </c>
      <c r="U200" s="84">
        <v>1</v>
      </c>
      <c r="V200" s="84">
        <v>1</v>
      </c>
      <c r="W200" s="84">
        <f t="shared" si="34"/>
        <v>3</v>
      </c>
      <c r="X200" s="84" t="str">
        <f t="shared" si="38"/>
        <v>Biasa</v>
      </c>
      <c r="Y200" s="78"/>
      <c r="Z200" s="115"/>
      <c r="AA200" s="82"/>
      <c r="AB200" s="82"/>
      <c r="AC200" s="82"/>
      <c r="AD200" s="27" t="s">
        <v>86</v>
      </c>
      <c r="AE200" s="85">
        <v>44501</v>
      </c>
      <c r="AF200" s="77" t="s">
        <v>192</v>
      </c>
      <c r="AG200" s="77" t="s">
        <v>81</v>
      </c>
      <c r="AH200" s="21" t="s">
        <v>81</v>
      </c>
      <c r="AI200" s="21" t="s">
        <v>81</v>
      </c>
      <c r="AJ200" s="21" t="s">
        <v>81</v>
      </c>
      <c r="AK200" s="21" t="s">
        <v>81</v>
      </c>
      <c r="AL200" s="21" t="s">
        <v>81</v>
      </c>
      <c r="AM200" s="27" t="s">
        <v>100</v>
      </c>
      <c r="AN200" s="86">
        <v>44799</v>
      </c>
      <c r="AO200" s="87"/>
      <c r="AP200" s="4"/>
      <c r="AQ200" s="4"/>
      <c r="AR200" s="4"/>
      <c r="AS200" s="4"/>
      <c r="AT200" s="4"/>
    </row>
    <row r="201" spans="1:47" s="88" customFormat="1" ht="111.95" hidden="1" customHeight="1" x14ac:dyDescent="0.25">
      <c r="A201" s="76">
        <v>134</v>
      </c>
      <c r="B201" s="76" t="s">
        <v>74</v>
      </c>
      <c r="C201" s="76" t="s">
        <v>1166</v>
      </c>
      <c r="D201" s="76">
        <v>3</v>
      </c>
      <c r="E201" s="76" t="s">
        <v>82</v>
      </c>
      <c r="F201" s="78" t="s">
        <v>520</v>
      </c>
      <c r="G201" s="79" t="s">
        <v>521</v>
      </c>
      <c r="H201" s="79" t="s">
        <v>522</v>
      </c>
      <c r="I201" s="80" t="s">
        <v>1339</v>
      </c>
      <c r="J201" s="79" t="s">
        <v>523</v>
      </c>
      <c r="K201" s="79" t="s">
        <v>524</v>
      </c>
      <c r="L201" s="81">
        <v>5000000</v>
      </c>
      <c r="M201" s="81" t="s">
        <v>96</v>
      </c>
      <c r="N201" s="82">
        <v>44470</v>
      </c>
      <c r="O201" s="82">
        <v>46295</v>
      </c>
      <c r="P201" s="83">
        <f t="shared" si="35"/>
        <v>5</v>
      </c>
      <c r="Q201" s="77" t="s">
        <v>19</v>
      </c>
      <c r="R201" s="77">
        <f t="shared" ca="1" si="36"/>
        <v>33.465727266278392</v>
      </c>
      <c r="S201" s="77" t="str">
        <f t="shared" ca="1" si="37"/>
        <v>O</v>
      </c>
      <c r="T201" s="84">
        <v>1</v>
      </c>
      <c r="U201" s="84">
        <v>1</v>
      </c>
      <c r="V201" s="84">
        <v>2</v>
      </c>
      <c r="W201" s="84">
        <f t="shared" si="34"/>
        <v>4</v>
      </c>
      <c r="X201" s="84" t="str">
        <f t="shared" si="38"/>
        <v>Biasa</v>
      </c>
      <c r="Y201" s="78"/>
      <c r="Z201" s="115" t="s">
        <v>81</v>
      </c>
      <c r="AA201" s="82">
        <f>N201+270</f>
        <v>44740</v>
      </c>
      <c r="AB201" s="82">
        <f>+N201+635</f>
        <v>45105</v>
      </c>
      <c r="AC201" s="82">
        <f>+N201+1000</f>
        <v>45470</v>
      </c>
      <c r="AD201" s="27" t="s">
        <v>86</v>
      </c>
      <c r="AE201" s="85">
        <v>44470</v>
      </c>
      <c r="AF201" s="77" t="s">
        <v>192</v>
      </c>
      <c r="AG201" s="77" t="s">
        <v>81</v>
      </c>
      <c r="AH201" s="21" t="s">
        <v>81</v>
      </c>
      <c r="AI201" s="21" t="s">
        <v>81</v>
      </c>
      <c r="AJ201" s="21" t="s">
        <v>81</v>
      </c>
      <c r="AK201" s="21" t="s">
        <v>81</v>
      </c>
      <c r="AL201" s="21" t="s">
        <v>81</v>
      </c>
      <c r="AM201" s="27" t="s">
        <v>87</v>
      </c>
      <c r="AN201" s="86"/>
      <c r="AO201" s="87"/>
      <c r="AP201" s="4"/>
      <c r="AQ201" s="4"/>
      <c r="AR201" s="4"/>
      <c r="AS201" s="4"/>
      <c r="AT201" s="4"/>
    </row>
    <row r="202" spans="1:47" s="88" customFormat="1" ht="111.95" hidden="1" customHeight="1" x14ac:dyDescent="0.25">
      <c r="A202" s="76">
        <v>135</v>
      </c>
      <c r="B202" s="76" t="s">
        <v>74</v>
      </c>
      <c r="C202" s="76" t="s">
        <v>1166</v>
      </c>
      <c r="D202" s="76">
        <v>4</v>
      </c>
      <c r="E202" s="76" t="s">
        <v>82</v>
      </c>
      <c r="F202" s="78" t="s">
        <v>1437</v>
      </c>
      <c r="G202" s="79" t="s">
        <v>256</v>
      </c>
      <c r="H202" s="79" t="s">
        <v>257</v>
      </c>
      <c r="I202" s="80" t="s">
        <v>1339</v>
      </c>
      <c r="J202" s="79" t="s">
        <v>258</v>
      </c>
      <c r="K202" s="79" t="s">
        <v>259</v>
      </c>
      <c r="L202" s="81">
        <v>600000</v>
      </c>
      <c r="M202" s="81" t="s">
        <v>96</v>
      </c>
      <c r="N202" s="82">
        <v>45103</v>
      </c>
      <c r="O202" s="82">
        <v>45468</v>
      </c>
      <c r="P202" s="83">
        <f t="shared" si="35"/>
        <v>1</v>
      </c>
      <c r="Q202" s="77" t="s">
        <v>19</v>
      </c>
      <c r="R202" s="77">
        <f t="shared" ca="1" si="36"/>
        <v>6.7883079114396807</v>
      </c>
      <c r="S202" s="77" t="str">
        <f t="shared" ca="1" si="37"/>
        <v>O</v>
      </c>
      <c r="T202" s="84">
        <v>1</v>
      </c>
      <c r="U202" s="84">
        <v>1</v>
      </c>
      <c r="V202" s="84">
        <v>2</v>
      </c>
      <c r="W202" s="84">
        <f t="shared" si="34"/>
        <v>4</v>
      </c>
      <c r="X202" s="84" t="str">
        <f t="shared" si="38"/>
        <v>Biasa</v>
      </c>
      <c r="Y202" s="78"/>
      <c r="Z202" s="115"/>
      <c r="AA202" s="82"/>
      <c r="AB202" s="82"/>
      <c r="AC202" s="82"/>
      <c r="AD202" s="27" t="s">
        <v>86</v>
      </c>
      <c r="AE202" s="85">
        <v>44008</v>
      </c>
      <c r="AF202" s="77" t="s">
        <v>192</v>
      </c>
      <c r="AG202" s="77" t="s">
        <v>81</v>
      </c>
      <c r="AH202" s="21" t="s">
        <v>81</v>
      </c>
      <c r="AI202" s="21" t="s">
        <v>81</v>
      </c>
      <c r="AJ202" s="21" t="s">
        <v>81</v>
      </c>
      <c r="AK202" s="21" t="s">
        <v>81</v>
      </c>
      <c r="AL202" s="21" t="s">
        <v>81</v>
      </c>
      <c r="AM202" s="27" t="s">
        <v>100</v>
      </c>
      <c r="AN202" s="86">
        <v>45101</v>
      </c>
      <c r="AO202" s="87"/>
      <c r="AP202" s="4"/>
      <c r="AQ202" s="4"/>
      <c r="AR202" s="4"/>
      <c r="AS202" s="4"/>
      <c r="AT202" s="4"/>
    </row>
    <row r="203" spans="1:47" s="88" customFormat="1" ht="111.95" hidden="1" customHeight="1" x14ac:dyDescent="0.25">
      <c r="A203" s="76">
        <v>136</v>
      </c>
      <c r="B203" s="76" t="s">
        <v>74</v>
      </c>
      <c r="C203" s="76" t="s">
        <v>1166</v>
      </c>
      <c r="D203" s="76">
        <v>5</v>
      </c>
      <c r="E203" s="76" t="s">
        <v>82</v>
      </c>
      <c r="F203" s="78" t="s">
        <v>1167</v>
      </c>
      <c r="G203" s="79" t="s">
        <v>552</v>
      </c>
      <c r="H203" s="79" t="s">
        <v>553</v>
      </c>
      <c r="I203" s="80" t="s">
        <v>1339</v>
      </c>
      <c r="J203" s="79" t="s">
        <v>554</v>
      </c>
      <c r="K203" s="79" t="s">
        <v>555</v>
      </c>
      <c r="L203" s="81">
        <v>825000</v>
      </c>
      <c r="M203" s="81" t="s">
        <v>556</v>
      </c>
      <c r="N203" s="82">
        <v>44866</v>
      </c>
      <c r="O203" s="82">
        <v>45230</v>
      </c>
      <c r="P203" s="83">
        <f t="shared" si="35"/>
        <v>0.99726027397260275</v>
      </c>
      <c r="Q203" s="77" t="s">
        <v>19</v>
      </c>
      <c r="R203" s="77">
        <f t="shared" ca="1" si="36"/>
        <v>-0.88911144339902914</v>
      </c>
      <c r="S203" s="77" t="str">
        <f t="shared" ca="1" si="37"/>
        <v>Y</v>
      </c>
      <c r="T203" s="84">
        <v>1</v>
      </c>
      <c r="U203" s="84">
        <v>2</v>
      </c>
      <c r="V203" s="84">
        <v>2</v>
      </c>
      <c r="W203" s="84">
        <f t="shared" si="34"/>
        <v>5</v>
      </c>
      <c r="X203" s="84" t="str">
        <f t="shared" si="38"/>
        <v>Biasa</v>
      </c>
      <c r="Y203" s="78"/>
      <c r="Z203" s="115"/>
      <c r="AA203" s="82"/>
      <c r="AB203" s="82"/>
      <c r="AC203" s="82"/>
      <c r="AD203" s="27" t="s">
        <v>86</v>
      </c>
      <c r="AE203" s="85">
        <v>44501</v>
      </c>
      <c r="AF203" s="77" t="s">
        <v>192</v>
      </c>
      <c r="AG203" s="77" t="s">
        <v>81</v>
      </c>
      <c r="AH203" s="21" t="s">
        <v>81</v>
      </c>
      <c r="AI203" s="21" t="s">
        <v>81</v>
      </c>
      <c r="AJ203" s="21" t="s">
        <v>81</v>
      </c>
      <c r="AK203" s="21" t="s">
        <v>81</v>
      </c>
      <c r="AL203" s="21" t="s">
        <v>81</v>
      </c>
      <c r="AM203" s="27" t="s">
        <v>100</v>
      </c>
      <c r="AN203" s="86">
        <v>44865</v>
      </c>
      <c r="AO203" s="87"/>
      <c r="AP203" s="4"/>
      <c r="AQ203" s="4"/>
      <c r="AR203" s="4"/>
      <c r="AS203" s="4"/>
      <c r="AT203" s="4"/>
    </row>
    <row r="204" spans="1:47" s="88" customFormat="1" ht="111.95" hidden="1" customHeight="1" x14ac:dyDescent="0.25">
      <c r="A204" s="76">
        <v>137</v>
      </c>
      <c r="B204" s="76" t="s">
        <v>74</v>
      </c>
      <c r="C204" s="76" t="s">
        <v>1168</v>
      </c>
      <c r="D204" s="76">
        <v>1</v>
      </c>
      <c r="E204" s="76" t="s">
        <v>82</v>
      </c>
      <c r="F204" s="78" t="s">
        <v>1392</v>
      </c>
      <c r="G204" s="79" t="s">
        <v>238</v>
      </c>
      <c r="H204" s="79" t="s">
        <v>239</v>
      </c>
      <c r="I204" s="80" t="s">
        <v>1339</v>
      </c>
      <c r="J204" s="79" t="s">
        <v>1393</v>
      </c>
      <c r="K204" s="79" t="s">
        <v>241</v>
      </c>
      <c r="L204" s="81" t="s">
        <v>1394</v>
      </c>
      <c r="M204" s="81" t="s">
        <v>243</v>
      </c>
      <c r="N204" s="82">
        <v>45108</v>
      </c>
      <c r="O204" s="82">
        <v>45473</v>
      </c>
      <c r="P204" s="83">
        <f t="shared" si="35"/>
        <v>1</v>
      </c>
      <c r="Q204" s="77" t="s">
        <v>19</v>
      </c>
      <c r="R204" s="77">
        <f t="shared" ca="1" si="36"/>
        <v>6.9495982340203257</v>
      </c>
      <c r="S204" s="77" t="str">
        <f t="shared" ca="1" si="37"/>
        <v>O</v>
      </c>
      <c r="T204" s="84">
        <v>1</v>
      </c>
      <c r="U204" s="84">
        <v>1</v>
      </c>
      <c r="V204" s="84">
        <v>1</v>
      </c>
      <c r="W204" s="84">
        <f t="shared" si="34"/>
        <v>3</v>
      </c>
      <c r="X204" s="84" t="str">
        <f t="shared" si="38"/>
        <v>Biasa</v>
      </c>
      <c r="Y204" s="78"/>
      <c r="Z204" s="115"/>
      <c r="AA204" s="82"/>
      <c r="AB204" s="82"/>
      <c r="AC204" s="82"/>
      <c r="AD204" s="27" t="s">
        <v>86</v>
      </c>
      <c r="AE204" s="85">
        <v>44743</v>
      </c>
      <c r="AF204" s="77" t="s">
        <v>168</v>
      </c>
      <c r="AG204" s="77" t="s">
        <v>81</v>
      </c>
      <c r="AH204" s="21" t="s">
        <v>81</v>
      </c>
      <c r="AI204" s="21" t="s">
        <v>81</v>
      </c>
      <c r="AJ204" s="21" t="s">
        <v>81</v>
      </c>
      <c r="AK204" s="21" t="s">
        <v>81</v>
      </c>
      <c r="AL204" s="21" t="s">
        <v>81</v>
      </c>
      <c r="AM204" s="27" t="s">
        <v>100</v>
      </c>
      <c r="AN204" s="86">
        <v>45104</v>
      </c>
      <c r="AO204" s="87"/>
      <c r="AP204" s="4"/>
      <c r="AQ204" s="4"/>
      <c r="AR204" s="4"/>
      <c r="AS204" s="4"/>
      <c r="AT204" s="4"/>
    </row>
    <row r="205" spans="1:47" s="88" customFormat="1" ht="111.95" hidden="1" customHeight="1" x14ac:dyDescent="0.25">
      <c r="A205" s="76">
        <v>138</v>
      </c>
      <c r="B205" s="76" t="s">
        <v>74</v>
      </c>
      <c r="C205" s="76" t="s">
        <v>1168</v>
      </c>
      <c r="D205" s="76">
        <v>2</v>
      </c>
      <c r="E205" s="76" t="s">
        <v>82</v>
      </c>
      <c r="F205" s="78" t="s">
        <v>1363</v>
      </c>
      <c r="G205" s="79" t="s">
        <v>238</v>
      </c>
      <c r="H205" s="79" t="s">
        <v>246</v>
      </c>
      <c r="I205" s="80" t="s">
        <v>1339</v>
      </c>
      <c r="J205" s="79" t="s">
        <v>247</v>
      </c>
      <c r="K205" s="79" t="s">
        <v>248</v>
      </c>
      <c r="L205" s="81" t="s">
        <v>1364</v>
      </c>
      <c r="M205" s="81" t="s">
        <v>243</v>
      </c>
      <c r="N205" s="82">
        <v>45108</v>
      </c>
      <c r="O205" s="82">
        <v>45473</v>
      </c>
      <c r="P205" s="83">
        <f t="shared" si="35"/>
        <v>1</v>
      </c>
      <c r="Q205" s="77" t="s">
        <v>19</v>
      </c>
      <c r="R205" s="77">
        <f t="shared" ca="1" si="36"/>
        <v>6.9495982340203257</v>
      </c>
      <c r="S205" s="77" t="str">
        <f t="shared" ca="1" si="37"/>
        <v>O</v>
      </c>
      <c r="T205" s="84">
        <v>1</v>
      </c>
      <c r="U205" s="84">
        <v>1</v>
      </c>
      <c r="V205" s="84">
        <v>1</v>
      </c>
      <c r="W205" s="84">
        <f t="shared" si="34"/>
        <v>3</v>
      </c>
      <c r="X205" s="84" t="str">
        <f t="shared" si="38"/>
        <v>Biasa</v>
      </c>
      <c r="Y205" s="78"/>
      <c r="Z205" s="115"/>
      <c r="AA205" s="82"/>
      <c r="AB205" s="82"/>
      <c r="AC205" s="82"/>
      <c r="AD205" s="27" t="s">
        <v>86</v>
      </c>
      <c r="AE205" s="85">
        <v>44743</v>
      </c>
      <c r="AF205" s="77" t="s">
        <v>168</v>
      </c>
      <c r="AG205" s="77" t="s">
        <v>81</v>
      </c>
      <c r="AH205" s="21" t="s">
        <v>81</v>
      </c>
      <c r="AI205" s="21" t="s">
        <v>81</v>
      </c>
      <c r="AJ205" s="21" t="s">
        <v>81</v>
      </c>
      <c r="AK205" s="21" t="s">
        <v>81</v>
      </c>
      <c r="AL205" s="21" t="s">
        <v>81</v>
      </c>
      <c r="AM205" s="27" t="s">
        <v>100</v>
      </c>
      <c r="AN205" s="86">
        <v>45104</v>
      </c>
      <c r="AO205" s="87"/>
      <c r="AP205" s="4"/>
      <c r="AQ205" s="4"/>
      <c r="AR205" s="4"/>
      <c r="AS205" s="4"/>
      <c r="AT205" s="4"/>
    </row>
    <row r="206" spans="1:47" s="88" customFormat="1" ht="111.95" hidden="1" customHeight="1" x14ac:dyDescent="0.25">
      <c r="A206" s="76">
        <v>139</v>
      </c>
      <c r="B206" s="76" t="s">
        <v>74</v>
      </c>
      <c r="C206" s="76" t="s">
        <v>1168</v>
      </c>
      <c r="D206" s="76">
        <v>3</v>
      </c>
      <c r="E206" s="76" t="s">
        <v>82</v>
      </c>
      <c r="F206" s="78" t="s">
        <v>1195</v>
      </c>
      <c r="G206" s="79" t="s">
        <v>499</v>
      </c>
      <c r="H206" s="79" t="s">
        <v>284</v>
      </c>
      <c r="I206" s="80" t="s">
        <v>1339</v>
      </c>
      <c r="J206" s="79" t="s">
        <v>500</v>
      </c>
      <c r="K206" s="79" t="s">
        <v>286</v>
      </c>
      <c r="L206" s="81" t="s">
        <v>1197</v>
      </c>
      <c r="M206" s="81" t="s">
        <v>1196</v>
      </c>
      <c r="N206" s="82">
        <v>44881</v>
      </c>
      <c r="O206" s="82">
        <v>45245</v>
      </c>
      <c r="P206" s="83">
        <f t="shared" si="35"/>
        <v>0.99726027397260275</v>
      </c>
      <c r="Q206" s="77" t="s">
        <v>19</v>
      </c>
      <c r="R206" s="77">
        <f t="shared" ca="1" si="36"/>
        <v>-0.4052404756570937</v>
      </c>
      <c r="S206" s="77" t="str">
        <f t="shared" ca="1" si="37"/>
        <v>Y</v>
      </c>
      <c r="T206" s="84">
        <v>1</v>
      </c>
      <c r="U206" s="84">
        <v>2</v>
      </c>
      <c r="V206" s="84">
        <v>3</v>
      </c>
      <c r="W206" s="84">
        <f t="shared" si="34"/>
        <v>6</v>
      </c>
      <c r="X206" s="84" t="str">
        <f t="shared" si="38"/>
        <v>Penting</v>
      </c>
      <c r="Y206" s="78"/>
      <c r="Z206" s="115"/>
      <c r="AA206" s="82"/>
      <c r="AB206" s="82"/>
      <c r="AC206" s="82"/>
      <c r="AD206" s="27"/>
      <c r="AE206" s="85"/>
      <c r="AF206" s="77" t="s">
        <v>192</v>
      </c>
      <c r="AG206" s="77" t="s">
        <v>81</v>
      </c>
      <c r="AH206" s="21" t="s">
        <v>81</v>
      </c>
      <c r="AI206" s="21" t="s">
        <v>81</v>
      </c>
      <c r="AJ206" s="21" t="s">
        <v>81</v>
      </c>
      <c r="AK206" s="21" t="s">
        <v>81</v>
      </c>
      <c r="AL206" s="21" t="s">
        <v>81</v>
      </c>
      <c r="AM206" s="27" t="s">
        <v>100</v>
      </c>
      <c r="AN206" s="86">
        <v>44883</v>
      </c>
      <c r="AO206" s="87"/>
      <c r="AP206" s="4"/>
      <c r="AQ206" s="4"/>
      <c r="AR206" s="4"/>
      <c r="AS206" s="4"/>
      <c r="AT206" s="4"/>
    </row>
    <row r="207" spans="1:47" s="88" customFormat="1" ht="111.75" hidden="1" customHeight="1" x14ac:dyDescent="0.25">
      <c r="A207" s="76">
        <v>140</v>
      </c>
      <c r="B207" s="76" t="s">
        <v>74</v>
      </c>
      <c r="C207" s="76" t="s">
        <v>1168</v>
      </c>
      <c r="D207" s="76">
        <v>4</v>
      </c>
      <c r="E207" s="76" t="s">
        <v>82</v>
      </c>
      <c r="F207" s="78" t="s">
        <v>1365</v>
      </c>
      <c r="G207" s="79" t="s">
        <v>343</v>
      </c>
      <c r="H207" s="79" t="s">
        <v>347</v>
      </c>
      <c r="I207" s="80" t="s">
        <v>1338</v>
      </c>
      <c r="J207" s="79" t="s">
        <v>1366</v>
      </c>
      <c r="K207" s="79" t="s">
        <v>344</v>
      </c>
      <c r="L207" s="81">
        <v>222355000</v>
      </c>
      <c r="M207" s="81" t="s">
        <v>85</v>
      </c>
      <c r="N207" s="82">
        <v>45108</v>
      </c>
      <c r="O207" s="82">
        <v>45473</v>
      </c>
      <c r="P207" s="83">
        <f t="shared" si="35"/>
        <v>1</v>
      </c>
      <c r="Q207" s="77" t="s">
        <v>19</v>
      </c>
      <c r="R207" s="77">
        <f t="shared" ca="1" si="36"/>
        <v>6.9495982340203257</v>
      </c>
      <c r="S207" s="77" t="str">
        <f t="shared" ca="1" si="37"/>
        <v>O</v>
      </c>
      <c r="T207" s="84">
        <v>1</v>
      </c>
      <c r="U207" s="84">
        <v>2</v>
      </c>
      <c r="V207" s="84">
        <v>3</v>
      </c>
      <c r="W207" s="84">
        <f t="shared" si="34"/>
        <v>6</v>
      </c>
      <c r="X207" s="84" t="str">
        <f t="shared" si="38"/>
        <v>Penting</v>
      </c>
      <c r="Y207" s="78"/>
      <c r="Z207" s="115"/>
      <c r="AA207" s="82"/>
      <c r="AB207" s="82"/>
      <c r="AC207" s="82"/>
      <c r="AD207" s="27"/>
      <c r="AE207" s="85"/>
      <c r="AF207" s="77" t="s">
        <v>192</v>
      </c>
      <c r="AG207" s="77" t="s">
        <v>81</v>
      </c>
      <c r="AH207" s="21" t="s">
        <v>81</v>
      </c>
      <c r="AI207" s="21" t="s">
        <v>81</v>
      </c>
      <c r="AJ207" s="21" t="s">
        <v>81</v>
      </c>
      <c r="AK207" s="21" t="s">
        <v>81</v>
      </c>
      <c r="AL207" s="21" t="s">
        <v>81</v>
      </c>
      <c r="AM207" s="27" t="s">
        <v>100</v>
      </c>
      <c r="AN207" s="86">
        <v>45101</v>
      </c>
      <c r="AO207" s="87"/>
      <c r="AP207" s="4"/>
      <c r="AQ207" s="4"/>
      <c r="AR207" s="4"/>
      <c r="AS207" s="4"/>
      <c r="AT207" s="4"/>
    </row>
    <row r="208" spans="1:47" s="88" customFormat="1" ht="111.95" hidden="1" customHeight="1" x14ac:dyDescent="0.25">
      <c r="A208" s="76">
        <v>141</v>
      </c>
      <c r="B208" s="76" t="s">
        <v>74</v>
      </c>
      <c r="C208" s="76" t="s">
        <v>1168</v>
      </c>
      <c r="D208" s="76">
        <v>5</v>
      </c>
      <c r="E208" s="76" t="s">
        <v>82</v>
      </c>
      <c r="F208" s="78" t="s">
        <v>1446</v>
      </c>
      <c r="G208" s="79" t="s">
        <v>343</v>
      </c>
      <c r="H208" s="79" t="s">
        <v>350</v>
      </c>
      <c r="I208" s="80" t="s">
        <v>1339</v>
      </c>
      <c r="J208" s="79" t="s">
        <v>351</v>
      </c>
      <c r="K208" s="79" t="s">
        <v>352</v>
      </c>
      <c r="L208" s="81" t="s">
        <v>1447</v>
      </c>
      <c r="M208" s="81" t="s">
        <v>354</v>
      </c>
      <c r="N208" s="82">
        <v>45108</v>
      </c>
      <c r="O208" s="82">
        <v>45473</v>
      </c>
      <c r="P208" s="83">
        <f t="shared" si="35"/>
        <v>1</v>
      </c>
      <c r="Q208" s="77" t="s">
        <v>19</v>
      </c>
      <c r="R208" s="77">
        <f t="shared" ca="1" si="36"/>
        <v>6.9495982340203257</v>
      </c>
      <c r="S208" s="77" t="str">
        <f t="shared" ca="1" si="37"/>
        <v>O</v>
      </c>
      <c r="T208" s="84">
        <v>1</v>
      </c>
      <c r="U208" s="84">
        <v>2</v>
      </c>
      <c r="V208" s="84">
        <v>3</v>
      </c>
      <c r="W208" s="84">
        <f t="shared" si="34"/>
        <v>6</v>
      </c>
      <c r="X208" s="84" t="str">
        <f t="shared" si="38"/>
        <v>Penting</v>
      </c>
      <c r="Y208" s="78"/>
      <c r="Z208" s="115"/>
      <c r="AA208" s="82"/>
      <c r="AB208" s="82"/>
      <c r="AC208" s="82"/>
      <c r="AD208" s="27" t="s">
        <v>86</v>
      </c>
      <c r="AE208" s="85">
        <v>44743</v>
      </c>
      <c r="AF208" s="77" t="s">
        <v>192</v>
      </c>
      <c r="AG208" s="77" t="s">
        <v>81</v>
      </c>
      <c r="AH208" s="21" t="s">
        <v>81</v>
      </c>
      <c r="AI208" s="21" t="s">
        <v>81</v>
      </c>
      <c r="AJ208" s="21" t="s">
        <v>81</v>
      </c>
      <c r="AK208" s="21" t="s">
        <v>81</v>
      </c>
      <c r="AL208" s="21" t="s">
        <v>81</v>
      </c>
      <c r="AM208" s="27" t="s">
        <v>100</v>
      </c>
      <c r="AN208" s="86">
        <v>45103</v>
      </c>
      <c r="AO208" s="87"/>
      <c r="AP208" s="4"/>
      <c r="AQ208" s="4"/>
      <c r="AR208" s="4"/>
      <c r="AS208" s="4"/>
      <c r="AT208" s="4"/>
    </row>
    <row r="209" spans="1:46" s="88" customFormat="1" ht="111.95" hidden="1" customHeight="1" x14ac:dyDescent="0.25">
      <c r="A209" s="76">
        <v>142</v>
      </c>
      <c r="B209" s="76" t="s">
        <v>74</v>
      </c>
      <c r="C209" s="76" t="s">
        <v>1169</v>
      </c>
      <c r="D209" s="76">
        <v>1</v>
      </c>
      <c r="E209" s="76" t="s">
        <v>82</v>
      </c>
      <c r="F209" s="78" t="s">
        <v>525</v>
      </c>
      <c r="G209" s="79" t="s">
        <v>526</v>
      </c>
      <c r="H209" s="79" t="s">
        <v>522</v>
      </c>
      <c r="I209" s="80" t="s">
        <v>1339</v>
      </c>
      <c r="J209" s="79" t="s">
        <v>527</v>
      </c>
      <c r="K209" s="79" t="s">
        <v>524</v>
      </c>
      <c r="L209" s="81">
        <v>5000000</v>
      </c>
      <c r="M209" s="81" t="s">
        <v>85</v>
      </c>
      <c r="N209" s="82">
        <v>44835</v>
      </c>
      <c r="O209" s="82">
        <v>45199</v>
      </c>
      <c r="P209" s="83">
        <f t="shared" si="35"/>
        <v>0.99726027397260275</v>
      </c>
      <c r="Q209" s="77" t="s">
        <v>19</v>
      </c>
      <c r="R209" s="77">
        <f t="shared" ca="1" si="36"/>
        <v>-1.8891114433990293</v>
      </c>
      <c r="S209" s="77" t="str">
        <f t="shared" ca="1" si="37"/>
        <v>Y</v>
      </c>
      <c r="T209" s="84">
        <v>1</v>
      </c>
      <c r="U209" s="84">
        <v>1</v>
      </c>
      <c r="V209" s="84">
        <v>1</v>
      </c>
      <c r="W209" s="84">
        <f t="shared" si="34"/>
        <v>3</v>
      </c>
      <c r="X209" s="84" t="str">
        <f t="shared" si="38"/>
        <v>Biasa</v>
      </c>
      <c r="Y209" s="78"/>
      <c r="Z209" s="115"/>
      <c r="AA209" s="82"/>
      <c r="AB209" s="82"/>
      <c r="AC209" s="82"/>
      <c r="AD209" s="27" t="s">
        <v>86</v>
      </c>
      <c r="AE209" s="85">
        <v>44470</v>
      </c>
      <c r="AF209" s="77" t="s">
        <v>192</v>
      </c>
      <c r="AG209" s="77" t="s">
        <v>81</v>
      </c>
      <c r="AH209" s="21" t="s">
        <v>81</v>
      </c>
      <c r="AI209" s="21" t="s">
        <v>81</v>
      </c>
      <c r="AJ209" s="21" t="s">
        <v>81</v>
      </c>
      <c r="AK209" s="21" t="s">
        <v>81</v>
      </c>
      <c r="AL209" s="21" t="s">
        <v>81</v>
      </c>
      <c r="AM209" s="27" t="s">
        <v>100</v>
      </c>
      <c r="AN209" s="86">
        <v>44819</v>
      </c>
      <c r="AO209" s="87"/>
      <c r="AP209" s="4"/>
      <c r="AQ209" s="4"/>
      <c r="AR209" s="4"/>
      <c r="AS209" s="4"/>
      <c r="AT209" s="4"/>
    </row>
    <row r="210" spans="1:46" s="88" customFormat="1" ht="111.95" hidden="1" customHeight="1" x14ac:dyDescent="0.25">
      <c r="A210" s="76">
        <v>143</v>
      </c>
      <c r="B210" s="76" t="s">
        <v>74</v>
      </c>
      <c r="C210" s="76" t="s">
        <v>1169</v>
      </c>
      <c r="D210" s="76">
        <v>2</v>
      </c>
      <c r="E210" s="76" t="s">
        <v>82</v>
      </c>
      <c r="F210" s="78" t="s">
        <v>1409</v>
      </c>
      <c r="G210" s="79" t="s">
        <v>233</v>
      </c>
      <c r="H210" s="79" t="s">
        <v>227</v>
      </c>
      <c r="I210" s="80" t="s">
        <v>1339</v>
      </c>
      <c r="J210" s="79" t="s">
        <v>234</v>
      </c>
      <c r="K210" s="79" t="s">
        <v>235</v>
      </c>
      <c r="L210" s="81">
        <v>4000000</v>
      </c>
      <c r="M210" s="81" t="s">
        <v>96</v>
      </c>
      <c r="N210" s="82">
        <v>45108</v>
      </c>
      <c r="O210" s="82">
        <v>45473</v>
      </c>
      <c r="P210" s="83">
        <f t="shared" si="35"/>
        <v>1</v>
      </c>
      <c r="Q210" s="77" t="s">
        <v>26</v>
      </c>
      <c r="R210" s="77">
        <f t="shared" ca="1" si="36"/>
        <v>6.9495982340203257</v>
      </c>
      <c r="S210" s="77" t="str">
        <f t="shared" ca="1" si="37"/>
        <v>O</v>
      </c>
      <c r="T210" s="84">
        <v>1</v>
      </c>
      <c r="U210" s="84">
        <v>2</v>
      </c>
      <c r="V210" s="84">
        <v>2</v>
      </c>
      <c r="W210" s="84">
        <f t="shared" si="34"/>
        <v>5</v>
      </c>
      <c r="X210" s="84" t="str">
        <f t="shared" si="38"/>
        <v>Biasa</v>
      </c>
      <c r="Y210" s="78"/>
      <c r="Z210" s="115"/>
      <c r="AA210" s="82"/>
      <c r="AB210" s="82"/>
      <c r="AC210" s="82"/>
      <c r="AD210" s="27" t="s">
        <v>86</v>
      </c>
      <c r="AE210" s="85">
        <v>44743</v>
      </c>
      <c r="AF210" s="77" t="s">
        <v>236</v>
      </c>
      <c r="AG210" s="77" t="s">
        <v>81</v>
      </c>
      <c r="AH210" s="21" t="s">
        <v>81</v>
      </c>
      <c r="AI210" s="21" t="s">
        <v>81</v>
      </c>
      <c r="AJ210" s="21" t="s">
        <v>81</v>
      </c>
      <c r="AK210" s="21" t="s">
        <v>81</v>
      </c>
      <c r="AL210" s="21" t="s">
        <v>81</v>
      </c>
      <c r="AM210" s="27" t="s">
        <v>100</v>
      </c>
      <c r="AN210" s="86">
        <v>45082</v>
      </c>
      <c r="AO210" s="87"/>
      <c r="AP210" s="4"/>
      <c r="AQ210" s="4"/>
      <c r="AR210" s="4"/>
      <c r="AS210" s="4"/>
      <c r="AT210" s="4"/>
    </row>
    <row r="211" spans="1:46" s="88" customFormat="1" ht="111.95" hidden="1" customHeight="1" x14ac:dyDescent="0.25">
      <c r="A211" s="76">
        <v>144</v>
      </c>
      <c r="B211" s="76" t="s">
        <v>74</v>
      </c>
      <c r="C211" s="76" t="s">
        <v>1169</v>
      </c>
      <c r="D211" s="76">
        <v>3</v>
      </c>
      <c r="E211" s="76" t="s">
        <v>82</v>
      </c>
      <c r="F211" s="78" t="s">
        <v>212</v>
      </c>
      <c r="G211" s="79" t="s">
        <v>213</v>
      </c>
      <c r="H211" s="79" t="s">
        <v>170</v>
      </c>
      <c r="I211" s="80" t="s">
        <v>1339</v>
      </c>
      <c r="J211" s="79" t="s">
        <v>214</v>
      </c>
      <c r="K211" s="79" t="s">
        <v>211</v>
      </c>
      <c r="L211" s="81" t="s">
        <v>215</v>
      </c>
      <c r="M211" s="81" t="s">
        <v>216</v>
      </c>
      <c r="N211" s="82">
        <v>44795</v>
      </c>
      <c r="O211" s="82">
        <v>45159</v>
      </c>
      <c r="P211" s="83">
        <f t="shared" si="35"/>
        <v>0.99726027397260275</v>
      </c>
      <c r="Q211" s="77" t="s">
        <v>19</v>
      </c>
      <c r="R211" s="77">
        <f t="shared" ca="1" si="36"/>
        <v>-3.1794340240441903</v>
      </c>
      <c r="S211" s="77" t="str">
        <f t="shared" ca="1" si="37"/>
        <v>Y</v>
      </c>
      <c r="T211" s="84">
        <v>1</v>
      </c>
      <c r="U211" s="84">
        <v>1</v>
      </c>
      <c r="V211" s="84">
        <v>1</v>
      </c>
      <c r="W211" s="84">
        <f t="shared" si="34"/>
        <v>3</v>
      </c>
      <c r="X211" s="84" t="str">
        <f t="shared" si="38"/>
        <v>Biasa</v>
      </c>
      <c r="Y211" s="78"/>
      <c r="Z211" s="115"/>
      <c r="AA211" s="82"/>
      <c r="AB211" s="82"/>
      <c r="AC211" s="82"/>
      <c r="AD211" s="27" t="s">
        <v>86</v>
      </c>
      <c r="AE211" s="85">
        <v>44795</v>
      </c>
      <c r="AF211" s="77" t="s">
        <v>192</v>
      </c>
      <c r="AG211" s="77" t="s">
        <v>81</v>
      </c>
      <c r="AH211" s="21" t="s">
        <v>81</v>
      </c>
      <c r="AI211" s="21" t="s">
        <v>81</v>
      </c>
      <c r="AJ211" s="21" t="s">
        <v>81</v>
      </c>
      <c r="AK211" s="21" t="s">
        <v>81</v>
      </c>
      <c r="AL211" s="21" t="s">
        <v>81</v>
      </c>
      <c r="AM211" s="27" t="s">
        <v>100</v>
      </c>
      <c r="AN211" s="86">
        <v>44819</v>
      </c>
      <c r="AO211" s="87"/>
      <c r="AP211" s="4"/>
      <c r="AQ211" s="4"/>
      <c r="AR211" s="4"/>
      <c r="AS211" s="4"/>
      <c r="AT211" s="4"/>
    </row>
    <row r="212" spans="1:46" s="88" customFormat="1" ht="111.95" hidden="1" customHeight="1" x14ac:dyDescent="0.25">
      <c r="A212" s="76">
        <v>145</v>
      </c>
      <c r="B212" s="76" t="s">
        <v>74</v>
      </c>
      <c r="C212" s="76" t="s">
        <v>1169</v>
      </c>
      <c r="D212" s="76">
        <v>4</v>
      </c>
      <c r="E212" s="76" t="s">
        <v>82</v>
      </c>
      <c r="F212" s="78" t="s">
        <v>1435</v>
      </c>
      <c r="G212" s="79" t="s">
        <v>251</v>
      </c>
      <c r="H212" s="79" t="s">
        <v>252</v>
      </c>
      <c r="I212" s="80" t="s">
        <v>1339</v>
      </c>
      <c r="J212" s="79" t="s">
        <v>253</v>
      </c>
      <c r="K212" s="79" t="s">
        <v>254</v>
      </c>
      <c r="L212" s="81">
        <v>403520000</v>
      </c>
      <c r="M212" s="81" t="s">
        <v>85</v>
      </c>
      <c r="N212" s="82">
        <v>45108</v>
      </c>
      <c r="O212" s="82">
        <v>45473</v>
      </c>
      <c r="P212" s="83">
        <f t="shared" si="35"/>
        <v>1</v>
      </c>
      <c r="Q212" s="77" t="s">
        <v>19</v>
      </c>
      <c r="R212" s="77">
        <f t="shared" ca="1" si="36"/>
        <v>6.9495982340203257</v>
      </c>
      <c r="S212" s="77" t="str">
        <f t="shared" ca="1" si="37"/>
        <v>O</v>
      </c>
      <c r="T212" s="84">
        <v>2</v>
      </c>
      <c r="U212" s="84">
        <v>2</v>
      </c>
      <c r="V212" s="84">
        <v>1</v>
      </c>
      <c r="W212" s="84">
        <f t="shared" si="34"/>
        <v>5</v>
      </c>
      <c r="X212" s="84" t="str">
        <f t="shared" si="38"/>
        <v>Biasa</v>
      </c>
      <c r="Y212" s="78"/>
      <c r="Z212" s="115"/>
      <c r="AA212" s="82"/>
      <c r="AB212" s="82"/>
      <c r="AC212" s="82"/>
      <c r="AD212" s="27" t="s">
        <v>86</v>
      </c>
      <c r="AE212" s="85">
        <v>44743</v>
      </c>
      <c r="AF212" s="77" t="s">
        <v>168</v>
      </c>
      <c r="AG212" s="77" t="s">
        <v>81</v>
      </c>
      <c r="AH212" s="21" t="s">
        <v>81</v>
      </c>
      <c r="AI212" s="21" t="s">
        <v>81</v>
      </c>
      <c r="AJ212" s="21" t="s">
        <v>81</v>
      </c>
      <c r="AK212" s="21" t="s">
        <v>81</v>
      </c>
      <c r="AL212" s="21" t="s">
        <v>81</v>
      </c>
      <c r="AM212" s="27" t="s">
        <v>244</v>
      </c>
      <c r="AN212" s="86">
        <v>45101</v>
      </c>
      <c r="AO212" s="87"/>
      <c r="AP212" s="4"/>
      <c r="AQ212" s="4"/>
      <c r="AR212" s="4"/>
      <c r="AS212" s="4"/>
      <c r="AT212" s="4"/>
    </row>
    <row r="213" spans="1:46" s="88" customFormat="1" ht="111.75" hidden="1" customHeight="1" x14ac:dyDescent="0.25">
      <c r="A213" s="76">
        <v>146</v>
      </c>
      <c r="B213" s="76" t="s">
        <v>74</v>
      </c>
      <c r="C213" s="76" t="s">
        <v>1169</v>
      </c>
      <c r="D213" s="76">
        <v>5</v>
      </c>
      <c r="E213" s="76" t="s">
        <v>82</v>
      </c>
      <c r="F213" s="78" t="s">
        <v>1281</v>
      </c>
      <c r="G213" s="79" t="s">
        <v>590</v>
      </c>
      <c r="H213" s="79" t="s">
        <v>591</v>
      </c>
      <c r="I213" s="80" t="s">
        <v>1339</v>
      </c>
      <c r="J213" s="79" t="s">
        <v>592</v>
      </c>
      <c r="K213" s="79" t="s">
        <v>1282</v>
      </c>
      <c r="L213" s="81" t="s">
        <v>186</v>
      </c>
      <c r="M213" s="81"/>
      <c r="N213" s="82">
        <v>44927</v>
      </c>
      <c r="O213" s="82">
        <v>45291</v>
      </c>
      <c r="P213" s="83">
        <f t="shared" si="35"/>
        <v>0.99726027397260275</v>
      </c>
      <c r="Q213" s="77" t="s">
        <v>19</v>
      </c>
      <c r="R213" s="77">
        <f t="shared" ca="1" si="36"/>
        <v>1.0786304920848417</v>
      </c>
      <c r="S213" s="77" t="str">
        <f t="shared" ca="1" si="37"/>
        <v>O</v>
      </c>
      <c r="T213" s="84">
        <v>1</v>
      </c>
      <c r="U213" s="84">
        <v>2</v>
      </c>
      <c r="V213" s="84">
        <v>2</v>
      </c>
      <c r="W213" s="84">
        <f t="shared" si="34"/>
        <v>5</v>
      </c>
      <c r="X213" s="84" t="str">
        <f t="shared" si="38"/>
        <v>Biasa</v>
      </c>
      <c r="Y213" s="78"/>
      <c r="Z213" s="115"/>
      <c r="AA213" s="82"/>
      <c r="AB213" s="82"/>
      <c r="AC213" s="82"/>
      <c r="AD213" s="27" t="s">
        <v>86</v>
      </c>
      <c r="AE213" s="85">
        <v>44630</v>
      </c>
      <c r="AF213" s="77" t="s">
        <v>192</v>
      </c>
      <c r="AG213" s="77" t="s">
        <v>81</v>
      </c>
      <c r="AH213" s="21" t="s">
        <v>81</v>
      </c>
      <c r="AI213" s="21" t="s">
        <v>81</v>
      </c>
      <c r="AJ213" s="21" t="s">
        <v>81</v>
      </c>
      <c r="AK213" s="21" t="s">
        <v>81</v>
      </c>
      <c r="AL213" s="21" t="s">
        <v>81</v>
      </c>
      <c r="AM213" s="27" t="s">
        <v>100</v>
      </c>
      <c r="AN213" s="86">
        <v>45282</v>
      </c>
      <c r="AO213" s="87"/>
      <c r="AP213" s="4"/>
      <c r="AQ213" s="4"/>
      <c r="AR213" s="4"/>
      <c r="AS213" s="4"/>
      <c r="AT213" s="4"/>
    </row>
    <row r="214" spans="1:46" s="88" customFormat="1" ht="111.95" hidden="1" customHeight="1" x14ac:dyDescent="0.25">
      <c r="A214" s="76">
        <v>147</v>
      </c>
      <c r="B214" s="76" t="s">
        <v>74</v>
      </c>
      <c r="C214" s="76" t="s">
        <v>1170</v>
      </c>
      <c r="D214" s="76">
        <v>1</v>
      </c>
      <c r="E214" s="76" t="s">
        <v>82</v>
      </c>
      <c r="F214" s="78" t="s">
        <v>1302</v>
      </c>
      <c r="G214" s="79" t="s">
        <v>775</v>
      </c>
      <c r="H214" s="79" t="s">
        <v>776</v>
      </c>
      <c r="I214" s="80" t="s">
        <v>1337</v>
      </c>
      <c r="J214" s="79" t="s">
        <v>777</v>
      </c>
      <c r="K214" s="79"/>
      <c r="L214" s="81">
        <v>52000000</v>
      </c>
      <c r="M214" s="81" t="s">
        <v>85</v>
      </c>
      <c r="N214" s="82">
        <v>44942</v>
      </c>
      <c r="O214" s="82">
        <v>45306</v>
      </c>
      <c r="P214" s="83">
        <f t="shared" si="35"/>
        <v>0.99726027397260275</v>
      </c>
      <c r="Q214" s="77" t="s">
        <v>26</v>
      </c>
      <c r="R214" s="77">
        <f t="shared" ca="1" si="36"/>
        <v>1.5625014598267772</v>
      </c>
      <c r="S214" s="77" t="str">
        <f t="shared" ca="1" si="37"/>
        <v>O</v>
      </c>
      <c r="T214" s="84">
        <v>1</v>
      </c>
      <c r="U214" s="84">
        <v>2</v>
      </c>
      <c r="V214" s="84">
        <v>2</v>
      </c>
      <c r="W214" s="84">
        <f t="shared" si="34"/>
        <v>5</v>
      </c>
      <c r="X214" s="84" t="str">
        <f t="shared" si="38"/>
        <v>Biasa</v>
      </c>
      <c r="Y214" s="78"/>
      <c r="Z214" s="115"/>
      <c r="AA214" s="82"/>
      <c r="AB214" s="82"/>
      <c r="AC214" s="82"/>
      <c r="AD214" s="27"/>
      <c r="AE214" s="85"/>
      <c r="AF214" s="77" t="s">
        <v>236</v>
      </c>
      <c r="AG214" s="77" t="s">
        <v>81</v>
      </c>
      <c r="AH214" s="21" t="s">
        <v>81</v>
      </c>
      <c r="AI214" s="21" t="s">
        <v>81</v>
      </c>
      <c r="AJ214" s="21" t="s">
        <v>81</v>
      </c>
      <c r="AK214" s="21" t="s">
        <v>81</v>
      </c>
      <c r="AL214" s="21" t="s">
        <v>81</v>
      </c>
      <c r="AM214" s="27" t="s">
        <v>100</v>
      </c>
      <c r="AN214" s="86">
        <v>44937</v>
      </c>
      <c r="AO214" s="87"/>
      <c r="AP214" s="4"/>
      <c r="AQ214" s="4"/>
      <c r="AR214" s="4"/>
      <c r="AS214" s="4"/>
      <c r="AT214" s="4"/>
    </row>
    <row r="215" spans="1:46" s="88" customFormat="1" ht="111.95" hidden="1" customHeight="1" x14ac:dyDescent="0.25">
      <c r="A215" s="76">
        <v>148</v>
      </c>
      <c r="B215" s="76" t="s">
        <v>74</v>
      </c>
      <c r="C215" s="76" t="s">
        <v>1170</v>
      </c>
      <c r="D215" s="76">
        <v>2</v>
      </c>
      <c r="E215" s="76" t="s">
        <v>82</v>
      </c>
      <c r="F215" s="78" t="s">
        <v>1401</v>
      </c>
      <c r="G215" s="79" t="s">
        <v>780</v>
      </c>
      <c r="H215" s="79" t="s">
        <v>781</v>
      </c>
      <c r="I215" s="80" t="s">
        <v>1338</v>
      </c>
      <c r="J215" s="79" t="s">
        <v>782</v>
      </c>
      <c r="K215" s="79"/>
      <c r="L215" s="81"/>
      <c r="M215" s="81"/>
      <c r="N215" s="82">
        <v>45108</v>
      </c>
      <c r="O215" s="82">
        <v>45473</v>
      </c>
      <c r="P215" s="83">
        <f t="shared" si="35"/>
        <v>1</v>
      </c>
      <c r="Q215" s="77" t="s">
        <v>26</v>
      </c>
      <c r="R215" s="77">
        <f t="shared" ca="1" si="36"/>
        <v>6.9495982340203257</v>
      </c>
      <c r="S215" s="77" t="str">
        <f t="shared" ca="1" si="37"/>
        <v>O</v>
      </c>
      <c r="T215" s="84">
        <v>1</v>
      </c>
      <c r="U215" s="84">
        <v>3</v>
      </c>
      <c r="V215" s="84">
        <v>1</v>
      </c>
      <c r="W215" s="84">
        <f t="shared" si="34"/>
        <v>5</v>
      </c>
      <c r="X215" s="84" t="str">
        <f t="shared" si="38"/>
        <v>Biasa</v>
      </c>
      <c r="Y215" s="78" t="s">
        <v>1402</v>
      </c>
      <c r="Z215" s="115"/>
      <c r="AA215" s="82"/>
      <c r="AB215" s="82"/>
      <c r="AC215" s="82"/>
      <c r="AD215" s="27"/>
      <c r="AE215" s="85"/>
      <c r="AF215" s="77" t="s">
        <v>236</v>
      </c>
      <c r="AG215" s="77" t="s">
        <v>81</v>
      </c>
      <c r="AH215" s="21" t="s">
        <v>81</v>
      </c>
      <c r="AI215" s="21" t="s">
        <v>81</v>
      </c>
      <c r="AJ215" s="21" t="s">
        <v>81</v>
      </c>
      <c r="AK215" s="21" t="s">
        <v>81</v>
      </c>
      <c r="AL215" s="21" t="s">
        <v>81</v>
      </c>
      <c r="AM215" s="27" t="s">
        <v>100</v>
      </c>
      <c r="AN215" s="86">
        <v>45082</v>
      </c>
      <c r="AO215" s="87"/>
      <c r="AP215" s="4"/>
      <c r="AQ215" s="4"/>
      <c r="AR215" s="4"/>
      <c r="AS215" s="4"/>
      <c r="AT215" s="4"/>
    </row>
    <row r="216" spans="1:46" s="88" customFormat="1" ht="111.95" hidden="1" customHeight="1" x14ac:dyDescent="0.25">
      <c r="A216" s="76">
        <v>149</v>
      </c>
      <c r="B216" s="76" t="s">
        <v>74</v>
      </c>
      <c r="C216" s="76" t="s">
        <v>1170</v>
      </c>
      <c r="D216" s="76">
        <v>3</v>
      </c>
      <c r="E216" s="76" t="s">
        <v>82</v>
      </c>
      <c r="F216" s="139" t="s">
        <v>1459</v>
      </c>
      <c r="G216" s="79" t="s">
        <v>790</v>
      </c>
      <c r="H216" s="79" t="s">
        <v>1460</v>
      </c>
      <c r="I216" s="80" t="s">
        <v>1339</v>
      </c>
      <c r="J216" s="79" t="s">
        <v>792</v>
      </c>
      <c r="K216" s="79" t="s">
        <v>793</v>
      </c>
      <c r="L216" s="81" t="s">
        <v>794</v>
      </c>
      <c r="M216" s="81" t="s">
        <v>795</v>
      </c>
      <c r="N216" s="82">
        <v>45108</v>
      </c>
      <c r="O216" s="82">
        <v>45838</v>
      </c>
      <c r="P216" s="83">
        <f t="shared" si="35"/>
        <v>2</v>
      </c>
      <c r="Q216" s="77" t="s">
        <v>26</v>
      </c>
      <c r="R216" s="77">
        <f t="shared" ca="1" si="36"/>
        <v>18.723791782407421</v>
      </c>
      <c r="S216" s="77" t="str">
        <f t="shared" ca="1" si="37"/>
        <v>O</v>
      </c>
      <c r="T216" s="84">
        <v>1</v>
      </c>
      <c r="U216" s="84">
        <v>1</v>
      </c>
      <c r="V216" s="84">
        <v>3</v>
      </c>
      <c r="W216" s="84">
        <f t="shared" si="34"/>
        <v>5</v>
      </c>
      <c r="X216" s="84" t="str">
        <f t="shared" si="38"/>
        <v>Biasa</v>
      </c>
      <c r="Y216" s="78"/>
      <c r="Z216" s="115"/>
      <c r="AA216" s="82"/>
      <c r="AB216" s="82"/>
      <c r="AC216" s="82"/>
      <c r="AD216" s="27"/>
      <c r="AE216" s="85"/>
      <c r="AF216" s="77" t="s">
        <v>236</v>
      </c>
      <c r="AG216" s="77" t="s">
        <v>81</v>
      </c>
      <c r="AH216" s="21" t="s">
        <v>81</v>
      </c>
      <c r="AI216" s="21" t="s">
        <v>81</v>
      </c>
      <c r="AJ216" s="21" t="s">
        <v>81</v>
      </c>
      <c r="AK216" s="21" t="s">
        <v>81</v>
      </c>
      <c r="AL216" s="21" t="s">
        <v>81</v>
      </c>
      <c r="AM216" s="27" t="s">
        <v>100</v>
      </c>
      <c r="AN216" s="86">
        <v>45134</v>
      </c>
      <c r="AO216" s="87"/>
      <c r="AP216" s="4"/>
      <c r="AQ216" s="4"/>
      <c r="AR216" s="4"/>
      <c r="AS216" s="4"/>
      <c r="AT216" s="4"/>
    </row>
    <row r="217" spans="1:46" s="88" customFormat="1" ht="111.95" hidden="1" customHeight="1" x14ac:dyDescent="0.25">
      <c r="A217" s="76">
        <v>150</v>
      </c>
      <c r="B217" s="76" t="s">
        <v>74</v>
      </c>
      <c r="C217" s="76" t="s">
        <v>1170</v>
      </c>
      <c r="D217" s="76">
        <v>4</v>
      </c>
      <c r="E217" s="76" t="s">
        <v>82</v>
      </c>
      <c r="F217" s="78" t="s">
        <v>1272</v>
      </c>
      <c r="G217" s="79" t="s">
        <v>790</v>
      </c>
      <c r="H217" s="79" t="s">
        <v>797</v>
      </c>
      <c r="I217" s="80" t="s">
        <v>1339</v>
      </c>
      <c r="J217" s="79" t="s">
        <v>1273</v>
      </c>
      <c r="K217" s="79" t="s">
        <v>798</v>
      </c>
      <c r="L217" s="81">
        <v>4750000</v>
      </c>
      <c r="M217" s="81" t="s">
        <v>96</v>
      </c>
      <c r="N217" s="82">
        <v>44927</v>
      </c>
      <c r="O217" s="82">
        <v>45657</v>
      </c>
      <c r="P217" s="83">
        <f t="shared" si="35"/>
        <v>2</v>
      </c>
      <c r="Q217" s="77" t="s">
        <v>26</v>
      </c>
      <c r="R217" s="77">
        <f t="shared" ca="1" si="36"/>
        <v>12.885082104988067</v>
      </c>
      <c r="S217" s="77" t="str">
        <f t="shared" ca="1" si="37"/>
        <v>O</v>
      </c>
      <c r="T217" s="84">
        <v>1</v>
      </c>
      <c r="U217" s="84">
        <v>1</v>
      </c>
      <c r="V217" s="84">
        <v>3</v>
      </c>
      <c r="W217" s="84">
        <f t="shared" si="34"/>
        <v>5</v>
      </c>
      <c r="X217" s="84" t="str">
        <f t="shared" si="38"/>
        <v>Biasa</v>
      </c>
      <c r="Y217" s="78"/>
      <c r="Z217" s="115" t="s">
        <v>81</v>
      </c>
      <c r="AA217" s="82">
        <f>N217+270</f>
        <v>45197</v>
      </c>
      <c r="AB217" s="82"/>
      <c r="AC217" s="82"/>
      <c r="AD217" s="27" t="s">
        <v>86</v>
      </c>
      <c r="AE217" s="85">
        <v>43497</v>
      </c>
      <c r="AF217" s="77" t="s">
        <v>236</v>
      </c>
      <c r="AG217" s="77" t="s">
        <v>81</v>
      </c>
      <c r="AH217" s="21" t="s">
        <v>81</v>
      </c>
      <c r="AI217" s="21" t="s">
        <v>81</v>
      </c>
      <c r="AJ217" s="21" t="s">
        <v>81</v>
      </c>
      <c r="AK217" s="21" t="s">
        <v>81</v>
      </c>
      <c r="AL217" s="21" t="s">
        <v>81</v>
      </c>
      <c r="AM217" s="27" t="s">
        <v>100</v>
      </c>
      <c r="AN217" s="86">
        <v>44925</v>
      </c>
      <c r="AO217" s="87"/>
      <c r="AP217" s="4"/>
      <c r="AQ217" s="4"/>
      <c r="AR217" s="4"/>
      <c r="AS217" s="4"/>
      <c r="AT217" s="4"/>
    </row>
    <row r="218" spans="1:46" s="88" customFormat="1" ht="111.95" hidden="1" customHeight="1" x14ac:dyDescent="0.25">
      <c r="A218" s="76">
        <v>151</v>
      </c>
      <c r="B218" s="76" t="s">
        <v>74</v>
      </c>
      <c r="C218" s="76" t="s">
        <v>1170</v>
      </c>
      <c r="D218" s="76">
        <v>5</v>
      </c>
      <c r="E218" s="76" t="s">
        <v>82</v>
      </c>
      <c r="F218" s="78" t="s">
        <v>1433</v>
      </c>
      <c r="G218" s="79" t="s">
        <v>800</v>
      </c>
      <c r="H218" s="79" t="s">
        <v>801</v>
      </c>
      <c r="I218" s="80" t="s">
        <v>1339</v>
      </c>
      <c r="J218" s="79" t="s">
        <v>802</v>
      </c>
      <c r="K218" s="79" t="s">
        <v>1434</v>
      </c>
      <c r="L218" s="81">
        <v>53677778</v>
      </c>
      <c r="M218" s="81" t="s">
        <v>96</v>
      </c>
      <c r="N218" s="82">
        <v>45108</v>
      </c>
      <c r="O218" s="82">
        <v>45473</v>
      </c>
      <c r="P218" s="83">
        <f t="shared" si="35"/>
        <v>1</v>
      </c>
      <c r="Q218" s="77" t="s">
        <v>26</v>
      </c>
      <c r="R218" s="77">
        <f t="shared" ca="1" si="36"/>
        <v>6.9495982340203257</v>
      </c>
      <c r="S218" s="77" t="str">
        <f t="shared" ca="1" si="37"/>
        <v>O</v>
      </c>
      <c r="T218" s="84">
        <v>1</v>
      </c>
      <c r="U218" s="84">
        <v>1</v>
      </c>
      <c r="V218" s="84">
        <v>3</v>
      </c>
      <c r="W218" s="84">
        <f t="shared" si="34"/>
        <v>5</v>
      </c>
      <c r="X218" s="84" t="str">
        <f t="shared" si="38"/>
        <v>Biasa</v>
      </c>
      <c r="Y218" s="78"/>
      <c r="Z218" s="115"/>
      <c r="AA218" s="82"/>
      <c r="AB218" s="82"/>
      <c r="AC218" s="82"/>
      <c r="AD218" s="27" t="s">
        <v>86</v>
      </c>
      <c r="AE218" s="85">
        <v>43983</v>
      </c>
      <c r="AF218" s="77" t="s">
        <v>236</v>
      </c>
      <c r="AG218" s="77" t="s">
        <v>81</v>
      </c>
      <c r="AH218" s="21" t="s">
        <v>81</v>
      </c>
      <c r="AI218" s="21" t="s">
        <v>81</v>
      </c>
      <c r="AJ218" s="21" t="s">
        <v>81</v>
      </c>
      <c r="AK218" s="21" t="s">
        <v>81</v>
      </c>
      <c r="AL218" s="21" t="s">
        <v>81</v>
      </c>
      <c r="AM218" s="27" t="s">
        <v>100</v>
      </c>
      <c r="AN218" s="86">
        <v>45103</v>
      </c>
      <c r="AO218" s="87"/>
      <c r="AP218" s="4"/>
      <c r="AQ218" s="4"/>
      <c r="AR218" s="4"/>
      <c r="AS218" s="4"/>
      <c r="AT218" s="4"/>
    </row>
    <row r="219" spans="1:46" s="88" customFormat="1" ht="111.95" hidden="1" customHeight="1" x14ac:dyDescent="0.25">
      <c r="A219" s="76">
        <v>152</v>
      </c>
      <c r="B219" s="76" t="s">
        <v>74</v>
      </c>
      <c r="C219" s="76" t="s">
        <v>1171</v>
      </c>
      <c r="D219" s="76">
        <v>1</v>
      </c>
      <c r="E219" s="76" t="s">
        <v>82</v>
      </c>
      <c r="F219" s="78" t="s">
        <v>1440</v>
      </c>
      <c r="G219" s="79" t="s">
        <v>809</v>
      </c>
      <c r="H219" s="79" t="s">
        <v>810</v>
      </c>
      <c r="I219" s="80" t="s">
        <v>1339</v>
      </c>
      <c r="J219" s="79" t="s">
        <v>1441</v>
      </c>
      <c r="K219" s="79" t="s">
        <v>1442</v>
      </c>
      <c r="L219" s="81" t="s">
        <v>1443</v>
      </c>
      <c r="M219" s="81" t="s">
        <v>1444</v>
      </c>
      <c r="N219" s="82">
        <v>45108</v>
      </c>
      <c r="O219" s="82">
        <v>45473</v>
      </c>
      <c r="P219" s="83">
        <f t="shared" si="35"/>
        <v>1</v>
      </c>
      <c r="Q219" s="77" t="s">
        <v>26</v>
      </c>
      <c r="R219" s="77">
        <f t="shared" ca="1" si="36"/>
        <v>6.9495982340203257</v>
      </c>
      <c r="S219" s="77" t="str">
        <f t="shared" ca="1" si="37"/>
        <v>O</v>
      </c>
      <c r="T219" s="84">
        <v>1</v>
      </c>
      <c r="U219" s="84">
        <v>1</v>
      </c>
      <c r="V219" s="84">
        <v>3</v>
      </c>
      <c r="W219" s="84">
        <f t="shared" si="34"/>
        <v>5</v>
      </c>
      <c r="X219" s="84" t="str">
        <f t="shared" si="38"/>
        <v>Biasa</v>
      </c>
      <c r="Y219" s="78"/>
      <c r="Z219" s="115"/>
      <c r="AA219" s="82"/>
      <c r="AB219" s="82"/>
      <c r="AC219" s="82"/>
      <c r="AD219" s="27" t="s">
        <v>86</v>
      </c>
      <c r="AE219" s="85">
        <v>44741</v>
      </c>
      <c r="AF219" s="77" t="s">
        <v>236</v>
      </c>
      <c r="AG219" s="77" t="s">
        <v>81</v>
      </c>
      <c r="AH219" s="21" t="s">
        <v>81</v>
      </c>
      <c r="AI219" s="21" t="s">
        <v>81</v>
      </c>
      <c r="AJ219" s="21" t="s">
        <v>81</v>
      </c>
      <c r="AK219" s="21" t="s">
        <v>81</v>
      </c>
      <c r="AL219" s="21" t="s">
        <v>81</v>
      </c>
      <c r="AM219" s="27" t="s">
        <v>100</v>
      </c>
      <c r="AN219" s="86">
        <v>45103</v>
      </c>
      <c r="AO219" s="87"/>
      <c r="AP219" s="4"/>
      <c r="AQ219" s="4"/>
      <c r="AR219" s="4"/>
      <c r="AS219" s="4"/>
      <c r="AT219" s="4"/>
    </row>
    <row r="220" spans="1:46" s="88" customFormat="1" ht="111.95" hidden="1" customHeight="1" x14ac:dyDescent="0.25">
      <c r="A220" s="76">
        <v>153</v>
      </c>
      <c r="B220" s="76" t="s">
        <v>74</v>
      </c>
      <c r="C220" s="76" t="s">
        <v>1171</v>
      </c>
      <c r="D220" s="76">
        <v>2</v>
      </c>
      <c r="E220" s="76" t="s">
        <v>82</v>
      </c>
      <c r="F220" s="78"/>
      <c r="G220" s="79" t="s">
        <v>804</v>
      </c>
      <c r="H220" s="79" t="s">
        <v>805</v>
      </c>
      <c r="I220" s="80" t="s">
        <v>1339</v>
      </c>
      <c r="J220" s="79" t="s">
        <v>806</v>
      </c>
      <c r="K220" s="79"/>
      <c r="L220" s="81"/>
      <c r="M220" s="81"/>
      <c r="N220" s="82">
        <v>41817</v>
      </c>
      <c r="O220" s="82">
        <v>45165</v>
      </c>
      <c r="P220" s="83">
        <f t="shared" si="35"/>
        <v>9.1726027397260275</v>
      </c>
      <c r="Q220" s="77" t="s">
        <v>26</v>
      </c>
      <c r="R220" s="77">
        <f t="shared" ca="1" si="36"/>
        <v>-2.9858856369474163</v>
      </c>
      <c r="S220" s="77" t="str">
        <f t="shared" ca="1" si="37"/>
        <v>Y</v>
      </c>
      <c r="T220" s="84">
        <v>1</v>
      </c>
      <c r="U220" s="84">
        <v>1</v>
      </c>
      <c r="V220" s="84">
        <v>3</v>
      </c>
      <c r="W220" s="84">
        <f t="shared" si="34"/>
        <v>5</v>
      </c>
      <c r="X220" s="84" t="str">
        <f t="shared" si="38"/>
        <v>Biasa</v>
      </c>
      <c r="Y220" s="78" t="s">
        <v>807</v>
      </c>
      <c r="Z220" s="115" t="s">
        <v>81</v>
      </c>
      <c r="AA220" s="82">
        <v>44769</v>
      </c>
      <c r="AB220" s="82">
        <v>45134</v>
      </c>
      <c r="AC220" s="82"/>
      <c r="AD220" s="27" t="s">
        <v>86</v>
      </c>
      <c r="AE220" s="85">
        <v>44501</v>
      </c>
      <c r="AF220" s="77" t="s">
        <v>236</v>
      </c>
      <c r="AG220" s="77" t="s">
        <v>150</v>
      </c>
      <c r="AH220" s="21"/>
      <c r="AI220" s="21"/>
      <c r="AJ220" s="21"/>
      <c r="AK220" s="21"/>
      <c r="AL220" s="21"/>
      <c r="AM220" s="27"/>
      <c r="AN220" s="86"/>
      <c r="AO220" s="87"/>
      <c r="AP220" s="4"/>
      <c r="AQ220" s="4"/>
      <c r="AR220" s="4"/>
      <c r="AS220" s="4"/>
      <c r="AT220" s="4"/>
    </row>
    <row r="221" spans="1:46" s="88" customFormat="1" ht="111.95" hidden="1" customHeight="1" x14ac:dyDescent="0.25">
      <c r="A221" s="76">
        <v>154</v>
      </c>
      <c r="B221" s="76" t="s">
        <v>74</v>
      </c>
      <c r="C221" s="76" t="s">
        <v>1171</v>
      </c>
      <c r="D221" s="76">
        <v>3</v>
      </c>
      <c r="E221" s="76" t="s">
        <v>82</v>
      </c>
      <c r="F221" s="78" t="s">
        <v>437</v>
      </c>
      <c r="G221" s="79" t="s">
        <v>438</v>
      </c>
      <c r="H221" s="79" t="s">
        <v>439</v>
      </c>
      <c r="I221" s="80" t="s">
        <v>1338</v>
      </c>
      <c r="J221" s="79" t="s">
        <v>438</v>
      </c>
      <c r="K221" s="79"/>
      <c r="L221" s="81" t="s">
        <v>440</v>
      </c>
      <c r="M221" s="81" t="s">
        <v>441</v>
      </c>
      <c r="N221" s="82">
        <v>44564</v>
      </c>
      <c r="O221" s="82">
        <v>45443</v>
      </c>
      <c r="P221" s="83">
        <f t="shared" si="35"/>
        <v>2.408219178082192</v>
      </c>
      <c r="Q221" s="77" t="s">
        <v>19</v>
      </c>
      <c r="R221" s="77">
        <f t="shared" ca="1" si="36"/>
        <v>5.9818562985364547</v>
      </c>
      <c r="S221" s="77" t="str">
        <f t="shared" ca="1" si="37"/>
        <v>O</v>
      </c>
      <c r="T221" s="84">
        <v>3</v>
      </c>
      <c r="U221" s="84">
        <v>2</v>
      </c>
      <c r="V221" s="84">
        <v>3</v>
      </c>
      <c r="W221" s="84">
        <f t="shared" si="34"/>
        <v>8</v>
      </c>
      <c r="X221" s="84" t="str">
        <f t="shared" si="38"/>
        <v>Penting</v>
      </c>
      <c r="Y221" s="78"/>
      <c r="Z221" s="115" t="s">
        <v>81</v>
      </c>
      <c r="AA221" s="82">
        <f>N221+365</f>
        <v>44929</v>
      </c>
      <c r="AB221" s="82"/>
      <c r="AC221" s="82"/>
      <c r="AD221" s="27" t="s">
        <v>86</v>
      </c>
      <c r="AE221" s="85">
        <v>43497</v>
      </c>
      <c r="AF221" s="77" t="s">
        <v>442</v>
      </c>
      <c r="AG221" s="77" t="s">
        <v>81</v>
      </c>
      <c r="AH221" s="21" t="s">
        <v>81</v>
      </c>
      <c r="AI221" s="21" t="s">
        <v>81</v>
      </c>
      <c r="AJ221" s="21" t="s">
        <v>81</v>
      </c>
      <c r="AK221" s="21" t="s">
        <v>81</v>
      </c>
      <c r="AL221" s="21" t="s">
        <v>81</v>
      </c>
      <c r="AM221" s="27" t="s">
        <v>87</v>
      </c>
      <c r="AN221" s="86">
        <v>44566</v>
      </c>
      <c r="AO221" s="87"/>
      <c r="AP221" s="4"/>
      <c r="AQ221" s="4"/>
      <c r="AR221" s="4"/>
      <c r="AS221" s="4"/>
      <c r="AT221" s="4"/>
    </row>
    <row r="222" spans="1:46" s="88" customFormat="1" ht="111.95" hidden="1" customHeight="1" x14ac:dyDescent="0.25">
      <c r="A222" s="76">
        <v>155</v>
      </c>
      <c r="B222" s="76" t="s">
        <v>74</v>
      </c>
      <c r="C222" s="76" t="s">
        <v>1171</v>
      </c>
      <c r="D222" s="76">
        <v>4</v>
      </c>
      <c r="E222" s="76" t="s">
        <v>82</v>
      </c>
      <c r="F222" s="78"/>
      <c r="G222" s="79" t="s">
        <v>443</v>
      </c>
      <c r="H222" s="79" t="s">
        <v>444</v>
      </c>
      <c r="I222" s="80" t="s">
        <v>1339</v>
      </c>
      <c r="J222" s="79" t="s">
        <v>445</v>
      </c>
      <c r="K222" s="79"/>
      <c r="L222" s="81"/>
      <c r="M222" s="81"/>
      <c r="N222" s="82">
        <v>44065</v>
      </c>
      <c r="O222" s="82">
        <v>45159</v>
      </c>
      <c r="P222" s="83">
        <f t="shared" si="35"/>
        <v>2.9972602739726026</v>
      </c>
      <c r="Q222" s="77" t="s">
        <v>19</v>
      </c>
      <c r="R222" s="77">
        <f t="shared" ca="1" si="36"/>
        <v>-3.1794340240441903</v>
      </c>
      <c r="S222" s="77" t="str">
        <f t="shared" ca="1" si="37"/>
        <v>Y</v>
      </c>
      <c r="T222" s="84">
        <v>3</v>
      </c>
      <c r="U222" s="84">
        <v>1</v>
      </c>
      <c r="V222" s="84">
        <v>3</v>
      </c>
      <c r="W222" s="84">
        <f t="shared" si="34"/>
        <v>7</v>
      </c>
      <c r="X222" s="84" t="str">
        <f t="shared" si="38"/>
        <v>Penting</v>
      </c>
      <c r="Y222" s="78" t="s">
        <v>446</v>
      </c>
      <c r="Z222" s="115" t="s">
        <v>81</v>
      </c>
      <c r="AA222" s="82">
        <f>N222+635</f>
        <v>44700</v>
      </c>
      <c r="AB222" s="82">
        <f>+N222+1000</f>
        <v>45065</v>
      </c>
      <c r="AC222" s="82">
        <f>N222+1365</f>
        <v>45430</v>
      </c>
      <c r="AD222" s="27" t="s">
        <v>86</v>
      </c>
      <c r="AE222" s="85">
        <v>43497</v>
      </c>
      <c r="AF222" s="77" t="s">
        <v>442</v>
      </c>
      <c r="AG222" s="77" t="s">
        <v>150</v>
      </c>
      <c r="AH222" s="21"/>
      <c r="AI222" s="21"/>
      <c r="AJ222" s="21"/>
      <c r="AK222" s="21"/>
      <c r="AL222" s="21"/>
      <c r="AM222" s="27" t="s">
        <v>87</v>
      </c>
      <c r="AN222" s="86">
        <v>44099</v>
      </c>
      <c r="AO222" s="87"/>
      <c r="AP222" s="4"/>
      <c r="AQ222" s="4"/>
      <c r="AR222" s="4"/>
      <c r="AS222" s="4"/>
      <c r="AT222" s="4"/>
    </row>
    <row r="223" spans="1:46" s="88" customFormat="1" ht="111.95" hidden="1" customHeight="1" x14ac:dyDescent="0.25">
      <c r="A223" s="76">
        <v>156</v>
      </c>
      <c r="B223" s="76" t="s">
        <v>74</v>
      </c>
      <c r="C223" s="76" t="s">
        <v>1171</v>
      </c>
      <c r="D223" s="76">
        <v>5</v>
      </c>
      <c r="E223" s="76" t="s">
        <v>82</v>
      </c>
      <c r="F223" s="78" t="s">
        <v>596</v>
      </c>
      <c r="G223" s="79" t="s">
        <v>584</v>
      </c>
      <c r="H223" s="79" t="s">
        <v>594</v>
      </c>
      <c r="I223" s="80" t="s">
        <v>1339</v>
      </c>
      <c r="J223" s="79" t="s">
        <v>597</v>
      </c>
      <c r="K223" s="79"/>
      <c r="L223" s="81">
        <v>12000000</v>
      </c>
      <c r="M223" s="81" t="s">
        <v>892</v>
      </c>
      <c r="N223" s="82">
        <v>44136</v>
      </c>
      <c r="O223" s="82">
        <v>45230</v>
      </c>
      <c r="P223" s="83">
        <f t="shared" si="35"/>
        <v>2.9972602739726026</v>
      </c>
      <c r="Q223" s="77" t="s">
        <v>25</v>
      </c>
      <c r="R223" s="77">
        <f t="shared" ca="1" si="36"/>
        <v>-0.88911144339902914</v>
      </c>
      <c r="S223" s="77" t="str">
        <f t="shared" ca="1" si="37"/>
        <v>Y</v>
      </c>
      <c r="T223" s="84">
        <v>1</v>
      </c>
      <c r="U223" s="84">
        <v>1</v>
      </c>
      <c r="V223" s="84">
        <v>2</v>
      </c>
      <c r="W223" s="84">
        <f t="shared" ref="W223:W254" si="39">T223+U223+V223</f>
        <v>4</v>
      </c>
      <c r="X223" s="84" t="str">
        <f t="shared" si="38"/>
        <v>Biasa</v>
      </c>
      <c r="Y223" s="78"/>
      <c r="Z223" s="115" t="s">
        <v>81</v>
      </c>
      <c r="AA223" s="82">
        <f>N223+270</f>
        <v>44406</v>
      </c>
      <c r="AB223" s="82">
        <f>+N223+635</f>
        <v>44771</v>
      </c>
      <c r="AC223" s="82"/>
      <c r="AD223" s="27" t="s">
        <v>86</v>
      </c>
      <c r="AE223" s="85">
        <v>44105</v>
      </c>
      <c r="AF223" s="77" t="s">
        <v>588</v>
      </c>
      <c r="AG223" s="77" t="s">
        <v>81</v>
      </c>
      <c r="AH223" s="21" t="s">
        <v>81</v>
      </c>
      <c r="AI223" s="21" t="s">
        <v>81</v>
      </c>
      <c r="AJ223" s="21" t="s">
        <v>81</v>
      </c>
      <c r="AK223" s="21" t="s">
        <v>81</v>
      </c>
      <c r="AL223" s="21" t="s">
        <v>81</v>
      </c>
      <c r="AM223" s="27" t="s">
        <v>87</v>
      </c>
      <c r="AN223" s="86">
        <v>44104</v>
      </c>
      <c r="AO223" s="87"/>
      <c r="AP223" s="4"/>
      <c r="AQ223" s="4"/>
      <c r="AR223" s="4"/>
      <c r="AS223" s="4"/>
      <c r="AT223" s="4"/>
    </row>
    <row r="224" spans="1:46" s="88" customFormat="1" ht="111.95" hidden="1" customHeight="1" x14ac:dyDescent="0.25">
      <c r="A224" s="76">
        <v>157</v>
      </c>
      <c r="B224" s="76" t="s">
        <v>74</v>
      </c>
      <c r="C224" s="76" t="s">
        <v>1171</v>
      </c>
      <c r="D224" s="76">
        <v>6</v>
      </c>
      <c r="E224" s="76" t="s">
        <v>82</v>
      </c>
      <c r="F224" s="78" t="s">
        <v>1368</v>
      </c>
      <c r="G224" s="79" t="s">
        <v>584</v>
      </c>
      <c r="H224" s="79" t="s">
        <v>594</v>
      </c>
      <c r="I224" s="80" t="s">
        <v>1339</v>
      </c>
      <c r="J224" s="79" t="s">
        <v>1369</v>
      </c>
      <c r="K224" s="79"/>
      <c r="L224" s="81">
        <v>12000000</v>
      </c>
      <c r="M224" s="81" t="s">
        <v>96</v>
      </c>
      <c r="N224" s="82">
        <v>45108</v>
      </c>
      <c r="O224" s="82">
        <v>46203</v>
      </c>
      <c r="P224" s="83">
        <f t="shared" si="35"/>
        <v>3</v>
      </c>
      <c r="Q224" s="77" t="s">
        <v>25</v>
      </c>
      <c r="R224" s="77">
        <f t="shared" ca="1" si="36"/>
        <v>30.497985330794521</v>
      </c>
      <c r="S224" s="77" t="str">
        <f t="shared" ca="1" si="37"/>
        <v>O</v>
      </c>
      <c r="T224" s="84">
        <v>1</v>
      </c>
      <c r="U224" s="84">
        <v>1</v>
      </c>
      <c r="V224" s="84">
        <v>2</v>
      </c>
      <c r="W224" s="84">
        <f t="shared" si="39"/>
        <v>4</v>
      </c>
      <c r="X224" s="84" t="str">
        <f t="shared" si="38"/>
        <v>Biasa</v>
      </c>
      <c r="Y224" s="78"/>
      <c r="Z224" s="115" t="s">
        <v>81</v>
      </c>
      <c r="AA224" s="82">
        <f>N224+270</f>
        <v>45378</v>
      </c>
      <c r="AB224" s="82">
        <f>+N224+635</f>
        <v>45743</v>
      </c>
      <c r="AC224" s="82"/>
      <c r="AD224" s="27" t="s">
        <v>86</v>
      </c>
      <c r="AE224" s="85">
        <v>45108</v>
      </c>
      <c r="AF224" s="77" t="s">
        <v>588</v>
      </c>
      <c r="AG224" s="77" t="s">
        <v>81</v>
      </c>
      <c r="AH224" s="21" t="s">
        <v>81</v>
      </c>
      <c r="AI224" s="21" t="s">
        <v>81</v>
      </c>
      <c r="AJ224" s="21" t="s">
        <v>81</v>
      </c>
      <c r="AK224" s="21" t="s">
        <v>81</v>
      </c>
      <c r="AL224" s="21" t="s">
        <v>81</v>
      </c>
      <c r="AM224" s="27" t="s">
        <v>100</v>
      </c>
      <c r="AN224" s="86">
        <v>45101</v>
      </c>
      <c r="AO224" s="87"/>
      <c r="AP224" s="4"/>
      <c r="AQ224" s="4"/>
      <c r="AR224" s="4"/>
      <c r="AS224" s="4"/>
      <c r="AT224" s="4"/>
    </row>
    <row r="225" spans="1:48" s="88" customFormat="1" ht="111.95" hidden="1" customHeight="1" x14ac:dyDescent="0.25">
      <c r="A225" s="76">
        <v>158</v>
      </c>
      <c r="B225" s="76" t="s">
        <v>74</v>
      </c>
      <c r="C225" s="76" t="s">
        <v>1172</v>
      </c>
      <c r="D225" s="76">
        <v>1</v>
      </c>
      <c r="E225" s="76" t="s">
        <v>82</v>
      </c>
      <c r="F225" s="78" t="s">
        <v>752</v>
      </c>
      <c r="G225" s="79" t="s">
        <v>753</v>
      </c>
      <c r="H225" s="79" t="s">
        <v>754</v>
      </c>
      <c r="I225" s="80" t="s">
        <v>1339</v>
      </c>
      <c r="J225" s="79" t="s">
        <v>755</v>
      </c>
      <c r="K225" s="79"/>
      <c r="L225" s="81"/>
      <c r="M225" s="81"/>
      <c r="N225" s="82">
        <v>44085</v>
      </c>
      <c r="O225" s="82">
        <v>45179</v>
      </c>
      <c r="P225" s="83">
        <f t="shared" si="35"/>
        <v>2.9972602739726026</v>
      </c>
      <c r="Q225" s="77" t="s">
        <v>23</v>
      </c>
      <c r="R225" s="77">
        <f t="shared" ca="1" si="36"/>
        <v>-2.5342727337216098</v>
      </c>
      <c r="S225" s="77" t="str">
        <f t="shared" ca="1" si="37"/>
        <v>Y</v>
      </c>
      <c r="T225" s="84">
        <v>1</v>
      </c>
      <c r="U225" s="84">
        <v>1</v>
      </c>
      <c r="V225" s="84">
        <v>1</v>
      </c>
      <c r="W225" s="84">
        <f t="shared" si="39"/>
        <v>3</v>
      </c>
      <c r="X225" s="84" t="str">
        <f t="shared" si="38"/>
        <v>Biasa</v>
      </c>
      <c r="Y225" s="78"/>
      <c r="Z225" s="115" t="s">
        <v>81</v>
      </c>
      <c r="AA225" s="82">
        <f>N225+270</f>
        <v>44355</v>
      </c>
      <c r="AB225" s="82">
        <f>+N225+635</f>
        <v>44720</v>
      </c>
      <c r="AC225" s="82"/>
      <c r="AD225" s="27"/>
      <c r="AE225" s="85"/>
      <c r="AF225" s="77" t="s">
        <v>1453</v>
      </c>
      <c r="AG225" s="77" t="s">
        <v>81</v>
      </c>
      <c r="AH225" s="21" t="s">
        <v>81</v>
      </c>
      <c r="AI225" s="21" t="s">
        <v>81</v>
      </c>
      <c r="AJ225" s="21" t="s">
        <v>81</v>
      </c>
      <c r="AK225" s="21" t="s">
        <v>81</v>
      </c>
      <c r="AL225" s="21" t="s">
        <v>81</v>
      </c>
      <c r="AM225" s="27" t="s">
        <v>87</v>
      </c>
      <c r="AN225" s="86">
        <v>44102</v>
      </c>
      <c r="AO225" s="87"/>
      <c r="AP225" s="4"/>
      <c r="AQ225" s="4"/>
      <c r="AR225" s="4"/>
      <c r="AS225" s="4"/>
      <c r="AT225" s="4"/>
    </row>
    <row r="226" spans="1:48" s="88" customFormat="1" ht="111.95" hidden="1" customHeight="1" x14ac:dyDescent="0.25">
      <c r="A226" s="76">
        <v>159</v>
      </c>
      <c r="B226" s="76" t="s">
        <v>74</v>
      </c>
      <c r="C226" s="76" t="s">
        <v>1172</v>
      </c>
      <c r="D226" s="76">
        <v>2</v>
      </c>
      <c r="E226" s="76" t="s">
        <v>82</v>
      </c>
      <c r="F226" s="78" t="s">
        <v>75</v>
      </c>
      <c r="G226" s="79" t="s">
        <v>769</v>
      </c>
      <c r="H226" s="79" t="s">
        <v>770</v>
      </c>
      <c r="I226" s="80" t="s">
        <v>1339</v>
      </c>
      <c r="J226" s="79" t="s">
        <v>771</v>
      </c>
      <c r="K226" s="79"/>
      <c r="L226" s="81"/>
      <c r="M226" s="81"/>
      <c r="N226" s="82">
        <v>40210</v>
      </c>
      <c r="O226" s="82">
        <v>45322</v>
      </c>
      <c r="P226" s="83">
        <f t="shared" si="35"/>
        <v>14.005479452054795</v>
      </c>
      <c r="Q226" s="77" t="s">
        <v>23</v>
      </c>
      <c r="R226" s="77">
        <f t="shared" ca="1" si="36"/>
        <v>2.0786304920848417</v>
      </c>
      <c r="S226" s="77" t="str">
        <f t="shared" ca="1" si="37"/>
        <v>O</v>
      </c>
      <c r="T226" s="84">
        <v>1</v>
      </c>
      <c r="U226" s="84">
        <v>2</v>
      </c>
      <c r="V226" s="84">
        <v>1</v>
      </c>
      <c r="W226" s="84">
        <f t="shared" si="39"/>
        <v>4</v>
      </c>
      <c r="X226" s="84" t="str">
        <f t="shared" si="38"/>
        <v>Biasa</v>
      </c>
      <c r="Y226" s="78" t="s">
        <v>772</v>
      </c>
      <c r="Z226" s="115" t="s">
        <v>81</v>
      </c>
      <c r="AA226" s="82">
        <f>N226+4285</f>
        <v>44495</v>
      </c>
      <c r="AB226" s="82">
        <f>N226+4650</f>
        <v>44860</v>
      </c>
      <c r="AC226" s="82">
        <f>N226+5015</f>
        <v>45225</v>
      </c>
      <c r="AD226" s="27" t="s">
        <v>86</v>
      </c>
      <c r="AE226" s="85">
        <v>44501</v>
      </c>
      <c r="AF226" s="77" t="s">
        <v>1453</v>
      </c>
      <c r="AG226" s="77" t="s">
        <v>150</v>
      </c>
      <c r="AH226" s="21"/>
      <c r="AI226" s="21"/>
      <c r="AJ226" s="21"/>
      <c r="AK226" s="21"/>
      <c r="AL226" s="21"/>
      <c r="AM226" s="27" t="s">
        <v>773</v>
      </c>
      <c r="AN226" s="86">
        <v>40331</v>
      </c>
      <c r="AO226" s="87"/>
      <c r="AP226" s="4"/>
      <c r="AQ226" s="4"/>
      <c r="AR226" s="4"/>
      <c r="AS226" s="4"/>
      <c r="AT226" s="4"/>
    </row>
    <row r="227" spans="1:48" s="88" customFormat="1" ht="111.95" hidden="1" customHeight="1" x14ac:dyDescent="0.25">
      <c r="A227" s="76">
        <v>160</v>
      </c>
      <c r="B227" s="76" t="s">
        <v>74</v>
      </c>
      <c r="C227" s="76" t="s">
        <v>1172</v>
      </c>
      <c r="D227" s="76">
        <v>3</v>
      </c>
      <c r="E227" s="76" t="s">
        <v>82</v>
      </c>
      <c r="F227" s="78" t="s">
        <v>762</v>
      </c>
      <c r="G227" s="79" t="s">
        <v>763</v>
      </c>
      <c r="H227" s="79" t="s">
        <v>758</v>
      </c>
      <c r="I227" s="80" t="s">
        <v>1339</v>
      </c>
      <c r="J227" s="79" t="s">
        <v>764</v>
      </c>
      <c r="K227" s="79" t="s">
        <v>765</v>
      </c>
      <c r="L227" s="81"/>
      <c r="M227" s="81"/>
      <c r="N227" s="82">
        <v>44652</v>
      </c>
      <c r="O227" s="82">
        <v>45382</v>
      </c>
      <c r="P227" s="83">
        <f t="shared" si="35"/>
        <v>2</v>
      </c>
      <c r="Q227" s="77" t="s">
        <v>23</v>
      </c>
      <c r="R227" s="77">
        <f t="shared" ca="1" si="36"/>
        <v>4.0141143630525837</v>
      </c>
      <c r="S227" s="77" t="str">
        <f t="shared" ca="1" si="37"/>
        <v>O</v>
      </c>
      <c r="T227" s="84">
        <v>1</v>
      </c>
      <c r="U227" s="84">
        <v>3</v>
      </c>
      <c r="V227" s="84">
        <v>1</v>
      </c>
      <c r="W227" s="84">
        <f t="shared" si="39"/>
        <v>5</v>
      </c>
      <c r="X227" s="84" t="str">
        <f t="shared" si="38"/>
        <v>Biasa</v>
      </c>
      <c r="Y227" s="78"/>
      <c r="Z227" s="115" t="s">
        <v>81</v>
      </c>
      <c r="AA227" s="82">
        <f>N227+270</f>
        <v>44922</v>
      </c>
      <c r="AB227" s="82"/>
      <c r="AC227" s="82"/>
      <c r="AD227" s="27" t="s">
        <v>86</v>
      </c>
      <c r="AE227" s="85">
        <v>44713</v>
      </c>
      <c r="AF227" s="77" t="s">
        <v>1453</v>
      </c>
      <c r="AG227" s="77" t="s">
        <v>81</v>
      </c>
      <c r="AH227" s="21" t="s">
        <v>81</v>
      </c>
      <c r="AI227" s="21" t="s">
        <v>81</v>
      </c>
      <c r="AJ227" s="21" t="s">
        <v>81</v>
      </c>
      <c r="AK227" s="21" t="s">
        <v>81</v>
      </c>
      <c r="AL227" s="21" t="s">
        <v>81</v>
      </c>
      <c r="AM227" s="27" t="s">
        <v>87</v>
      </c>
      <c r="AN227" s="86"/>
      <c r="AO227" s="87"/>
      <c r="AP227" s="4"/>
      <c r="AQ227" s="4"/>
      <c r="AR227" s="4"/>
      <c r="AS227" s="4"/>
      <c r="AT227" s="4"/>
    </row>
    <row r="228" spans="1:48" s="88" customFormat="1" ht="111.95" hidden="1" customHeight="1" x14ac:dyDescent="0.25">
      <c r="A228" s="76">
        <v>161</v>
      </c>
      <c r="B228" s="76" t="s">
        <v>74</v>
      </c>
      <c r="C228" s="76" t="s">
        <v>1172</v>
      </c>
      <c r="D228" s="76">
        <v>4</v>
      </c>
      <c r="E228" s="76" t="s">
        <v>82</v>
      </c>
      <c r="F228" s="78" t="s">
        <v>749</v>
      </c>
      <c r="G228" s="79" t="s">
        <v>729</v>
      </c>
      <c r="H228" s="79" t="s">
        <v>750</v>
      </c>
      <c r="I228" s="80" t="s">
        <v>1339</v>
      </c>
      <c r="J228" s="79" t="s">
        <v>731</v>
      </c>
      <c r="K228" s="79" t="s">
        <v>751</v>
      </c>
      <c r="L228" s="81"/>
      <c r="M228" s="81"/>
      <c r="N228" s="82">
        <v>44256</v>
      </c>
      <c r="O228" s="82">
        <v>45350</v>
      </c>
      <c r="P228" s="83">
        <f t="shared" ref="P228:P239" si="40">(O228-N228)/365</f>
        <v>2.9972602739726026</v>
      </c>
      <c r="Q228" s="77" t="s">
        <v>23</v>
      </c>
      <c r="R228" s="77">
        <f t="shared" ref="R228:R239" ca="1" si="41">(O228-NOW()+1)/31</f>
        <v>2.9818562985364547</v>
      </c>
      <c r="S228" s="77" t="str">
        <f t="shared" ca="1" si="37"/>
        <v>O</v>
      </c>
      <c r="T228" s="84">
        <v>1</v>
      </c>
      <c r="U228" s="84">
        <v>1</v>
      </c>
      <c r="V228" s="84">
        <v>1</v>
      </c>
      <c r="W228" s="84">
        <f t="shared" si="39"/>
        <v>3</v>
      </c>
      <c r="X228" s="84" t="str">
        <f t="shared" si="38"/>
        <v>Biasa</v>
      </c>
      <c r="Y228" s="78" t="s">
        <v>1280</v>
      </c>
      <c r="Z228" s="115" t="s">
        <v>81</v>
      </c>
      <c r="AA228" s="82">
        <f>N228+270</f>
        <v>44526</v>
      </c>
      <c r="AB228" s="82">
        <f>+N228+635</f>
        <v>44891</v>
      </c>
      <c r="AC228" s="82">
        <f>N228+1000</f>
        <v>45256</v>
      </c>
      <c r="AD228" s="27"/>
      <c r="AE228" s="85"/>
      <c r="AF228" s="77" t="s">
        <v>1453</v>
      </c>
      <c r="AG228" s="77" t="s">
        <v>81</v>
      </c>
      <c r="AH228" s="21" t="s">
        <v>81</v>
      </c>
      <c r="AI228" s="21" t="s">
        <v>81</v>
      </c>
      <c r="AJ228" s="21" t="s">
        <v>81</v>
      </c>
      <c r="AK228" s="21" t="s">
        <v>81</v>
      </c>
      <c r="AL228" s="21" t="s">
        <v>81</v>
      </c>
      <c r="AM228" s="27" t="s">
        <v>87</v>
      </c>
      <c r="AN228" s="86">
        <v>44295</v>
      </c>
      <c r="AO228" s="87"/>
      <c r="AP228" s="4"/>
      <c r="AQ228" s="4"/>
      <c r="AR228" s="4"/>
      <c r="AS228" s="4"/>
      <c r="AT228" s="4"/>
    </row>
    <row r="229" spans="1:48" s="88" customFormat="1" ht="111.95" hidden="1" customHeight="1" x14ac:dyDescent="0.25">
      <c r="A229" s="76">
        <v>162</v>
      </c>
      <c r="B229" s="76" t="s">
        <v>74</v>
      </c>
      <c r="C229" s="76" t="s">
        <v>1172</v>
      </c>
      <c r="D229" s="76">
        <v>5</v>
      </c>
      <c r="E229" s="76" t="s">
        <v>82</v>
      </c>
      <c r="F229" s="78" t="s">
        <v>728</v>
      </c>
      <c r="G229" s="79" t="s">
        <v>729</v>
      </c>
      <c r="H229" s="79" t="s">
        <v>730</v>
      </c>
      <c r="I229" s="80" t="s">
        <v>1339</v>
      </c>
      <c r="J229" s="79" t="s">
        <v>731</v>
      </c>
      <c r="K229" s="79" t="s">
        <v>732</v>
      </c>
      <c r="L229" s="81"/>
      <c r="M229" s="81"/>
      <c r="N229" s="82">
        <v>44713</v>
      </c>
      <c r="O229" s="82">
        <v>45808</v>
      </c>
      <c r="P229" s="83">
        <f t="shared" si="40"/>
        <v>3</v>
      </c>
      <c r="Q229" s="77" t="s">
        <v>23</v>
      </c>
      <c r="R229" s="77">
        <f t="shared" ca="1" si="41"/>
        <v>17.756049846923553</v>
      </c>
      <c r="S229" s="77" t="str">
        <f t="shared" ca="1" si="37"/>
        <v>O</v>
      </c>
      <c r="T229" s="84">
        <v>1</v>
      </c>
      <c r="U229" s="84">
        <v>1</v>
      </c>
      <c r="V229" s="84">
        <v>1</v>
      </c>
      <c r="W229" s="84">
        <f t="shared" si="39"/>
        <v>3</v>
      </c>
      <c r="X229" s="84" t="str">
        <f t="shared" si="38"/>
        <v>Biasa</v>
      </c>
      <c r="Y229" s="78"/>
      <c r="Z229" s="115" t="s">
        <v>81</v>
      </c>
      <c r="AA229" s="82">
        <f>N229+270</f>
        <v>44983</v>
      </c>
      <c r="AB229" s="82">
        <f>+N229+635</f>
        <v>45348</v>
      </c>
      <c r="AC229" s="82"/>
      <c r="AD229" s="27"/>
      <c r="AE229" s="85"/>
      <c r="AF229" s="77" t="s">
        <v>1453</v>
      </c>
      <c r="AG229" s="77" t="s">
        <v>81</v>
      </c>
      <c r="AH229" s="21" t="s">
        <v>81</v>
      </c>
      <c r="AI229" s="21" t="s">
        <v>81</v>
      </c>
      <c r="AJ229" s="21" t="s">
        <v>81</v>
      </c>
      <c r="AK229" s="21" t="s">
        <v>81</v>
      </c>
      <c r="AL229" s="21" t="s">
        <v>81</v>
      </c>
      <c r="AM229" s="27" t="s">
        <v>87</v>
      </c>
      <c r="AN229" s="86">
        <v>44720</v>
      </c>
      <c r="AO229" s="87"/>
      <c r="AP229" s="4"/>
      <c r="AQ229" s="4"/>
      <c r="AR229" s="4"/>
      <c r="AS229" s="4"/>
      <c r="AT229" s="4"/>
    </row>
    <row r="230" spans="1:48" s="88" customFormat="1" ht="111.95" hidden="1" customHeight="1" x14ac:dyDescent="0.25">
      <c r="A230" s="76">
        <v>163</v>
      </c>
      <c r="B230" s="76" t="s">
        <v>74</v>
      </c>
      <c r="C230" s="76" t="s">
        <v>1172</v>
      </c>
      <c r="D230" s="76">
        <v>6</v>
      </c>
      <c r="E230" s="76" t="s">
        <v>82</v>
      </c>
      <c r="F230" s="78" t="s">
        <v>738</v>
      </c>
      <c r="G230" s="79" t="s">
        <v>729</v>
      </c>
      <c r="H230" s="79" t="s">
        <v>739</v>
      </c>
      <c r="I230" s="80" t="s">
        <v>1339</v>
      </c>
      <c r="J230" s="79" t="s">
        <v>731</v>
      </c>
      <c r="K230" s="79" t="s">
        <v>740</v>
      </c>
      <c r="L230" s="81"/>
      <c r="M230" s="81"/>
      <c r="N230" s="82">
        <v>44470</v>
      </c>
      <c r="O230" s="82">
        <v>45199</v>
      </c>
      <c r="P230" s="83">
        <f t="shared" si="40"/>
        <v>1.9972602739726026</v>
      </c>
      <c r="Q230" s="77" t="s">
        <v>23</v>
      </c>
      <c r="R230" s="77">
        <f t="shared" ca="1" si="41"/>
        <v>-1.8891114433990293</v>
      </c>
      <c r="S230" s="77" t="str">
        <f t="shared" ca="1" si="37"/>
        <v>Y</v>
      </c>
      <c r="T230" s="84">
        <v>1</v>
      </c>
      <c r="U230" s="84">
        <v>1</v>
      </c>
      <c r="V230" s="84">
        <v>1</v>
      </c>
      <c r="W230" s="84">
        <f t="shared" si="39"/>
        <v>3</v>
      </c>
      <c r="X230" s="84" t="str">
        <f t="shared" si="38"/>
        <v>Biasa</v>
      </c>
      <c r="Y230" s="78"/>
      <c r="Z230" s="115" t="s">
        <v>81</v>
      </c>
      <c r="AA230" s="82">
        <f>N230+270</f>
        <v>44740</v>
      </c>
      <c r="AB230" s="82"/>
      <c r="AC230" s="82"/>
      <c r="AD230" s="27"/>
      <c r="AE230" s="85"/>
      <c r="AF230" s="77" t="s">
        <v>1453</v>
      </c>
      <c r="AG230" s="77" t="s">
        <v>81</v>
      </c>
      <c r="AH230" s="21" t="s">
        <v>81</v>
      </c>
      <c r="AI230" s="21" t="s">
        <v>81</v>
      </c>
      <c r="AJ230" s="21" t="s">
        <v>81</v>
      </c>
      <c r="AK230" s="21" t="s">
        <v>81</v>
      </c>
      <c r="AL230" s="21" t="s">
        <v>81</v>
      </c>
      <c r="AM230" s="27" t="s">
        <v>87</v>
      </c>
      <c r="AN230" s="86">
        <v>44469</v>
      </c>
      <c r="AO230" s="87"/>
      <c r="AP230" s="4"/>
      <c r="AQ230" s="4"/>
      <c r="AR230" s="4"/>
      <c r="AS230" s="4"/>
      <c r="AT230" s="4"/>
    </row>
    <row r="231" spans="1:48" s="88" customFormat="1" ht="111.95" hidden="1" customHeight="1" x14ac:dyDescent="0.25">
      <c r="A231" s="76">
        <v>164</v>
      </c>
      <c r="B231" s="76" t="s">
        <v>74</v>
      </c>
      <c r="C231" s="76" t="s">
        <v>1172</v>
      </c>
      <c r="D231" s="76">
        <v>7</v>
      </c>
      <c r="E231" s="76" t="s">
        <v>82</v>
      </c>
      <c r="F231" s="78" t="s">
        <v>766</v>
      </c>
      <c r="G231" s="79" t="s">
        <v>729</v>
      </c>
      <c r="H231" s="79" t="s">
        <v>767</v>
      </c>
      <c r="I231" s="80" t="s">
        <v>1338</v>
      </c>
      <c r="J231" s="79" t="s">
        <v>731</v>
      </c>
      <c r="K231" s="79" t="s">
        <v>768</v>
      </c>
      <c r="L231" s="81"/>
      <c r="M231" s="81"/>
      <c r="N231" s="82">
        <v>44569</v>
      </c>
      <c r="O231" s="82">
        <v>45298</v>
      </c>
      <c r="P231" s="83">
        <f t="shared" si="40"/>
        <v>1.9972602739726026</v>
      </c>
      <c r="Q231" s="77" t="s">
        <v>23</v>
      </c>
      <c r="R231" s="77">
        <f t="shared" ca="1" si="41"/>
        <v>1.304436943697745</v>
      </c>
      <c r="S231" s="77" t="str">
        <f t="shared" ca="1" si="37"/>
        <v>O</v>
      </c>
      <c r="T231" s="84">
        <v>1</v>
      </c>
      <c r="U231" s="84">
        <v>1</v>
      </c>
      <c r="V231" s="84">
        <v>1</v>
      </c>
      <c r="W231" s="84">
        <f t="shared" si="39"/>
        <v>3</v>
      </c>
      <c r="X231" s="84" t="str">
        <f t="shared" si="38"/>
        <v>Biasa</v>
      </c>
      <c r="Y231" s="78"/>
      <c r="Z231" s="115" t="s">
        <v>81</v>
      </c>
      <c r="AA231" s="82">
        <f>N231+270</f>
        <v>44839</v>
      </c>
      <c r="AB231" s="82"/>
      <c r="AC231" s="82"/>
      <c r="AD231" s="27" t="s">
        <v>86</v>
      </c>
      <c r="AE231" s="85">
        <v>44257</v>
      </c>
      <c r="AF231" s="77" t="s">
        <v>1453</v>
      </c>
      <c r="AG231" s="77" t="s">
        <v>81</v>
      </c>
      <c r="AH231" s="21" t="s">
        <v>81</v>
      </c>
      <c r="AI231" s="21" t="s">
        <v>81</v>
      </c>
      <c r="AJ231" s="21" t="s">
        <v>81</v>
      </c>
      <c r="AK231" s="21" t="s">
        <v>81</v>
      </c>
      <c r="AL231" s="21" t="s">
        <v>81</v>
      </c>
      <c r="AM231" s="27" t="s">
        <v>87</v>
      </c>
      <c r="AN231" s="86">
        <v>44658</v>
      </c>
      <c r="AO231" s="87"/>
      <c r="AP231" s="4"/>
      <c r="AQ231" s="4"/>
      <c r="AR231" s="4"/>
      <c r="AS231" s="4"/>
      <c r="AT231" s="4"/>
      <c r="AV231" s="88" t="s">
        <v>844</v>
      </c>
    </row>
    <row r="232" spans="1:48" s="88" customFormat="1" ht="111.95" hidden="1" customHeight="1" x14ac:dyDescent="0.25">
      <c r="A232" s="76">
        <v>165</v>
      </c>
      <c r="B232" s="76" t="s">
        <v>74</v>
      </c>
      <c r="C232" s="76" t="s">
        <v>1173</v>
      </c>
      <c r="D232" s="76">
        <v>1</v>
      </c>
      <c r="E232" s="76" t="s">
        <v>82</v>
      </c>
      <c r="F232" s="78" t="s">
        <v>1344</v>
      </c>
      <c r="G232" s="79" t="s">
        <v>693</v>
      </c>
      <c r="H232" s="79" t="s">
        <v>694</v>
      </c>
      <c r="I232" s="80" t="s">
        <v>1337</v>
      </c>
      <c r="J232" s="79" t="s">
        <v>695</v>
      </c>
      <c r="K232" s="79" t="s">
        <v>696</v>
      </c>
      <c r="L232" s="81">
        <v>9000</v>
      </c>
      <c r="M232" s="81" t="s">
        <v>697</v>
      </c>
      <c r="N232" s="82">
        <v>45062</v>
      </c>
      <c r="O232" s="82">
        <v>45184</v>
      </c>
      <c r="P232" s="83">
        <f t="shared" si="40"/>
        <v>0.33424657534246577</v>
      </c>
      <c r="Q232" s="77" t="s">
        <v>19</v>
      </c>
      <c r="R232" s="77">
        <f t="shared" ca="1" si="41"/>
        <v>-2.3729824111409648</v>
      </c>
      <c r="S232" s="77" t="str">
        <f t="shared" ca="1" si="37"/>
        <v>Y</v>
      </c>
      <c r="T232" s="84">
        <v>3</v>
      </c>
      <c r="U232" s="84">
        <v>2</v>
      </c>
      <c r="V232" s="84">
        <v>2</v>
      </c>
      <c r="W232" s="84">
        <f t="shared" si="39"/>
        <v>7</v>
      </c>
      <c r="X232" s="84" t="str">
        <f t="shared" si="38"/>
        <v>Penting</v>
      </c>
      <c r="Y232" s="78"/>
      <c r="Z232" s="115"/>
      <c r="AA232" s="82"/>
      <c r="AB232" s="82"/>
      <c r="AC232" s="82"/>
      <c r="AD232" s="27"/>
      <c r="AE232" s="85"/>
      <c r="AF232" s="77" t="s">
        <v>192</v>
      </c>
      <c r="AG232" s="77" t="s">
        <v>81</v>
      </c>
      <c r="AH232" s="21" t="s">
        <v>81</v>
      </c>
      <c r="AI232" s="21" t="s">
        <v>81</v>
      </c>
      <c r="AJ232" s="21" t="s">
        <v>81</v>
      </c>
      <c r="AK232" s="21" t="s">
        <v>81</v>
      </c>
      <c r="AL232" s="21" t="s">
        <v>81</v>
      </c>
      <c r="AM232" s="27" t="s">
        <v>100</v>
      </c>
      <c r="AN232" s="86">
        <v>45058</v>
      </c>
      <c r="AO232" s="87"/>
      <c r="AP232" s="4"/>
      <c r="AQ232" s="4"/>
      <c r="AR232" s="4"/>
      <c r="AS232" s="4"/>
      <c r="AT232" s="4"/>
    </row>
    <row r="233" spans="1:48" s="88" customFormat="1" ht="111.95" hidden="1" customHeight="1" x14ac:dyDescent="0.25">
      <c r="A233" s="76">
        <v>166</v>
      </c>
      <c r="B233" s="76" t="s">
        <v>74</v>
      </c>
      <c r="C233" s="76" t="s">
        <v>1173</v>
      </c>
      <c r="D233" s="76">
        <v>2</v>
      </c>
      <c r="E233" s="76" t="s">
        <v>82</v>
      </c>
      <c r="F233" s="78" t="s">
        <v>1342</v>
      </c>
      <c r="G233" s="79" t="s">
        <v>693</v>
      </c>
      <c r="H233" s="79" t="s">
        <v>699</v>
      </c>
      <c r="I233" s="80" t="s">
        <v>1337</v>
      </c>
      <c r="J233" s="79" t="s">
        <v>695</v>
      </c>
      <c r="K233" s="79" t="s">
        <v>700</v>
      </c>
      <c r="L233" s="81">
        <v>9000</v>
      </c>
      <c r="M233" s="81" t="s">
        <v>697</v>
      </c>
      <c r="N233" s="82">
        <v>45062</v>
      </c>
      <c r="O233" s="82">
        <v>45184</v>
      </c>
      <c r="P233" s="83">
        <f t="shared" si="40"/>
        <v>0.33424657534246577</v>
      </c>
      <c r="Q233" s="77" t="s">
        <v>19</v>
      </c>
      <c r="R233" s="77">
        <f t="shared" ca="1" si="41"/>
        <v>-2.3729824111409648</v>
      </c>
      <c r="S233" s="77" t="str">
        <f t="shared" ca="1" si="37"/>
        <v>Y</v>
      </c>
      <c r="T233" s="84">
        <v>3</v>
      </c>
      <c r="U233" s="84">
        <v>2</v>
      </c>
      <c r="V233" s="84">
        <v>2</v>
      </c>
      <c r="W233" s="84">
        <f t="shared" si="39"/>
        <v>7</v>
      </c>
      <c r="X233" s="84" t="str">
        <f t="shared" si="38"/>
        <v>Penting</v>
      </c>
      <c r="Y233" s="78"/>
      <c r="Z233" s="115"/>
      <c r="AA233" s="82"/>
      <c r="AB233" s="82"/>
      <c r="AC233" s="82"/>
      <c r="AD233" s="27"/>
      <c r="AE233" s="85"/>
      <c r="AF233" s="77" t="s">
        <v>192</v>
      </c>
      <c r="AG233" s="77" t="s">
        <v>81</v>
      </c>
      <c r="AH233" s="21" t="s">
        <v>81</v>
      </c>
      <c r="AI233" s="21" t="s">
        <v>81</v>
      </c>
      <c r="AJ233" s="21" t="s">
        <v>81</v>
      </c>
      <c r="AK233" s="21" t="s">
        <v>81</v>
      </c>
      <c r="AL233" s="21" t="s">
        <v>81</v>
      </c>
      <c r="AM233" s="27" t="s">
        <v>100</v>
      </c>
      <c r="AN233" s="86">
        <v>45058</v>
      </c>
      <c r="AO233" s="87"/>
      <c r="AP233" s="4"/>
      <c r="AQ233" s="4"/>
      <c r="AR233" s="4"/>
      <c r="AS233" s="4"/>
      <c r="AT233" s="4"/>
    </row>
    <row r="234" spans="1:48" s="88" customFormat="1" ht="111.95" hidden="1" customHeight="1" x14ac:dyDescent="0.25">
      <c r="A234" s="76">
        <v>167</v>
      </c>
      <c r="B234" s="76" t="s">
        <v>74</v>
      </c>
      <c r="C234" s="76" t="s">
        <v>1173</v>
      </c>
      <c r="D234" s="76">
        <v>3</v>
      </c>
      <c r="E234" s="76" t="s">
        <v>82</v>
      </c>
      <c r="F234" s="78" t="s">
        <v>1349</v>
      </c>
      <c r="G234" s="79" t="s">
        <v>693</v>
      </c>
      <c r="H234" s="79" t="s">
        <v>1327</v>
      </c>
      <c r="I234" s="80" t="s">
        <v>1337</v>
      </c>
      <c r="J234" s="79" t="s">
        <v>695</v>
      </c>
      <c r="K234" s="79" t="s">
        <v>703</v>
      </c>
      <c r="L234" s="81">
        <v>9000</v>
      </c>
      <c r="M234" s="81" t="s">
        <v>697</v>
      </c>
      <c r="N234" s="82">
        <v>45062</v>
      </c>
      <c r="O234" s="82">
        <v>45184</v>
      </c>
      <c r="P234" s="83">
        <f t="shared" si="40"/>
        <v>0.33424657534246577</v>
      </c>
      <c r="Q234" s="77" t="s">
        <v>19</v>
      </c>
      <c r="R234" s="77">
        <f t="shared" ca="1" si="41"/>
        <v>-2.3729824111409648</v>
      </c>
      <c r="S234" s="77" t="str">
        <f t="shared" ca="1" si="37"/>
        <v>Y</v>
      </c>
      <c r="T234" s="84">
        <v>3</v>
      </c>
      <c r="U234" s="84">
        <v>2</v>
      </c>
      <c r="V234" s="84">
        <v>2</v>
      </c>
      <c r="W234" s="84">
        <f t="shared" si="39"/>
        <v>7</v>
      </c>
      <c r="X234" s="84" t="str">
        <f t="shared" si="38"/>
        <v>Penting</v>
      </c>
      <c r="Y234" s="78"/>
      <c r="Z234" s="115"/>
      <c r="AA234" s="82"/>
      <c r="AB234" s="82"/>
      <c r="AC234" s="82"/>
      <c r="AD234" s="27"/>
      <c r="AE234" s="85"/>
      <c r="AF234" s="77" t="s">
        <v>192</v>
      </c>
      <c r="AG234" s="77" t="s">
        <v>81</v>
      </c>
      <c r="AH234" s="21" t="s">
        <v>81</v>
      </c>
      <c r="AI234" s="21" t="s">
        <v>81</v>
      </c>
      <c r="AJ234" s="21" t="s">
        <v>81</v>
      </c>
      <c r="AK234" s="21" t="s">
        <v>81</v>
      </c>
      <c r="AL234" s="21" t="s">
        <v>81</v>
      </c>
      <c r="AM234" s="27" t="s">
        <v>100</v>
      </c>
      <c r="AN234" s="86">
        <v>45058</v>
      </c>
      <c r="AO234" s="87"/>
      <c r="AP234" s="4"/>
      <c r="AQ234" s="4"/>
      <c r="AR234" s="4"/>
      <c r="AS234" s="4"/>
      <c r="AT234" s="4"/>
    </row>
    <row r="235" spans="1:48" s="88" customFormat="1" ht="111.95" hidden="1" customHeight="1" x14ac:dyDescent="0.25">
      <c r="A235" s="76">
        <v>168</v>
      </c>
      <c r="B235" s="76" t="s">
        <v>74</v>
      </c>
      <c r="C235" s="76" t="s">
        <v>1173</v>
      </c>
      <c r="D235" s="76">
        <v>4</v>
      </c>
      <c r="E235" s="76" t="s">
        <v>82</v>
      </c>
      <c r="F235" s="78" t="s">
        <v>1347</v>
      </c>
      <c r="G235" s="79" t="s">
        <v>693</v>
      </c>
      <c r="H235" s="79" t="s">
        <v>708</v>
      </c>
      <c r="I235" s="80" t="s">
        <v>1337</v>
      </c>
      <c r="J235" s="79" t="s">
        <v>695</v>
      </c>
      <c r="K235" s="79" t="s">
        <v>709</v>
      </c>
      <c r="L235" s="81">
        <v>9000</v>
      </c>
      <c r="M235" s="81" t="s">
        <v>697</v>
      </c>
      <c r="N235" s="82">
        <v>45062</v>
      </c>
      <c r="O235" s="82">
        <v>45184</v>
      </c>
      <c r="P235" s="83">
        <f t="shared" si="40"/>
        <v>0.33424657534246577</v>
      </c>
      <c r="Q235" s="77" t="s">
        <v>19</v>
      </c>
      <c r="R235" s="77">
        <f t="shared" ca="1" si="41"/>
        <v>-2.3729824111409648</v>
      </c>
      <c r="S235" s="77" t="str">
        <f t="shared" ca="1" si="37"/>
        <v>Y</v>
      </c>
      <c r="T235" s="84">
        <v>3</v>
      </c>
      <c r="U235" s="84">
        <v>2</v>
      </c>
      <c r="V235" s="84">
        <v>2</v>
      </c>
      <c r="W235" s="84">
        <f t="shared" si="39"/>
        <v>7</v>
      </c>
      <c r="X235" s="84" t="str">
        <f t="shared" si="38"/>
        <v>Penting</v>
      </c>
      <c r="Y235" s="78"/>
      <c r="Z235" s="115"/>
      <c r="AA235" s="82"/>
      <c r="AB235" s="82"/>
      <c r="AC235" s="82"/>
      <c r="AD235" s="27"/>
      <c r="AE235" s="85"/>
      <c r="AF235" s="77" t="s">
        <v>192</v>
      </c>
      <c r="AG235" s="77" t="s">
        <v>81</v>
      </c>
      <c r="AH235" s="21" t="s">
        <v>81</v>
      </c>
      <c r="AI235" s="21" t="s">
        <v>81</v>
      </c>
      <c r="AJ235" s="21" t="s">
        <v>81</v>
      </c>
      <c r="AK235" s="21" t="s">
        <v>81</v>
      </c>
      <c r="AL235" s="21" t="s">
        <v>81</v>
      </c>
      <c r="AM235" s="27" t="s">
        <v>100</v>
      </c>
      <c r="AN235" s="86">
        <v>45058</v>
      </c>
      <c r="AO235" s="87"/>
      <c r="AP235" s="4"/>
      <c r="AQ235" s="4"/>
      <c r="AR235" s="4"/>
      <c r="AS235" s="4"/>
      <c r="AT235" s="4"/>
    </row>
    <row r="236" spans="1:48" s="88" customFormat="1" ht="111.95" hidden="1" customHeight="1" x14ac:dyDescent="0.25">
      <c r="A236" s="76">
        <v>169</v>
      </c>
      <c r="B236" s="76" t="s">
        <v>74</v>
      </c>
      <c r="C236" s="76" t="s">
        <v>1173</v>
      </c>
      <c r="D236" s="76">
        <v>5</v>
      </c>
      <c r="E236" s="76" t="s">
        <v>82</v>
      </c>
      <c r="F236" s="78" t="s">
        <v>1348</v>
      </c>
      <c r="G236" s="79" t="s">
        <v>693</v>
      </c>
      <c r="H236" s="79" t="s">
        <v>714</v>
      </c>
      <c r="I236" s="80" t="s">
        <v>1337</v>
      </c>
      <c r="J236" s="79" t="s">
        <v>695</v>
      </c>
      <c r="K236" s="79" t="s">
        <v>715</v>
      </c>
      <c r="L236" s="81">
        <v>9000</v>
      </c>
      <c r="M236" s="81" t="s">
        <v>697</v>
      </c>
      <c r="N236" s="82">
        <v>45062</v>
      </c>
      <c r="O236" s="82">
        <v>45184</v>
      </c>
      <c r="P236" s="83">
        <f t="shared" si="40"/>
        <v>0.33424657534246577</v>
      </c>
      <c r="Q236" s="77" t="s">
        <v>19</v>
      </c>
      <c r="R236" s="77">
        <f t="shared" ca="1" si="41"/>
        <v>-2.3729824111409648</v>
      </c>
      <c r="S236" s="77" t="str">
        <f t="shared" ca="1" si="37"/>
        <v>Y</v>
      </c>
      <c r="T236" s="84">
        <v>3</v>
      </c>
      <c r="U236" s="84">
        <v>2</v>
      </c>
      <c r="V236" s="84">
        <v>2</v>
      </c>
      <c r="W236" s="84">
        <f t="shared" si="39"/>
        <v>7</v>
      </c>
      <c r="X236" s="84" t="str">
        <f t="shared" si="38"/>
        <v>Penting</v>
      </c>
      <c r="Y236" s="78"/>
      <c r="Z236" s="115"/>
      <c r="AA236" s="82"/>
      <c r="AB236" s="82"/>
      <c r="AC236" s="82"/>
      <c r="AD236" s="27"/>
      <c r="AE236" s="85"/>
      <c r="AF236" s="77" t="s">
        <v>192</v>
      </c>
      <c r="AG236" s="77" t="s">
        <v>81</v>
      </c>
      <c r="AH236" s="21" t="s">
        <v>81</v>
      </c>
      <c r="AI236" s="21" t="s">
        <v>81</v>
      </c>
      <c r="AJ236" s="21" t="s">
        <v>81</v>
      </c>
      <c r="AK236" s="21" t="s">
        <v>81</v>
      </c>
      <c r="AL236" s="21" t="s">
        <v>81</v>
      </c>
      <c r="AM236" s="27" t="s">
        <v>100</v>
      </c>
      <c r="AN236" s="86">
        <v>45058</v>
      </c>
      <c r="AO236" s="87"/>
      <c r="AP236" s="4"/>
      <c r="AQ236" s="4"/>
      <c r="AR236" s="4"/>
      <c r="AS236" s="4"/>
      <c r="AT236" s="4"/>
    </row>
    <row r="237" spans="1:48" s="88" customFormat="1" ht="111.95" hidden="1" customHeight="1" x14ac:dyDescent="0.25">
      <c r="A237" s="76">
        <v>170</v>
      </c>
      <c r="B237" s="76" t="s">
        <v>74</v>
      </c>
      <c r="C237" s="76" t="s">
        <v>1174</v>
      </c>
      <c r="D237" s="76">
        <v>1</v>
      </c>
      <c r="E237" s="76" t="s">
        <v>82</v>
      </c>
      <c r="F237" s="78" t="s">
        <v>1343</v>
      </c>
      <c r="G237" s="79" t="s">
        <v>693</v>
      </c>
      <c r="H237" s="79" t="s">
        <v>717</v>
      </c>
      <c r="I237" s="80" t="s">
        <v>1337</v>
      </c>
      <c r="J237" s="79" t="s">
        <v>695</v>
      </c>
      <c r="K237" s="79" t="s">
        <v>718</v>
      </c>
      <c r="L237" s="81">
        <v>9000</v>
      </c>
      <c r="M237" s="81" t="s">
        <v>697</v>
      </c>
      <c r="N237" s="82">
        <v>45062</v>
      </c>
      <c r="O237" s="82">
        <v>45184</v>
      </c>
      <c r="P237" s="83">
        <f t="shared" si="40"/>
        <v>0.33424657534246577</v>
      </c>
      <c r="Q237" s="77" t="s">
        <v>19</v>
      </c>
      <c r="R237" s="77">
        <f t="shared" ca="1" si="41"/>
        <v>-2.3729824111409648</v>
      </c>
      <c r="S237" s="77" t="str">
        <f t="shared" ca="1" si="37"/>
        <v>Y</v>
      </c>
      <c r="T237" s="84">
        <v>3</v>
      </c>
      <c r="U237" s="84">
        <v>2</v>
      </c>
      <c r="V237" s="84">
        <v>2</v>
      </c>
      <c r="W237" s="84">
        <f t="shared" si="39"/>
        <v>7</v>
      </c>
      <c r="X237" s="84" t="str">
        <f t="shared" si="38"/>
        <v>Penting</v>
      </c>
      <c r="Y237" s="78"/>
      <c r="Z237" s="115"/>
      <c r="AA237" s="82"/>
      <c r="AB237" s="82"/>
      <c r="AC237" s="82"/>
      <c r="AD237" s="27" t="s">
        <v>86</v>
      </c>
      <c r="AE237" s="85">
        <v>44562</v>
      </c>
      <c r="AF237" s="77" t="s">
        <v>192</v>
      </c>
      <c r="AG237" s="77" t="s">
        <v>81</v>
      </c>
      <c r="AH237" s="21" t="s">
        <v>81</v>
      </c>
      <c r="AI237" s="21" t="s">
        <v>81</v>
      </c>
      <c r="AJ237" s="21" t="s">
        <v>81</v>
      </c>
      <c r="AK237" s="21" t="s">
        <v>81</v>
      </c>
      <c r="AL237" s="21" t="s">
        <v>81</v>
      </c>
      <c r="AM237" s="27" t="s">
        <v>100</v>
      </c>
      <c r="AN237" s="86">
        <v>45058</v>
      </c>
      <c r="AO237" s="87"/>
      <c r="AP237" s="4"/>
      <c r="AQ237" s="4"/>
      <c r="AR237" s="4"/>
      <c r="AS237" s="4"/>
      <c r="AT237" s="4"/>
    </row>
    <row r="238" spans="1:48" s="88" customFormat="1" ht="111.95" hidden="1" customHeight="1" x14ac:dyDescent="0.25">
      <c r="A238" s="76">
        <v>171</v>
      </c>
      <c r="B238" s="76" t="s">
        <v>74</v>
      </c>
      <c r="C238" s="76" t="s">
        <v>1174</v>
      </c>
      <c r="D238" s="76">
        <v>2</v>
      </c>
      <c r="E238" s="76" t="s">
        <v>82</v>
      </c>
      <c r="F238" s="78" t="s">
        <v>1345</v>
      </c>
      <c r="G238" s="79" t="s">
        <v>693</v>
      </c>
      <c r="H238" s="79" t="s">
        <v>1206</v>
      </c>
      <c r="I238" s="80" t="s">
        <v>1337</v>
      </c>
      <c r="J238" s="79" t="s">
        <v>695</v>
      </c>
      <c r="K238" s="79" t="s">
        <v>1209</v>
      </c>
      <c r="L238" s="81">
        <v>9000</v>
      </c>
      <c r="M238" s="81" t="s">
        <v>697</v>
      </c>
      <c r="N238" s="82">
        <v>45062</v>
      </c>
      <c r="O238" s="82">
        <v>45184</v>
      </c>
      <c r="P238" s="83">
        <f t="shared" si="40"/>
        <v>0.33424657534246577</v>
      </c>
      <c r="Q238" s="77" t="s">
        <v>19</v>
      </c>
      <c r="R238" s="77">
        <f t="shared" ca="1" si="41"/>
        <v>-2.3729824111409648</v>
      </c>
      <c r="S238" s="77" t="str">
        <f t="shared" ca="1" si="37"/>
        <v>Y</v>
      </c>
      <c r="T238" s="84">
        <v>3</v>
      </c>
      <c r="U238" s="84">
        <v>2</v>
      </c>
      <c r="V238" s="84">
        <v>2</v>
      </c>
      <c r="W238" s="84">
        <f t="shared" si="39"/>
        <v>7</v>
      </c>
      <c r="X238" s="84" t="str">
        <f t="shared" si="38"/>
        <v>Penting</v>
      </c>
      <c r="Y238" s="78"/>
      <c r="Z238" s="115"/>
      <c r="AA238" s="82"/>
      <c r="AB238" s="82"/>
      <c r="AC238" s="82"/>
      <c r="AD238" s="27" t="s">
        <v>86</v>
      </c>
      <c r="AE238" s="85">
        <v>44896</v>
      </c>
      <c r="AF238" s="77" t="s">
        <v>192</v>
      </c>
      <c r="AG238" s="77" t="s">
        <v>81</v>
      </c>
      <c r="AH238" s="21" t="s">
        <v>81</v>
      </c>
      <c r="AI238" s="21" t="s">
        <v>81</v>
      </c>
      <c r="AJ238" s="21" t="s">
        <v>81</v>
      </c>
      <c r="AK238" s="21" t="s">
        <v>81</v>
      </c>
      <c r="AL238" s="21" t="s">
        <v>81</v>
      </c>
      <c r="AM238" s="27" t="s">
        <v>100</v>
      </c>
      <c r="AN238" s="86">
        <v>45058</v>
      </c>
      <c r="AO238" s="87"/>
      <c r="AP238" s="4"/>
      <c r="AQ238" s="4"/>
      <c r="AR238" s="4"/>
      <c r="AS238" s="4"/>
      <c r="AT238" s="4"/>
    </row>
    <row r="239" spans="1:48" s="88" customFormat="1" ht="111.95" hidden="1" customHeight="1" x14ac:dyDescent="0.25">
      <c r="A239" s="76">
        <v>172</v>
      </c>
      <c r="B239" s="76" t="s">
        <v>74</v>
      </c>
      <c r="C239" s="76" t="s">
        <v>1174</v>
      </c>
      <c r="D239" s="76">
        <v>4</v>
      </c>
      <c r="E239" s="76" t="s">
        <v>82</v>
      </c>
      <c r="F239" s="78" t="s">
        <v>1346</v>
      </c>
      <c r="G239" s="79" t="s">
        <v>693</v>
      </c>
      <c r="H239" s="79" t="s">
        <v>1208</v>
      </c>
      <c r="I239" s="80" t="s">
        <v>1337</v>
      </c>
      <c r="J239" s="79" t="s">
        <v>695</v>
      </c>
      <c r="K239" s="79" t="s">
        <v>1211</v>
      </c>
      <c r="L239" s="81">
        <v>9000</v>
      </c>
      <c r="M239" s="81" t="s">
        <v>697</v>
      </c>
      <c r="N239" s="82">
        <v>45062</v>
      </c>
      <c r="O239" s="82">
        <v>45184</v>
      </c>
      <c r="P239" s="83">
        <f t="shared" si="40"/>
        <v>0.33424657534246577</v>
      </c>
      <c r="Q239" s="77" t="s">
        <v>19</v>
      </c>
      <c r="R239" s="77">
        <f t="shared" ca="1" si="41"/>
        <v>-2.3729824111409648</v>
      </c>
      <c r="S239" s="77" t="str">
        <f t="shared" ca="1" si="37"/>
        <v>Y</v>
      </c>
      <c r="T239" s="84">
        <v>3</v>
      </c>
      <c r="U239" s="84">
        <v>2</v>
      </c>
      <c r="V239" s="84">
        <v>2</v>
      </c>
      <c r="W239" s="84">
        <f t="shared" si="39"/>
        <v>7</v>
      </c>
      <c r="X239" s="84" t="str">
        <f t="shared" si="38"/>
        <v>Penting</v>
      </c>
      <c r="Y239" s="78"/>
      <c r="Z239" s="115"/>
      <c r="AA239" s="82"/>
      <c r="AB239" s="82"/>
      <c r="AC239" s="82"/>
      <c r="AD239" s="27" t="s">
        <v>86</v>
      </c>
      <c r="AE239" s="85">
        <v>44896</v>
      </c>
      <c r="AF239" s="77" t="s">
        <v>192</v>
      </c>
      <c r="AG239" s="77" t="s">
        <v>81</v>
      </c>
      <c r="AH239" s="21" t="s">
        <v>81</v>
      </c>
      <c r="AI239" s="21" t="s">
        <v>81</v>
      </c>
      <c r="AJ239" s="21" t="s">
        <v>81</v>
      </c>
      <c r="AK239" s="21" t="s">
        <v>81</v>
      </c>
      <c r="AL239" s="21" t="s">
        <v>81</v>
      </c>
      <c r="AM239" s="27" t="s">
        <v>100</v>
      </c>
      <c r="AN239" s="86">
        <v>45058</v>
      </c>
      <c r="AO239" s="87"/>
      <c r="AP239" s="4"/>
      <c r="AQ239" s="4"/>
      <c r="AR239" s="4"/>
      <c r="AS239" s="4"/>
      <c r="AT239" s="4"/>
    </row>
    <row r="240" spans="1:48" s="88" customFormat="1" ht="111.95" hidden="1" customHeight="1" x14ac:dyDescent="0.25">
      <c r="A240" s="76">
        <v>173</v>
      </c>
      <c r="B240" s="76" t="s">
        <v>74</v>
      </c>
      <c r="C240" s="76" t="s">
        <v>1174</v>
      </c>
      <c r="D240" s="76">
        <v>5</v>
      </c>
      <c r="E240" s="76" t="s">
        <v>82</v>
      </c>
      <c r="F240" s="78" t="s">
        <v>75</v>
      </c>
      <c r="G240" s="79" t="s">
        <v>189</v>
      </c>
      <c r="H240" s="79" t="s">
        <v>190</v>
      </c>
      <c r="I240" s="80" t="s">
        <v>1339</v>
      </c>
      <c r="J240" s="79" t="s">
        <v>191</v>
      </c>
      <c r="K240" s="79" t="s">
        <v>75</v>
      </c>
      <c r="L240" s="81" t="s">
        <v>75</v>
      </c>
      <c r="M240" s="81"/>
      <c r="N240" s="82" t="s">
        <v>75</v>
      </c>
      <c r="O240" s="82" t="s">
        <v>75</v>
      </c>
      <c r="P240" s="83" t="s">
        <v>75</v>
      </c>
      <c r="Q240" s="77" t="s">
        <v>19</v>
      </c>
      <c r="R240" s="77" t="s">
        <v>75</v>
      </c>
      <c r="S240" s="77" t="str">
        <f t="shared" si="37"/>
        <v>O</v>
      </c>
      <c r="T240" s="84">
        <v>1</v>
      </c>
      <c r="U240" s="84">
        <v>2</v>
      </c>
      <c r="V240" s="84">
        <v>2</v>
      </c>
      <c r="W240" s="84">
        <f t="shared" si="39"/>
        <v>5</v>
      </c>
      <c r="X240" s="84" t="str">
        <f t="shared" si="38"/>
        <v>Biasa</v>
      </c>
      <c r="Y240" s="78"/>
      <c r="Z240" s="115"/>
      <c r="AA240" s="82"/>
      <c r="AB240" s="82"/>
      <c r="AC240" s="82"/>
      <c r="AD240" s="27"/>
      <c r="AE240" s="85"/>
      <c r="AF240" s="77" t="s">
        <v>192</v>
      </c>
      <c r="AG240" s="77" t="s">
        <v>150</v>
      </c>
      <c r="AH240" s="21"/>
      <c r="AI240" s="21"/>
      <c r="AJ240" s="21"/>
      <c r="AK240" s="21"/>
      <c r="AL240" s="21"/>
      <c r="AM240" s="27"/>
      <c r="AN240" s="86"/>
      <c r="AO240" s="87"/>
      <c r="AP240" s="4"/>
      <c r="AQ240" s="4"/>
      <c r="AR240" s="4"/>
      <c r="AS240" s="4"/>
      <c r="AT240" s="4"/>
    </row>
    <row r="241" spans="1:47" s="88" customFormat="1" ht="111.95" hidden="1" customHeight="1" x14ac:dyDescent="0.25">
      <c r="A241" s="76">
        <v>174</v>
      </c>
      <c r="B241" s="76" t="s">
        <v>74</v>
      </c>
      <c r="C241" s="76" t="s">
        <v>1175</v>
      </c>
      <c r="D241" s="76">
        <v>1</v>
      </c>
      <c r="E241" s="76" t="s">
        <v>82</v>
      </c>
      <c r="F241" s="78"/>
      <c r="G241" s="79" t="s">
        <v>994</v>
      </c>
      <c r="H241" s="79" t="s">
        <v>676</v>
      </c>
      <c r="I241" s="80" t="s">
        <v>1339</v>
      </c>
      <c r="J241" s="79"/>
      <c r="K241" s="79" t="s">
        <v>995</v>
      </c>
      <c r="L241" s="81"/>
      <c r="M241" s="81"/>
      <c r="N241" s="82">
        <v>42767</v>
      </c>
      <c r="O241" s="82">
        <v>45322</v>
      </c>
      <c r="P241" s="83">
        <f t="shared" ref="P241:P246" si="42">(O241-N241)/365</f>
        <v>7</v>
      </c>
      <c r="Q241" s="77" t="s">
        <v>31</v>
      </c>
      <c r="R241" s="77">
        <f t="shared" ref="R241:R246" ca="1" si="43">(O241-NOW()+1)/31</f>
        <v>2.0786304920848417</v>
      </c>
      <c r="S241" s="77" t="str">
        <f t="shared" ca="1" si="37"/>
        <v>O</v>
      </c>
      <c r="T241" s="84">
        <v>1</v>
      </c>
      <c r="U241" s="84">
        <v>3</v>
      </c>
      <c r="V241" s="84">
        <v>1</v>
      </c>
      <c r="W241" s="84">
        <f t="shared" si="39"/>
        <v>5</v>
      </c>
      <c r="X241" s="84" t="str">
        <f t="shared" si="38"/>
        <v>Biasa</v>
      </c>
      <c r="Y241" s="78" t="s">
        <v>1279</v>
      </c>
      <c r="Z241" s="115" t="s">
        <v>81</v>
      </c>
      <c r="AA241" s="82">
        <f>N241+1730</f>
        <v>44497</v>
      </c>
      <c r="AB241" s="82">
        <f>N241+2095</f>
        <v>44862</v>
      </c>
      <c r="AC241" s="82">
        <f>N241+2460</f>
        <v>45227</v>
      </c>
      <c r="AD241" s="27"/>
      <c r="AE241" s="85"/>
      <c r="AF241" s="77" t="s">
        <v>996</v>
      </c>
      <c r="AG241" s="77" t="s">
        <v>150</v>
      </c>
      <c r="AH241" s="21"/>
      <c r="AI241" s="21"/>
      <c r="AJ241" s="21"/>
      <c r="AK241" s="21"/>
      <c r="AL241" s="21"/>
      <c r="AM241" s="27"/>
      <c r="AN241" s="86"/>
      <c r="AO241" s="87"/>
      <c r="AP241" s="4"/>
      <c r="AQ241" s="4"/>
      <c r="AR241" s="4"/>
      <c r="AS241" s="4"/>
      <c r="AT241" s="4"/>
    </row>
    <row r="242" spans="1:47" s="88" customFormat="1" ht="111.95" hidden="1" customHeight="1" x14ac:dyDescent="0.25">
      <c r="A242" s="76">
        <v>175</v>
      </c>
      <c r="B242" s="76" t="s">
        <v>74</v>
      </c>
      <c r="C242" s="76" t="s">
        <v>1175</v>
      </c>
      <c r="D242" s="76">
        <v>2</v>
      </c>
      <c r="E242" s="76" t="s">
        <v>82</v>
      </c>
      <c r="F242" s="78"/>
      <c r="G242" s="79" t="s">
        <v>1420</v>
      </c>
      <c r="H242" s="79" t="s">
        <v>676</v>
      </c>
      <c r="I242" s="80" t="s">
        <v>1339</v>
      </c>
      <c r="J242" s="79"/>
      <c r="K242" s="79" t="s">
        <v>995</v>
      </c>
      <c r="L242" s="81" t="s">
        <v>1421</v>
      </c>
      <c r="M242" s="81" t="s">
        <v>96</v>
      </c>
      <c r="N242" s="82">
        <v>45108</v>
      </c>
      <c r="O242" s="82">
        <v>45473</v>
      </c>
      <c r="P242" s="83">
        <f t="shared" si="42"/>
        <v>1</v>
      </c>
      <c r="Q242" s="77" t="s">
        <v>31</v>
      </c>
      <c r="R242" s="77">
        <f t="shared" ca="1" si="43"/>
        <v>6.9495982340203257</v>
      </c>
      <c r="S242" s="77" t="str">
        <f t="shared" ca="1" si="37"/>
        <v>O</v>
      </c>
      <c r="T242" s="84">
        <v>1</v>
      </c>
      <c r="U242" s="84">
        <v>3</v>
      </c>
      <c r="V242" s="84">
        <v>1</v>
      </c>
      <c r="W242" s="84">
        <f t="shared" si="39"/>
        <v>5</v>
      </c>
      <c r="X242" s="84" t="str">
        <f t="shared" si="38"/>
        <v>Biasa</v>
      </c>
      <c r="Y242" s="78"/>
      <c r="Z242" s="115"/>
      <c r="AA242" s="82"/>
      <c r="AB242" s="82"/>
      <c r="AC242" s="82"/>
      <c r="AD242" s="27"/>
      <c r="AE242" s="85"/>
      <c r="AF242" s="77" t="s">
        <v>996</v>
      </c>
      <c r="AG242" s="77" t="s">
        <v>150</v>
      </c>
      <c r="AH242" s="21"/>
      <c r="AI242" s="21"/>
      <c r="AJ242" s="21"/>
      <c r="AK242" s="21"/>
      <c r="AL242" s="21"/>
      <c r="AM242" s="27" t="s">
        <v>998</v>
      </c>
      <c r="AN242" s="86">
        <v>45096</v>
      </c>
      <c r="AO242" s="87"/>
      <c r="AP242" s="4"/>
      <c r="AQ242" s="4"/>
      <c r="AR242" s="4"/>
      <c r="AS242" s="4"/>
      <c r="AT242" s="4"/>
    </row>
    <row r="243" spans="1:47" s="88" customFormat="1" ht="111.95" hidden="1" customHeight="1" x14ac:dyDescent="0.25">
      <c r="A243" s="76">
        <v>176</v>
      </c>
      <c r="B243" s="76" t="s">
        <v>74</v>
      </c>
      <c r="C243" s="76" t="s">
        <v>1175</v>
      </c>
      <c r="D243" s="76">
        <v>3</v>
      </c>
      <c r="E243" s="76" t="s">
        <v>82</v>
      </c>
      <c r="F243" s="78"/>
      <c r="G243" s="79" t="s">
        <v>999</v>
      </c>
      <c r="H243" s="79" t="s">
        <v>1000</v>
      </c>
      <c r="I243" s="80" t="s">
        <v>1339</v>
      </c>
      <c r="J243" s="79" t="s">
        <v>1001</v>
      </c>
      <c r="K243" s="79" t="s">
        <v>1002</v>
      </c>
      <c r="L243" s="81"/>
      <c r="M243" s="81"/>
      <c r="N243" s="82">
        <v>45097</v>
      </c>
      <c r="O243" s="82">
        <v>45463</v>
      </c>
      <c r="P243" s="83">
        <f t="shared" si="42"/>
        <v>1.0027397260273974</v>
      </c>
      <c r="Q243" s="77" t="s">
        <v>31</v>
      </c>
      <c r="R243" s="77">
        <f t="shared" ca="1" si="43"/>
        <v>6.6270175888590357</v>
      </c>
      <c r="S243" s="77" t="str">
        <f t="shared" ca="1" si="37"/>
        <v>O</v>
      </c>
      <c r="T243" s="84">
        <v>1</v>
      </c>
      <c r="U243" s="84">
        <v>3</v>
      </c>
      <c r="V243" s="84">
        <v>1</v>
      </c>
      <c r="W243" s="84">
        <f t="shared" si="39"/>
        <v>5</v>
      </c>
      <c r="X243" s="84" t="str">
        <f t="shared" si="38"/>
        <v>Biasa</v>
      </c>
      <c r="Y243" s="78"/>
      <c r="Z243" s="115"/>
      <c r="AA243" s="82"/>
      <c r="AB243" s="82"/>
      <c r="AC243" s="82"/>
      <c r="AD243" s="27"/>
      <c r="AE243" s="85"/>
      <c r="AF243" s="77" t="s">
        <v>996</v>
      </c>
      <c r="AG243" s="77" t="s">
        <v>150</v>
      </c>
      <c r="AH243" s="21"/>
      <c r="AI243" s="21"/>
      <c r="AJ243" s="21"/>
      <c r="AK243" s="21"/>
      <c r="AL243" s="21"/>
      <c r="AM243" s="27" t="s">
        <v>1003</v>
      </c>
      <c r="AN243" s="86">
        <v>45097</v>
      </c>
      <c r="AO243" s="87"/>
      <c r="AP243" s="4"/>
      <c r="AQ243" s="4"/>
      <c r="AR243" s="4"/>
      <c r="AS243" s="4"/>
      <c r="AT243" s="4"/>
    </row>
    <row r="244" spans="1:47" s="88" customFormat="1" ht="111.95" hidden="1" customHeight="1" x14ac:dyDescent="0.25">
      <c r="A244" s="76">
        <v>177</v>
      </c>
      <c r="B244" s="76" t="s">
        <v>74</v>
      </c>
      <c r="C244" s="76" t="s">
        <v>1175</v>
      </c>
      <c r="D244" s="76">
        <v>4</v>
      </c>
      <c r="E244" s="76" t="s">
        <v>82</v>
      </c>
      <c r="F244" s="78" t="s">
        <v>1004</v>
      </c>
      <c r="G244" s="79" t="s">
        <v>1005</v>
      </c>
      <c r="H244" s="79" t="s">
        <v>781</v>
      </c>
      <c r="I244" s="80" t="s">
        <v>1338</v>
      </c>
      <c r="J244" s="79" t="s">
        <v>1006</v>
      </c>
      <c r="K244" s="79" t="s">
        <v>1007</v>
      </c>
      <c r="L244" s="81"/>
      <c r="M244" s="81"/>
      <c r="N244" s="82">
        <v>44013</v>
      </c>
      <c r="O244" s="82">
        <v>45473</v>
      </c>
      <c r="P244" s="83">
        <f t="shared" si="42"/>
        <v>4</v>
      </c>
      <c r="Q244" s="77" t="s">
        <v>31</v>
      </c>
      <c r="R244" s="77">
        <f t="shared" ca="1" si="43"/>
        <v>6.9495982340203257</v>
      </c>
      <c r="S244" s="77" t="str">
        <f t="shared" ca="1" si="37"/>
        <v>O</v>
      </c>
      <c r="T244" s="84">
        <v>1</v>
      </c>
      <c r="U244" s="84">
        <v>3</v>
      </c>
      <c r="V244" s="84">
        <v>1</v>
      </c>
      <c r="W244" s="84">
        <f t="shared" si="39"/>
        <v>5</v>
      </c>
      <c r="X244" s="84" t="str">
        <f t="shared" si="38"/>
        <v>Biasa</v>
      </c>
      <c r="Y244" s="78" t="s">
        <v>1474</v>
      </c>
      <c r="Z244" s="115" t="s">
        <v>81</v>
      </c>
      <c r="AA244" s="82">
        <f>N244+1000</f>
        <v>45013</v>
      </c>
      <c r="AB244" s="82">
        <f>N244+1365</f>
        <v>45378</v>
      </c>
      <c r="AC244" s="82"/>
      <c r="AD244" s="27"/>
      <c r="AE244" s="85"/>
      <c r="AF244" s="77" t="s">
        <v>996</v>
      </c>
      <c r="AG244" s="77" t="s">
        <v>150</v>
      </c>
      <c r="AH244" s="21"/>
      <c r="AI244" s="21"/>
      <c r="AJ244" s="21"/>
      <c r="AK244" s="21"/>
      <c r="AL244" s="21"/>
      <c r="AM244" s="27"/>
      <c r="AN244" s="86"/>
      <c r="AO244" s="87"/>
      <c r="AP244" s="4"/>
      <c r="AQ244" s="4"/>
      <c r="AR244" s="4"/>
      <c r="AS244" s="4"/>
      <c r="AT244" s="4"/>
    </row>
    <row r="245" spans="1:47" s="88" customFormat="1" ht="111.95" hidden="1" customHeight="1" x14ac:dyDescent="0.25">
      <c r="A245" s="76">
        <v>178</v>
      </c>
      <c r="B245" s="76" t="s">
        <v>74</v>
      </c>
      <c r="C245" s="76" t="s">
        <v>1175</v>
      </c>
      <c r="D245" s="76">
        <v>5</v>
      </c>
      <c r="E245" s="76" t="s">
        <v>82</v>
      </c>
      <c r="F245" s="78"/>
      <c r="G245" s="79" t="s">
        <v>1008</v>
      </c>
      <c r="H245" s="79" t="s">
        <v>676</v>
      </c>
      <c r="I245" s="80" t="s">
        <v>1339</v>
      </c>
      <c r="J245" s="79" t="s">
        <v>1009</v>
      </c>
      <c r="K245" s="79" t="s">
        <v>1010</v>
      </c>
      <c r="L245" s="81"/>
      <c r="M245" s="81"/>
      <c r="N245" s="82">
        <v>39845</v>
      </c>
      <c r="O245" s="82">
        <v>45322</v>
      </c>
      <c r="P245" s="83">
        <f t="shared" si="42"/>
        <v>15.005479452054795</v>
      </c>
      <c r="Q245" s="77" t="s">
        <v>31</v>
      </c>
      <c r="R245" s="77">
        <f t="shared" ca="1" si="43"/>
        <v>2.0786304920848417</v>
      </c>
      <c r="S245" s="77" t="str">
        <f t="shared" ca="1" si="37"/>
        <v>O</v>
      </c>
      <c r="T245" s="84">
        <v>1</v>
      </c>
      <c r="U245" s="84">
        <v>3</v>
      </c>
      <c r="V245" s="84">
        <v>1</v>
      </c>
      <c r="W245" s="84">
        <f t="shared" si="39"/>
        <v>5</v>
      </c>
      <c r="X245" s="84" t="str">
        <f t="shared" si="38"/>
        <v>Biasa</v>
      </c>
      <c r="Y245" s="78" t="s">
        <v>1422</v>
      </c>
      <c r="Z245" s="115" t="s">
        <v>81</v>
      </c>
      <c r="AA245" s="82">
        <f>N245+4650</f>
        <v>44495</v>
      </c>
      <c r="AB245" s="82">
        <f>N245+5015</f>
        <v>44860</v>
      </c>
      <c r="AC245" s="82">
        <f>+N245+5380</f>
        <v>45225</v>
      </c>
      <c r="AD245" s="27"/>
      <c r="AE245" s="85"/>
      <c r="AF245" s="77" t="s">
        <v>996</v>
      </c>
      <c r="AG245" s="77" t="s">
        <v>150</v>
      </c>
      <c r="AH245" s="21"/>
      <c r="AI245" s="21"/>
      <c r="AJ245" s="21"/>
      <c r="AK245" s="21"/>
      <c r="AL245" s="21"/>
      <c r="AM245" s="27" t="s">
        <v>773</v>
      </c>
      <c r="AN245" s="86">
        <v>39845</v>
      </c>
      <c r="AO245" s="87"/>
      <c r="AP245" s="4"/>
      <c r="AQ245" s="4"/>
      <c r="AR245" s="4"/>
      <c r="AS245" s="4"/>
      <c r="AT245" s="4"/>
    </row>
    <row r="246" spans="1:47" s="88" customFormat="1" ht="111.95" hidden="1" customHeight="1" x14ac:dyDescent="0.25">
      <c r="A246" s="76">
        <v>179</v>
      </c>
      <c r="B246" s="76" t="s">
        <v>74</v>
      </c>
      <c r="C246" s="76" t="s">
        <v>1175</v>
      </c>
      <c r="D246" s="76">
        <v>6</v>
      </c>
      <c r="E246" s="76" t="s">
        <v>82</v>
      </c>
      <c r="F246" s="78" t="s">
        <v>1011</v>
      </c>
      <c r="G246" s="79" t="s">
        <v>1012</v>
      </c>
      <c r="H246" s="79" t="s">
        <v>1000</v>
      </c>
      <c r="I246" s="80" t="s">
        <v>1339</v>
      </c>
      <c r="J246" s="79" t="s">
        <v>1012</v>
      </c>
      <c r="K246" s="79" t="s">
        <v>1002</v>
      </c>
      <c r="L246" s="81"/>
      <c r="M246" s="81"/>
      <c r="N246" s="82">
        <v>44801</v>
      </c>
      <c r="O246" s="82">
        <v>45166</v>
      </c>
      <c r="P246" s="83">
        <f t="shared" si="42"/>
        <v>1</v>
      </c>
      <c r="Q246" s="77" t="s">
        <v>31</v>
      </c>
      <c r="R246" s="77">
        <f t="shared" ca="1" si="43"/>
        <v>-2.9536275724312873</v>
      </c>
      <c r="S246" s="77" t="str">
        <f t="shared" ca="1" si="37"/>
        <v>Y</v>
      </c>
      <c r="T246" s="84">
        <v>1</v>
      </c>
      <c r="U246" s="84">
        <v>3</v>
      </c>
      <c r="V246" s="84">
        <v>1</v>
      </c>
      <c r="W246" s="84">
        <f t="shared" si="39"/>
        <v>5</v>
      </c>
      <c r="X246" s="84" t="str">
        <f t="shared" si="38"/>
        <v>Biasa</v>
      </c>
      <c r="Y246" s="78"/>
      <c r="Z246" s="115"/>
      <c r="AA246" s="82"/>
      <c r="AB246" s="82"/>
      <c r="AC246" s="82"/>
      <c r="AD246" s="27"/>
      <c r="AE246" s="85"/>
      <c r="AF246" s="77" t="s">
        <v>996</v>
      </c>
      <c r="AG246" s="77" t="s">
        <v>150</v>
      </c>
      <c r="AH246" s="21"/>
      <c r="AI246" s="21"/>
      <c r="AJ246" s="21"/>
      <c r="AK246" s="21"/>
      <c r="AL246" s="21"/>
      <c r="AM246" s="27" t="s">
        <v>1003</v>
      </c>
      <c r="AN246" s="86">
        <v>44801</v>
      </c>
      <c r="AO246" s="87"/>
      <c r="AP246" s="4"/>
      <c r="AQ246" s="4"/>
      <c r="AR246" s="4"/>
      <c r="AS246" s="4"/>
      <c r="AT246" s="4"/>
    </row>
    <row r="247" spans="1:47" s="88" customFormat="1" ht="111.95" hidden="1" customHeight="1" x14ac:dyDescent="0.25">
      <c r="A247" s="76">
        <v>180</v>
      </c>
      <c r="B247" s="76" t="s">
        <v>74</v>
      </c>
      <c r="C247" s="76" t="s">
        <v>1175</v>
      </c>
      <c r="D247" s="76">
        <v>7</v>
      </c>
      <c r="E247" s="76" t="s">
        <v>82</v>
      </c>
      <c r="F247" s="78" t="s">
        <v>1017</v>
      </c>
      <c r="G247" s="79" t="s">
        <v>1237</v>
      </c>
      <c r="H247" s="79" t="s">
        <v>1018</v>
      </c>
      <c r="I247" s="80" t="s">
        <v>1339</v>
      </c>
      <c r="J247" s="79" t="s">
        <v>1019</v>
      </c>
      <c r="K247" s="79"/>
      <c r="L247" s="81"/>
      <c r="M247" s="81"/>
      <c r="N247" s="82">
        <v>44827</v>
      </c>
      <c r="O247" s="82" t="s">
        <v>75</v>
      </c>
      <c r="P247" s="83" t="s">
        <v>75</v>
      </c>
      <c r="Q247" s="77" t="s">
        <v>31</v>
      </c>
      <c r="R247" s="77" t="s">
        <v>75</v>
      </c>
      <c r="S247" s="77" t="str">
        <f t="shared" si="37"/>
        <v>O</v>
      </c>
      <c r="T247" s="84">
        <v>3</v>
      </c>
      <c r="U247" s="84">
        <v>3</v>
      </c>
      <c r="V247" s="84">
        <v>1</v>
      </c>
      <c r="W247" s="84">
        <f t="shared" si="39"/>
        <v>7</v>
      </c>
      <c r="X247" s="84" t="str">
        <f t="shared" si="38"/>
        <v>Penting</v>
      </c>
      <c r="Y247" s="78"/>
      <c r="Z247" s="115"/>
      <c r="AA247" s="82"/>
      <c r="AB247" s="82"/>
      <c r="AC247" s="82"/>
      <c r="AD247" s="27" t="s">
        <v>86</v>
      </c>
      <c r="AE247" s="85">
        <v>44805</v>
      </c>
      <c r="AF247" s="77" t="s">
        <v>996</v>
      </c>
      <c r="AG247" s="77" t="s">
        <v>81</v>
      </c>
      <c r="AH247" s="21" t="s">
        <v>81</v>
      </c>
      <c r="AI247" s="21" t="s">
        <v>81</v>
      </c>
      <c r="AJ247" s="21" t="s">
        <v>81</v>
      </c>
      <c r="AK247" s="21" t="s">
        <v>81</v>
      </c>
      <c r="AL247" s="21" t="s">
        <v>81</v>
      </c>
      <c r="AM247" s="27" t="s">
        <v>100</v>
      </c>
      <c r="AN247" s="86">
        <v>44827</v>
      </c>
      <c r="AO247" s="87"/>
      <c r="AP247" s="4"/>
      <c r="AQ247" s="4"/>
      <c r="AR247" s="4"/>
      <c r="AS247" s="4"/>
      <c r="AT247" s="4"/>
    </row>
    <row r="248" spans="1:47" s="88" customFormat="1" ht="111.95" hidden="1" customHeight="1" x14ac:dyDescent="0.25">
      <c r="A248" s="76">
        <v>181</v>
      </c>
      <c r="B248" s="76" t="s">
        <v>74</v>
      </c>
      <c r="C248" s="76" t="s">
        <v>1175</v>
      </c>
      <c r="D248" s="76">
        <v>8</v>
      </c>
      <c r="E248" s="76" t="s">
        <v>82</v>
      </c>
      <c r="F248" s="78"/>
      <c r="G248" s="79" t="s">
        <v>861</v>
      </c>
      <c r="H248" s="79" t="s">
        <v>676</v>
      </c>
      <c r="I248" s="80" t="s">
        <v>1339</v>
      </c>
      <c r="J248" s="79" t="s">
        <v>862</v>
      </c>
      <c r="K248" s="79"/>
      <c r="L248" s="81"/>
      <c r="M248" s="81"/>
      <c r="N248" s="82">
        <v>39845</v>
      </c>
      <c r="O248" s="82">
        <v>45322</v>
      </c>
      <c r="P248" s="83">
        <f>(O248-N248)/365</f>
        <v>15.005479452054795</v>
      </c>
      <c r="Q248" s="77" t="s">
        <v>27</v>
      </c>
      <c r="R248" s="77">
        <f ca="1">(O248-NOW()+1)/31</f>
        <v>2.0786304920848417</v>
      </c>
      <c r="S248" s="77" t="str">
        <f t="shared" ca="1" si="37"/>
        <v>O</v>
      </c>
      <c r="T248" s="84">
        <v>3</v>
      </c>
      <c r="U248" s="84">
        <v>3</v>
      </c>
      <c r="V248" s="84">
        <v>3</v>
      </c>
      <c r="W248" s="84">
        <f t="shared" si="39"/>
        <v>9</v>
      </c>
      <c r="X248" s="84" t="str">
        <f t="shared" si="38"/>
        <v>Penting</v>
      </c>
      <c r="Y248" s="78" t="s">
        <v>863</v>
      </c>
      <c r="Z248" s="115" t="s">
        <v>81</v>
      </c>
      <c r="AA248" s="82">
        <f>N248+4650</f>
        <v>44495</v>
      </c>
      <c r="AB248" s="82">
        <f>N248+5015</f>
        <v>44860</v>
      </c>
      <c r="AC248" s="82">
        <f>+N248+5380</f>
        <v>45225</v>
      </c>
      <c r="AD248" s="27" t="s">
        <v>116</v>
      </c>
      <c r="AE248" s="85">
        <v>43497</v>
      </c>
      <c r="AF248" s="77" t="s">
        <v>864</v>
      </c>
      <c r="AG248" s="77" t="s">
        <v>150</v>
      </c>
      <c r="AH248" s="21"/>
      <c r="AI248" s="21"/>
      <c r="AJ248" s="21"/>
      <c r="AK248" s="21"/>
      <c r="AL248" s="21"/>
      <c r="AM248" s="27"/>
      <c r="AN248" s="86"/>
      <c r="AO248" s="87"/>
      <c r="AP248" s="92"/>
      <c r="AQ248" s="4"/>
      <c r="AR248" s="4"/>
      <c r="AS248" s="4"/>
      <c r="AT248" s="4"/>
    </row>
    <row r="249" spans="1:47" s="88" customFormat="1" ht="111.95" hidden="1" customHeight="1" x14ac:dyDescent="0.25">
      <c r="A249" s="76">
        <v>182</v>
      </c>
      <c r="B249" s="76" t="s">
        <v>74</v>
      </c>
      <c r="C249" s="76" t="s">
        <v>1175</v>
      </c>
      <c r="D249" s="76">
        <v>9</v>
      </c>
      <c r="E249" s="76" t="s">
        <v>82</v>
      </c>
      <c r="F249" s="78" t="s">
        <v>865</v>
      </c>
      <c r="G249" s="79" t="s">
        <v>866</v>
      </c>
      <c r="H249" s="79" t="s">
        <v>781</v>
      </c>
      <c r="I249" s="80" t="s">
        <v>1339</v>
      </c>
      <c r="J249" s="79" t="s">
        <v>867</v>
      </c>
      <c r="K249" s="79"/>
      <c r="L249" s="81"/>
      <c r="M249" s="81"/>
      <c r="N249" s="82">
        <v>40119</v>
      </c>
      <c r="O249" s="82" t="s">
        <v>75</v>
      </c>
      <c r="P249" s="83" t="s">
        <v>75</v>
      </c>
      <c r="Q249" s="77" t="s">
        <v>27</v>
      </c>
      <c r="R249" s="77" t="s">
        <v>75</v>
      </c>
      <c r="S249" s="77" t="str">
        <f t="shared" si="37"/>
        <v>O</v>
      </c>
      <c r="T249" s="84">
        <v>3</v>
      </c>
      <c r="U249" s="84">
        <v>3</v>
      </c>
      <c r="V249" s="84">
        <v>3</v>
      </c>
      <c r="W249" s="84">
        <f t="shared" si="39"/>
        <v>9</v>
      </c>
      <c r="X249" s="84" t="str">
        <f t="shared" si="38"/>
        <v>Penting</v>
      </c>
      <c r="Y249" s="78" t="s">
        <v>868</v>
      </c>
      <c r="Z249" s="115" t="s">
        <v>81</v>
      </c>
      <c r="AA249" s="82">
        <f>N249+4650</f>
        <v>44769</v>
      </c>
      <c r="AB249" s="82">
        <f>N249+5015</f>
        <v>45134</v>
      </c>
      <c r="AC249" s="82"/>
      <c r="AD249" s="27"/>
      <c r="AE249" s="85"/>
      <c r="AF249" s="77" t="s">
        <v>864</v>
      </c>
      <c r="AG249" s="77" t="s">
        <v>150</v>
      </c>
      <c r="AH249" s="21"/>
      <c r="AI249" s="21"/>
      <c r="AJ249" s="21"/>
      <c r="AK249" s="21"/>
      <c r="AL249" s="21"/>
      <c r="AM249" s="27"/>
      <c r="AN249" s="86"/>
      <c r="AO249" s="87"/>
      <c r="AP249" s="92"/>
      <c r="AQ249" s="4"/>
      <c r="AR249" s="4"/>
      <c r="AS249" s="4"/>
      <c r="AT249" s="4"/>
    </row>
    <row r="250" spans="1:47" s="88" customFormat="1" ht="111.95" hidden="1" customHeight="1" x14ac:dyDescent="0.25">
      <c r="A250" s="76">
        <v>183</v>
      </c>
      <c r="B250" s="76" t="s">
        <v>74</v>
      </c>
      <c r="C250" s="76" t="s">
        <v>1175</v>
      </c>
      <c r="D250" s="76">
        <v>9</v>
      </c>
      <c r="E250" s="76" t="s">
        <v>82</v>
      </c>
      <c r="F250" s="78" t="s">
        <v>869</v>
      </c>
      <c r="G250" s="79" t="s">
        <v>870</v>
      </c>
      <c r="H250" s="79" t="s">
        <v>781</v>
      </c>
      <c r="I250" s="80" t="s">
        <v>1339</v>
      </c>
      <c r="J250" s="79" t="s">
        <v>867</v>
      </c>
      <c r="K250" s="79"/>
      <c r="L250" s="81">
        <v>64061</v>
      </c>
      <c r="M250" s="81" t="s">
        <v>871</v>
      </c>
      <c r="N250" s="82">
        <v>44743</v>
      </c>
      <c r="O250" s="82" t="s">
        <v>75</v>
      </c>
      <c r="P250" s="83" t="s">
        <v>75</v>
      </c>
      <c r="Q250" s="77" t="s">
        <v>27</v>
      </c>
      <c r="R250" s="77" t="s">
        <v>75</v>
      </c>
      <c r="S250" s="77" t="str">
        <f t="shared" si="37"/>
        <v>O</v>
      </c>
      <c r="T250" s="84">
        <v>3</v>
      </c>
      <c r="U250" s="84">
        <v>3</v>
      </c>
      <c r="V250" s="84">
        <v>3</v>
      </c>
      <c r="W250" s="84">
        <f t="shared" si="39"/>
        <v>9</v>
      </c>
      <c r="X250" s="84" t="str">
        <f t="shared" si="38"/>
        <v>Penting</v>
      </c>
      <c r="Y250" s="78" t="s">
        <v>872</v>
      </c>
      <c r="Z250" s="115" t="s">
        <v>81</v>
      </c>
      <c r="AA250" s="82">
        <f>N250+270</f>
        <v>45013</v>
      </c>
      <c r="AB250" s="82">
        <f>+N250+635</f>
        <v>45378</v>
      </c>
      <c r="AC250" s="82">
        <f>N250+1000</f>
        <v>45743</v>
      </c>
      <c r="AD250" s="27"/>
      <c r="AE250" s="85"/>
      <c r="AF250" s="77" t="s">
        <v>864</v>
      </c>
      <c r="AG250" s="77" t="s">
        <v>150</v>
      </c>
      <c r="AH250" s="21"/>
      <c r="AI250" s="21"/>
      <c r="AJ250" s="21"/>
      <c r="AK250" s="21"/>
      <c r="AL250" s="21"/>
      <c r="AM250" s="27" t="s">
        <v>100</v>
      </c>
      <c r="AN250" s="86">
        <v>44764</v>
      </c>
      <c r="AO250" s="87"/>
      <c r="AP250" s="92"/>
      <c r="AQ250" s="4"/>
      <c r="AR250" s="4"/>
      <c r="AS250" s="4"/>
      <c r="AT250" s="4"/>
    </row>
    <row r="251" spans="1:47" s="88" customFormat="1" ht="111.95" hidden="1" customHeight="1" x14ac:dyDescent="0.25">
      <c r="A251" s="76">
        <v>184</v>
      </c>
      <c r="B251" s="76" t="s">
        <v>74</v>
      </c>
      <c r="C251" s="76" t="s">
        <v>1175</v>
      </c>
      <c r="D251" s="76">
        <v>10</v>
      </c>
      <c r="E251" s="76" t="s">
        <v>82</v>
      </c>
      <c r="F251" s="78" t="s">
        <v>873</v>
      </c>
      <c r="G251" s="79" t="s">
        <v>870</v>
      </c>
      <c r="H251" s="79" t="s">
        <v>874</v>
      </c>
      <c r="I251" s="80" t="s">
        <v>1337</v>
      </c>
      <c r="J251" s="79" t="s">
        <v>875</v>
      </c>
      <c r="K251" s="79"/>
      <c r="L251" s="81"/>
      <c r="M251" s="81"/>
      <c r="N251" s="82">
        <v>44846</v>
      </c>
      <c r="O251" s="82">
        <v>45210</v>
      </c>
      <c r="P251" s="83">
        <f>(O251-N251)/365</f>
        <v>0.99726027397260275</v>
      </c>
      <c r="Q251" s="77" t="s">
        <v>27</v>
      </c>
      <c r="R251" s="77">
        <f ca="1">(O251-NOW()+1)/31</f>
        <v>-1.5342727337216098</v>
      </c>
      <c r="S251" s="77" t="str">
        <f t="shared" ca="1" si="37"/>
        <v>Y</v>
      </c>
      <c r="T251" s="84">
        <v>3</v>
      </c>
      <c r="U251" s="84">
        <v>3</v>
      </c>
      <c r="V251" s="84">
        <v>3</v>
      </c>
      <c r="W251" s="84">
        <f t="shared" si="39"/>
        <v>9</v>
      </c>
      <c r="X251" s="84" t="str">
        <f t="shared" si="38"/>
        <v>Penting</v>
      </c>
      <c r="Y251" s="78"/>
      <c r="Z251" s="115"/>
      <c r="AA251" s="82"/>
      <c r="AB251" s="82"/>
      <c r="AC251" s="82"/>
      <c r="AD251" s="27"/>
      <c r="AE251" s="85"/>
      <c r="AF251" s="77" t="s">
        <v>864</v>
      </c>
      <c r="AG251" s="77" t="s">
        <v>150</v>
      </c>
      <c r="AH251" s="21"/>
      <c r="AI251" s="21"/>
      <c r="AJ251" s="21"/>
      <c r="AK251" s="21"/>
      <c r="AL251" s="21"/>
      <c r="AM251" s="27" t="s">
        <v>100</v>
      </c>
      <c r="AN251" s="86">
        <v>44851</v>
      </c>
      <c r="AO251" s="87"/>
      <c r="AP251" s="92"/>
      <c r="AQ251" s="4"/>
      <c r="AR251" s="4"/>
      <c r="AS251" s="4"/>
      <c r="AT251" s="4"/>
    </row>
    <row r="252" spans="1:47" s="88" customFormat="1" ht="111.95" hidden="1" customHeight="1" x14ac:dyDescent="0.25">
      <c r="A252" s="76">
        <v>185</v>
      </c>
      <c r="B252" s="76" t="s">
        <v>74</v>
      </c>
      <c r="C252" s="76" t="s">
        <v>1175</v>
      </c>
      <c r="D252" s="76">
        <v>11</v>
      </c>
      <c r="E252" s="76" t="s">
        <v>82</v>
      </c>
      <c r="F252" s="78"/>
      <c r="G252" s="79" t="s">
        <v>876</v>
      </c>
      <c r="H252" s="79" t="s">
        <v>877</v>
      </c>
      <c r="I252" s="80" t="s">
        <v>1339</v>
      </c>
      <c r="J252" s="79" t="s">
        <v>878</v>
      </c>
      <c r="K252" s="79"/>
      <c r="L252" s="81"/>
      <c r="M252" s="81"/>
      <c r="N252" s="82">
        <v>44907</v>
      </c>
      <c r="O252" s="82">
        <v>45271</v>
      </c>
      <c r="P252" s="83">
        <f>(O252-N252)/365</f>
        <v>0.99726027397260275</v>
      </c>
      <c r="Q252" s="77" t="s">
        <v>27</v>
      </c>
      <c r="R252" s="77">
        <f ca="1">(O252-NOW()+1)/31</f>
        <v>0.43346920176226111</v>
      </c>
      <c r="S252" s="77" t="str">
        <f t="shared" ca="1" si="37"/>
        <v>O</v>
      </c>
      <c r="T252" s="84">
        <v>3</v>
      </c>
      <c r="U252" s="84">
        <v>3</v>
      </c>
      <c r="V252" s="84">
        <v>3</v>
      </c>
      <c r="W252" s="84">
        <f t="shared" si="39"/>
        <v>9</v>
      </c>
      <c r="X252" s="84" t="str">
        <f t="shared" si="38"/>
        <v>Penting</v>
      </c>
      <c r="Y252" s="78" t="s">
        <v>446</v>
      </c>
      <c r="Z252" s="115" t="s">
        <v>81</v>
      </c>
      <c r="AA252" s="82">
        <f>N252+270</f>
        <v>45177</v>
      </c>
      <c r="AB252" s="82">
        <f>+N252+635</f>
        <v>45542</v>
      </c>
      <c r="AC252" s="82"/>
      <c r="AD252" s="27"/>
      <c r="AE252" s="85"/>
      <c r="AF252" s="77" t="s">
        <v>864</v>
      </c>
      <c r="AG252" s="77" t="s">
        <v>150</v>
      </c>
      <c r="AH252" s="21"/>
      <c r="AI252" s="21"/>
      <c r="AJ252" s="21"/>
      <c r="AK252" s="21"/>
      <c r="AL252" s="21"/>
      <c r="AM252" s="27" t="s">
        <v>100</v>
      </c>
      <c r="AN252" s="86">
        <v>44967</v>
      </c>
      <c r="AO252" s="87"/>
      <c r="AP252" s="92"/>
      <c r="AQ252" s="4"/>
      <c r="AR252" s="4"/>
    </row>
    <row r="253" spans="1:47" s="88" customFormat="1" ht="111.95" hidden="1" customHeight="1" x14ac:dyDescent="0.25">
      <c r="A253" s="76">
        <v>186</v>
      </c>
      <c r="B253" s="76" t="s">
        <v>74</v>
      </c>
      <c r="C253" s="76" t="s">
        <v>1175</v>
      </c>
      <c r="D253" s="76">
        <v>12</v>
      </c>
      <c r="E253" s="76" t="s">
        <v>82</v>
      </c>
      <c r="F253" s="78"/>
      <c r="G253" s="79" t="s">
        <v>861</v>
      </c>
      <c r="H253" s="79" t="s">
        <v>883</v>
      </c>
      <c r="I253" s="80" t="s">
        <v>1339</v>
      </c>
      <c r="J253" s="79" t="s">
        <v>884</v>
      </c>
      <c r="K253" s="79"/>
      <c r="L253" s="81"/>
      <c r="M253" s="81"/>
      <c r="N253" s="82">
        <v>39845</v>
      </c>
      <c r="O253" s="82" t="s">
        <v>75</v>
      </c>
      <c r="P253" s="83" t="s">
        <v>75</v>
      </c>
      <c r="Q253" s="77" t="s">
        <v>27</v>
      </c>
      <c r="R253" s="77" t="s">
        <v>75</v>
      </c>
      <c r="S253" s="77" t="str">
        <f t="shared" si="37"/>
        <v>O</v>
      </c>
      <c r="T253" s="84">
        <v>3</v>
      </c>
      <c r="U253" s="84">
        <v>3</v>
      </c>
      <c r="V253" s="84">
        <v>3</v>
      </c>
      <c r="W253" s="84">
        <f t="shared" si="39"/>
        <v>9</v>
      </c>
      <c r="X253" s="84" t="str">
        <f t="shared" si="38"/>
        <v>Penting</v>
      </c>
      <c r="Y253" s="78"/>
      <c r="Z253" s="115" t="s">
        <v>81</v>
      </c>
      <c r="AA253" s="82">
        <f>N253+4650</f>
        <v>44495</v>
      </c>
      <c r="AB253" s="82">
        <f>N253+5015</f>
        <v>44860</v>
      </c>
      <c r="AC253" s="82">
        <f>N253+5380</f>
        <v>45225</v>
      </c>
      <c r="AD253" s="27" t="s">
        <v>86</v>
      </c>
      <c r="AE253" s="85">
        <v>43556</v>
      </c>
      <c r="AF253" s="77" t="s">
        <v>864</v>
      </c>
      <c r="AG253" s="77" t="s">
        <v>150</v>
      </c>
      <c r="AH253" s="21"/>
      <c r="AI253" s="21"/>
      <c r="AJ253" s="21"/>
      <c r="AK253" s="21"/>
      <c r="AL253" s="21"/>
      <c r="AM253" s="27"/>
      <c r="AN253" s="86"/>
      <c r="AO253" s="87"/>
      <c r="AP253" s="92"/>
      <c r="AQ253" s="4"/>
      <c r="AR253" s="4"/>
      <c r="AS253" s="90"/>
      <c r="AT253" s="90"/>
      <c r="AU253" s="90"/>
    </row>
    <row r="254" spans="1:47" s="88" customFormat="1" ht="111.95" hidden="1" customHeight="1" x14ac:dyDescent="0.25">
      <c r="A254" s="76">
        <v>187</v>
      </c>
      <c r="B254" s="76" t="s">
        <v>74</v>
      </c>
      <c r="C254" s="76" t="s">
        <v>1175</v>
      </c>
      <c r="D254" s="76">
        <v>13</v>
      </c>
      <c r="E254" s="76" t="s">
        <v>82</v>
      </c>
      <c r="F254" s="78" t="s">
        <v>75</v>
      </c>
      <c r="G254" s="79" t="s">
        <v>885</v>
      </c>
      <c r="H254" s="79" t="s">
        <v>886</v>
      </c>
      <c r="I254" s="80" t="s">
        <v>1339</v>
      </c>
      <c r="J254" s="79" t="s">
        <v>887</v>
      </c>
      <c r="K254" s="79"/>
      <c r="L254" s="81"/>
      <c r="M254" s="81"/>
      <c r="N254" s="82">
        <v>42461</v>
      </c>
      <c r="O254" s="82">
        <v>45382</v>
      </c>
      <c r="P254" s="83">
        <f>(O254-N254)/365</f>
        <v>8.0027397260273965</v>
      </c>
      <c r="Q254" s="77" t="s">
        <v>27</v>
      </c>
      <c r="R254" s="77">
        <f ca="1">(O254-NOW()+1)/31</f>
        <v>4.0141143630525837</v>
      </c>
      <c r="S254" s="77" t="str">
        <f t="shared" ca="1" si="37"/>
        <v>O</v>
      </c>
      <c r="T254" s="84">
        <v>3</v>
      </c>
      <c r="U254" s="84">
        <v>3</v>
      </c>
      <c r="V254" s="84">
        <v>3</v>
      </c>
      <c r="W254" s="84">
        <f t="shared" si="39"/>
        <v>9</v>
      </c>
      <c r="X254" s="84" t="str">
        <f t="shared" si="38"/>
        <v>Penting</v>
      </c>
      <c r="Y254" s="78" t="s">
        <v>822</v>
      </c>
      <c r="Z254" s="115" t="s">
        <v>81</v>
      </c>
      <c r="AA254" s="82">
        <f>N254+2095</f>
        <v>44556</v>
      </c>
      <c r="AB254" s="82">
        <f>N254+2460</f>
        <v>44921</v>
      </c>
      <c r="AC254" s="82">
        <f>N254+2825</f>
        <v>45286</v>
      </c>
      <c r="AD254" s="27" t="s">
        <v>86</v>
      </c>
      <c r="AE254" s="85">
        <v>43709</v>
      </c>
      <c r="AF254" s="77" t="s">
        <v>864</v>
      </c>
      <c r="AG254" s="77" t="s">
        <v>150</v>
      </c>
      <c r="AH254" s="21"/>
      <c r="AI254" s="21"/>
      <c r="AJ254" s="21"/>
      <c r="AK254" s="21"/>
      <c r="AL254" s="21"/>
      <c r="AM254" s="27"/>
      <c r="AN254" s="86"/>
      <c r="AO254" s="87"/>
      <c r="AP254" s="92"/>
      <c r="AQ254" s="4"/>
      <c r="AR254" s="4"/>
      <c r="AS254" s="90"/>
      <c r="AT254" s="90"/>
      <c r="AU254" s="90"/>
    </row>
    <row r="255" spans="1:47" s="88" customFormat="1" ht="111.95" hidden="1" customHeight="1" x14ac:dyDescent="0.25">
      <c r="A255" s="76">
        <v>188</v>
      </c>
      <c r="B255" s="76" t="s">
        <v>74</v>
      </c>
      <c r="C255" s="76" t="s">
        <v>1175</v>
      </c>
      <c r="D255" s="76">
        <v>14</v>
      </c>
      <c r="E255" s="76" t="s">
        <v>82</v>
      </c>
      <c r="F255" s="78" t="s">
        <v>879</v>
      </c>
      <c r="G255" s="79" t="s">
        <v>880</v>
      </c>
      <c r="H255" s="79" t="s">
        <v>881</v>
      </c>
      <c r="I255" s="80" t="s">
        <v>1339</v>
      </c>
      <c r="J255" s="79" t="s">
        <v>882</v>
      </c>
      <c r="K255" s="79"/>
      <c r="L255" s="81"/>
      <c r="M255" s="81"/>
      <c r="N255" s="82">
        <v>43983</v>
      </c>
      <c r="O255" s="82">
        <v>45443</v>
      </c>
      <c r="P255" s="83">
        <f>(O255-N255)/365</f>
        <v>4</v>
      </c>
      <c r="Q255" s="77" t="s">
        <v>27</v>
      </c>
      <c r="R255" s="77">
        <f ca="1">(O255-NOW()+1)/31</f>
        <v>5.9818562985364547</v>
      </c>
      <c r="S255" s="77" t="str">
        <f t="shared" ca="1" si="37"/>
        <v>O</v>
      </c>
      <c r="T255" s="84">
        <v>3</v>
      </c>
      <c r="U255" s="84">
        <v>3</v>
      </c>
      <c r="V255" s="84">
        <v>3</v>
      </c>
      <c r="W255" s="84">
        <f t="shared" ref="W255:W287" si="44">T255+U255+V255</f>
        <v>9</v>
      </c>
      <c r="X255" s="84" t="str">
        <f t="shared" si="38"/>
        <v>Penting</v>
      </c>
      <c r="Y255" s="78" t="s">
        <v>822</v>
      </c>
      <c r="Z255" s="115" t="s">
        <v>81</v>
      </c>
      <c r="AA255" s="82">
        <f>N255+635</f>
        <v>44618</v>
      </c>
      <c r="AB255" s="82">
        <f>+N255+1000</f>
        <v>44983</v>
      </c>
      <c r="AC255" s="82">
        <f>N255+1365</f>
        <v>45348</v>
      </c>
      <c r="AD255" s="27" t="s">
        <v>86</v>
      </c>
      <c r="AE255" s="85">
        <v>43497</v>
      </c>
      <c r="AF255" s="77" t="s">
        <v>864</v>
      </c>
      <c r="AG255" s="77" t="s">
        <v>150</v>
      </c>
      <c r="AH255" s="21"/>
      <c r="AI255" s="21"/>
      <c r="AJ255" s="21"/>
      <c r="AK255" s="21"/>
      <c r="AL255" s="21"/>
      <c r="AM255" s="27"/>
      <c r="AN255" s="86">
        <v>44166</v>
      </c>
      <c r="AO255" s="87"/>
      <c r="AP255" s="92"/>
      <c r="AQ255" s="4"/>
      <c r="AR255" s="4"/>
      <c r="AS255" s="90"/>
      <c r="AT255" s="90"/>
      <c r="AU255" s="90"/>
    </row>
    <row r="256" spans="1:47" s="88" customFormat="1" ht="111.95" hidden="1" customHeight="1" x14ac:dyDescent="0.25">
      <c r="A256" s="76">
        <v>189</v>
      </c>
      <c r="B256" s="76" t="s">
        <v>74</v>
      </c>
      <c r="C256" s="76" t="s">
        <v>1176</v>
      </c>
      <c r="D256" s="76">
        <v>1</v>
      </c>
      <c r="E256" s="76" t="s">
        <v>82</v>
      </c>
      <c r="F256" s="78"/>
      <c r="G256" s="79" t="s">
        <v>813</v>
      </c>
      <c r="H256" s="79" t="s">
        <v>817</v>
      </c>
      <c r="I256" s="80" t="s">
        <v>1339</v>
      </c>
      <c r="J256" s="79"/>
      <c r="K256" s="79"/>
      <c r="L256" s="81"/>
      <c r="M256" s="81"/>
      <c r="N256" s="82">
        <v>43523</v>
      </c>
      <c r="O256" s="82" t="s">
        <v>75</v>
      </c>
      <c r="P256" s="83" t="s">
        <v>75</v>
      </c>
      <c r="Q256" s="77" t="s">
        <v>22</v>
      </c>
      <c r="R256" s="77" t="s">
        <v>75</v>
      </c>
      <c r="S256" s="77" t="str">
        <f t="shared" si="37"/>
        <v>O</v>
      </c>
      <c r="T256" s="84">
        <v>3</v>
      </c>
      <c r="U256" s="84">
        <v>3</v>
      </c>
      <c r="V256" s="84">
        <v>3</v>
      </c>
      <c r="W256" s="84">
        <f t="shared" si="44"/>
        <v>9</v>
      </c>
      <c r="X256" s="84" t="str">
        <f t="shared" si="38"/>
        <v>Penting</v>
      </c>
      <c r="Y256" s="78" t="s">
        <v>818</v>
      </c>
      <c r="Z256" s="115" t="s">
        <v>81</v>
      </c>
      <c r="AA256" s="82">
        <f>N256+1000</f>
        <v>44523</v>
      </c>
      <c r="AB256" s="82">
        <f>+N256+1365</f>
        <v>44888</v>
      </c>
      <c r="AC256" s="82">
        <f>+N256+1730</f>
        <v>45253</v>
      </c>
      <c r="AD256" s="27"/>
      <c r="AE256" s="85"/>
      <c r="AF256" s="77" t="s">
        <v>816</v>
      </c>
      <c r="AG256" s="77" t="s">
        <v>150</v>
      </c>
      <c r="AH256" s="21"/>
      <c r="AI256" s="21"/>
      <c r="AJ256" s="21"/>
      <c r="AK256" s="21"/>
      <c r="AL256" s="21"/>
      <c r="AM256" s="27"/>
      <c r="AN256" s="86"/>
      <c r="AO256" s="87"/>
      <c r="AP256" s="4"/>
      <c r="AQ256" s="4"/>
      <c r="AR256" s="4"/>
      <c r="AS256" s="4"/>
      <c r="AT256" s="4"/>
    </row>
    <row r="257" spans="1:48" s="88" customFormat="1" ht="111.95" hidden="1" customHeight="1" x14ac:dyDescent="0.25">
      <c r="A257" s="76">
        <v>190</v>
      </c>
      <c r="B257" s="76" t="s">
        <v>74</v>
      </c>
      <c r="C257" s="76" t="s">
        <v>1176</v>
      </c>
      <c r="D257" s="76">
        <v>2</v>
      </c>
      <c r="E257" s="76" t="s">
        <v>82</v>
      </c>
      <c r="F257" s="78" t="s">
        <v>819</v>
      </c>
      <c r="G257" s="79" t="s">
        <v>813</v>
      </c>
      <c r="H257" s="79" t="s">
        <v>820</v>
      </c>
      <c r="I257" s="80" t="s">
        <v>1339</v>
      </c>
      <c r="J257" s="79" t="s">
        <v>821</v>
      </c>
      <c r="K257" s="79"/>
      <c r="L257" s="81"/>
      <c r="M257" s="81"/>
      <c r="N257" s="82">
        <v>41081</v>
      </c>
      <c r="O257" s="82">
        <v>45463</v>
      </c>
      <c r="P257" s="83">
        <f>(O257-N257)/365</f>
        <v>12.005479452054795</v>
      </c>
      <c r="Q257" s="77" t="s">
        <v>22</v>
      </c>
      <c r="R257" s="77">
        <f ca="1">(O257-NOW()+1)/31</f>
        <v>6.6270175888590357</v>
      </c>
      <c r="S257" s="77" t="str">
        <f t="shared" ca="1" si="37"/>
        <v>O</v>
      </c>
      <c r="T257" s="84">
        <v>3</v>
      </c>
      <c r="U257" s="84">
        <v>3</v>
      </c>
      <c r="V257" s="84">
        <v>3</v>
      </c>
      <c r="W257" s="84">
        <f t="shared" si="44"/>
        <v>9</v>
      </c>
      <c r="X257" s="84" t="str">
        <f t="shared" si="38"/>
        <v>Penting</v>
      </c>
      <c r="Y257" s="78" t="s">
        <v>822</v>
      </c>
      <c r="Z257" s="115" t="s">
        <v>81</v>
      </c>
      <c r="AA257" s="82">
        <f>N257+3555</f>
        <v>44636</v>
      </c>
      <c r="AB257" s="82">
        <f>+N257+3920</f>
        <v>45001</v>
      </c>
      <c r="AC257" s="82">
        <f>+N257+4285</f>
        <v>45366</v>
      </c>
      <c r="AD257" s="27"/>
      <c r="AE257" s="85"/>
      <c r="AF257" s="77" t="s">
        <v>816</v>
      </c>
      <c r="AG257" s="77" t="s">
        <v>150</v>
      </c>
      <c r="AH257" s="21"/>
      <c r="AI257" s="21"/>
      <c r="AJ257" s="21"/>
      <c r="AK257" s="21"/>
      <c r="AL257" s="21"/>
      <c r="AM257" s="27"/>
      <c r="AN257" s="86"/>
      <c r="AO257" s="87"/>
      <c r="AP257" s="4"/>
      <c r="AQ257" s="4"/>
      <c r="AR257" s="4"/>
      <c r="AS257" s="4"/>
      <c r="AT257" s="4"/>
    </row>
    <row r="258" spans="1:48" s="88" customFormat="1" ht="111.95" hidden="1" customHeight="1" x14ac:dyDescent="0.25">
      <c r="A258" s="76">
        <v>191</v>
      </c>
      <c r="B258" s="76" t="s">
        <v>74</v>
      </c>
      <c r="C258" s="76" t="s">
        <v>1176</v>
      </c>
      <c r="D258" s="76">
        <v>3</v>
      </c>
      <c r="E258" s="76" t="s">
        <v>82</v>
      </c>
      <c r="F258" s="78"/>
      <c r="G258" s="79" t="s">
        <v>813</v>
      </c>
      <c r="H258" s="79" t="s">
        <v>824</v>
      </c>
      <c r="I258" s="80"/>
      <c r="J258" s="79" t="s">
        <v>821</v>
      </c>
      <c r="K258" s="79"/>
      <c r="L258" s="81"/>
      <c r="M258" s="81"/>
      <c r="N258" s="82">
        <v>43966</v>
      </c>
      <c r="O258" s="82" t="s">
        <v>75</v>
      </c>
      <c r="P258" s="83"/>
      <c r="Q258" s="77" t="s">
        <v>22</v>
      </c>
      <c r="R258" s="77"/>
      <c r="S258" s="77" t="str">
        <f t="shared" si="37"/>
        <v>X</v>
      </c>
      <c r="T258" s="84">
        <v>3</v>
      </c>
      <c r="U258" s="84">
        <v>3</v>
      </c>
      <c r="V258" s="84">
        <v>3</v>
      </c>
      <c r="W258" s="84">
        <f t="shared" si="44"/>
        <v>9</v>
      </c>
      <c r="X258" s="84" t="str">
        <f t="shared" si="38"/>
        <v>Penting</v>
      </c>
      <c r="Y258" s="78" t="s">
        <v>825</v>
      </c>
      <c r="Z258" s="115"/>
      <c r="AA258" s="82"/>
      <c r="AB258" s="82"/>
      <c r="AC258" s="82"/>
      <c r="AD258" s="27"/>
      <c r="AE258" s="85"/>
      <c r="AF258" s="77" t="s">
        <v>816</v>
      </c>
      <c r="AG258" s="77" t="s">
        <v>150</v>
      </c>
      <c r="AH258" s="21"/>
      <c r="AI258" s="21"/>
      <c r="AJ258" s="21"/>
      <c r="AK258" s="21"/>
      <c r="AL258" s="21"/>
      <c r="AM258" s="27"/>
      <c r="AN258" s="86"/>
      <c r="AO258" s="87"/>
      <c r="AP258" s="4"/>
      <c r="AQ258" s="4"/>
      <c r="AR258" s="4"/>
      <c r="AS258" s="4"/>
      <c r="AT258" s="4"/>
    </row>
    <row r="259" spans="1:48" s="88" customFormat="1" ht="111.95" hidden="1" customHeight="1" x14ac:dyDescent="0.25">
      <c r="A259" s="76">
        <v>192</v>
      </c>
      <c r="B259" s="76" t="s">
        <v>74</v>
      </c>
      <c r="C259" s="76" t="s">
        <v>1176</v>
      </c>
      <c r="D259" s="76">
        <v>4</v>
      </c>
      <c r="E259" s="76" t="s">
        <v>82</v>
      </c>
      <c r="F259" s="78"/>
      <c r="G259" s="79" t="s">
        <v>813</v>
      </c>
      <c r="H259" s="79" t="s">
        <v>826</v>
      </c>
      <c r="I259" s="80" t="s">
        <v>1339</v>
      </c>
      <c r="J259" s="79" t="s">
        <v>821</v>
      </c>
      <c r="K259" s="79"/>
      <c r="L259" s="81"/>
      <c r="M259" s="81"/>
      <c r="N259" s="82">
        <v>39547</v>
      </c>
      <c r="O259" s="82">
        <v>45390</v>
      </c>
      <c r="P259" s="83">
        <f t="shared" ref="P259:P265" si="45">(O259-N259)/365</f>
        <v>16.008219178082193</v>
      </c>
      <c r="Q259" s="77" t="s">
        <v>22</v>
      </c>
      <c r="R259" s="77">
        <f t="shared" ref="R259:R265" ca="1" si="46">(O259-NOW()+1)/31</f>
        <v>4.2721788791816158</v>
      </c>
      <c r="S259" s="77" t="str">
        <f t="shared" ca="1" si="37"/>
        <v>O</v>
      </c>
      <c r="T259" s="84">
        <v>3</v>
      </c>
      <c r="U259" s="84">
        <v>3</v>
      </c>
      <c r="V259" s="84">
        <v>3</v>
      </c>
      <c r="W259" s="84">
        <f t="shared" si="44"/>
        <v>9</v>
      </c>
      <c r="X259" s="84" t="str">
        <f t="shared" si="38"/>
        <v>Penting</v>
      </c>
      <c r="Y259" s="78" t="s">
        <v>822</v>
      </c>
      <c r="Z259" s="115" t="s">
        <v>81</v>
      </c>
      <c r="AA259" s="82">
        <f>N259+5015</f>
        <v>44562</v>
      </c>
      <c r="AB259" s="82">
        <f>+N259+5380</f>
        <v>44927</v>
      </c>
      <c r="AC259" s="82">
        <f>N259+5745</f>
        <v>45292</v>
      </c>
      <c r="AD259" s="27"/>
      <c r="AE259" s="85"/>
      <c r="AF259" s="77" t="s">
        <v>816</v>
      </c>
      <c r="AG259" s="77" t="s">
        <v>81</v>
      </c>
      <c r="AH259" s="21" t="s">
        <v>81</v>
      </c>
      <c r="AI259" s="21"/>
      <c r="AJ259" s="21" t="s">
        <v>81</v>
      </c>
      <c r="AK259" s="21"/>
      <c r="AL259" s="21"/>
      <c r="AM259" s="27"/>
      <c r="AN259" s="86"/>
      <c r="AO259" s="87"/>
      <c r="AP259" s="4"/>
      <c r="AQ259" s="4"/>
      <c r="AR259" s="4"/>
      <c r="AS259" s="4"/>
      <c r="AT259" s="4"/>
    </row>
    <row r="260" spans="1:48" s="88" customFormat="1" ht="111.95" hidden="1" customHeight="1" x14ac:dyDescent="0.25">
      <c r="A260" s="76">
        <v>193</v>
      </c>
      <c r="B260" s="76" t="s">
        <v>74</v>
      </c>
      <c r="C260" s="76" t="s">
        <v>1176</v>
      </c>
      <c r="D260" s="76">
        <v>5</v>
      </c>
      <c r="E260" s="76" t="s">
        <v>82</v>
      </c>
      <c r="F260" s="78"/>
      <c r="G260" s="79" t="s">
        <v>813</v>
      </c>
      <c r="H260" s="79" t="s">
        <v>831</v>
      </c>
      <c r="I260" s="80" t="s">
        <v>1339</v>
      </c>
      <c r="J260" s="79"/>
      <c r="K260" s="79"/>
      <c r="L260" s="81"/>
      <c r="M260" s="81"/>
      <c r="N260" s="82">
        <v>43371</v>
      </c>
      <c r="O260" s="82">
        <v>45197</v>
      </c>
      <c r="P260" s="83">
        <f t="shared" si="45"/>
        <v>5.0027397260273974</v>
      </c>
      <c r="Q260" s="77" t="s">
        <v>22</v>
      </c>
      <c r="R260" s="77">
        <f t="shared" ca="1" si="46"/>
        <v>-1.9536275724312873</v>
      </c>
      <c r="S260" s="77" t="str">
        <f t="shared" ref="S260:S309" ca="1" si="47">IF(R260="End","Z",IF(R260="Cancel","C",IF(SUM(R260)&gt;0,"O",IF(ISBLANK(R260),"X",IF(SUM(R260)&lt;0,"Y",IF(SUM(R260),"-","O"))))))</f>
        <v>Y</v>
      </c>
      <c r="T260" s="84">
        <v>3</v>
      </c>
      <c r="U260" s="84">
        <v>3</v>
      </c>
      <c r="V260" s="84">
        <v>3</v>
      </c>
      <c r="W260" s="84">
        <f t="shared" si="44"/>
        <v>9</v>
      </c>
      <c r="X260" s="84" t="str">
        <f t="shared" ref="X260:X309" si="48">IF(W260&gt;5,"Penting",IF(ISBLANK(W260),"","Biasa"))</f>
        <v>Penting</v>
      </c>
      <c r="Y260" s="78" t="s">
        <v>822</v>
      </c>
      <c r="Z260" s="115" t="s">
        <v>81</v>
      </c>
      <c r="AA260" s="82">
        <f>+N260+1365</f>
        <v>44736</v>
      </c>
      <c r="AB260" s="82">
        <f>N260+1730</f>
        <v>45101</v>
      </c>
      <c r="AC260" s="82">
        <f>+N260+2905</f>
        <v>46276</v>
      </c>
      <c r="AD260" s="27"/>
      <c r="AE260" s="85"/>
      <c r="AF260" s="77" t="s">
        <v>816</v>
      </c>
      <c r="AG260" s="77" t="s">
        <v>150</v>
      </c>
      <c r="AH260" s="21"/>
      <c r="AI260" s="21"/>
      <c r="AJ260" s="21"/>
      <c r="AK260" s="21"/>
      <c r="AL260" s="21"/>
      <c r="AM260" s="27"/>
      <c r="AN260" s="86"/>
      <c r="AO260" s="87"/>
      <c r="AP260" s="4"/>
      <c r="AQ260" s="4"/>
      <c r="AR260" s="4"/>
      <c r="AS260" s="4"/>
      <c r="AT260" s="4"/>
    </row>
    <row r="261" spans="1:48" s="88" customFormat="1" ht="111.95" hidden="1" customHeight="1" x14ac:dyDescent="0.25">
      <c r="A261" s="76">
        <v>194</v>
      </c>
      <c r="B261" s="76" t="s">
        <v>74</v>
      </c>
      <c r="C261" s="76" t="s">
        <v>1176</v>
      </c>
      <c r="D261" s="76">
        <v>6</v>
      </c>
      <c r="E261" s="76" t="s">
        <v>82</v>
      </c>
      <c r="F261" s="78" t="s">
        <v>75</v>
      </c>
      <c r="G261" s="79" t="s">
        <v>813</v>
      </c>
      <c r="H261" s="79" t="s">
        <v>834</v>
      </c>
      <c r="I261" s="80" t="s">
        <v>1339</v>
      </c>
      <c r="J261" s="79" t="s">
        <v>821</v>
      </c>
      <c r="K261" s="79"/>
      <c r="L261" s="81"/>
      <c r="M261" s="81"/>
      <c r="N261" s="82">
        <v>42879</v>
      </c>
      <c r="O261" s="82">
        <v>45435</v>
      </c>
      <c r="P261" s="83">
        <f t="shared" si="45"/>
        <v>7.0027397260273974</v>
      </c>
      <c r="Q261" s="77" t="s">
        <v>22</v>
      </c>
      <c r="R261" s="77">
        <f t="shared" ca="1" si="46"/>
        <v>5.7237917824074227</v>
      </c>
      <c r="S261" s="77" t="str">
        <f t="shared" ca="1" si="47"/>
        <v>O</v>
      </c>
      <c r="T261" s="84">
        <v>3</v>
      </c>
      <c r="U261" s="84">
        <v>3</v>
      </c>
      <c r="V261" s="84">
        <v>3</v>
      </c>
      <c r="W261" s="84">
        <f t="shared" si="44"/>
        <v>9</v>
      </c>
      <c r="X261" s="84" t="str">
        <f t="shared" si="48"/>
        <v>Penting</v>
      </c>
      <c r="Y261" s="78" t="s">
        <v>822</v>
      </c>
      <c r="Z261" s="115" t="s">
        <v>81</v>
      </c>
      <c r="AA261" s="82">
        <f>N261+1730</f>
        <v>44609</v>
      </c>
      <c r="AB261" s="82">
        <f>N261+2095</f>
        <v>44974</v>
      </c>
      <c r="AC261" s="82">
        <f>N261+2460</f>
        <v>45339</v>
      </c>
      <c r="AD261" s="27"/>
      <c r="AE261" s="85"/>
      <c r="AF261" s="77" t="s">
        <v>816</v>
      </c>
      <c r="AG261" s="77" t="s">
        <v>150</v>
      </c>
      <c r="AH261" s="21"/>
      <c r="AI261" s="21"/>
      <c r="AJ261" s="21"/>
      <c r="AK261" s="21"/>
      <c r="AL261" s="21"/>
      <c r="AM261" s="27"/>
      <c r="AN261" s="86"/>
      <c r="AO261" s="87"/>
      <c r="AP261" s="4"/>
      <c r="AQ261" s="4"/>
      <c r="AR261" s="4"/>
      <c r="AS261" s="4"/>
      <c r="AT261" s="4"/>
    </row>
    <row r="262" spans="1:48" s="88" customFormat="1" ht="111.95" hidden="1" customHeight="1" x14ac:dyDescent="0.25">
      <c r="A262" s="76">
        <v>195</v>
      </c>
      <c r="B262" s="76" t="s">
        <v>74</v>
      </c>
      <c r="C262" s="76" t="s">
        <v>1176</v>
      </c>
      <c r="D262" s="76">
        <v>7</v>
      </c>
      <c r="E262" s="76" t="s">
        <v>82</v>
      </c>
      <c r="F262" s="78" t="s">
        <v>75</v>
      </c>
      <c r="G262" s="79" t="s">
        <v>813</v>
      </c>
      <c r="H262" s="79" t="s">
        <v>836</v>
      </c>
      <c r="I262" s="80" t="s">
        <v>1339</v>
      </c>
      <c r="J262" s="79" t="s">
        <v>821</v>
      </c>
      <c r="K262" s="79"/>
      <c r="L262" s="81"/>
      <c r="M262" s="81"/>
      <c r="N262" s="82">
        <v>42879</v>
      </c>
      <c r="O262" s="82">
        <v>45435</v>
      </c>
      <c r="P262" s="83">
        <f t="shared" si="45"/>
        <v>7.0027397260273974</v>
      </c>
      <c r="Q262" s="77" t="s">
        <v>22</v>
      </c>
      <c r="R262" s="77">
        <f t="shared" ca="1" si="46"/>
        <v>5.7237917824074227</v>
      </c>
      <c r="S262" s="77" t="str">
        <f t="shared" ca="1" si="47"/>
        <v>O</v>
      </c>
      <c r="T262" s="84">
        <v>3</v>
      </c>
      <c r="U262" s="84">
        <v>3</v>
      </c>
      <c r="V262" s="84">
        <v>3</v>
      </c>
      <c r="W262" s="84">
        <f t="shared" si="44"/>
        <v>9</v>
      </c>
      <c r="X262" s="84" t="str">
        <f t="shared" si="48"/>
        <v>Penting</v>
      </c>
      <c r="Y262" s="78" t="s">
        <v>822</v>
      </c>
      <c r="Z262" s="115" t="s">
        <v>81</v>
      </c>
      <c r="AA262" s="82">
        <f>N262+1730</f>
        <v>44609</v>
      </c>
      <c r="AB262" s="82">
        <f>N262+2095</f>
        <v>44974</v>
      </c>
      <c r="AC262" s="82">
        <f>N262+2460</f>
        <v>45339</v>
      </c>
      <c r="AD262" s="27"/>
      <c r="AE262" s="85"/>
      <c r="AF262" s="77" t="s">
        <v>816</v>
      </c>
      <c r="AG262" s="77" t="s">
        <v>81</v>
      </c>
      <c r="AH262" s="21" t="s">
        <v>81</v>
      </c>
      <c r="AI262" s="21"/>
      <c r="AJ262" s="21" t="s">
        <v>81</v>
      </c>
      <c r="AK262" s="21"/>
      <c r="AL262" s="21"/>
      <c r="AM262" s="27"/>
      <c r="AN262" s="86"/>
      <c r="AO262" s="87"/>
      <c r="AP262" s="4"/>
      <c r="AQ262" s="4"/>
      <c r="AR262" s="4"/>
      <c r="AS262" s="4"/>
      <c r="AT262" s="4"/>
    </row>
    <row r="263" spans="1:48" s="88" customFormat="1" ht="111.95" hidden="1" customHeight="1" x14ac:dyDescent="0.25">
      <c r="A263" s="76">
        <v>196</v>
      </c>
      <c r="B263" s="76" t="s">
        <v>74</v>
      </c>
      <c r="C263" s="76" t="s">
        <v>1176</v>
      </c>
      <c r="D263" s="76">
        <v>8</v>
      </c>
      <c r="E263" s="76" t="s">
        <v>82</v>
      </c>
      <c r="F263" s="78" t="s">
        <v>75</v>
      </c>
      <c r="G263" s="79" t="s">
        <v>813</v>
      </c>
      <c r="H263" s="79" t="s">
        <v>838</v>
      </c>
      <c r="I263" s="80" t="s">
        <v>1339</v>
      </c>
      <c r="J263" s="79" t="s">
        <v>821</v>
      </c>
      <c r="K263" s="79"/>
      <c r="L263" s="81"/>
      <c r="M263" s="81"/>
      <c r="N263" s="82">
        <v>42662</v>
      </c>
      <c r="O263" s="82">
        <v>45217</v>
      </c>
      <c r="P263" s="83">
        <f t="shared" si="45"/>
        <v>7</v>
      </c>
      <c r="Q263" s="77" t="s">
        <v>22</v>
      </c>
      <c r="R263" s="77">
        <f t="shared" ca="1" si="46"/>
        <v>-1.3084662821087065</v>
      </c>
      <c r="S263" s="77" t="str">
        <f t="shared" ca="1" si="47"/>
        <v>Y</v>
      </c>
      <c r="T263" s="84">
        <v>3</v>
      </c>
      <c r="U263" s="84">
        <v>3</v>
      </c>
      <c r="V263" s="84">
        <v>3</v>
      </c>
      <c r="W263" s="84">
        <f t="shared" si="44"/>
        <v>9</v>
      </c>
      <c r="X263" s="84" t="str">
        <f t="shared" si="48"/>
        <v>Penting</v>
      </c>
      <c r="Y263" s="78" t="s">
        <v>822</v>
      </c>
      <c r="Z263" s="115" t="s">
        <v>81</v>
      </c>
      <c r="AA263" s="82">
        <f>N263+1730</f>
        <v>44392</v>
      </c>
      <c r="AB263" s="82">
        <f>N263+2095</f>
        <v>44757</v>
      </c>
      <c r="AC263" s="82">
        <f>N263+2460</f>
        <v>45122</v>
      </c>
      <c r="AD263" s="27"/>
      <c r="AE263" s="85"/>
      <c r="AF263" s="77" t="s">
        <v>816</v>
      </c>
      <c r="AG263" s="77" t="s">
        <v>150</v>
      </c>
      <c r="AH263" s="21"/>
      <c r="AI263" s="21"/>
      <c r="AJ263" s="21"/>
      <c r="AK263" s="21"/>
      <c r="AL263" s="21"/>
      <c r="AM263" s="27"/>
      <c r="AN263" s="86"/>
      <c r="AO263" s="87"/>
      <c r="AP263" s="4"/>
      <c r="AQ263" s="4"/>
      <c r="AR263" s="4"/>
      <c r="AS263" s="4"/>
      <c r="AT263" s="4"/>
    </row>
    <row r="264" spans="1:48" s="88" customFormat="1" ht="111.95" hidden="1" customHeight="1" x14ac:dyDescent="0.25">
      <c r="A264" s="76">
        <v>197</v>
      </c>
      <c r="B264" s="76" t="s">
        <v>74</v>
      </c>
      <c r="C264" s="76" t="s">
        <v>1176</v>
      </c>
      <c r="D264" s="76">
        <v>9</v>
      </c>
      <c r="E264" s="76" t="s">
        <v>82</v>
      </c>
      <c r="F264" s="78" t="s">
        <v>819</v>
      </c>
      <c r="G264" s="79" t="s">
        <v>813</v>
      </c>
      <c r="H264" s="79" t="s">
        <v>839</v>
      </c>
      <c r="I264" s="80" t="s">
        <v>1339</v>
      </c>
      <c r="J264" s="79" t="s">
        <v>821</v>
      </c>
      <c r="K264" s="79"/>
      <c r="L264" s="81"/>
      <c r="M264" s="81"/>
      <c r="N264" s="82">
        <v>43922</v>
      </c>
      <c r="O264" s="82">
        <v>45382</v>
      </c>
      <c r="P264" s="83">
        <f t="shared" si="45"/>
        <v>4</v>
      </c>
      <c r="Q264" s="77" t="s">
        <v>22</v>
      </c>
      <c r="R264" s="77">
        <f t="shared" ca="1" si="46"/>
        <v>4.0141143630525837</v>
      </c>
      <c r="S264" s="77" t="str">
        <f t="shared" ca="1" si="47"/>
        <v>O</v>
      </c>
      <c r="T264" s="84">
        <v>3</v>
      </c>
      <c r="U264" s="84">
        <v>3</v>
      </c>
      <c r="V264" s="84">
        <v>3</v>
      </c>
      <c r="W264" s="84">
        <f t="shared" si="44"/>
        <v>9</v>
      </c>
      <c r="X264" s="84" t="str">
        <f t="shared" si="48"/>
        <v>Penting</v>
      </c>
      <c r="Y264" s="78" t="s">
        <v>822</v>
      </c>
      <c r="Z264" s="115" t="s">
        <v>81</v>
      </c>
      <c r="AA264" s="82">
        <f>N264+635</f>
        <v>44557</v>
      </c>
      <c r="AB264" s="82">
        <f>+N264+1000</f>
        <v>44922</v>
      </c>
      <c r="AC264" s="82">
        <f>N264+1365</f>
        <v>45287</v>
      </c>
      <c r="AD264" s="27"/>
      <c r="AE264" s="85"/>
      <c r="AF264" s="77" t="s">
        <v>816</v>
      </c>
      <c r="AG264" s="77" t="s">
        <v>150</v>
      </c>
      <c r="AH264" s="21"/>
      <c r="AI264" s="21"/>
      <c r="AJ264" s="21"/>
      <c r="AK264" s="21"/>
      <c r="AL264" s="21"/>
      <c r="AM264" s="27"/>
      <c r="AN264" s="86">
        <v>44158</v>
      </c>
      <c r="AO264" s="87"/>
      <c r="AP264" s="4"/>
      <c r="AQ264" s="4"/>
      <c r="AR264" s="4"/>
      <c r="AS264" s="4"/>
      <c r="AT264" s="4"/>
    </row>
    <row r="265" spans="1:48" s="88" customFormat="1" ht="111.95" hidden="1" customHeight="1" x14ac:dyDescent="0.25">
      <c r="A265" s="76">
        <v>198</v>
      </c>
      <c r="B265" s="76" t="s">
        <v>74</v>
      </c>
      <c r="C265" s="76" t="s">
        <v>1176</v>
      </c>
      <c r="D265" s="76">
        <v>10</v>
      </c>
      <c r="E265" s="76" t="s">
        <v>82</v>
      </c>
      <c r="F265" s="78"/>
      <c r="G265" s="79" t="s">
        <v>813</v>
      </c>
      <c r="H265" s="79" t="s">
        <v>860</v>
      </c>
      <c r="I265" s="80" t="s">
        <v>1339</v>
      </c>
      <c r="J265" s="79" t="s">
        <v>821</v>
      </c>
      <c r="K265" s="79"/>
      <c r="L265" s="81"/>
      <c r="M265" s="81"/>
      <c r="N265" s="82">
        <v>43966</v>
      </c>
      <c r="O265" s="82">
        <v>45426</v>
      </c>
      <c r="P265" s="83">
        <f t="shared" si="45"/>
        <v>4</v>
      </c>
      <c r="Q265" s="77" t="s">
        <v>22</v>
      </c>
      <c r="R265" s="77">
        <f t="shared" ca="1" si="46"/>
        <v>5.4334692017622608</v>
      </c>
      <c r="S265" s="77" t="str">
        <f t="shared" ca="1" si="47"/>
        <v>O</v>
      </c>
      <c r="T265" s="84">
        <v>3</v>
      </c>
      <c r="U265" s="84">
        <v>3</v>
      </c>
      <c r="V265" s="84">
        <v>3</v>
      </c>
      <c r="W265" s="84">
        <f t="shared" si="44"/>
        <v>9</v>
      </c>
      <c r="X265" s="84" t="str">
        <f t="shared" si="48"/>
        <v>Penting</v>
      </c>
      <c r="Y265" s="78" t="s">
        <v>822</v>
      </c>
      <c r="Z265" s="115" t="s">
        <v>81</v>
      </c>
      <c r="AA265" s="82">
        <f>N265+635</f>
        <v>44601</v>
      </c>
      <c r="AB265" s="82">
        <f>+N265+1000</f>
        <v>44966</v>
      </c>
      <c r="AC265" s="82">
        <f>N265+1365</f>
        <v>45331</v>
      </c>
      <c r="AD265" s="27" t="s">
        <v>86</v>
      </c>
      <c r="AE265" s="85">
        <v>43966</v>
      </c>
      <c r="AF265" s="77" t="s">
        <v>816</v>
      </c>
      <c r="AG265" s="77" t="s">
        <v>150</v>
      </c>
      <c r="AH265" s="21"/>
      <c r="AI265" s="21"/>
      <c r="AJ265" s="21"/>
      <c r="AK265" s="21"/>
      <c r="AL265" s="21"/>
      <c r="AM265" s="27"/>
      <c r="AN265" s="86">
        <v>43990</v>
      </c>
      <c r="AO265" s="87"/>
      <c r="AP265" s="4"/>
      <c r="AQ265" s="4"/>
      <c r="AR265" s="4"/>
      <c r="AS265" s="4"/>
      <c r="AT265" s="4"/>
    </row>
    <row r="266" spans="1:48" s="88" customFormat="1" ht="111.75" hidden="1" customHeight="1" x14ac:dyDescent="0.25">
      <c r="A266" s="76">
        <v>199</v>
      </c>
      <c r="B266" s="76" t="s">
        <v>74</v>
      </c>
      <c r="C266" s="76" t="s">
        <v>1176</v>
      </c>
      <c r="D266" s="76">
        <v>11</v>
      </c>
      <c r="E266" s="76" t="s">
        <v>82</v>
      </c>
      <c r="F266" s="78" t="s">
        <v>841</v>
      </c>
      <c r="G266" s="79" t="s">
        <v>813</v>
      </c>
      <c r="H266" s="79" t="s">
        <v>781</v>
      </c>
      <c r="I266" s="80" t="s">
        <v>1339</v>
      </c>
      <c r="J266" s="79" t="s">
        <v>821</v>
      </c>
      <c r="K266" s="79"/>
      <c r="L266" s="81"/>
      <c r="M266" s="81"/>
      <c r="N266" s="82">
        <v>41000</v>
      </c>
      <c r="O266" s="82" t="s">
        <v>75</v>
      </c>
      <c r="P266" s="83" t="s">
        <v>75</v>
      </c>
      <c r="Q266" s="77" t="s">
        <v>22</v>
      </c>
      <c r="R266" s="77" t="s">
        <v>75</v>
      </c>
      <c r="S266" s="77" t="str">
        <f t="shared" si="47"/>
        <v>O</v>
      </c>
      <c r="T266" s="84">
        <v>3</v>
      </c>
      <c r="U266" s="84">
        <v>3</v>
      </c>
      <c r="V266" s="84">
        <v>3</v>
      </c>
      <c r="W266" s="84">
        <f t="shared" si="44"/>
        <v>9</v>
      </c>
      <c r="X266" s="84" t="str">
        <f t="shared" si="48"/>
        <v>Penting</v>
      </c>
      <c r="Y266" s="78" t="s">
        <v>842</v>
      </c>
      <c r="Z266" s="115" t="s">
        <v>81</v>
      </c>
      <c r="AA266" s="82">
        <f>N266+3555</f>
        <v>44555</v>
      </c>
      <c r="AB266" s="82">
        <f>N266+3920</f>
        <v>44920</v>
      </c>
      <c r="AC266" s="82">
        <f>+N266+4285</f>
        <v>45285</v>
      </c>
      <c r="AD266" s="27"/>
      <c r="AE266" s="85"/>
      <c r="AF266" s="77" t="s">
        <v>816</v>
      </c>
      <c r="AG266" s="77" t="s">
        <v>150</v>
      </c>
      <c r="AH266" s="21"/>
      <c r="AI266" s="21"/>
      <c r="AJ266" s="21"/>
      <c r="AK266" s="21"/>
      <c r="AL266" s="21"/>
      <c r="AM266" s="27"/>
      <c r="AN266" s="86"/>
      <c r="AO266" s="87"/>
      <c r="AP266" s="4"/>
      <c r="AQ266" s="4"/>
      <c r="AR266" s="4"/>
      <c r="AS266" s="4"/>
      <c r="AT266" s="4"/>
    </row>
    <row r="267" spans="1:48" s="88" customFormat="1" ht="111.95" hidden="1" customHeight="1" x14ac:dyDescent="0.25">
      <c r="A267" s="76">
        <v>200</v>
      </c>
      <c r="B267" s="76" t="s">
        <v>74</v>
      </c>
      <c r="C267" s="76" t="s">
        <v>1176</v>
      </c>
      <c r="D267" s="76">
        <v>12</v>
      </c>
      <c r="E267" s="76" t="s">
        <v>82</v>
      </c>
      <c r="F267" s="78" t="s">
        <v>75</v>
      </c>
      <c r="G267" s="79" t="s">
        <v>813</v>
      </c>
      <c r="H267" s="79" t="s">
        <v>843</v>
      </c>
      <c r="I267" s="80" t="s">
        <v>1339</v>
      </c>
      <c r="J267" s="79" t="s">
        <v>821</v>
      </c>
      <c r="K267" s="79"/>
      <c r="L267" s="81"/>
      <c r="M267" s="81"/>
      <c r="N267" s="82">
        <v>42983</v>
      </c>
      <c r="O267" s="82">
        <v>45173</v>
      </c>
      <c r="P267" s="83">
        <f t="shared" ref="P267:P295" si="49">(O267-N267)/365</f>
        <v>6</v>
      </c>
      <c r="Q267" s="77" t="s">
        <v>22</v>
      </c>
      <c r="R267" s="77">
        <f t="shared" ref="R267:R295" ca="1" si="50">(O267-NOW()+1)/31</f>
        <v>-2.7278211208183842</v>
      </c>
      <c r="S267" s="77" t="str">
        <f t="shared" ca="1" si="47"/>
        <v>Y</v>
      </c>
      <c r="T267" s="84">
        <v>3</v>
      </c>
      <c r="U267" s="84">
        <v>3</v>
      </c>
      <c r="V267" s="84">
        <v>3</v>
      </c>
      <c r="W267" s="84">
        <f t="shared" si="44"/>
        <v>9</v>
      </c>
      <c r="X267" s="84" t="str">
        <f t="shared" si="48"/>
        <v>Penting</v>
      </c>
      <c r="Y267" s="78" t="s">
        <v>822</v>
      </c>
      <c r="Z267" s="115" t="s">
        <v>81</v>
      </c>
      <c r="AA267" s="82">
        <f>N267+1730</f>
        <v>44713</v>
      </c>
      <c r="AB267" s="82">
        <f>N267+2095</f>
        <v>45078</v>
      </c>
      <c r="AC267" s="82">
        <f>N267+2460</f>
        <v>45443</v>
      </c>
      <c r="AD267" s="27"/>
      <c r="AE267" s="85"/>
      <c r="AF267" s="77" t="s">
        <v>816</v>
      </c>
      <c r="AG267" s="77" t="s">
        <v>150</v>
      </c>
      <c r="AH267" s="21"/>
      <c r="AI267" s="21"/>
      <c r="AJ267" s="21"/>
      <c r="AK267" s="21"/>
      <c r="AL267" s="21"/>
      <c r="AM267" s="27"/>
      <c r="AN267" s="86"/>
      <c r="AO267" s="87"/>
      <c r="AP267" s="4"/>
      <c r="AQ267" s="4"/>
      <c r="AR267" s="4"/>
      <c r="AS267" s="4"/>
      <c r="AT267" s="4"/>
    </row>
    <row r="268" spans="1:48" s="88" customFormat="1" ht="111.95" hidden="1" customHeight="1" x14ac:dyDescent="0.25">
      <c r="A268" s="76">
        <v>201</v>
      </c>
      <c r="B268" s="76" t="s">
        <v>74</v>
      </c>
      <c r="C268" s="76" t="s">
        <v>1176</v>
      </c>
      <c r="D268" s="76">
        <v>13</v>
      </c>
      <c r="E268" s="76" t="s">
        <v>82</v>
      </c>
      <c r="F268" s="78" t="s">
        <v>75</v>
      </c>
      <c r="G268" s="79" t="s">
        <v>813</v>
      </c>
      <c r="H268" s="79" t="s">
        <v>845</v>
      </c>
      <c r="I268" s="80" t="s">
        <v>1339</v>
      </c>
      <c r="J268" s="79" t="s">
        <v>846</v>
      </c>
      <c r="K268" s="79"/>
      <c r="L268" s="81"/>
      <c r="M268" s="81"/>
      <c r="N268" s="82">
        <v>42374</v>
      </c>
      <c r="O268" s="82">
        <v>45295</v>
      </c>
      <c r="P268" s="83">
        <f t="shared" si="49"/>
        <v>8.0027397260273965</v>
      </c>
      <c r="Q268" s="77" t="s">
        <v>22</v>
      </c>
      <c r="R268" s="77">
        <f t="shared" ca="1" si="50"/>
        <v>1.207662750149358</v>
      </c>
      <c r="S268" s="77" t="str">
        <f t="shared" ca="1" si="47"/>
        <v>O</v>
      </c>
      <c r="T268" s="84">
        <v>3</v>
      </c>
      <c r="U268" s="84">
        <v>3</v>
      </c>
      <c r="V268" s="84">
        <v>3</v>
      </c>
      <c r="W268" s="84">
        <f t="shared" si="44"/>
        <v>9</v>
      </c>
      <c r="X268" s="84" t="str">
        <f t="shared" si="48"/>
        <v>Penting</v>
      </c>
      <c r="Y268" s="78" t="s">
        <v>822</v>
      </c>
      <c r="Z268" s="115" t="s">
        <v>81</v>
      </c>
      <c r="AA268" s="82">
        <f>N268+2095</f>
        <v>44469</v>
      </c>
      <c r="AB268" s="82">
        <f>N268+2460</f>
        <v>44834</v>
      </c>
      <c r="AC268" s="82">
        <f>N268+2825</f>
        <v>45199</v>
      </c>
      <c r="AD268" s="27"/>
      <c r="AE268" s="85"/>
      <c r="AF268" s="77" t="s">
        <v>816</v>
      </c>
      <c r="AG268" s="77" t="s">
        <v>150</v>
      </c>
      <c r="AH268" s="21"/>
      <c r="AI268" s="21"/>
      <c r="AJ268" s="21"/>
      <c r="AK268" s="21"/>
      <c r="AL268" s="21"/>
      <c r="AM268" s="27"/>
      <c r="AN268" s="86"/>
      <c r="AO268" s="87"/>
      <c r="AP268" s="91"/>
      <c r="AQ268" s="4"/>
      <c r="AR268" s="4"/>
      <c r="AS268" s="4"/>
      <c r="AT268" s="4"/>
    </row>
    <row r="269" spans="1:48" s="88" customFormat="1" ht="111.95" hidden="1" customHeight="1" x14ac:dyDescent="0.25">
      <c r="A269" s="76">
        <v>202</v>
      </c>
      <c r="B269" s="76" t="s">
        <v>74</v>
      </c>
      <c r="C269" s="76" t="s">
        <v>1176</v>
      </c>
      <c r="D269" s="76">
        <v>14</v>
      </c>
      <c r="E269" s="76" t="s">
        <v>82</v>
      </c>
      <c r="F269" s="78" t="s">
        <v>75</v>
      </c>
      <c r="G269" s="79" t="s">
        <v>813</v>
      </c>
      <c r="H269" s="79" t="s">
        <v>847</v>
      </c>
      <c r="I269" s="80" t="s">
        <v>1339</v>
      </c>
      <c r="J269" s="79" t="s">
        <v>821</v>
      </c>
      <c r="K269" s="79"/>
      <c r="L269" s="81"/>
      <c r="M269" s="81"/>
      <c r="N269" s="82">
        <v>42352</v>
      </c>
      <c r="O269" s="82">
        <v>45273</v>
      </c>
      <c r="P269" s="83">
        <f t="shared" si="49"/>
        <v>8.0027397260273965</v>
      </c>
      <c r="Q269" s="77" t="s">
        <v>22</v>
      </c>
      <c r="R269" s="77">
        <f t="shared" ca="1" si="50"/>
        <v>0.49798533079451918</v>
      </c>
      <c r="S269" s="77" t="str">
        <f t="shared" ca="1" si="47"/>
        <v>O</v>
      </c>
      <c r="T269" s="84">
        <v>3</v>
      </c>
      <c r="U269" s="84">
        <v>3</v>
      </c>
      <c r="V269" s="84">
        <v>3</v>
      </c>
      <c r="W269" s="84">
        <f t="shared" si="44"/>
        <v>9</v>
      </c>
      <c r="X269" s="84" t="str">
        <f t="shared" si="48"/>
        <v>Penting</v>
      </c>
      <c r="Y269" s="78" t="s">
        <v>822</v>
      </c>
      <c r="Z269" s="115" t="s">
        <v>81</v>
      </c>
      <c r="AA269" s="82">
        <f>N269+2095</f>
        <v>44447</v>
      </c>
      <c r="AB269" s="82">
        <f>+N269+2460</f>
        <v>44812</v>
      </c>
      <c r="AC269" s="82">
        <f>N269+2825</f>
        <v>45177</v>
      </c>
      <c r="AD269" s="27"/>
      <c r="AE269" s="85"/>
      <c r="AF269" s="77" t="s">
        <v>816</v>
      </c>
      <c r="AG269" s="77" t="s">
        <v>150</v>
      </c>
      <c r="AH269" s="21"/>
      <c r="AI269" s="21"/>
      <c r="AJ269" s="21"/>
      <c r="AK269" s="21"/>
      <c r="AL269" s="21"/>
      <c r="AM269" s="27"/>
      <c r="AN269" s="86"/>
      <c r="AO269" s="87"/>
      <c r="AP269" s="4"/>
      <c r="AQ269" s="4"/>
      <c r="AR269" s="4"/>
      <c r="AS269" s="4"/>
      <c r="AT269" s="4"/>
    </row>
    <row r="270" spans="1:48" s="88" customFormat="1" ht="111.95" hidden="1" customHeight="1" x14ac:dyDescent="0.25">
      <c r="A270" s="76">
        <v>203</v>
      </c>
      <c r="B270" s="76" t="s">
        <v>74</v>
      </c>
      <c r="C270" s="76" t="s">
        <v>1176</v>
      </c>
      <c r="D270" s="76">
        <v>15</v>
      </c>
      <c r="E270" s="76" t="s">
        <v>82</v>
      </c>
      <c r="F270" s="78" t="s">
        <v>75</v>
      </c>
      <c r="G270" s="79" t="s">
        <v>813</v>
      </c>
      <c r="H270" s="79" t="s">
        <v>859</v>
      </c>
      <c r="I270" s="80" t="s">
        <v>1339</v>
      </c>
      <c r="J270" s="79" t="s">
        <v>821</v>
      </c>
      <c r="K270" s="79"/>
      <c r="L270" s="81"/>
      <c r="M270" s="81"/>
      <c r="N270" s="82">
        <v>43453</v>
      </c>
      <c r="O270" s="82">
        <v>45278</v>
      </c>
      <c r="P270" s="83">
        <f t="shared" si="49"/>
        <v>5</v>
      </c>
      <c r="Q270" s="77" t="s">
        <v>22</v>
      </c>
      <c r="R270" s="77">
        <f t="shared" ca="1" si="50"/>
        <v>0.65927565337516436</v>
      </c>
      <c r="S270" s="77" t="str">
        <f t="shared" ca="1" si="47"/>
        <v>O</v>
      </c>
      <c r="T270" s="84">
        <v>3</v>
      </c>
      <c r="U270" s="84">
        <v>3</v>
      </c>
      <c r="V270" s="84">
        <v>3</v>
      </c>
      <c r="W270" s="84">
        <f t="shared" si="44"/>
        <v>9</v>
      </c>
      <c r="X270" s="84" t="str">
        <f t="shared" si="48"/>
        <v>Penting</v>
      </c>
      <c r="Y270" s="78" t="s">
        <v>822</v>
      </c>
      <c r="Z270" s="115" t="s">
        <v>81</v>
      </c>
      <c r="AA270" s="82">
        <f>+N270+1000</f>
        <v>44453</v>
      </c>
      <c r="AB270" s="82">
        <f>N270+1365</f>
        <v>44818</v>
      </c>
      <c r="AC270" s="82">
        <f>+N270+1730</f>
        <v>45183</v>
      </c>
      <c r="AD270" s="27"/>
      <c r="AE270" s="85"/>
      <c r="AF270" s="77" t="s">
        <v>816</v>
      </c>
      <c r="AG270" s="77" t="s">
        <v>150</v>
      </c>
      <c r="AH270" s="21"/>
      <c r="AI270" s="21"/>
      <c r="AJ270" s="21"/>
      <c r="AK270" s="21"/>
      <c r="AL270" s="21"/>
      <c r="AM270" s="27"/>
      <c r="AN270" s="86"/>
      <c r="AO270" s="87"/>
      <c r="AP270" s="4"/>
      <c r="AQ270" s="4"/>
      <c r="AR270" s="4"/>
      <c r="AS270" s="4"/>
      <c r="AT270" s="4"/>
    </row>
    <row r="271" spans="1:48" s="88" customFormat="1" ht="111.95" hidden="1" customHeight="1" x14ac:dyDescent="0.25">
      <c r="A271" s="76">
        <v>204</v>
      </c>
      <c r="B271" s="76" t="s">
        <v>74</v>
      </c>
      <c r="C271" s="76" t="s">
        <v>1176</v>
      </c>
      <c r="D271" s="76">
        <v>16</v>
      </c>
      <c r="E271" s="76" t="s">
        <v>82</v>
      </c>
      <c r="F271" s="78" t="s">
        <v>853</v>
      </c>
      <c r="G271" s="79" t="s">
        <v>854</v>
      </c>
      <c r="H271" s="79" t="s">
        <v>855</v>
      </c>
      <c r="I271" s="80" t="s">
        <v>1339</v>
      </c>
      <c r="J271" s="79" t="s">
        <v>856</v>
      </c>
      <c r="K271" s="79"/>
      <c r="L271" s="81" t="s">
        <v>857</v>
      </c>
      <c r="M271" s="81" t="s">
        <v>858</v>
      </c>
      <c r="N271" s="82">
        <v>43466</v>
      </c>
      <c r="O271" s="82">
        <v>45291</v>
      </c>
      <c r="P271" s="83">
        <f t="shared" si="49"/>
        <v>5</v>
      </c>
      <c r="Q271" s="77" t="s">
        <v>25</v>
      </c>
      <c r="R271" s="77">
        <f t="shared" ca="1" si="50"/>
        <v>1.0786304920848417</v>
      </c>
      <c r="S271" s="77" t="str">
        <f t="shared" ca="1" si="47"/>
        <v>O</v>
      </c>
      <c r="T271" s="84">
        <v>3</v>
      </c>
      <c r="U271" s="84">
        <v>3</v>
      </c>
      <c r="V271" s="84">
        <v>3</v>
      </c>
      <c r="W271" s="84">
        <f t="shared" si="44"/>
        <v>9</v>
      </c>
      <c r="X271" s="84" t="str">
        <f t="shared" si="48"/>
        <v>Penting</v>
      </c>
      <c r="Y271" s="139" t="s">
        <v>1255</v>
      </c>
      <c r="Z271" s="115" t="s">
        <v>81</v>
      </c>
      <c r="AA271" s="82">
        <f>N271+1000</f>
        <v>44466</v>
      </c>
      <c r="AB271" s="82">
        <f>+N271+1365</f>
        <v>44831</v>
      </c>
      <c r="AC271" s="82"/>
      <c r="AD271" s="27"/>
      <c r="AE271" s="85"/>
      <c r="AF271" s="77" t="s">
        <v>852</v>
      </c>
      <c r="AG271" s="77" t="s">
        <v>150</v>
      </c>
      <c r="AH271" s="21"/>
      <c r="AI271" s="21"/>
      <c r="AJ271" s="21"/>
      <c r="AK271" s="21"/>
      <c r="AL271" s="21"/>
      <c r="AM271" s="27"/>
      <c r="AN271" s="86"/>
      <c r="AO271" s="87"/>
      <c r="AP271" s="92"/>
      <c r="AQ271" s="4"/>
      <c r="AR271" s="4"/>
      <c r="AV271" s="93"/>
    </row>
    <row r="272" spans="1:48" s="88" customFormat="1" ht="111.95" hidden="1" customHeight="1" x14ac:dyDescent="0.25">
      <c r="A272" s="76">
        <v>205</v>
      </c>
      <c r="B272" s="76" t="s">
        <v>74</v>
      </c>
      <c r="C272" s="76" t="s">
        <v>1178</v>
      </c>
      <c r="D272" s="76">
        <v>1</v>
      </c>
      <c r="E272" s="76" t="s">
        <v>82</v>
      </c>
      <c r="F272" s="78" t="s">
        <v>1179</v>
      </c>
      <c r="G272" s="79" t="s">
        <v>1180</v>
      </c>
      <c r="H272" s="79" t="s">
        <v>1181</v>
      </c>
      <c r="I272" s="80" t="s">
        <v>1339</v>
      </c>
      <c r="J272" s="79" t="s">
        <v>1182</v>
      </c>
      <c r="K272" s="79"/>
      <c r="L272" s="81" t="s">
        <v>186</v>
      </c>
      <c r="M272" s="81"/>
      <c r="N272" s="82">
        <v>44805</v>
      </c>
      <c r="O272" s="82">
        <v>45169</v>
      </c>
      <c r="P272" s="83">
        <f t="shared" si="49"/>
        <v>0.99726027397260275</v>
      </c>
      <c r="Q272" s="77" t="s">
        <v>21</v>
      </c>
      <c r="R272" s="77">
        <f t="shared" ca="1" si="50"/>
        <v>-2.8568533788829003</v>
      </c>
      <c r="S272" s="77" t="str">
        <f t="shared" ca="1" si="47"/>
        <v>Y</v>
      </c>
      <c r="T272" s="84">
        <v>3</v>
      </c>
      <c r="U272" s="84">
        <v>3</v>
      </c>
      <c r="V272" s="84">
        <v>3</v>
      </c>
      <c r="W272" s="84">
        <f t="shared" si="44"/>
        <v>9</v>
      </c>
      <c r="X272" s="84" t="str">
        <f t="shared" si="48"/>
        <v>Penting</v>
      </c>
      <c r="Y272" s="78"/>
      <c r="Z272" s="115"/>
      <c r="AA272" s="82"/>
      <c r="AB272" s="82"/>
      <c r="AC272" s="82"/>
      <c r="AD272" s="27"/>
      <c r="AE272" s="85"/>
      <c r="AF272" s="77" t="s">
        <v>893</v>
      </c>
      <c r="AG272" s="77" t="s">
        <v>81</v>
      </c>
      <c r="AH272" s="21" t="s">
        <v>81</v>
      </c>
      <c r="AI272" s="21" t="s">
        <v>81</v>
      </c>
      <c r="AJ272" s="21" t="s">
        <v>81</v>
      </c>
      <c r="AK272" s="21" t="s">
        <v>81</v>
      </c>
      <c r="AL272" s="21" t="s">
        <v>81</v>
      </c>
      <c r="AM272" s="27" t="s">
        <v>100</v>
      </c>
      <c r="AN272" s="86">
        <v>44861</v>
      </c>
      <c r="AO272" s="87"/>
      <c r="AP272" s="4"/>
      <c r="AQ272" s="4"/>
      <c r="AR272" s="4"/>
      <c r="AV272" s="93"/>
    </row>
    <row r="273" spans="1:48" s="88" customFormat="1" ht="111.95" hidden="1" customHeight="1" x14ac:dyDescent="0.25">
      <c r="A273" s="76">
        <v>206</v>
      </c>
      <c r="B273" s="76" t="s">
        <v>74</v>
      </c>
      <c r="C273" s="76" t="s">
        <v>1178</v>
      </c>
      <c r="D273" s="76">
        <v>3</v>
      </c>
      <c r="E273" s="76" t="s">
        <v>82</v>
      </c>
      <c r="F273" s="78" t="s">
        <v>1445</v>
      </c>
      <c r="G273" s="79" t="s">
        <v>204</v>
      </c>
      <c r="H273" s="79" t="s">
        <v>1306</v>
      </c>
      <c r="I273" s="80" t="s">
        <v>1339</v>
      </c>
      <c r="J273" s="79" t="s">
        <v>1307</v>
      </c>
      <c r="K273" s="79"/>
      <c r="L273" s="81">
        <v>47000000</v>
      </c>
      <c r="M273" s="81" t="s">
        <v>469</v>
      </c>
      <c r="N273" s="82">
        <v>45108</v>
      </c>
      <c r="O273" s="82">
        <v>45473</v>
      </c>
      <c r="P273" s="83">
        <f t="shared" si="49"/>
        <v>1</v>
      </c>
      <c r="Q273" s="77" t="s">
        <v>19</v>
      </c>
      <c r="R273" s="77">
        <f t="shared" ca="1" si="50"/>
        <v>6.9495982340203257</v>
      </c>
      <c r="S273" s="77" t="str">
        <f t="shared" ca="1" si="47"/>
        <v>O</v>
      </c>
      <c r="T273" s="84">
        <v>1</v>
      </c>
      <c r="U273" s="84">
        <v>2</v>
      </c>
      <c r="V273" s="84">
        <v>3</v>
      </c>
      <c r="W273" s="84">
        <f t="shared" si="44"/>
        <v>6</v>
      </c>
      <c r="X273" s="84" t="str">
        <f t="shared" si="48"/>
        <v>Penting</v>
      </c>
      <c r="Y273" s="78"/>
      <c r="Z273" s="115"/>
      <c r="AA273" s="82"/>
      <c r="AB273" s="82"/>
      <c r="AC273" s="82"/>
      <c r="AD273" s="27"/>
      <c r="AE273" s="85"/>
      <c r="AF273" s="77" t="s">
        <v>192</v>
      </c>
      <c r="AG273" s="77" t="s">
        <v>81</v>
      </c>
      <c r="AH273" s="21" t="s">
        <v>81</v>
      </c>
      <c r="AI273" s="21" t="s">
        <v>81</v>
      </c>
      <c r="AJ273" s="21" t="s">
        <v>81</v>
      </c>
      <c r="AK273" s="21" t="s">
        <v>81</v>
      </c>
      <c r="AL273" s="21" t="s">
        <v>81</v>
      </c>
      <c r="AM273" s="27" t="s">
        <v>100</v>
      </c>
      <c r="AN273" s="86">
        <v>45103</v>
      </c>
      <c r="AO273" s="87"/>
      <c r="AP273" s="4"/>
      <c r="AQ273" s="4"/>
      <c r="AR273" s="4"/>
      <c r="AV273" s="93"/>
    </row>
    <row r="274" spans="1:48" s="88" customFormat="1" ht="111.95" hidden="1" customHeight="1" x14ac:dyDescent="0.25">
      <c r="A274" s="76">
        <v>207</v>
      </c>
      <c r="B274" s="76" t="s">
        <v>74</v>
      </c>
      <c r="C274" s="76" t="s">
        <v>1178</v>
      </c>
      <c r="D274" s="76">
        <v>4</v>
      </c>
      <c r="E274" s="76" t="s">
        <v>82</v>
      </c>
      <c r="F274" s="78" t="s">
        <v>1356</v>
      </c>
      <c r="G274" s="79" t="s">
        <v>1357</v>
      </c>
      <c r="H274" s="79" t="s">
        <v>448</v>
      </c>
      <c r="I274" s="80" t="s">
        <v>1339</v>
      </c>
      <c r="J274" s="79" t="s">
        <v>1358</v>
      </c>
      <c r="K274" s="79" t="s">
        <v>450</v>
      </c>
      <c r="L274" s="81">
        <v>13000000</v>
      </c>
      <c r="M274" s="81" t="s">
        <v>1359</v>
      </c>
      <c r="N274" s="82">
        <v>45108</v>
      </c>
      <c r="O274" s="82">
        <v>46203</v>
      </c>
      <c r="P274" s="83">
        <f t="shared" si="49"/>
        <v>3</v>
      </c>
      <c r="Q274" s="77" t="s">
        <v>26</v>
      </c>
      <c r="R274" s="77">
        <f t="shared" ca="1" si="50"/>
        <v>30.497985330794521</v>
      </c>
      <c r="S274" s="77" t="str">
        <f t="shared" ca="1" si="47"/>
        <v>O</v>
      </c>
      <c r="T274" s="84">
        <v>1</v>
      </c>
      <c r="U274" s="84">
        <v>2</v>
      </c>
      <c r="V274" s="84">
        <v>3</v>
      </c>
      <c r="W274" s="84">
        <f t="shared" si="44"/>
        <v>6</v>
      </c>
      <c r="X274" s="84" t="str">
        <f t="shared" si="48"/>
        <v>Penting</v>
      </c>
      <c r="Y274" s="78"/>
      <c r="Z274" s="115" t="s">
        <v>81</v>
      </c>
      <c r="AA274" s="82">
        <f>N274+270</f>
        <v>45378</v>
      </c>
      <c r="AB274" s="82">
        <f>+N274+635</f>
        <v>45743</v>
      </c>
      <c r="AC274" s="82"/>
      <c r="AD274" s="27" t="s">
        <v>86</v>
      </c>
      <c r="AE274" s="85">
        <v>45108</v>
      </c>
      <c r="AF274" s="77" t="s">
        <v>236</v>
      </c>
      <c r="AG274" s="77" t="s">
        <v>81</v>
      </c>
      <c r="AH274" s="21" t="s">
        <v>81</v>
      </c>
      <c r="AI274" s="21" t="s">
        <v>81</v>
      </c>
      <c r="AJ274" s="21" t="s">
        <v>81</v>
      </c>
      <c r="AK274" s="21" t="s">
        <v>81</v>
      </c>
      <c r="AL274" s="21" t="s">
        <v>81</v>
      </c>
      <c r="AM274" s="27" t="s">
        <v>100</v>
      </c>
      <c r="AN274" s="86">
        <v>45097</v>
      </c>
      <c r="AO274" s="87"/>
      <c r="AP274" s="4"/>
      <c r="AQ274" s="4"/>
      <c r="AR274" s="4"/>
      <c r="AV274" s="93"/>
    </row>
    <row r="275" spans="1:48" s="88" customFormat="1" ht="111.95" hidden="1" customHeight="1" x14ac:dyDescent="0.25">
      <c r="A275" s="76">
        <v>208</v>
      </c>
      <c r="B275" s="76" t="s">
        <v>74</v>
      </c>
      <c r="C275" s="76" t="s">
        <v>1178</v>
      </c>
      <c r="D275" s="76">
        <v>5</v>
      </c>
      <c r="E275" s="76" t="s">
        <v>82</v>
      </c>
      <c r="F275" s="78" t="s">
        <v>1410</v>
      </c>
      <c r="G275" s="79" t="s">
        <v>1411</v>
      </c>
      <c r="H275" s="79" t="s">
        <v>227</v>
      </c>
      <c r="I275" s="80" t="s">
        <v>1339</v>
      </c>
      <c r="J275" s="79" t="s">
        <v>1412</v>
      </c>
      <c r="K275" s="79" t="s">
        <v>235</v>
      </c>
      <c r="L275" s="81">
        <v>1650000</v>
      </c>
      <c r="M275" s="81" t="s">
        <v>892</v>
      </c>
      <c r="N275" s="82">
        <v>45078</v>
      </c>
      <c r="O275" s="82">
        <v>45443</v>
      </c>
      <c r="P275" s="83">
        <f t="shared" si="49"/>
        <v>1</v>
      </c>
      <c r="Q275" s="77" t="s">
        <v>26</v>
      </c>
      <c r="R275" s="77">
        <f t="shared" ca="1" si="50"/>
        <v>5.9818563060036993</v>
      </c>
      <c r="S275" s="77" t="str">
        <f t="shared" ca="1" si="47"/>
        <v>O</v>
      </c>
      <c r="T275" s="84">
        <v>1</v>
      </c>
      <c r="U275" s="84">
        <v>2</v>
      </c>
      <c r="V275" s="84">
        <v>3</v>
      </c>
      <c r="W275" s="84">
        <f t="shared" si="44"/>
        <v>6</v>
      </c>
      <c r="X275" s="84" t="str">
        <f t="shared" si="48"/>
        <v>Penting</v>
      </c>
      <c r="Y275" s="78"/>
      <c r="Z275" s="115"/>
      <c r="AA275" s="82"/>
      <c r="AB275" s="82"/>
      <c r="AC275" s="82"/>
      <c r="AD275" s="27" t="s">
        <v>86</v>
      </c>
      <c r="AE275" s="85">
        <v>45078</v>
      </c>
      <c r="AF275" s="77" t="s">
        <v>236</v>
      </c>
      <c r="AG275" s="77" t="s">
        <v>81</v>
      </c>
      <c r="AH275" s="21" t="s">
        <v>81</v>
      </c>
      <c r="AI275" s="21" t="s">
        <v>81</v>
      </c>
      <c r="AJ275" s="21" t="s">
        <v>81</v>
      </c>
      <c r="AK275" s="21" t="s">
        <v>81</v>
      </c>
      <c r="AL275" s="21" t="s">
        <v>81</v>
      </c>
      <c r="AM275" s="27" t="s">
        <v>100</v>
      </c>
      <c r="AN275" s="86">
        <v>45076</v>
      </c>
      <c r="AO275" s="87"/>
      <c r="AP275" s="4"/>
      <c r="AQ275" s="4"/>
      <c r="AR275" s="4"/>
      <c r="AV275" s="93"/>
    </row>
    <row r="276" spans="1:48" s="88" customFormat="1" ht="111.95" hidden="1" customHeight="1" x14ac:dyDescent="0.25">
      <c r="A276" s="76">
        <v>209</v>
      </c>
      <c r="B276" s="76" t="s">
        <v>74</v>
      </c>
      <c r="C276" s="76" t="s">
        <v>1178</v>
      </c>
      <c r="D276" s="76">
        <v>6</v>
      </c>
      <c r="E276" s="76" t="s">
        <v>82</v>
      </c>
      <c r="F276" s="78" t="s">
        <v>1468</v>
      </c>
      <c r="G276" s="79" t="s">
        <v>429</v>
      </c>
      <c r="H276" s="79" t="s">
        <v>1469</v>
      </c>
      <c r="I276" s="80" t="s">
        <v>1339</v>
      </c>
      <c r="J276" s="79" t="s">
        <v>1470</v>
      </c>
      <c r="K276" s="79" t="s">
        <v>1471</v>
      </c>
      <c r="L276" s="81" t="s">
        <v>321</v>
      </c>
      <c r="M276" s="81"/>
      <c r="N276" s="82">
        <v>45108</v>
      </c>
      <c r="O276" s="82">
        <v>45473</v>
      </c>
      <c r="P276" s="83">
        <f t="shared" si="49"/>
        <v>1</v>
      </c>
      <c r="Q276" s="77" t="s">
        <v>24</v>
      </c>
      <c r="R276" s="77">
        <f t="shared" ca="1" si="50"/>
        <v>6.9495982414875703</v>
      </c>
      <c r="S276" s="77" t="str">
        <f t="shared" ca="1" si="47"/>
        <v>O</v>
      </c>
      <c r="T276" s="84">
        <v>2</v>
      </c>
      <c r="U276" s="84">
        <v>1</v>
      </c>
      <c r="V276" s="84">
        <v>2</v>
      </c>
      <c r="W276" s="84">
        <f t="shared" si="44"/>
        <v>5</v>
      </c>
      <c r="X276" s="84" t="str">
        <f t="shared" si="48"/>
        <v>Biasa</v>
      </c>
      <c r="Y276" s="78"/>
      <c r="Z276" s="115"/>
      <c r="AA276" s="82"/>
      <c r="AB276" s="82"/>
      <c r="AC276" s="82"/>
      <c r="AD276" s="27" t="s">
        <v>86</v>
      </c>
      <c r="AE276" s="85">
        <v>45108</v>
      </c>
      <c r="AF276" s="77" t="s">
        <v>423</v>
      </c>
      <c r="AG276" s="77" t="s">
        <v>81</v>
      </c>
      <c r="AH276" s="21" t="s">
        <v>81</v>
      </c>
      <c r="AI276" s="21" t="s">
        <v>81</v>
      </c>
      <c r="AJ276" s="21" t="s">
        <v>81</v>
      </c>
      <c r="AK276" s="21" t="s">
        <v>81</v>
      </c>
      <c r="AL276" s="21" t="s">
        <v>81</v>
      </c>
      <c r="AM276" s="27" t="s">
        <v>100</v>
      </c>
      <c r="AN276" s="86">
        <v>45134</v>
      </c>
      <c r="AO276" s="87"/>
      <c r="AP276" s="4"/>
      <c r="AQ276" s="4"/>
      <c r="AR276" s="4"/>
      <c r="AV276" s="93"/>
    </row>
    <row r="277" spans="1:48" s="88" customFormat="1" ht="111.95" hidden="1" customHeight="1" x14ac:dyDescent="0.25">
      <c r="A277" s="76">
        <v>210</v>
      </c>
      <c r="B277" s="76" t="s">
        <v>74</v>
      </c>
      <c r="C277" s="76" t="s">
        <v>1194</v>
      </c>
      <c r="D277" s="76">
        <v>1</v>
      </c>
      <c r="E277" s="76" t="s">
        <v>217</v>
      </c>
      <c r="F277" s="78" t="s">
        <v>612</v>
      </c>
      <c r="G277" s="79" t="s">
        <v>613</v>
      </c>
      <c r="H277" s="79" t="s">
        <v>605</v>
      </c>
      <c r="I277" s="80" t="s">
        <v>1339</v>
      </c>
      <c r="J277" s="79" t="s">
        <v>614</v>
      </c>
      <c r="K277" s="79" t="s">
        <v>610</v>
      </c>
      <c r="L277" s="81">
        <v>1930000000</v>
      </c>
      <c r="M277" s="81" t="s">
        <v>282</v>
      </c>
      <c r="N277" s="82">
        <v>44802</v>
      </c>
      <c r="O277" s="82">
        <v>48638</v>
      </c>
      <c r="P277" s="83">
        <f t="shared" si="49"/>
        <v>10.509589041095891</v>
      </c>
      <c r="Q277" s="77" t="s">
        <v>19</v>
      </c>
      <c r="R277" s="77">
        <f t="shared" ca="1" si="50"/>
        <v>109.04637242756871</v>
      </c>
      <c r="S277" s="77" t="str">
        <f t="shared" ca="1" si="47"/>
        <v>O</v>
      </c>
      <c r="T277" s="84">
        <v>1</v>
      </c>
      <c r="U277" s="84">
        <v>3</v>
      </c>
      <c r="V277" s="84">
        <v>2</v>
      </c>
      <c r="W277" s="84">
        <f t="shared" si="44"/>
        <v>6</v>
      </c>
      <c r="X277" s="84" t="str">
        <f t="shared" si="48"/>
        <v>Penting</v>
      </c>
      <c r="Y277" s="78" t="s">
        <v>603</v>
      </c>
      <c r="Z277" s="115"/>
      <c r="AA277" s="82"/>
      <c r="AB277" s="82"/>
      <c r="AC277" s="82"/>
      <c r="AD277" s="27" t="s">
        <v>86</v>
      </c>
      <c r="AE277" s="85">
        <v>44805</v>
      </c>
      <c r="AF277" s="77" t="s">
        <v>168</v>
      </c>
      <c r="AG277" s="77" t="s">
        <v>81</v>
      </c>
      <c r="AH277" s="21" t="s">
        <v>81</v>
      </c>
      <c r="AI277" s="21" t="s">
        <v>81</v>
      </c>
      <c r="AJ277" s="21" t="s">
        <v>81</v>
      </c>
      <c r="AK277" s="21" t="s">
        <v>81</v>
      </c>
      <c r="AL277" s="21" t="s">
        <v>81</v>
      </c>
      <c r="AM277" s="27" t="s">
        <v>100</v>
      </c>
      <c r="AN277" s="86">
        <v>44819</v>
      </c>
      <c r="AO277" s="87"/>
      <c r="AP277" s="4"/>
      <c r="AQ277" s="4"/>
      <c r="AR277" s="4"/>
      <c r="AS277" s="4"/>
      <c r="AT277" s="4"/>
    </row>
    <row r="278" spans="1:48" s="88" customFormat="1" ht="111.95" hidden="1" customHeight="1" x14ac:dyDescent="0.25">
      <c r="A278" s="76">
        <v>211</v>
      </c>
      <c r="B278" s="76" t="s">
        <v>74</v>
      </c>
      <c r="C278" s="76" t="s">
        <v>1194</v>
      </c>
      <c r="D278" s="76">
        <v>2</v>
      </c>
      <c r="E278" s="76" t="s">
        <v>217</v>
      </c>
      <c r="F278" s="78" t="s">
        <v>604</v>
      </c>
      <c r="G278" s="79" t="s">
        <v>599</v>
      </c>
      <c r="H278" s="79" t="s">
        <v>605</v>
      </c>
      <c r="I278" s="80" t="s">
        <v>1339</v>
      </c>
      <c r="J278" s="79" t="s">
        <v>606</v>
      </c>
      <c r="K278" s="79" t="s">
        <v>607</v>
      </c>
      <c r="L278" s="81">
        <v>589380000</v>
      </c>
      <c r="M278" s="81" t="s">
        <v>282</v>
      </c>
      <c r="N278" s="82">
        <v>44044</v>
      </c>
      <c r="O278" s="82">
        <v>47727</v>
      </c>
      <c r="P278" s="83">
        <f t="shared" si="49"/>
        <v>10.09041095890411</v>
      </c>
      <c r="Q278" s="77" t="s">
        <v>19</v>
      </c>
      <c r="R278" s="77">
        <f t="shared" ca="1" si="50"/>
        <v>79.659275653375161</v>
      </c>
      <c r="S278" s="77" t="str">
        <f t="shared" ca="1" si="47"/>
        <v>O</v>
      </c>
      <c r="T278" s="84">
        <v>1</v>
      </c>
      <c r="U278" s="84">
        <v>3</v>
      </c>
      <c r="V278" s="84">
        <v>2</v>
      </c>
      <c r="W278" s="84">
        <f t="shared" si="44"/>
        <v>6</v>
      </c>
      <c r="X278" s="84" t="str">
        <f t="shared" si="48"/>
        <v>Penting</v>
      </c>
      <c r="Y278" s="78" t="s">
        <v>603</v>
      </c>
      <c r="Z278" s="115"/>
      <c r="AA278" s="82"/>
      <c r="AB278" s="82"/>
      <c r="AC278" s="82"/>
      <c r="AD278" s="27" t="s">
        <v>86</v>
      </c>
      <c r="AE278" s="85">
        <v>44044</v>
      </c>
      <c r="AF278" s="77" t="s">
        <v>168</v>
      </c>
      <c r="AG278" s="77" t="s">
        <v>81</v>
      </c>
      <c r="AH278" s="21" t="s">
        <v>81</v>
      </c>
      <c r="AI278" s="21" t="s">
        <v>81</v>
      </c>
      <c r="AJ278" s="21" t="s">
        <v>81</v>
      </c>
      <c r="AK278" s="21" t="s">
        <v>81</v>
      </c>
      <c r="AL278" s="21" t="s">
        <v>81</v>
      </c>
      <c r="AM278" s="27" t="s">
        <v>87</v>
      </c>
      <c r="AN278" s="86">
        <v>44067</v>
      </c>
      <c r="AO278" s="87"/>
      <c r="AP278" s="4"/>
      <c r="AQ278" s="4"/>
      <c r="AR278" s="4"/>
      <c r="AS278" s="4"/>
      <c r="AT278" s="4"/>
    </row>
    <row r="279" spans="1:48" s="88" customFormat="1" ht="111.95" hidden="1" customHeight="1" x14ac:dyDescent="0.25">
      <c r="A279" s="76">
        <v>212</v>
      </c>
      <c r="B279" s="76" t="s">
        <v>74</v>
      </c>
      <c r="C279" s="76" t="s">
        <v>1194</v>
      </c>
      <c r="D279" s="76">
        <v>3</v>
      </c>
      <c r="E279" s="76" t="s">
        <v>217</v>
      </c>
      <c r="F279" s="78" t="s">
        <v>598</v>
      </c>
      <c r="G279" s="79" t="s">
        <v>599</v>
      </c>
      <c r="H279" s="79" t="s">
        <v>600</v>
      </c>
      <c r="I279" s="80" t="s">
        <v>1339</v>
      </c>
      <c r="J279" s="79" t="s">
        <v>601</v>
      </c>
      <c r="K279" s="79" t="s">
        <v>602</v>
      </c>
      <c r="L279" s="81">
        <v>296140000</v>
      </c>
      <c r="M279" s="81" t="s">
        <v>282</v>
      </c>
      <c r="N279" s="82">
        <v>43696</v>
      </c>
      <c r="O279" s="82">
        <v>47392</v>
      </c>
      <c r="P279" s="83">
        <f t="shared" si="49"/>
        <v>10.126027397260273</v>
      </c>
      <c r="Q279" s="77" t="s">
        <v>19</v>
      </c>
      <c r="R279" s="77">
        <f t="shared" ca="1" si="50"/>
        <v>68.852824040471944</v>
      </c>
      <c r="S279" s="77" t="str">
        <f t="shared" ca="1" si="47"/>
        <v>O</v>
      </c>
      <c r="T279" s="84">
        <v>1</v>
      </c>
      <c r="U279" s="84">
        <v>3</v>
      </c>
      <c r="V279" s="84">
        <v>2</v>
      </c>
      <c r="W279" s="84">
        <f t="shared" si="44"/>
        <v>6</v>
      </c>
      <c r="X279" s="84" t="str">
        <f t="shared" si="48"/>
        <v>Penting</v>
      </c>
      <c r="Y279" s="78" t="s">
        <v>603</v>
      </c>
      <c r="Z279" s="115"/>
      <c r="AA279" s="82"/>
      <c r="AB279" s="82"/>
      <c r="AC279" s="82"/>
      <c r="AD279" s="27" t="s">
        <v>86</v>
      </c>
      <c r="AE279" s="85">
        <v>43696</v>
      </c>
      <c r="AF279" s="77" t="s">
        <v>168</v>
      </c>
      <c r="AG279" s="77" t="s">
        <v>81</v>
      </c>
      <c r="AH279" s="21" t="s">
        <v>81</v>
      </c>
      <c r="AI279" s="21" t="s">
        <v>81</v>
      </c>
      <c r="AJ279" s="21" t="s">
        <v>81</v>
      </c>
      <c r="AK279" s="21" t="s">
        <v>81</v>
      </c>
      <c r="AL279" s="21" t="s">
        <v>81</v>
      </c>
      <c r="AM279" s="27" t="s">
        <v>87</v>
      </c>
      <c r="AN279" s="86"/>
      <c r="AO279" s="87"/>
      <c r="AP279" s="4"/>
      <c r="AQ279" s="4"/>
      <c r="AR279" s="4"/>
      <c r="AS279" s="4"/>
      <c r="AT279" s="4"/>
    </row>
    <row r="280" spans="1:48" s="88" customFormat="1" ht="111.95" hidden="1" customHeight="1" x14ac:dyDescent="0.25">
      <c r="A280" s="76">
        <v>213</v>
      </c>
      <c r="B280" s="76" t="s">
        <v>74</v>
      </c>
      <c r="C280" s="76" t="s">
        <v>1194</v>
      </c>
      <c r="D280" s="76">
        <v>4</v>
      </c>
      <c r="E280" s="76" t="s">
        <v>217</v>
      </c>
      <c r="F280" s="78" t="s">
        <v>548</v>
      </c>
      <c r="G280" s="79" t="s">
        <v>204</v>
      </c>
      <c r="H280" s="79" t="s">
        <v>549</v>
      </c>
      <c r="I280" s="80" t="s">
        <v>1339</v>
      </c>
      <c r="J280" s="79" t="s">
        <v>550</v>
      </c>
      <c r="K280" s="79" t="s">
        <v>551</v>
      </c>
      <c r="L280" s="81">
        <v>112700000</v>
      </c>
      <c r="M280" s="81" t="s">
        <v>282</v>
      </c>
      <c r="N280" s="82">
        <v>44743</v>
      </c>
      <c r="O280" s="82">
        <v>46568</v>
      </c>
      <c r="P280" s="83">
        <f t="shared" si="49"/>
        <v>5</v>
      </c>
      <c r="Q280" s="77" t="s">
        <v>19</v>
      </c>
      <c r="R280" s="77">
        <f t="shared" ca="1" si="50"/>
        <v>42.272178879181617</v>
      </c>
      <c r="S280" s="77" t="str">
        <f t="shared" ca="1" si="47"/>
        <v>O</v>
      </c>
      <c r="T280" s="84">
        <v>1</v>
      </c>
      <c r="U280" s="84">
        <v>3</v>
      </c>
      <c r="V280" s="84">
        <v>2</v>
      </c>
      <c r="W280" s="84">
        <f t="shared" si="44"/>
        <v>6</v>
      </c>
      <c r="X280" s="84" t="str">
        <f t="shared" si="48"/>
        <v>Penting</v>
      </c>
      <c r="Y280" s="78"/>
      <c r="Z280" s="115"/>
      <c r="AA280" s="82"/>
      <c r="AB280" s="82"/>
      <c r="AC280" s="82"/>
      <c r="AD280" s="27" t="s">
        <v>86</v>
      </c>
      <c r="AE280" s="85">
        <v>44743</v>
      </c>
      <c r="AF280" s="77" t="s">
        <v>192</v>
      </c>
      <c r="AG280" s="77" t="s">
        <v>81</v>
      </c>
      <c r="AH280" s="21" t="s">
        <v>81</v>
      </c>
      <c r="AI280" s="21" t="s">
        <v>81</v>
      </c>
      <c r="AJ280" s="21" t="s">
        <v>81</v>
      </c>
      <c r="AK280" s="21" t="s">
        <v>81</v>
      </c>
      <c r="AL280" s="21" t="s">
        <v>81</v>
      </c>
      <c r="AM280" s="27" t="s">
        <v>100</v>
      </c>
      <c r="AN280" s="86">
        <v>44757</v>
      </c>
      <c r="AO280" s="87"/>
      <c r="AP280" s="4"/>
      <c r="AQ280" s="4"/>
      <c r="AR280" s="4"/>
      <c r="AS280" s="4"/>
      <c r="AT280" s="4"/>
    </row>
    <row r="281" spans="1:48" s="88" customFormat="1" ht="111.95" hidden="1" customHeight="1" x14ac:dyDescent="0.25">
      <c r="A281" s="76">
        <v>214</v>
      </c>
      <c r="B281" s="76" t="s">
        <v>74</v>
      </c>
      <c r="C281" s="76" t="s">
        <v>1194</v>
      </c>
      <c r="D281" s="76">
        <v>5</v>
      </c>
      <c r="E281" s="76" t="s">
        <v>217</v>
      </c>
      <c r="F281" s="78" t="s">
        <v>539</v>
      </c>
      <c r="G281" s="79" t="s">
        <v>204</v>
      </c>
      <c r="H281" s="79" t="s">
        <v>540</v>
      </c>
      <c r="I281" s="80" t="s">
        <v>1339</v>
      </c>
      <c r="J281" s="79" t="s">
        <v>541</v>
      </c>
      <c r="K281" s="79" t="s">
        <v>542</v>
      </c>
      <c r="L281" s="81">
        <v>126000000</v>
      </c>
      <c r="M281" s="81" t="s">
        <v>282</v>
      </c>
      <c r="N281" s="82">
        <v>44655</v>
      </c>
      <c r="O281" s="82">
        <v>45808</v>
      </c>
      <c r="P281" s="83">
        <f t="shared" si="49"/>
        <v>3.1589041095890411</v>
      </c>
      <c r="Q281" s="77" t="s">
        <v>19</v>
      </c>
      <c r="R281" s="77">
        <f t="shared" ca="1" si="50"/>
        <v>17.756049846923553</v>
      </c>
      <c r="S281" s="77" t="str">
        <f t="shared" ca="1" si="47"/>
        <v>O</v>
      </c>
      <c r="T281" s="84">
        <v>3</v>
      </c>
      <c r="U281" s="84">
        <v>3</v>
      </c>
      <c r="V281" s="84">
        <v>2</v>
      </c>
      <c r="W281" s="84">
        <f t="shared" si="44"/>
        <v>8</v>
      </c>
      <c r="X281" s="84" t="str">
        <f t="shared" si="48"/>
        <v>Penting</v>
      </c>
      <c r="Y281" s="78"/>
      <c r="Z281" s="115"/>
      <c r="AA281" s="82"/>
      <c r="AB281" s="82"/>
      <c r="AC281" s="82"/>
      <c r="AD281" s="27" t="s">
        <v>86</v>
      </c>
      <c r="AE281" s="85">
        <v>44655</v>
      </c>
      <c r="AF281" s="77" t="s">
        <v>192</v>
      </c>
      <c r="AG281" s="77" t="s">
        <v>81</v>
      </c>
      <c r="AH281" s="21" t="s">
        <v>81</v>
      </c>
      <c r="AI281" s="21" t="s">
        <v>81</v>
      </c>
      <c r="AJ281" s="21" t="s">
        <v>81</v>
      </c>
      <c r="AK281" s="21" t="s">
        <v>81</v>
      </c>
      <c r="AL281" s="21" t="s">
        <v>81</v>
      </c>
      <c r="AM281" s="27" t="s">
        <v>87</v>
      </c>
      <c r="AN281" s="86">
        <v>44658</v>
      </c>
      <c r="AO281" s="87"/>
      <c r="AP281" s="4"/>
      <c r="AQ281" s="4"/>
      <c r="AR281" s="4"/>
      <c r="AS281" s="4"/>
      <c r="AT281" s="4"/>
    </row>
    <row r="282" spans="1:48" s="88" customFormat="1" ht="111.95" hidden="1" customHeight="1" x14ac:dyDescent="0.25">
      <c r="A282" s="76">
        <v>215</v>
      </c>
      <c r="B282" s="76" t="s">
        <v>74</v>
      </c>
      <c r="C282" s="76" t="s">
        <v>1194</v>
      </c>
      <c r="D282" s="76">
        <v>6</v>
      </c>
      <c r="E282" s="76" t="s">
        <v>217</v>
      </c>
      <c r="F282" s="78" t="s">
        <v>308</v>
      </c>
      <c r="G282" s="79" t="s">
        <v>204</v>
      </c>
      <c r="H282" s="79" t="s">
        <v>284</v>
      </c>
      <c r="I282" s="80" t="s">
        <v>1339</v>
      </c>
      <c r="J282" s="79" t="s">
        <v>285</v>
      </c>
      <c r="K282" s="79" t="s">
        <v>286</v>
      </c>
      <c r="L282" s="81">
        <v>107000000</v>
      </c>
      <c r="M282" s="81" t="s">
        <v>287</v>
      </c>
      <c r="N282" s="82">
        <v>44564</v>
      </c>
      <c r="O282" s="82">
        <v>45660</v>
      </c>
      <c r="P282" s="83">
        <f t="shared" si="49"/>
        <v>3.0027397260273974</v>
      </c>
      <c r="Q282" s="77" t="s">
        <v>19</v>
      </c>
      <c r="R282" s="77">
        <f t="shared" ca="1" si="50"/>
        <v>12.981856298536455</v>
      </c>
      <c r="S282" s="77" t="str">
        <f t="shared" ca="1" si="47"/>
        <v>O</v>
      </c>
      <c r="T282" s="84">
        <v>1</v>
      </c>
      <c r="U282" s="84">
        <v>3</v>
      </c>
      <c r="V282" s="84">
        <v>1</v>
      </c>
      <c r="W282" s="84">
        <f t="shared" si="44"/>
        <v>5</v>
      </c>
      <c r="X282" s="84" t="str">
        <f t="shared" si="48"/>
        <v>Biasa</v>
      </c>
      <c r="Y282" s="78" t="s">
        <v>288</v>
      </c>
      <c r="Z282" s="115"/>
      <c r="AA282" s="82"/>
      <c r="AB282" s="82"/>
      <c r="AC282" s="82"/>
      <c r="AD282" s="27" t="s">
        <v>86</v>
      </c>
      <c r="AE282" s="85">
        <v>44562</v>
      </c>
      <c r="AF282" s="77" t="s">
        <v>192</v>
      </c>
      <c r="AG282" s="77" t="s">
        <v>81</v>
      </c>
      <c r="AH282" s="21" t="s">
        <v>81</v>
      </c>
      <c r="AI282" s="21" t="s">
        <v>81</v>
      </c>
      <c r="AJ282" s="21" t="s">
        <v>81</v>
      </c>
      <c r="AK282" s="21" t="s">
        <v>81</v>
      </c>
      <c r="AL282" s="21" t="s">
        <v>81</v>
      </c>
      <c r="AM282" s="27" t="s">
        <v>87</v>
      </c>
      <c r="AN282" s="86"/>
      <c r="AO282" s="87"/>
      <c r="AP282" s="4"/>
      <c r="AQ282" s="4"/>
      <c r="AR282" s="4"/>
      <c r="AS282" s="4"/>
      <c r="AT282" s="4"/>
    </row>
    <row r="283" spans="1:48" s="88" customFormat="1" ht="111.95" hidden="1" customHeight="1" x14ac:dyDescent="0.25">
      <c r="A283" s="76">
        <v>216</v>
      </c>
      <c r="B283" s="76" t="s">
        <v>74</v>
      </c>
      <c r="C283" s="76" t="s">
        <v>1194</v>
      </c>
      <c r="D283" s="76">
        <v>7</v>
      </c>
      <c r="E283" s="76" t="s">
        <v>217</v>
      </c>
      <c r="F283" s="78" t="s">
        <v>298</v>
      </c>
      <c r="G283" s="79" t="s">
        <v>204</v>
      </c>
      <c r="H283" s="79" t="s">
        <v>299</v>
      </c>
      <c r="I283" s="80" t="s">
        <v>1339</v>
      </c>
      <c r="J283" s="79" t="s">
        <v>300</v>
      </c>
      <c r="K283" s="79" t="s">
        <v>301</v>
      </c>
      <c r="L283" s="81" t="s">
        <v>302</v>
      </c>
      <c r="M283" s="81" t="s">
        <v>303</v>
      </c>
      <c r="N283" s="82">
        <v>44392</v>
      </c>
      <c r="O283" s="82">
        <v>45657</v>
      </c>
      <c r="P283" s="83">
        <f t="shared" si="49"/>
        <v>3.4657534246575343</v>
      </c>
      <c r="Q283" s="77" t="s">
        <v>19</v>
      </c>
      <c r="R283" s="77">
        <f t="shared" ca="1" si="50"/>
        <v>12.885082104988067</v>
      </c>
      <c r="S283" s="77" t="str">
        <f t="shared" ca="1" si="47"/>
        <v>O</v>
      </c>
      <c r="T283" s="84">
        <v>1</v>
      </c>
      <c r="U283" s="84">
        <v>3</v>
      </c>
      <c r="V283" s="84">
        <v>1</v>
      </c>
      <c r="W283" s="84">
        <f t="shared" si="44"/>
        <v>5</v>
      </c>
      <c r="X283" s="84" t="str">
        <f t="shared" si="48"/>
        <v>Biasa</v>
      </c>
      <c r="Y283" s="78"/>
      <c r="Z283" s="115"/>
      <c r="AA283" s="82"/>
      <c r="AB283" s="82"/>
      <c r="AC283" s="82"/>
      <c r="AD283" s="27" t="s">
        <v>86</v>
      </c>
      <c r="AE283" s="85">
        <v>44531</v>
      </c>
      <c r="AF283" s="77" t="s">
        <v>192</v>
      </c>
      <c r="AG283" s="77" t="s">
        <v>81</v>
      </c>
      <c r="AH283" s="21" t="s">
        <v>81</v>
      </c>
      <c r="AI283" s="21" t="s">
        <v>81</v>
      </c>
      <c r="AJ283" s="21" t="s">
        <v>81</v>
      </c>
      <c r="AK283" s="21" t="s">
        <v>81</v>
      </c>
      <c r="AL283" s="21" t="s">
        <v>81</v>
      </c>
      <c r="AM283" s="27" t="s">
        <v>87</v>
      </c>
      <c r="AN283" s="86"/>
      <c r="AO283" s="87"/>
      <c r="AP283" s="4"/>
      <c r="AQ283" s="4"/>
      <c r="AR283" s="4"/>
      <c r="AS283" s="4"/>
      <c r="AT283" s="4"/>
    </row>
    <row r="284" spans="1:48" s="88" customFormat="1" ht="111.95" hidden="1" customHeight="1" x14ac:dyDescent="0.25">
      <c r="A284" s="76">
        <v>217</v>
      </c>
      <c r="B284" s="76" t="s">
        <v>74</v>
      </c>
      <c r="C284" s="76" t="s">
        <v>1194</v>
      </c>
      <c r="D284" s="76">
        <v>8</v>
      </c>
      <c r="E284" s="76" t="s">
        <v>217</v>
      </c>
      <c r="F284" s="78" t="s">
        <v>608</v>
      </c>
      <c r="G284" s="79" t="s">
        <v>609</v>
      </c>
      <c r="H284" s="79" t="s">
        <v>605</v>
      </c>
      <c r="I284" s="80" t="s">
        <v>1339</v>
      </c>
      <c r="J284" s="79" t="s">
        <v>609</v>
      </c>
      <c r="K284" s="79" t="s">
        <v>610</v>
      </c>
      <c r="L284" s="81">
        <v>1530000000</v>
      </c>
      <c r="M284" s="81" t="s">
        <v>282</v>
      </c>
      <c r="N284" s="82">
        <v>44409</v>
      </c>
      <c r="O284" s="82">
        <v>45596</v>
      </c>
      <c r="P284" s="83">
        <f t="shared" si="49"/>
        <v>3.2520547945205478</v>
      </c>
      <c r="Q284" s="77" t="s">
        <v>19</v>
      </c>
      <c r="R284" s="77">
        <f t="shared" ca="1" si="50"/>
        <v>10.917340169504197</v>
      </c>
      <c r="S284" s="77" t="str">
        <f t="shared" ca="1" si="47"/>
        <v>O</v>
      </c>
      <c r="T284" s="84">
        <v>1</v>
      </c>
      <c r="U284" s="84">
        <v>3</v>
      </c>
      <c r="V284" s="84">
        <v>1</v>
      </c>
      <c r="W284" s="84">
        <f t="shared" si="44"/>
        <v>5</v>
      </c>
      <c r="X284" s="84" t="str">
        <f t="shared" si="48"/>
        <v>Biasa</v>
      </c>
      <c r="Y284" s="78" t="s">
        <v>611</v>
      </c>
      <c r="Z284" s="115"/>
      <c r="AA284" s="82"/>
      <c r="AB284" s="82"/>
      <c r="AC284" s="82"/>
      <c r="AD284" s="27" t="s">
        <v>86</v>
      </c>
      <c r="AE284" s="85">
        <v>44409</v>
      </c>
      <c r="AF284" s="77" t="s">
        <v>168</v>
      </c>
      <c r="AG284" s="77" t="s">
        <v>81</v>
      </c>
      <c r="AH284" s="21" t="s">
        <v>81</v>
      </c>
      <c r="AI284" s="21" t="s">
        <v>81</v>
      </c>
      <c r="AJ284" s="21" t="s">
        <v>81</v>
      </c>
      <c r="AK284" s="21" t="s">
        <v>81</v>
      </c>
      <c r="AL284" s="21" t="s">
        <v>81</v>
      </c>
      <c r="AM284" s="27" t="s">
        <v>87</v>
      </c>
      <c r="AN284" s="86">
        <v>44440</v>
      </c>
      <c r="AO284" s="87"/>
      <c r="AP284" s="4"/>
      <c r="AQ284" s="4"/>
      <c r="AR284" s="4"/>
      <c r="AS284" s="4"/>
      <c r="AT284" s="4"/>
    </row>
    <row r="285" spans="1:48" s="88" customFormat="1" ht="111.95" hidden="1" customHeight="1" x14ac:dyDescent="0.25">
      <c r="A285" s="76">
        <v>218</v>
      </c>
      <c r="B285" s="76" t="s">
        <v>74</v>
      </c>
      <c r="C285" s="76" t="s">
        <v>1194</v>
      </c>
      <c r="D285" s="76">
        <v>9</v>
      </c>
      <c r="E285" s="76" t="s">
        <v>217</v>
      </c>
      <c r="F285" s="78" t="s">
        <v>283</v>
      </c>
      <c r="G285" s="79" t="s">
        <v>204</v>
      </c>
      <c r="H285" s="79" t="s">
        <v>284</v>
      </c>
      <c r="I285" s="80" t="s">
        <v>1339</v>
      </c>
      <c r="J285" s="79" t="s">
        <v>285</v>
      </c>
      <c r="K285" s="79" t="s">
        <v>286</v>
      </c>
      <c r="L285" s="81">
        <v>107000000</v>
      </c>
      <c r="M285" s="81" t="s">
        <v>287</v>
      </c>
      <c r="N285" s="82">
        <v>44478</v>
      </c>
      <c r="O285" s="82">
        <v>45573</v>
      </c>
      <c r="P285" s="83">
        <f t="shared" si="49"/>
        <v>3</v>
      </c>
      <c r="Q285" s="77" t="s">
        <v>19</v>
      </c>
      <c r="R285" s="77">
        <f t="shared" ca="1" si="50"/>
        <v>10.175404685633229</v>
      </c>
      <c r="S285" s="77" t="str">
        <f t="shared" ca="1" si="47"/>
        <v>O</v>
      </c>
      <c r="T285" s="84">
        <v>1</v>
      </c>
      <c r="U285" s="84">
        <v>3</v>
      </c>
      <c r="V285" s="84">
        <v>1</v>
      </c>
      <c r="W285" s="84">
        <f t="shared" si="44"/>
        <v>5</v>
      </c>
      <c r="X285" s="84" t="str">
        <f t="shared" si="48"/>
        <v>Biasa</v>
      </c>
      <c r="Y285" s="78" t="s">
        <v>288</v>
      </c>
      <c r="Z285" s="115"/>
      <c r="AA285" s="82"/>
      <c r="AB285" s="82"/>
      <c r="AC285" s="82"/>
      <c r="AD285" s="27" t="s">
        <v>86</v>
      </c>
      <c r="AE285" s="85">
        <v>44501</v>
      </c>
      <c r="AF285" s="77" t="s">
        <v>192</v>
      </c>
      <c r="AG285" s="77" t="s">
        <v>81</v>
      </c>
      <c r="AH285" s="21" t="s">
        <v>81</v>
      </c>
      <c r="AI285" s="21" t="s">
        <v>81</v>
      </c>
      <c r="AJ285" s="21" t="s">
        <v>81</v>
      </c>
      <c r="AK285" s="21" t="s">
        <v>81</v>
      </c>
      <c r="AL285" s="21" t="s">
        <v>81</v>
      </c>
      <c r="AM285" s="27" t="s">
        <v>87</v>
      </c>
      <c r="AN285" s="86">
        <v>44502</v>
      </c>
      <c r="AO285" s="87"/>
      <c r="AP285" s="4"/>
      <c r="AQ285" s="4"/>
      <c r="AR285" s="4"/>
      <c r="AS285" s="4"/>
      <c r="AT285" s="4"/>
    </row>
    <row r="286" spans="1:48" s="88" customFormat="1" ht="111.95" hidden="1" customHeight="1" x14ac:dyDescent="0.25">
      <c r="A286" s="76">
        <v>219</v>
      </c>
      <c r="B286" s="76" t="s">
        <v>74</v>
      </c>
      <c r="C286" s="76" t="s">
        <v>1194</v>
      </c>
      <c r="D286" s="76">
        <v>10</v>
      </c>
      <c r="E286" s="76" t="s">
        <v>217</v>
      </c>
      <c r="F286" s="78" t="s">
        <v>309</v>
      </c>
      <c r="G286" s="79" t="s">
        <v>310</v>
      </c>
      <c r="H286" s="79" t="s">
        <v>284</v>
      </c>
      <c r="I286" s="80" t="s">
        <v>1339</v>
      </c>
      <c r="J286" s="79" t="s">
        <v>311</v>
      </c>
      <c r="K286" s="79" t="s">
        <v>312</v>
      </c>
      <c r="L286" s="81">
        <v>1995811852</v>
      </c>
      <c r="M286" s="81" t="s">
        <v>282</v>
      </c>
      <c r="N286" s="82">
        <v>44777</v>
      </c>
      <c r="O286" s="82">
        <v>45508</v>
      </c>
      <c r="P286" s="83">
        <f t="shared" si="49"/>
        <v>2.0027397260273974</v>
      </c>
      <c r="Q286" s="77" t="s">
        <v>19</v>
      </c>
      <c r="R286" s="77">
        <f t="shared" ca="1" si="50"/>
        <v>8.0786304920848426</v>
      </c>
      <c r="S286" s="77" t="str">
        <f t="shared" ca="1" si="47"/>
        <v>O</v>
      </c>
      <c r="T286" s="84">
        <v>1</v>
      </c>
      <c r="U286" s="84">
        <v>3</v>
      </c>
      <c r="V286" s="84">
        <v>1</v>
      </c>
      <c r="W286" s="84">
        <f t="shared" si="44"/>
        <v>5</v>
      </c>
      <c r="X286" s="84" t="str">
        <f t="shared" si="48"/>
        <v>Biasa</v>
      </c>
      <c r="Y286" s="78" t="s">
        <v>313</v>
      </c>
      <c r="Z286" s="115"/>
      <c r="AA286" s="82"/>
      <c r="AB286" s="82"/>
      <c r="AC286" s="82"/>
      <c r="AD286" s="27" t="s">
        <v>86</v>
      </c>
      <c r="AE286" s="85">
        <v>44774</v>
      </c>
      <c r="AF286" s="77" t="s">
        <v>168</v>
      </c>
      <c r="AG286" s="77" t="s">
        <v>81</v>
      </c>
      <c r="AH286" s="21" t="s">
        <v>81</v>
      </c>
      <c r="AI286" s="21" t="s">
        <v>81</v>
      </c>
      <c r="AJ286" s="21" t="s">
        <v>81</v>
      </c>
      <c r="AK286" s="21" t="s">
        <v>81</v>
      </c>
      <c r="AL286" s="21" t="s">
        <v>81</v>
      </c>
      <c r="AM286" s="27" t="s">
        <v>100</v>
      </c>
      <c r="AN286" s="86">
        <v>44777</v>
      </c>
      <c r="AO286" s="87"/>
      <c r="AP286" s="4"/>
      <c r="AQ286" s="4"/>
      <c r="AR286" s="4"/>
      <c r="AS286" s="4"/>
      <c r="AT286" s="4"/>
    </row>
    <row r="287" spans="1:48" s="88" customFormat="1" ht="111.95" hidden="1" customHeight="1" x14ac:dyDescent="0.25">
      <c r="A287" s="76">
        <v>220</v>
      </c>
      <c r="B287" s="76" t="s">
        <v>74</v>
      </c>
      <c r="C287" s="76" t="s">
        <v>1194</v>
      </c>
      <c r="D287" s="76">
        <v>11</v>
      </c>
      <c r="E287" s="76" t="s">
        <v>217</v>
      </c>
      <c r="F287" s="78" t="s">
        <v>304</v>
      </c>
      <c r="G287" s="79" t="s">
        <v>204</v>
      </c>
      <c r="H287" s="79" t="s">
        <v>299</v>
      </c>
      <c r="I287" s="80" t="s">
        <v>1339</v>
      </c>
      <c r="J287" s="79" t="s">
        <v>305</v>
      </c>
      <c r="K287" s="79" t="s">
        <v>301</v>
      </c>
      <c r="L287" s="81" t="s">
        <v>306</v>
      </c>
      <c r="M287" s="81" t="s">
        <v>303</v>
      </c>
      <c r="N287" s="82">
        <v>44743</v>
      </c>
      <c r="O287" s="82">
        <v>45291</v>
      </c>
      <c r="P287" s="83">
        <f t="shared" si="49"/>
        <v>1.5013698630136987</v>
      </c>
      <c r="Q287" s="77" t="s">
        <v>19</v>
      </c>
      <c r="R287" s="77">
        <f t="shared" ca="1" si="50"/>
        <v>1.0786304920848417</v>
      </c>
      <c r="S287" s="77" t="str">
        <f t="shared" ca="1" si="47"/>
        <v>O</v>
      </c>
      <c r="T287" s="84">
        <v>1</v>
      </c>
      <c r="U287" s="84">
        <v>3</v>
      </c>
      <c r="V287" s="84">
        <v>1</v>
      </c>
      <c r="W287" s="84">
        <f t="shared" si="44"/>
        <v>5</v>
      </c>
      <c r="X287" s="84" t="str">
        <f t="shared" si="48"/>
        <v>Biasa</v>
      </c>
      <c r="Y287" s="78" t="s">
        <v>307</v>
      </c>
      <c r="Z287" s="115"/>
      <c r="AA287" s="82"/>
      <c r="AB287" s="82"/>
      <c r="AC287" s="82"/>
      <c r="AD287" s="27" t="s">
        <v>86</v>
      </c>
      <c r="AE287" s="85">
        <v>44378</v>
      </c>
      <c r="AF287" s="77" t="s">
        <v>192</v>
      </c>
      <c r="AG287" s="77" t="s">
        <v>81</v>
      </c>
      <c r="AH287" s="21" t="s">
        <v>81</v>
      </c>
      <c r="AI287" s="21" t="s">
        <v>81</v>
      </c>
      <c r="AJ287" s="21" t="s">
        <v>81</v>
      </c>
      <c r="AK287" s="21" t="s">
        <v>81</v>
      </c>
      <c r="AL287" s="21" t="s">
        <v>81</v>
      </c>
      <c r="AM287" s="27" t="s">
        <v>100</v>
      </c>
      <c r="AN287" s="86">
        <v>44764</v>
      </c>
      <c r="AO287" s="87"/>
      <c r="AP287" s="4"/>
      <c r="AQ287" s="4"/>
      <c r="AR287" s="4"/>
      <c r="AS287" s="4"/>
      <c r="AT287" s="4"/>
    </row>
    <row r="288" spans="1:48" s="88" customFormat="1" ht="111.95" hidden="1" customHeight="1" x14ac:dyDescent="0.25">
      <c r="A288" s="76">
        <v>221</v>
      </c>
      <c r="B288" s="76" t="s">
        <v>74</v>
      </c>
      <c r="C288" s="76" t="s">
        <v>1194</v>
      </c>
      <c r="D288" s="76">
        <v>12</v>
      </c>
      <c r="E288" s="76" t="s">
        <v>217</v>
      </c>
      <c r="F288" s="78" t="s">
        <v>620</v>
      </c>
      <c r="G288" s="79" t="s">
        <v>621</v>
      </c>
      <c r="H288" s="79" t="s">
        <v>622</v>
      </c>
      <c r="I288" s="80" t="s">
        <v>1339</v>
      </c>
      <c r="J288" s="79" t="s">
        <v>621</v>
      </c>
      <c r="K288" s="79" t="s">
        <v>623</v>
      </c>
      <c r="L288" s="81">
        <v>108000000</v>
      </c>
      <c r="M288" s="81" t="s">
        <v>282</v>
      </c>
      <c r="N288" s="82">
        <v>44851</v>
      </c>
      <c r="O288" s="82">
        <v>45246</v>
      </c>
      <c r="P288" s="83">
        <f t="shared" si="49"/>
        <v>1.0821917808219179</v>
      </c>
      <c r="Q288" s="77" t="s">
        <v>19</v>
      </c>
      <c r="R288" s="77">
        <f t="shared" ca="1" si="50"/>
        <v>-0.3729824111409647</v>
      </c>
      <c r="S288" s="77" t="str">
        <f t="shared" ca="1" si="47"/>
        <v>Y</v>
      </c>
      <c r="T288" s="84">
        <v>1</v>
      </c>
      <c r="U288" s="84">
        <v>3</v>
      </c>
      <c r="V288" s="84">
        <v>2</v>
      </c>
      <c r="W288" s="84">
        <f t="shared" ref="W288:W309" si="51">T288+U288+V288</f>
        <v>6</v>
      </c>
      <c r="X288" s="84" t="str">
        <f t="shared" si="48"/>
        <v>Penting</v>
      </c>
      <c r="Y288" s="78" t="s">
        <v>624</v>
      </c>
      <c r="Z288" s="115"/>
      <c r="AA288" s="82"/>
      <c r="AB288" s="82"/>
      <c r="AC288" s="82"/>
      <c r="AD288" s="27" t="s">
        <v>625</v>
      </c>
      <c r="AE288" s="85">
        <v>44835</v>
      </c>
      <c r="AF288" s="77" t="s">
        <v>168</v>
      </c>
      <c r="AG288" s="77" t="s">
        <v>81</v>
      </c>
      <c r="AH288" s="21" t="s">
        <v>81</v>
      </c>
      <c r="AI288" s="21" t="s">
        <v>81</v>
      </c>
      <c r="AJ288" s="21" t="s">
        <v>81</v>
      </c>
      <c r="AK288" s="21" t="s">
        <v>81</v>
      </c>
      <c r="AL288" s="21" t="s">
        <v>81</v>
      </c>
      <c r="AM288" s="27" t="s">
        <v>100</v>
      </c>
      <c r="AN288" s="86">
        <v>44851</v>
      </c>
      <c r="AO288" s="87"/>
      <c r="AP288" s="4"/>
      <c r="AQ288" s="4"/>
      <c r="AR288" s="4"/>
      <c r="AS288" s="4"/>
      <c r="AT288" s="4"/>
    </row>
    <row r="289" spans="1:46" s="88" customFormat="1" ht="111.95" hidden="1" customHeight="1" x14ac:dyDescent="0.25">
      <c r="A289" s="76">
        <v>222</v>
      </c>
      <c r="B289" s="76" t="s">
        <v>74</v>
      </c>
      <c r="C289" s="76" t="s">
        <v>1194</v>
      </c>
      <c r="D289" s="76">
        <v>13</v>
      </c>
      <c r="E289" s="76" t="s">
        <v>217</v>
      </c>
      <c r="F289" s="78" t="s">
        <v>1184</v>
      </c>
      <c r="G289" s="79" t="s">
        <v>218</v>
      </c>
      <c r="H289" s="79" t="s">
        <v>1185</v>
      </c>
      <c r="I289" s="80" t="s">
        <v>1339</v>
      </c>
      <c r="J289" s="79" t="s">
        <v>220</v>
      </c>
      <c r="K289" s="79" t="s">
        <v>1186</v>
      </c>
      <c r="L289" s="110">
        <v>0.02</v>
      </c>
      <c r="M289" s="81" t="s">
        <v>222</v>
      </c>
      <c r="N289" s="82">
        <v>44866</v>
      </c>
      <c r="O289" s="82">
        <v>45230</v>
      </c>
      <c r="P289" s="83">
        <f t="shared" si="49"/>
        <v>0.99726027397260275</v>
      </c>
      <c r="Q289" s="77" t="s">
        <v>19</v>
      </c>
      <c r="R289" s="77">
        <f t="shared" ca="1" si="50"/>
        <v>-0.88911144339902914</v>
      </c>
      <c r="S289" s="77" t="str">
        <f t="shared" ca="1" si="47"/>
        <v>Y</v>
      </c>
      <c r="T289" s="84">
        <v>1</v>
      </c>
      <c r="U289" s="84">
        <v>3</v>
      </c>
      <c r="V289" s="84">
        <v>1</v>
      </c>
      <c r="W289" s="84">
        <f t="shared" si="51"/>
        <v>5</v>
      </c>
      <c r="X289" s="84" t="str">
        <f t="shared" si="48"/>
        <v>Biasa</v>
      </c>
      <c r="Y289" s="78"/>
      <c r="Z289" s="115"/>
      <c r="AA289" s="82"/>
      <c r="AB289" s="82"/>
      <c r="AC289" s="82"/>
      <c r="AD289" s="27" t="s">
        <v>86</v>
      </c>
      <c r="AE289" s="85">
        <v>44866</v>
      </c>
      <c r="AF289" s="77" t="s">
        <v>224</v>
      </c>
      <c r="AG289" s="77" t="s">
        <v>81</v>
      </c>
      <c r="AH289" s="21" t="s">
        <v>81</v>
      </c>
      <c r="AI289" s="21" t="s">
        <v>81</v>
      </c>
      <c r="AJ289" s="21" t="s">
        <v>81</v>
      </c>
      <c r="AK289" s="21" t="s">
        <v>81</v>
      </c>
      <c r="AL289" s="21" t="s">
        <v>81</v>
      </c>
      <c r="AM289" s="27" t="s">
        <v>100</v>
      </c>
      <c r="AN289" s="86">
        <v>44865</v>
      </c>
      <c r="AO289" s="87"/>
      <c r="AP289" s="4"/>
      <c r="AQ289" s="4"/>
      <c r="AR289" s="4"/>
      <c r="AS289" s="4"/>
      <c r="AT289" s="4"/>
    </row>
    <row r="290" spans="1:46" s="88" customFormat="1" ht="111.95" hidden="1" customHeight="1" x14ac:dyDescent="0.25">
      <c r="A290" s="76">
        <v>223</v>
      </c>
      <c r="B290" s="76" t="s">
        <v>74</v>
      </c>
      <c r="C290" s="76" t="s">
        <v>1194</v>
      </c>
      <c r="D290" s="76">
        <v>14</v>
      </c>
      <c r="E290" s="76" t="s">
        <v>217</v>
      </c>
      <c r="F290" s="78" t="s">
        <v>639</v>
      </c>
      <c r="G290" s="79" t="s">
        <v>204</v>
      </c>
      <c r="H290" s="79" t="s">
        <v>640</v>
      </c>
      <c r="I290" s="80" t="s">
        <v>1339</v>
      </c>
      <c r="J290" s="79" t="s">
        <v>641</v>
      </c>
      <c r="K290" s="79" t="s">
        <v>642</v>
      </c>
      <c r="L290" s="81"/>
      <c r="M290" s="81">
        <v>460000000</v>
      </c>
      <c r="N290" s="82">
        <v>44743</v>
      </c>
      <c r="O290" s="82">
        <v>45230</v>
      </c>
      <c r="P290" s="83">
        <f t="shared" si="49"/>
        <v>1.3342465753424657</v>
      </c>
      <c r="Q290" s="77" t="s">
        <v>19</v>
      </c>
      <c r="R290" s="77">
        <f t="shared" ca="1" si="50"/>
        <v>-0.88911144339902914</v>
      </c>
      <c r="S290" s="77" t="str">
        <f t="shared" ca="1" si="47"/>
        <v>Y</v>
      </c>
      <c r="T290" s="84">
        <v>1</v>
      </c>
      <c r="U290" s="84">
        <v>3</v>
      </c>
      <c r="V290" s="84">
        <v>2</v>
      </c>
      <c r="W290" s="84">
        <f t="shared" si="51"/>
        <v>6</v>
      </c>
      <c r="X290" s="84" t="str">
        <f t="shared" si="48"/>
        <v>Penting</v>
      </c>
      <c r="Y290" s="78" t="s">
        <v>643</v>
      </c>
      <c r="Z290" s="115"/>
      <c r="AA290" s="82"/>
      <c r="AB290" s="82"/>
      <c r="AC290" s="82"/>
      <c r="AD290" s="27" t="s">
        <v>86</v>
      </c>
      <c r="AE290" s="85">
        <v>44743</v>
      </c>
      <c r="AF290" s="77" t="s">
        <v>192</v>
      </c>
      <c r="AG290" s="77" t="s">
        <v>81</v>
      </c>
      <c r="AH290" s="21" t="s">
        <v>81</v>
      </c>
      <c r="AI290" s="21" t="s">
        <v>81</v>
      </c>
      <c r="AJ290" s="21" t="s">
        <v>81</v>
      </c>
      <c r="AK290" s="21" t="s">
        <v>81</v>
      </c>
      <c r="AL290" s="21" t="s">
        <v>81</v>
      </c>
      <c r="AM290" s="27" t="s">
        <v>100</v>
      </c>
      <c r="AN290" s="86">
        <v>44757</v>
      </c>
      <c r="AO290" s="87"/>
      <c r="AP290" s="4"/>
      <c r="AQ290" s="4"/>
      <c r="AR290" s="4"/>
      <c r="AS290" s="4"/>
      <c r="AT290" s="4"/>
    </row>
    <row r="291" spans="1:46" s="88" customFormat="1" ht="111.95" customHeight="1" x14ac:dyDescent="0.25">
      <c r="A291" s="76">
        <v>224</v>
      </c>
      <c r="B291" s="76" t="s">
        <v>74</v>
      </c>
      <c r="C291" s="76" t="s">
        <v>1194</v>
      </c>
      <c r="D291" s="76">
        <v>15</v>
      </c>
      <c r="E291" s="76" t="s">
        <v>217</v>
      </c>
      <c r="F291" s="78" t="s">
        <v>467</v>
      </c>
      <c r="G291" s="79" t="s">
        <v>204</v>
      </c>
      <c r="H291" s="79" t="s">
        <v>464</v>
      </c>
      <c r="I291" s="80" t="s">
        <v>1339</v>
      </c>
      <c r="J291" s="79" t="s">
        <v>468</v>
      </c>
      <c r="K291" s="79" t="s">
        <v>466</v>
      </c>
      <c r="L291" s="81">
        <v>145000000</v>
      </c>
      <c r="M291" s="81" t="s">
        <v>469</v>
      </c>
      <c r="N291" s="82">
        <v>44816</v>
      </c>
      <c r="O291" s="82">
        <v>45180</v>
      </c>
      <c r="P291" s="83">
        <f t="shared" si="49"/>
        <v>0.99726027397260275</v>
      </c>
      <c r="Q291" s="77" t="s">
        <v>19</v>
      </c>
      <c r="R291" s="77">
        <f t="shared" ca="1" si="50"/>
        <v>-2.5020146692054808</v>
      </c>
      <c r="S291" s="77" t="str">
        <f t="shared" ca="1" si="47"/>
        <v>Y</v>
      </c>
      <c r="T291" s="84">
        <v>1</v>
      </c>
      <c r="U291" s="84">
        <v>3</v>
      </c>
      <c r="V291" s="84">
        <v>1</v>
      </c>
      <c r="W291" s="84">
        <f t="shared" si="51"/>
        <v>5</v>
      </c>
      <c r="X291" s="84" t="str">
        <f t="shared" si="48"/>
        <v>Biasa</v>
      </c>
      <c r="Y291" s="78"/>
      <c r="Z291" s="115"/>
      <c r="AA291" s="82"/>
      <c r="AB291" s="82"/>
      <c r="AC291" s="82"/>
      <c r="AD291" s="27" t="s">
        <v>86</v>
      </c>
      <c r="AE291" s="85">
        <v>44805</v>
      </c>
      <c r="AF291" s="77" t="s">
        <v>192</v>
      </c>
      <c r="AG291" s="77" t="s">
        <v>81</v>
      </c>
      <c r="AH291" s="21" t="s">
        <v>81</v>
      </c>
      <c r="AI291" s="21" t="s">
        <v>81</v>
      </c>
      <c r="AJ291" s="21" t="s">
        <v>81</v>
      </c>
      <c r="AK291" s="21" t="s">
        <v>81</v>
      </c>
      <c r="AL291" s="21" t="s">
        <v>81</v>
      </c>
      <c r="AM291" s="27" t="s">
        <v>100</v>
      </c>
      <c r="AN291" s="86">
        <v>44819</v>
      </c>
      <c r="AO291" s="87"/>
      <c r="AP291" s="4"/>
      <c r="AQ291" s="4"/>
      <c r="AR291" s="4"/>
      <c r="AS291" s="4"/>
      <c r="AT291" s="4"/>
    </row>
    <row r="292" spans="1:46" s="88" customFormat="1" ht="111.95" hidden="1" customHeight="1" x14ac:dyDescent="0.25">
      <c r="A292" s="76">
        <v>225</v>
      </c>
      <c r="B292" s="76" t="s">
        <v>74</v>
      </c>
      <c r="C292" s="76" t="s">
        <v>1194</v>
      </c>
      <c r="D292" s="76">
        <v>16</v>
      </c>
      <c r="E292" s="76" t="s">
        <v>217</v>
      </c>
      <c r="F292" s="78" t="s">
        <v>314</v>
      </c>
      <c r="G292" s="79" t="s">
        <v>315</v>
      </c>
      <c r="H292" s="79" t="s">
        <v>316</v>
      </c>
      <c r="I292" s="80" t="s">
        <v>1339</v>
      </c>
      <c r="J292" s="79" t="s">
        <v>317</v>
      </c>
      <c r="K292" s="79" t="s">
        <v>318</v>
      </c>
      <c r="L292" s="81">
        <v>2790000000</v>
      </c>
      <c r="M292" s="81" t="s">
        <v>282</v>
      </c>
      <c r="N292" s="82">
        <v>44785</v>
      </c>
      <c r="O292" s="82">
        <v>45150</v>
      </c>
      <c r="P292" s="83">
        <f t="shared" si="49"/>
        <v>1</v>
      </c>
      <c r="Q292" s="77" t="s">
        <v>19</v>
      </c>
      <c r="R292" s="77">
        <f t="shared" ca="1" si="50"/>
        <v>-3.4697566046893518</v>
      </c>
      <c r="S292" s="77" t="str">
        <f t="shared" ca="1" si="47"/>
        <v>Y</v>
      </c>
      <c r="T292" s="84">
        <v>3</v>
      </c>
      <c r="U292" s="84">
        <v>3</v>
      </c>
      <c r="V292" s="84">
        <v>1</v>
      </c>
      <c r="W292" s="84">
        <f t="shared" si="51"/>
        <v>7</v>
      </c>
      <c r="X292" s="84" t="str">
        <f t="shared" si="48"/>
        <v>Penting</v>
      </c>
      <c r="Y292" s="78" t="s">
        <v>319</v>
      </c>
      <c r="Z292" s="115"/>
      <c r="AA292" s="82"/>
      <c r="AB292" s="82"/>
      <c r="AC292" s="82"/>
      <c r="AD292" s="27" t="s">
        <v>86</v>
      </c>
      <c r="AE292" s="85">
        <v>44774</v>
      </c>
      <c r="AF292" s="77" t="s">
        <v>168</v>
      </c>
      <c r="AG292" s="77" t="s">
        <v>81</v>
      </c>
      <c r="AH292" s="21" t="s">
        <v>81</v>
      </c>
      <c r="AI292" s="21" t="s">
        <v>81</v>
      </c>
      <c r="AJ292" s="21" t="s">
        <v>81</v>
      </c>
      <c r="AK292" s="21" t="s">
        <v>81</v>
      </c>
      <c r="AL292" s="21" t="s">
        <v>81</v>
      </c>
      <c r="AM292" s="27" t="s">
        <v>100</v>
      </c>
      <c r="AN292" s="86">
        <v>44785</v>
      </c>
      <c r="AO292" s="87"/>
      <c r="AP292" s="4"/>
      <c r="AQ292" s="4"/>
      <c r="AR292" s="4"/>
      <c r="AS292" s="4"/>
      <c r="AT292" s="4"/>
    </row>
    <row r="293" spans="1:46" s="88" customFormat="1" ht="111.95" hidden="1" customHeight="1" x14ac:dyDescent="0.25">
      <c r="A293" s="76">
        <v>226</v>
      </c>
      <c r="B293" s="76" t="s">
        <v>74</v>
      </c>
      <c r="C293" s="76" t="s">
        <v>1194</v>
      </c>
      <c r="D293" s="76">
        <v>17</v>
      </c>
      <c r="E293" s="76" t="s">
        <v>82</v>
      </c>
      <c r="F293" s="78" t="s">
        <v>635</v>
      </c>
      <c r="G293" s="79" t="s">
        <v>204</v>
      </c>
      <c r="H293" s="79" t="s">
        <v>636</v>
      </c>
      <c r="I293" s="80" t="s">
        <v>1339</v>
      </c>
      <c r="J293" s="79" t="s">
        <v>637</v>
      </c>
      <c r="K293" s="79"/>
      <c r="L293" s="81"/>
      <c r="M293" s="81"/>
      <c r="N293" s="82">
        <v>44713</v>
      </c>
      <c r="O293" s="82">
        <v>45138</v>
      </c>
      <c r="P293" s="83">
        <f t="shared" si="49"/>
        <v>1.1643835616438356</v>
      </c>
      <c r="Q293" s="77" t="s">
        <v>19</v>
      </c>
      <c r="R293" s="77">
        <f t="shared" ca="1" si="50"/>
        <v>-3.8568533788829003</v>
      </c>
      <c r="S293" s="77" t="str">
        <f t="shared" ca="1" si="47"/>
        <v>Y</v>
      </c>
      <c r="T293" s="84">
        <v>1</v>
      </c>
      <c r="U293" s="84">
        <v>1</v>
      </c>
      <c r="V293" s="84">
        <v>1</v>
      </c>
      <c r="W293" s="84">
        <f t="shared" si="51"/>
        <v>3</v>
      </c>
      <c r="X293" s="84" t="str">
        <f t="shared" si="48"/>
        <v>Biasa</v>
      </c>
      <c r="Y293" s="78"/>
      <c r="Z293" s="115"/>
      <c r="AA293" s="82"/>
      <c r="AB293" s="82"/>
      <c r="AC293" s="82"/>
      <c r="AD293" s="27" t="s">
        <v>86</v>
      </c>
      <c r="AE293" s="85">
        <v>44743</v>
      </c>
      <c r="AF293" s="77" t="s">
        <v>192</v>
      </c>
      <c r="AG293" s="77" t="s">
        <v>150</v>
      </c>
      <c r="AH293" s="21"/>
      <c r="AI293" s="21"/>
      <c r="AJ293" s="21"/>
      <c r="AK293" s="21"/>
      <c r="AL293" s="21"/>
      <c r="AM293" s="27" t="s">
        <v>638</v>
      </c>
      <c r="AN293" s="86">
        <v>44757</v>
      </c>
      <c r="AO293" s="87"/>
      <c r="AP293" s="4"/>
      <c r="AQ293" s="4"/>
      <c r="AR293" s="4"/>
      <c r="AS293" s="4"/>
      <c r="AT293" s="4"/>
    </row>
    <row r="294" spans="1:46" s="88" customFormat="1" ht="111.95" hidden="1" customHeight="1" x14ac:dyDescent="0.25">
      <c r="A294" s="76">
        <v>227</v>
      </c>
      <c r="B294" s="76" t="s">
        <v>74</v>
      </c>
      <c r="C294" s="76" t="s">
        <v>1194</v>
      </c>
      <c r="D294" s="76">
        <v>19</v>
      </c>
      <c r="E294" s="76" t="s">
        <v>217</v>
      </c>
      <c r="F294" s="78" t="s">
        <v>615</v>
      </c>
      <c r="G294" s="79" t="s">
        <v>280</v>
      </c>
      <c r="H294" s="79" t="s">
        <v>616</v>
      </c>
      <c r="I294" s="80" t="s">
        <v>1339</v>
      </c>
      <c r="J294" s="79" t="s">
        <v>617</v>
      </c>
      <c r="K294" s="79" t="s">
        <v>618</v>
      </c>
      <c r="L294" s="81">
        <v>1206218034</v>
      </c>
      <c r="M294" s="81" t="s">
        <v>282</v>
      </c>
      <c r="N294" s="82">
        <v>44851</v>
      </c>
      <c r="O294" s="82">
        <v>45195</v>
      </c>
      <c r="P294" s="83">
        <f t="shared" si="49"/>
        <v>0.94246575342465755</v>
      </c>
      <c r="Q294" s="77" t="s">
        <v>19</v>
      </c>
      <c r="R294" s="77">
        <f t="shared" ca="1" si="50"/>
        <v>-2.0181437014635453</v>
      </c>
      <c r="S294" s="77" t="str">
        <f t="shared" ca="1" si="47"/>
        <v>Y</v>
      </c>
      <c r="T294" s="84">
        <v>1</v>
      </c>
      <c r="U294" s="84">
        <v>3</v>
      </c>
      <c r="V294" s="84">
        <v>1</v>
      </c>
      <c r="W294" s="84">
        <f t="shared" si="51"/>
        <v>5</v>
      </c>
      <c r="X294" s="84" t="str">
        <f t="shared" si="48"/>
        <v>Biasa</v>
      </c>
      <c r="Y294" s="78" t="s">
        <v>619</v>
      </c>
      <c r="Z294" s="115"/>
      <c r="AA294" s="82"/>
      <c r="AB294" s="82"/>
      <c r="AC294" s="82"/>
      <c r="AD294" s="27" t="s">
        <v>86</v>
      </c>
      <c r="AE294" s="85">
        <v>44835</v>
      </c>
      <c r="AF294" s="77" t="s">
        <v>168</v>
      </c>
      <c r="AG294" s="77" t="s">
        <v>81</v>
      </c>
      <c r="AH294" s="21" t="s">
        <v>81</v>
      </c>
      <c r="AI294" s="21" t="s">
        <v>81</v>
      </c>
      <c r="AJ294" s="21" t="s">
        <v>81</v>
      </c>
      <c r="AK294" s="21" t="s">
        <v>81</v>
      </c>
      <c r="AL294" s="21" t="s">
        <v>81</v>
      </c>
      <c r="AM294" s="27" t="s">
        <v>100</v>
      </c>
      <c r="AN294" s="86">
        <v>44851</v>
      </c>
      <c r="AO294" s="87"/>
      <c r="AP294" s="4"/>
      <c r="AQ294" s="4"/>
      <c r="AR294" s="4"/>
      <c r="AS294" s="4"/>
      <c r="AT294" s="4"/>
    </row>
    <row r="295" spans="1:46" s="88" customFormat="1" ht="111.95" hidden="1" customHeight="1" x14ac:dyDescent="0.25">
      <c r="A295" s="76">
        <v>228</v>
      </c>
      <c r="B295" s="76" t="s">
        <v>74</v>
      </c>
      <c r="C295" s="76" t="s">
        <v>1194</v>
      </c>
      <c r="D295" s="76">
        <v>31</v>
      </c>
      <c r="E295" s="76" t="s">
        <v>217</v>
      </c>
      <c r="F295" s="78" t="s">
        <v>1213</v>
      </c>
      <c r="G295" s="79" t="s">
        <v>218</v>
      </c>
      <c r="H295" s="79" t="s">
        <v>219</v>
      </c>
      <c r="I295" s="80" t="s">
        <v>1337</v>
      </c>
      <c r="J295" s="79" t="s">
        <v>220</v>
      </c>
      <c r="K295" s="79" t="s">
        <v>221</v>
      </c>
      <c r="L295" s="89">
        <v>0.02</v>
      </c>
      <c r="M295" s="81" t="s">
        <v>222</v>
      </c>
      <c r="N295" s="82">
        <v>44866</v>
      </c>
      <c r="O295" s="82">
        <v>45230</v>
      </c>
      <c r="P295" s="83">
        <f t="shared" si="49"/>
        <v>0.99726027397260275</v>
      </c>
      <c r="Q295" s="77" t="s">
        <v>19</v>
      </c>
      <c r="R295" s="77">
        <f t="shared" ca="1" si="50"/>
        <v>-0.88911144339902914</v>
      </c>
      <c r="S295" s="77" t="str">
        <f t="shared" ca="1" si="47"/>
        <v>Y</v>
      </c>
      <c r="T295" s="84">
        <v>1</v>
      </c>
      <c r="U295" s="84">
        <v>3</v>
      </c>
      <c r="V295" s="84">
        <v>1</v>
      </c>
      <c r="W295" s="84">
        <f t="shared" si="51"/>
        <v>5</v>
      </c>
      <c r="X295" s="84" t="str">
        <f t="shared" si="48"/>
        <v>Biasa</v>
      </c>
      <c r="Y295" s="78"/>
      <c r="Z295" s="115"/>
      <c r="AA295" s="82"/>
      <c r="AB295" s="82"/>
      <c r="AC295" s="82"/>
      <c r="AD295" s="27" t="s">
        <v>86</v>
      </c>
      <c r="AE295" s="85">
        <v>44317</v>
      </c>
      <c r="AF295" s="77" t="s">
        <v>192</v>
      </c>
      <c r="AG295" s="77" t="s">
        <v>81</v>
      </c>
      <c r="AH295" s="21" t="s">
        <v>81</v>
      </c>
      <c r="AI295" s="21" t="s">
        <v>81</v>
      </c>
      <c r="AJ295" s="21" t="s">
        <v>81</v>
      </c>
      <c r="AK295" s="21" t="s">
        <v>81</v>
      </c>
      <c r="AL295" s="21" t="s">
        <v>81</v>
      </c>
      <c r="AM295" s="27" t="s">
        <v>100</v>
      </c>
      <c r="AN295" s="86">
        <v>44883</v>
      </c>
      <c r="AO295" s="87"/>
      <c r="AP295" s="4"/>
      <c r="AQ295" s="4"/>
      <c r="AR295" s="4"/>
      <c r="AS295" s="4"/>
      <c r="AT295" s="4"/>
    </row>
    <row r="296" spans="1:46" s="88" customFormat="1" ht="111.95" hidden="1" customHeight="1" x14ac:dyDescent="0.25">
      <c r="A296" s="76">
        <v>229</v>
      </c>
      <c r="B296" s="76" t="s">
        <v>74</v>
      </c>
      <c r="C296" s="76" t="s">
        <v>1194</v>
      </c>
      <c r="D296" s="76">
        <v>32</v>
      </c>
      <c r="E296" s="76" t="s">
        <v>217</v>
      </c>
      <c r="F296" s="78" t="s">
        <v>75</v>
      </c>
      <c r="G296" s="79" t="s">
        <v>684</v>
      </c>
      <c r="H296" s="79" t="s">
        <v>676</v>
      </c>
      <c r="I296" s="80" t="s">
        <v>1339</v>
      </c>
      <c r="J296" s="79"/>
      <c r="K296" s="79"/>
      <c r="L296" s="81"/>
      <c r="M296" s="81"/>
      <c r="N296" s="82">
        <v>43647</v>
      </c>
      <c r="O296" s="82" t="s">
        <v>75</v>
      </c>
      <c r="P296" s="83" t="s">
        <v>75</v>
      </c>
      <c r="Q296" s="77" t="s">
        <v>19</v>
      </c>
      <c r="R296" s="77" t="s">
        <v>75</v>
      </c>
      <c r="S296" s="77" t="str">
        <f t="shared" si="47"/>
        <v>O</v>
      </c>
      <c r="T296" s="84">
        <v>1</v>
      </c>
      <c r="U296" s="84">
        <v>2</v>
      </c>
      <c r="V296" s="84">
        <v>1</v>
      </c>
      <c r="W296" s="84">
        <f t="shared" si="51"/>
        <v>4</v>
      </c>
      <c r="X296" s="84" t="str">
        <f t="shared" si="48"/>
        <v>Biasa</v>
      </c>
      <c r="Y296" s="78"/>
      <c r="Z296" s="115"/>
      <c r="AA296" s="82"/>
      <c r="AB296" s="82"/>
      <c r="AC296" s="82"/>
      <c r="AD296" s="27"/>
      <c r="AE296" s="85"/>
      <c r="AF296" s="77" t="s">
        <v>1193</v>
      </c>
      <c r="AG296" s="77" t="s">
        <v>150</v>
      </c>
      <c r="AH296" s="21"/>
      <c r="AI296" s="21"/>
      <c r="AJ296" s="21"/>
      <c r="AK296" s="21"/>
      <c r="AL296" s="21"/>
      <c r="AM296" s="27" t="s">
        <v>358</v>
      </c>
      <c r="AN296" s="86"/>
      <c r="AO296" s="87"/>
      <c r="AP296" s="4"/>
      <c r="AQ296" s="4"/>
      <c r="AR296" s="4"/>
      <c r="AS296" s="4"/>
      <c r="AT296" s="4"/>
    </row>
    <row r="297" spans="1:46" s="88" customFormat="1" ht="111.95" hidden="1" customHeight="1" x14ac:dyDescent="0.25">
      <c r="A297" s="76">
        <v>230</v>
      </c>
      <c r="B297" s="76" t="s">
        <v>74</v>
      </c>
      <c r="C297" s="76" t="s">
        <v>1194</v>
      </c>
      <c r="D297" s="76">
        <v>33</v>
      </c>
      <c r="E297" s="76" t="s">
        <v>82</v>
      </c>
      <c r="F297" s="78" t="s">
        <v>75</v>
      </c>
      <c r="G297" s="79" t="s">
        <v>685</v>
      </c>
      <c r="H297" s="79" t="s">
        <v>676</v>
      </c>
      <c r="I297" s="80" t="s">
        <v>1339</v>
      </c>
      <c r="J297" s="79"/>
      <c r="K297" s="79"/>
      <c r="L297" s="81"/>
      <c r="M297" s="81"/>
      <c r="N297" s="82">
        <v>44368</v>
      </c>
      <c r="O297" s="82">
        <v>45463</v>
      </c>
      <c r="P297" s="83">
        <f t="shared" ref="P297:P306" si="52">(O297-N297)/365</f>
        <v>3</v>
      </c>
      <c r="Q297" s="77" t="s">
        <v>19</v>
      </c>
      <c r="R297" s="77">
        <f t="shared" ref="R297:R306" ca="1" si="53">(O297-NOW()+1)/31</f>
        <v>6.6270175888590357</v>
      </c>
      <c r="S297" s="77" t="str">
        <f t="shared" ca="1" si="47"/>
        <v>O</v>
      </c>
      <c r="T297" s="84">
        <v>1</v>
      </c>
      <c r="U297" s="84">
        <v>3</v>
      </c>
      <c r="V297" s="84">
        <v>1</v>
      </c>
      <c r="W297" s="84">
        <f t="shared" si="51"/>
        <v>5</v>
      </c>
      <c r="X297" s="84" t="str">
        <f t="shared" si="48"/>
        <v>Biasa</v>
      </c>
      <c r="Y297" s="78" t="s">
        <v>686</v>
      </c>
      <c r="Z297" s="115"/>
      <c r="AA297" s="82"/>
      <c r="AB297" s="82"/>
      <c r="AC297" s="82"/>
      <c r="AD297" s="27"/>
      <c r="AE297" s="85"/>
      <c r="AF297" s="77" t="s">
        <v>1193</v>
      </c>
      <c r="AG297" s="77" t="s">
        <v>150</v>
      </c>
      <c r="AH297" s="21"/>
      <c r="AI297" s="21"/>
      <c r="AJ297" s="21"/>
      <c r="AK297" s="21"/>
      <c r="AL297" s="21"/>
      <c r="AM297" s="27" t="s">
        <v>687</v>
      </c>
      <c r="AN297" s="86"/>
      <c r="AO297" s="87"/>
      <c r="AP297" s="4"/>
      <c r="AQ297" s="4"/>
      <c r="AR297" s="4"/>
      <c r="AS297" s="4"/>
      <c r="AT297" s="4"/>
    </row>
    <row r="298" spans="1:46" s="88" customFormat="1" ht="111.95" hidden="1" customHeight="1" x14ac:dyDescent="0.25">
      <c r="A298" s="76">
        <v>231</v>
      </c>
      <c r="B298" s="76" t="s">
        <v>74</v>
      </c>
      <c r="C298" s="76" t="s">
        <v>1194</v>
      </c>
      <c r="D298" s="76">
        <v>35</v>
      </c>
      <c r="E298" s="76" t="s">
        <v>217</v>
      </c>
      <c r="F298" s="78" t="s">
        <v>1217</v>
      </c>
      <c r="G298" s="79" t="s">
        <v>280</v>
      </c>
      <c r="H298" s="79" t="s">
        <v>627</v>
      </c>
      <c r="I298" s="80" t="s">
        <v>1339</v>
      </c>
      <c r="J298" s="79" t="s">
        <v>1218</v>
      </c>
      <c r="K298" s="79" t="s">
        <v>628</v>
      </c>
      <c r="L298" s="81">
        <v>103000000</v>
      </c>
      <c r="M298" s="81" t="s">
        <v>282</v>
      </c>
      <c r="N298" s="82">
        <v>44895</v>
      </c>
      <c r="O298" s="82">
        <v>45322</v>
      </c>
      <c r="P298" s="83">
        <f t="shared" si="52"/>
        <v>1.1698630136986301</v>
      </c>
      <c r="Q298" s="77" t="s">
        <v>19</v>
      </c>
      <c r="R298" s="77">
        <f t="shared" ca="1" si="53"/>
        <v>2.0786304920848417</v>
      </c>
      <c r="S298" s="77" t="str">
        <f t="shared" ca="1" si="47"/>
        <v>O</v>
      </c>
      <c r="T298" s="84">
        <v>1</v>
      </c>
      <c r="U298" s="84">
        <v>3</v>
      </c>
      <c r="V298" s="84">
        <v>1</v>
      </c>
      <c r="W298" s="84">
        <f t="shared" si="51"/>
        <v>5</v>
      </c>
      <c r="X298" s="84" t="str">
        <f t="shared" si="48"/>
        <v>Biasa</v>
      </c>
      <c r="Y298" s="78" t="s">
        <v>319</v>
      </c>
      <c r="Z298" s="115"/>
      <c r="AA298" s="82"/>
      <c r="AB298" s="82"/>
      <c r="AC298" s="82"/>
      <c r="AD298" s="27"/>
      <c r="AE298" s="85"/>
      <c r="AF298" s="77" t="s">
        <v>168</v>
      </c>
      <c r="AG298" s="77" t="s">
        <v>81</v>
      </c>
      <c r="AH298" s="21" t="s">
        <v>81</v>
      </c>
      <c r="AI298" s="21" t="s">
        <v>81</v>
      </c>
      <c r="AJ298" s="21" t="s">
        <v>81</v>
      </c>
      <c r="AK298" s="21" t="s">
        <v>81</v>
      </c>
      <c r="AL298" s="21" t="s">
        <v>81</v>
      </c>
      <c r="AM298" s="27" t="s">
        <v>100</v>
      </c>
      <c r="AN298" s="86">
        <v>44902</v>
      </c>
      <c r="AO298" s="87"/>
      <c r="AP298" s="4"/>
      <c r="AQ298" s="4"/>
      <c r="AR298" s="4"/>
      <c r="AS298" s="4"/>
      <c r="AT298" s="4"/>
    </row>
    <row r="299" spans="1:46" s="88" customFormat="1" ht="111.95" hidden="1" customHeight="1" x14ac:dyDescent="0.25">
      <c r="A299" s="76">
        <v>232</v>
      </c>
      <c r="B299" s="76" t="s">
        <v>74</v>
      </c>
      <c r="C299" s="76" t="s">
        <v>1194</v>
      </c>
      <c r="D299" s="76">
        <v>36</v>
      </c>
      <c r="E299" s="76" t="s">
        <v>217</v>
      </c>
      <c r="F299" s="78" t="s">
        <v>1246</v>
      </c>
      <c r="G299" s="79" t="s">
        <v>1247</v>
      </c>
      <c r="H299" s="79" t="s">
        <v>1248</v>
      </c>
      <c r="I299" s="80" t="s">
        <v>1339</v>
      </c>
      <c r="J299" s="79" t="s">
        <v>1249</v>
      </c>
      <c r="K299" s="79" t="s">
        <v>1250</v>
      </c>
      <c r="L299" s="81">
        <v>340415400</v>
      </c>
      <c r="M299" s="81" t="s">
        <v>282</v>
      </c>
      <c r="N299" s="82">
        <v>44896</v>
      </c>
      <c r="O299" s="82">
        <v>45260</v>
      </c>
      <c r="P299" s="83">
        <f t="shared" si="52"/>
        <v>0.99726027397260275</v>
      </c>
      <c r="Q299" s="77" t="s">
        <v>20</v>
      </c>
      <c r="R299" s="77">
        <f t="shared" ca="1" si="53"/>
        <v>7.8630492084841769E-2</v>
      </c>
      <c r="S299" s="77" t="str">
        <f t="shared" ca="1" si="47"/>
        <v>O</v>
      </c>
      <c r="T299" s="84">
        <v>3</v>
      </c>
      <c r="U299" s="84">
        <v>3</v>
      </c>
      <c r="V299" s="84">
        <v>1</v>
      </c>
      <c r="W299" s="84">
        <f t="shared" si="51"/>
        <v>7</v>
      </c>
      <c r="X299" s="84" t="str">
        <f t="shared" si="48"/>
        <v>Penting</v>
      </c>
      <c r="Y299" s="78" t="s">
        <v>1419</v>
      </c>
      <c r="Z299" s="115"/>
      <c r="AA299" s="82"/>
      <c r="AB299" s="82"/>
      <c r="AC299" s="82"/>
      <c r="AD299" s="27"/>
      <c r="AE299" s="85"/>
      <c r="AF299" s="77" t="s">
        <v>345</v>
      </c>
      <c r="AG299" s="77" t="s">
        <v>81</v>
      </c>
      <c r="AH299" s="21" t="s">
        <v>81</v>
      </c>
      <c r="AI299" s="21" t="s">
        <v>81</v>
      </c>
      <c r="AJ299" s="21" t="s">
        <v>81</v>
      </c>
      <c r="AK299" s="21" t="s">
        <v>81</v>
      </c>
      <c r="AL299" s="21" t="s">
        <v>81</v>
      </c>
      <c r="AM299" s="27" t="s">
        <v>100</v>
      </c>
      <c r="AN299" s="86">
        <v>44902</v>
      </c>
      <c r="AO299" s="87"/>
      <c r="AP299" s="4"/>
      <c r="AQ299" s="4"/>
      <c r="AR299" s="4"/>
      <c r="AS299" s="4"/>
      <c r="AT299" s="4"/>
    </row>
    <row r="300" spans="1:46" s="88" customFormat="1" ht="111.95" hidden="1" customHeight="1" x14ac:dyDescent="0.25">
      <c r="A300" s="76">
        <v>233</v>
      </c>
      <c r="B300" s="76" t="s">
        <v>74</v>
      </c>
      <c r="C300" s="76" t="s">
        <v>1194</v>
      </c>
      <c r="D300" s="76">
        <v>38</v>
      </c>
      <c r="E300" s="76" t="s">
        <v>217</v>
      </c>
      <c r="F300" s="78" t="s">
        <v>1256</v>
      </c>
      <c r="G300" s="79" t="s">
        <v>1257</v>
      </c>
      <c r="H300" s="79" t="s">
        <v>392</v>
      </c>
      <c r="I300" s="80" t="s">
        <v>1339</v>
      </c>
      <c r="J300" s="79" t="s">
        <v>1258</v>
      </c>
      <c r="K300" s="79" t="s">
        <v>394</v>
      </c>
      <c r="L300" s="81">
        <v>134400000</v>
      </c>
      <c r="M300" s="81" t="s">
        <v>282</v>
      </c>
      <c r="N300" s="82">
        <v>44896</v>
      </c>
      <c r="O300" s="82">
        <v>45280</v>
      </c>
      <c r="P300" s="83">
        <f t="shared" si="52"/>
        <v>1.0520547945205478</v>
      </c>
      <c r="Q300" s="77" t="s">
        <v>19</v>
      </c>
      <c r="R300" s="77">
        <f t="shared" ca="1" si="53"/>
        <v>0.72379178240742237</v>
      </c>
      <c r="S300" s="77" t="str">
        <f t="shared" ca="1" si="47"/>
        <v>O</v>
      </c>
      <c r="T300" s="84">
        <v>1</v>
      </c>
      <c r="U300" s="84">
        <v>3</v>
      </c>
      <c r="V300" s="84">
        <v>1</v>
      </c>
      <c r="W300" s="84">
        <f t="shared" si="51"/>
        <v>5</v>
      </c>
      <c r="X300" s="84" t="str">
        <f t="shared" si="48"/>
        <v>Biasa</v>
      </c>
      <c r="Y300" s="78" t="s">
        <v>1259</v>
      </c>
      <c r="Z300" s="115"/>
      <c r="AA300" s="82"/>
      <c r="AB300" s="82"/>
      <c r="AC300" s="82"/>
      <c r="AD300" s="27"/>
      <c r="AE300" s="85"/>
      <c r="AF300" s="77" t="s">
        <v>192</v>
      </c>
      <c r="AG300" s="77" t="s">
        <v>81</v>
      </c>
      <c r="AH300" s="21" t="s">
        <v>81</v>
      </c>
      <c r="AI300" s="21" t="s">
        <v>81</v>
      </c>
      <c r="AJ300" s="21" t="s">
        <v>81</v>
      </c>
      <c r="AK300" s="21" t="s">
        <v>81</v>
      </c>
      <c r="AL300" s="21" t="s">
        <v>81</v>
      </c>
      <c r="AM300" s="27" t="s">
        <v>100</v>
      </c>
      <c r="AN300" s="86">
        <v>44902</v>
      </c>
      <c r="AO300" s="87"/>
      <c r="AP300" s="4"/>
      <c r="AQ300" s="4"/>
      <c r="AR300" s="4"/>
      <c r="AS300" s="4"/>
      <c r="AT300" s="4"/>
    </row>
    <row r="301" spans="1:46" s="88" customFormat="1" ht="111.95" hidden="1" customHeight="1" x14ac:dyDescent="0.25">
      <c r="A301" s="76">
        <v>234</v>
      </c>
      <c r="B301" s="76" t="s">
        <v>74</v>
      </c>
      <c r="C301" s="76" t="s">
        <v>1194</v>
      </c>
      <c r="D301" s="76">
        <v>39</v>
      </c>
      <c r="E301" s="76" t="s">
        <v>217</v>
      </c>
      <c r="F301" s="78" t="s">
        <v>1265</v>
      </c>
      <c r="G301" s="79" t="s">
        <v>1266</v>
      </c>
      <c r="H301" s="79" t="s">
        <v>284</v>
      </c>
      <c r="I301" s="80" t="s">
        <v>1339</v>
      </c>
      <c r="J301" s="79" t="s">
        <v>1267</v>
      </c>
      <c r="K301" s="79" t="s">
        <v>1268</v>
      </c>
      <c r="L301" s="81">
        <v>104105000</v>
      </c>
      <c r="M301" s="81" t="s">
        <v>282</v>
      </c>
      <c r="N301" s="82">
        <v>44914</v>
      </c>
      <c r="O301" s="82">
        <v>45310</v>
      </c>
      <c r="P301" s="83">
        <f t="shared" si="52"/>
        <v>1.0849315068493151</v>
      </c>
      <c r="Q301" s="77" t="s">
        <v>19</v>
      </c>
      <c r="R301" s="77">
        <f t="shared" ca="1" si="53"/>
        <v>1.6915337178912935</v>
      </c>
      <c r="S301" s="77" t="str">
        <f t="shared" ca="1" si="47"/>
        <v>O</v>
      </c>
      <c r="T301" s="84">
        <v>1</v>
      </c>
      <c r="U301" s="84">
        <v>3</v>
      </c>
      <c r="V301" s="84">
        <v>1</v>
      </c>
      <c r="W301" s="84">
        <f t="shared" si="51"/>
        <v>5</v>
      </c>
      <c r="X301" s="84" t="str">
        <f t="shared" si="48"/>
        <v>Biasa</v>
      </c>
      <c r="Y301" s="78" t="s">
        <v>319</v>
      </c>
      <c r="Z301" s="115"/>
      <c r="AA301" s="82"/>
      <c r="AB301" s="82"/>
      <c r="AC301" s="82"/>
      <c r="AD301" s="27"/>
      <c r="AE301" s="85"/>
      <c r="AF301" s="77" t="s">
        <v>192</v>
      </c>
      <c r="AG301" s="77" t="s">
        <v>81</v>
      </c>
      <c r="AH301" s="21" t="s">
        <v>81</v>
      </c>
      <c r="AI301" s="21" t="s">
        <v>81</v>
      </c>
      <c r="AJ301" s="21" t="s">
        <v>81</v>
      </c>
      <c r="AK301" s="21" t="s">
        <v>81</v>
      </c>
      <c r="AL301" s="21" t="s">
        <v>81</v>
      </c>
      <c r="AM301" s="27" t="s">
        <v>100</v>
      </c>
      <c r="AN301" s="86">
        <v>44917</v>
      </c>
      <c r="AO301" s="87"/>
      <c r="AP301" s="4"/>
      <c r="AQ301" s="4"/>
      <c r="AR301" s="4"/>
      <c r="AS301" s="4"/>
      <c r="AT301" s="4"/>
    </row>
    <row r="302" spans="1:46" s="88" customFormat="1" ht="111.95" hidden="1" customHeight="1" x14ac:dyDescent="0.25">
      <c r="A302" s="76">
        <v>235</v>
      </c>
      <c r="B302" s="76" t="s">
        <v>74</v>
      </c>
      <c r="C302" s="76" t="s">
        <v>1264</v>
      </c>
      <c r="D302" s="76">
        <v>2</v>
      </c>
      <c r="E302" s="76" t="s">
        <v>217</v>
      </c>
      <c r="F302" s="78" t="s">
        <v>1351</v>
      </c>
      <c r="G302" s="79" t="s">
        <v>1352</v>
      </c>
      <c r="H302" s="79" t="s">
        <v>392</v>
      </c>
      <c r="I302" s="80" t="s">
        <v>1339</v>
      </c>
      <c r="J302" s="79" t="s">
        <v>1353</v>
      </c>
      <c r="K302" s="79" t="s">
        <v>394</v>
      </c>
      <c r="L302" s="81">
        <v>14000000</v>
      </c>
      <c r="M302" s="81" t="s">
        <v>282</v>
      </c>
      <c r="N302" s="82">
        <v>45108</v>
      </c>
      <c r="O302" s="82">
        <v>45473</v>
      </c>
      <c r="P302" s="83">
        <f t="shared" si="52"/>
        <v>1</v>
      </c>
      <c r="Q302" s="77" t="s">
        <v>19</v>
      </c>
      <c r="R302" s="77">
        <f t="shared" ca="1" si="53"/>
        <v>6.9495982340203257</v>
      </c>
      <c r="S302" s="77" t="str">
        <f t="shared" ca="1" si="47"/>
        <v>O</v>
      </c>
      <c r="T302" s="84">
        <v>1</v>
      </c>
      <c r="U302" s="84">
        <v>2</v>
      </c>
      <c r="V302" s="84">
        <v>1</v>
      </c>
      <c r="W302" s="84">
        <f t="shared" si="51"/>
        <v>4</v>
      </c>
      <c r="X302" s="84" t="str">
        <f t="shared" si="48"/>
        <v>Biasa</v>
      </c>
      <c r="Y302" s="78"/>
      <c r="Z302" s="115"/>
      <c r="AA302" s="82"/>
      <c r="AB302" s="82"/>
      <c r="AC302" s="82"/>
      <c r="AD302" s="27" t="s">
        <v>86</v>
      </c>
      <c r="AE302" s="85">
        <v>45108</v>
      </c>
      <c r="AF302" s="77" t="s">
        <v>192</v>
      </c>
      <c r="AG302" s="77" t="s">
        <v>81</v>
      </c>
      <c r="AH302" s="21" t="s">
        <v>81</v>
      </c>
      <c r="AI302" s="21" t="s">
        <v>81</v>
      </c>
      <c r="AJ302" s="21" t="s">
        <v>81</v>
      </c>
      <c r="AK302" s="21" t="s">
        <v>81</v>
      </c>
      <c r="AL302" s="21" t="s">
        <v>81</v>
      </c>
      <c r="AM302" s="27" t="s">
        <v>100</v>
      </c>
      <c r="AN302" s="86">
        <v>45104</v>
      </c>
      <c r="AO302" s="87"/>
      <c r="AP302" s="4"/>
      <c r="AQ302" s="4"/>
      <c r="AR302" s="4"/>
      <c r="AS302" s="4"/>
      <c r="AT302" s="4"/>
    </row>
    <row r="303" spans="1:46" s="88" customFormat="1" ht="111.95" hidden="1" customHeight="1" x14ac:dyDescent="0.25">
      <c r="A303" s="76">
        <v>236</v>
      </c>
      <c r="B303" s="76" t="s">
        <v>74</v>
      </c>
      <c r="C303" s="76" t="s">
        <v>1264</v>
      </c>
      <c r="D303" s="76">
        <v>3</v>
      </c>
      <c r="E303" s="76" t="s">
        <v>217</v>
      </c>
      <c r="F303" s="78" t="s">
        <v>1413</v>
      </c>
      <c r="G303" s="79" t="s">
        <v>1414</v>
      </c>
      <c r="H303" s="79" t="s">
        <v>1415</v>
      </c>
      <c r="I303" s="80" t="s">
        <v>1339</v>
      </c>
      <c r="J303" s="79" t="s">
        <v>1416</v>
      </c>
      <c r="K303" s="79" t="s">
        <v>1417</v>
      </c>
      <c r="L303" s="81">
        <v>148650000</v>
      </c>
      <c r="M303" s="81" t="s">
        <v>282</v>
      </c>
      <c r="N303" s="82">
        <v>44970</v>
      </c>
      <c r="O303" s="82">
        <v>45349</v>
      </c>
      <c r="P303" s="83">
        <f t="shared" si="52"/>
        <v>1.0383561643835617</v>
      </c>
      <c r="Q303" s="77" t="s">
        <v>19</v>
      </c>
      <c r="R303" s="77">
        <f t="shared" ca="1" si="53"/>
        <v>2.9495982414875703</v>
      </c>
      <c r="S303" s="77" t="str">
        <f t="shared" ca="1" si="47"/>
        <v>O</v>
      </c>
      <c r="T303" s="84">
        <v>1</v>
      </c>
      <c r="U303" s="84">
        <v>3</v>
      </c>
      <c r="V303" s="84">
        <v>1</v>
      </c>
      <c r="W303" s="84">
        <f t="shared" si="51"/>
        <v>5</v>
      </c>
      <c r="X303" s="84" t="str">
        <f t="shared" si="48"/>
        <v>Biasa</v>
      </c>
      <c r="Y303" s="78" t="s">
        <v>307</v>
      </c>
      <c r="Z303" s="115"/>
      <c r="AA303" s="82"/>
      <c r="AB303" s="82"/>
      <c r="AC303" s="82"/>
      <c r="AD303" s="27" t="s">
        <v>86</v>
      </c>
      <c r="AE303" s="85">
        <v>44958</v>
      </c>
      <c r="AF303" s="77" t="s">
        <v>168</v>
      </c>
      <c r="AG303" s="77" t="s">
        <v>81</v>
      </c>
      <c r="AH303" s="21" t="s">
        <v>81</v>
      </c>
      <c r="AI303" s="21" t="s">
        <v>81</v>
      </c>
      <c r="AJ303" s="21" t="s">
        <v>81</v>
      </c>
      <c r="AK303" s="21" t="s">
        <v>81</v>
      </c>
      <c r="AL303" s="21" t="s">
        <v>81</v>
      </c>
      <c r="AM303" s="27" t="s">
        <v>100</v>
      </c>
      <c r="AN303" s="86">
        <v>44969</v>
      </c>
      <c r="AO303" s="87"/>
      <c r="AP303" s="4"/>
      <c r="AQ303" s="4"/>
      <c r="AR303" s="4"/>
      <c r="AS303" s="4"/>
      <c r="AT303" s="4"/>
    </row>
    <row r="304" spans="1:46" s="88" customFormat="1" ht="111.95" hidden="1" customHeight="1" x14ac:dyDescent="0.25">
      <c r="A304" s="76">
        <v>237</v>
      </c>
      <c r="B304" s="76" t="s">
        <v>74</v>
      </c>
      <c r="C304" s="76" t="s">
        <v>1264</v>
      </c>
      <c r="D304" s="76">
        <v>4</v>
      </c>
      <c r="E304" s="76" t="s">
        <v>82</v>
      </c>
      <c r="F304" s="78" t="s">
        <v>1448</v>
      </c>
      <c r="G304" s="79" t="s">
        <v>1449</v>
      </c>
      <c r="H304" s="79" t="s">
        <v>1450</v>
      </c>
      <c r="I304" s="80" t="s">
        <v>1339</v>
      </c>
      <c r="J304" s="79" t="s">
        <v>1451</v>
      </c>
      <c r="K304" s="142" t="s">
        <v>1452</v>
      </c>
      <c r="L304" s="81">
        <v>20000000</v>
      </c>
      <c r="M304" s="81" t="s">
        <v>96</v>
      </c>
      <c r="N304" s="82">
        <v>45108</v>
      </c>
      <c r="O304" s="82">
        <v>45838</v>
      </c>
      <c r="P304" s="83">
        <f t="shared" si="52"/>
        <v>2</v>
      </c>
      <c r="Q304" s="77" t="s">
        <v>26</v>
      </c>
      <c r="R304" s="77">
        <f t="shared" ca="1" si="53"/>
        <v>18.723791789874667</v>
      </c>
      <c r="S304" s="77" t="str">
        <f t="shared" ca="1" si="47"/>
        <v>O</v>
      </c>
      <c r="T304" s="84">
        <v>1</v>
      </c>
      <c r="U304" s="84">
        <v>2</v>
      </c>
      <c r="V304" s="84">
        <v>3</v>
      </c>
      <c r="W304" s="84">
        <f t="shared" si="51"/>
        <v>6</v>
      </c>
      <c r="X304" s="84" t="str">
        <f t="shared" si="48"/>
        <v>Penting</v>
      </c>
      <c r="Y304" s="78"/>
      <c r="Z304" s="115" t="s">
        <v>81</v>
      </c>
      <c r="AA304" s="82">
        <f>N304+270</f>
        <v>45378</v>
      </c>
      <c r="AB304" s="82"/>
      <c r="AC304" s="82"/>
      <c r="AD304" s="27" t="s">
        <v>86</v>
      </c>
      <c r="AE304" s="85">
        <v>45108</v>
      </c>
      <c r="AF304" s="77" t="s">
        <v>236</v>
      </c>
      <c r="AG304" s="77" t="s">
        <v>81</v>
      </c>
      <c r="AH304" s="21" t="s">
        <v>81</v>
      </c>
      <c r="AI304" s="21" t="s">
        <v>81</v>
      </c>
      <c r="AJ304" s="21" t="s">
        <v>81</v>
      </c>
      <c r="AK304" s="21" t="s">
        <v>81</v>
      </c>
      <c r="AL304" s="21" t="s">
        <v>81</v>
      </c>
      <c r="AM304" s="27" t="s">
        <v>100</v>
      </c>
      <c r="AN304" s="86">
        <v>45091</v>
      </c>
      <c r="AO304" s="87"/>
      <c r="AP304" s="4"/>
      <c r="AQ304" s="4"/>
      <c r="AR304" s="4"/>
      <c r="AS304" s="4"/>
      <c r="AT304" s="4"/>
    </row>
    <row r="305" spans="1:48" s="88" customFormat="1" ht="111.95" hidden="1" customHeight="1" x14ac:dyDescent="0.25">
      <c r="A305" s="76">
        <v>238</v>
      </c>
      <c r="B305" s="76" t="s">
        <v>74</v>
      </c>
      <c r="C305" s="76" t="s">
        <v>1264</v>
      </c>
      <c r="D305" s="76">
        <v>5</v>
      </c>
      <c r="E305" s="76" t="s">
        <v>217</v>
      </c>
      <c r="F305" s="78" t="s">
        <v>1455</v>
      </c>
      <c r="G305" s="79" t="s">
        <v>1456</v>
      </c>
      <c r="H305" s="79" t="s">
        <v>1457</v>
      </c>
      <c r="I305" s="80" t="s">
        <v>1339</v>
      </c>
      <c r="J305" s="79" t="s">
        <v>1458</v>
      </c>
      <c r="K305" s="79"/>
      <c r="L305" s="81"/>
      <c r="M305" s="81"/>
      <c r="N305" s="82">
        <v>45108</v>
      </c>
      <c r="O305" s="82">
        <v>46387</v>
      </c>
      <c r="P305" s="83">
        <f t="shared" si="52"/>
        <v>3.504109589041096</v>
      </c>
      <c r="Q305" s="77" t="s">
        <v>20</v>
      </c>
      <c r="R305" s="77">
        <f t="shared" ca="1" si="53"/>
        <v>36.433469209229507</v>
      </c>
      <c r="S305" s="77" t="str">
        <f t="shared" ref="S305:S306" ca="1" si="54">IF(R305="End","Z",IF(R305="Cancel","C",IF(SUM(R305)&gt;0,"O",IF(ISBLANK(R305),"X",IF(SUM(R305)&lt;0,"Y",IF(SUM(R305),"-","O"))))))</f>
        <v>O</v>
      </c>
      <c r="T305" s="84">
        <v>1</v>
      </c>
      <c r="U305" s="84">
        <v>1</v>
      </c>
      <c r="V305" s="84">
        <v>1</v>
      </c>
      <c r="W305" s="84">
        <f t="shared" si="51"/>
        <v>3</v>
      </c>
      <c r="X305" s="84" t="str">
        <f t="shared" ref="X305:X306" si="55">IF(W305&gt;5,"Penting",IF(ISBLANK(W305),"","Biasa"))</f>
        <v>Biasa</v>
      </c>
      <c r="Y305" s="78"/>
      <c r="Z305" s="115" t="s">
        <v>81</v>
      </c>
      <c r="AA305" s="82">
        <f>N305+270</f>
        <v>45378</v>
      </c>
      <c r="AB305" s="82">
        <f>N305+635</f>
        <v>45743</v>
      </c>
      <c r="AC305" s="82">
        <f>N305+1000</f>
        <v>46108</v>
      </c>
      <c r="AD305" s="27" t="s">
        <v>86</v>
      </c>
      <c r="AE305" s="85">
        <v>45108</v>
      </c>
      <c r="AF305" s="77" t="s">
        <v>345</v>
      </c>
      <c r="AG305" s="77" t="s">
        <v>81</v>
      </c>
      <c r="AH305" s="21" t="s">
        <v>81</v>
      </c>
      <c r="AI305" s="21" t="s">
        <v>81</v>
      </c>
      <c r="AJ305" s="21" t="s">
        <v>81</v>
      </c>
      <c r="AK305" s="21" t="s">
        <v>81</v>
      </c>
      <c r="AL305" s="21" t="s">
        <v>81</v>
      </c>
      <c r="AM305" s="27" t="s">
        <v>100</v>
      </c>
      <c r="AN305" s="86">
        <v>45134</v>
      </c>
      <c r="AO305" s="87"/>
      <c r="AP305" s="4"/>
      <c r="AQ305" s="4"/>
      <c r="AR305" s="4"/>
      <c r="AV305" s="93"/>
    </row>
    <row r="306" spans="1:48" s="88" customFormat="1" ht="111.95" hidden="1" customHeight="1" x14ac:dyDescent="0.25">
      <c r="A306" s="76">
        <v>239</v>
      </c>
      <c r="B306" s="76" t="s">
        <v>74</v>
      </c>
      <c r="C306" s="76" t="s">
        <v>1264</v>
      </c>
      <c r="D306" s="76">
        <v>6</v>
      </c>
      <c r="E306" s="76" t="s">
        <v>217</v>
      </c>
      <c r="F306" s="78" t="s">
        <v>1461</v>
      </c>
      <c r="G306" s="79" t="s">
        <v>1462</v>
      </c>
      <c r="H306" s="79" t="s">
        <v>1463</v>
      </c>
      <c r="I306" s="80" t="s">
        <v>1339</v>
      </c>
      <c r="J306" s="79" t="s">
        <v>1465</v>
      </c>
      <c r="K306" s="142" t="s">
        <v>1464</v>
      </c>
      <c r="L306" s="81">
        <v>35000</v>
      </c>
      <c r="M306" s="81" t="s">
        <v>1466</v>
      </c>
      <c r="N306" s="82">
        <v>44986</v>
      </c>
      <c r="O306" s="82">
        <v>45351</v>
      </c>
      <c r="P306" s="83">
        <f t="shared" si="52"/>
        <v>1</v>
      </c>
      <c r="Q306" s="77" t="s">
        <v>23</v>
      </c>
      <c r="R306" s="77">
        <f t="shared" ca="1" si="53"/>
        <v>3.0141143705198288</v>
      </c>
      <c r="S306" s="77" t="str">
        <f t="shared" ca="1" si="54"/>
        <v>O</v>
      </c>
      <c r="T306" s="84">
        <v>1</v>
      </c>
      <c r="U306" s="84">
        <v>1</v>
      </c>
      <c r="V306" s="84">
        <v>1</v>
      </c>
      <c r="W306" s="84">
        <f t="shared" si="51"/>
        <v>3</v>
      </c>
      <c r="X306" s="84" t="str">
        <f t="shared" si="55"/>
        <v>Biasa</v>
      </c>
      <c r="Y306" s="78"/>
      <c r="Z306" s="115"/>
      <c r="AA306" s="82"/>
      <c r="AB306" s="82"/>
      <c r="AC306" s="82"/>
      <c r="AD306" s="27" t="s">
        <v>86</v>
      </c>
      <c r="AE306" s="85">
        <v>44986</v>
      </c>
      <c r="AF306" s="77" t="s">
        <v>1453</v>
      </c>
      <c r="AG306" s="77" t="s">
        <v>81</v>
      </c>
      <c r="AH306" s="21" t="s">
        <v>81</v>
      </c>
      <c r="AI306" s="21" t="s">
        <v>81</v>
      </c>
      <c r="AJ306" s="21" t="s">
        <v>81</v>
      </c>
      <c r="AK306" s="21" t="s">
        <v>81</v>
      </c>
      <c r="AL306" s="21" t="s">
        <v>81</v>
      </c>
      <c r="AM306" s="27" t="s">
        <v>100</v>
      </c>
      <c r="AN306" s="86">
        <v>45010</v>
      </c>
      <c r="AO306" s="87"/>
      <c r="AP306" s="4"/>
      <c r="AQ306" s="4"/>
      <c r="AR306" s="4"/>
      <c r="AV306" s="93"/>
    </row>
    <row r="307" spans="1:48" s="88" customFormat="1" ht="111.95" hidden="1" customHeight="1" x14ac:dyDescent="0.25">
      <c r="A307" s="76">
        <v>240</v>
      </c>
      <c r="B307" s="76" t="s">
        <v>74</v>
      </c>
      <c r="C307" s="76"/>
      <c r="D307" s="76"/>
      <c r="E307" s="76"/>
      <c r="F307" s="78"/>
      <c r="G307" s="79" t="s">
        <v>813</v>
      </c>
      <c r="H307" s="79" t="s">
        <v>814</v>
      </c>
      <c r="I307" s="80"/>
      <c r="J307" s="79"/>
      <c r="K307" s="141"/>
      <c r="L307" s="81"/>
      <c r="M307" s="81"/>
      <c r="N307" s="82"/>
      <c r="O307" s="82"/>
      <c r="P307" s="83"/>
      <c r="Q307" s="77" t="s">
        <v>22</v>
      </c>
      <c r="R307" s="77"/>
      <c r="S307" s="77" t="str">
        <f t="shared" si="47"/>
        <v>X</v>
      </c>
      <c r="T307" s="84">
        <v>3</v>
      </c>
      <c r="U307" s="84">
        <v>3</v>
      </c>
      <c r="V307" s="84">
        <v>3</v>
      </c>
      <c r="W307" s="84">
        <f t="shared" si="51"/>
        <v>9</v>
      </c>
      <c r="X307" s="84" t="str">
        <f t="shared" si="48"/>
        <v>Penting</v>
      </c>
      <c r="Y307" s="78" t="s">
        <v>815</v>
      </c>
      <c r="Z307" s="115"/>
      <c r="AA307" s="82"/>
      <c r="AB307" s="82"/>
      <c r="AC307" s="82"/>
      <c r="AD307" s="27"/>
      <c r="AE307" s="85"/>
      <c r="AF307" s="77" t="s">
        <v>816</v>
      </c>
      <c r="AG307" s="77"/>
      <c r="AH307" s="21"/>
      <c r="AI307" s="21"/>
      <c r="AJ307" s="21"/>
      <c r="AK307" s="21"/>
      <c r="AL307" s="21"/>
      <c r="AM307" s="27"/>
      <c r="AN307" s="86"/>
      <c r="AO307" s="87"/>
      <c r="AP307" s="4"/>
      <c r="AQ307" s="4"/>
      <c r="AR307" s="4"/>
      <c r="AS307" s="4"/>
      <c r="AT307" s="4"/>
    </row>
    <row r="308" spans="1:48" s="88" customFormat="1" ht="111.95" hidden="1" customHeight="1" x14ac:dyDescent="0.25">
      <c r="A308" s="76">
        <v>241</v>
      </c>
      <c r="B308" s="76" t="s">
        <v>74</v>
      </c>
      <c r="C308" s="76"/>
      <c r="D308" s="76"/>
      <c r="E308" s="76"/>
      <c r="F308" s="78"/>
      <c r="G308" s="79" t="s">
        <v>813</v>
      </c>
      <c r="H308" s="79" t="s">
        <v>827</v>
      </c>
      <c r="I308" s="80"/>
      <c r="J308" s="79"/>
      <c r="K308" s="79"/>
      <c r="L308" s="81"/>
      <c r="M308" s="81"/>
      <c r="N308" s="82"/>
      <c r="O308" s="82"/>
      <c r="P308" s="83"/>
      <c r="Q308" s="77" t="s">
        <v>22</v>
      </c>
      <c r="R308" s="77"/>
      <c r="S308" s="77" t="str">
        <f t="shared" si="47"/>
        <v>X</v>
      </c>
      <c r="T308" s="84">
        <v>3</v>
      </c>
      <c r="U308" s="84">
        <v>3</v>
      </c>
      <c r="V308" s="84">
        <v>3</v>
      </c>
      <c r="W308" s="84">
        <f t="shared" si="51"/>
        <v>9</v>
      </c>
      <c r="X308" s="84" t="str">
        <f t="shared" si="48"/>
        <v>Penting</v>
      </c>
      <c r="Y308" s="78" t="s">
        <v>828</v>
      </c>
      <c r="Z308" s="115"/>
      <c r="AA308" s="82"/>
      <c r="AB308" s="82"/>
      <c r="AC308" s="82"/>
      <c r="AD308" s="27" t="s">
        <v>86</v>
      </c>
      <c r="AE308" s="85">
        <v>43497</v>
      </c>
      <c r="AF308" s="77" t="s">
        <v>816</v>
      </c>
      <c r="AG308" s="77"/>
      <c r="AH308" s="21"/>
      <c r="AI308" s="21"/>
      <c r="AJ308" s="21"/>
      <c r="AK308" s="21"/>
      <c r="AL308" s="21"/>
      <c r="AM308" s="27"/>
      <c r="AN308" s="86"/>
      <c r="AO308" s="87"/>
      <c r="AP308" s="4"/>
      <c r="AQ308" s="4"/>
      <c r="AR308" s="4"/>
      <c r="AS308" s="4"/>
      <c r="AT308" s="4"/>
    </row>
    <row r="309" spans="1:48" s="88" customFormat="1" ht="111.95" hidden="1" customHeight="1" x14ac:dyDescent="0.25">
      <c r="A309" s="76">
        <v>242</v>
      </c>
      <c r="B309" s="76" t="s">
        <v>74</v>
      </c>
      <c r="C309" s="76"/>
      <c r="D309" s="76"/>
      <c r="E309" s="76"/>
      <c r="F309" s="78"/>
      <c r="G309" s="79" t="s">
        <v>813</v>
      </c>
      <c r="H309" s="79" t="s">
        <v>829</v>
      </c>
      <c r="I309" s="80"/>
      <c r="J309" s="79"/>
      <c r="K309" s="79"/>
      <c r="L309" s="81"/>
      <c r="M309" s="81"/>
      <c r="N309" s="82"/>
      <c r="O309" s="82"/>
      <c r="P309" s="83"/>
      <c r="Q309" s="77" t="s">
        <v>22</v>
      </c>
      <c r="R309" s="77"/>
      <c r="S309" s="77" t="str">
        <f t="shared" si="47"/>
        <v>X</v>
      </c>
      <c r="T309" s="84">
        <v>3</v>
      </c>
      <c r="U309" s="84">
        <v>3</v>
      </c>
      <c r="V309" s="84">
        <v>3</v>
      </c>
      <c r="W309" s="84">
        <f t="shared" si="51"/>
        <v>9</v>
      </c>
      <c r="X309" s="84" t="str">
        <f t="shared" si="48"/>
        <v>Penting</v>
      </c>
      <c r="Y309" s="78" t="s">
        <v>830</v>
      </c>
      <c r="Z309" s="115"/>
      <c r="AA309" s="82"/>
      <c r="AB309" s="82"/>
      <c r="AC309" s="82"/>
      <c r="AD309" s="27"/>
      <c r="AE309" s="85"/>
      <c r="AF309" s="77" t="s">
        <v>816</v>
      </c>
      <c r="AG309" s="77"/>
      <c r="AH309" s="21"/>
      <c r="AI309" s="21"/>
      <c r="AJ309" s="21"/>
      <c r="AK309" s="21"/>
      <c r="AL309" s="21"/>
      <c r="AM309" s="27"/>
      <c r="AN309" s="86"/>
      <c r="AO309" s="87"/>
      <c r="AP309" s="4"/>
      <c r="AQ309" s="4"/>
      <c r="AR309" s="4"/>
      <c r="AS309" s="4"/>
      <c r="AT309" s="4"/>
    </row>
    <row r="310" spans="1:48" x14ac:dyDescent="0.25">
      <c r="A310" s="94"/>
      <c r="B310" s="94"/>
      <c r="C310" s="94"/>
      <c r="D310" s="94"/>
      <c r="E310" s="94"/>
      <c r="F310" s="94"/>
      <c r="G310" s="95"/>
      <c r="H310" s="95"/>
      <c r="I310" s="95"/>
      <c r="J310" s="95"/>
      <c r="K310" s="95"/>
      <c r="L310" s="95"/>
      <c r="M310" s="95"/>
      <c r="N310" s="96"/>
      <c r="O310" s="96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4"/>
      <c r="AG310" s="94"/>
      <c r="AH310" s="94"/>
      <c r="AI310" s="94"/>
      <c r="AJ310" s="94"/>
      <c r="AK310" s="94"/>
      <c r="AL310" s="94"/>
      <c r="AM310" s="94"/>
      <c r="AN310" s="94"/>
    </row>
    <row r="311" spans="1:48" ht="27.75" x14ac:dyDescent="0.35">
      <c r="A311" s="97"/>
      <c r="B311" s="97"/>
      <c r="C311" s="97"/>
      <c r="D311" s="97"/>
      <c r="E311" s="97"/>
      <c r="F311" s="97"/>
      <c r="G311" s="98"/>
      <c r="H311" s="98"/>
      <c r="I311" s="98"/>
      <c r="J311" s="99"/>
      <c r="K311" s="100"/>
      <c r="L311" s="101"/>
      <c r="M311" s="101"/>
      <c r="N311" s="102"/>
      <c r="O311" s="102"/>
      <c r="P311" s="103"/>
      <c r="Q311" s="104"/>
      <c r="R311" s="105"/>
      <c r="S311" s="106"/>
      <c r="T311" s="106"/>
      <c r="U311" s="106"/>
      <c r="V311" s="106"/>
      <c r="W311" s="107"/>
      <c r="X311" s="107"/>
      <c r="Y311" s="104"/>
      <c r="Z311" s="104"/>
      <c r="AA311" s="104"/>
      <c r="AB311" s="104"/>
      <c r="AC311" s="104"/>
      <c r="AD311" s="104"/>
      <c r="AE311" s="104"/>
      <c r="AF311" s="108"/>
      <c r="AG311" s="108"/>
    </row>
    <row r="312" spans="1:48" ht="27.75" x14ac:dyDescent="0.35">
      <c r="A312" s="97"/>
      <c r="B312" s="97"/>
      <c r="C312" s="97"/>
      <c r="D312" s="97"/>
      <c r="E312" s="97"/>
      <c r="F312" s="97"/>
      <c r="G312" s="98"/>
      <c r="H312" s="98"/>
      <c r="I312" s="98"/>
      <c r="J312" s="99"/>
      <c r="K312" s="100"/>
      <c r="L312" s="101"/>
      <c r="M312" s="101"/>
      <c r="N312" s="102"/>
      <c r="O312" s="102"/>
      <c r="P312" s="103"/>
      <c r="Q312" s="104"/>
      <c r="R312" s="105"/>
      <c r="S312" s="106"/>
      <c r="T312" s="106"/>
      <c r="U312" s="106"/>
      <c r="V312" s="106"/>
      <c r="W312" s="107"/>
      <c r="X312" s="107"/>
      <c r="Y312" s="104"/>
      <c r="Z312" s="104"/>
      <c r="AA312" s="104"/>
      <c r="AB312" s="104"/>
      <c r="AC312" s="104"/>
      <c r="AD312" s="104"/>
      <c r="AE312" s="104"/>
      <c r="AF312" s="108"/>
      <c r="AG312" s="108"/>
    </row>
    <row r="313" spans="1:48" ht="27.75" x14ac:dyDescent="0.35">
      <c r="A313" s="97"/>
      <c r="B313" s="97"/>
      <c r="C313" s="97"/>
      <c r="D313" s="97"/>
      <c r="E313" s="97"/>
      <c r="F313" s="97"/>
      <c r="G313" s="98"/>
      <c r="H313" s="98"/>
      <c r="I313" s="98"/>
      <c r="J313" s="99"/>
      <c r="K313" s="100"/>
      <c r="L313" s="101"/>
      <c r="M313" s="101"/>
      <c r="N313" s="102"/>
      <c r="O313" s="102"/>
      <c r="P313" s="103"/>
      <c r="Q313" s="104"/>
      <c r="R313" s="105"/>
      <c r="S313" s="106"/>
      <c r="T313" s="106"/>
      <c r="U313" s="106"/>
      <c r="V313" s="106"/>
      <c r="W313" s="107"/>
      <c r="X313" s="107"/>
      <c r="Y313" s="104"/>
      <c r="Z313" s="104"/>
      <c r="AA313" s="104"/>
      <c r="AB313" s="104"/>
      <c r="AC313" s="104"/>
      <c r="AD313" s="104"/>
      <c r="AE313" s="104"/>
      <c r="AF313" s="108"/>
      <c r="AG313" s="108"/>
    </row>
    <row r="314" spans="1:48" ht="23.25" x14ac:dyDescent="0.35">
      <c r="A314" s="97"/>
      <c r="B314" s="97"/>
      <c r="C314" s="97"/>
      <c r="D314" s="97"/>
      <c r="E314" s="97"/>
      <c r="F314" s="97"/>
      <c r="G314" s="98"/>
      <c r="H314" s="98"/>
      <c r="I314" s="98"/>
      <c r="J314" s="99"/>
      <c r="K314" s="100"/>
      <c r="L314" s="101"/>
      <c r="M314" s="101"/>
      <c r="N314" s="102"/>
      <c r="O314" s="102"/>
      <c r="P314" s="103"/>
      <c r="Q314" s="104"/>
      <c r="R314" s="104"/>
      <c r="S314" s="106"/>
      <c r="T314" s="106"/>
      <c r="U314" s="106"/>
      <c r="V314" s="106"/>
      <c r="W314" s="106"/>
      <c r="X314" s="106"/>
      <c r="Y314" s="104"/>
      <c r="Z314" s="104"/>
      <c r="AA314" s="104"/>
      <c r="AB314" s="104"/>
      <c r="AC314" s="104"/>
      <c r="AD314" s="104"/>
      <c r="AE314" s="104"/>
      <c r="AF314" s="108"/>
      <c r="AG314" s="108"/>
    </row>
    <row r="315" spans="1:48" ht="23.25" x14ac:dyDescent="0.35">
      <c r="A315" s="97"/>
      <c r="B315" s="97"/>
      <c r="C315" s="97"/>
      <c r="D315" s="97"/>
      <c r="E315" s="97"/>
      <c r="F315" s="97"/>
      <c r="G315" s="98"/>
      <c r="H315" s="98"/>
      <c r="I315" s="98"/>
      <c r="J315" s="99"/>
      <c r="K315" s="100"/>
      <c r="L315" s="101"/>
      <c r="M315" s="101"/>
      <c r="N315" s="102"/>
      <c r="O315" s="102"/>
      <c r="P315" s="103"/>
      <c r="Q315" s="104"/>
      <c r="R315" s="104"/>
      <c r="S315" s="106"/>
      <c r="T315" s="106"/>
      <c r="U315" s="106"/>
      <c r="V315" s="106"/>
      <c r="W315" s="106"/>
      <c r="X315" s="106"/>
      <c r="Y315" s="104"/>
      <c r="Z315" s="104"/>
      <c r="AA315" s="104"/>
      <c r="AB315" s="104"/>
      <c r="AC315" s="104"/>
      <c r="AD315" s="104"/>
      <c r="AE315" s="104"/>
      <c r="AF315" s="108"/>
      <c r="AG315" s="108"/>
    </row>
    <row r="316" spans="1:48" ht="23.25" x14ac:dyDescent="0.35">
      <c r="A316" s="97"/>
      <c r="B316" s="97"/>
      <c r="C316" s="97"/>
      <c r="D316" s="97"/>
      <c r="E316" s="97"/>
      <c r="F316" s="97"/>
      <c r="G316" s="98"/>
      <c r="H316" s="98"/>
      <c r="I316" s="98"/>
      <c r="J316" s="99"/>
      <c r="K316" s="100"/>
      <c r="L316" s="101"/>
      <c r="M316" s="101"/>
      <c r="N316" s="102"/>
      <c r="O316" s="102"/>
      <c r="P316" s="103"/>
      <c r="Q316" s="104"/>
      <c r="R316" s="104"/>
      <c r="S316" s="106"/>
      <c r="T316" s="106"/>
      <c r="U316" s="106"/>
      <c r="V316" s="106"/>
      <c r="W316" s="106"/>
      <c r="X316" s="106"/>
      <c r="Y316" s="104"/>
      <c r="Z316" s="104"/>
      <c r="AA316" s="104"/>
      <c r="AB316" s="104"/>
      <c r="AC316" s="104"/>
      <c r="AD316" s="104"/>
      <c r="AE316" s="104"/>
      <c r="AF316" s="108"/>
      <c r="AG316" s="108"/>
    </row>
    <row r="317" spans="1:48" ht="23.25" x14ac:dyDescent="0.35">
      <c r="A317" s="97"/>
      <c r="B317" s="97"/>
      <c r="C317" s="97"/>
      <c r="D317" s="97"/>
      <c r="E317" s="97"/>
      <c r="F317" s="97"/>
      <c r="G317" s="98"/>
      <c r="H317" s="98"/>
      <c r="I317" s="98"/>
      <c r="J317" s="99"/>
      <c r="K317" s="100"/>
      <c r="L317" s="101"/>
      <c r="M317" s="101"/>
      <c r="N317" s="102"/>
      <c r="O317" s="102"/>
      <c r="P317" s="103"/>
      <c r="Q317" s="104"/>
      <c r="R317" s="104"/>
      <c r="S317" s="106"/>
      <c r="T317" s="106"/>
      <c r="U317" s="106"/>
      <c r="V317" s="106"/>
      <c r="W317" s="106"/>
      <c r="X317" s="106"/>
      <c r="Y317" s="104"/>
      <c r="Z317" s="104"/>
      <c r="AA317" s="104"/>
      <c r="AB317" s="104"/>
      <c r="AC317" s="104"/>
      <c r="AD317" s="104"/>
      <c r="AE317" s="104"/>
      <c r="AF317" s="108"/>
      <c r="AG317" s="108"/>
    </row>
    <row r="318" spans="1:48" ht="23.25" x14ac:dyDescent="0.35">
      <c r="A318" s="97"/>
      <c r="B318" s="97"/>
      <c r="C318" s="97"/>
      <c r="D318" s="97"/>
      <c r="E318" s="97"/>
      <c r="F318" s="97"/>
      <c r="G318" s="98"/>
      <c r="H318" s="98"/>
      <c r="I318" s="98"/>
      <c r="J318" s="99"/>
      <c r="K318" s="100"/>
      <c r="L318" s="101"/>
      <c r="M318" s="101"/>
      <c r="N318" s="102"/>
      <c r="O318" s="102"/>
      <c r="P318" s="103"/>
      <c r="Q318" s="104"/>
      <c r="R318" s="104"/>
      <c r="S318" s="106"/>
      <c r="T318" s="106"/>
      <c r="U318" s="106"/>
      <c r="V318" s="106"/>
      <c r="W318" s="106"/>
      <c r="X318" s="106"/>
      <c r="Y318" s="104"/>
      <c r="Z318" s="104"/>
      <c r="AA318" s="104"/>
      <c r="AB318" s="104"/>
      <c r="AC318" s="104"/>
      <c r="AD318" s="104"/>
      <c r="AE318" s="104"/>
      <c r="AF318" s="108"/>
      <c r="AG318" s="108"/>
    </row>
    <row r="319" spans="1:48" ht="23.25" x14ac:dyDescent="0.35">
      <c r="A319" s="97"/>
      <c r="B319" s="97"/>
      <c r="C319" s="97"/>
      <c r="D319" s="97"/>
      <c r="E319" s="97"/>
      <c r="F319" s="97"/>
      <c r="G319" s="98"/>
      <c r="H319" s="98"/>
      <c r="I319" s="98"/>
      <c r="J319" s="99"/>
      <c r="K319" s="100"/>
      <c r="L319" s="101"/>
      <c r="M319" s="101"/>
      <c r="N319" s="102"/>
      <c r="O319" s="102"/>
      <c r="P319" s="103"/>
      <c r="Q319" s="104"/>
      <c r="R319" s="104"/>
      <c r="S319" s="106"/>
      <c r="T319" s="106"/>
      <c r="U319" s="106"/>
      <c r="V319" s="106"/>
      <c r="W319" s="106"/>
      <c r="X319" s="106"/>
      <c r="Y319" s="104"/>
      <c r="Z319" s="104"/>
      <c r="AA319" s="104"/>
      <c r="AB319" s="104"/>
      <c r="AC319" s="104"/>
      <c r="AD319" s="104"/>
      <c r="AE319" s="104"/>
      <c r="AF319" s="108"/>
      <c r="AG319" s="108"/>
    </row>
    <row r="320" spans="1:48" ht="35.25" x14ac:dyDescent="0.5">
      <c r="J320" s="109"/>
    </row>
    <row r="321" spans="1:79" ht="35.25" x14ac:dyDescent="0.5">
      <c r="J321" s="109"/>
    </row>
    <row r="322" spans="1:79" ht="35.25" x14ac:dyDescent="0.5">
      <c r="J322" s="109"/>
    </row>
    <row r="323" spans="1:79" ht="35.25" x14ac:dyDescent="0.5">
      <c r="J323" s="109"/>
    </row>
    <row r="324" spans="1:79" ht="35.25" x14ac:dyDescent="0.5">
      <c r="J324" s="109"/>
    </row>
    <row r="325" spans="1:79" s="2" customFormat="1" ht="35.25" x14ac:dyDescent="0.5">
      <c r="A325" s="1"/>
      <c r="B325" s="1"/>
      <c r="C325" s="1"/>
      <c r="D325" s="1"/>
      <c r="E325" s="1"/>
      <c r="F325" s="1"/>
      <c r="J325" s="109"/>
      <c r="N325" s="3"/>
      <c r="O325" s="3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</row>
    <row r="326" spans="1:79" s="2" customFormat="1" ht="35.25" x14ac:dyDescent="0.5">
      <c r="A326" s="1"/>
      <c r="B326" s="1"/>
      <c r="C326" s="1"/>
      <c r="D326" s="1"/>
      <c r="E326" s="1"/>
      <c r="F326" s="1"/>
      <c r="J326" s="109"/>
      <c r="N326" s="3"/>
      <c r="O326" s="3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</row>
    <row r="327" spans="1:79" s="2" customFormat="1" ht="35.25" x14ac:dyDescent="0.5">
      <c r="A327" s="1"/>
      <c r="B327" s="1"/>
      <c r="C327" s="1"/>
      <c r="D327" s="1"/>
      <c r="E327" s="1"/>
      <c r="F327" s="1"/>
      <c r="J327" s="109"/>
      <c r="N327" s="3"/>
      <c r="O327" s="3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</row>
    <row r="328" spans="1:79" s="2" customFormat="1" ht="35.25" x14ac:dyDescent="0.5">
      <c r="A328" s="1"/>
      <c r="B328" s="1"/>
      <c r="C328" s="1"/>
      <c r="D328" s="1"/>
      <c r="E328" s="1"/>
      <c r="F328" s="1"/>
      <c r="J328" s="109"/>
      <c r="N328" s="3"/>
      <c r="O328" s="3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</row>
    <row r="329" spans="1:79" s="2" customFormat="1" ht="35.25" x14ac:dyDescent="0.5">
      <c r="A329" s="1"/>
      <c r="B329" s="1"/>
      <c r="C329" s="1"/>
      <c r="D329" s="1"/>
      <c r="E329" s="1"/>
      <c r="F329" s="1"/>
      <c r="J329" s="109"/>
      <c r="N329" s="3"/>
      <c r="O329" s="3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</row>
    <row r="330" spans="1:79" s="2" customFormat="1" ht="35.25" x14ac:dyDescent="0.5">
      <c r="A330" s="1"/>
      <c r="B330" s="1"/>
      <c r="C330" s="1"/>
      <c r="D330" s="1"/>
      <c r="E330" s="1"/>
      <c r="F330" s="1"/>
      <c r="J330" s="109"/>
      <c r="N330" s="3"/>
      <c r="O330" s="3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</row>
    <row r="331" spans="1:79" s="2" customFormat="1" ht="35.25" x14ac:dyDescent="0.5">
      <c r="A331" s="1"/>
      <c r="B331" s="1"/>
      <c r="C331" s="1"/>
      <c r="D331" s="1"/>
      <c r="E331" s="1"/>
      <c r="F331" s="1"/>
      <c r="J331" s="109"/>
      <c r="N331" s="3"/>
      <c r="O331" s="3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</row>
    <row r="332" spans="1:79" s="2" customFormat="1" ht="35.25" x14ac:dyDescent="0.5">
      <c r="A332" s="1"/>
      <c r="B332" s="1"/>
      <c r="C332" s="1"/>
      <c r="D332" s="1"/>
      <c r="E332" s="1"/>
      <c r="F332" s="1"/>
      <c r="J332" s="109"/>
      <c r="N332" s="3"/>
      <c r="O332" s="3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</row>
    <row r="333" spans="1:79" s="2" customFormat="1" ht="35.25" x14ac:dyDescent="0.5">
      <c r="A333" s="1"/>
      <c r="B333" s="1"/>
      <c r="C333" s="1"/>
      <c r="D333" s="1"/>
      <c r="E333" s="1"/>
      <c r="F333" s="1"/>
      <c r="J333" s="109"/>
      <c r="N333" s="3"/>
      <c r="O333" s="3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</row>
    <row r="334" spans="1:79" s="2" customFormat="1" ht="35.25" x14ac:dyDescent="0.5">
      <c r="A334" s="1"/>
      <c r="B334" s="1"/>
      <c r="C334" s="1"/>
      <c r="D334" s="1"/>
      <c r="E334" s="1"/>
      <c r="F334" s="1"/>
      <c r="J334" s="109"/>
      <c r="N334" s="3"/>
      <c r="O334" s="3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</row>
    <row r="335" spans="1:79" s="2" customFormat="1" ht="35.25" x14ac:dyDescent="0.5">
      <c r="A335" s="1"/>
      <c r="B335" s="1"/>
      <c r="C335" s="1"/>
      <c r="D335" s="1"/>
      <c r="E335" s="1"/>
      <c r="F335" s="1"/>
      <c r="J335" s="109"/>
      <c r="N335" s="3"/>
      <c r="O335" s="3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</row>
    <row r="336" spans="1:79" s="2" customFormat="1" ht="35.25" x14ac:dyDescent="0.5">
      <c r="A336" s="1"/>
      <c r="B336" s="1"/>
      <c r="C336" s="1"/>
      <c r="D336" s="1"/>
      <c r="E336" s="1"/>
      <c r="F336" s="1"/>
      <c r="J336" s="109"/>
      <c r="N336" s="3"/>
      <c r="O336" s="3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</row>
    <row r="337" spans="1:79" s="2" customFormat="1" ht="35.25" x14ac:dyDescent="0.5">
      <c r="A337" s="1"/>
      <c r="B337" s="1"/>
      <c r="C337" s="1"/>
      <c r="D337" s="1"/>
      <c r="E337" s="1"/>
      <c r="F337" s="1"/>
      <c r="J337" s="109"/>
      <c r="N337" s="3"/>
      <c r="O337" s="3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</row>
    <row r="338" spans="1:79" s="2" customFormat="1" ht="35.25" x14ac:dyDescent="0.5">
      <c r="A338" s="1"/>
      <c r="B338" s="1"/>
      <c r="C338" s="1"/>
      <c r="D338" s="1"/>
      <c r="E338" s="1"/>
      <c r="F338" s="1"/>
      <c r="J338" s="109"/>
      <c r="N338" s="3"/>
      <c r="O338" s="3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</row>
    <row r="339" spans="1:79" s="2" customFormat="1" ht="35.25" x14ac:dyDescent="0.5">
      <c r="A339" s="1"/>
      <c r="B339" s="1"/>
      <c r="C339" s="1"/>
      <c r="D339" s="1"/>
      <c r="E339" s="1"/>
      <c r="F339" s="1"/>
      <c r="J339" s="109"/>
      <c r="N339" s="3"/>
      <c r="O339" s="3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</row>
    <row r="340" spans="1:79" s="2" customFormat="1" ht="35.25" x14ac:dyDescent="0.5">
      <c r="A340" s="1"/>
      <c r="B340" s="1"/>
      <c r="C340" s="1"/>
      <c r="D340" s="1"/>
      <c r="E340" s="1"/>
      <c r="F340" s="1"/>
      <c r="J340" s="109"/>
      <c r="N340" s="3"/>
      <c r="O340" s="3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</row>
    <row r="341" spans="1:79" s="2" customFormat="1" ht="35.25" x14ac:dyDescent="0.5">
      <c r="A341" s="1"/>
      <c r="B341" s="1"/>
      <c r="C341" s="1"/>
      <c r="D341" s="1"/>
      <c r="E341" s="1"/>
      <c r="F341" s="1"/>
      <c r="J341" s="109"/>
      <c r="N341" s="3"/>
      <c r="O341" s="3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</row>
    <row r="342" spans="1:79" s="2" customFormat="1" ht="35.25" x14ac:dyDescent="0.5">
      <c r="A342" s="1"/>
      <c r="B342" s="1"/>
      <c r="C342" s="1"/>
      <c r="D342" s="1"/>
      <c r="E342" s="1"/>
      <c r="F342" s="1"/>
      <c r="J342" s="109"/>
      <c r="N342" s="3"/>
      <c r="O342" s="3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</row>
    <row r="343" spans="1:79" s="2" customFormat="1" ht="35.25" x14ac:dyDescent="0.5">
      <c r="A343" s="1"/>
      <c r="B343" s="1"/>
      <c r="C343" s="1"/>
      <c r="D343" s="1"/>
      <c r="E343" s="1"/>
      <c r="F343" s="1"/>
      <c r="J343" s="109"/>
      <c r="N343" s="3"/>
      <c r="O343" s="3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</row>
    <row r="344" spans="1:79" s="2" customFormat="1" ht="35.25" x14ac:dyDescent="0.5">
      <c r="A344" s="1"/>
      <c r="B344" s="1"/>
      <c r="C344" s="1"/>
      <c r="D344" s="1"/>
      <c r="E344" s="1"/>
      <c r="F344" s="1"/>
      <c r="J344" s="109"/>
      <c r="N344" s="3"/>
      <c r="O344" s="3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</row>
    <row r="345" spans="1:79" s="2" customFormat="1" ht="35.25" x14ac:dyDescent="0.5">
      <c r="A345" s="1"/>
      <c r="B345" s="1"/>
      <c r="C345" s="1"/>
      <c r="D345" s="1"/>
      <c r="E345" s="1"/>
      <c r="F345" s="1"/>
      <c r="J345" s="109"/>
      <c r="N345" s="3"/>
      <c r="O345" s="3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</row>
    <row r="346" spans="1:79" s="2" customFormat="1" ht="35.25" x14ac:dyDescent="0.5">
      <c r="A346" s="1"/>
      <c r="B346" s="1"/>
      <c r="C346" s="1"/>
      <c r="D346" s="1"/>
      <c r="E346" s="1"/>
      <c r="F346" s="1"/>
      <c r="J346" s="109"/>
      <c r="N346" s="3"/>
      <c r="O346" s="3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</row>
    <row r="347" spans="1:79" s="2" customFormat="1" ht="35.25" x14ac:dyDescent="0.5">
      <c r="A347" s="1"/>
      <c r="B347" s="1"/>
      <c r="C347" s="1"/>
      <c r="D347" s="1"/>
      <c r="E347" s="1"/>
      <c r="F347" s="1"/>
      <c r="J347" s="109"/>
      <c r="N347" s="3"/>
      <c r="O347" s="3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</row>
    <row r="348" spans="1:79" s="2" customFormat="1" ht="35.25" x14ac:dyDescent="0.5">
      <c r="A348" s="1"/>
      <c r="B348" s="1"/>
      <c r="C348" s="1"/>
      <c r="D348" s="1"/>
      <c r="E348" s="1"/>
      <c r="F348" s="1"/>
      <c r="J348" s="109"/>
      <c r="N348" s="3"/>
      <c r="O348" s="3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</row>
    <row r="349" spans="1:79" s="2" customFormat="1" ht="35.25" x14ac:dyDescent="0.5">
      <c r="A349" s="1"/>
      <c r="B349" s="1"/>
      <c r="C349" s="1"/>
      <c r="D349" s="1"/>
      <c r="E349" s="1"/>
      <c r="F349" s="1"/>
      <c r="J349" s="109"/>
      <c r="N349" s="3"/>
      <c r="O349" s="3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</row>
  </sheetData>
  <autoFilter ref="A67:AO309" xr:uid="{00000000-0009-0000-0000-000000000000}">
    <filterColumn colId="7">
      <filters>
        <filter val="PT. Global Deals Asia"/>
      </filters>
    </filterColumn>
  </autoFilter>
  <mergeCells count="41">
    <mergeCell ref="U15:W15"/>
    <mergeCell ref="X15:Y15"/>
    <mergeCell ref="F16:F17"/>
    <mergeCell ref="G16:G17"/>
    <mergeCell ref="H16:H17"/>
    <mergeCell ref="I16:K16"/>
    <mergeCell ref="X16:X17"/>
    <mergeCell ref="C2:R11"/>
    <mergeCell ref="C15:C17"/>
    <mergeCell ref="D15:D17"/>
    <mergeCell ref="E15:E17"/>
    <mergeCell ref="F15:H15"/>
    <mergeCell ref="I15:N15"/>
    <mergeCell ref="O15:T15"/>
    <mergeCell ref="T16:T17"/>
    <mergeCell ref="O16:Q16"/>
    <mergeCell ref="R16:S16"/>
    <mergeCell ref="L16:M16"/>
    <mergeCell ref="N16:N17"/>
    <mergeCell ref="D18:D21"/>
    <mergeCell ref="AH66:AJ66"/>
    <mergeCell ref="AK66:AL66"/>
    <mergeCell ref="Y16:Y17"/>
    <mergeCell ref="AP16:AS16"/>
    <mergeCell ref="U31:Y31"/>
    <mergeCell ref="C29:E30"/>
    <mergeCell ref="F30:G30"/>
    <mergeCell ref="I30:M30"/>
    <mergeCell ref="O30:S30"/>
    <mergeCell ref="U30:W30"/>
    <mergeCell ref="X30:Y30"/>
    <mergeCell ref="D22:D25"/>
    <mergeCell ref="U16:U17"/>
    <mergeCell ref="V16:V17"/>
    <mergeCell ref="W16:W17"/>
    <mergeCell ref="AD66:AE66"/>
    <mergeCell ref="C66:D66"/>
    <mergeCell ref="L66:M66"/>
    <mergeCell ref="N66:O66"/>
    <mergeCell ref="T66:X66"/>
    <mergeCell ref="AA66:AC66"/>
  </mergeCells>
  <phoneticPr fontId="35" type="noConversion"/>
  <conditionalFormatting sqref="A68:AO68">
    <cfRule type="expression" dxfId="401" priority="3913">
      <formula>$X68:$X309="Penting"</formula>
    </cfRule>
    <cfRule type="expression" dxfId="400" priority="3914">
      <formula>$R68:$R309=""</formula>
    </cfRule>
    <cfRule type="expression" dxfId="399" priority="3915">
      <formula>$R68:$R309="Cancel"</formula>
    </cfRule>
    <cfRule type="expression" dxfId="398" priority="3916">
      <formula>$R68:$R309="End"</formula>
    </cfRule>
    <cfRule type="expression" dxfId="397" priority="3917">
      <formula>$R68:$R309&lt;=0</formula>
    </cfRule>
    <cfRule type="expression" dxfId="396" priority="3918">
      <formula>$R68:$R309&lt;4</formula>
    </cfRule>
  </conditionalFormatting>
  <conditionalFormatting sqref="B186:Q186 B239:AO254 B255:AB255 AD255:AO255 B256:AO259 B260:AB260 AD260:AO260 B261:AO263 B264:AB265 AD264:AO265 B266:AO266 B267:AB267 AD267:AO267 B268:AO269 B270:AB270 AD270:AO270 B271:AO272">
    <cfRule type="expression" dxfId="395" priority="3193">
      <formula>$X186:$X434="Penting"</formula>
    </cfRule>
    <cfRule type="expression" dxfId="394" priority="3194">
      <formula>$R186:$R434=""</formula>
    </cfRule>
    <cfRule type="expression" dxfId="393" priority="3195">
      <formula>$R186:$R434="Cancel"</formula>
    </cfRule>
    <cfRule type="expression" dxfId="392" priority="3196">
      <formula>$R186:$R434="End"</formula>
    </cfRule>
    <cfRule type="expression" dxfId="391" priority="3197">
      <formula>$R186:$R434&lt;=0</formula>
    </cfRule>
    <cfRule type="expression" dxfId="390" priority="3198">
      <formula>$R186:$R434&lt;4</formula>
    </cfRule>
  </conditionalFormatting>
  <conditionalFormatting sqref="B69:AO72 A69:A309">
    <cfRule type="expression" dxfId="389" priority="3088">
      <formula>$R69:$R310="End"</formula>
    </cfRule>
    <cfRule type="expression" dxfId="388" priority="3090">
      <formula>$R69:$R310&lt;4</formula>
    </cfRule>
    <cfRule type="expression" dxfId="387" priority="3089">
      <formula>$R69:$R310&lt;=0</formula>
    </cfRule>
    <cfRule type="expression" dxfId="386" priority="3087">
      <formula>$R69:$R310="Cancel"</formula>
    </cfRule>
    <cfRule type="expression" dxfId="385" priority="3086">
      <formula>$R69:$R310=""</formula>
    </cfRule>
    <cfRule type="expression" dxfId="384" priority="3085">
      <formula>$X69:$X310="Penting"</formula>
    </cfRule>
  </conditionalFormatting>
  <conditionalFormatting sqref="B73:AO82">
    <cfRule type="expression" dxfId="383" priority="3256">
      <formula>$R73:$R315="End"</formula>
    </cfRule>
    <cfRule type="expression" dxfId="382" priority="3257">
      <formula>$R73:$R315&lt;=0</formula>
    </cfRule>
    <cfRule type="expression" dxfId="381" priority="3258">
      <formula>$R73:$R315&lt;4</formula>
    </cfRule>
    <cfRule type="expression" dxfId="380" priority="3253">
      <formula>$X73:$X315="Penting"</formula>
    </cfRule>
    <cfRule type="expression" dxfId="379" priority="3254">
      <formula>$R73:$R315=""</formula>
    </cfRule>
    <cfRule type="expression" dxfId="378" priority="3255">
      <formula>$R73:$R315="Cancel"</formula>
    </cfRule>
  </conditionalFormatting>
  <conditionalFormatting sqref="B83:AO85 B90:AO106">
    <cfRule type="expression" dxfId="377" priority="5087">
      <formula>$R83:$R327&lt;=0</formula>
    </cfRule>
    <cfRule type="expression" dxfId="376" priority="5086">
      <formula>$R83:$R327="End"</formula>
    </cfRule>
    <cfRule type="expression" dxfId="375" priority="5084">
      <formula>$R83:$R327=""</formula>
    </cfRule>
    <cfRule type="expression" dxfId="374" priority="5083">
      <formula>$X83:$X327="Penting"</formula>
    </cfRule>
    <cfRule type="expression" dxfId="373" priority="5088">
      <formula>$R83:$R327&lt;4</formula>
    </cfRule>
    <cfRule type="expression" dxfId="372" priority="5085">
      <formula>$R83:$R327="Cancel"</formula>
    </cfRule>
  </conditionalFormatting>
  <conditionalFormatting sqref="B86:AO89">
    <cfRule type="expression" dxfId="371" priority="4653">
      <formula>$R86:$R329="Cancel"</formula>
    </cfRule>
    <cfRule type="expression" dxfId="370" priority="4652">
      <formula>$R86:$R329=""</formula>
    </cfRule>
    <cfRule type="expression" dxfId="369" priority="4656">
      <formula>$R86:$R329&lt;4</formula>
    </cfRule>
    <cfRule type="expression" dxfId="368" priority="4655">
      <formula>$R86:$R329&lt;=0</formula>
    </cfRule>
    <cfRule type="expression" dxfId="367" priority="4654">
      <formula>$R86:$R329="End"</formula>
    </cfRule>
    <cfRule type="expression" dxfId="366" priority="4651">
      <formula>$X86:$X329="Penting"</formula>
    </cfRule>
  </conditionalFormatting>
  <conditionalFormatting sqref="B107:AO172 AC228 AC255 AC264:AC265 AC267">
    <cfRule type="expression" dxfId="365" priority="4201">
      <formula>$X107:$X352="Penting"</formula>
    </cfRule>
    <cfRule type="expression" dxfId="364" priority="4206">
      <formula>$R107:$R352&lt;4</formula>
    </cfRule>
    <cfRule type="expression" dxfId="363" priority="4205">
      <formula>$R107:$R352&lt;=0</formula>
    </cfRule>
    <cfRule type="expression" dxfId="362" priority="4204">
      <formula>$R107:$R352="End"</formula>
    </cfRule>
    <cfRule type="expression" dxfId="361" priority="4203">
      <formula>$R107:$R352="Cancel"</formula>
    </cfRule>
    <cfRule type="expression" dxfId="360" priority="4202">
      <formula>$R107:$R352=""</formula>
    </cfRule>
  </conditionalFormatting>
  <conditionalFormatting sqref="B173:AO182 B190:AO198 B294:AO294">
    <cfRule type="expression" dxfId="359" priority="3230">
      <formula>$R173:$R419=""</formula>
    </cfRule>
    <cfRule type="expression" dxfId="358" priority="3234">
      <formula>$R173:$R419&lt;4</formula>
    </cfRule>
    <cfRule type="expression" dxfId="357" priority="3233">
      <formula>$R173:$R419&lt;=0</formula>
    </cfRule>
    <cfRule type="expression" dxfId="356" priority="3232">
      <formula>$R173:$R419="End"</formula>
    </cfRule>
    <cfRule type="expression" dxfId="355" priority="3231">
      <formula>$R173:$R419="Cancel"</formula>
    </cfRule>
    <cfRule type="expression" dxfId="354" priority="3229">
      <formula>$X173:$X419="Penting"</formula>
    </cfRule>
  </conditionalFormatting>
  <conditionalFormatting sqref="B183:AO185 R186:S186 B187:AO189 B199:AO227 B228:AB228 AD228:AO228 B229:AO238 AC260 AC270">
    <cfRule type="expression" dxfId="353" priority="4979">
      <formula>$R183:$R430&lt;=0</formula>
    </cfRule>
    <cfRule type="expression" dxfId="352" priority="4978">
      <formula>$R183:$R430="End"</formula>
    </cfRule>
    <cfRule type="expression" dxfId="351" priority="4977">
      <formula>$R183:$R430="Cancel"</formula>
    </cfRule>
    <cfRule type="expression" dxfId="350" priority="4976">
      <formula>$R183:$R430=""</formula>
    </cfRule>
    <cfRule type="expression" dxfId="349" priority="4975">
      <formula>$X183:$X430="Penting"</formula>
    </cfRule>
    <cfRule type="expression" dxfId="348" priority="4980">
      <formula>$R183:$R430&lt;4</formula>
    </cfRule>
  </conditionalFormatting>
  <conditionalFormatting sqref="B273:AO275 B276:S276 Y276:AO276 AD305:AO305 B305:Z306 AB306:AO306">
    <cfRule type="expression" dxfId="347" priority="42">
      <formula>$R273:$R522&lt;4</formula>
    </cfRule>
    <cfRule type="expression" dxfId="346" priority="40">
      <formula>$R273:$R522="End"</formula>
    </cfRule>
    <cfRule type="expression" dxfId="345" priority="41">
      <formula>$R273:$R522&lt;=0</formula>
    </cfRule>
    <cfRule type="expression" dxfId="344" priority="37">
      <formula>$X273:$X522="Penting"</formula>
    </cfRule>
    <cfRule type="expression" dxfId="343" priority="38">
      <formula>$R273:$R522=""</formula>
    </cfRule>
    <cfRule type="expression" dxfId="342" priority="39">
      <formula>$R273:$R522="Cancel"</formula>
    </cfRule>
  </conditionalFormatting>
  <conditionalFormatting sqref="B277:AO293">
    <cfRule type="expression" dxfId="341" priority="4742">
      <formula>$R277:$R522=""</formula>
    </cfRule>
    <cfRule type="expression" dxfId="340" priority="4743">
      <formula>$R277:$R522="Cancel"</formula>
    </cfRule>
    <cfRule type="expression" dxfId="339" priority="4744">
      <formula>$R277:$R522="End"</formula>
    </cfRule>
    <cfRule type="expression" dxfId="338" priority="4745">
      <formula>$R277:$R522&lt;=0</formula>
    </cfRule>
    <cfRule type="expression" dxfId="337" priority="4746">
      <formula>$R277:$R522&lt;4</formula>
    </cfRule>
    <cfRule type="expression" dxfId="336" priority="4741">
      <formula>$X277:$X522="Penting"</formula>
    </cfRule>
  </conditionalFormatting>
  <conditionalFormatting sqref="B295:AO297">
    <cfRule type="expression" dxfId="335" priority="4548">
      <formula>$R295:$R552&lt;4</formula>
    </cfRule>
    <cfRule type="expression" dxfId="334" priority="4543">
      <formula>$X295:$X552="Penting"</formula>
    </cfRule>
    <cfRule type="expression" dxfId="333" priority="4544">
      <formula>$R295:$R552=""</formula>
    </cfRule>
    <cfRule type="expression" dxfId="332" priority="4545">
      <formula>$R295:$R552="Cancel"</formula>
    </cfRule>
    <cfRule type="expression" dxfId="331" priority="4546">
      <formula>$R295:$R552="End"</formula>
    </cfRule>
    <cfRule type="expression" dxfId="330" priority="4547">
      <formula>$R295:$R552&lt;=0</formula>
    </cfRule>
  </conditionalFormatting>
  <conditionalFormatting sqref="B298:AO299">
    <cfRule type="expression" dxfId="329" priority="4863">
      <formula>$R298:$R556="Cancel"</formula>
    </cfRule>
    <cfRule type="expression" dxfId="328" priority="4861">
      <formula>$X298:$X556="Penting"</formula>
    </cfRule>
    <cfRule type="expression" dxfId="327" priority="4865">
      <formula>$R298:$R556&lt;=0</formula>
    </cfRule>
    <cfRule type="expression" dxfId="326" priority="4864">
      <formula>$R298:$R556="End"</formula>
    </cfRule>
    <cfRule type="expression" dxfId="325" priority="4862">
      <formula>$R298:$R556=""</formula>
    </cfRule>
    <cfRule type="expression" dxfId="324" priority="4866">
      <formula>$R298:$R556&lt;4</formula>
    </cfRule>
  </conditionalFormatting>
  <conditionalFormatting sqref="B300:AO301 S302:AO303 B302:Q304 S304:Y304 AB304:AO304">
    <cfRule type="expression" dxfId="323" priority="4221">
      <formula>$R300:$R559="Cancel"</formula>
    </cfRule>
    <cfRule type="expression" dxfId="322" priority="4222">
      <formula>$R300:$R559="End"</formula>
    </cfRule>
    <cfRule type="expression" dxfId="321" priority="4220">
      <formula>$R300:$R559=""</formula>
    </cfRule>
    <cfRule type="expression" dxfId="320" priority="4219">
      <formula>$X300:$X559="Penting"</formula>
    </cfRule>
    <cfRule type="expression" dxfId="319" priority="4224">
      <formula>$R300:$R559&lt;4</formula>
    </cfRule>
    <cfRule type="expression" dxfId="318" priority="4223">
      <formula>$R300:$R559&lt;=0</formula>
    </cfRule>
  </conditionalFormatting>
  <conditionalFormatting sqref="B307:AO309">
    <cfRule type="expression" dxfId="317" priority="3091">
      <formula>$X307:$X558="Penting"</formula>
    </cfRule>
    <cfRule type="expression" dxfId="316" priority="3094">
      <formula>$R307:$R558="End"</formula>
    </cfRule>
    <cfRule type="expression" dxfId="315" priority="3095">
      <formula>$R307:$R558&lt;=0</formula>
    </cfRule>
    <cfRule type="expression" dxfId="314" priority="3096">
      <formula>$R307:$R558&lt;4</formula>
    </cfRule>
    <cfRule type="expression" dxfId="313" priority="3093">
      <formula>$R307:$R558="Cancel"</formula>
    </cfRule>
    <cfRule type="expression" dxfId="312" priority="3092">
      <formula>$R307:$R558=""</formula>
    </cfRule>
  </conditionalFormatting>
  <conditionalFormatting sqref="R302:R304">
    <cfRule type="expression" dxfId="311" priority="4867">
      <formula>$X302:$X564="Penting"</formula>
    </cfRule>
    <cfRule type="expression" dxfId="310" priority="4868">
      <formula>$R302:$R564=""</formula>
    </cfRule>
    <cfRule type="expression" dxfId="309" priority="4869">
      <formula>$R302:$R564="Cancel"</formula>
    </cfRule>
    <cfRule type="expression" dxfId="308" priority="4870">
      <formula>$R302:$R564="End"</formula>
    </cfRule>
    <cfRule type="expression" dxfId="307" priority="4871">
      <formula>$R302:$R564&lt;=0</formula>
    </cfRule>
    <cfRule type="expression" dxfId="306" priority="4872">
      <formula>$R302:$R564&lt;4</formula>
    </cfRule>
  </conditionalFormatting>
  <conditionalFormatting sqref="T276:X276">
    <cfRule type="expression" dxfId="305" priority="4">
      <formula>$R276:$R522="End"</formula>
    </cfRule>
    <cfRule type="expression" dxfId="304" priority="5">
      <formula>$R276:$R522&lt;=0</formula>
    </cfRule>
    <cfRule type="expression" dxfId="303" priority="6">
      <formula>$R276:$R522&lt;4</formula>
    </cfRule>
    <cfRule type="expression" dxfId="302" priority="1">
      <formula>$X276:$X522="Penting"</formula>
    </cfRule>
    <cfRule type="expression" dxfId="301" priority="2">
      <formula>$R276:$R522=""</formula>
    </cfRule>
    <cfRule type="expression" dxfId="300" priority="3">
      <formula>$R276:$R522="Cancel"</formula>
    </cfRule>
  </conditionalFormatting>
  <conditionalFormatting sqref="T186:AO186">
    <cfRule type="expression" dxfId="299" priority="55">
      <formula>$X186:$X434="Penting"</formula>
    </cfRule>
    <cfRule type="expression" dxfId="298" priority="57">
      <formula>$R186:$R434="Cancel"</formula>
    </cfRule>
    <cfRule type="expression" dxfId="297" priority="56">
      <formula>$R186:$R434=""</formula>
    </cfRule>
    <cfRule type="expression" dxfId="296" priority="59">
      <formula>$R186:$R434&lt;=0</formula>
    </cfRule>
    <cfRule type="expression" dxfId="295" priority="58">
      <formula>$R186:$R434="End"</formula>
    </cfRule>
    <cfRule type="expression" dxfId="294" priority="60">
      <formula>$R186:$R434&lt;4</formula>
    </cfRule>
  </conditionalFormatting>
  <conditionalFormatting sqref="Z304">
    <cfRule type="expression" dxfId="293" priority="91">
      <formula>$X304:$X550="Penting"</formula>
    </cfRule>
  </conditionalFormatting>
  <conditionalFormatting sqref="Z304:AA304">
    <cfRule type="expression" dxfId="292" priority="90">
      <formula>$R304:$R550&lt;4</formula>
    </cfRule>
    <cfRule type="expression" dxfId="291" priority="87">
      <formula>$R304:$R550="Cancel"</formula>
    </cfRule>
    <cfRule type="expression" dxfId="290" priority="86">
      <formula>$R304:$R550=""</formula>
    </cfRule>
    <cfRule type="expression" dxfId="289" priority="88">
      <formula>$R304:$R550="End"</formula>
    </cfRule>
    <cfRule type="expression" dxfId="288" priority="89">
      <formula>$R304:$R550&lt;=0</formula>
    </cfRule>
  </conditionalFormatting>
  <conditionalFormatting sqref="AA304:AA306">
    <cfRule type="expression" dxfId="287" priority="19">
      <formula>$X304:$X550="Penting"</formula>
    </cfRule>
  </conditionalFormatting>
  <conditionalFormatting sqref="AA305:AA306">
    <cfRule type="expression" dxfId="286" priority="23">
      <formula>$R305:$R551&lt;=0</formula>
    </cfRule>
    <cfRule type="expression" dxfId="285" priority="22">
      <formula>$R305:$R551="End"</formula>
    </cfRule>
    <cfRule type="expression" dxfId="284" priority="20">
      <formula>$R305:$R551=""</formula>
    </cfRule>
    <cfRule type="expression" dxfId="283" priority="21">
      <formula>$R305:$R551="Cancel"</formula>
    </cfRule>
    <cfRule type="expression" dxfId="282" priority="24">
      <formula>$R305:$R551&lt;4</formula>
    </cfRule>
  </conditionalFormatting>
  <conditionalFormatting sqref="AB305:AC305">
    <cfRule type="expression" dxfId="281" priority="12">
      <formula>$R305:$R551&lt;4</formula>
    </cfRule>
    <cfRule type="expression" dxfId="280" priority="11">
      <formula>$R305:$R551&lt;=0</formula>
    </cfRule>
    <cfRule type="expression" dxfId="279" priority="10">
      <formula>$R305:$R551="End"</formula>
    </cfRule>
    <cfRule type="expression" dxfId="278" priority="9">
      <formula>$R305:$R551="Cancel"</formula>
    </cfRule>
    <cfRule type="expression" dxfId="277" priority="8">
      <formula>$R305:$R551=""</formula>
    </cfRule>
    <cfRule type="expression" dxfId="276" priority="7">
      <formula>$X305:$X551="Penting"</formula>
    </cfRule>
  </conditionalFormatting>
  <hyperlinks>
    <hyperlink ref="K165" r:id="rId1" xr:uid="{00000000-0004-0000-0000-000000000000}"/>
    <hyperlink ref="K202" r:id="rId2" xr:uid="{00000000-0004-0000-0000-000001000000}"/>
    <hyperlink ref="K167" r:id="rId3" xr:uid="{00000000-0004-0000-0000-000002000000}"/>
  </hyperlinks>
  <printOptions horizontalCentered="1"/>
  <pageMargins left="0" right="0" top="0.19685039370078741" bottom="0" header="0" footer="0"/>
  <pageSetup paperSize="9" scale="13" orientation="landscape" r:id="rId4"/>
  <rowBreaks count="5" manualBreakCount="5">
    <brk id="53" max="41" man="1"/>
    <brk id="106" max="41" man="1"/>
    <brk id="284" max="41" man="1"/>
    <brk id="157" max="41" man="1"/>
    <brk id="250" max="41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V160"/>
  <sheetViews>
    <sheetView topLeftCell="A157" zoomScale="40" zoomScaleNormal="40" workbookViewId="0">
      <selection activeCell="R161" sqref="R161"/>
    </sheetView>
  </sheetViews>
  <sheetFormatPr defaultRowHeight="15" x14ac:dyDescent="0.25"/>
  <cols>
    <col min="1" max="1" width="10.28515625" customWidth="1"/>
    <col min="2" max="2" width="12.42578125" customWidth="1"/>
    <col min="3" max="3" width="26.5703125" bestFit="1" customWidth="1"/>
    <col min="4" max="4" width="16.140625" customWidth="1"/>
    <col min="5" max="5" width="19.140625" customWidth="1"/>
    <col min="6" max="6" width="36.85546875" customWidth="1"/>
    <col min="7" max="7" width="72.42578125" customWidth="1"/>
    <col min="8" max="8" width="39" customWidth="1"/>
    <col min="9" max="9" width="24" customWidth="1"/>
    <col min="10" max="10" width="39.5703125" customWidth="1"/>
    <col min="11" max="11" width="70.28515625" customWidth="1"/>
    <col min="12" max="12" width="32" customWidth="1"/>
    <col min="13" max="13" width="30.140625" customWidth="1"/>
    <col min="14" max="14" width="24" customWidth="1"/>
    <col min="15" max="15" width="25.28515625" customWidth="1"/>
    <col min="16" max="17" width="17.7109375" customWidth="1"/>
    <col min="18" max="24" width="22.28515625" customWidth="1"/>
    <col min="25" max="25" width="53.28515625" customWidth="1"/>
    <col min="26" max="29" width="23.5703125" customWidth="1"/>
    <col min="30" max="31" width="22.28515625" customWidth="1"/>
    <col min="32" max="32" width="24.85546875" customWidth="1"/>
    <col min="33" max="33" width="22.28515625" customWidth="1"/>
    <col min="34" max="38" width="13.85546875" customWidth="1"/>
    <col min="39" max="39" width="24.140625" customWidth="1"/>
    <col min="40" max="41" width="24.7109375" customWidth="1"/>
    <col min="42" max="42" width="24" customWidth="1"/>
  </cols>
  <sheetData>
    <row r="4" spans="1:42" ht="22.5" customHeight="1" x14ac:dyDescent="0.25">
      <c r="A4" s="60"/>
      <c r="B4" s="60"/>
      <c r="C4" s="143" t="s">
        <v>41</v>
      </c>
      <c r="D4" s="144"/>
      <c r="E4" s="61"/>
      <c r="F4" s="60"/>
      <c r="G4" s="60"/>
      <c r="H4" s="60"/>
      <c r="I4" s="61"/>
      <c r="J4" s="60"/>
      <c r="K4" s="60"/>
      <c r="L4" s="143" t="s">
        <v>42</v>
      </c>
      <c r="M4" s="144"/>
      <c r="N4" s="145" t="s">
        <v>43</v>
      </c>
      <c r="O4" s="146"/>
      <c r="P4" s="60"/>
      <c r="Q4" s="60"/>
      <c r="R4" s="61"/>
      <c r="S4" s="61"/>
      <c r="T4" s="147" t="s">
        <v>44</v>
      </c>
      <c r="U4" s="148"/>
      <c r="V4" s="148"/>
      <c r="W4" s="148"/>
      <c r="X4" s="149"/>
      <c r="Y4" s="60"/>
      <c r="Z4" s="62"/>
      <c r="AA4" s="150" t="s">
        <v>1231</v>
      </c>
      <c r="AB4" s="151"/>
      <c r="AC4" s="152"/>
      <c r="AD4" s="143" t="s">
        <v>1222</v>
      </c>
      <c r="AE4" s="144"/>
      <c r="AF4" s="60"/>
      <c r="AG4" s="63" t="s">
        <v>1230</v>
      </c>
      <c r="AH4" s="156" t="s">
        <v>1226</v>
      </c>
      <c r="AI4" s="156"/>
      <c r="AJ4" s="156"/>
      <c r="AK4" s="156" t="s">
        <v>1227</v>
      </c>
      <c r="AL4" s="156"/>
      <c r="AM4" s="63"/>
      <c r="AN4" s="60"/>
      <c r="AO4" s="64"/>
      <c r="AP4" s="60"/>
    </row>
    <row r="5" spans="1:42" ht="78.75" customHeight="1" x14ac:dyDescent="0.25">
      <c r="A5" s="68" t="s">
        <v>1</v>
      </c>
      <c r="B5" s="68" t="s">
        <v>45</v>
      </c>
      <c r="C5" s="69" t="s">
        <v>46</v>
      </c>
      <c r="D5" s="69" t="s">
        <v>1</v>
      </c>
      <c r="E5" s="70" t="s">
        <v>1221</v>
      </c>
      <c r="F5" s="68" t="s">
        <v>47</v>
      </c>
      <c r="G5" s="68" t="s">
        <v>48</v>
      </c>
      <c r="H5" s="68" t="s">
        <v>49</v>
      </c>
      <c r="I5" s="70" t="s">
        <v>1336</v>
      </c>
      <c r="J5" s="68" t="s">
        <v>50</v>
      </c>
      <c r="K5" s="68" t="s">
        <v>51</v>
      </c>
      <c r="L5" s="69" t="s">
        <v>52</v>
      </c>
      <c r="M5" s="69" t="s">
        <v>53</v>
      </c>
      <c r="N5" s="71" t="s">
        <v>54</v>
      </c>
      <c r="O5" s="71" t="s">
        <v>55</v>
      </c>
      <c r="P5" s="68" t="s">
        <v>56</v>
      </c>
      <c r="Q5" s="68" t="s">
        <v>57</v>
      </c>
      <c r="R5" s="70" t="s">
        <v>58</v>
      </c>
      <c r="S5" s="70" t="s">
        <v>59</v>
      </c>
      <c r="T5" s="72" t="s">
        <v>60</v>
      </c>
      <c r="U5" s="72" t="s">
        <v>61</v>
      </c>
      <c r="V5" s="72" t="s">
        <v>62</v>
      </c>
      <c r="W5" s="72" t="s">
        <v>63</v>
      </c>
      <c r="X5" s="72" t="s">
        <v>64</v>
      </c>
      <c r="Y5" s="68" t="s">
        <v>65</v>
      </c>
      <c r="Z5" s="68" t="s">
        <v>66</v>
      </c>
      <c r="AA5" s="69">
        <v>1</v>
      </c>
      <c r="AB5" s="69">
        <v>2</v>
      </c>
      <c r="AC5" s="69">
        <v>3</v>
      </c>
      <c r="AD5" s="73" t="s">
        <v>67</v>
      </c>
      <c r="AE5" s="73" t="s">
        <v>68</v>
      </c>
      <c r="AF5" s="74" t="s">
        <v>69</v>
      </c>
      <c r="AG5" s="74" t="s">
        <v>70</v>
      </c>
      <c r="AH5" s="74" t="s">
        <v>1225</v>
      </c>
      <c r="AI5" s="68" t="s">
        <v>1224</v>
      </c>
      <c r="AJ5" s="68" t="s">
        <v>1223</v>
      </c>
      <c r="AK5" s="69" t="s">
        <v>1228</v>
      </c>
      <c r="AL5" s="69" t="s">
        <v>1229</v>
      </c>
      <c r="AM5" s="68" t="s">
        <v>71</v>
      </c>
      <c r="AN5" s="68" t="s">
        <v>72</v>
      </c>
      <c r="AO5" s="75" t="s">
        <v>73</v>
      </c>
      <c r="AP5" s="68" t="s">
        <v>1350</v>
      </c>
    </row>
    <row r="6" spans="1:42" ht="55.5" x14ac:dyDescent="0.25">
      <c r="A6" s="76">
        <v>2</v>
      </c>
      <c r="B6" s="76" t="s">
        <v>74</v>
      </c>
      <c r="C6" s="76" t="s">
        <v>1145</v>
      </c>
      <c r="D6" s="76">
        <v>2</v>
      </c>
      <c r="E6" s="76" t="s">
        <v>82</v>
      </c>
      <c r="F6" s="78" t="s">
        <v>75</v>
      </c>
      <c r="G6" s="79" t="s">
        <v>89</v>
      </c>
      <c r="H6" s="79" t="s">
        <v>90</v>
      </c>
      <c r="I6" s="80" t="s">
        <v>1339</v>
      </c>
      <c r="J6" s="79" t="s">
        <v>91</v>
      </c>
      <c r="K6" s="79" t="s">
        <v>92</v>
      </c>
      <c r="L6" s="81">
        <v>268000000</v>
      </c>
      <c r="M6" s="81" t="s">
        <v>85</v>
      </c>
      <c r="N6" s="82">
        <v>44682</v>
      </c>
      <c r="O6" s="82">
        <v>45046</v>
      </c>
      <c r="P6" s="83">
        <f>(O6-N6)/365</f>
        <v>0.99726027397260275</v>
      </c>
      <c r="Q6" s="77" t="s">
        <v>19</v>
      </c>
      <c r="R6" s="77" t="s">
        <v>79</v>
      </c>
      <c r="S6" s="77" t="str">
        <f>IF(R6="End","Z",IF(R6="Cancel","C",IF(SUM(R6)&gt;0,"O",IF(ISBLANK(R6),"X",IF(SUM(R6)&lt;0,"Y",IF(SUM(R6),"-","O"))))))</f>
        <v>Z</v>
      </c>
      <c r="T6" s="84">
        <v>1</v>
      </c>
      <c r="U6" s="84">
        <v>3</v>
      </c>
      <c r="V6" s="84">
        <v>1</v>
      </c>
      <c r="W6" s="84">
        <f>T6+U6+V6</f>
        <v>5</v>
      </c>
      <c r="X6" s="84" t="str">
        <f>IF(W6&gt;5,"Penting",IF(ISBLANK(W6),"","Biasa"))</f>
        <v>Biasa</v>
      </c>
      <c r="Y6" s="78"/>
      <c r="Z6" s="115"/>
      <c r="AA6" s="82"/>
      <c r="AB6" s="82"/>
      <c r="AC6" s="82"/>
      <c r="AD6" s="27"/>
      <c r="AE6" s="85"/>
      <c r="AF6" s="77" t="s">
        <v>80</v>
      </c>
      <c r="AG6" s="77" t="s">
        <v>81</v>
      </c>
      <c r="AH6" s="21" t="s">
        <v>81</v>
      </c>
      <c r="AI6" s="21" t="s">
        <v>81</v>
      </c>
      <c r="AJ6" s="21" t="s">
        <v>81</v>
      </c>
      <c r="AK6" s="21" t="s">
        <v>81</v>
      </c>
      <c r="AL6" s="21" t="s">
        <v>81</v>
      </c>
      <c r="AM6" s="27" t="s">
        <v>87</v>
      </c>
      <c r="AN6" s="86">
        <v>44295</v>
      </c>
      <c r="AO6" s="87"/>
      <c r="AP6" s="82">
        <f>O6+3650</f>
        <v>48696</v>
      </c>
    </row>
    <row r="7" spans="1:42" ht="83.25" x14ac:dyDescent="0.25">
      <c r="A7" s="76">
        <v>118</v>
      </c>
      <c r="B7" s="76" t="s">
        <v>74</v>
      </c>
      <c r="C7" s="76" t="s">
        <v>1161</v>
      </c>
      <c r="D7" s="76">
        <v>5</v>
      </c>
      <c r="E7" s="76" t="s">
        <v>82</v>
      </c>
      <c r="F7" s="78" t="s">
        <v>909</v>
      </c>
      <c r="G7" s="79" t="s">
        <v>901</v>
      </c>
      <c r="H7" s="79" t="s">
        <v>910</v>
      </c>
      <c r="I7" s="80" t="s">
        <v>1338</v>
      </c>
      <c r="J7" s="79" t="s">
        <v>907</v>
      </c>
      <c r="K7" s="79" t="s">
        <v>911</v>
      </c>
      <c r="L7" s="81" t="s">
        <v>186</v>
      </c>
      <c r="M7" s="81"/>
      <c r="N7" s="82">
        <v>44683</v>
      </c>
      <c r="O7" s="82">
        <v>45047</v>
      </c>
      <c r="P7" s="83">
        <f t="shared" ref="P7:P15" si="0">(O7-N7)/365</f>
        <v>0.99726027397260275</v>
      </c>
      <c r="Q7" s="77" t="s">
        <v>21</v>
      </c>
      <c r="R7" s="77" t="s">
        <v>79</v>
      </c>
      <c r="S7" s="77" t="str">
        <f t="shared" ref="S7:S15" si="1">IF(R7="End","Z",IF(R7="Cancel","C",IF(SUM(R7)&gt;0,"O",IF(ISBLANK(R7),"X",IF(SUM(R7)&lt;0,"Y",IF(SUM(R7),"-","O"))))))</f>
        <v>Z</v>
      </c>
      <c r="T7" s="84">
        <v>3</v>
      </c>
      <c r="U7" s="84">
        <v>3</v>
      </c>
      <c r="V7" s="84">
        <v>3</v>
      </c>
      <c r="W7" s="84">
        <f t="shared" ref="W7:W57" si="2">T7+U7+V7</f>
        <v>9</v>
      </c>
      <c r="X7" s="84" t="str">
        <f t="shared" ref="X7:X14" si="3">IF(W7&gt;5,"Penting",IF(ISBLANK(W7),"","Biasa"))</f>
        <v>Penting</v>
      </c>
      <c r="Y7" s="78" t="s">
        <v>912</v>
      </c>
      <c r="Z7" s="115"/>
      <c r="AA7" s="82"/>
      <c r="AB7" s="82"/>
      <c r="AC7" s="82"/>
      <c r="AD7" s="27" t="s">
        <v>86</v>
      </c>
      <c r="AE7" s="85">
        <v>44694</v>
      </c>
      <c r="AF7" s="77" t="s">
        <v>893</v>
      </c>
      <c r="AG7" s="77" t="s">
        <v>81</v>
      </c>
      <c r="AH7" s="21" t="s">
        <v>81</v>
      </c>
      <c r="AI7" s="21" t="s">
        <v>81</v>
      </c>
      <c r="AJ7" s="21" t="s">
        <v>81</v>
      </c>
      <c r="AK7" s="21" t="s">
        <v>81</v>
      </c>
      <c r="AL7" s="21" t="s">
        <v>81</v>
      </c>
      <c r="AM7" s="27" t="s">
        <v>87</v>
      </c>
      <c r="AN7" s="86"/>
      <c r="AO7" s="87"/>
      <c r="AP7" s="82">
        <f t="shared" ref="AP7:AP70" si="4">O7+3650</f>
        <v>48697</v>
      </c>
    </row>
    <row r="8" spans="1:42" ht="55.5" x14ac:dyDescent="0.25">
      <c r="A8" s="76">
        <v>135</v>
      </c>
      <c r="B8" s="76" t="s">
        <v>74</v>
      </c>
      <c r="C8" s="76" t="s">
        <v>1164</v>
      </c>
      <c r="D8" s="76">
        <v>5</v>
      </c>
      <c r="E8" s="76" t="s">
        <v>82</v>
      </c>
      <c r="F8" s="78" t="s">
        <v>200</v>
      </c>
      <c r="G8" s="79" t="s">
        <v>198</v>
      </c>
      <c r="H8" s="79" t="s">
        <v>201</v>
      </c>
      <c r="I8" s="80" t="s">
        <v>1338</v>
      </c>
      <c r="J8" s="79" t="s">
        <v>199</v>
      </c>
      <c r="K8" s="79" t="s">
        <v>202</v>
      </c>
      <c r="L8" s="81"/>
      <c r="M8" s="81"/>
      <c r="N8" s="82">
        <v>44621</v>
      </c>
      <c r="O8" s="82">
        <v>44985</v>
      </c>
      <c r="P8" s="83">
        <f t="shared" si="0"/>
        <v>0.99726027397260275</v>
      </c>
      <c r="Q8" s="77" t="s">
        <v>19</v>
      </c>
      <c r="R8" s="77" t="s">
        <v>79</v>
      </c>
      <c r="S8" s="77" t="str">
        <f t="shared" si="1"/>
        <v>Z</v>
      </c>
      <c r="T8" s="84">
        <v>1</v>
      </c>
      <c r="U8" s="84">
        <v>1</v>
      </c>
      <c r="V8" s="84">
        <v>1</v>
      </c>
      <c r="W8" s="84">
        <f t="shared" si="2"/>
        <v>3</v>
      </c>
      <c r="X8" s="84" t="str">
        <f t="shared" si="3"/>
        <v>Biasa</v>
      </c>
      <c r="Y8" s="78"/>
      <c r="Z8" s="115"/>
      <c r="AA8" s="82"/>
      <c r="AB8" s="82"/>
      <c r="AC8" s="82"/>
      <c r="AD8" s="27" t="s">
        <v>86</v>
      </c>
      <c r="AE8" s="85">
        <v>44256</v>
      </c>
      <c r="AF8" s="77" t="s">
        <v>168</v>
      </c>
      <c r="AG8" s="77" t="s">
        <v>81</v>
      </c>
      <c r="AH8" s="21" t="s">
        <v>81</v>
      </c>
      <c r="AI8" s="21" t="s">
        <v>81</v>
      </c>
      <c r="AJ8" s="21" t="s">
        <v>81</v>
      </c>
      <c r="AK8" s="21" t="s">
        <v>81</v>
      </c>
      <c r="AL8" s="21" t="s">
        <v>81</v>
      </c>
      <c r="AM8" s="27" t="s">
        <v>87</v>
      </c>
      <c r="AN8" s="86"/>
      <c r="AO8" s="87"/>
      <c r="AP8" s="82">
        <f t="shared" si="4"/>
        <v>48635</v>
      </c>
    </row>
    <row r="9" spans="1:42" ht="83.25" x14ac:dyDescent="0.25">
      <c r="A9" s="76">
        <v>174</v>
      </c>
      <c r="B9" s="76" t="s">
        <v>74</v>
      </c>
      <c r="C9" s="76" t="s">
        <v>1173</v>
      </c>
      <c r="D9" s="76">
        <v>1</v>
      </c>
      <c r="E9" s="76" t="s">
        <v>82</v>
      </c>
      <c r="F9" s="78" t="s">
        <v>1301</v>
      </c>
      <c r="G9" s="79" t="s">
        <v>693</v>
      </c>
      <c r="H9" s="79" t="s">
        <v>694</v>
      </c>
      <c r="I9" s="80" t="s">
        <v>1337</v>
      </c>
      <c r="J9" s="79" t="s">
        <v>695</v>
      </c>
      <c r="K9" s="79" t="s">
        <v>696</v>
      </c>
      <c r="L9" s="81">
        <v>9000</v>
      </c>
      <c r="M9" s="81" t="s">
        <v>697</v>
      </c>
      <c r="N9" s="82">
        <v>44942</v>
      </c>
      <c r="O9" s="82">
        <v>45061</v>
      </c>
      <c r="P9" s="83">
        <f t="shared" si="0"/>
        <v>0.32602739726027397</v>
      </c>
      <c r="Q9" s="77" t="s">
        <v>19</v>
      </c>
      <c r="R9" s="77" t="s">
        <v>79</v>
      </c>
      <c r="S9" s="77" t="str">
        <f t="shared" si="1"/>
        <v>Z</v>
      </c>
      <c r="T9" s="84">
        <v>3</v>
      </c>
      <c r="U9" s="84">
        <v>2</v>
      </c>
      <c r="V9" s="84">
        <v>2</v>
      </c>
      <c r="W9" s="84">
        <f t="shared" si="2"/>
        <v>7</v>
      </c>
      <c r="X9" s="84" t="str">
        <f t="shared" si="3"/>
        <v>Penting</v>
      </c>
      <c r="Y9" s="78"/>
      <c r="Z9" s="115"/>
      <c r="AA9" s="82"/>
      <c r="AB9" s="82"/>
      <c r="AC9" s="82"/>
      <c r="AD9" s="27"/>
      <c r="AE9" s="85"/>
      <c r="AF9" s="77" t="s">
        <v>80</v>
      </c>
      <c r="AG9" s="77" t="s">
        <v>81</v>
      </c>
      <c r="AH9" s="21" t="s">
        <v>81</v>
      </c>
      <c r="AI9" s="21" t="s">
        <v>81</v>
      </c>
      <c r="AJ9" s="21" t="s">
        <v>81</v>
      </c>
      <c r="AK9" s="21" t="s">
        <v>81</v>
      </c>
      <c r="AL9" s="21" t="s">
        <v>81</v>
      </c>
      <c r="AM9" s="27" t="s">
        <v>100</v>
      </c>
      <c r="AN9" s="86"/>
      <c r="AO9" s="87"/>
      <c r="AP9" s="82">
        <f t="shared" si="4"/>
        <v>48711</v>
      </c>
    </row>
    <row r="10" spans="1:42" ht="83.25" x14ac:dyDescent="0.25">
      <c r="A10" s="76">
        <v>175</v>
      </c>
      <c r="B10" s="76" t="s">
        <v>74</v>
      </c>
      <c r="C10" s="76" t="s">
        <v>1173</v>
      </c>
      <c r="D10" s="76">
        <v>2</v>
      </c>
      <c r="E10" s="76" t="s">
        <v>82</v>
      </c>
      <c r="F10" s="78" t="s">
        <v>1329</v>
      </c>
      <c r="G10" s="79" t="s">
        <v>693</v>
      </c>
      <c r="H10" s="79" t="s">
        <v>699</v>
      </c>
      <c r="I10" s="80" t="s">
        <v>1337</v>
      </c>
      <c r="J10" s="79" t="s">
        <v>695</v>
      </c>
      <c r="K10" s="79" t="s">
        <v>700</v>
      </c>
      <c r="L10" s="81">
        <v>9000</v>
      </c>
      <c r="M10" s="81" t="s">
        <v>697</v>
      </c>
      <c r="N10" s="82">
        <v>44984</v>
      </c>
      <c r="O10" s="82">
        <v>45061</v>
      </c>
      <c r="P10" s="83">
        <f t="shared" si="0"/>
        <v>0.21095890410958903</v>
      </c>
      <c r="Q10" s="77" t="s">
        <v>19</v>
      </c>
      <c r="R10" s="77" t="s">
        <v>79</v>
      </c>
      <c r="S10" s="77" t="str">
        <f t="shared" si="1"/>
        <v>Z</v>
      </c>
      <c r="T10" s="84">
        <v>3</v>
      </c>
      <c r="U10" s="84">
        <v>2</v>
      </c>
      <c r="V10" s="84">
        <v>2</v>
      </c>
      <c r="W10" s="84">
        <f t="shared" si="2"/>
        <v>7</v>
      </c>
      <c r="X10" s="84" t="str">
        <f t="shared" si="3"/>
        <v>Penting</v>
      </c>
      <c r="Y10" s="78"/>
      <c r="Z10" s="115"/>
      <c r="AA10" s="82"/>
      <c r="AB10" s="82"/>
      <c r="AC10" s="82"/>
      <c r="AD10" s="27"/>
      <c r="AE10" s="85"/>
      <c r="AF10" s="77" t="s">
        <v>80</v>
      </c>
      <c r="AG10" s="77" t="s">
        <v>81</v>
      </c>
      <c r="AH10" s="21" t="s">
        <v>81</v>
      </c>
      <c r="AI10" s="21" t="s">
        <v>81</v>
      </c>
      <c r="AJ10" s="21" t="s">
        <v>81</v>
      </c>
      <c r="AK10" s="21" t="s">
        <v>81</v>
      </c>
      <c r="AL10" s="21" t="s">
        <v>81</v>
      </c>
      <c r="AM10" s="27" t="s">
        <v>100</v>
      </c>
      <c r="AN10" s="86"/>
      <c r="AO10" s="87"/>
      <c r="AP10" s="82">
        <f t="shared" si="4"/>
        <v>48711</v>
      </c>
    </row>
    <row r="11" spans="1:42" ht="83.25" x14ac:dyDescent="0.25">
      <c r="A11" s="76">
        <v>176</v>
      </c>
      <c r="B11" s="76" t="s">
        <v>74</v>
      </c>
      <c r="C11" s="76" t="s">
        <v>1173</v>
      </c>
      <c r="D11" s="76">
        <v>3</v>
      </c>
      <c r="E11" s="76" t="s">
        <v>82</v>
      </c>
      <c r="F11" s="78" t="s">
        <v>1328</v>
      </c>
      <c r="G11" s="79" t="s">
        <v>693</v>
      </c>
      <c r="H11" s="79" t="s">
        <v>1327</v>
      </c>
      <c r="I11" s="80" t="s">
        <v>1337</v>
      </c>
      <c r="J11" s="79" t="s">
        <v>695</v>
      </c>
      <c r="K11" s="79" t="s">
        <v>703</v>
      </c>
      <c r="L11" s="81">
        <v>9000</v>
      </c>
      <c r="M11" s="81" t="s">
        <v>697</v>
      </c>
      <c r="N11" s="82">
        <v>44984</v>
      </c>
      <c r="O11" s="82">
        <v>45061</v>
      </c>
      <c r="P11" s="83">
        <f t="shared" si="0"/>
        <v>0.21095890410958903</v>
      </c>
      <c r="Q11" s="77" t="s">
        <v>19</v>
      </c>
      <c r="R11" s="77" t="s">
        <v>79</v>
      </c>
      <c r="S11" s="77" t="str">
        <f t="shared" si="1"/>
        <v>Z</v>
      </c>
      <c r="T11" s="84">
        <v>3</v>
      </c>
      <c r="U11" s="84">
        <v>2</v>
      </c>
      <c r="V11" s="84">
        <v>2</v>
      </c>
      <c r="W11" s="84">
        <f t="shared" si="2"/>
        <v>7</v>
      </c>
      <c r="X11" s="84" t="str">
        <f t="shared" si="3"/>
        <v>Penting</v>
      </c>
      <c r="Y11" s="78"/>
      <c r="Z11" s="115"/>
      <c r="AA11" s="82"/>
      <c r="AB11" s="82"/>
      <c r="AC11" s="82"/>
      <c r="AD11" s="27"/>
      <c r="AE11" s="85"/>
      <c r="AF11" s="77" t="s">
        <v>80</v>
      </c>
      <c r="AG11" s="77" t="s">
        <v>81</v>
      </c>
      <c r="AH11" s="21" t="s">
        <v>81</v>
      </c>
      <c r="AI11" s="21" t="s">
        <v>81</v>
      </c>
      <c r="AJ11" s="21" t="s">
        <v>81</v>
      </c>
      <c r="AK11" s="21" t="s">
        <v>81</v>
      </c>
      <c r="AL11" s="21" t="s">
        <v>81</v>
      </c>
      <c r="AM11" s="27" t="s">
        <v>100</v>
      </c>
      <c r="AN11" s="86"/>
      <c r="AO11" s="87"/>
      <c r="AP11" s="82">
        <f t="shared" si="4"/>
        <v>48711</v>
      </c>
    </row>
    <row r="12" spans="1:42" ht="55.5" x14ac:dyDescent="0.25">
      <c r="A12" s="76">
        <v>177</v>
      </c>
      <c r="B12" s="76" t="s">
        <v>74</v>
      </c>
      <c r="C12" s="76" t="s">
        <v>1173</v>
      </c>
      <c r="D12" s="76">
        <v>4</v>
      </c>
      <c r="E12" s="76" t="s">
        <v>82</v>
      </c>
      <c r="F12" s="78" t="s">
        <v>1290</v>
      </c>
      <c r="G12" s="79" t="s">
        <v>693</v>
      </c>
      <c r="H12" s="79" t="s">
        <v>708</v>
      </c>
      <c r="I12" s="80" t="s">
        <v>1337</v>
      </c>
      <c r="J12" s="79" t="s">
        <v>695</v>
      </c>
      <c r="K12" s="79" t="s">
        <v>709</v>
      </c>
      <c r="L12" s="81">
        <v>9000</v>
      </c>
      <c r="M12" s="81" t="s">
        <v>697</v>
      </c>
      <c r="N12" s="82">
        <v>44942</v>
      </c>
      <c r="O12" s="82">
        <v>45061</v>
      </c>
      <c r="P12" s="83">
        <f t="shared" si="0"/>
        <v>0.32602739726027397</v>
      </c>
      <c r="Q12" s="77" t="s">
        <v>19</v>
      </c>
      <c r="R12" s="77" t="s">
        <v>79</v>
      </c>
      <c r="S12" s="77" t="str">
        <f t="shared" si="1"/>
        <v>Z</v>
      </c>
      <c r="T12" s="84">
        <v>3</v>
      </c>
      <c r="U12" s="84">
        <v>2</v>
      </c>
      <c r="V12" s="84">
        <v>2</v>
      </c>
      <c r="W12" s="84">
        <f t="shared" si="2"/>
        <v>7</v>
      </c>
      <c r="X12" s="84" t="str">
        <f t="shared" si="3"/>
        <v>Penting</v>
      </c>
      <c r="Y12" s="78"/>
      <c r="Z12" s="115"/>
      <c r="AA12" s="82"/>
      <c r="AB12" s="82"/>
      <c r="AC12" s="82"/>
      <c r="AD12" s="27"/>
      <c r="AE12" s="85"/>
      <c r="AF12" s="77" t="s">
        <v>80</v>
      </c>
      <c r="AG12" s="77" t="s">
        <v>81</v>
      </c>
      <c r="AH12" s="21" t="s">
        <v>81</v>
      </c>
      <c r="AI12" s="21" t="s">
        <v>81</v>
      </c>
      <c r="AJ12" s="21" t="s">
        <v>81</v>
      </c>
      <c r="AK12" s="21" t="s">
        <v>81</v>
      </c>
      <c r="AL12" s="21" t="s">
        <v>81</v>
      </c>
      <c r="AM12" s="27" t="s">
        <v>100</v>
      </c>
      <c r="AN12" s="86"/>
      <c r="AO12" s="87"/>
      <c r="AP12" s="82">
        <f t="shared" si="4"/>
        <v>48711</v>
      </c>
    </row>
    <row r="13" spans="1:42" ht="83.25" x14ac:dyDescent="0.25">
      <c r="A13" s="76">
        <v>178</v>
      </c>
      <c r="B13" s="76" t="s">
        <v>74</v>
      </c>
      <c r="C13" s="76" t="s">
        <v>1173</v>
      </c>
      <c r="D13" s="76">
        <v>5</v>
      </c>
      <c r="E13" s="76" t="s">
        <v>82</v>
      </c>
      <c r="F13" s="78" t="s">
        <v>1292</v>
      </c>
      <c r="G13" s="79" t="s">
        <v>693</v>
      </c>
      <c r="H13" s="79" t="s">
        <v>714</v>
      </c>
      <c r="I13" s="80" t="s">
        <v>1337</v>
      </c>
      <c r="J13" s="79" t="s">
        <v>695</v>
      </c>
      <c r="K13" s="79" t="s">
        <v>715</v>
      </c>
      <c r="L13" s="81">
        <v>9000</v>
      </c>
      <c r="M13" s="81" t="s">
        <v>697</v>
      </c>
      <c r="N13" s="82">
        <v>44942</v>
      </c>
      <c r="O13" s="82">
        <v>45061</v>
      </c>
      <c r="P13" s="83">
        <f t="shared" si="0"/>
        <v>0.32602739726027397</v>
      </c>
      <c r="Q13" s="77" t="s">
        <v>19</v>
      </c>
      <c r="R13" s="77" t="s">
        <v>79</v>
      </c>
      <c r="S13" s="77" t="str">
        <f t="shared" si="1"/>
        <v>Z</v>
      </c>
      <c r="T13" s="84">
        <v>3</v>
      </c>
      <c r="U13" s="84">
        <v>2</v>
      </c>
      <c r="V13" s="84">
        <v>2</v>
      </c>
      <c r="W13" s="84">
        <f t="shared" si="2"/>
        <v>7</v>
      </c>
      <c r="X13" s="84" t="str">
        <f t="shared" si="3"/>
        <v>Penting</v>
      </c>
      <c r="Y13" s="78"/>
      <c r="Z13" s="115"/>
      <c r="AA13" s="82"/>
      <c r="AB13" s="82"/>
      <c r="AC13" s="82"/>
      <c r="AD13" s="27"/>
      <c r="AE13" s="85"/>
      <c r="AF13" s="77" t="s">
        <v>80</v>
      </c>
      <c r="AG13" s="77" t="s">
        <v>81</v>
      </c>
      <c r="AH13" s="21" t="s">
        <v>81</v>
      </c>
      <c r="AI13" s="21" t="s">
        <v>81</v>
      </c>
      <c r="AJ13" s="21" t="s">
        <v>81</v>
      </c>
      <c r="AK13" s="21" t="s">
        <v>81</v>
      </c>
      <c r="AL13" s="21" t="s">
        <v>81</v>
      </c>
      <c r="AM13" s="27" t="s">
        <v>100</v>
      </c>
      <c r="AN13" s="86"/>
      <c r="AO13" s="87"/>
      <c r="AP13" s="82">
        <f t="shared" si="4"/>
        <v>48711</v>
      </c>
    </row>
    <row r="14" spans="1:42" ht="83.25" x14ac:dyDescent="0.25">
      <c r="A14" s="76">
        <v>179</v>
      </c>
      <c r="B14" s="76" t="s">
        <v>74</v>
      </c>
      <c r="C14" s="76" t="s">
        <v>1174</v>
      </c>
      <c r="D14" s="76">
        <v>1</v>
      </c>
      <c r="E14" s="76" t="s">
        <v>82</v>
      </c>
      <c r="F14" s="78" t="s">
        <v>1295</v>
      </c>
      <c r="G14" s="79" t="s">
        <v>693</v>
      </c>
      <c r="H14" s="79" t="s">
        <v>717</v>
      </c>
      <c r="I14" s="80" t="s">
        <v>1337</v>
      </c>
      <c r="J14" s="79" t="s">
        <v>695</v>
      </c>
      <c r="K14" s="79" t="s">
        <v>718</v>
      </c>
      <c r="L14" s="81">
        <v>9000</v>
      </c>
      <c r="M14" s="81" t="s">
        <v>697</v>
      </c>
      <c r="N14" s="82">
        <v>44942</v>
      </c>
      <c r="O14" s="82">
        <v>45061</v>
      </c>
      <c r="P14" s="83">
        <f t="shared" si="0"/>
        <v>0.32602739726027397</v>
      </c>
      <c r="Q14" s="77" t="s">
        <v>19</v>
      </c>
      <c r="R14" s="77" t="s">
        <v>79</v>
      </c>
      <c r="S14" s="77" t="str">
        <f t="shared" si="1"/>
        <v>Z</v>
      </c>
      <c r="T14" s="84">
        <v>3</v>
      </c>
      <c r="U14" s="84">
        <v>2</v>
      </c>
      <c r="V14" s="84">
        <v>2</v>
      </c>
      <c r="W14" s="84">
        <f t="shared" si="2"/>
        <v>7</v>
      </c>
      <c r="X14" s="84" t="str">
        <f t="shared" si="3"/>
        <v>Penting</v>
      </c>
      <c r="Y14" s="78"/>
      <c r="Z14" s="115"/>
      <c r="AA14" s="82"/>
      <c r="AB14" s="82"/>
      <c r="AC14" s="82"/>
      <c r="AD14" s="27" t="s">
        <v>86</v>
      </c>
      <c r="AE14" s="85">
        <v>44562</v>
      </c>
      <c r="AF14" s="77" t="s">
        <v>80</v>
      </c>
      <c r="AG14" s="77" t="s">
        <v>81</v>
      </c>
      <c r="AH14" s="21" t="s">
        <v>81</v>
      </c>
      <c r="AI14" s="21" t="s">
        <v>81</v>
      </c>
      <c r="AJ14" s="21" t="s">
        <v>81</v>
      </c>
      <c r="AK14" s="21" t="s">
        <v>81</v>
      </c>
      <c r="AL14" s="21" t="s">
        <v>81</v>
      </c>
      <c r="AM14" s="27" t="s">
        <v>100</v>
      </c>
      <c r="AN14" s="86"/>
      <c r="AO14" s="87"/>
      <c r="AP14" s="82">
        <f t="shared" si="4"/>
        <v>48711</v>
      </c>
    </row>
    <row r="15" spans="1:42" ht="83.25" x14ac:dyDescent="0.25">
      <c r="A15" s="76">
        <v>180</v>
      </c>
      <c r="B15" s="76" t="s">
        <v>74</v>
      </c>
      <c r="C15" s="76" t="s">
        <v>1174</v>
      </c>
      <c r="D15" s="76">
        <v>2</v>
      </c>
      <c r="E15" s="76" t="s">
        <v>82</v>
      </c>
      <c r="F15" s="78" t="s">
        <v>1293</v>
      </c>
      <c r="G15" s="79" t="s">
        <v>693</v>
      </c>
      <c r="H15" s="79" t="s">
        <v>1206</v>
      </c>
      <c r="I15" s="80" t="s">
        <v>1337</v>
      </c>
      <c r="J15" s="79" t="s">
        <v>695</v>
      </c>
      <c r="K15" s="79" t="s">
        <v>1209</v>
      </c>
      <c r="L15" s="81">
        <v>9000</v>
      </c>
      <c r="M15" s="81" t="s">
        <v>697</v>
      </c>
      <c r="N15" s="82">
        <v>44942</v>
      </c>
      <c r="O15" s="82">
        <v>45061</v>
      </c>
      <c r="P15" s="83">
        <f t="shared" si="0"/>
        <v>0.32602739726027397</v>
      </c>
      <c r="Q15" s="77" t="s">
        <v>19</v>
      </c>
      <c r="R15" s="77" t="s">
        <v>79</v>
      </c>
      <c r="S15" s="77" t="str">
        <f t="shared" si="1"/>
        <v>Z</v>
      </c>
      <c r="T15" s="84">
        <v>3</v>
      </c>
      <c r="U15" s="84">
        <v>2</v>
      </c>
      <c r="V15" s="84">
        <v>2</v>
      </c>
      <c r="W15" s="84">
        <f t="shared" si="2"/>
        <v>7</v>
      </c>
      <c r="X15" s="84" t="str">
        <f>IF(W15&gt;5,"Penting",IF(ISBLANK(W15),"","Biasa"))</f>
        <v>Penting</v>
      </c>
      <c r="Y15" s="78"/>
      <c r="Z15" s="115"/>
      <c r="AA15" s="82"/>
      <c r="AB15" s="82"/>
      <c r="AC15" s="82"/>
      <c r="AD15" s="27" t="s">
        <v>86</v>
      </c>
      <c r="AE15" s="85">
        <v>44896</v>
      </c>
      <c r="AF15" s="77" t="s">
        <v>80</v>
      </c>
      <c r="AG15" s="77" t="s">
        <v>81</v>
      </c>
      <c r="AH15" s="21" t="s">
        <v>81</v>
      </c>
      <c r="AI15" s="21" t="s">
        <v>81</v>
      </c>
      <c r="AJ15" s="21" t="s">
        <v>81</v>
      </c>
      <c r="AK15" s="21" t="s">
        <v>81</v>
      </c>
      <c r="AL15" s="21" t="s">
        <v>81</v>
      </c>
      <c r="AM15" s="27" t="s">
        <v>100</v>
      </c>
      <c r="AN15" s="86"/>
      <c r="AO15" s="87"/>
      <c r="AP15" s="82">
        <f t="shared" si="4"/>
        <v>48711</v>
      </c>
    </row>
    <row r="16" spans="1:42" ht="83.25" x14ac:dyDescent="0.25">
      <c r="A16" s="76">
        <v>181</v>
      </c>
      <c r="B16" s="76" t="s">
        <v>74</v>
      </c>
      <c r="C16" s="76" t="s">
        <v>1174</v>
      </c>
      <c r="D16" s="76">
        <v>3</v>
      </c>
      <c r="E16" s="76" t="s">
        <v>82</v>
      </c>
      <c r="F16" s="78" t="s">
        <v>1204</v>
      </c>
      <c r="G16" s="79" t="s">
        <v>693</v>
      </c>
      <c r="H16" s="79" t="s">
        <v>1207</v>
      </c>
      <c r="I16" s="80"/>
      <c r="J16" s="79" t="s">
        <v>695</v>
      </c>
      <c r="K16" s="79" t="s">
        <v>1210</v>
      </c>
      <c r="L16" s="81">
        <v>9000</v>
      </c>
      <c r="M16" s="81" t="s">
        <v>697</v>
      </c>
      <c r="N16" s="82">
        <v>44896</v>
      </c>
      <c r="O16" s="82">
        <v>44941</v>
      </c>
      <c r="P16" s="83">
        <f>(O16-N16)/365</f>
        <v>0.12328767123287671</v>
      </c>
      <c r="Q16" s="77" t="s">
        <v>19</v>
      </c>
      <c r="R16" s="77" t="s">
        <v>79</v>
      </c>
      <c r="S16" s="77" t="str">
        <f>IF(R16="End","Z",IF(R16="Cancel","C",IF(SUM(R16)&gt;0,"O",IF(ISBLANK(R16),"X",IF(SUM(R16)&lt;0,"Y",IF(SUM(R16),"-","O"))))))</f>
        <v>Z</v>
      </c>
      <c r="T16" s="84">
        <v>3</v>
      </c>
      <c r="U16" s="84">
        <v>2</v>
      </c>
      <c r="V16" s="84">
        <v>2</v>
      </c>
      <c r="W16" s="84">
        <f t="shared" si="2"/>
        <v>7</v>
      </c>
      <c r="X16" s="84" t="str">
        <f>IF(W16&gt;5,"Penting",IF(ISBLANK(W16),"","Biasa"))</f>
        <v>Penting</v>
      </c>
      <c r="Y16" s="78" t="s">
        <v>1283</v>
      </c>
      <c r="Z16" s="115"/>
      <c r="AA16" s="82"/>
      <c r="AB16" s="82"/>
      <c r="AC16" s="82"/>
      <c r="AD16" s="27" t="s">
        <v>86</v>
      </c>
      <c r="AE16" s="85">
        <v>44896</v>
      </c>
      <c r="AF16" s="77" t="s">
        <v>80</v>
      </c>
      <c r="AG16" s="77" t="s">
        <v>81</v>
      </c>
      <c r="AH16" s="21" t="s">
        <v>81</v>
      </c>
      <c r="AI16" s="21" t="s">
        <v>81</v>
      </c>
      <c r="AJ16" s="21" t="s">
        <v>81</v>
      </c>
      <c r="AK16" s="21" t="s">
        <v>81</v>
      </c>
      <c r="AL16" s="21" t="s">
        <v>81</v>
      </c>
      <c r="AM16" s="27" t="s">
        <v>100</v>
      </c>
      <c r="AN16" s="86">
        <v>44890</v>
      </c>
      <c r="AO16" s="87"/>
      <c r="AP16" s="82">
        <f t="shared" si="4"/>
        <v>48591</v>
      </c>
    </row>
    <row r="17" spans="1:46" ht="111" x14ac:dyDescent="0.25">
      <c r="A17" s="76">
        <v>182</v>
      </c>
      <c r="B17" s="76" t="s">
        <v>74</v>
      </c>
      <c r="C17" s="76" t="s">
        <v>1174</v>
      </c>
      <c r="D17" s="76">
        <v>4</v>
      </c>
      <c r="E17" s="76" t="s">
        <v>82</v>
      </c>
      <c r="F17" s="78" t="s">
        <v>1291</v>
      </c>
      <c r="G17" s="79" t="s">
        <v>693</v>
      </c>
      <c r="H17" s="79" t="s">
        <v>1208</v>
      </c>
      <c r="I17" s="80" t="s">
        <v>1337</v>
      </c>
      <c r="J17" s="79" t="s">
        <v>695</v>
      </c>
      <c r="K17" s="79" t="s">
        <v>1211</v>
      </c>
      <c r="L17" s="81">
        <v>9000</v>
      </c>
      <c r="M17" s="81" t="s">
        <v>697</v>
      </c>
      <c r="N17" s="82">
        <v>44942</v>
      </c>
      <c r="O17" s="82">
        <v>45061</v>
      </c>
      <c r="P17" s="83">
        <f>(O17-N17)/365</f>
        <v>0.32602739726027397</v>
      </c>
      <c r="Q17" s="77" t="s">
        <v>19</v>
      </c>
      <c r="R17" s="77" t="s">
        <v>79</v>
      </c>
      <c r="S17" s="77" t="str">
        <f>IF(R17="End","Z",IF(R17="Cancel","C",IF(SUM(R17)&gt;0,"O",IF(ISBLANK(R17),"X",IF(SUM(R17)&lt;0,"Y",IF(SUM(R17),"-","O"))))))</f>
        <v>Z</v>
      </c>
      <c r="T17" s="84">
        <v>3</v>
      </c>
      <c r="U17" s="84">
        <v>2</v>
      </c>
      <c r="V17" s="84">
        <v>2</v>
      </c>
      <c r="W17" s="84">
        <f t="shared" si="2"/>
        <v>7</v>
      </c>
      <c r="X17" s="84" t="str">
        <f>IF(W17&gt;5,"Penting",IF(ISBLANK(W17),"","Biasa"))</f>
        <v>Penting</v>
      </c>
      <c r="Y17" s="78"/>
      <c r="Z17" s="115"/>
      <c r="AA17" s="82"/>
      <c r="AB17" s="82"/>
      <c r="AC17" s="82"/>
      <c r="AD17" s="27" t="s">
        <v>86</v>
      </c>
      <c r="AE17" s="85">
        <v>44896</v>
      </c>
      <c r="AF17" s="77" t="s">
        <v>80</v>
      </c>
      <c r="AG17" s="77" t="s">
        <v>81</v>
      </c>
      <c r="AH17" s="21" t="s">
        <v>81</v>
      </c>
      <c r="AI17" s="21" t="s">
        <v>81</v>
      </c>
      <c r="AJ17" s="21" t="s">
        <v>81</v>
      </c>
      <c r="AK17" s="21" t="s">
        <v>81</v>
      </c>
      <c r="AL17" s="21" t="s">
        <v>81</v>
      </c>
      <c r="AM17" s="27" t="s">
        <v>100</v>
      </c>
      <c r="AN17" s="86"/>
      <c r="AO17" s="87"/>
      <c r="AP17" s="82">
        <f t="shared" si="4"/>
        <v>48711</v>
      </c>
    </row>
    <row r="18" spans="1:46" ht="111" x14ac:dyDescent="0.25">
      <c r="A18" s="76">
        <v>119</v>
      </c>
      <c r="B18" s="76" t="s">
        <v>74</v>
      </c>
      <c r="C18" s="76" t="s">
        <v>1160</v>
      </c>
      <c r="D18" s="76">
        <v>1</v>
      </c>
      <c r="E18" s="76" t="s">
        <v>82</v>
      </c>
      <c r="F18" s="78" t="s">
        <v>913</v>
      </c>
      <c r="G18" s="79" t="s">
        <v>889</v>
      </c>
      <c r="H18" s="79" t="s">
        <v>914</v>
      </c>
      <c r="I18" s="80" t="s">
        <v>1338</v>
      </c>
      <c r="J18" s="79" t="s">
        <v>915</v>
      </c>
      <c r="K18" s="79"/>
      <c r="L18" s="81">
        <v>37500000</v>
      </c>
      <c r="M18" s="81" t="s">
        <v>916</v>
      </c>
      <c r="N18" s="82">
        <v>44744</v>
      </c>
      <c r="O18" s="82">
        <v>45108</v>
      </c>
      <c r="P18" s="83">
        <f t="shared" ref="P18:P20" si="5">(O18-N18)/365</f>
        <v>0.99726027397260275</v>
      </c>
      <c r="Q18" s="77" t="s">
        <v>21</v>
      </c>
      <c r="R18" s="77" t="s">
        <v>79</v>
      </c>
      <c r="S18" s="77" t="str">
        <f t="shared" ref="S18:S20" si="6">IF(R18="End","Z",IF(R18="Cancel","C",IF(SUM(R18)&gt;0,"O",IF(ISBLANK(R18),"X",IF(SUM(R18)&lt;0,"Y",IF(SUM(R18),"-","O"))))))</f>
        <v>Z</v>
      </c>
      <c r="T18" s="84">
        <v>3</v>
      </c>
      <c r="U18" s="84">
        <v>3</v>
      </c>
      <c r="V18" s="84">
        <v>3</v>
      </c>
      <c r="W18" s="84">
        <f t="shared" si="2"/>
        <v>9</v>
      </c>
      <c r="X18" s="84" t="str">
        <f t="shared" ref="X18:X20" si="7">IF(W18&gt;5,"Penting",IF(ISBLANK(W18),"","Biasa"))</f>
        <v>Penting</v>
      </c>
      <c r="Y18" s="78"/>
      <c r="Z18" s="115"/>
      <c r="AA18" s="82"/>
      <c r="AB18" s="82"/>
      <c r="AC18" s="82"/>
      <c r="AD18" s="27" t="s">
        <v>86</v>
      </c>
      <c r="AE18" s="85">
        <v>43497</v>
      </c>
      <c r="AF18" s="77" t="s">
        <v>893</v>
      </c>
      <c r="AG18" s="77" t="s">
        <v>81</v>
      </c>
      <c r="AH18" s="21" t="s">
        <v>81</v>
      </c>
      <c r="AI18" s="21" t="s">
        <v>81</v>
      </c>
      <c r="AJ18" s="21" t="s">
        <v>81</v>
      </c>
      <c r="AK18" s="21" t="s">
        <v>81</v>
      </c>
      <c r="AL18" s="21" t="s">
        <v>81</v>
      </c>
      <c r="AM18" s="27" t="s">
        <v>100</v>
      </c>
      <c r="AN18" s="86">
        <v>44735</v>
      </c>
      <c r="AO18" s="87"/>
      <c r="AP18" s="82">
        <f t="shared" si="4"/>
        <v>48758</v>
      </c>
    </row>
    <row r="19" spans="1:46" ht="83.25" x14ac:dyDescent="0.25">
      <c r="A19" s="76">
        <v>59</v>
      </c>
      <c r="B19" s="76" t="s">
        <v>74</v>
      </c>
      <c r="C19" s="76" t="s">
        <v>1154</v>
      </c>
      <c r="D19" s="76">
        <v>3</v>
      </c>
      <c r="E19" s="76" t="s">
        <v>82</v>
      </c>
      <c r="F19" s="78" t="s">
        <v>580</v>
      </c>
      <c r="G19" s="79" t="s">
        <v>204</v>
      </c>
      <c r="H19" s="79" t="s">
        <v>581</v>
      </c>
      <c r="I19" s="80" t="s">
        <v>1339</v>
      </c>
      <c r="J19" s="79" t="s">
        <v>582</v>
      </c>
      <c r="K19" s="79" t="s">
        <v>450</v>
      </c>
      <c r="L19" s="81" t="s">
        <v>186</v>
      </c>
      <c r="M19" s="81"/>
      <c r="N19" s="82">
        <v>44743</v>
      </c>
      <c r="O19" s="82">
        <v>45107</v>
      </c>
      <c r="P19" s="83">
        <f t="shared" si="5"/>
        <v>0.99726027397260275</v>
      </c>
      <c r="Q19" s="77" t="s">
        <v>1360</v>
      </c>
      <c r="R19" s="77" t="s">
        <v>79</v>
      </c>
      <c r="S19" s="77" t="str">
        <f t="shared" si="6"/>
        <v>Z</v>
      </c>
      <c r="T19" s="84">
        <v>1</v>
      </c>
      <c r="U19" s="84">
        <v>2</v>
      </c>
      <c r="V19" s="84">
        <v>2</v>
      </c>
      <c r="W19" s="84">
        <f t="shared" si="2"/>
        <v>5</v>
      </c>
      <c r="X19" s="84" t="str">
        <f t="shared" si="7"/>
        <v>Biasa</v>
      </c>
      <c r="Y19" s="78"/>
      <c r="Z19" s="115"/>
      <c r="AA19" s="82"/>
      <c r="AB19" s="82"/>
      <c r="AC19" s="82"/>
      <c r="AD19" s="27"/>
      <c r="AE19" s="85"/>
      <c r="AF19" s="77" t="s">
        <v>188</v>
      </c>
      <c r="AG19" s="77" t="s">
        <v>81</v>
      </c>
      <c r="AH19" s="21" t="s">
        <v>81</v>
      </c>
      <c r="AI19" s="21" t="s">
        <v>81</v>
      </c>
      <c r="AJ19" s="21" t="s">
        <v>81</v>
      </c>
      <c r="AK19" s="21" t="s">
        <v>81</v>
      </c>
      <c r="AL19" s="21" t="s">
        <v>81</v>
      </c>
      <c r="AM19" s="27" t="s">
        <v>87</v>
      </c>
      <c r="AN19" s="86">
        <v>44720</v>
      </c>
      <c r="AO19" s="87"/>
      <c r="AP19" s="82">
        <f t="shared" si="4"/>
        <v>48757</v>
      </c>
    </row>
    <row r="20" spans="1:46" ht="83.25" x14ac:dyDescent="0.25">
      <c r="A20" s="76">
        <v>48</v>
      </c>
      <c r="B20" s="76" t="s">
        <v>74</v>
      </c>
      <c r="C20" s="76" t="s">
        <v>1152</v>
      </c>
      <c r="D20" s="76">
        <v>5</v>
      </c>
      <c r="E20" s="76" t="s">
        <v>82</v>
      </c>
      <c r="F20" s="78" t="s">
        <v>507</v>
      </c>
      <c r="G20" s="79" t="s">
        <v>204</v>
      </c>
      <c r="H20" s="79" t="s">
        <v>508</v>
      </c>
      <c r="I20" s="80" t="s">
        <v>1339</v>
      </c>
      <c r="J20" s="79" t="s">
        <v>509</v>
      </c>
      <c r="K20" s="79" t="s">
        <v>510</v>
      </c>
      <c r="L20" s="81" t="s">
        <v>321</v>
      </c>
      <c r="M20" s="81"/>
      <c r="N20" s="82">
        <v>44743</v>
      </c>
      <c r="O20" s="82">
        <v>45107</v>
      </c>
      <c r="P20" s="83">
        <f t="shared" si="5"/>
        <v>0.99726027397260275</v>
      </c>
      <c r="Q20" s="77" t="s">
        <v>19</v>
      </c>
      <c r="R20" s="77" t="s">
        <v>79</v>
      </c>
      <c r="S20" s="77" t="str">
        <f t="shared" si="6"/>
        <v>Z</v>
      </c>
      <c r="T20" s="84">
        <v>1</v>
      </c>
      <c r="U20" s="84">
        <v>1</v>
      </c>
      <c r="V20" s="84">
        <v>1</v>
      </c>
      <c r="W20" s="84">
        <f t="shared" si="2"/>
        <v>3</v>
      </c>
      <c r="X20" s="84" t="str">
        <f t="shared" si="7"/>
        <v>Biasa</v>
      </c>
      <c r="Y20" s="78"/>
      <c r="Z20" s="115"/>
      <c r="AA20" s="82"/>
      <c r="AB20" s="82"/>
      <c r="AC20" s="82"/>
      <c r="AD20" s="27"/>
      <c r="AE20" s="85"/>
      <c r="AF20" s="77" t="s">
        <v>192</v>
      </c>
      <c r="AG20" s="77" t="s">
        <v>81</v>
      </c>
      <c r="AH20" s="21" t="s">
        <v>81</v>
      </c>
      <c r="AI20" s="21" t="s">
        <v>81</v>
      </c>
      <c r="AJ20" s="21" t="s">
        <v>81</v>
      </c>
      <c r="AK20" s="21" t="s">
        <v>81</v>
      </c>
      <c r="AL20" s="21" t="s">
        <v>81</v>
      </c>
      <c r="AM20" s="27" t="s">
        <v>87</v>
      </c>
      <c r="AN20" s="86">
        <v>44720</v>
      </c>
      <c r="AO20" s="87" t="s">
        <v>511</v>
      </c>
      <c r="AP20" s="82">
        <f t="shared" si="4"/>
        <v>48757</v>
      </c>
    </row>
    <row r="21" spans="1:46" ht="83.25" x14ac:dyDescent="0.25">
      <c r="A21" s="76">
        <v>147</v>
      </c>
      <c r="B21" s="76" t="s">
        <v>74</v>
      </c>
      <c r="C21" s="76" t="s">
        <v>1168</v>
      </c>
      <c r="D21" s="76">
        <v>2</v>
      </c>
      <c r="E21" s="76" t="s">
        <v>82</v>
      </c>
      <c r="F21" s="78" t="s">
        <v>245</v>
      </c>
      <c r="G21" s="79" t="s">
        <v>238</v>
      </c>
      <c r="H21" s="79" t="s">
        <v>246</v>
      </c>
      <c r="I21" s="80" t="s">
        <v>1339</v>
      </c>
      <c r="J21" s="79" t="s">
        <v>247</v>
      </c>
      <c r="K21" s="79" t="s">
        <v>248</v>
      </c>
      <c r="L21" s="81" t="s">
        <v>249</v>
      </c>
      <c r="M21" s="81" t="s">
        <v>243</v>
      </c>
      <c r="N21" s="82">
        <v>44743</v>
      </c>
      <c r="O21" s="82">
        <v>45107</v>
      </c>
      <c r="P21" s="83">
        <f>(O21-N21)/365</f>
        <v>0.99726027397260275</v>
      </c>
      <c r="Q21" s="77" t="s">
        <v>19</v>
      </c>
      <c r="R21" s="77" t="s">
        <v>79</v>
      </c>
      <c r="S21" s="77" t="str">
        <f>IF(R21="End","Z",IF(R21="Cancel","C",IF(SUM(R21)&gt;0,"O",IF(ISBLANK(R21),"X",IF(SUM(R21)&lt;0,"Y",IF(SUM(R21),"-","O"))))))</f>
        <v>Z</v>
      </c>
      <c r="T21" s="84">
        <v>1</v>
      </c>
      <c r="U21" s="84">
        <v>1</v>
      </c>
      <c r="V21" s="84">
        <v>1</v>
      </c>
      <c r="W21" s="84">
        <f t="shared" si="2"/>
        <v>3</v>
      </c>
      <c r="X21" s="84" t="str">
        <f>IF(W21&gt;5,"Penting",IF(ISBLANK(W21),"","Biasa"))</f>
        <v>Biasa</v>
      </c>
      <c r="Y21" s="78"/>
      <c r="Z21" s="115"/>
      <c r="AA21" s="82"/>
      <c r="AB21" s="82"/>
      <c r="AC21" s="82"/>
      <c r="AD21" s="27" t="s">
        <v>86</v>
      </c>
      <c r="AE21" s="85">
        <v>44743</v>
      </c>
      <c r="AF21" s="77" t="s">
        <v>168</v>
      </c>
      <c r="AG21" s="77" t="s">
        <v>81</v>
      </c>
      <c r="AH21" s="21" t="s">
        <v>81</v>
      </c>
      <c r="AI21" s="21" t="s">
        <v>81</v>
      </c>
      <c r="AJ21" s="21" t="s">
        <v>81</v>
      </c>
      <c r="AK21" s="21" t="s">
        <v>81</v>
      </c>
      <c r="AL21" s="21" t="s">
        <v>81</v>
      </c>
      <c r="AM21" s="27" t="s">
        <v>244</v>
      </c>
      <c r="AN21" s="86">
        <v>44757</v>
      </c>
      <c r="AO21" s="87"/>
      <c r="AP21" s="82">
        <f t="shared" si="4"/>
        <v>48757</v>
      </c>
    </row>
    <row r="22" spans="1:46" ht="138.75" x14ac:dyDescent="0.25">
      <c r="A22" s="76">
        <v>149</v>
      </c>
      <c r="B22" s="76" t="s">
        <v>74</v>
      </c>
      <c r="C22" s="76" t="s">
        <v>1168</v>
      </c>
      <c r="D22" s="76">
        <v>4</v>
      </c>
      <c r="E22" s="76" t="s">
        <v>82</v>
      </c>
      <c r="F22" s="78" t="s">
        <v>346</v>
      </c>
      <c r="G22" s="79" t="s">
        <v>343</v>
      </c>
      <c r="H22" s="79" t="s">
        <v>347</v>
      </c>
      <c r="I22" s="80" t="s">
        <v>1338</v>
      </c>
      <c r="J22" s="79" t="s">
        <v>348</v>
      </c>
      <c r="K22" s="79" t="s">
        <v>344</v>
      </c>
      <c r="L22" s="81">
        <v>156160000</v>
      </c>
      <c r="M22" s="81" t="s">
        <v>85</v>
      </c>
      <c r="N22" s="82">
        <v>44743</v>
      </c>
      <c r="O22" s="82">
        <v>45107</v>
      </c>
      <c r="P22" s="83">
        <f t="shared" ref="P22:P43" si="8">(O22-N22)/365</f>
        <v>0.99726027397260275</v>
      </c>
      <c r="Q22" s="77" t="s">
        <v>19</v>
      </c>
      <c r="R22" s="77" t="s">
        <v>79</v>
      </c>
      <c r="S22" s="77" t="str">
        <f t="shared" ref="S22:S33" si="9">IF(R22="End","Z",IF(R22="Cancel","C",IF(SUM(R22)&gt;0,"O",IF(ISBLANK(R22),"X",IF(SUM(R22)&lt;0,"Y",IF(SUM(R22),"-","O"))))))</f>
        <v>Z</v>
      </c>
      <c r="T22" s="84">
        <v>1</v>
      </c>
      <c r="U22" s="84">
        <v>2</v>
      </c>
      <c r="V22" s="84">
        <v>3</v>
      </c>
      <c r="W22" s="84">
        <f t="shared" si="2"/>
        <v>6</v>
      </c>
      <c r="X22" s="84" t="str">
        <f t="shared" ref="X22:X43" si="10">IF(W22&gt;5,"Penting",IF(ISBLANK(W22),"","Biasa"))</f>
        <v>Penting</v>
      </c>
      <c r="Y22" s="78"/>
      <c r="Z22" s="115"/>
      <c r="AA22" s="82"/>
      <c r="AB22" s="82"/>
      <c r="AC22" s="82"/>
      <c r="AD22" s="27"/>
      <c r="AE22" s="85"/>
      <c r="AF22" s="77" t="s">
        <v>192</v>
      </c>
      <c r="AG22" s="77" t="s">
        <v>81</v>
      </c>
      <c r="AH22" s="21" t="s">
        <v>81</v>
      </c>
      <c r="AI22" s="21" t="s">
        <v>81</v>
      </c>
      <c r="AJ22" s="21" t="s">
        <v>81</v>
      </c>
      <c r="AK22" s="21" t="s">
        <v>81</v>
      </c>
      <c r="AL22" s="21" t="s">
        <v>81</v>
      </c>
      <c r="AM22" s="27" t="s">
        <v>87</v>
      </c>
      <c r="AN22" s="86">
        <v>44720</v>
      </c>
      <c r="AO22" s="87"/>
      <c r="AP22" s="82">
        <f t="shared" si="4"/>
        <v>48757</v>
      </c>
    </row>
    <row r="23" spans="1:46" ht="83.25" x14ac:dyDescent="0.25">
      <c r="A23" s="76">
        <v>97</v>
      </c>
      <c r="B23" s="76" t="s">
        <v>74</v>
      </c>
      <c r="C23" s="76" t="s">
        <v>1159</v>
      </c>
      <c r="D23" s="76">
        <v>9</v>
      </c>
      <c r="E23" s="76" t="s">
        <v>82</v>
      </c>
      <c r="F23" s="78" t="s">
        <v>1083</v>
      </c>
      <c r="G23" s="79" t="s">
        <v>204</v>
      </c>
      <c r="H23" s="79" t="s">
        <v>1084</v>
      </c>
      <c r="I23" s="80" t="s">
        <v>1339</v>
      </c>
      <c r="J23" s="79" t="s">
        <v>1085</v>
      </c>
      <c r="K23" s="79" t="s">
        <v>1086</v>
      </c>
      <c r="L23" s="81" t="s">
        <v>321</v>
      </c>
      <c r="M23" s="81"/>
      <c r="N23" s="82">
        <v>44257</v>
      </c>
      <c r="O23" s="82">
        <v>44986</v>
      </c>
      <c r="P23" s="83">
        <f t="shared" si="8"/>
        <v>1.9972602739726026</v>
      </c>
      <c r="Q23" s="77" t="s">
        <v>29</v>
      </c>
      <c r="R23" s="77" t="s">
        <v>79</v>
      </c>
      <c r="S23" s="77" t="str">
        <f t="shared" si="9"/>
        <v>Z</v>
      </c>
      <c r="T23" s="84">
        <v>1</v>
      </c>
      <c r="U23" s="84">
        <v>1</v>
      </c>
      <c r="V23" s="84">
        <v>2</v>
      </c>
      <c r="W23" s="84">
        <f t="shared" si="2"/>
        <v>4</v>
      </c>
      <c r="X23" s="84" t="str">
        <f t="shared" si="10"/>
        <v>Biasa</v>
      </c>
      <c r="Y23" s="78"/>
      <c r="Z23" s="115" t="s">
        <v>81</v>
      </c>
      <c r="AA23" s="82">
        <f>N23+270</f>
        <v>44527</v>
      </c>
      <c r="AB23" s="82"/>
      <c r="AC23" s="82"/>
      <c r="AD23" s="27"/>
      <c r="AE23" s="85"/>
      <c r="AF23" s="77" t="s">
        <v>1023</v>
      </c>
      <c r="AG23" s="77" t="s">
        <v>81</v>
      </c>
      <c r="AH23" s="21" t="s">
        <v>81</v>
      </c>
      <c r="AI23" s="21" t="s">
        <v>81</v>
      </c>
      <c r="AJ23" s="21" t="s">
        <v>81</v>
      </c>
      <c r="AK23" s="21" t="s">
        <v>81</v>
      </c>
      <c r="AL23" s="21" t="s">
        <v>81</v>
      </c>
      <c r="AM23" s="27"/>
      <c r="AN23" s="86">
        <v>44295</v>
      </c>
      <c r="AO23" s="87"/>
      <c r="AP23" s="82">
        <f t="shared" si="4"/>
        <v>48636</v>
      </c>
    </row>
    <row r="24" spans="1:46" ht="55.5" x14ac:dyDescent="0.25">
      <c r="A24" s="76">
        <v>166</v>
      </c>
      <c r="B24" s="76" t="s">
        <v>74</v>
      </c>
      <c r="C24" s="76" t="s">
        <v>1171</v>
      </c>
      <c r="D24" s="76">
        <v>6</v>
      </c>
      <c r="E24" s="76" t="s">
        <v>82</v>
      </c>
      <c r="F24" s="78" t="s">
        <v>593</v>
      </c>
      <c r="G24" s="79" t="s">
        <v>584</v>
      </c>
      <c r="H24" s="79" t="s">
        <v>594</v>
      </c>
      <c r="I24" s="80" t="s">
        <v>1339</v>
      </c>
      <c r="J24" s="79" t="s">
        <v>595</v>
      </c>
      <c r="K24" s="79"/>
      <c r="L24" s="81">
        <v>8250000</v>
      </c>
      <c r="M24" s="81" t="s">
        <v>96</v>
      </c>
      <c r="N24" s="82">
        <v>44378</v>
      </c>
      <c r="O24" s="82">
        <v>45107</v>
      </c>
      <c r="P24" s="83">
        <f t="shared" si="8"/>
        <v>1.9972602739726026</v>
      </c>
      <c r="Q24" s="77" t="s">
        <v>25</v>
      </c>
      <c r="R24" s="77" t="s">
        <v>79</v>
      </c>
      <c r="S24" s="77" t="str">
        <f t="shared" si="9"/>
        <v>Z</v>
      </c>
      <c r="T24" s="84">
        <v>1</v>
      </c>
      <c r="U24" s="84">
        <v>1</v>
      </c>
      <c r="V24" s="84">
        <v>2</v>
      </c>
      <c r="W24" s="84">
        <f t="shared" si="2"/>
        <v>4</v>
      </c>
      <c r="X24" s="84" t="str">
        <f t="shared" si="10"/>
        <v>Biasa</v>
      </c>
      <c r="Y24" s="78"/>
      <c r="Z24" s="115" t="s">
        <v>81</v>
      </c>
      <c r="AA24" s="82">
        <f>N24+270</f>
        <v>44648</v>
      </c>
      <c r="AB24" s="82"/>
      <c r="AC24" s="82"/>
      <c r="AD24" s="27" t="s">
        <v>86</v>
      </c>
      <c r="AE24" s="85">
        <v>43601</v>
      </c>
      <c r="AF24" s="77" t="s">
        <v>588</v>
      </c>
      <c r="AG24" s="77" t="s">
        <v>81</v>
      </c>
      <c r="AH24" s="21" t="s">
        <v>81</v>
      </c>
      <c r="AI24" s="21" t="s">
        <v>81</v>
      </c>
      <c r="AJ24" s="21" t="s">
        <v>81</v>
      </c>
      <c r="AK24" s="21" t="s">
        <v>81</v>
      </c>
      <c r="AL24" s="21" t="s">
        <v>81</v>
      </c>
      <c r="AM24" s="27" t="s">
        <v>87</v>
      </c>
      <c r="AN24" s="86">
        <v>44295</v>
      </c>
      <c r="AO24" s="87"/>
      <c r="AP24" s="82">
        <f t="shared" si="4"/>
        <v>48757</v>
      </c>
    </row>
    <row r="25" spans="1:46" ht="55.5" x14ac:dyDescent="0.25">
      <c r="A25" s="76">
        <v>112</v>
      </c>
      <c r="B25" s="76" t="s">
        <v>74</v>
      </c>
      <c r="C25" s="76" t="s">
        <v>1162</v>
      </c>
      <c r="D25" s="76">
        <v>9</v>
      </c>
      <c r="E25" s="76" t="s">
        <v>82</v>
      </c>
      <c r="F25" s="78" t="s">
        <v>431</v>
      </c>
      <c r="G25" s="79" t="s">
        <v>429</v>
      </c>
      <c r="H25" s="79" t="s">
        <v>432</v>
      </c>
      <c r="I25" s="80" t="s">
        <v>1339</v>
      </c>
      <c r="J25" s="79" t="s">
        <v>430</v>
      </c>
      <c r="K25" s="79"/>
      <c r="L25" s="81"/>
      <c r="M25" s="81"/>
      <c r="N25" s="82">
        <v>44774</v>
      </c>
      <c r="O25" s="82">
        <v>45138</v>
      </c>
      <c r="P25" s="83">
        <f t="shared" si="8"/>
        <v>0.99726027397260275</v>
      </c>
      <c r="Q25" s="77" t="s">
        <v>24</v>
      </c>
      <c r="R25" s="77" t="s">
        <v>79</v>
      </c>
      <c r="S25" s="77" t="str">
        <f t="shared" si="9"/>
        <v>Z</v>
      </c>
      <c r="T25" s="84">
        <v>2</v>
      </c>
      <c r="U25" s="84">
        <v>1</v>
      </c>
      <c r="V25" s="84">
        <v>2</v>
      </c>
      <c r="W25" s="84">
        <f t="shared" si="2"/>
        <v>5</v>
      </c>
      <c r="X25" s="84" t="str">
        <f t="shared" si="10"/>
        <v>Biasa</v>
      </c>
      <c r="Y25" s="78"/>
      <c r="Z25" s="115"/>
      <c r="AA25" s="82"/>
      <c r="AB25" s="82"/>
      <c r="AC25" s="82"/>
      <c r="AD25" s="27" t="s">
        <v>86</v>
      </c>
      <c r="AE25" s="85">
        <v>44774</v>
      </c>
      <c r="AF25" s="77" t="s">
        <v>423</v>
      </c>
      <c r="AG25" s="77" t="s">
        <v>81</v>
      </c>
      <c r="AH25" s="21" t="s">
        <v>81</v>
      </c>
      <c r="AI25" s="21" t="s">
        <v>81</v>
      </c>
      <c r="AJ25" s="21" t="s">
        <v>81</v>
      </c>
      <c r="AK25" s="21" t="s">
        <v>81</v>
      </c>
      <c r="AL25" s="21" t="s">
        <v>81</v>
      </c>
      <c r="AM25" s="27" t="s">
        <v>100</v>
      </c>
      <c r="AN25" s="86">
        <v>44774</v>
      </c>
      <c r="AO25" s="87"/>
      <c r="AP25" s="82">
        <f t="shared" si="4"/>
        <v>48788</v>
      </c>
    </row>
    <row r="26" spans="1:46" ht="55.5" x14ac:dyDescent="0.25">
      <c r="A26" s="76">
        <v>76</v>
      </c>
      <c r="B26" s="76" t="s">
        <v>74</v>
      </c>
      <c r="C26" s="76" t="s">
        <v>1157</v>
      </c>
      <c r="D26" s="76">
        <v>4</v>
      </c>
      <c r="E26" s="76" t="s">
        <v>82</v>
      </c>
      <c r="F26" s="78" t="s">
        <v>955</v>
      </c>
      <c r="G26" s="79" t="s">
        <v>204</v>
      </c>
      <c r="H26" s="79" t="s">
        <v>956</v>
      </c>
      <c r="I26" s="80" t="s">
        <v>1338</v>
      </c>
      <c r="J26" s="79" t="s">
        <v>950</v>
      </c>
      <c r="K26" s="79"/>
      <c r="L26" s="81" t="s">
        <v>186</v>
      </c>
      <c r="M26" s="81"/>
      <c r="N26" s="82">
        <v>44743</v>
      </c>
      <c r="O26" s="82">
        <v>45107</v>
      </c>
      <c r="P26" s="83">
        <f t="shared" si="8"/>
        <v>0.99726027397260275</v>
      </c>
      <c r="Q26" s="77" t="s">
        <v>25</v>
      </c>
      <c r="R26" s="77" t="s">
        <v>79</v>
      </c>
      <c r="S26" s="77" t="str">
        <f t="shared" si="9"/>
        <v>Z</v>
      </c>
      <c r="T26" s="84">
        <v>3</v>
      </c>
      <c r="U26" s="84">
        <v>3</v>
      </c>
      <c r="V26" s="84">
        <v>3</v>
      </c>
      <c r="W26" s="84">
        <f t="shared" si="2"/>
        <v>9</v>
      </c>
      <c r="X26" s="84" t="str">
        <f t="shared" si="10"/>
        <v>Penting</v>
      </c>
      <c r="Y26" s="78"/>
      <c r="Z26" s="115"/>
      <c r="AA26" s="82"/>
      <c r="AB26" s="82"/>
      <c r="AC26" s="82"/>
      <c r="AD26" s="27"/>
      <c r="AE26" s="85"/>
      <c r="AF26" s="77" t="s">
        <v>588</v>
      </c>
      <c r="AG26" s="77" t="s">
        <v>81</v>
      </c>
      <c r="AH26" s="21" t="s">
        <v>81</v>
      </c>
      <c r="AI26" s="21" t="s">
        <v>81</v>
      </c>
      <c r="AJ26" s="21" t="s">
        <v>81</v>
      </c>
      <c r="AK26" s="21" t="s">
        <v>81</v>
      </c>
      <c r="AL26" s="21" t="s">
        <v>81</v>
      </c>
      <c r="AM26" s="27" t="s">
        <v>87</v>
      </c>
      <c r="AN26" s="86">
        <v>44720</v>
      </c>
      <c r="AO26" s="87"/>
      <c r="AP26" s="82">
        <f t="shared" si="4"/>
        <v>48757</v>
      </c>
    </row>
    <row r="27" spans="1:46" ht="55.5" x14ac:dyDescent="0.25">
      <c r="A27" s="76">
        <v>73</v>
      </c>
      <c r="B27" s="76" t="s">
        <v>74</v>
      </c>
      <c r="C27" s="76" t="s">
        <v>1157</v>
      </c>
      <c r="D27" s="76">
        <v>1</v>
      </c>
      <c r="E27" s="76" t="s">
        <v>82</v>
      </c>
      <c r="F27" s="78" t="s">
        <v>948</v>
      </c>
      <c r="G27" s="79" t="s">
        <v>204</v>
      </c>
      <c r="H27" s="79" t="s">
        <v>949</v>
      </c>
      <c r="I27" s="80" t="s">
        <v>1338</v>
      </c>
      <c r="J27" s="79" t="s">
        <v>950</v>
      </c>
      <c r="K27" s="79"/>
      <c r="L27" s="81" t="s">
        <v>186</v>
      </c>
      <c r="M27" s="81"/>
      <c r="N27" s="82">
        <v>44743</v>
      </c>
      <c r="O27" s="82">
        <v>45107</v>
      </c>
      <c r="P27" s="83">
        <f t="shared" si="8"/>
        <v>0.99726027397260275</v>
      </c>
      <c r="Q27" s="77" t="s">
        <v>25</v>
      </c>
      <c r="R27" s="77" t="s">
        <v>79</v>
      </c>
      <c r="S27" s="77" t="str">
        <f t="shared" si="9"/>
        <v>Z</v>
      </c>
      <c r="T27" s="84">
        <v>3</v>
      </c>
      <c r="U27" s="84">
        <v>3</v>
      </c>
      <c r="V27" s="84">
        <v>3</v>
      </c>
      <c r="W27" s="84">
        <f t="shared" si="2"/>
        <v>9</v>
      </c>
      <c r="X27" s="84" t="str">
        <f t="shared" si="10"/>
        <v>Penting</v>
      </c>
      <c r="Y27" s="78"/>
      <c r="Z27" s="115"/>
      <c r="AA27" s="82"/>
      <c r="AB27" s="82"/>
      <c r="AC27" s="82"/>
      <c r="AD27" s="27"/>
      <c r="AE27" s="85"/>
      <c r="AF27" s="77" t="s">
        <v>588</v>
      </c>
      <c r="AG27" s="77" t="s">
        <v>81</v>
      </c>
      <c r="AH27" s="21" t="s">
        <v>81</v>
      </c>
      <c r="AI27" s="21" t="s">
        <v>81</v>
      </c>
      <c r="AJ27" s="21" t="s">
        <v>81</v>
      </c>
      <c r="AK27" s="21" t="s">
        <v>81</v>
      </c>
      <c r="AL27" s="21" t="s">
        <v>81</v>
      </c>
      <c r="AM27" s="27" t="s">
        <v>87</v>
      </c>
      <c r="AN27" s="86">
        <v>44720</v>
      </c>
      <c r="AO27" s="87"/>
      <c r="AP27" s="82">
        <f t="shared" si="4"/>
        <v>48757</v>
      </c>
    </row>
    <row r="28" spans="1:46" ht="83.25" x14ac:dyDescent="0.25">
      <c r="A28" s="76">
        <v>71</v>
      </c>
      <c r="B28" s="76" t="s">
        <v>74</v>
      </c>
      <c r="C28" s="76" t="s">
        <v>1156</v>
      </c>
      <c r="D28" s="76">
        <v>4</v>
      </c>
      <c r="E28" s="76" t="s">
        <v>82</v>
      </c>
      <c r="F28" s="78" t="s">
        <v>975</v>
      </c>
      <c r="G28" s="79" t="s">
        <v>204</v>
      </c>
      <c r="H28" s="79" t="s">
        <v>976</v>
      </c>
      <c r="I28" s="80" t="s">
        <v>1338</v>
      </c>
      <c r="J28" s="79" t="s">
        <v>977</v>
      </c>
      <c r="K28" s="79" t="s">
        <v>978</v>
      </c>
      <c r="L28" s="81" t="s">
        <v>186</v>
      </c>
      <c r="M28" s="81"/>
      <c r="N28" s="82">
        <v>44743</v>
      </c>
      <c r="O28" s="82">
        <v>45107</v>
      </c>
      <c r="P28" s="83">
        <f t="shared" si="8"/>
        <v>0.99726027397260275</v>
      </c>
      <c r="Q28" s="77" t="s">
        <v>25</v>
      </c>
      <c r="R28" s="77" t="s">
        <v>79</v>
      </c>
      <c r="S28" s="77" t="str">
        <f t="shared" si="9"/>
        <v>Z</v>
      </c>
      <c r="T28" s="84">
        <v>2</v>
      </c>
      <c r="U28" s="84">
        <v>2</v>
      </c>
      <c r="V28" s="84">
        <v>2</v>
      </c>
      <c r="W28" s="84">
        <f t="shared" si="2"/>
        <v>6</v>
      </c>
      <c r="X28" s="84" t="str">
        <f t="shared" si="10"/>
        <v>Penting</v>
      </c>
      <c r="Y28" s="78"/>
      <c r="Z28" s="115"/>
      <c r="AA28" s="82"/>
      <c r="AB28" s="82"/>
      <c r="AC28" s="82"/>
      <c r="AD28" s="27" t="s">
        <v>86</v>
      </c>
      <c r="AE28" s="85">
        <v>43497</v>
      </c>
      <c r="AF28" s="77" t="s">
        <v>588</v>
      </c>
      <c r="AG28" s="77" t="s">
        <v>81</v>
      </c>
      <c r="AH28" s="21" t="s">
        <v>81</v>
      </c>
      <c r="AI28" s="21" t="s">
        <v>81</v>
      </c>
      <c r="AJ28" s="21" t="s">
        <v>81</v>
      </c>
      <c r="AK28" s="21" t="s">
        <v>81</v>
      </c>
      <c r="AL28" s="21" t="s">
        <v>81</v>
      </c>
      <c r="AM28" s="27" t="s">
        <v>87</v>
      </c>
      <c r="AN28" s="86">
        <v>44720</v>
      </c>
      <c r="AO28" s="87"/>
      <c r="AP28" s="82">
        <f t="shared" si="4"/>
        <v>48757</v>
      </c>
    </row>
    <row r="29" spans="1:46" ht="83.25" x14ac:dyDescent="0.25">
      <c r="A29" s="76">
        <v>36</v>
      </c>
      <c r="B29" s="76" t="s">
        <v>74</v>
      </c>
      <c r="C29" s="76" t="s">
        <v>1151</v>
      </c>
      <c r="D29" s="76">
        <v>2</v>
      </c>
      <c r="E29" s="76" t="s">
        <v>82</v>
      </c>
      <c r="F29" s="78" t="s">
        <v>377</v>
      </c>
      <c r="G29" s="79" t="s">
        <v>204</v>
      </c>
      <c r="H29" s="79" t="s">
        <v>378</v>
      </c>
      <c r="I29" s="80" t="s">
        <v>1338</v>
      </c>
      <c r="J29" s="79" t="s">
        <v>379</v>
      </c>
      <c r="K29" s="79" t="s">
        <v>380</v>
      </c>
      <c r="L29" s="81" t="s">
        <v>186</v>
      </c>
      <c r="M29" s="81"/>
      <c r="N29" s="82">
        <v>44743</v>
      </c>
      <c r="O29" s="82">
        <v>45107</v>
      </c>
      <c r="P29" s="83">
        <f t="shared" si="8"/>
        <v>0.99726027397260275</v>
      </c>
      <c r="Q29" s="77" t="s">
        <v>1374</v>
      </c>
      <c r="R29" s="77" t="s">
        <v>79</v>
      </c>
      <c r="S29" s="77" t="str">
        <f t="shared" si="9"/>
        <v>Z</v>
      </c>
      <c r="T29" s="84">
        <v>1</v>
      </c>
      <c r="U29" s="84">
        <v>1</v>
      </c>
      <c r="V29" s="84">
        <v>1</v>
      </c>
      <c r="W29" s="84">
        <f t="shared" si="2"/>
        <v>3</v>
      </c>
      <c r="X29" s="84" t="str">
        <f t="shared" si="10"/>
        <v>Biasa</v>
      </c>
      <c r="Y29" s="78"/>
      <c r="Z29" s="115"/>
      <c r="AA29" s="82"/>
      <c r="AB29" s="82"/>
      <c r="AC29" s="82"/>
      <c r="AD29" s="27"/>
      <c r="AE29" s="85"/>
      <c r="AF29" s="77" t="s">
        <v>342</v>
      </c>
      <c r="AG29" s="77" t="s">
        <v>81</v>
      </c>
      <c r="AH29" s="21" t="s">
        <v>81</v>
      </c>
      <c r="AI29" s="21" t="s">
        <v>81</v>
      </c>
      <c r="AJ29" s="21" t="s">
        <v>81</v>
      </c>
      <c r="AK29" s="21" t="s">
        <v>81</v>
      </c>
      <c r="AL29" s="21" t="s">
        <v>81</v>
      </c>
      <c r="AM29" s="27" t="s">
        <v>87</v>
      </c>
      <c r="AN29" s="86">
        <v>44720</v>
      </c>
      <c r="AO29" s="87"/>
      <c r="AP29" s="82">
        <f t="shared" si="4"/>
        <v>48757</v>
      </c>
    </row>
    <row r="30" spans="1:46" ht="55.5" x14ac:dyDescent="0.25">
      <c r="A30" s="76">
        <v>32</v>
      </c>
      <c r="B30" s="76" t="s">
        <v>74</v>
      </c>
      <c r="C30" s="76" t="s">
        <v>1150</v>
      </c>
      <c r="D30" s="76">
        <v>4</v>
      </c>
      <c r="E30" s="76" t="s">
        <v>82</v>
      </c>
      <c r="F30" s="78" t="s">
        <v>338</v>
      </c>
      <c r="G30" s="79" t="s">
        <v>204</v>
      </c>
      <c r="H30" s="79" t="s">
        <v>339</v>
      </c>
      <c r="I30" s="80" t="s">
        <v>1338</v>
      </c>
      <c r="J30" s="79" t="s">
        <v>340</v>
      </c>
      <c r="K30" s="79" t="s">
        <v>341</v>
      </c>
      <c r="L30" s="81" t="s">
        <v>186</v>
      </c>
      <c r="M30" s="81"/>
      <c r="N30" s="82">
        <v>44743</v>
      </c>
      <c r="O30" s="82">
        <v>45107</v>
      </c>
      <c r="P30" s="83">
        <f t="shared" si="8"/>
        <v>0.99726027397260275</v>
      </c>
      <c r="Q30" s="77" t="s">
        <v>19</v>
      </c>
      <c r="R30" s="77" t="s">
        <v>79</v>
      </c>
      <c r="S30" s="77" t="str">
        <f t="shared" si="9"/>
        <v>Z</v>
      </c>
      <c r="T30" s="84">
        <v>2</v>
      </c>
      <c r="U30" s="84">
        <v>2</v>
      </c>
      <c r="V30" s="84">
        <v>2</v>
      </c>
      <c r="W30" s="84">
        <f t="shared" si="2"/>
        <v>6</v>
      </c>
      <c r="X30" s="84" t="str">
        <f t="shared" si="10"/>
        <v>Penting</v>
      </c>
      <c r="Y30" s="78"/>
      <c r="Z30" s="115"/>
      <c r="AA30" s="82"/>
      <c r="AB30" s="82"/>
      <c r="AC30" s="82"/>
      <c r="AD30" s="27"/>
      <c r="AE30" s="85"/>
      <c r="AF30" s="77" t="s">
        <v>342</v>
      </c>
      <c r="AG30" s="77" t="s">
        <v>81</v>
      </c>
      <c r="AH30" s="21" t="s">
        <v>81</v>
      </c>
      <c r="AI30" s="21" t="s">
        <v>81</v>
      </c>
      <c r="AJ30" s="21" t="s">
        <v>81</v>
      </c>
      <c r="AK30" s="21" t="s">
        <v>81</v>
      </c>
      <c r="AL30" s="21" t="s">
        <v>81</v>
      </c>
      <c r="AM30" s="27" t="s">
        <v>87</v>
      </c>
      <c r="AN30" s="86">
        <v>44720</v>
      </c>
      <c r="AO30" s="87"/>
      <c r="AP30" s="82">
        <f t="shared" si="4"/>
        <v>48757</v>
      </c>
    </row>
    <row r="31" spans="1:46" s="88" customFormat="1" ht="111.95" customHeight="1" x14ac:dyDescent="0.25">
      <c r="A31" s="76">
        <v>53</v>
      </c>
      <c r="B31" s="76" t="s">
        <v>74</v>
      </c>
      <c r="C31" s="76" t="s">
        <v>1153</v>
      </c>
      <c r="D31" s="76">
        <v>3</v>
      </c>
      <c r="E31" s="76" t="s">
        <v>82</v>
      </c>
      <c r="F31" s="78" t="s">
        <v>447</v>
      </c>
      <c r="G31" s="79" t="s">
        <v>204</v>
      </c>
      <c r="H31" s="79" t="s">
        <v>448</v>
      </c>
      <c r="I31" s="80" t="s">
        <v>1339</v>
      </c>
      <c r="J31" s="79" t="s">
        <v>449</v>
      </c>
      <c r="K31" s="79" t="s">
        <v>450</v>
      </c>
      <c r="L31" s="81" t="s">
        <v>321</v>
      </c>
      <c r="M31" s="81"/>
      <c r="N31" s="82">
        <v>44743</v>
      </c>
      <c r="O31" s="82">
        <v>45107</v>
      </c>
      <c r="P31" s="83">
        <f t="shared" si="8"/>
        <v>0.99726027397260275</v>
      </c>
      <c r="Q31" s="77" t="s">
        <v>19</v>
      </c>
      <c r="R31" s="77" t="s">
        <v>79</v>
      </c>
      <c r="S31" s="77" t="str">
        <f t="shared" si="9"/>
        <v>Z</v>
      </c>
      <c r="T31" s="84">
        <v>1</v>
      </c>
      <c r="U31" s="84">
        <v>1</v>
      </c>
      <c r="V31" s="84">
        <v>1</v>
      </c>
      <c r="W31" s="84">
        <f t="shared" si="2"/>
        <v>3</v>
      </c>
      <c r="X31" s="84" t="str">
        <f t="shared" si="10"/>
        <v>Biasa</v>
      </c>
      <c r="Y31" s="78"/>
      <c r="Z31" s="115"/>
      <c r="AA31" s="82"/>
      <c r="AB31" s="82"/>
      <c r="AC31" s="82"/>
      <c r="AD31" s="27"/>
      <c r="AE31" s="85"/>
      <c r="AF31" s="77" t="s">
        <v>192</v>
      </c>
      <c r="AG31" s="77" t="s">
        <v>81</v>
      </c>
      <c r="AH31" s="21" t="s">
        <v>81</v>
      </c>
      <c r="AI31" s="21" t="s">
        <v>81</v>
      </c>
      <c r="AJ31" s="21" t="s">
        <v>81</v>
      </c>
      <c r="AK31" s="21" t="s">
        <v>81</v>
      </c>
      <c r="AL31" s="21" t="s">
        <v>81</v>
      </c>
      <c r="AM31" s="27" t="s">
        <v>87</v>
      </c>
      <c r="AN31" s="86">
        <v>44720</v>
      </c>
      <c r="AO31" s="87"/>
      <c r="AP31" s="82">
        <f t="shared" si="4"/>
        <v>48757</v>
      </c>
      <c r="AQ31" s="4"/>
      <c r="AR31" s="4"/>
      <c r="AS31" s="4"/>
      <c r="AT31" s="4"/>
    </row>
    <row r="32" spans="1:46" ht="83.25" x14ac:dyDescent="0.25">
      <c r="A32" s="76">
        <v>78</v>
      </c>
      <c r="B32" s="76" t="s">
        <v>74</v>
      </c>
      <c r="C32" s="76" t="s">
        <v>1158</v>
      </c>
      <c r="D32" s="76">
        <v>1</v>
      </c>
      <c r="E32" s="76" t="s">
        <v>82</v>
      </c>
      <c r="F32" s="78" t="s">
        <v>990</v>
      </c>
      <c r="G32" s="79" t="s">
        <v>204</v>
      </c>
      <c r="H32" s="79" t="s">
        <v>991</v>
      </c>
      <c r="I32" s="80" t="s">
        <v>1339</v>
      </c>
      <c r="J32" s="79" t="s">
        <v>992</v>
      </c>
      <c r="K32" s="79" t="s">
        <v>993</v>
      </c>
      <c r="L32" s="81" t="s">
        <v>186</v>
      </c>
      <c r="M32" s="81"/>
      <c r="N32" s="82">
        <v>44743</v>
      </c>
      <c r="O32" s="82">
        <v>45107</v>
      </c>
      <c r="P32" s="83">
        <f t="shared" si="8"/>
        <v>0.99726027397260275</v>
      </c>
      <c r="Q32" s="77" t="s">
        <v>25</v>
      </c>
      <c r="R32" s="77" t="s">
        <v>79</v>
      </c>
      <c r="S32" s="77" t="str">
        <f t="shared" si="9"/>
        <v>Z</v>
      </c>
      <c r="T32" s="84">
        <v>2</v>
      </c>
      <c r="U32" s="84">
        <v>2</v>
      </c>
      <c r="V32" s="84">
        <v>2</v>
      </c>
      <c r="W32" s="84">
        <f t="shared" si="2"/>
        <v>6</v>
      </c>
      <c r="X32" s="84" t="str">
        <f t="shared" si="10"/>
        <v>Penting</v>
      </c>
      <c r="Y32" s="78"/>
      <c r="Z32" s="115"/>
      <c r="AA32" s="82"/>
      <c r="AB32" s="82"/>
      <c r="AC32" s="82"/>
      <c r="AD32" s="27" t="s">
        <v>86</v>
      </c>
      <c r="AE32" s="85">
        <v>44732</v>
      </c>
      <c r="AF32" s="77" t="s">
        <v>588</v>
      </c>
      <c r="AG32" s="77" t="s">
        <v>81</v>
      </c>
      <c r="AH32" s="21" t="s">
        <v>81</v>
      </c>
      <c r="AI32" s="21" t="s">
        <v>81</v>
      </c>
      <c r="AJ32" s="21" t="s">
        <v>81</v>
      </c>
      <c r="AK32" s="21" t="s">
        <v>81</v>
      </c>
      <c r="AL32" s="21" t="s">
        <v>81</v>
      </c>
      <c r="AM32" s="27" t="s">
        <v>87</v>
      </c>
      <c r="AN32" s="86">
        <v>44720</v>
      </c>
      <c r="AO32" s="87"/>
      <c r="AP32" s="82">
        <f t="shared" si="4"/>
        <v>48757</v>
      </c>
    </row>
    <row r="33" spans="1:42" ht="55.5" x14ac:dyDescent="0.25">
      <c r="A33" s="76">
        <v>133</v>
      </c>
      <c r="B33" s="76" t="s">
        <v>74</v>
      </c>
      <c r="C33" s="76" t="s">
        <v>1164</v>
      </c>
      <c r="D33" s="76">
        <v>3</v>
      </c>
      <c r="E33" s="76" t="s">
        <v>82</v>
      </c>
      <c r="F33" s="78" t="s">
        <v>1277</v>
      </c>
      <c r="G33" s="79" t="s">
        <v>1276</v>
      </c>
      <c r="H33" s="79" t="s">
        <v>166</v>
      </c>
      <c r="I33" s="80" t="s">
        <v>1339</v>
      </c>
      <c r="J33" s="79" t="s">
        <v>167</v>
      </c>
      <c r="K33" s="79"/>
      <c r="L33" s="81">
        <v>12818516.41</v>
      </c>
      <c r="M33" s="81" t="s">
        <v>96</v>
      </c>
      <c r="N33" s="82">
        <v>44927</v>
      </c>
      <c r="O33" s="82">
        <v>45107</v>
      </c>
      <c r="P33" s="83">
        <f t="shared" si="8"/>
        <v>0.49315068493150682</v>
      </c>
      <c r="Q33" s="77" t="s">
        <v>19</v>
      </c>
      <c r="R33" s="77" t="s">
        <v>79</v>
      </c>
      <c r="S33" s="77" t="str">
        <f t="shared" si="9"/>
        <v>Z</v>
      </c>
      <c r="T33" s="84">
        <v>1</v>
      </c>
      <c r="U33" s="84">
        <v>1</v>
      </c>
      <c r="V33" s="84">
        <v>1</v>
      </c>
      <c r="W33" s="84">
        <f t="shared" si="2"/>
        <v>3</v>
      </c>
      <c r="X33" s="84" t="str">
        <f t="shared" si="10"/>
        <v>Biasa</v>
      </c>
      <c r="Y33" s="78"/>
      <c r="Z33" s="115"/>
      <c r="AA33" s="82"/>
      <c r="AB33" s="82"/>
      <c r="AC33" s="82"/>
      <c r="AD33" s="27"/>
      <c r="AE33" s="85"/>
      <c r="AF33" s="77" t="s">
        <v>168</v>
      </c>
      <c r="AG33" s="77" t="s">
        <v>81</v>
      </c>
      <c r="AH33" s="21" t="s">
        <v>81</v>
      </c>
      <c r="AI33" s="21" t="s">
        <v>81</v>
      </c>
      <c r="AJ33" s="21" t="s">
        <v>81</v>
      </c>
      <c r="AK33" s="21" t="s">
        <v>81</v>
      </c>
      <c r="AL33" s="21" t="s">
        <v>81</v>
      </c>
      <c r="AM33" s="27" t="s">
        <v>100</v>
      </c>
      <c r="AN33" s="86">
        <v>44925</v>
      </c>
      <c r="AO33" s="87"/>
      <c r="AP33" s="82">
        <f t="shared" si="4"/>
        <v>48757</v>
      </c>
    </row>
    <row r="34" spans="1:42" ht="83.25" x14ac:dyDescent="0.25">
      <c r="A34" s="76">
        <v>4</v>
      </c>
      <c r="B34" s="76" t="s">
        <v>74</v>
      </c>
      <c r="C34" s="76" t="s">
        <v>1145</v>
      </c>
      <c r="D34" s="76">
        <v>4</v>
      </c>
      <c r="E34" s="76" t="s">
        <v>82</v>
      </c>
      <c r="F34" s="78" t="s">
        <v>75</v>
      </c>
      <c r="G34" s="79" t="s">
        <v>97</v>
      </c>
      <c r="H34" s="79" t="s">
        <v>84</v>
      </c>
      <c r="I34" s="80" t="s">
        <v>1339</v>
      </c>
      <c r="J34" s="79" t="s">
        <v>95</v>
      </c>
      <c r="K34" s="79" t="s">
        <v>78</v>
      </c>
      <c r="L34" s="81">
        <v>298000000</v>
      </c>
      <c r="M34" s="81" t="s">
        <v>85</v>
      </c>
      <c r="N34" s="82">
        <v>44774</v>
      </c>
      <c r="O34" s="82">
        <v>45138</v>
      </c>
      <c r="P34" s="83">
        <f t="shared" si="8"/>
        <v>0.99726027397260275</v>
      </c>
      <c r="Q34" s="77" t="s">
        <v>19</v>
      </c>
      <c r="R34" s="77" t="s">
        <v>79</v>
      </c>
      <c r="S34" s="77" t="str">
        <f t="shared" ref="S34:S35" si="11">IF(R34="End","Z",IF(R34="Cancel","C",IF(SUM(R34)&gt;0,"O",IF(ISBLANK(R34),"X",IF(SUM(R34)&lt;0,"Y",IF(SUM(R34),"-","O"))))))</f>
        <v>Z</v>
      </c>
      <c r="T34" s="84">
        <v>1</v>
      </c>
      <c r="U34" s="84">
        <v>3</v>
      </c>
      <c r="V34" s="84">
        <v>1</v>
      </c>
      <c r="W34" s="84">
        <f t="shared" si="2"/>
        <v>5</v>
      </c>
      <c r="X34" s="84" t="str">
        <f t="shared" si="10"/>
        <v>Biasa</v>
      </c>
      <c r="Y34" s="78"/>
      <c r="Z34" s="115"/>
      <c r="AA34" s="82"/>
      <c r="AB34" s="82"/>
      <c r="AC34" s="82"/>
      <c r="AD34" s="27" t="s">
        <v>86</v>
      </c>
      <c r="AE34" s="85">
        <v>44407</v>
      </c>
      <c r="AF34" s="77" t="s">
        <v>80</v>
      </c>
      <c r="AG34" s="77" t="s">
        <v>81</v>
      </c>
      <c r="AH34" s="21" t="s">
        <v>81</v>
      </c>
      <c r="AI34" s="21" t="s">
        <v>81</v>
      </c>
      <c r="AJ34" s="21" t="s">
        <v>81</v>
      </c>
      <c r="AK34" s="21" t="s">
        <v>81</v>
      </c>
      <c r="AL34" s="21" t="s">
        <v>81</v>
      </c>
      <c r="AM34" s="27" t="s">
        <v>87</v>
      </c>
      <c r="AN34" s="86">
        <v>44720</v>
      </c>
      <c r="AO34" s="87"/>
      <c r="AP34" s="82">
        <f t="shared" si="4"/>
        <v>48788</v>
      </c>
    </row>
    <row r="35" spans="1:42" ht="83.25" x14ac:dyDescent="0.25">
      <c r="A35" s="76">
        <v>1</v>
      </c>
      <c r="B35" s="76" t="s">
        <v>74</v>
      </c>
      <c r="C35" s="76" t="s">
        <v>1145</v>
      </c>
      <c r="D35" s="76">
        <v>1</v>
      </c>
      <c r="E35" s="76" t="s">
        <v>82</v>
      </c>
      <c r="F35" s="78" t="s">
        <v>75</v>
      </c>
      <c r="G35" s="79" t="s">
        <v>1271</v>
      </c>
      <c r="H35" s="79" t="s">
        <v>84</v>
      </c>
      <c r="I35" s="80" t="s">
        <v>1339</v>
      </c>
      <c r="J35" s="79" t="s">
        <v>77</v>
      </c>
      <c r="K35" s="79" t="s">
        <v>78</v>
      </c>
      <c r="L35" s="81">
        <v>298000000</v>
      </c>
      <c r="M35" s="81" t="s">
        <v>85</v>
      </c>
      <c r="N35" s="82">
        <v>44774</v>
      </c>
      <c r="O35" s="82">
        <v>45138</v>
      </c>
      <c r="P35" s="83">
        <f t="shared" si="8"/>
        <v>0.99726027397260275</v>
      </c>
      <c r="Q35" s="77" t="s">
        <v>19</v>
      </c>
      <c r="R35" s="77" t="s">
        <v>79</v>
      </c>
      <c r="S35" s="77" t="str">
        <f t="shared" si="11"/>
        <v>Z</v>
      </c>
      <c r="T35" s="84">
        <v>1</v>
      </c>
      <c r="U35" s="84">
        <v>3</v>
      </c>
      <c r="V35" s="84">
        <v>1</v>
      </c>
      <c r="W35" s="84">
        <f t="shared" si="2"/>
        <v>5</v>
      </c>
      <c r="X35" s="84" t="str">
        <f t="shared" si="10"/>
        <v>Biasa</v>
      </c>
      <c r="Y35" s="78"/>
      <c r="Z35" s="115"/>
      <c r="AA35" s="82"/>
      <c r="AB35" s="82"/>
      <c r="AC35" s="82"/>
      <c r="AD35" s="27" t="s">
        <v>86</v>
      </c>
      <c r="AE35" s="85">
        <v>44407</v>
      </c>
      <c r="AF35" s="77" t="s">
        <v>80</v>
      </c>
      <c r="AG35" s="77" t="s">
        <v>81</v>
      </c>
      <c r="AH35" s="21" t="s">
        <v>81</v>
      </c>
      <c r="AI35" s="21" t="s">
        <v>81</v>
      </c>
      <c r="AJ35" s="21" t="s">
        <v>81</v>
      </c>
      <c r="AK35" s="21" t="s">
        <v>81</v>
      </c>
      <c r="AL35" s="21" t="s">
        <v>81</v>
      </c>
      <c r="AM35" s="27" t="s">
        <v>87</v>
      </c>
      <c r="AN35" s="86">
        <v>44720</v>
      </c>
      <c r="AO35" s="87"/>
      <c r="AP35" s="82">
        <f t="shared" si="4"/>
        <v>48788</v>
      </c>
    </row>
    <row r="36" spans="1:42" ht="111" x14ac:dyDescent="0.25">
      <c r="A36" s="76">
        <v>52</v>
      </c>
      <c r="B36" s="76" t="s">
        <v>74</v>
      </c>
      <c r="C36" s="76" t="s">
        <v>1153</v>
      </c>
      <c r="D36" s="76">
        <v>2</v>
      </c>
      <c r="E36" s="76" t="s">
        <v>82</v>
      </c>
      <c r="F36" s="78" t="s">
        <v>516</v>
      </c>
      <c r="G36" s="79" t="s">
        <v>204</v>
      </c>
      <c r="H36" s="79" t="s">
        <v>517</v>
      </c>
      <c r="I36" s="80" t="s">
        <v>1339</v>
      </c>
      <c r="J36" s="79" t="s">
        <v>518</v>
      </c>
      <c r="K36" s="79" t="s">
        <v>519</v>
      </c>
      <c r="L36" s="81" t="s">
        <v>321</v>
      </c>
      <c r="M36" s="81"/>
      <c r="N36" s="82">
        <v>44743</v>
      </c>
      <c r="O36" s="82">
        <v>45107</v>
      </c>
      <c r="P36" s="83">
        <f t="shared" si="8"/>
        <v>0.99726027397260275</v>
      </c>
      <c r="Q36" s="77" t="s">
        <v>19</v>
      </c>
      <c r="R36" s="77" t="s">
        <v>79</v>
      </c>
      <c r="S36" s="77" t="str">
        <f t="shared" ref="S36:S43" si="12">IF(R36="End","Z",IF(R36="Cancel","C",IF(SUM(R36)&gt;0,"O",IF(ISBLANK(R36),"X",IF(SUM(R36)&lt;0,"Y",IF(SUM(R36),"-","O"))))))</f>
        <v>Z</v>
      </c>
      <c r="T36" s="84">
        <v>1</v>
      </c>
      <c r="U36" s="84">
        <v>1</v>
      </c>
      <c r="V36" s="84">
        <v>1</v>
      </c>
      <c r="W36" s="84">
        <f t="shared" si="2"/>
        <v>3</v>
      </c>
      <c r="X36" s="84" t="str">
        <f t="shared" si="10"/>
        <v>Biasa</v>
      </c>
      <c r="Y36" s="78"/>
      <c r="Z36" s="115"/>
      <c r="AA36" s="82"/>
      <c r="AB36" s="82"/>
      <c r="AC36" s="82"/>
      <c r="AD36" s="27"/>
      <c r="AE36" s="85"/>
      <c r="AF36" s="77" t="s">
        <v>192</v>
      </c>
      <c r="AG36" s="77" t="s">
        <v>81</v>
      </c>
      <c r="AH36" s="21" t="s">
        <v>81</v>
      </c>
      <c r="AI36" s="21" t="s">
        <v>81</v>
      </c>
      <c r="AJ36" s="21" t="s">
        <v>81</v>
      </c>
      <c r="AK36" s="21" t="s">
        <v>81</v>
      </c>
      <c r="AL36" s="21" t="s">
        <v>81</v>
      </c>
      <c r="AM36" s="27" t="s">
        <v>87</v>
      </c>
      <c r="AN36" s="86">
        <v>44720</v>
      </c>
      <c r="AO36" s="87"/>
      <c r="AP36" s="82">
        <f t="shared" si="4"/>
        <v>48757</v>
      </c>
    </row>
    <row r="37" spans="1:42" ht="55.5" x14ac:dyDescent="0.25">
      <c r="A37" s="76">
        <v>27</v>
      </c>
      <c r="B37" s="76" t="s">
        <v>74</v>
      </c>
      <c r="C37" s="76" t="s">
        <v>1150</v>
      </c>
      <c r="D37" s="76">
        <v>1</v>
      </c>
      <c r="E37" s="76" t="s">
        <v>82</v>
      </c>
      <c r="F37" s="78" t="s">
        <v>322</v>
      </c>
      <c r="G37" s="79" t="s">
        <v>204</v>
      </c>
      <c r="H37" s="79" t="s">
        <v>323</v>
      </c>
      <c r="I37" s="80" t="s">
        <v>1338</v>
      </c>
      <c r="J37" s="79" t="s">
        <v>324</v>
      </c>
      <c r="K37" s="79" t="s">
        <v>325</v>
      </c>
      <c r="L37" s="81" t="s">
        <v>321</v>
      </c>
      <c r="M37" s="81"/>
      <c r="N37" s="82">
        <v>44743</v>
      </c>
      <c r="O37" s="82">
        <v>45107</v>
      </c>
      <c r="P37" s="83">
        <f t="shared" si="8"/>
        <v>0.99726027397260275</v>
      </c>
      <c r="Q37" s="77" t="s">
        <v>19</v>
      </c>
      <c r="R37" s="77" t="s">
        <v>79</v>
      </c>
      <c r="S37" s="77" t="str">
        <f t="shared" si="12"/>
        <v>Z</v>
      </c>
      <c r="T37" s="84">
        <v>1</v>
      </c>
      <c r="U37" s="84">
        <v>2</v>
      </c>
      <c r="V37" s="84">
        <v>2</v>
      </c>
      <c r="W37" s="84">
        <f t="shared" si="2"/>
        <v>5</v>
      </c>
      <c r="X37" s="84" t="str">
        <f t="shared" si="10"/>
        <v>Biasa</v>
      </c>
      <c r="Y37" s="78"/>
      <c r="Z37" s="115"/>
      <c r="AA37" s="82"/>
      <c r="AB37" s="82"/>
      <c r="AC37" s="82"/>
      <c r="AD37" s="27"/>
      <c r="AE37" s="85"/>
      <c r="AF37" s="77" t="s">
        <v>192</v>
      </c>
      <c r="AG37" s="77" t="s">
        <v>81</v>
      </c>
      <c r="AH37" s="21" t="s">
        <v>81</v>
      </c>
      <c r="AI37" s="21" t="s">
        <v>81</v>
      </c>
      <c r="AJ37" s="21" t="s">
        <v>81</v>
      </c>
      <c r="AK37" s="21" t="s">
        <v>81</v>
      </c>
      <c r="AL37" s="21" t="s">
        <v>81</v>
      </c>
      <c r="AM37" s="27" t="s">
        <v>100</v>
      </c>
      <c r="AN37" s="86">
        <v>44740</v>
      </c>
      <c r="AO37" s="87"/>
      <c r="AP37" s="82">
        <f t="shared" si="4"/>
        <v>48757</v>
      </c>
    </row>
    <row r="38" spans="1:42" ht="83.25" x14ac:dyDescent="0.25">
      <c r="A38" s="76">
        <v>28</v>
      </c>
      <c r="B38" s="76" t="s">
        <v>74</v>
      </c>
      <c r="C38" s="76" t="s">
        <v>1150</v>
      </c>
      <c r="D38" s="76">
        <v>2</v>
      </c>
      <c r="E38" s="76" t="s">
        <v>82</v>
      </c>
      <c r="F38" s="78" t="s">
        <v>326</v>
      </c>
      <c r="G38" s="79" t="s">
        <v>204</v>
      </c>
      <c r="H38" s="79" t="s">
        <v>327</v>
      </c>
      <c r="I38" s="80" t="s">
        <v>1338</v>
      </c>
      <c r="J38" s="79" t="s">
        <v>328</v>
      </c>
      <c r="K38" s="79" t="s">
        <v>329</v>
      </c>
      <c r="L38" s="81" t="s">
        <v>321</v>
      </c>
      <c r="M38" s="81"/>
      <c r="N38" s="82">
        <v>44743</v>
      </c>
      <c r="O38" s="82">
        <v>45107</v>
      </c>
      <c r="P38" s="83">
        <f t="shared" si="8"/>
        <v>0.99726027397260275</v>
      </c>
      <c r="Q38" s="77" t="s">
        <v>19</v>
      </c>
      <c r="R38" s="77" t="s">
        <v>79</v>
      </c>
      <c r="S38" s="77" t="str">
        <f t="shared" si="12"/>
        <v>Z</v>
      </c>
      <c r="T38" s="84">
        <v>1</v>
      </c>
      <c r="U38" s="84">
        <v>2</v>
      </c>
      <c r="V38" s="84">
        <v>2</v>
      </c>
      <c r="W38" s="84">
        <f t="shared" si="2"/>
        <v>5</v>
      </c>
      <c r="X38" s="84" t="str">
        <f t="shared" si="10"/>
        <v>Biasa</v>
      </c>
      <c r="Y38" s="78"/>
      <c r="Z38" s="115"/>
      <c r="AA38" s="82"/>
      <c r="AB38" s="82"/>
      <c r="AC38" s="82"/>
      <c r="AD38" s="27"/>
      <c r="AE38" s="85"/>
      <c r="AF38" s="77" t="s">
        <v>188</v>
      </c>
      <c r="AG38" s="77" t="s">
        <v>81</v>
      </c>
      <c r="AH38" s="21" t="s">
        <v>81</v>
      </c>
      <c r="AI38" s="21" t="s">
        <v>81</v>
      </c>
      <c r="AJ38" s="21" t="s">
        <v>81</v>
      </c>
      <c r="AK38" s="21" t="s">
        <v>81</v>
      </c>
      <c r="AL38" s="21" t="s">
        <v>81</v>
      </c>
      <c r="AM38" s="27" t="s">
        <v>100</v>
      </c>
      <c r="AN38" s="86">
        <v>44740</v>
      </c>
      <c r="AO38" s="87"/>
      <c r="AP38" s="82">
        <f t="shared" si="4"/>
        <v>48757</v>
      </c>
    </row>
    <row r="39" spans="1:42" ht="55.5" x14ac:dyDescent="0.25">
      <c r="A39" s="76">
        <v>74</v>
      </c>
      <c r="B39" s="76" t="s">
        <v>74</v>
      </c>
      <c r="C39" s="76" t="s">
        <v>1157</v>
      </c>
      <c r="D39" s="76">
        <v>2</v>
      </c>
      <c r="E39" s="76" t="s">
        <v>82</v>
      </c>
      <c r="F39" s="78" t="s">
        <v>951</v>
      </c>
      <c r="G39" s="79" t="s">
        <v>204</v>
      </c>
      <c r="H39" s="79" t="s">
        <v>1386</v>
      </c>
      <c r="I39" s="80" t="s">
        <v>1339</v>
      </c>
      <c r="J39" s="79" t="s">
        <v>950</v>
      </c>
      <c r="K39" s="79"/>
      <c r="L39" s="81" t="s">
        <v>186</v>
      </c>
      <c r="M39" s="81"/>
      <c r="N39" s="82">
        <v>44743</v>
      </c>
      <c r="O39" s="82">
        <v>45107</v>
      </c>
      <c r="P39" s="83">
        <f t="shared" si="8"/>
        <v>0.99726027397260275</v>
      </c>
      <c r="Q39" s="77" t="s">
        <v>25</v>
      </c>
      <c r="R39" s="77" t="s">
        <v>79</v>
      </c>
      <c r="S39" s="77" t="str">
        <f t="shared" si="12"/>
        <v>Z</v>
      </c>
      <c r="T39" s="84">
        <v>3</v>
      </c>
      <c r="U39" s="84">
        <v>3</v>
      </c>
      <c r="V39" s="84">
        <v>3</v>
      </c>
      <c r="W39" s="84">
        <f t="shared" si="2"/>
        <v>9</v>
      </c>
      <c r="X39" s="84" t="str">
        <f t="shared" si="10"/>
        <v>Penting</v>
      </c>
      <c r="Y39" s="78"/>
      <c r="Z39" s="115"/>
      <c r="AA39" s="82"/>
      <c r="AB39" s="82"/>
      <c r="AC39" s="82"/>
      <c r="AD39" s="27"/>
      <c r="AE39" s="85"/>
      <c r="AF39" s="77" t="s">
        <v>588</v>
      </c>
      <c r="AG39" s="77" t="s">
        <v>81</v>
      </c>
      <c r="AH39" s="21" t="s">
        <v>81</v>
      </c>
      <c r="AI39" s="21" t="s">
        <v>81</v>
      </c>
      <c r="AJ39" s="21" t="s">
        <v>81</v>
      </c>
      <c r="AK39" s="21" t="s">
        <v>81</v>
      </c>
      <c r="AL39" s="21" t="s">
        <v>81</v>
      </c>
      <c r="AM39" s="27" t="s">
        <v>87</v>
      </c>
      <c r="AN39" s="86">
        <v>44720</v>
      </c>
      <c r="AO39" s="87"/>
      <c r="AP39" s="82">
        <f t="shared" si="4"/>
        <v>48757</v>
      </c>
    </row>
    <row r="40" spans="1:42" ht="111" x14ac:dyDescent="0.25">
      <c r="A40" s="76">
        <v>70</v>
      </c>
      <c r="B40" s="76" t="s">
        <v>74</v>
      </c>
      <c r="C40" s="76" t="s">
        <v>1156</v>
      </c>
      <c r="D40" s="76">
        <v>3</v>
      </c>
      <c r="E40" s="76" t="s">
        <v>82</v>
      </c>
      <c r="F40" s="78" t="s">
        <v>979</v>
      </c>
      <c r="G40" s="79" t="s">
        <v>204</v>
      </c>
      <c r="H40" s="79" t="s">
        <v>980</v>
      </c>
      <c r="I40" s="80" t="s">
        <v>1339</v>
      </c>
      <c r="J40" s="79" t="s">
        <v>981</v>
      </c>
      <c r="K40" s="79" t="s">
        <v>982</v>
      </c>
      <c r="L40" s="81" t="s">
        <v>186</v>
      </c>
      <c r="M40" s="81"/>
      <c r="N40" s="82">
        <v>44743</v>
      </c>
      <c r="O40" s="82">
        <v>45107</v>
      </c>
      <c r="P40" s="83">
        <f t="shared" si="8"/>
        <v>0.99726027397260275</v>
      </c>
      <c r="Q40" s="77" t="s">
        <v>25</v>
      </c>
      <c r="R40" s="77" t="s">
        <v>79</v>
      </c>
      <c r="S40" s="77" t="str">
        <f t="shared" si="12"/>
        <v>Z</v>
      </c>
      <c r="T40" s="84">
        <v>2</v>
      </c>
      <c r="U40" s="84">
        <v>2</v>
      </c>
      <c r="V40" s="84">
        <v>2</v>
      </c>
      <c r="W40" s="84">
        <f t="shared" si="2"/>
        <v>6</v>
      </c>
      <c r="X40" s="84" t="str">
        <f t="shared" si="10"/>
        <v>Penting</v>
      </c>
      <c r="Y40" s="78"/>
      <c r="Z40" s="115"/>
      <c r="AA40" s="82"/>
      <c r="AB40" s="82"/>
      <c r="AC40" s="82"/>
      <c r="AD40" s="27"/>
      <c r="AE40" s="85"/>
      <c r="AF40" s="77" t="s">
        <v>588</v>
      </c>
      <c r="AG40" s="77" t="s">
        <v>81</v>
      </c>
      <c r="AH40" s="21" t="s">
        <v>81</v>
      </c>
      <c r="AI40" s="21" t="s">
        <v>81</v>
      </c>
      <c r="AJ40" s="21" t="s">
        <v>81</v>
      </c>
      <c r="AK40" s="21" t="s">
        <v>81</v>
      </c>
      <c r="AL40" s="21" t="s">
        <v>81</v>
      </c>
      <c r="AM40" s="27" t="s">
        <v>87</v>
      </c>
      <c r="AN40" s="86">
        <v>44720</v>
      </c>
      <c r="AO40" s="87"/>
      <c r="AP40" s="82">
        <f t="shared" si="4"/>
        <v>48757</v>
      </c>
    </row>
    <row r="41" spans="1:42" ht="83.25" x14ac:dyDescent="0.25">
      <c r="A41" s="76">
        <v>66</v>
      </c>
      <c r="B41" s="76" t="s">
        <v>74</v>
      </c>
      <c r="C41" s="76" t="s">
        <v>1155</v>
      </c>
      <c r="D41" s="76">
        <v>4</v>
      </c>
      <c r="E41" s="76" t="s">
        <v>82</v>
      </c>
      <c r="F41" s="78" t="s">
        <v>569</v>
      </c>
      <c r="G41" s="79" t="s">
        <v>204</v>
      </c>
      <c r="H41" s="79" t="s">
        <v>570</v>
      </c>
      <c r="I41" s="80" t="s">
        <v>1339</v>
      </c>
      <c r="J41" s="79" t="s">
        <v>571</v>
      </c>
      <c r="K41" s="79" t="s">
        <v>572</v>
      </c>
      <c r="L41" s="81" t="s">
        <v>186</v>
      </c>
      <c r="M41" s="81"/>
      <c r="N41" s="82">
        <v>44743</v>
      </c>
      <c r="O41" s="82">
        <v>45107</v>
      </c>
      <c r="P41" s="83">
        <f t="shared" si="8"/>
        <v>0.99726027397260275</v>
      </c>
      <c r="Q41" s="77" t="s">
        <v>19</v>
      </c>
      <c r="R41" s="77" t="s">
        <v>79</v>
      </c>
      <c r="S41" s="77" t="str">
        <f t="shared" si="12"/>
        <v>Z</v>
      </c>
      <c r="T41" s="84">
        <v>1</v>
      </c>
      <c r="U41" s="84">
        <v>2</v>
      </c>
      <c r="V41" s="84">
        <v>1</v>
      </c>
      <c r="W41" s="84">
        <f t="shared" si="2"/>
        <v>4</v>
      </c>
      <c r="X41" s="84" t="str">
        <f t="shared" si="10"/>
        <v>Biasa</v>
      </c>
      <c r="Y41" s="78"/>
      <c r="Z41" s="115"/>
      <c r="AA41" s="82"/>
      <c r="AB41" s="82"/>
      <c r="AC41" s="82"/>
      <c r="AD41" s="27" t="s">
        <v>86</v>
      </c>
      <c r="AE41" s="85">
        <v>44586</v>
      </c>
      <c r="AF41" s="77" t="s">
        <v>192</v>
      </c>
      <c r="AG41" s="77" t="s">
        <v>81</v>
      </c>
      <c r="AH41" s="21" t="s">
        <v>81</v>
      </c>
      <c r="AI41" s="21" t="s">
        <v>81</v>
      </c>
      <c r="AJ41" s="21" t="s">
        <v>81</v>
      </c>
      <c r="AK41" s="21" t="s">
        <v>81</v>
      </c>
      <c r="AL41" s="21" t="s">
        <v>81</v>
      </c>
      <c r="AM41" s="27" t="s">
        <v>87</v>
      </c>
      <c r="AN41" s="86">
        <v>44720</v>
      </c>
      <c r="AO41" s="87"/>
      <c r="AP41" s="82">
        <f t="shared" si="4"/>
        <v>48757</v>
      </c>
    </row>
    <row r="42" spans="1:42" ht="138.75" x14ac:dyDescent="0.25">
      <c r="A42" s="76">
        <v>41</v>
      </c>
      <c r="B42" s="76" t="s">
        <v>74</v>
      </c>
      <c r="C42" s="76" t="s">
        <v>1151</v>
      </c>
      <c r="D42" s="76">
        <v>4</v>
      </c>
      <c r="E42" s="76" t="s">
        <v>82</v>
      </c>
      <c r="F42" s="78" t="s">
        <v>391</v>
      </c>
      <c r="G42" s="79" t="s">
        <v>204</v>
      </c>
      <c r="H42" s="79" t="s">
        <v>392</v>
      </c>
      <c r="I42" s="80" t="s">
        <v>1339</v>
      </c>
      <c r="J42" s="79" t="s">
        <v>393</v>
      </c>
      <c r="K42" s="79" t="s">
        <v>394</v>
      </c>
      <c r="L42" s="81" t="s">
        <v>321</v>
      </c>
      <c r="M42" s="81"/>
      <c r="N42" s="82">
        <v>44743</v>
      </c>
      <c r="O42" s="82">
        <v>45107</v>
      </c>
      <c r="P42" s="83">
        <f t="shared" si="8"/>
        <v>0.99726027397260275</v>
      </c>
      <c r="Q42" s="77" t="s">
        <v>19</v>
      </c>
      <c r="R42" s="77" t="s">
        <v>79</v>
      </c>
      <c r="S42" s="77" t="str">
        <f t="shared" si="12"/>
        <v>Z</v>
      </c>
      <c r="T42" s="84">
        <v>1</v>
      </c>
      <c r="U42" s="84">
        <v>2</v>
      </c>
      <c r="V42" s="84">
        <v>1</v>
      </c>
      <c r="W42" s="84">
        <f t="shared" si="2"/>
        <v>4</v>
      </c>
      <c r="X42" s="84" t="str">
        <f t="shared" si="10"/>
        <v>Biasa</v>
      </c>
      <c r="Y42" s="78" t="s">
        <v>1214</v>
      </c>
      <c r="Z42" s="115"/>
      <c r="AA42" s="82"/>
      <c r="AB42" s="82"/>
      <c r="AC42" s="82"/>
      <c r="AD42" s="27"/>
      <c r="AE42" s="85"/>
      <c r="AF42" s="77" t="s">
        <v>188</v>
      </c>
      <c r="AG42" s="77" t="s">
        <v>81</v>
      </c>
      <c r="AH42" s="21" t="s">
        <v>81</v>
      </c>
      <c r="AI42" s="21" t="s">
        <v>81</v>
      </c>
      <c r="AJ42" s="21" t="s">
        <v>81</v>
      </c>
      <c r="AK42" s="21" t="s">
        <v>81</v>
      </c>
      <c r="AL42" s="21" t="s">
        <v>81</v>
      </c>
      <c r="AM42" s="27" t="s">
        <v>100</v>
      </c>
      <c r="AN42" s="86">
        <v>44740</v>
      </c>
      <c r="AO42" s="87"/>
      <c r="AP42" s="82">
        <f t="shared" si="4"/>
        <v>48757</v>
      </c>
    </row>
    <row r="43" spans="1:42" ht="83.25" x14ac:dyDescent="0.25">
      <c r="A43" s="76">
        <v>50</v>
      </c>
      <c r="B43" s="76" t="s">
        <v>74</v>
      </c>
      <c r="C43" s="76" t="s">
        <v>1153</v>
      </c>
      <c r="D43" s="76">
        <v>1</v>
      </c>
      <c r="E43" s="76" t="s">
        <v>82</v>
      </c>
      <c r="F43" s="78" t="s">
        <v>512</v>
      </c>
      <c r="G43" s="79" t="s">
        <v>204</v>
      </c>
      <c r="H43" s="79" t="s">
        <v>513</v>
      </c>
      <c r="I43" s="80" t="s">
        <v>1338</v>
      </c>
      <c r="J43" s="79" t="s">
        <v>514</v>
      </c>
      <c r="K43" s="79" t="s">
        <v>515</v>
      </c>
      <c r="L43" s="81" t="s">
        <v>321</v>
      </c>
      <c r="M43" s="81"/>
      <c r="N43" s="82">
        <v>44743</v>
      </c>
      <c r="O43" s="82">
        <v>45107</v>
      </c>
      <c r="P43" s="83">
        <f t="shared" si="8"/>
        <v>0.99726027397260275</v>
      </c>
      <c r="Q43" s="77" t="s">
        <v>19</v>
      </c>
      <c r="R43" s="77" t="s">
        <v>79</v>
      </c>
      <c r="S43" s="77" t="str">
        <f t="shared" si="12"/>
        <v>Z</v>
      </c>
      <c r="T43" s="84">
        <v>1</v>
      </c>
      <c r="U43" s="84">
        <v>2</v>
      </c>
      <c r="V43" s="84">
        <v>1</v>
      </c>
      <c r="W43" s="84">
        <f t="shared" si="2"/>
        <v>4</v>
      </c>
      <c r="X43" s="84" t="str">
        <f t="shared" si="10"/>
        <v>Biasa</v>
      </c>
      <c r="Y43" s="78"/>
      <c r="Z43" s="115"/>
      <c r="AA43" s="82"/>
      <c r="AB43" s="82"/>
      <c r="AC43" s="82"/>
      <c r="AD43" s="27"/>
      <c r="AE43" s="85"/>
      <c r="AF43" s="77" t="s">
        <v>342</v>
      </c>
      <c r="AG43" s="77" t="s">
        <v>81</v>
      </c>
      <c r="AH43" s="21" t="s">
        <v>81</v>
      </c>
      <c r="AI43" s="21" t="s">
        <v>81</v>
      </c>
      <c r="AJ43" s="21" t="s">
        <v>81</v>
      </c>
      <c r="AK43" s="21" t="s">
        <v>81</v>
      </c>
      <c r="AL43" s="21" t="s">
        <v>81</v>
      </c>
      <c r="AM43" s="27" t="s">
        <v>87</v>
      </c>
      <c r="AN43" s="86">
        <v>44720</v>
      </c>
      <c r="AO43" s="87"/>
      <c r="AP43" s="82">
        <f t="shared" si="4"/>
        <v>48757</v>
      </c>
    </row>
    <row r="44" spans="1:42" ht="83.25" x14ac:dyDescent="0.25">
      <c r="A44" s="76">
        <v>146</v>
      </c>
      <c r="B44" s="76" t="s">
        <v>74</v>
      </c>
      <c r="C44" s="76" t="s">
        <v>1168</v>
      </c>
      <c r="D44" s="76">
        <v>1</v>
      </c>
      <c r="E44" s="76" t="s">
        <v>82</v>
      </c>
      <c r="F44" s="78" t="s">
        <v>237</v>
      </c>
      <c r="G44" s="79" t="s">
        <v>238</v>
      </c>
      <c r="H44" s="79" t="s">
        <v>239</v>
      </c>
      <c r="I44" s="80" t="s">
        <v>1339</v>
      </c>
      <c r="J44" s="79" t="s">
        <v>240</v>
      </c>
      <c r="K44" s="79" t="s">
        <v>241</v>
      </c>
      <c r="L44" s="81" t="s">
        <v>242</v>
      </c>
      <c r="M44" s="81" t="s">
        <v>243</v>
      </c>
      <c r="N44" s="82">
        <v>44743</v>
      </c>
      <c r="O44" s="82">
        <v>45107</v>
      </c>
      <c r="P44" s="83">
        <f>(O44-N44)/365</f>
        <v>0.99726027397260275</v>
      </c>
      <c r="Q44" s="77" t="s">
        <v>19</v>
      </c>
      <c r="R44" s="77" t="s">
        <v>79</v>
      </c>
      <c r="S44" s="77" t="str">
        <f>IF(R44="End","Z",IF(R44="Cancel","C",IF(SUM(R44)&gt;0,"O",IF(ISBLANK(R44),"X",IF(SUM(R44)&lt;0,"Y",IF(SUM(R44),"-","O"))))))</f>
        <v>Z</v>
      </c>
      <c r="T44" s="84">
        <v>1</v>
      </c>
      <c r="U44" s="84">
        <v>1</v>
      </c>
      <c r="V44" s="84">
        <v>1</v>
      </c>
      <c r="W44" s="84">
        <f t="shared" si="2"/>
        <v>3</v>
      </c>
      <c r="X44" s="84" t="str">
        <f>IF(W44&gt;5,"Penting",IF(ISBLANK(W44),"","Biasa"))</f>
        <v>Biasa</v>
      </c>
      <c r="Y44" s="78"/>
      <c r="Z44" s="115"/>
      <c r="AA44" s="82"/>
      <c r="AB44" s="82"/>
      <c r="AC44" s="82"/>
      <c r="AD44" s="27" t="s">
        <v>86</v>
      </c>
      <c r="AE44" s="85">
        <v>44743</v>
      </c>
      <c r="AF44" s="77" t="s">
        <v>168</v>
      </c>
      <c r="AG44" s="77" t="s">
        <v>81</v>
      </c>
      <c r="AH44" s="21" t="s">
        <v>81</v>
      </c>
      <c r="AI44" s="21" t="s">
        <v>81</v>
      </c>
      <c r="AJ44" s="21" t="s">
        <v>81</v>
      </c>
      <c r="AK44" s="21" t="s">
        <v>81</v>
      </c>
      <c r="AL44" s="21" t="s">
        <v>81</v>
      </c>
      <c r="AM44" s="27" t="s">
        <v>244</v>
      </c>
      <c r="AN44" s="86">
        <v>44750</v>
      </c>
      <c r="AO44" s="87"/>
      <c r="AP44" s="82">
        <f t="shared" si="4"/>
        <v>48757</v>
      </c>
    </row>
    <row r="45" spans="1:42" ht="83.25" x14ac:dyDescent="0.25">
      <c r="A45" s="76">
        <v>77</v>
      </c>
      <c r="B45" s="76" t="s">
        <v>74</v>
      </c>
      <c r="C45" s="76" t="s">
        <v>1157</v>
      </c>
      <c r="D45" s="76">
        <v>5</v>
      </c>
      <c r="E45" s="76" t="s">
        <v>82</v>
      </c>
      <c r="F45" s="78" t="s">
        <v>965</v>
      </c>
      <c r="G45" s="79" t="s">
        <v>204</v>
      </c>
      <c r="H45" s="79" t="s">
        <v>966</v>
      </c>
      <c r="I45" s="80" t="s">
        <v>1338</v>
      </c>
      <c r="J45" s="79" t="s">
        <v>967</v>
      </c>
      <c r="K45" s="79" t="s">
        <v>968</v>
      </c>
      <c r="L45" s="81" t="s">
        <v>186</v>
      </c>
      <c r="M45" s="81"/>
      <c r="N45" s="82">
        <v>44743</v>
      </c>
      <c r="O45" s="82">
        <v>45107</v>
      </c>
      <c r="P45" s="83">
        <f t="shared" ref="P45:P49" si="13">(O45-N45)/365</f>
        <v>0.99726027397260275</v>
      </c>
      <c r="Q45" s="77" t="s">
        <v>25</v>
      </c>
      <c r="R45" s="77" t="s">
        <v>79</v>
      </c>
      <c r="S45" s="77" t="str">
        <f t="shared" ref="S45:S49" si="14">IF(R45="End","Z",IF(R45="Cancel","C",IF(SUM(R45)&gt;0,"O",IF(ISBLANK(R45),"X",IF(SUM(R45)&lt;0,"Y",IF(SUM(R45),"-","O"))))))</f>
        <v>Z</v>
      </c>
      <c r="T45" s="84">
        <v>2</v>
      </c>
      <c r="U45" s="84">
        <v>2</v>
      </c>
      <c r="V45" s="84">
        <v>2</v>
      </c>
      <c r="W45" s="84">
        <f t="shared" si="2"/>
        <v>6</v>
      </c>
      <c r="X45" s="84" t="str">
        <f t="shared" ref="X45:X49" si="15">IF(W45&gt;5,"Penting",IF(ISBLANK(W45),"","Biasa"))</f>
        <v>Penting</v>
      </c>
      <c r="Y45" s="78"/>
      <c r="Z45" s="115"/>
      <c r="AA45" s="82"/>
      <c r="AB45" s="82"/>
      <c r="AC45" s="82"/>
      <c r="AD45" s="27"/>
      <c r="AE45" s="85"/>
      <c r="AF45" s="77" t="s">
        <v>588</v>
      </c>
      <c r="AG45" s="77" t="s">
        <v>81</v>
      </c>
      <c r="AH45" s="21" t="s">
        <v>81</v>
      </c>
      <c r="AI45" s="21" t="s">
        <v>81</v>
      </c>
      <c r="AJ45" s="21" t="s">
        <v>81</v>
      </c>
      <c r="AK45" s="21" t="s">
        <v>81</v>
      </c>
      <c r="AL45" s="21" t="s">
        <v>81</v>
      </c>
      <c r="AM45" s="27" t="s">
        <v>87</v>
      </c>
      <c r="AN45" s="86">
        <v>44720</v>
      </c>
      <c r="AO45" s="87"/>
      <c r="AP45" s="82">
        <f t="shared" si="4"/>
        <v>48757</v>
      </c>
    </row>
    <row r="46" spans="1:42" ht="83.25" x14ac:dyDescent="0.25">
      <c r="A46" s="76">
        <v>72</v>
      </c>
      <c r="B46" s="76" t="s">
        <v>74</v>
      </c>
      <c r="C46" s="76" t="s">
        <v>1156</v>
      </c>
      <c r="D46" s="76">
        <v>5</v>
      </c>
      <c r="E46" s="76" t="s">
        <v>82</v>
      </c>
      <c r="F46" s="78" t="s">
        <v>962</v>
      </c>
      <c r="G46" s="79" t="s">
        <v>204</v>
      </c>
      <c r="H46" s="79" t="s">
        <v>484</v>
      </c>
      <c r="I46" s="80" t="s">
        <v>1338</v>
      </c>
      <c r="J46" s="79" t="s">
        <v>963</v>
      </c>
      <c r="K46" s="79" t="s">
        <v>964</v>
      </c>
      <c r="L46" s="81" t="s">
        <v>186</v>
      </c>
      <c r="M46" s="81"/>
      <c r="N46" s="82">
        <v>44743</v>
      </c>
      <c r="O46" s="82">
        <v>45107</v>
      </c>
      <c r="P46" s="83">
        <f t="shared" si="13"/>
        <v>0.99726027397260275</v>
      </c>
      <c r="Q46" s="77" t="s">
        <v>25</v>
      </c>
      <c r="R46" s="77" t="s">
        <v>79</v>
      </c>
      <c r="S46" s="77" t="str">
        <f t="shared" si="14"/>
        <v>Z</v>
      </c>
      <c r="T46" s="84">
        <v>1</v>
      </c>
      <c r="U46" s="84">
        <v>2</v>
      </c>
      <c r="V46" s="84">
        <v>2</v>
      </c>
      <c r="W46" s="84">
        <f t="shared" si="2"/>
        <v>5</v>
      </c>
      <c r="X46" s="84" t="str">
        <f t="shared" si="15"/>
        <v>Biasa</v>
      </c>
      <c r="Y46" s="78"/>
      <c r="Z46" s="115"/>
      <c r="AA46" s="82"/>
      <c r="AB46" s="82"/>
      <c r="AC46" s="82"/>
      <c r="AD46" s="27"/>
      <c r="AE46" s="85"/>
      <c r="AF46" s="77" t="s">
        <v>588</v>
      </c>
      <c r="AG46" s="77" t="s">
        <v>81</v>
      </c>
      <c r="AH46" s="21" t="s">
        <v>81</v>
      </c>
      <c r="AI46" s="21" t="s">
        <v>81</v>
      </c>
      <c r="AJ46" s="21" t="s">
        <v>81</v>
      </c>
      <c r="AK46" s="21" t="s">
        <v>81</v>
      </c>
      <c r="AL46" s="21" t="s">
        <v>81</v>
      </c>
      <c r="AM46" s="27" t="s">
        <v>87</v>
      </c>
      <c r="AN46" s="86">
        <v>44720</v>
      </c>
      <c r="AO46" s="87"/>
      <c r="AP46" s="82">
        <f t="shared" si="4"/>
        <v>48757</v>
      </c>
    </row>
    <row r="47" spans="1:42" ht="83.25" x14ac:dyDescent="0.25">
      <c r="A47" s="76">
        <v>38</v>
      </c>
      <c r="B47" s="76" t="s">
        <v>74</v>
      </c>
      <c r="C47" s="76" t="s">
        <v>1151</v>
      </c>
      <c r="D47" s="76">
        <v>3</v>
      </c>
      <c r="E47" s="76" t="s">
        <v>82</v>
      </c>
      <c r="F47" s="78" t="s">
        <v>385</v>
      </c>
      <c r="G47" s="79" t="s">
        <v>204</v>
      </c>
      <c r="H47" s="79" t="s">
        <v>386</v>
      </c>
      <c r="I47" s="80" t="s">
        <v>1338</v>
      </c>
      <c r="J47" s="79" t="s">
        <v>387</v>
      </c>
      <c r="K47" s="79" t="s">
        <v>388</v>
      </c>
      <c r="L47" s="81" t="s">
        <v>389</v>
      </c>
      <c r="M47" s="81"/>
      <c r="N47" s="82">
        <v>44743</v>
      </c>
      <c r="O47" s="82">
        <v>45107</v>
      </c>
      <c r="P47" s="83">
        <f t="shared" si="13"/>
        <v>0.99726027397260275</v>
      </c>
      <c r="Q47" s="77" t="s">
        <v>19</v>
      </c>
      <c r="R47" s="77" t="s">
        <v>79</v>
      </c>
      <c r="S47" s="77" t="str">
        <f t="shared" si="14"/>
        <v>Z</v>
      </c>
      <c r="T47" s="84">
        <v>1</v>
      </c>
      <c r="U47" s="84">
        <v>2</v>
      </c>
      <c r="V47" s="84">
        <v>2</v>
      </c>
      <c r="W47" s="84">
        <f t="shared" si="2"/>
        <v>5</v>
      </c>
      <c r="X47" s="84" t="str">
        <f t="shared" si="15"/>
        <v>Biasa</v>
      </c>
      <c r="Y47" s="78"/>
      <c r="Z47" s="115"/>
      <c r="AA47" s="82"/>
      <c r="AB47" s="82"/>
      <c r="AC47" s="82"/>
      <c r="AD47" s="27"/>
      <c r="AE47" s="85"/>
      <c r="AF47" s="77" t="s">
        <v>390</v>
      </c>
      <c r="AG47" s="77" t="s">
        <v>81</v>
      </c>
      <c r="AH47" s="21" t="s">
        <v>81</v>
      </c>
      <c r="AI47" s="21" t="s">
        <v>81</v>
      </c>
      <c r="AJ47" s="21" t="s">
        <v>81</v>
      </c>
      <c r="AK47" s="21" t="s">
        <v>81</v>
      </c>
      <c r="AL47" s="21" t="s">
        <v>81</v>
      </c>
      <c r="AM47" s="27" t="s">
        <v>87</v>
      </c>
      <c r="AN47" s="86">
        <v>44720</v>
      </c>
      <c r="AO47" s="87"/>
      <c r="AP47" s="82">
        <f t="shared" si="4"/>
        <v>48757</v>
      </c>
    </row>
    <row r="48" spans="1:42" ht="55.5" x14ac:dyDescent="0.25">
      <c r="A48" s="76">
        <v>75</v>
      </c>
      <c r="B48" s="76" t="s">
        <v>74</v>
      </c>
      <c r="C48" s="76" t="s">
        <v>1157</v>
      </c>
      <c r="D48" s="76">
        <v>3</v>
      </c>
      <c r="E48" s="76" t="s">
        <v>82</v>
      </c>
      <c r="F48" s="78" t="s">
        <v>953</v>
      </c>
      <c r="G48" s="79" t="s">
        <v>204</v>
      </c>
      <c r="H48" s="79" t="s">
        <v>954</v>
      </c>
      <c r="I48" s="80" t="s">
        <v>1338</v>
      </c>
      <c r="J48" s="79" t="s">
        <v>950</v>
      </c>
      <c r="K48" s="79"/>
      <c r="L48" s="81" t="s">
        <v>186</v>
      </c>
      <c r="M48" s="81"/>
      <c r="N48" s="82">
        <v>44743</v>
      </c>
      <c r="O48" s="82">
        <v>45107</v>
      </c>
      <c r="P48" s="83">
        <f t="shared" si="13"/>
        <v>0.99726027397260275</v>
      </c>
      <c r="Q48" s="77" t="s">
        <v>25</v>
      </c>
      <c r="R48" s="77" t="s">
        <v>79</v>
      </c>
      <c r="S48" s="77" t="str">
        <f t="shared" si="14"/>
        <v>Z</v>
      </c>
      <c r="T48" s="84">
        <v>3</v>
      </c>
      <c r="U48" s="84">
        <v>3</v>
      </c>
      <c r="V48" s="84">
        <v>3</v>
      </c>
      <c r="W48" s="84">
        <f t="shared" si="2"/>
        <v>9</v>
      </c>
      <c r="X48" s="84" t="str">
        <f t="shared" si="15"/>
        <v>Penting</v>
      </c>
      <c r="Y48" s="78"/>
      <c r="Z48" s="115"/>
      <c r="AA48" s="82"/>
      <c r="AB48" s="82"/>
      <c r="AC48" s="82"/>
      <c r="AD48" s="27"/>
      <c r="AE48" s="85"/>
      <c r="AF48" s="77" t="s">
        <v>588</v>
      </c>
      <c r="AG48" s="77" t="s">
        <v>81</v>
      </c>
      <c r="AH48" s="21" t="s">
        <v>81</v>
      </c>
      <c r="AI48" s="21" t="s">
        <v>81</v>
      </c>
      <c r="AJ48" s="21" t="s">
        <v>81</v>
      </c>
      <c r="AK48" s="21" t="s">
        <v>81</v>
      </c>
      <c r="AL48" s="21" t="s">
        <v>81</v>
      </c>
      <c r="AM48" s="27" t="s">
        <v>87</v>
      </c>
      <c r="AN48" s="86">
        <v>44720</v>
      </c>
      <c r="AO48" s="87"/>
      <c r="AP48" s="82">
        <f t="shared" si="4"/>
        <v>48757</v>
      </c>
    </row>
    <row r="49" spans="1:47" ht="55.5" x14ac:dyDescent="0.25">
      <c r="A49" s="76">
        <v>157</v>
      </c>
      <c r="B49" s="76" t="s">
        <v>74</v>
      </c>
      <c r="C49" s="76" t="s">
        <v>1170</v>
      </c>
      <c r="D49" s="76">
        <v>2</v>
      </c>
      <c r="E49" s="76" t="s">
        <v>82</v>
      </c>
      <c r="F49" s="78" t="s">
        <v>779</v>
      </c>
      <c r="G49" s="79" t="s">
        <v>780</v>
      </c>
      <c r="H49" s="79" t="s">
        <v>781</v>
      </c>
      <c r="I49" s="80" t="s">
        <v>1338</v>
      </c>
      <c r="J49" s="79" t="s">
        <v>782</v>
      </c>
      <c r="K49" s="79"/>
      <c r="L49" s="81">
        <v>67822869</v>
      </c>
      <c r="M49" s="81" t="s">
        <v>96</v>
      </c>
      <c r="N49" s="82">
        <v>44743</v>
      </c>
      <c r="O49" s="82">
        <v>45107</v>
      </c>
      <c r="P49" s="83">
        <f t="shared" si="13"/>
        <v>0.99726027397260275</v>
      </c>
      <c r="Q49" s="77" t="s">
        <v>26</v>
      </c>
      <c r="R49" s="77" t="s">
        <v>79</v>
      </c>
      <c r="S49" s="77" t="str">
        <f t="shared" si="14"/>
        <v>Z</v>
      </c>
      <c r="T49" s="84">
        <v>1</v>
      </c>
      <c r="U49" s="84">
        <v>3</v>
      </c>
      <c r="V49" s="84">
        <v>1</v>
      </c>
      <c r="W49" s="84">
        <f t="shared" si="2"/>
        <v>5</v>
      </c>
      <c r="X49" s="84" t="str">
        <f t="shared" si="15"/>
        <v>Biasa</v>
      </c>
      <c r="Y49" s="78"/>
      <c r="Z49" s="115"/>
      <c r="AA49" s="82"/>
      <c r="AB49" s="82"/>
      <c r="AC49" s="82"/>
      <c r="AD49" s="27"/>
      <c r="AE49" s="85"/>
      <c r="AF49" s="77" t="s">
        <v>778</v>
      </c>
      <c r="AG49" s="77" t="s">
        <v>150</v>
      </c>
      <c r="AH49" s="21"/>
      <c r="AI49" s="21"/>
      <c r="AJ49" s="21"/>
      <c r="AK49" s="21"/>
      <c r="AL49" s="21"/>
      <c r="AM49" s="27" t="s">
        <v>100</v>
      </c>
      <c r="AN49" s="86">
        <v>44735</v>
      </c>
      <c r="AO49" s="87"/>
      <c r="AP49" s="82">
        <f t="shared" si="4"/>
        <v>48757</v>
      </c>
    </row>
    <row r="50" spans="1:47" ht="83.25" x14ac:dyDescent="0.25">
      <c r="A50" s="76">
        <v>136</v>
      </c>
      <c r="B50" s="76" t="s">
        <v>74</v>
      </c>
      <c r="C50" s="76" t="s">
        <v>1165</v>
      </c>
      <c r="D50" s="76">
        <v>1</v>
      </c>
      <c r="E50" s="76" t="s">
        <v>82</v>
      </c>
      <c r="F50" s="78" t="s">
        <v>688</v>
      </c>
      <c r="G50" s="79" t="s">
        <v>689</v>
      </c>
      <c r="H50" s="79" t="s">
        <v>690</v>
      </c>
      <c r="I50" s="80" t="s">
        <v>1339</v>
      </c>
      <c r="J50" s="79" t="s">
        <v>691</v>
      </c>
      <c r="K50" s="79"/>
      <c r="L50" s="81" t="s">
        <v>186</v>
      </c>
      <c r="M50" s="81"/>
      <c r="N50" s="82">
        <v>44720</v>
      </c>
      <c r="O50" s="82">
        <v>45084</v>
      </c>
      <c r="P50" s="83">
        <f>(O50-N50)/365</f>
        <v>0.99726027397260275</v>
      </c>
      <c r="Q50" s="77" t="s">
        <v>20</v>
      </c>
      <c r="R50" s="77" t="s">
        <v>79</v>
      </c>
      <c r="S50" s="77" t="str">
        <f>IF(R50="End","Z",IF(R50="Cancel","C",IF(SUM(R50)&gt;0,"O",IF(ISBLANK(R50),"X",IF(SUM(R50)&lt;0,"Y",IF(SUM(R50),"-","O"))))))</f>
        <v>Z</v>
      </c>
      <c r="T50" s="84">
        <v>3</v>
      </c>
      <c r="U50" s="84">
        <v>3</v>
      </c>
      <c r="V50" s="84">
        <v>1</v>
      </c>
      <c r="W50" s="84">
        <f t="shared" si="2"/>
        <v>7</v>
      </c>
      <c r="X50" s="84" t="str">
        <f>IF(W50&gt;5,"Penting",IF(ISBLANK(W50),"","Biasa"))</f>
        <v>Penting</v>
      </c>
      <c r="Y50" s="78"/>
      <c r="Z50" s="115"/>
      <c r="AA50" s="82"/>
      <c r="AB50" s="82"/>
      <c r="AC50" s="82"/>
      <c r="AD50" s="27"/>
      <c r="AE50" s="85"/>
      <c r="AF50" s="77" t="s">
        <v>345</v>
      </c>
      <c r="AG50" s="77" t="s">
        <v>81</v>
      </c>
      <c r="AH50" s="21" t="s">
        <v>81</v>
      </c>
      <c r="AI50" s="21" t="s">
        <v>81</v>
      </c>
      <c r="AJ50" s="21" t="s">
        <v>81</v>
      </c>
      <c r="AK50" s="21" t="s">
        <v>81</v>
      </c>
      <c r="AL50" s="21" t="s">
        <v>81</v>
      </c>
      <c r="AM50" s="27" t="s">
        <v>87</v>
      </c>
      <c r="AN50" s="86">
        <v>44699</v>
      </c>
      <c r="AO50" s="87"/>
      <c r="AP50" s="82">
        <f t="shared" si="4"/>
        <v>48734</v>
      </c>
    </row>
    <row r="51" spans="1:47" ht="55.5" x14ac:dyDescent="0.25">
      <c r="A51" s="76">
        <v>35</v>
      </c>
      <c r="B51" s="76" t="s">
        <v>74</v>
      </c>
      <c r="C51" s="76" t="s">
        <v>1151</v>
      </c>
      <c r="D51" s="76">
        <v>1</v>
      </c>
      <c r="E51" s="76" t="s">
        <v>82</v>
      </c>
      <c r="F51" s="78" t="s">
        <v>373</v>
      </c>
      <c r="G51" s="79" t="s">
        <v>204</v>
      </c>
      <c r="H51" s="79" t="s">
        <v>374</v>
      </c>
      <c r="I51" s="80" t="s">
        <v>1339</v>
      </c>
      <c r="J51" s="79" t="s">
        <v>375</v>
      </c>
      <c r="K51" s="79" t="s">
        <v>376</v>
      </c>
      <c r="L51" s="81" t="s">
        <v>321</v>
      </c>
      <c r="M51" s="81"/>
      <c r="N51" s="82">
        <v>44743</v>
      </c>
      <c r="O51" s="82">
        <v>45107</v>
      </c>
      <c r="P51" s="83">
        <f t="shared" ref="P51:P55" si="16">(O51-N51)/365</f>
        <v>0.99726027397260275</v>
      </c>
      <c r="Q51" s="77" t="s">
        <v>19</v>
      </c>
      <c r="R51" s="77" t="s">
        <v>79</v>
      </c>
      <c r="S51" s="77" t="str">
        <f t="shared" ref="S51:S55" si="17">IF(R51="End","Z",IF(R51="Cancel","C",IF(SUM(R51)&gt;0,"O",IF(ISBLANK(R51),"X",IF(SUM(R51)&lt;0,"Y",IF(SUM(R51),"-","O"))))))</f>
        <v>Z</v>
      </c>
      <c r="T51" s="84">
        <v>1</v>
      </c>
      <c r="U51" s="84">
        <v>1</v>
      </c>
      <c r="V51" s="84">
        <v>1</v>
      </c>
      <c r="W51" s="84">
        <f t="shared" si="2"/>
        <v>3</v>
      </c>
      <c r="X51" s="84" t="str">
        <f t="shared" ref="X51:X55" si="18">IF(W51&gt;5,"Penting",IF(ISBLANK(W51),"","Biasa"))</f>
        <v>Biasa</v>
      </c>
      <c r="Y51" s="78"/>
      <c r="Z51" s="115"/>
      <c r="AA51" s="82"/>
      <c r="AB51" s="82"/>
      <c r="AC51" s="82"/>
      <c r="AD51" s="27"/>
      <c r="AE51" s="85"/>
      <c r="AF51" s="77" t="s">
        <v>192</v>
      </c>
      <c r="AG51" s="77" t="s">
        <v>81</v>
      </c>
      <c r="AH51" s="21" t="s">
        <v>81</v>
      </c>
      <c r="AI51" s="21" t="s">
        <v>81</v>
      </c>
      <c r="AJ51" s="21" t="s">
        <v>81</v>
      </c>
      <c r="AK51" s="21" t="s">
        <v>81</v>
      </c>
      <c r="AL51" s="21" t="s">
        <v>81</v>
      </c>
      <c r="AM51" s="27" t="s">
        <v>100</v>
      </c>
      <c r="AN51" s="86">
        <v>44740</v>
      </c>
      <c r="AO51" s="87"/>
      <c r="AP51" s="82">
        <f t="shared" si="4"/>
        <v>48757</v>
      </c>
    </row>
    <row r="52" spans="1:47" ht="55.5" x14ac:dyDescent="0.25">
      <c r="A52" s="76">
        <v>79</v>
      </c>
      <c r="B52" s="76" t="s">
        <v>74</v>
      </c>
      <c r="C52" s="76" t="s">
        <v>1158</v>
      </c>
      <c r="D52" s="76">
        <v>2</v>
      </c>
      <c r="E52" s="76" t="s">
        <v>82</v>
      </c>
      <c r="F52" s="78" t="s">
        <v>987</v>
      </c>
      <c r="G52" s="79" t="s">
        <v>204</v>
      </c>
      <c r="H52" s="79" t="s">
        <v>988</v>
      </c>
      <c r="I52" s="80" t="s">
        <v>1338</v>
      </c>
      <c r="J52" s="79" t="s">
        <v>989</v>
      </c>
      <c r="K52" s="79"/>
      <c r="L52" s="81"/>
      <c r="M52" s="81"/>
      <c r="N52" s="82">
        <v>44743</v>
      </c>
      <c r="O52" s="82">
        <v>45107</v>
      </c>
      <c r="P52" s="83">
        <f t="shared" si="16"/>
        <v>0.99726027397260275</v>
      </c>
      <c r="Q52" s="77" t="s">
        <v>25</v>
      </c>
      <c r="R52" s="77" t="s">
        <v>79</v>
      </c>
      <c r="S52" s="77" t="str">
        <f t="shared" si="17"/>
        <v>Z</v>
      </c>
      <c r="T52" s="84">
        <v>2</v>
      </c>
      <c r="U52" s="84">
        <v>2</v>
      </c>
      <c r="V52" s="84">
        <v>2</v>
      </c>
      <c r="W52" s="84">
        <f t="shared" si="2"/>
        <v>6</v>
      </c>
      <c r="X52" s="84" t="str">
        <f t="shared" si="18"/>
        <v>Penting</v>
      </c>
      <c r="Y52" s="78"/>
      <c r="Z52" s="115"/>
      <c r="AA52" s="82"/>
      <c r="AB52" s="82"/>
      <c r="AC52" s="82"/>
      <c r="AD52" s="27"/>
      <c r="AE52" s="85"/>
      <c r="AF52" s="77" t="s">
        <v>974</v>
      </c>
      <c r="AG52" s="77" t="s">
        <v>81</v>
      </c>
      <c r="AH52" s="21" t="s">
        <v>81</v>
      </c>
      <c r="AI52" s="21" t="s">
        <v>81</v>
      </c>
      <c r="AJ52" s="21" t="s">
        <v>81</v>
      </c>
      <c r="AK52" s="21" t="s">
        <v>81</v>
      </c>
      <c r="AL52" s="21" t="s">
        <v>81</v>
      </c>
      <c r="AM52" s="27" t="s">
        <v>87</v>
      </c>
      <c r="AN52" s="86">
        <v>44720</v>
      </c>
      <c r="AO52" s="87"/>
      <c r="AP52" s="82">
        <f t="shared" si="4"/>
        <v>48757</v>
      </c>
    </row>
    <row r="53" spans="1:47" ht="83.25" x14ac:dyDescent="0.25">
      <c r="A53" s="76">
        <v>47</v>
      </c>
      <c r="B53" s="76" t="s">
        <v>74</v>
      </c>
      <c r="C53" s="76" t="s">
        <v>1152</v>
      </c>
      <c r="D53" s="76">
        <v>4</v>
      </c>
      <c r="E53" s="76" t="s">
        <v>82</v>
      </c>
      <c r="F53" s="78" t="s">
        <v>503</v>
      </c>
      <c r="G53" s="79" t="s">
        <v>204</v>
      </c>
      <c r="H53" s="79" t="s">
        <v>504</v>
      </c>
      <c r="I53" s="80" t="s">
        <v>1338</v>
      </c>
      <c r="J53" s="79" t="s">
        <v>505</v>
      </c>
      <c r="K53" s="79" t="s">
        <v>506</v>
      </c>
      <c r="L53" s="81" t="s">
        <v>186</v>
      </c>
      <c r="M53" s="81"/>
      <c r="N53" s="82">
        <v>44743</v>
      </c>
      <c r="O53" s="82">
        <v>45107</v>
      </c>
      <c r="P53" s="83">
        <f t="shared" si="16"/>
        <v>0.99726027397260275</v>
      </c>
      <c r="Q53" s="77" t="s">
        <v>19</v>
      </c>
      <c r="R53" s="77" t="s">
        <v>79</v>
      </c>
      <c r="S53" s="77" t="str">
        <f t="shared" si="17"/>
        <v>Z</v>
      </c>
      <c r="T53" s="84">
        <v>1</v>
      </c>
      <c r="U53" s="84">
        <v>1</v>
      </c>
      <c r="V53" s="84">
        <v>1</v>
      </c>
      <c r="W53" s="84">
        <f t="shared" si="2"/>
        <v>3</v>
      </c>
      <c r="X53" s="84" t="str">
        <f t="shared" si="18"/>
        <v>Biasa</v>
      </c>
      <c r="Y53" s="78"/>
      <c r="Z53" s="115"/>
      <c r="AA53" s="82"/>
      <c r="AB53" s="82"/>
      <c r="AC53" s="82"/>
      <c r="AD53" s="27"/>
      <c r="AE53" s="85"/>
      <c r="AF53" s="77" t="s">
        <v>192</v>
      </c>
      <c r="AG53" s="77" t="s">
        <v>81</v>
      </c>
      <c r="AH53" s="21" t="s">
        <v>81</v>
      </c>
      <c r="AI53" s="21" t="s">
        <v>81</v>
      </c>
      <c r="AJ53" s="21" t="s">
        <v>81</v>
      </c>
      <c r="AK53" s="21" t="s">
        <v>81</v>
      </c>
      <c r="AL53" s="21" t="s">
        <v>81</v>
      </c>
      <c r="AM53" s="27" t="s">
        <v>100</v>
      </c>
      <c r="AN53" s="86">
        <v>44740</v>
      </c>
      <c r="AO53" s="87"/>
      <c r="AP53" s="82">
        <f t="shared" si="4"/>
        <v>48757</v>
      </c>
    </row>
    <row r="54" spans="1:47" ht="83.25" x14ac:dyDescent="0.25">
      <c r="A54" s="76">
        <v>45</v>
      </c>
      <c r="B54" s="76" t="s">
        <v>74</v>
      </c>
      <c r="C54" s="76" t="s">
        <v>1152</v>
      </c>
      <c r="D54" s="76">
        <v>2</v>
      </c>
      <c r="E54" s="76" t="s">
        <v>82</v>
      </c>
      <c r="F54" s="78" t="s">
        <v>395</v>
      </c>
      <c r="G54" s="79" t="s">
        <v>204</v>
      </c>
      <c r="H54" s="79" t="s">
        <v>396</v>
      </c>
      <c r="I54" s="80" t="s">
        <v>1339</v>
      </c>
      <c r="J54" s="79" t="s">
        <v>397</v>
      </c>
      <c r="K54" s="79" t="s">
        <v>398</v>
      </c>
      <c r="L54" s="81" t="s">
        <v>321</v>
      </c>
      <c r="M54" s="81"/>
      <c r="N54" s="82">
        <v>44743</v>
      </c>
      <c r="O54" s="82">
        <v>45107</v>
      </c>
      <c r="P54" s="83">
        <f t="shared" si="16"/>
        <v>0.99726027397260275</v>
      </c>
      <c r="Q54" s="77" t="s">
        <v>19</v>
      </c>
      <c r="R54" s="77" t="s">
        <v>79</v>
      </c>
      <c r="S54" s="77" t="str">
        <f t="shared" si="17"/>
        <v>Z</v>
      </c>
      <c r="T54" s="84">
        <v>1</v>
      </c>
      <c r="U54" s="84">
        <v>2</v>
      </c>
      <c r="V54" s="84">
        <v>1</v>
      </c>
      <c r="W54" s="84">
        <f t="shared" si="2"/>
        <v>4</v>
      </c>
      <c r="X54" s="84" t="str">
        <f t="shared" si="18"/>
        <v>Biasa</v>
      </c>
      <c r="Y54" s="78"/>
      <c r="Z54" s="115"/>
      <c r="AA54" s="82"/>
      <c r="AB54" s="82"/>
      <c r="AC54" s="82"/>
      <c r="AD54" s="27"/>
      <c r="AE54" s="85"/>
      <c r="AF54" s="77" t="s">
        <v>192</v>
      </c>
      <c r="AG54" s="77" t="s">
        <v>81</v>
      </c>
      <c r="AH54" s="21" t="s">
        <v>81</v>
      </c>
      <c r="AI54" s="21" t="s">
        <v>81</v>
      </c>
      <c r="AJ54" s="21" t="s">
        <v>81</v>
      </c>
      <c r="AK54" s="21" t="s">
        <v>81</v>
      </c>
      <c r="AL54" s="21" t="s">
        <v>81</v>
      </c>
      <c r="AM54" s="27" t="s">
        <v>100</v>
      </c>
      <c r="AN54" s="86">
        <v>44740</v>
      </c>
      <c r="AO54" s="87"/>
      <c r="AP54" s="82">
        <f t="shared" si="4"/>
        <v>48757</v>
      </c>
    </row>
    <row r="55" spans="1:47" ht="83.25" x14ac:dyDescent="0.25">
      <c r="A55" s="76">
        <v>152</v>
      </c>
      <c r="B55" s="76" t="s">
        <v>74</v>
      </c>
      <c r="C55" s="76" t="s">
        <v>1169</v>
      </c>
      <c r="D55" s="76">
        <v>2</v>
      </c>
      <c r="E55" s="76" t="s">
        <v>82</v>
      </c>
      <c r="F55" s="78" t="s">
        <v>232</v>
      </c>
      <c r="G55" s="79" t="s">
        <v>233</v>
      </c>
      <c r="H55" s="79" t="s">
        <v>227</v>
      </c>
      <c r="I55" s="80" t="s">
        <v>1339</v>
      </c>
      <c r="J55" s="79" t="s">
        <v>234</v>
      </c>
      <c r="K55" s="79" t="s">
        <v>235</v>
      </c>
      <c r="L55" s="81">
        <v>4000000</v>
      </c>
      <c r="M55" s="81" t="s">
        <v>96</v>
      </c>
      <c r="N55" s="82">
        <v>44743</v>
      </c>
      <c r="O55" s="82">
        <v>45107</v>
      </c>
      <c r="P55" s="83">
        <f t="shared" si="16"/>
        <v>0.99726027397260275</v>
      </c>
      <c r="Q55" s="77" t="s">
        <v>26</v>
      </c>
      <c r="R55" s="77" t="s">
        <v>79</v>
      </c>
      <c r="S55" s="77" t="str">
        <f t="shared" si="17"/>
        <v>Z</v>
      </c>
      <c r="T55" s="84">
        <v>1</v>
      </c>
      <c r="U55" s="84">
        <v>2</v>
      </c>
      <c r="V55" s="84">
        <v>2</v>
      </c>
      <c r="W55" s="84">
        <f t="shared" si="2"/>
        <v>5</v>
      </c>
      <c r="X55" s="84" t="str">
        <f t="shared" si="18"/>
        <v>Biasa</v>
      </c>
      <c r="Y55" s="78"/>
      <c r="Z55" s="115"/>
      <c r="AA55" s="82"/>
      <c r="AB55" s="82"/>
      <c r="AC55" s="82"/>
      <c r="AD55" s="27" t="s">
        <v>86</v>
      </c>
      <c r="AE55" s="85">
        <v>44743</v>
      </c>
      <c r="AF55" s="77" t="s">
        <v>236</v>
      </c>
      <c r="AG55" s="77" t="s">
        <v>81</v>
      </c>
      <c r="AH55" s="21" t="s">
        <v>81</v>
      </c>
      <c r="AI55" s="21" t="s">
        <v>81</v>
      </c>
      <c r="AJ55" s="21" t="s">
        <v>81</v>
      </c>
      <c r="AK55" s="21" t="s">
        <v>81</v>
      </c>
      <c r="AL55" s="21" t="s">
        <v>81</v>
      </c>
      <c r="AM55" s="27" t="s">
        <v>100</v>
      </c>
      <c r="AN55" s="86">
        <v>44750</v>
      </c>
      <c r="AO55" s="87"/>
      <c r="AP55" s="82">
        <f t="shared" si="4"/>
        <v>48757</v>
      </c>
    </row>
    <row r="56" spans="1:47" ht="83.25" x14ac:dyDescent="0.25">
      <c r="A56" s="76">
        <v>181</v>
      </c>
      <c r="B56" s="76" t="s">
        <v>74</v>
      </c>
      <c r="C56" s="76" t="s">
        <v>1174</v>
      </c>
      <c r="D56" s="76">
        <v>3</v>
      </c>
      <c r="E56" s="76" t="s">
        <v>82</v>
      </c>
      <c r="F56" s="78" t="s">
        <v>1204</v>
      </c>
      <c r="G56" s="79" t="s">
        <v>693</v>
      </c>
      <c r="H56" s="79" t="s">
        <v>1207</v>
      </c>
      <c r="I56" s="80"/>
      <c r="J56" s="79" t="s">
        <v>695</v>
      </c>
      <c r="K56" s="79" t="s">
        <v>1210</v>
      </c>
      <c r="L56" s="81">
        <v>9000</v>
      </c>
      <c r="M56" s="81" t="s">
        <v>697</v>
      </c>
      <c r="N56" s="82">
        <v>44896</v>
      </c>
      <c r="O56" s="82">
        <v>44941</v>
      </c>
      <c r="P56" s="83">
        <f>(O56-N56)/365</f>
        <v>0.12328767123287671</v>
      </c>
      <c r="Q56" s="77" t="s">
        <v>19</v>
      </c>
      <c r="R56" s="77" t="s">
        <v>79</v>
      </c>
      <c r="S56" s="77" t="str">
        <f>IF(R56="End","Z",IF(R56="Cancel","C",IF(SUM(R56)&gt;0,"O",IF(ISBLANK(R56),"X",IF(SUM(R56)&lt;0,"Y",IF(SUM(R56),"-","O"))))))</f>
        <v>Z</v>
      </c>
      <c r="T56" s="84">
        <v>3</v>
      </c>
      <c r="U56" s="84">
        <v>2</v>
      </c>
      <c r="V56" s="84">
        <v>2</v>
      </c>
      <c r="W56" s="84">
        <f t="shared" si="2"/>
        <v>7</v>
      </c>
      <c r="X56" s="84" t="str">
        <f>IF(W56&gt;5,"Penting",IF(ISBLANK(W56),"","Biasa"))</f>
        <v>Penting</v>
      </c>
      <c r="Y56" s="78" t="s">
        <v>1283</v>
      </c>
      <c r="Z56" s="115"/>
      <c r="AA56" s="82"/>
      <c r="AB56" s="82"/>
      <c r="AC56" s="82"/>
      <c r="AD56" s="27" t="s">
        <v>86</v>
      </c>
      <c r="AE56" s="85">
        <v>44896</v>
      </c>
      <c r="AF56" s="77" t="s">
        <v>80</v>
      </c>
      <c r="AG56" s="77" t="s">
        <v>81</v>
      </c>
      <c r="AH56" s="21" t="s">
        <v>81</v>
      </c>
      <c r="AI56" s="21" t="s">
        <v>81</v>
      </c>
      <c r="AJ56" s="21" t="s">
        <v>81</v>
      </c>
      <c r="AK56" s="21" t="s">
        <v>81</v>
      </c>
      <c r="AL56" s="21" t="s">
        <v>81</v>
      </c>
      <c r="AM56" s="27" t="s">
        <v>100</v>
      </c>
      <c r="AN56" s="86">
        <v>44890</v>
      </c>
      <c r="AO56" s="87"/>
      <c r="AP56" s="82">
        <f t="shared" si="4"/>
        <v>48591</v>
      </c>
    </row>
    <row r="57" spans="1:47" ht="83.25" x14ac:dyDescent="0.25">
      <c r="A57" s="76">
        <v>6</v>
      </c>
      <c r="B57" s="76" t="s">
        <v>74</v>
      </c>
      <c r="C57" s="76" t="s">
        <v>1146</v>
      </c>
      <c r="D57" s="76">
        <v>1</v>
      </c>
      <c r="E57" s="76" t="s">
        <v>82</v>
      </c>
      <c r="F57" s="78" t="s">
        <v>75</v>
      </c>
      <c r="G57" s="79" t="s">
        <v>105</v>
      </c>
      <c r="H57" s="79" t="s">
        <v>106</v>
      </c>
      <c r="I57" s="80"/>
      <c r="J57" s="79" t="s">
        <v>107</v>
      </c>
      <c r="K57" s="79"/>
      <c r="L57" s="81">
        <v>342000000</v>
      </c>
      <c r="M57" s="81" t="s">
        <v>85</v>
      </c>
      <c r="N57" s="82">
        <v>44575</v>
      </c>
      <c r="O57" s="82">
        <v>44939</v>
      </c>
      <c r="P57" s="83">
        <f t="shared" ref="P57" si="19">(O57-N57)/365</f>
        <v>0.99726027397260275</v>
      </c>
      <c r="Q57" s="77" t="s">
        <v>19</v>
      </c>
      <c r="R57" s="77" t="s">
        <v>79</v>
      </c>
      <c r="S57" s="77" t="str">
        <f t="shared" ref="S57" si="20">IF(R57="End","Z",IF(R57="Cancel","C",IF(SUM(R57)&gt;0,"O",IF(ISBLANK(R57),"X",IF(SUM(R57)&lt;0,"Y",IF(SUM(R57),"-","O"))))))</f>
        <v>Z</v>
      </c>
      <c r="T57" s="84">
        <v>1</v>
      </c>
      <c r="U57" s="84">
        <v>3</v>
      </c>
      <c r="V57" s="84">
        <v>1</v>
      </c>
      <c r="W57" s="84">
        <f t="shared" si="2"/>
        <v>5</v>
      </c>
      <c r="X57" s="84" t="str">
        <f t="shared" ref="X57" si="21">IF(W57&gt;5,"Penting",IF(ISBLANK(W57),"","Biasa"))</f>
        <v>Biasa</v>
      </c>
      <c r="Y57" s="78" t="s">
        <v>1283</v>
      </c>
      <c r="Z57" s="115"/>
      <c r="AA57" s="82"/>
      <c r="AB57" s="82"/>
      <c r="AC57" s="82"/>
      <c r="AD57" s="27" t="s">
        <v>86</v>
      </c>
      <c r="AE57" s="85">
        <v>44197</v>
      </c>
      <c r="AF57" s="77" t="s">
        <v>80</v>
      </c>
      <c r="AG57" s="77" t="s">
        <v>81</v>
      </c>
      <c r="AH57" s="21" t="s">
        <v>81</v>
      </c>
      <c r="AI57" s="21" t="s">
        <v>81</v>
      </c>
      <c r="AJ57" s="21" t="s">
        <v>81</v>
      </c>
      <c r="AK57" s="21" t="s">
        <v>81</v>
      </c>
      <c r="AL57" s="21" t="s">
        <v>81</v>
      </c>
      <c r="AM57" s="27" t="s">
        <v>87</v>
      </c>
      <c r="AN57" s="86">
        <v>44560</v>
      </c>
      <c r="AO57" s="87"/>
      <c r="AP57" s="82">
        <f t="shared" si="4"/>
        <v>48589</v>
      </c>
    </row>
    <row r="58" spans="1:47" s="88" customFormat="1" ht="111.95" customHeight="1" x14ac:dyDescent="0.25">
      <c r="A58" s="76">
        <v>16</v>
      </c>
      <c r="B58" s="76" t="s">
        <v>74</v>
      </c>
      <c r="C58" s="76" t="s">
        <v>1148</v>
      </c>
      <c r="D58" s="76">
        <v>2</v>
      </c>
      <c r="E58" s="76" t="s">
        <v>82</v>
      </c>
      <c r="F58" s="78" t="s">
        <v>144</v>
      </c>
      <c r="G58" s="79" t="s">
        <v>145</v>
      </c>
      <c r="H58" s="79" t="s">
        <v>112</v>
      </c>
      <c r="I58" s="80"/>
      <c r="J58" s="79" t="s">
        <v>146</v>
      </c>
      <c r="K58" s="79"/>
      <c r="L58" s="81">
        <v>6650000</v>
      </c>
      <c r="M58" s="81" t="s">
        <v>96</v>
      </c>
      <c r="N58" s="82">
        <v>43865</v>
      </c>
      <c r="O58" s="82">
        <v>44960</v>
      </c>
      <c r="P58" s="83">
        <f t="shared" ref="P58:P99" si="22">(O58-N58)/365</f>
        <v>3</v>
      </c>
      <c r="Q58" s="77" t="s">
        <v>19</v>
      </c>
      <c r="R58" s="77" t="s">
        <v>79</v>
      </c>
      <c r="S58" s="77" t="str">
        <f t="shared" ref="S58:S89" si="23">IF(R58="End","Z",IF(R58="Cancel","C",IF(SUM(R58)&gt;0,"O",IF(ISBLANK(R58),"X",IF(SUM(R58)&lt;0,"Y",IF(SUM(R58),"-","O"))))))</f>
        <v>Z</v>
      </c>
      <c r="T58" s="84">
        <v>1</v>
      </c>
      <c r="U58" s="84">
        <v>1</v>
      </c>
      <c r="V58" s="84">
        <v>1</v>
      </c>
      <c r="W58" s="84">
        <f t="shared" ref="W58:W89" si="24">T58+U58+V58</f>
        <v>3</v>
      </c>
      <c r="X58" s="84" t="str">
        <f t="shared" ref="X58:X89" si="25">IF(W58&gt;5,"Penting",IF(ISBLANK(W58),"","Biasa"))</f>
        <v>Biasa</v>
      </c>
      <c r="Y58" s="78"/>
      <c r="Z58" s="115" t="s">
        <v>81</v>
      </c>
      <c r="AA58" s="82">
        <f>N58+270</f>
        <v>44135</v>
      </c>
      <c r="AB58" s="82">
        <f>+N58+635</f>
        <v>44500</v>
      </c>
      <c r="AC58" s="82"/>
      <c r="AD58" s="27" t="s">
        <v>86</v>
      </c>
      <c r="AE58" s="85">
        <v>43862</v>
      </c>
      <c r="AF58" s="77" t="s">
        <v>80</v>
      </c>
      <c r="AG58" s="77" t="s">
        <v>81</v>
      </c>
      <c r="AH58" s="21" t="s">
        <v>81</v>
      </c>
      <c r="AI58" s="21" t="s">
        <v>81</v>
      </c>
      <c r="AJ58" s="21" t="s">
        <v>81</v>
      </c>
      <c r="AK58" s="21" t="s">
        <v>81</v>
      </c>
      <c r="AL58" s="21" t="s">
        <v>81</v>
      </c>
      <c r="AM58" s="27" t="s">
        <v>87</v>
      </c>
      <c r="AN58" s="86">
        <v>43867</v>
      </c>
      <c r="AO58" s="87"/>
      <c r="AP58" s="82">
        <f t="shared" si="4"/>
        <v>48610</v>
      </c>
      <c r="AQ58" s="4"/>
      <c r="AR58" s="4"/>
      <c r="AS58" s="4"/>
      <c r="AT58" s="4"/>
    </row>
    <row r="59" spans="1:47" s="88" customFormat="1" ht="111.95" customHeight="1" x14ac:dyDescent="0.25">
      <c r="A59" s="76">
        <v>17</v>
      </c>
      <c r="B59" s="76" t="s">
        <v>74</v>
      </c>
      <c r="C59" s="76" t="s">
        <v>1148</v>
      </c>
      <c r="D59" s="76">
        <v>3</v>
      </c>
      <c r="E59" s="76" t="s">
        <v>82</v>
      </c>
      <c r="F59" s="78" t="s">
        <v>141</v>
      </c>
      <c r="G59" s="79" t="s">
        <v>142</v>
      </c>
      <c r="H59" s="79" t="s">
        <v>112</v>
      </c>
      <c r="I59" s="80"/>
      <c r="J59" s="79" t="s">
        <v>143</v>
      </c>
      <c r="K59" s="79"/>
      <c r="L59" s="81">
        <v>6950000</v>
      </c>
      <c r="M59" s="81" t="s">
        <v>96</v>
      </c>
      <c r="N59" s="82">
        <v>43863</v>
      </c>
      <c r="O59" s="82">
        <v>44958</v>
      </c>
      <c r="P59" s="83">
        <f t="shared" si="22"/>
        <v>3</v>
      </c>
      <c r="Q59" s="77" t="s">
        <v>19</v>
      </c>
      <c r="R59" s="77" t="s">
        <v>79</v>
      </c>
      <c r="S59" s="77" t="str">
        <f t="shared" si="23"/>
        <v>Z</v>
      </c>
      <c r="T59" s="84">
        <v>1</v>
      </c>
      <c r="U59" s="84">
        <v>1</v>
      </c>
      <c r="V59" s="84">
        <v>1</v>
      </c>
      <c r="W59" s="84">
        <f t="shared" si="24"/>
        <v>3</v>
      </c>
      <c r="X59" s="84" t="str">
        <f t="shared" si="25"/>
        <v>Biasa</v>
      </c>
      <c r="Y59" s="78"/>
      <c r="Z59" s="115" t="s">
        <v>81</v>
      </c>
      <c r="AA59" s="82">
        <f>N59+270</f>
        <v>44133</v>
      </c>
      <c r="AB59" s="82">
        <f>+N59+635</f>
        <v>44498</v>
      </c>
      <c r="AC59" s="82"/>
      <c r="AD59" s="27" t="s">
        <v>86</v>
      </c>
      <c r="AE59" s="85">
        <v>43862</v>
      </c>
      <c r="AF59" s="77" t="s">
        <v>80</v>
      </c>
      <c r="AG59" s="77" t="s">
        <v>81</v>
      </c>
      <c r="AH59" s="21" t="s">
        <v>81</v>
      </c>
      <c r="AI59" s="21" t="s">
        <v>81</v>
      </c>
      <c r="AJ59" s="21" t="s">
        <v>81</v>
      </c>
      <c r="AK59" s="21" t="s">
        <v>81</v>
      </c>
      <c r="AL59" s="21" t="s">
        <v>81</v>
      </c>
      <c r="AM59" s="27" t="s">
        <v>87</v>
      </c>
      <c r="AN59" s="86">
        <v>43867</v>
      </c>
      <c r="AO59" s="87"/>
      <c r="AP59" s="82">
        <f t="shared" si="4"/>
        <v>48608</v>
      </c>
      <c r="AQ59" s="4"/>
      <c r="AR59" s="4"/>
      <c r="AS59" s="4"/>
      <c r="AT59" s="4"/>
    </row>
    <row r="60" spans="1:47" s="88" customFormat="1" ht="111.95" customHeight="1" x14ac:dyDescent="0.25">
      <c r="A60" s="76">
        <v>25</v>
      </c>
      <c r="B60" s="76" t="s">
        <v>74</v>
      </c>
      <c r="C60" s="76" t="s">
        <v>1149</v>
      </c>
      <c r="D60" s="76">
        <v>5</v>
      </c>
      <c r="E60" s="76" t="s">
        <v>82</v>
      </c>
      <c r="F60" s="78" t="s">
        <v>120</v>
      </c>
      <c r="G60" s="79" t="s">
        <v>121</v>
      </c>
      <c r="H60" s="79" t="s">
        <v>112</v>
      </c>
      <c r="I60" s="80"/>
      <c r="J60" s="79" t="s">
        <v>122</v>
      </c>
      <c r="K60" s="79" t="s">
        <v>114</v>
      </c>
      <c r="L60" s="81">
        <v>9300000</v>
      </c>
      <c r="M60" s="81" t="s">
        <v>96</v>
      </c>
      <c r="N60" s="82">
        <v>43416</v>
      </c>
      <c r="O60" s="82">
        <v>44511</v>
      </c>
      <c r="P60" s="83">
        <f t="shared" si="22"/>
        <v>3</v>
      </c>
      <c r="Q60" s="77" t="s">
        <v>19</v>
      </c>
      <c r="R60" s="77" t="s">
        <v>79</v>
      </c>
      <c r="S60" s="77" t="str">
        <f t="shared" si="23"/>
        <v>Z</v>
      </c>
      <c r="T60" s="84">
        <v>1</v>
      </c>
      <c r="U60" s="84">
        <v>1</v>
      </c>
      <c r="V60" s="84">
        <v>1</v>
      </c>
      <c r="W60" s="84">
        <f t="shared" si="24"/>
        <v>3</v>
      </c>
      <c r="X60" s="84" t="str">
        <f t="shared" si="25"/>
        <v>Biasa</v>
      </c>
      <c r="Y60" s="78" t="s">
        <v>123</v>
      </c>
      <c r="Z60" s="115"/>
      <c r="AA60" s="82"/>
      <c r="AB60" s="82"/>
      <c r="AC60" s="82"/>
      <c r="AD60" s="27" t="s">
        <v>14</v>
      </c>
      <c r="AE60" s="85">
        <v>44511</v>
      </c>
      <c r="AF60" s="77" t="s">
        <v>80</v>
      </c>
      <c r="AG60" s="77" t="s">
        <v>81</v>
      </c>
      <c r="AH60" s="21" t="s">
        <v>81</v>
      </c>
      <c r="AI60" s="21" t="s">
        <v>81</v>
      </c>
      <c r="AJ60" s="21" t="s">
        <v>81</v>
      </c>
      <c r="AK60" s="21" t="s">
        <v>81</v>
      </c>
      <c r="AL60" s="21" t="s">
        <v>81</v>
      </c>
      <c r="AM60" s="27"/>
      <c r="AN60" s="86"/>
      <c r="AO60" s="87"/>
      <c r="AP60" s="82">
        <f t="shared" si="4"/>
        <v>48161</v>
      </c>
      <c r="AQ60" s="4"/>
      <c r="AR60" s="4"/>
      <c r="AS60" s="4"/>
      <c r="AT60" s="4"/>
    </row>
    <row r="61" spans="1:47" s="88" customFormat="1" ht="111.95" customHeight="1" x14ac:dyDescent="0.25">
      <c r="A61" s="76">
        <v>43</v>
      </c>
      <c r="B61" s="76" t="s">
        <v>74</v>
      </c>
      <c r="C61" s="76" t="s">
        <v>1152</v>
      </c>
      <c r="D61" s="76">
        <v>1</v>
      </c>
      <c r="E61" s="76" t="s">
        <v>82</v>
      </c>
      <c r="F61" s="78" t="s">
        <v>563</v>
      </c>
      <c r="G61" s="79" t="s">
        <v>204</v>
      </c>
      <c r="H61" s="79" t="s">
        <v>564</v>
      </c>
      <c r="I61" s="80"/>
      <c r="J61" s="79" t="s">
        <v>565</v>
      </c>
      <c r="K61" s="79" t="s">
        <v>566</v>
      </c>
      <c r="L61" s="81" t="s">
        <v>321</v>
      </c>
      <c r="M61" s="81"/>
      <c r="N61" s="82">
        <v>44531</v>
      </c>
      <c r="O61" s="82">
        <v>44895</v>
      </c>
      <c r="P61" s="83">
        <f t="shared" si="22"/>
        <v>0.99726027397260275</v>
      </c>
      <c r="Q61" s="77" t="s">
        <v>19</v>
      </c>
      <c r="R61" s="77" t="s">
        <v>79</v>
      </c>
      <c r="S61" s="77" t="str">
        <f t="shared" si="23"/>
        <v>Z</v>
      </c>
      <c r="T61" s="84">
        <v>1</v>
      </c>
      <c r="U61" s="84">
        <v>1</v>
      </c>
      <c r="V61" s="84">
        <v>2</v>
      </c>
      <c r="W61" s="84">
        <f t="shared" si="24"/>
        <v>4</v>
      </c>
      <c r="X61" s="84" t="str">
        <f t="shared" si="25"/>
        <v>Biasa</v>
      </c>
      <c r="Y61" s="78" t="s">
        <v>1212</v>
      </c>
      <c r="Z61" s="115"/>
      <c r="AA61" s="82"/>
      <c r="AB61" s="82"/>
      <c r="AC61" s="82"/>
      <c r="AD61" s="27" t="s">
        <v>86</v>
      </c>
      <c r="AE61" s="85">
        <v>44562</v>
      </c>
      <c r="AF61" s="77" t="s">
        <v>192</v>
      </c>
      <c r="AG61" s="77" t="s">
        <v>81</v>
      </c>
      <c r="AH61" s="21" t="s">
        <v>81</v>
      </c>
      <c r="AI61" s="21" t="s">
        <v>81</v>
      </c>
      <c r="AJ61" s="21" t="s">
        <v>81</v>
      </c>
      <c r="AK61" s="21" t="s">
        <v>81</v>
      </c>
      <c r="AL61" s="21" t="s">
        <v>81</v>
      </c>
      <c r="AM61" s="27" t="s">
        <v>87</v>
      </c>
      <c r="AN61" s="86"/>
      <c r="AO61" s="87"/>
      <c r="AP61" s="82">
        <f t="shared" si="4"/>
        <v>48545</v>
      </c>
      <c r="AQ61" s="4"/>
      <c r="AR61" s="4"/>
      <c r="AS61" s="4"/>
      <c r="AT61" s="4"/>
    </row>
    <row r="62" spans="1:47" s="88" customFormat="1" ht="111.95" customHeight="1" x14ac:dyDescent="0.25">
      <c r="A62" s="76">
        <v>110</v>
      </c>
      <c r="B62" s="76" t="s">
        <v>74</v>
      </c>
      <c r="C62" s="76" t="s">
        <v>1162</v>
      </c>
      <c r="D62" s="76">
        <v>8</v>
      </c>
      <c r="E62" s="76" t="s">
        <v>82</v>
      </c>
      <c r="F62" s="78" t="s">
        <v>424</v>
      </c>
      <c r="G62" s="79" t="s">
        <v>425</v>
      </c>
      <c r="H62" s="79" t="s">
        <v>426</v>
      </c>
      <c r="I62" s="80"/>
      <c r="J62" s="79" t="s">
        <v>427</v>
      </c>
      <c r="K62" s="79" t="s">
        <v>428</v>
      </c>
      <c r="L62" s="81" t="s">
        <v>186</v>
      </c>
      <c r="M62" s="81"/>
      <c r="N62" s="82">
        <v>44563</v>
      </c>
      <c r="O62" s="82">
        <v>44927</v>
      </c>
      <c r="P62" s="83">
        <f t="shared" si="22"/>
        <v>0.99726027397260275</v>
      </c>
      <c r="Q62" s="77" t="s">
        <v>24</v>
      </c>
      <c r="R62" s="77" t="s">
        <v>79</v>
      </c>
      <c r="S62" s="77" t="str">
        <f t="shared" si="23"/>
        <v>Z</v>
      </c>
      <c r="T62" s="84">
        <v>2</v>
      </c>
      <c r="U62" s="84">
        <v>1</v>
      </c>
      <c r="V62" s="84">
        <v>2</v>
      </c>
      <c r="W62" s="84">
        <f t="shared" si="24"/>
        <v>5</v>
      </c>
      <c r="X62" s="84" t="str">
        <f t="shared" si="25"/>
        <v>Biasa</v>
      </c>
      <c r="Y62" s="78"/>
      <c r="Z62" s="115"/>
      <c r="AA62" s="82"/>
      <c r="AB62" s="82"/>
      <c r="AC62" s="82"/>
      <c r="AD62" s="27"/>
      <c r="AE62" s="85"/>
      <c r="AF62" s="77" t="s">
        <v>423</v>
      </c>
      <c r="AG62" s="77" t="s">
        <v>81</v>
      </c>
      <c r="AH62" s="21" t="s">
        <v>81</v>
      </c>
      <c r="AI62" s="21" t="s">
        <v>81</v>
      </c>
      <c r="AJ62" s="21" t="s">
        <v>81</v>
      </c>
      <c r="AK62" s="21" t="s">
        <v>81</v>
      </c>
      <c r="AL62" s="21" t="s">
        <v>81</v>
      </c>
      <c r="AM62" s="27" t="s">
        <v>87</v>
      </c>
      <c r="AN62" s="86"/>
      <c r="AO62" s="87"/>
      <c r="AP62" s="82">
        <f t="shared" si="4"/>
        <v>48577</v>
      </c>
      <c r="AQ62" s="4"/>
      <c r="AR62" s="4"/>
      <c r="AS62" s="90"/>
      <c r="AT62" s="90"/>
      <c r="AU62" s="90"/>
    </row>
    <row r="63" spans="1:47" s="88" customFormat="1" ht="111.95" customHeight="1" x14ac:dyDescent="0.25">
      <c r="A63" s="76">
        <v>121</v>
      </c>
      <c r="B63" s="76" t="s">
        <v>74</v>
      </c>
      <c r="C63" s="76" t="s">
        <v>1160</v>
      </c>
      <c r="D63" s="76">
        <v>4</v>
      </c>
      <c r="E63" s="76" t="s">
        <v>82</v>
      </c>
      <c r="F63" s="78" t="s">
        <v>924</v>
      </c>
      <c r="G63" s="79" t="s">
        <v>925</v>
      </c>
      <c r="H63" s="79" t="s">
        <v>926</v>
      </c>
      <c r="I63" s="80" t="s">
        <v>1339</v>
      </c>
      <c r="J63" s="79" t="s">
        <v>927</v>
      </c>
      <c r="K63" s="79" t="s">
        <v>928</v>
      </c>
      <c r="L63" s="81"/>
      <c r="M63" s="81"/>
      <c r="N63" s="82">
        <v>44652</v>
      </c>
      <c r="O63" s="82">
        <v>45016</v>
      </c>
      <c r="P63" s="83">
        <f t="shared" si="22"/>
        <v>0.99726027397260275</v>
      </c>
      <c r="Q63" s="77" t="s">
        <v>21</v>
      </c>
      <c r="R63" s="77" t="s">
        <v>79</v>
      </c>
      <c r="S63" s="77" t="str">
        <f t="shared" si="23"/>
        <v>Z</v>
      </c>
      <c r="T63" s="84">
        <v>3</v>
      </c>
      <c r="U63" s="84">
        <v>3</v>
      </c>
      <c r="V63" s="84">
        <v>3</v>
      </c>
      <c r="W63" s="84">
        <f t="shared" si="24"/>
        <v>9</v>
      </c>
      <c r="X63" s="84" t="str">
        <f t="shared" si="25"/>
        <v>Penting</v>
      </c>
      <c r="Y63" s="78" t="s">
        <v>1335</v>
      </c>
      <c r="Z63" s="115"/>
      <c r="AA63" s="82"/>
      <c r="AB63" s="82"/>
      <c r="AC63" s="82"/>
      <c r="AD63" s="27"/>
      <c r="AE63" s="85"/>
      <c r="AF63" s="77" t="s">
        <v>893</v>
      </c>
      <c r="AG63" s="77" t="s">
        <v>81</v>
      </c>
      <c r="AH63" s="21" t="s">
        <v>81</v>
      </c>
      <c r="AI63" s="21" t="s">
        <v>81</v>
      </c>
      <c r="AJ63" s="21" t="s">
        <v>81</v>
      </c>
      <c r="AK63" s="21" t="s">
        <v>81</v>
      </c>
      <c r="AL63" s="21" t="s">
        <v>81</v>
      </c>
      <c r="AM63" s="27" t="s">
        <v>87</v>
      </c>
      <c r="AN63" s="86">
        <v>44658</v>
      </c>
      <c r="AO63" s="87"/>
      <c r="AP63" s="82">
        <f t="shared" si="4"/>
        <v>48666</v>
      </c>
      <c r="AQ63" s="4"/>
      <c r="AR63" s="4"/>
      <c r="AS63" s="4"/>
      <c r="AT63" s="4"/>
    </row>
    <row r="64" spans="1:47" s="88" customFormat="1" ht="111.95" customHeight="1" x14ac:dyDescent="0.25">
      <c r="A64" s="76">
        <v>125</v>
      </c>
      <c r="B64" s="76" t="s">
        <v>74</v>
      </c>
      <c r="C64" s="76" t="s">
        <v>1163</v>
      </c>
      <c r="D64" s="76">
        <v>3</v>
      </c>
      <c r="E64" s="76" t="s">
        <v>82</v>
      </c>
      <c r="F64" s="78" t="s">
        <v>940</v>
      </c>
      <c r="G64" s="79" t="s">
        <v>933</v>
      </c>
      <c r="H64" s="79" t="s">
        <v>941</v>
      </c>
      <c r="I64" s="80"/>
      <c r="J64" s="79" t="s">
        <v>1318</v>
      </c>
      <c r="K64" s="79" t="s">
        <v>931</v>
      </c>
      <c r="L64" s="81" t="s">
        <v>186</v>
      </c>
      <c r="M64" s="81"/>
      <c r="N64" s="82">
        <v>44608</v>
      </c>
      <c r="O64" s="82">
        <v>44972</v>
      </c>
      <c r="P64" s="83">
        <f t="shared" si="22"/>
        <v>0.99726027397260275</v>
      </c>
      <c r="Q64" s="77" t="s">
        <v>21</v>
      </c>
      <c r="R64" s="77" t="s">
        <v>79</v>
      </c>
      <c r="S64" s="77" t="str">
        <f t="shared" si="23"/>
        <v>Z</v>
      </c>
      <c r="T64" s="84">
        <v>3</v>
      </c>
      <c r="U64" s="84">
        <v>3</v>
      </c>
      <c r="V64" s="84">
        <v>3</v>
      </c>
      <c r="W64" s="84">
        <f t="shared" si="24"/>
        <v>9</v>
      </c>
      <c r="X64" s="84" t="str">
        <f t="shared" si="25"/>
        <v>Penting</v>
      </c>
      <c r="Y64" s="78"/>
      <c r="Z64" s="115"/>
      <c r="AA64" s="82"/>
      <c r="AB64" s="82"/>
      <c r="AC64" s="82"/>
      <c r="AD64" s="27"/>
      <c r="AE64" s="85"/>
      <c r="AF64" s="77" t="s">
        <v>893</v>
      </c>
      <c r="AG64" s="77" t="s">
        <v>81</v>
      </c>
      <c r="AH64" s="21" t="s">
        <v>81</v>
      </c>
      <c r="AI64" s="21" t="s">
        <v>81</v>
      </c>
      <c r="AJ64" s="21" t="s">
        <v>81</v>
      </c>
      <c r="AK64" s="21" t="s">
        <v>81</v>
      </c>
      <c r="AL64" s="21" t="s">
        <v>81</v>
      </c>
      <c r="AM64" s="27" t="s">
        <v>87</v>
      </c>
      <c r="AN64" s="86"/>
      <c r="AO64" s="87"/>
      <c r="AP64" s="82">
        <f t="shared" si="4"/>
        <v>48622</v>
      </c>
      <c r="AQ64" s="4"/>
      <c r="AR64" s="4"/>
      <c r="AS64" s="4"/>
      <c r="AT64" s="4"/>
    </row>
    <row r="65" spans="1:48" s="88" customFormat="1" ht="111.95" customHeight="1" x14ac:dyDescent="0.25">
      <c r="A65" s="76">
        <v>139</v>
      </c>
      <c r="B65" s="76" t="s">
        <v>74</v>
      </c>
      <c r="C65" s="76" t="s">
        <v>1165</v>
      </c>
      <c r="D65" s="76">
        <v>5</v>
      </c>
      <c r="E65" s="76" t="s">
        <v>82</v>
      </c>
      <c r="F65" s="78" t="s">
        <v>193</v>
      </c>
      <c r="G65" s="79" t="s">
        <v>194</v>
      </c>
      <c r="H65" s="79" t="s">
        <v>195</v>
      </c>
      <c r="I65" s="80"/>
      <c r="J65" s="79" t="s">
        <v>196</v>
      </c>
      <c r="K65" s="79" t="s">
        <v>197</v>
      </c>
      <c r="L65" s="81"/>
      <c r="M65" s="81"/>
      <c r="N65" s="82">
        <v>44562</v>
      </c>
      <c r="O65" s="82">
        <v>44926</v>
      </c>
      <c r="P65" s="83">
        <f t="shared" si="22"/>
        <v>0.99726027397260275</v>
      </c>
      <c r="Q65" s="77" t="s">
        <v>19</v>
      </c>
      <c r="R65" s="77" t="s">
        <v>79</v>
      </c>
      <c r="S65" s="77" t="str">
        <f t="shared" si="23"/>
        <v>Z</v>
      </c>
      <c r="T65" s="84">
        <v>1</v>
      </c>
      <c r="U65" s="84">
        <v>2</v>
      </c>
      <c r="V65" s="84">
        <v>1</v>
      </c>
      <c r="W65" s="84">
        <f t="shared" si="24"/>
        <v>4</v>
      </c>
      <c r="X65" s="84" t="str">
        <f t="shared" si="25"/>
        <v>Biasa</v>
      </c>
      <c r="Y65" s="78" t="s">
        <v>1283</v>
      </c>
      <c r="Z65" s="115"/>
      <c r="AA65" s="82"/>
      <c r="AB65" s="82"/>
      <c r="AC65" s="82"/>
      <c r="AD65" s="27"/>
      <c r="AE65" s="85"/>
      <c r="AF65" s="77" t="s">
        <v>80</v>
      </c>
      <c r="AG65" s="77" t="s">
        <v>81</v>
      </c>
      <c r="AH65" s="21" t="s">
        <v>81</v>
      </c>
      <c r="AI65" s="21" t="s">
        <v>81</v>
      </c>
      <c r="AJ65" s="21" t="s">
        <v>81</v>
      </c>
      <c r="AK65" s="21" t="s">
        <v>81</v>
      </c>
      <c r="AL65" s="21" t="s">
        <v>81</v>
      </c>
      <c r="AM65" s="27" t="s">
        <v>87</v>
      </c>
      <c r="AN65" s="86">
        <v>44720</v>
      </c>
      <c r="AO65" s="87"/>
      <c r="AP65" s="82">
        <f t="shared" si="4"/>
        <v>48576</v>
      </c>
      <c r="AQ65" s="4"/>
      <c r="AR65" s="4"/>
      <c r="AS65" s="4"/>
      <c r="AT65" s="4"/>
    </row>
    <row r="66" spans="1:48" s="88" customFormat="1" ht="111.95" customHeight="1" x14ac:dyDescent="0.25">
      <c r="A66" s="76">
        <v>214</v>
      </c>
      <c r="B66" s="76" t="s">
        <v>74</v>
      </c>
      <c r="C66" s="76" t="s">
        <v>1178</v>
      </c>
      <c r="D66" s="76">
        <v>2</v>
      </c>
      <c r="E66" s="76" t="s">
        <v>82</v>
      </c>
      <c r="F66" s="78" t="s">
        <v>1233</v>
      </c>
      <c r="G66" s="79" t="s">
        <v>1234</v>
      </c>
      <c r="H66" s="79" t="s">
        <v>1018</v>
      </c>
      <c r="I66" s="80" t="s">
        <v>1339</v>
      </c>
      <c r="J66" s="79" t="s">
        <v>1235</v>
      </c>
      <c r="K66" s="79"/>
      <c r="L66" s="81">
        <v>512625300</v>
      </c>
      <c r="M66" s="81" t="s">
        <v>1236</v>
      </c>
      <c r="N66" s="82">
        <v>44888</v>
      </c>
      <c r="O66" s="82">
        <v>45016</v>
      </c>
      <c r="P66" s="83">
        <f t="shared" si="22"/>
        <v>0.35068493150684932</v>
      </c>
      <c r="Q66" s="77" t="s">
        <v>31</v>
      </c>
      <c r="R66" s="77" t="s">
        <v>79</v>
      </c>
      <c r="S66" s="77" t="str">
        <f t="shared" si="23"/>
        <v>Z</v>
      </c>
      <c r="T66" s="84">
        <v>3</v>
      </c>
      <c r="U66" s="84">
        <v>3</v>
      </c>
      <c r="V66" s="84">
        <v>1</v>
      </c>
      <c r="W66" s="84">
        <f t="shared" si="24"/>
        <v>7</v>
      </c>
      <c r="X66" s="84" t="str">
        <f t="shared" si="25"/>
        <v>Penting</v>
      </c>
      <c r="Y66" s="78"/>
      <c r="Z66" s="115"/>
      <c r="AA66" s="82"/>
      <c r="AB66" s="82"/>
      <c r="AC66" s="82"/>
      <c r="AD66" s="27"/>
      <c r="AE66" s="85"/>
      <c r="AF66" s="77" t="s">
        <v>996</v>
      </c>
      <c r="AG66" s="77" t="s">
        <v>81</v>
      </c>
      <c r="AH66" s="21" t="s">
        <v>81</v>
      </c>
      <c r="AI66" s="21" t="s">
        <v>81</v>
      </c>
      <c r="AJ66" s="21" t="s">
        <v>81</v>
      </c>
      <c r="AK66" s="21" t="s">
        <v>81</v>
      </c>
      <c r="AL66" s="21" t="s">
        <v>81</v>
      </c>
      <c r="AM66" s="27" t="s">
        <v>100</v>
      </c>
      <c r="AN66" s="86">
        <v>44897</v>
      </c>
      <c r="AO66" s="87"/>
      <c r="AP66" s="82">
        <f t="shared" si="4"/>
        <v>48666</v>
      </c>
      <c r="AQ66" s="4"/>
      <c r="AR66" s="4"/>
      <c r="AV66" s="93"/>
    </row>
    <row r="67" spans="1:48" s="88" customFormat="1" ht="111.95" customHeight="1" x14ac:dyDescent="0.25">
      <c r="A67" s="76">
        <v>237</v>
      </c>
      <c r="B67" s="76" t="s">
        <v>74</v>
      </c>
      <c r="C67" s="76" t="s">
        <v>1194</v>
      </c>
      <c r="D67" s="76">
        <v>20</v>
      </c>
      <c r="E67" s="76" t="s">
        <v>217</v>
      </c>
      <c r="F67" s="78" t="s">
        <v>260</v>
      </c>
      <c r="G67" s="79" t="s">
        <v>204</v>
      </c>
      <c r="H67" s="79" t="s">
        <v>261</v>
      </c>
      <c r="I67" s="80" t="s">
        <v>1339</v>
      </c>
      <c r="J67" s="79" t="s">
        <v>262</v>
      </c>
      <c r="K67" s="79" t="s">
        <v>263</v>
      </c>
      <c r="L67" s="81">
        <v>310861042</v>
      </c>
      <c r="M67" s="81" t="s">
        <v>264</v>
      </c>
      <c r="N67" s="82">
        <v>44004</v>
      </c>
      <c r="O67" s="82">
        <v>45098</v>
      </c>
      <c r="P67" s="83">
        <f t="shared" si="22"/>
        <v>2.9972602739726026</v>
      </c>
      <c r="Q67" s="77" t="s">
        <v>19</v>
      </c>
      <c r="R67" s="77" t="s">
        <v>79</v>
      </c>
      <c r="S67" s="77" t="str">
        <f t="shared" si="23"/>
        <v>Z</v>
      </c>
      <c r="T67" s="84">
        <v>1</v>
      </c>
      <c r="U67" s="84">
        <v>3</v>
      </c>
      <c r="V67" s="84">
        <v>1</v>
      </c>
      <c r="W67" s="84">
        <f t="shared" si="24"/>
        <v>5</v>
      </c>
      <c r="X67" s="84" t="str">
        <f t="shared" si="25"/>
        <v>Biasa</v>
      </c>
      <c r="Y67" s="78" t="s">
        <v>265</v>
      </c>
      <c r="Z67" s="115"/>
      <c r="AA67" s="82"/>
      <c r="AB67" s="82"/>
      <c r="AC67" s="82"/>
      <c r="AD67" s="27" t="s">
        <v>86</v>
      </c>
      <c r="AE67" s="85">
        <v>44008</v>
      </c>
      <c r="AF67" s="77" t="s">
        <v>192</v>
      </c>
      <c r="AG67" s="77" t="s">
        <v>81</v>
      </c>
      <c r="AH67" s="21" t="s">
        <v>81</v>
      </c>
      <c r="AI67" s="21" t="s">
        <v>81</v>
      </c>
      <c r="AJ67" s="21" t="s">
        <v>81</v>
      </c>
      <c r="AK67" s="21" t="s">
        <v>81</v>
      </c>
      <c r="AL67" s="21" t="s">
        <v>81</v>
      </c>
      <c r="AM67" s="27" t="s">
        <v>87</v>
      </c>
      <c r="AN67" s="86">
        <v>44008</v>
      </c>
      <c r="AO67" s="87"/>
      <c r="AP67" s="82">
        <f t="shared" si="4"/>
        <v>48748</v>
      </c>
      <c r="AQ67" s="4"/>
      <c r="AR67" s="4"/>
      <c r="AS67" s="4"/>
      <c r="AT67" s="4"/>
    </row>
    <row r="68" spans="1:48" s="88" customFormat="1" ht="111.95" customHeight="1" x14ac:dyDescent="0.25">
      <c r="A68" s="76">
        <v>238</v>
      </c>
      <c r="B68" s="76" t="s">
        <v>74</v>
      </c>
      <c r="C68" s="76" t="s">
        <v>1194</v>
      </c>
      <c r="D68" s="76">
        <v>21</v>
      </c>
      <c r="E68" s="76" t="s">
        <v>217</v>
      </c>
      <c r="F68" s="78" t="s">
        <v>1190</v>
      </c>
      <c r="G68" s="79" t="s">
        <v>1191</v>
      </c>
      <c r="H68" s="79" t="s">
        <v>291</v>
      </c>
      <c r="I68" s="80" t="s">
        <v>1339</v>
      </c>
      <c r="J68" s="79" t="s">
        <v>1192</v>
      </c>
      <c r="K68" s="79"/>
      <c r="L68" s="81">
        <v>110000000</v>
      </c>
      <c r="M68" s="81" t="s">
        <v>282</v>
      </c>
      <c r="N68" s="82">
        <v>44866</v>
      </c>
      <c r="O68" s="82">
        <v>45092</v>
      </c>
      <c r="P68" s="83">
        <f t="shared" si="22"/>
        <v>0.61917808219178083</v>
      </c>
      <c r="Q68" s="77" t="s">
        <v>19</v>
      </c>
      <c r="R68" s="77" t="s">
        <v>79</v>
      </c>
      <c r="S68" s="77" t="str">
        <f t="shared" si="23"/>
        <v>Z</v>
      </c>
      <c r="T68" s="84">
        <v>1</v>
      </c>
      <c r="U68" s="84">
        <v>3</v>
      </c>
      <c r="V68" s="84">
        <v>1</v>
      </c>
      <c r="W68" s="84">
        <f t="shared" si="24"/>
        <v>5</v>
      </c>
      <c r="X68" s="84" t="str">
        <f t="shared" si="25"/>
        <v>Biasa</v>
      </c>
      <c r="Y68" s="78"/>
      <c r="Z68" s="115"/>
      <c r="AA68" s="82"/>
      <c r="AB68" s="82"/>
      <c r="AC68" s="82"/>
      <c r="AD68" s="27" t="s">
        <v>86</v>
      </c>
      <c r="AE68" s="85">
        <v>44866</v>
      </c>
      <c r="AF68" s="77" t="s">
        <v>168</v>
      </c>
      <c r="AG68" s="77" t="s">
        <v>81</v>
      </c>
      <c r="AH68" s="21" t="s">
        <v>81</v>
      </c>
      <c r="AI68" s="21" t="s">
        <v>81</v>
      </c>
      <c r="AJ68" s="21" t="s">
        <v>81</v>
      </c>
      <c r="AK68" s="21" t="s">
        <v>81</v>
      </c>
      <c r="AL68" s="21" t="s">
        <v>81</v>
      </c>
      <c r="AM68" s="27" t="s">
        <v>100</v>
      </c>
      <c r="AN68" s="86">
        <v>44883</v>
      </c>
      <c r="AO68" s="87"/>
      <c r="AP68" s="82">
        <f t="shared" si="4"/>
        <v>48742</v>
      </c>
      <c r="AQ68" s="4"/>
      <c r="AR68" s="4"/>
      <c r="AS68" s="4"/>
      <c r="AT68" s="4"/>
    </row>
    <row r="69" spans="1:48" s="88" customFormat="1" ht="111.95" customHeight="1" x14ac:dyDescent="0.25">
      <c r="A69" s="76">
        <v>239</v>
      </c>
      <c r="B69" s="76" t="s">
        <v>74</v>
      </c>
      <c r="C69" s="76" t="s">
        <v>1194</v>
      </c>
      <c r="D69" s="76">
        <v>22</v>
      </c>
      <c r="E69" s="76" t="s">
        <v>217</v>
      </c>
      <c r="F69" s="78" t="s">
        <v>277</v>
      </c>
      <c r="G69" s="79" t="s">
        <v>272</v>
      </c>
      <c r="H69" s="79" t="s">
        <v>273</v>
      </c>
      <c r="I69" s="80" t="s">
        <v>1339</v>
      </c>
      <c r="J69" s="79" t="s">
        <v>274</v>
      </c>
      <c r="K69" s="79" t="s">
        <v>275</v>
      </c>
      <c r="L69" s="81">
        <v>186150000</v>
      </c>
      <c r="M69" s="81"/>
      <c r="N69" s="82">
        <v>44725</v>
      </c>
      <c r="O69" s="82">
        <v>45089</v>
      </c>
      <c r="P69" s="83">
        <f t="shared" si="22"/>
        <v>0.99726027397260275</v>
      </c>
      <c r="Q69" s="77" t="s">
        <v>19</v>
      </c>
      <c r="R69" s="77" t="s">
        <v>79</v>
      </c>
      <c r="S69" s="77" t="str">
        <f t="shared" si="23"/>
        <v>Z</v>
      </c>
      <c r="T69" s="84">
        <v>1</v>
      </c>
      <c r="U69" s="84">
        <v>3</v>
      </c>
      <c r="V69" s="84">
        <v>1</v>
      </c>
      <c r="W69" s="84">
        <f t="shared" si="24"/>
        <v>5</v>
      </c>
      <c r="X69" s="84" t="str">
        <f t="shared" si="25"/>
        <v>Biasa</v>
      </c>
      <c r="Y69" s="78" t="s">
        <v>278</v>
      </c>
      <c r="Z69" s="115"/>
      <c r="AA69" s="82"/>
      <c r="AB69" s="82"/>
      <c r="AC69" s="82"/>
      <c r="AD69" s="27" t="s">
        <v>86</v>
      </c>
      <c r="AE69" s="85">
        <v>44725</v>
      </c>
      <c r="AF69" s="77" t="s">
        <v>192</v>
      </c>
      <c r="AG69" s="77" t="s">
        <v>81</v>
      </c>
      <c r="AH69" s="21" t="s">
        <v>81</v>
      </c>
      <c r="AI69" s="21" t="s">
        <v>81</v>
      </c>
      <c r="AJ69" s="21" t="s">
        <v>81</v>
      </c>
      <c r="AK69" s="21" t="s">
        <v>81</v>
      </c>
      <c r="AL69" s="21" t="s">
        <v>81</v>
      </c>
      <c r="AM69" s="27" t="s">
        <v>87</v>
      </c>
      <c r="AN69" s="86">
        <v>44720</v>
      </c>
      <c r="AO69" s="87"/>
      <c r="AP69" s="82">
        <f t="shared" si="4"/>
        <v>48739</v>
      </c>
      <c r="AQ69" s="4"/>
      <c r="AR69" s="4"/>
      <c r="AS69" s="4"/>
      <c r="AT69" s="4"/>
    </row>
    <row r="70" spans="1:48" s="88" customFormat="1" ht="111.95" customHeight="1" x14ac:dyDescent="0.25">
      <c r="A70" s="76">
        <v>240</v>
      </c>
      <c r="B70" s="76" t="s">
        <v>74</v>
      </c>
      <c r="C70" s="76" t="s">
        <v>1194</v>
      </c>
      <c r="D70" s="76">
        <v>23</v>
      </c>
      <c r="E70" s="76" t="s">
        <v>217</v>
      </c>
      <c r="F70" s="78" t="s">
        <v>543</v>
      </c>
      <c r="G70" s="79" t="s">
        <v>204</v>
      </c>
      <c r="H70" s="79" t="s">
        <v>544</v>
      </c>
      <c r="I70" s="80" t="s">
        <v>1339</v>
      </c>
      <c r="J70" s="79" t="s">
        <v>545</v>
      </c>
      <c r="K70" s="79" t="s">
        <v>546</v>
      </c>
      <c r="L70" s="81">
        <v>152670000</v>
      </c>
      <c r="M70" s="81" t="s">
        <v>282</v>
      </c>
      <c r="N70" s="82">
        <v>44704</v>
      </c>
      <c r="O70" s="82">
        <v>45068</v>
      </c>
      <c r="P70" s="83">
        <f t="shared" si="22"/>
        <v>0.99726027397260275</v>
      </c>
      <c r="Q70" s="77" t="s">
        <v>19</v>
      </c>
      <c r="R70" s="77" t="s">
        <v>79</v>
      </c>
      <c r="S70" s="77" t="str">
        <f t="shared" si="23"/>
        <v>Z</v>
      </c>
      <c r="T70" s="84">
        <v>1</v>
      </c>
      <c r="U70" s="84">
        <v>3</v>
      </c>
      <c r="V70" s="84">
        <v>2</v>
      </c>
      <c r="W70" s="84">
        <f t="shared" si="24"/>
        <v>6</v>
      </c>
      <c r="X70" s="84" t="str">
        <f t="shared" si="25"/>
        <v>Penting</v>
      </c>
      <c r="Y70" s="78"/>
      <c r="Z70" s="115"/>
      <c r="AA70" s="82"/>
      <c r="AB70" s="82"/>
      <c r="AC70" s="82"/>
      <c r="AD70" s="27" t="s">
        <v>86</v>
      </c>
      <c r="AE70" s="85">
        <v>44739</v>
      </c>
      <c r="AF70" s="77" t="s">
        <v>192</v>
      </c>
      <c r="AG70" s="77" t="s">
        <v>81</v>
      </c>
      <c r="AH70" s="21" t="s">
        <v>81</v>
      </c>
      <c r="AI70" s="21" t="s">
        <v>81</v>
      </c>
      <c r="AJ70" s="21" t="s">
        <v>81</v>
      </c>
      <c r="AK70" s="21" t="s">
        <v>81</v>
      </c>
      <c r="AL70" s="21" t="s">
        <v>81</v>
      </c>
      <c r="AM70" s="27" t="s">
        <v>87</v>
      </c>
      <c r="AN70" s="86">
        <v>44715</v>
      </c>
      <c r="AO70" s="87" t="s">
        <v>547</v>
      </c>
      <c r="AP70" s="82">
        <f t="shared" si="4"/>
        <v>48718</v>
      </c>
      <c r="AQ70" s="4"/>
      <c r="AR70" s="4"/>
      <c r="AS70" s="4"/>
      <c r="AT70" s="4"/>
    </row>
    <row r="71" spans="1:48" s="88" customFormat="1" ht="111.95" customHeight="1" x14ac:dyDescent="0.25">
      <c r="A71" s="76">
        <v>241</v>
      </c>
      <c r="B71" s="76" t="s">
        <v>74</v>
      </c>
      <c r="C71" s="76" t="s">
        <v>1194</v>
      </c>
      <c r="D71" s="76">
        <v>24</v>
      </c>
      <c r="E71" s="76" t="s">
        <v>217</v>
      </c>
      <c r="F71" s="78" t="s">
        <v>1013</v>
      </c>
      <c r="G71" s="79" t="s">
        <v>1014</v>
      </c>
      <c r="H71" s="79" t="s">
        <v>1015</v>
      </c>
      <c r="I71" s="80" t="s">
        <v>1339</v>
      </c>
      <c r="J71" s="79" t="s">
        <v>1016</v>
      </c>
      <c r="K71" s="79"/>
      <c r="L71" s="81"/>
      <c r="M71" s="81"/>
      <c r="N71" s="82">
        <v>44809</v>
      </c>
      <c r="O71" s="82">
        <v>45046</v>
      </c>
      <c r="P71" s="83">
        <f t="shared" si="22"/>
        <v>0.64931506849315068</v>
      </c>
      <c r="Q71" s="77" t="s">
        <v>31</v>
      </c>
      <c r="R71" s="77" t="s">
        <v>79</v>
      </c>
      <c r="S71" s="77" t="str">
        <f t="shared" si="23"/>
        <v>Z</v>
      </c>
      <c r="T71" s="84">
        <v>1</v>
      </c>
      <c r="U71" s="84">
        <v>2</v>
      </c>
      <c r="V71" s="84">
        <v>1</v>
      </c>
      <c r="W71" s="84">
        <f t="shared" si="24"/>
        <v>4</v>
      </c>
      <c r="X71" s="84" t="str">
        <f t="shared" si="25"/>
        <v>Biasa</v>
      </c>
      <c r="Y71" s="78"/>
      <c r="Z71" s="115"/>
      <c r="AA71" s="82"/>
      <c r="AB71" s="82"/>
      <c r="AC71" s="82"/>
      <c r="AD71" s="27" t="s">
        <v>86</v>
      </c>
      <c r="AE71" s="85">
        <v>44809</v>
      </c>
      <c r="AF71" s="77" t="s">
        <v>996</v>
      </c>
      <c r="AG71" s="77" t="s">
        <v>150</v>
      </c>
      <c r="AH71" s="21"/>
      <c r="AI71" s="21"/>
      <c r="AJ71" s="21"/>
      <c r="AK71" s="21"/>
      <c r="AL71" s="21"/>
      <c r="AM71" s="27" t="s">
        <v>100</v>
      </c>
      <c r="AN71" s="86">
        <v>44806</v>
      </c>
      <c r="AO71" s="87"/>
      <c r="AP71" s="82">
        <f t="shared" ref="AP71:AP134" si="26">O71+3650</f>
        <v>48696</v>
      </c>
      <c r="AQ71" s="4"/>
      <c r="AR71" s="4"/>
      <c r="AS71" s="4"/>
      <c r="AT71" s="4"/>
    </row>
    <row r="72" spans="1:48" s="88" customFormat="1" ht="111.95" customHeight="1" x14ac:dyDescent="0.25">
      <c r="A72" s="76">
        <v>242</v>
      </c>
      <c r="B72" s="76" t="s">
        <v>74</v>
      </c>
      <c r="C72" s="76" t="s">
        <v>1194</v>
      </c>
      <c r="D72" s="76">
        <v>25</v>
      </c>
      <c r="E72" s="76" t="s">
        <v>217</v>
      </c>
      <c r="F72" s="78" t="s">
        <v>630</v>
      </c>
      <c r="G72" s="79" t="s">
        <v>631</v>
      </c>
      <c r="H72" s="79" t="s">
        <v>632</v>
      </c>
      <c r="I72" s="80" t="s">
        <v>1339</v>
      </c>
      <c r="J72" s="79" t="s">
        <v>633</v>
      </c>
      <c r="K72" s="79" t="s">
        <v>634</v>
      </c>
      <c r="L72" s="81">
        <v>376000000</v>
      </c>
      <c r="M72" s="81" t="s">
        <v>282</v>
      </c>
      <c r="N72" s="82">
        <v>44744</v>
      </c>
      <c r="O72" s="82">
        <v>45016</v>
      </c>
      <c r="P72" s="83">
        <f t="shared" si="22"/>
        <v>0.74520547945205484</v>
      </c>
      <c r="Q72" s="77" t="s">
        <v>19</v>
      </c>
      <c r="R72" s="77" t="s">
        <v>79</v>
      </c>
      <c r="S72" s="77" t="str">
        <f t="shared" si="23"/>
        <v>Z</v>
      </c>
      <c r="T72" s="84">
        <v>1</v>
      </c>
      <c r="U72" s="84">
        <v>3</v>
      </c>
      <c r="V72" s="84">
        <v>1</v>
      </c>
      <c r="W72" s="84">
        <f t="shared" si="24"/>
        <v>5</v>
      </c>
      <c r="X72" s="84" t="str">
        <f t="shared" si="25"/>
        <v>Biasa</v>
      </c>
      <c r="Y72" s="78" t="s">
        <v>629</v>
      </c>
      <c r="Z72" s="115"/>
      <c r="AA72" s="82"/>
      <c r="AB72" s="82"/>
      <c r="AC72" s="82"/>
      <c r="AD72" s="27" t="s">
        <v>86</v>
      </c>
      <c r="AE72" s="85">
        <v>44743</v>
      </c>
      <c r="AF72" s="77" t="s">
        <v>168</v>
      </c>
      <c r="AG72" s="77" t="s">
        <v>81</v>
      </c>
      <c r="AH72" s="21" t="s">
        <v>81</v>
      </c>
      <c r="AI72" s="21" t="s">
        <v>81</v>
      </c>
      <c r="AJ72" s="21" t="s">
        <v>81</v>
      </c>
      <c r="AK72" s="21" t="s">
        <v>81</v>
      </c>
      <c r="AL72" s="21" t="s">
        <v>81</v>
      </c>
      <c r="AM72" s="27" t="s">
        <v>100</v>
      </c>
      <c r="AN72" s="86">
        <v>44744</v>
      </c>
      <c r="AO72" s="87"/>
      <c r="AP72" s="82">
        <f t="shared" si="26"/>
        <v>48666</v>
      </c>
      <c r="AQ72" s="4"/>
      <c r="AR72" s="4"/>
      <c r="AS72" s="4"/>
      <c r="AT72" s="4"/>
    </row>
    <row r="73" spans="1:48" s="88" customFormat="1" ht="111.95" customHeight="1" x14ac:dyDescent="0.25">
      <c r="A73" s="76">
        <v>243</v>
      </c>
      <c r="B73" s="76" t="s">
        <v>74</v>
      </c>
      <c r="C73" s="76" t="s">
        <v>1194</v>
      </c>
      <c r="D73" s="76">
        <v>26</v>
      </c>
      <c r="E73" s="76" t="s">
        <v>217</v>
      </c>
      <c r="F73" s="78" t="s">
        <v>626</v>
      </c>
      <c r="G73" s="79" t="s">
        <v>280</v>
      </c>
      <c r="H73" s="79" t="s">
        <v>627</v>
      </c>
      <c r="I73" s="80"/>
      <c r="J73" s="79" t="s">
        <v>1216</v>
      </c>
      <c r="K73" s="79" t="s">
        <v>628</v>
      </c>
      <c r="L73" s="81">
        <v>279996000</v>
      </c>
      <c r="M73" s="81" t="s">
        <v>282</v>
      </c>
      <c r="N73" s="82">
        <v>44733</v>
      </c>
      <c r="O73" s="82">
        <v>44985</v>
      </c>
      <c r="P73" s="83">
        <f t="shared" si="22"/>
        <v>0.69041095890410964</v>
      </c>
      <c r="Q73" s="77" t="s">
        <v>19</v>
      </c>
      <c r="R73" s="77" t="s">
        <v>79</v>
      </c>
      <c r="S73" s="77" t="str">
        <f t="shared" si="23"/>
        <v>Z</v>
      </c>
      <c r="T73" s="84">
        <v>1</v>
      </c>
      <c r="U73" s="84">
        <v>3</v>
      </c>
      <c r="V73" s="84">
        <v>1</v>
      </c>
      <c r="W73" s="84">
        <f t="shared" si="24"/>
        <v>5</v>
      </c>
      <c r="X73" s="84" t="str">
        <f t="shared" si="25"/>
        <v>Biasa</v>
      </c>
      <c r="Y73" s="78" t="s">
        <v>629</v>
      </c>
      <c r="Z73" s="115"/>
      <c r="AA73" s="82"/>
      <c r="AB73" s="82"/>
      <c r="AC73" s="82"/>
      <c r="AD73" s="27" t="s">
        <v>86</v>
      </c>
      <c r="AE73" s="85">
        <v>44743</v>
      </c>
      <c r="AF73" s="77" t="s">
        <v>168</v>
      </c>
      <c r="AG73" s="77" t="s">
        <v>81</v>
      </c>
      <c r="AH73" s="21" t="s">
        <v>81</v>
      </c>
      <c r="AI73" s="21" t="s">
        <v>81</v>
      </c>
      <c r="AJ73" s="21" t="s">
        <v>81</v>
      </c>
      <c r="AK73" s="21" t="s">
        <v>81</v>
      </c>
      <c r="AL73" s="21" t="s">
        <v>81</v>
      </c>
      <c r="AM73" s="27" t="s">
        <v>100</v>
      </c>
      <c r="AN73" s="86">
        <v>44750</v>
      </c>
      <c r="AO73" s="87"/>
      <c r="AP73" s="82">
        <f t="shared" si="26"/>
        <v>48635</v>
      </c>
      <c r="AQ73" s="4"/>
      <c r="AR73" s="4"/>
      <c r="AS73" s="4"/>
      <c r="AT73" s="4"/>
    </row>
    <row r="74" spans="1:48" s="88" customFormat="1" ht="111.95" customHeight="1" x14ac:dyDescent="0.25">
      <c r="A74" s="76">
        <v>244</v>
      </c>
      <c r="B74" s="76" t="s">
        <v>74</v>
      </c>
      <c r="C74" s="76" t="s">
        <v>1194</v>
      </c>
      <c r="D74" s="76">
        <v>27</v>
      </c>
      <c r="E74" s="76" t="s">
        <v>217</v>
      </c>
      <c r="F74" s="78" t="s">
        <v>279</v>
      </c>
      <c r="G74" s="79" t="s">
        <v>280</v>
      </c>
      <c r="H74" s="79" t="s">
        <v>273</v>
      </c>
      <c r="I74" s="80"/>
      <c r="J74" s="79" t="s">
        <v>281</v>
      </c>
      <c r="K74" s="79" t="s">
        <v>275</v>
      </c>
      <c r="L74" s="81">
        <v>383200000</v>
      </c>
      <c r="M74" s="81" t="s">
        <v>282</v>
      </c>
      <c r="N74" s="82">
        <v>44585</v>
      </c>
      <c r="O74" s="82">
        <v>44954</v>
      </c>
      <c r="P74" s="83">
        <f t="shared" si="22"/>
        <v>1.010958904109589</v>
      </c>
      <c r="Q74" s="77" t="s">
        <v>19</v>
      </c>
      <c r="R74" s="77" t="s">
        <v>79</v>
      </c>
      <c r="S74" s="77" t="str">
        <f t="shared" si="23"/>
        <v>Z</v>
      </c>
      <c r="T74" s="84">
        <v>1</v>
      </c>
      <c r="U74" s="84">
        <v>3</v>
      </c>
      <c r="V74" s="84">
        <v>1</v>
      </c>
      <c r="W74" s="84">
        <f t="shared" si="24"/>
        <v>5</v>
      </c>
      <c r="X74" s="84" t="str">
        <f t="shared" si="25"/>
        <v>Biasa</v>
      </c>
      <c r="Y74" s="78" t="s">
        <v>276</v>
      </c>
      <c r="Z74" s="115"/>
      <c r="AA74" s="82"/>
      <c r="AB74" s="82"/>
      <c r="AC74" s="82"/>
      <c r="AD74" s="27" t="s">
        <v>86</v>
      </c>
      <c r="AE74" s="85">
        <v>44663</v>
      </c>
      <c r="AF74" s="77" t="s">
        <v>192</v>
      </c>
      <c r="AG74" s="77" t="s">
        <v>81</v>
      </c>
      <c r="AH74" s="21" t="s">
        <v>81</v>
      </c>
      <c r="AI74" s="21" t="s">
        <v>81</v>
      </c>
      <c r="AJ74" s="21" t="s">
        <v>81</v>
      </c>
      <c r="AK74" s="21" t="s">
        <v>81</v>
      </c>
      <c r="AL74" s="21" t="s">
        <v>81</v>
      </c>
      <c r="AM74" s="27" t="s">
        <v>87</v>
      </c>
      <c r="AN74" s="86"/>
      <c r="AO74" s="87"/>
      <c r="AP74" s="82">
        <f t="shared" si="26"/>
        <v>48604</v>
      </c>
      <c r="AQ74" s="4"/>
      <c r="AR74" s="4"/>
      <c r="AS74" s="4"/>
      <c r="AT74" s="4"/>
    </row>
    <row r="75" spans="1:48" s="88" customFormat="1" ht="111.75" customHeight="1" x14ac:dyDescent="0.25">
      <c r="A75" s="76">
        <v>245</v>
      </c>
      <c r="B75" s="76" t="s">
        <v>74</v>
      </c>
      <c r="C75" s="76" t="s">
        <v>1194</v>
      </c>
      <c r="D75" s="76">
        <v>28</v>
      </c>
      <c r="E75" s="76" t="s">
        <v>217</v>
      </c>
      <c r="F75" s="78" t="s">
        <v>489</v>
      </c>
      <c r="G75" s="79" t="s">
        <v>204</v>
      </c>
      <c r="H75" s="79" t="s">
        <v>486</v>
      </c>
      <c r="I75" s="80"/>
      <c r="J75" s="79" t="s">
        <v>490</v>
      </c>
      <c r="K75" s="79" t="s">
        <v>487</v>
      </c>
      <c r="L75" s="81" t="s">
        <v>491</v>
      </c>
      <c r="M75" s="81" t="s">
        <v>492</v>
      </c>
      <c r="N75" s="82">
        <v>44743</v>
      </c>
      <c r="O75" s="82">
        <v>44926</v>
      </c>
      <c r="P75" s="83">
        <f t="shared" si="22"/>
        <v>0.50136986301369868</v>
      </c>
      <c r="Q75" s="77" t="s">
        <v>19</v>
      </c>
      <c r="R75" s="77" t="s">
        <v>79</v>
      </c>
      <c r="S75" s="77" t="str">
        <f t="shared" si="23"/>
        <v>Z</v>
      </c>
      <c r="T75" s="84">
        <v>1</v>
      </c>
      <c r="U75" s="84">
        <v>3</v>
      </c>
      <c r="V75" s="84">
        <v>2</v>
      </c>
      <c r="W75" s="84">
        <f t="shared" si="24"/>
        <v>6</v>
      </c>
      <c r="X75" s="84" t="str">
        <f t="shared" si="25"/>
        <v>Penting</v>
      </c>
      <c r="Y75" s="78"/>
      <c r="Z75" s="115"/>
      <c r="AA75" s="82"/>
      <c r="AB75" s="82"/>
      <c r="AC75" s="82"/>
      <c r="AD75" s="27"/>
      <c r="AE75" s="85"/>
      <c r="AF75" s="77" t="s">
        <v>192</v>
      </c>
      <c r="AG75" s="77" t="s">
        <v>81</v>
      </c>
      <c r="AH75" s="21" t="s">
        <v>81</v>
      </c>
      <c r="AI75" s="21" t="s">
        <v>81</v>
      </c>
      <c r="AJ75" s="21" t="s">
        <v>81</v>
      </c>
      <c r="AK75" s="21" t="s">
        <v>81</v>
      </c>
      <c r="AL75" s="21" t="s">
        <v>81</v>
      </c>
      <c r="AM75" s="27" t="s">
        <v>100</v>
      </c>
      <c r="AN75" s="86">
        <v>44750</v>
      </c>
      <c r="AO75" s="87"/>
      <c r="AP75" s="82">
        <f t="shared" si="26"/>
        <v>48576</v>
      </c>
      <c r="AQ75" s="4"/>
      <c r="AR75" s="4"/>
      <c r="AS75" s="4"/>
      <c r="AT75" s="4"/>
    </row>
    <row r="76" spans="1:48" s="88" customFormat="1" ht="111.95" customHeight="1" x14ac:dyDescent="0.25">
      <c r="A76" s="76">
        <v>246</v>
      </c>
      <c r="B76" s="76" t="s">
        <v>74</v>
      </c>
      <c r="C76" s="76" t="s">
        <v>1194</v>
      </c>
      <c r="D76" s="76">
        <v>29</v>
      </c>
      <c r="E76" s="76" t="s">
        <v>217</v>
      </c>
      <c r="F76" s="78" t="s">
        <v>493</v>
      </c>
      <c r="G76" s="79" t="s">
        <v>494</v>
      </c>
      <c r="H76" s="79" t="s">
        <v>495</v>
      </c>
      <c r="I76" s="80"/>
      <c r="J76" s="79" t="s">
        <v>496</v>
      </c>
      <c r="K76" s="79" t="s">
        <v>497</v>
      </c>
      <c r="L76" s="81">
        <v>23525000</v>
      </c>
      <c r="M76" s="81"/>
      <c r="N76" s="82">
        <v>44872</v>
      </c>
      <c r="O76" s="82">
        <v>44925</v>
      </c>
      <c r="P76" s="83">
        <f t="shared" si="22"/>
        <v>0.14520547945205478</v>
      </c>
      <c r="Q76" s="77" t="s">
        <v>19</v>
      </c>
      <c r="R76" s="77" t="s">
        <v>79</v>
      </c>
      <c r="S76" s="77" t="str">
        <f t="shared" si="23"/>
        <v>Z</v>
      </c>
      <c r="T76" s="84">
        <v>1</v>
      </c>
      <c r="U76" s="84">
        <v>2</v>
      </c>
      <c r="V76" s="84">
        <v>1</v>
      </c>
      <c r="W76" s="84">
        <f t="shared" si="24"/>
        <v>4</v>
      </c>
      <c r="X76" s="84" t="str">
        <f t="shared" si="25"/>
        <v>Biasa</v>
      </c>
      <c r="Y76" s="78"/>
      <c r="Z76" s="115"/>
      <c r="AA76" s="82"/>
      <c r="AB76" s="82"/>
      <c r="AC76" s="82"/>
      <c r="AD76" s="27"/>
      <c r="AE76" s="85"/>
      <c r="AF76" s="77" t="s">
        <v>498</v>
      </c>
      <c r="AG76" s="77" t="s">
        <v>81</v>
      </c>
      <c r="AH76" s="21" t="s">
        <v>81</v>
      </c>
      <c r="AI76" s="21" t="s">
        <v>81</v>
      </c>
      <c r="AJ76" s="21" t="s">
        <v>81</v>
      </c>
      <c r="AK76" s="21" t="s">
        <v>81</v>
      </c>
      <c r="AL76" s="21" t="s">
        <v>81</v>
      </c>
      <c r="AM76" s="27" t="s">
        <v>100</v>
      </c>
      <c r="AN76" s="86">
        <v>44762</v>
      </c>
      <c r="AO76" s="87"/>
      <c r="AP76" s="82">
        <f t="shared" si="26"/>
        <v>48575</v>
      </c>
      <c r="AQ76" s="4"/>
      <c r="AR76" s="4"/>
      <c r="AS76" s="4"/>
      <c r="AT76" s="4"/>
    </row>
    <row r="77" spans="1:48" s="88" customFormat="1" ht="111.95" customHeight="1" x14ac:dyDescent="0.25">
      <c r="A77" s="76">
        <v>247</v>
      </c>
      <c r="B77" s="76" t="s">
        <v>74</v>
      </c>
      <c r="C77" s="76" t="s">
        <v>1194</v>
      </c>
      <c r="D77" s="76">
        <v>30</v>
      </c>
      <c r="E77" s="76" t="s">
        <v>217</v>
      </c>
      <c r="F77" s="78" t="s">
        <v>266</v>
      </c>
      <c r="G77" s="79" t="s">
        <v>267</v>
      </c>
      <c r="H77" s="79" t="s">
        <v>268</v>
      </c>
      <c r="I77" s="80"/>
      <c r="J77" s="79" t="s">
        <v>269</v>
      </c>
      <c r="K77" s="79" t="s">
        <v>270</v>
      </c>
      <c r="L77" s="81">
        <v>315000000</v>
      </c>
      <c r="M77" s="81"/>
      <c r="N77" s="82">
        <v>44470</v>
      </c>
      <c r="O77" s="82">
        <v>44925</v>
      </c>
      <c r="P77" s="83">
        <f t="shared" si="22"/>
        <v>1.2465753424657535</v>
      </c>
      <c r="Q77" s="77" t="s">
        <v>19</v>
      </c>
      <c r="R77" s="77" t="s">
        <v>79</v>
      </c>
      <c r="S77" s="77" t="str">
        <f t="shared" si="23"/>
        <v>Z</v>
      </c>
      <c r="T77" s="84">
        <v>3</v>
      </c>
      <c r="U77" s="84">
        <v>3</v>
      </c>
      <c r="V77" s="84">
        <v>1</v>
      </c>
      <c r="W77" s="84">
        <f t="shared" si="24"/>
        <v>7</v>
      </c>
      <c r="X77" s="84" t="str">
        <f t="shared" si="25"/>
        <v>Penting</v>
      </c>
      <c r="Y77" s="78"/>
      <c r="Z77" s="115"/>
      <c r="AA77" s="82"/>
      <c r="AB77" s="82"/>
      <c r="AC77" s="82"/>
      <c r="AD77" s="27" t="s">
        <v>86</v>
      </c>
      <c r="AE77" s="85">
        <v>44470</v>
      </c>
      <c r="AF77" s="77" t="s">
        <v>192</v>
      </c>
      <c r="AG77" s="77" t="s">
        <v>81</v>
      </c>
      <c r="AH77" s="21" t="s">
        <v>81</v>
      </c>
      <c r="AI77" s="21" t="s">
        <v>81</v>
      </c>
      <c r="AJ77" s="21" t="s">
        <v>81</v>
      </c>
      <c r="AK77" s="21" t="s">
        <v>81</v>
      </c>
      <c r="AL77" s="21" t="s">
        <v>81</v>
      </c>
      <c r="AM77" s="27" t="s">
        <v>87</v>
      </c>
      <c r="AN77" s="86">
        <v>44468</v>
      </c>
      <c r="AO77" s="87"/>
      <c r="AP77" s="82">
        <f t="shared" si="26"/>
        <v>48575</v>
      </c>
      <c r="AQ77" s="4"/>
      <c r="AR77" s="4"/>
      <c r="AS77" s="4"/>
      <c r="AT77" s="4"/>
    </row>
    <row r="78" spans="1:48" s="88" customFormat="1" ht="111.95" customHeight="1" x14ac:dyDescent="0.25">
      <c r="A78" s="76">
        <v>251</v>
      </c>
      <c r="B78" s="76" t="s">
        <v>74</v>
      </c>
      <c r="C78" s="76" t="s">
        <v>1194</v>
      </c>
      <c r="D78" s="76">
        <v>34</v>
      </c>
      <c r="E78" s="76" t="s">
        <v>217</v>
      </c>
      <c r="F78" s="78" t="s">
        <v>1198</v>
      </c>
      <c r="G78" s="79" t="s">
        <v>1232</v>
      </c>
      <c r="H78" s="79" t="s">
        <v>1199</v>
      </c>
      <c r="I78" s="80"/>
      <c r="J78" s="79" t="s">
        <v>1200</v>
      </c>
      <c r="K78" s="79" t="s">
        <v>1201</v>
      </c>
      <c r="L78" s="81">
        <v>237000000</v>
      </c>
      <c r="M78" s="81" t="s">
        <v>1202</v>
      </c>
      <c r="N78" s="82">
        <v>44893</v>
      </c>
      <c r="O78" s="82">
        <v>44957</v>
      </c>
      <c r="P78" s="83">
        <f t="shared" si="22"/>
        <v>0.17534246575342466</v>
      </c>
      <c r="Q78" s="77" t="s">
        <v>19</v>
      </c>
      <c r="R78" s="77" t="s">
        <v>79</v>
      </c>
      <c r="S78" s="77" t="str">
        <f t="shared" si="23"/>
        <v>Z</v>
      </c>
      <c r="T78" s="84">
        <v>1</v>
      </c>
      <c r="U78" s="84">
        <v>1</v>
      </c>
      <c r="V78" s="84">
        <v>1</v>
      </c>
      <c r="W78" s="84">
        <f t="shared" si="24"/>
        <v>3</v>
      </c>
      <c r="X78" s="84" t="str">
        <f t="shared" si="25"/>
        <v>Biasa</v>
      </c>
      <c r="Y78" s="78"/>
      <c r="Z78" s="115"/>
      <c r="AA78" s="82"/>
      <c r="AB78" s="82"/>
      <c r="AC78" s="82"/>
      <c r="AD78" s="27"/>
      <c r="AE78" s="85"/>
      <c r="AF78" s="77" t="s">
        <v>192</v>
      </c>
      <c r="AG78" s="77" t="s">
        <v>81</v>
      </c>
      <c r="AH78" s="21" t="s">
        <v>81</v>
      </c>
      <c r="AI78" s="21" t="s">
        <v>81</v>
      </c>
      <c r="AJ78" s="21" t="s">
        <v>81</v>
      </c>
      <c r="AK78" s="21" t="s">
        <v>81</v>
      </c>
      <c r="AL78" s="21" t="s">
        <v>81</v>
      </c>
      <c r="AM78" s="27" t="s">
        <v>100</v>
      </c>
      <c r="AN78" s="86">
        <v>44890</v>
      </c>
      <c r="AO78" s="87"/>
      <c r="AP78" s="82">
        <f t="shared" si="26"/>
        <v>48607</v>
      </c>
      <c r="AQ78" s="4"/>
      <c r="AR78" s="4"/>
      <c r="AS78" s="4"/>
      <c r="AT78" s="4"/>
    </row>
    <row r="79" spans="1:48" s="88" customFormat="1" ht="111.95" customHeight="1" x14ac:dyDescent="0.25">
      <c r="A79" s="76">
        <v>254</v>
      </c>
      <c r="B79" s="76" t="s">
        <v>74</v>
      </c>
      <c r="C79" s="76" t="s">
        <v>1194</v>
      </c>
      <c r="D79" s="76">
        <v>37</v>
      </c>
      <c r="E79" s="76" t="s">
        <v>217</v>
      </c>
      <c r="F79" s="78" t="s">
        <v>1252</v>
      </c>
      <c r="G79" s="79" t="s">
        <v>1247</v>
      </c>
      <c r="H79" s="79" t="s">
        <v>1253</v>
      </c>
      <c r="I79" s="80" t="s">
        <v>1339</v>
      </c>
      <c r="J79" s="79" t="s">
        <v>1254</v>
      </c>
      <c r="K79" s="79"/>
      <c r="L79" s="81">
        <v>111000000</v>
      </c>
      <c r="M79" s="81" t="s">
        <v>282</v>
      </c>
      <c r="N79" s="82">
        <v>44866</v>
      </c>
      <c r="O79" s="82">
        <v>45107</v>
      </c>
      <c r="P79" s="83">
        <f t="shared" si="22"/>
        <v>0.66027397260273968</v>
      </c>
      <c r="Q79" s="77" t="s">
        <v>20</v>
      </c>
      <c r="R79" s="77" t="s">
        <v>79</v>
      </c>
      <c r="S79" s="77" t="str">
        <f t="shared" si="23"/>
        <v>Z</v>
      </c>
      <c r="T79" s="84">
        <v>3</v>
      </c>
      <c r="U79" s="84">
        <v>3</v>
      </c>
      <c r="V79" s="84">
        <v>1</v>
      </c>
      <c r="W79" s="84">
        <f t="shared" si="24"/>
        <v>7</v>
      </c>
      <c r="X79" s="84" t="str">
        <f t="shared" si="25"/>
        <v>Penting</v>
      </c>
      <c r="Y79" s="78" t="s">
        <v>1418</v>
      </c>
      <c r="Z79" s="115"/>
      <c r="AA79" s="82"/>
      <c r="AB79" s="82"/>
      <c r="AC79" s="82"/>
      <c r="AD79" s="27"/>
      <c r="AE79" s="85"/>
      <c r="AF79" s="77" t="s">
        <v>345</v>
      </c>
      <c r="AG79" s="77" t="s">
        <v>81</v>
      </c>
      <c r="AH79" s="21" t="s">
        <v>81</v>
      </c>
      <c r="AI79" s="21" t="s">
        <v>81</v>
      </c>
      <c r="AJ79" s="21" t="s">
        <v>81</v>
      </c>
      <c r="AK79" s="21" t="s">
        <v>81</v>
      </c>
      <c r="AL79" s="21" t="s">
        <v>81</v>
      </c>
      <c r="AM79" s="27" t="s">
        <v>100</v>
      </c>
      <c r="AN79" s="86">
        <v>44907</v>
      </c>
      <c r="AO79" s="87"/>
      <c r="AP79" s="82">
        <f t="shared" si="26"/>
        <v>48757</v>
      </c>
      <c r="AQ79" s="4"/>
      <c r="AR79" s="4"/>
      <c r="AS79" s="4"/>
      <c r="AT79" s="4"/>
    </row>
    <row r="80" spans="1:48" s="88" customFormat="1" ht="111.75" customHeight="1" x14ac:dyDescent="0.25">
      <c r="A80" s="76">
        <v>257</v>
      </c>
      <c r="B80" s="76" t="s">
        <v>74</v>
      </c>
      <c r="C80" s="76" t="s">
        <v>1194</v>
      </c>
      <c r="D80" s="76">
        <v>40</v>
      </c>
      <c r="E80" s="76" t="s">
        <v>217</v>
      </c>
      <c r="F80" s="78" t="s">
        <v>1284</v>
      </c>
      <c r="G80" s="79" t="s">
        <v>1285</v>
      </c>
      <c r="H80" s="79" t="s">
        <v>1286</v>
      </c>
      <c r="I80" s="80"/>
      <c r="J80" s="79" t="s">
        <v>1287</v>
      </c>
      <c r="K80" s="79" t="s">
        <v>1288</v>
      </c>
      <c r="L80" s="81">
        <v>135500000</v>
      </c>
      <c r="M80" s="81" t="s">
        <v>282</v>
      </c>
      <c r="N80" s="82">
        <v>44935</v>
      </c>
      <c r="O80" s="82">
        <v>44982</v>
      </c>
      <c r="P80" s="83">
        <f t="shared" si="22"/>
        <v>0.12876712328767123</v>
      </c>
      <c r="Q80" s="77" t="s">
        <v>19</v>
      </c>
      <c r="R80" s="77" t="s">
        <v>79</v>
      </c>
      <c r="S80" s="77" t="str">
        <f t="shared" si="23"/>
        <v>Z</v>
      </c>
      <c r="T80" s="84">
        <v>3</v>
      </c>
      <c r="U80" s="84">
        <v>3</v>
      </c>
      <c r="V80" s="84">
        <v>1</v>
      </c>
      <c r="W80" s="84">
        <f t="shared" si="24"/>
        <v>7</v>
      </c>
      <c r="X80" s="84" t="str">
        <f t="shared" si="25"/>
        <v>Penting</v>
      </c>
      <c r="Y80" s="78" t="s">
        <v>1289</v>
      </c>
      <c r="Z80" s="115"/>
      <c r="AA80" s="82"/>
      <c r="AB80" s="82"/>
      <c r="AC80" s="82"/>
      <c r="AD80" s="27"/>
      <c r="AE80" s="85"/>
      <c r="AF80" s="77" t="s">
        <v>192</v>
      </c>
      <c r="AG80" s="77" t="s">
        <v>81</v>
      </c>
      <c r="AH80" s="21" t="s">
        <v>81</v>
      </c>
      <c r="AI80" s="21" t="s">
        <v>81</v>
      </c>
      <c r="AJ80" s="21" t="s">
        <v>81</v>
      </c>
      <c r="AK80" s="21" t="s">
        <v>81</v>
      </c>
      <c r="AL80" s="21" t="s">
        <v>81</v>
      </c>
      <c r="AM80" s="27" t="s">
        <v>100</v>
      </c>
      <c r="AN80" s="86">
        <v>44938</v>
      </c>
      <c r="AO80" s="87"/>
      <c r="AP80" s="82">
        <f t="shared" si="26"/>
        <v>48632</v>
      </c>
      <c r="AQ80" s="4"/>
      <c r="AR80" s="4"/>
      <c r="AS80" s="4"/>
      <c r="AT80" s="4"/>
    </row>
    <row r="81" spans="1:46" s="88" customFormat="1" ht="111.95" customHeight="1" x14ac:dyDescent="0.25">
      <c r="A81" s="76">
        <v>259</v>
      </c>
      <c r="B81" s="76" t="s">
        <v>74</v>
      </c>
      <c r="C81" s="76" t="s">
        <v>1264</v>
      </c>
      <c r="D81" s="76">
        <v>1</v>
      </c>
      <c r="E81" s="76" t="s">
        <v>217</v>
      </c>
      <c r="F81" s="78" t="s">
        <v>1260</v>
      </c>
      <c r="G81" s="79" t="s">
        <v>1261</v>
      </c>
      <c r="H81" s="79" t="s">
        <v>1262</v>
      </c>
      <c r="I81" s="80"/>
      <c r="J81" s="79" t="s">
        <v>1263</v>
      </c>
      <c r="K81" s="79"/>
      <c r="L81" s="81">
        <v>15000000</v>
      </c>
      <c r="M81" s="81" t="s">
        <v>469</v>
      </c>
      <c r="N81" s="82">
        <v>44880</v>
      </c>
      <c r="O81" s="82">
        <v>44907</v>
      </c>
      <c r="P81" s="83">
        <f t="shared" si="22"/>
        <v>7.3972602739726029E-2</v>
      </c>
      <c r="Q81" s="77" t="s">
        <v>19</v>
      </c>
      <c r="R81" s="77" t="s">
        <v>79</v>
      </c>
      <c r="S81" s="77" t="str">
        <f t="shared" si="23"/>
        <v>Z</v>
      </c>
      <c r="T81" s="84">
        <v>1</v>
      </c>
      <c r="U81" s="84">
        <v>2</v>
      </c>
      <c r="V81" s="84">
        <v>1</v>
      </c>
      <c r="W81" s="84">
        <f t="shared" si="24"/>
        <v>4</v>
      </c>
      <c r="X81" s="84" t="str">
        <f t="shared" si="25"/>
        <v>Biasa</v>
      </c>
      <c r="Y81" s="78"/>
      <c r="Z81" s="115"/>
      <c r="AA81" s="82"/>
      <c r="AB81" s="82"/>
      <c r="AC81" s="82"/>
      <c r="AD81" s="27"/>
      <c r="AE81" s="85"/>
      <c r="AF81" s="77" t="s">
        <v>192</v>
      </c>
      <c r="AG81" s="77" t="s">
        <v>150</v>
      </c>
      <c r="AH81" s="21"/>
      <c r="AI81" s="21"/>
      <c r="AJ81" s="21"/>
      <c r="AK81" s="21"/>
      <c r="AL81" s="21"/>
      <c r="AM81" s="27" t="s">
        <v>100</v>
      </c>
      <c r="AN81" s="86">
        <v>44886</v>
      </c>
      <c r="AO81" s="87"/>
      <c r="AP81" s="82">
        <f t="shared" si="26"/>
        <v>48557</v>
      </c>
      <c r="AQ81" s="4"/>
      <c r="AR81" s="4"/>
      <c r="AS81" s="4"/>
      <c r="AT81" s="4"/>
    </row>
    <row r="82" spans="1:46" s="88" customFormat="1" ht="111.95" customHeight="1" x14ac:dyDescent="0.25">
      <c r="A82" s="76">
        <v>262</v>
      </c>
      <c r="B82" s="76" t="s">
        <v>74</v>
      </c>
      <c r="C82" s="76"/>
      <c r="D82" s="76"/>
      <c r="E82" s="76"/>
      <c r="F82" s="78" t="s">
        <v>741</v>
      </c>
      <c r="G82" s="79" t="s">
        <v>729</v>
      </c>
      <c r="H82" s="79" t="s">
        <v>742</v>
      </c>
      <c r="I82" s="80"/>
      <c r="J82" s="79" t="s">
        <v>731</v>
      </c>
      <c r="K82" s="79" t="s">
        <v>743</v>
      </c>
      <c r="L82" s="81"/>
      <c r="M82" s="81"/>
      <c r="N82" s="82">
        <v>44562</v>
      </c>
      <c r="O82" s="82">
        <v>44926</v>
      </c>
      <c r="P82" s="83">
        <f t="shared" si="22"/>
        <v>0.99726027397260275</v>
      </c>
      <c r="Q82" s="77" t="s">
        <v>23</v>
      </c>
      <c r="R82" s="77" t="s">
        <v>79</v>
      </c>
      <c r="S82" s="77" t="str">
        <f t="shared" si="23"/>
        <v>Z</v>
      </c>
      <c r="T82" s="84">
        <v>1</v>
      </c>
      <c r="U82" s="84">
        <v>1</v>
      </c>
      <c r="V82" s="84">
        <v>1</v>
      </c>
      <c r="W82" s="84">
        <f t="shared" si="24"/>
        <v>3</v>
      </c>
      <c r="X82" s="84" t="str">
        <f t="shared" si="25"/>
        <v>Biasa</v>
      </c>
      <c r="Y82" s="78" t="s">
        <v>744</v>
      </c>
      <c r="Z82" s="115"/>
      <c r="AA82" s="82"/>
      <c r="AB82" s="82"/>
      <c r="AC82" s="82"/>
      <c r="AD82" s="27"/>
      <c r="AE82" s="85"/>
      <c r="AF82" s="77" t="s">
        <v>733</v>
      </c>
      <c r="AG82" s="77" t="s">
        <v>81</v>
      </c>
      <c r="AH82" s="21"/>
      <c r="AI82" s="21"/>
      <c r="AJ82" s="21"/>
      <c r="AK82" s="21"/>
      <c r="AL82" s="21"/>
      <c r="AM82" s="27" t="s">
        <v>87</v>
      </c>
      <c r="AN82" s="86">
        <v>44537</v>
      </c>
      <c r="AO82" s="87"/>
      <c r="AP82" s="82">
        <f t="shared" si="26"/>
        <v>48576</v>
      </c>
      <c r="AQ82" s="4"/>
      <c r="AR82" s="4"/>
      <c r="AS82" s="4"/>
      <c r="AT82" s="4"/>
    </row>
    <row r="83" spans="1:46" s="88" customFormat="1" ht="111.95" customHeight="1" x14ac:dyDescent="0.25">
      <c r="A83" s="76">
        <v>266</v>
      </c>
      <c r="B83" s="76" t="s">
        <v>74</v>
      </c>
      <c r="C83" s="76"/>
      <c r="D83" s="76"/>
      <c r="E83" s="76"/>
      <c r="F83" s="78" t="s">
        <v>905</v>
      </c>
      <c r="G83" s="79" t="s">
        <v>901</v>
      </c>
      <c r="H83" s="79" t="s">
        <v>906</v>
      </c>
      <c r="I83" s="80"/>
      <c r="J83" s="79" t="s">
        <v>907</v>
      </c>
      <c r="K83" s="79"/>
      <c r="L83" s="81"/>
      <c r="M83" s="81"/>
      <c r="N83" s="82">
        <v>44318</v>
      </c>
      <c r="O83" s="82">
        <v>44682</v>
      </c>
      <c r="P83" s="83">
        <f t="shared" si="22"/>
        <v>0.99726027397260275</v>
      </c>
      <c r="Q83" s="77" t="s">
        <v>21</v>
      </c>
      <c r="R83" s="77" t="s">
        <v>79</v>
      </c>
      <c r="S83" s="77" t="str">
        <f t="shared" si="23"/>
        <v>Z</v>
      </c>
      <c r="T83" s="84">
        <v>3</v>
      </c>
      <c r="U83" s="84">
        <v>3</v>
      </c>
      <c r="V83" s="84">
        <v>3</v>
      </c>
      <c r="W83" s="84">
        <f t="shared" si="24"/>
        <v>9</v>
      </c>
      <c r="X83" s="84" t="str">
        <f t="shared" si="25"/>
        <v>Penting</v>
      </c>
      <c r="Y83" s="78" t="s">
        <v>908</v>
      </c>
      <c r="Z83" s="115"/>
      <c r="AA83" s="82"/>
      <c r="AB83" s="82"/>
      <c r="AC83" s="82"/>
      <c r="AD83" s="27" t="s">
        <v>86</v>
      </c>
      <c r="AE83" s="85">
        <v>43564</v>
      </c>
      <c r="AF83" s="77" t="s">
        <v>893</v>
      </c>
      <c r="AG83" s="77"/>
      <c r="AH83" s="21"/>
      <c r="AI83" s="21"/>
      <c r="AJ83" s="21"/>
      <c r="AK83" s="21"/>
      <c r="AL83" s="21"/>
      <c r="AM83" s="27"/>
      <c r="AN83" s="86"/>
      <c r="AO83" s="87"/>
      <c r="AP83" s="82">
        <f t="shared" si="26"/>
        <v>48332</v>
      </c>
      <c r="AQ83" s="4"/>
      <c r="AR83" s="4"/>
      <c r="AS83" s="4"/>
      <c r="AT83" s="4"/>
    </row>
    <row r="84" spans="1:46" s="88" customFormat="1" ht="111.95" customHeight="1" x14ac:dyDescent="0.25">
      <c r="A84" s="76">
        <v>267</v>
      </c>
      <c r="B84" s="76" t="s">
        <v>74</v>
      </c>
      <c r="C84" s="76"/>
      <c r="D84" s="76"/>
      <c r="E84" s="76"/>
      <c r="F84" s="78" t="s">
        <v>147</v>
      </c>
      <c r="G84" s="79" t="s">
        <v>148</v>
      </c>
      <c r="H84" s="79" t="s">
        <v>140</v>
      </c>
      <c r="I84" s="80"/>
      <c r="J84" s="79" t="s">
        <v>149</v>
      </c>
      <c r="K84" s="79"/>
      <c r="L84" s="81">
        <v>6350000</v>
      </c>
      <c r="M84" s="81" t="s">
        <v>96</v>
      </c>
      <c r="N84" s="82">
        <v>44378</v>
      </c>
      <c r="O84" s="82">
        <v>44742</v>
      </c>
      <c r="P84" s="83">
        <f t="shared" si="22"/>
        <v>0.99726027397260275</v>
      </c>
      <c r="Q84" s="77" t="s">
        <v>19</v>
      </c>
      <c r="R84" s="77" t="s">
        <v>79</v>
      </c>
      <c r="S84" s="77" t="str">
        <f t="shared" si="23"/>
        <v>Z</v>
      </c>
      <c r="T84" s="84">
        <v>1</v>
      </c>
      <c r="U84" s="84">
        <v>1</v>
      </c>
      <c r="V84" s="84">
        <v>1</v>
      </c>
      <c r="W84" s="84">
        <f t="shared" si="24"/>
        <v>3</v>
      </c>
      <c r="X84" s="84" t="str">
        <f t="shared" si="25"/>
        <v>Biasa</v>
      </c>
      <c r="Y84" s="78"/>
      <c r="Z84" s="115"/>
      <c r="AA84" s="82"/>
      <c r="AB84" s="82"/>
      <c r="AC84" s="82"/>
      <c r="AD84" s="27"/>
      <c r="AE84" s="85"/>
      <c r="AF84" s="77" t="s">
        <v>80</v>
      </c>
      <c r="AG84" s="77"/>
      <c r="AH84" s="21"/>
      <c r="AI84" s="21"/>
      <c r="AJ84" s="21"/>
      <c r="AK84" s="21"/>
      <c r="AL84" s="21"/>
      <c r="AM84" s="27" t="s">
        <v>87</v>
      </c>
      <c r="AN84" s="86"/>
      <c r="AO84" s="87"/>
      <c r="AP84" s="82">
        <f t="shared" si="26"/>
        <v>48392</v>
      </c>
      <c r="AQ84" s="4"/>
      <c r="AR84" s="4"/>
      <c r="AS84" s="4"/>
      <c r="AT84" s="4"/>
    </row>
    <row r="85" spans="1:46" s="88" customFormat="1" ht="111.95" customHeight="1" x14ac:dyDescent="0.25">
      <c r="A85" s="76">
        <v>268</v>
      </c>
      <c r="B85" s="76" t="s">
        <v>74</v>
      </c>
      <c r="C85" s="76"/>
      <c r="D85" s="76"/>
      <c r="E85" s="76"/>
      <c r="F85" s="78" t="s">
        <v>181</v>
      </c>
      <c r="G85" s="79" t="s">
        <v>182</v>
      </c>
      <c r="H85" s="79" t="s">
        <v>183</v>
      </c>
      <c r="I85" s="80"/>
      <c r="J85" s="79" t="s">
        <v>184</v>
      </c>
      <c r="K85" s="79" t="s">
        <v>185</v>
      </c>
      <c r="L85" s="81" t="s">
        <v>186</v>
      </c>
      <c r="M85" s="81"/>
      <c r="N85" s="82">
        <v>44501</v>
      </c>
      <c r="O85" s="82">
        <v>44742</v>
      </c>
      <c r="P85" s="83">
        <f t="shared" si="22"/>
        <v>0.66027397260273968</v>
      </c>
      <c r="Q85" s="77" t="s">
        <v>19</v>
      </c>
      <c r="R85" s="77" t="s">
        <v>79</v>
      </c>
      <c r="S85" s="77" t="str">
        <f t="shared" si="23"/>
        <v>Z</v>
      </c>
      <c r="T85" s="84">
        <v>1</v>
      </c>
      <c r="U85" s="84">
        <v>2</v>
      </c>
      <c r="V85" s="84">
        <v>1</v>
      </c>
      <c r="W85" s="84">
        <f t="shared" si="24"/>
        <v>4</v>
      </c>
      <c r="X85" s="84" t="str">
        <f t="shared" si="25"/>
        <v>Biasa</v>
      </c>
      <c r="Y85" s="78" t="s">
        <v>187</v>
      </c>
      <c r="Z85" s="115"/>
      <c r="AA85" s="82"/>
      <c r="AB85" s="82"/>
      <c r="AC85" s="82"/>
      <c r="AD85" s="27" t="s">
        <v>79</v>
      </c>
      <c r="AE85" s="85">
        <v>44743</v>
      </c>
      <c r="AF85" s="77" t="s">
        <v>188</v>
      </c>
      <c r="AG85" s="77"/>
      <c r="AH85" s="21"/>
      <c r="AI85" s="21"/>
      <c r="AJ85" s="21"/>
      <c r="AK85" s="21"/>
      <c r="AL85" s="21"/>
      <c r="AM85" s="27" t="s">
        <v>87</v>
      </c>
      <c r="AN85" s="86">
        <v>44512</v>
      </c>
      <c r="AO85" s="87"/>
      <c r="AP85" s="82">
        <f t="shared" si="26"/>
        <v>48392</v>
      </c>
      <c r="AQ85" s="4"/>
      <c r="AR85" s="4"/>
      <c r="AS85" s="4"/>
      <c r="AT85" s="4"/>
    </row>
    <row r="86" spans="1:46" s="88" customFormat="1" ht="111.95" customHeight="1" x14ac:dyDescent="0.25">
      <c r="A86" s="76">
        <v>269</v>
      </c>
      <c r="B86" s="76" t="s">
        <v>74</v>
      </c>
      <c r="C86" s="76"/>
      <c r="D86" s="76"/>
      <c r="E86" s="76"/>
      <c r="F86" s="78" t="s">
        <v>355</v>
      </c>
      <c r="G86" s="79" t="s">
        <v>204</v>
      </c>
      <c r="H86" s="79" t="s">
        <v>356</v>
      </c>
      <c r="I86" s="80"/>
      <c r="J86" s="79" t="s">
        <v>320</v>
      </c>
      <c r="K86" s="79"/>
      <c r="L86" s="81" t="s">
        <v>321</v>
      </c>
      <c r="M86" s="81"/>
      <c r="N86" s="82">
        <v>43587</v>
      </c>
      <c r="O86" s="82">
        <v>44682</v>
      </c>
      <c r="P86" s="83">
        <f t="shared" si="22"/>
        <v>3</v>
      </c>
      <c r="Q86" s="77" t="s">
        <v>19</v>
      </c>
      <c r="R86" s="77" t="s">
        <v>79</v>
      </c>
      <c r="S86" s="77" t="str">
        <f t="shared" si="23"/>
        <v>Z</v>
      </c>
      <c r="T86" s="84">
        <v>1</v>
      </c>
      <c r="U86" s="84">
        <v>1</v>
      </c>
      <c r="V86" s="84">
        <v>1</v>
      </c>
      <c r="W86" s="84">
        <f t="shared" si="24"/>
        <v>3</v>
      </c>
      <c r="X86" s="84" t="str">
        <f t="shared" si="25"/>
        <v>Biasa</v>
      </c>
      <c r="Y86" s="78" t="s">
        <v>357</v>
      </c>
      <c r="Z86" s="115"/>
      <c r="AA86" s="82"/>
      <c r="AB86" s="82"/>
      <c r="AC86" s="82"/>
      <c r="AD86" s="27"/>
      <c r="AE86" s="85"/>
      <c r="AF86" s="77" t="s">
        <v>192</v>
      </c>
      <c r="AG86" s="77"/>
      <c r="AH86" s="21"/>
      <c r="AI86" s="21"/>
      <c r="AJ86" s="21"/>
      <c r="AK86" s="21"/>
      <c r="AL86" s="21"/>
      <c r="AM86" s="27" t="s">
        <v>358</v>
      </c>
      <c r="AN86" s="86">
        <v>43600</v>
      </c>
      <c r="AO86" s="87"/>
      <c r="AP86" s="82">
        <f t="shared" si="26"/>
        <v>48332</v>
      </c>
      <c r="AQ86" s="4"/>
      <c r="AR86" s="4"/>
      <c r="AS86" s="4"/>
      <c r="AT86" s="4"/>
    </row>
    <row r="87" spans="1:46" s="88" customFormat="1" ht="111.75" customHeight="1" x14ac:dyDescent="0.25">
      <c r="A87" s="76">
        <v>270</v>
      </c>
      <c r="B87" s="76" t="s">
        <v>74</v>
      </c>
      <c r="C87" s="76"/>
      <c r="D87" s="76"/>
      <c r="E87" s="76"/>
      <c r="F87" s="78" t="s">
        <v>359</v>
      </c>
      <c r="G87" s="79" t="s">
        <v>204</v>
      </c>
      <c r="H87" s="79" t="s">
        <v>360</v>
      </c>
      <c r="I87" s="80"/>
      <c r="J87" s="79" t="s">
        <v>361</v>
      </c>
      <c r="K87" s="79" t="s">
        <v>362</v>
      </c>
      <c r="L87" s="81" t="s">
        <v>186</v>
      </c>
      <c r="M87" s="81"/>
      <c r="N87" s="82">
        <v>44013</v>
      </c>
      <c r="O87" s="82">
        <v>44742</v>
      </c>
      <c r="P87" s="83">
        <f t="shared" si="22"/>
        <v>1.9972602739726026</v>
      </c>
      <c r="Q87" s="77" t="s">
        <v>19</v>
      </c>
      <c r="R87" s="77" t="s">
        <v>79</v>
      </c>
      <c r="S87" s="77" t="str">
        <f t="shared" si="23"/>
        <v>Z</v>
      </c>
      <c r="T87" s="84">
        <v>3</v>
      </c>
      <c r="U87" s="84">
        <v>1</v>
      </c>
      <c r="V87" s="84">
        <v>1</v>
      </c>
      <c r="W87" s="84">
        <f t="shared" si="24"/>
        <v>5</v>
      </c>
      <c r="X87" s="84" t="str">
        <f t="shared" si="25"/>
        <v>Biasa</v>
      </c>
      <c r="Y87" s="78" t="s">
        <v>363</v>
      </c>
      <c r="Z87" s="115"/>
      <c r="AA87" s="82"/>
      <c r="AB87" s="82"/>
      <c r="AC87" s="82"/>
      <c r="AD87" s="27"/>
      <c r="AE87" s="85"/>
      <c r="AF87" s="77" t="s">
        <v>192</v>
      </c>
      <c r="AG87" s="77"/>
      <c r="AH87" s="21"/>
      <c r="AI87" s="21"/>
      <c r="AJ87" s="21"/>
      <c r="AK87" s="21"/>
      <c r="AL87" s="21"/>
      <c r="AM87" s="27" t="s">
        <v>87</v>
      </c>
      <c r="AN87" s="86">
        <v>44036</v>
      </c>
      <c r="AO87" s="87"/>
      <c r="AP87" s="82">
        <f t="shared" si="26"/>
        <v>48392</v>
      </c>
      <c r="AQ87" s="4"/>
      <c r="AR87" s="4"/>
      <c r="AS87" s="4"/>
      <c r="AT87" s="4"/>
    </row>
    <row r="88" spans="1:46" s="88" customFormat="1" ht="111.95" customHeight="1" x14ac:dyDescent="0.25">
      <c r="A88" s="76">
        <v>271</v>
      </c>
      <c r="B88" s="76" t="s">
        <v>74</v>
      </c>
      <c r="C88" s="76"/>
      <c r="D88" s="76"/>
      <c r="E88" s="76"/>
      <c r="F88" s="78" t="s">
        <v>364</v>
      </c>
      <c r="G88" s="79" t="s">
        <v>204</v>
      </c>
      <c r="H88" s="79" t="s">
        <v>365</v>
      </c>
      <c r="I88" s="80"/>
      <c r="J88" s="79" t="s">
        <v>366</v>
      </c>
      <c r="K88" s="79" t="s">
        <v>367</v>
      </c>
      <c r="L88" s="81" t="s">
        <v>321</v>
      </c>
      <c r="M88" s="81"/>
      <c r="N88" s="82">
        <v>43647</v>
      </c>
      <c r="O88" s="82">
        <v>44742</v>
      </c>
      <c r="P88" s="83">
        <f t="shared" si="22"/>
        <v>3</v>
      </c>
      <c r="Q88" s="77" t="s">
        <v>19</v>
      </c>
      <c r="R88" s="77" t="s">
        <v>79</v>
      </c>
      <c r="S88" s="77" t="str">
        <f t="shared" si="23"/>
        <v>Z</v>
      </c>
      <c r="T88" s="84">
        <v>1</v>
      </c>
      <c r="U88" s="84">
        <v>1</v>
      </c>
      <c r="V88" s="84">
        <v>1</v>
      </c>
      <c r="W88" s="84">
        <f t="shared" si="24"/>
        <v>3</v>
      </c>
      <c r="X88" s="84" t="str">
        <f t="shared" si="25"/>
        <v>Biasa</v>
      </c>
      <c r="Y88" s="78" t="s">
        <v>368</v>
      </c>
      <c r="Z88" s="115"/>
      <c r="AA88" s="82"/>
      <c r="AB88" s="82"/>
      <c r="AC88" s="82"/>
      <c r="AD88" s="27"/>
      <c r="AE88" s="85"/>
      <c r="AF88" s="77" t="s">
        <v>192</v>
      </c>
      <c r="AG88" s="77"/>
      <c r="AH88" s="21"/>
      <c r="AI88" s="21"/>
      <c r="AJ88" s="21"/>
      <c r="AK88" s="21"/>
      <c r="AL88" s="21"/>
      <c r="AM88" s="27" t="s">
        <v>358</v>
      </c>
      <c r="AN88" s="86"/>
      <c r="AO88" s="87"/>
      <c r="AP88" s="82">
        <f t="shared" si="26"/>
        <v>48392</v>
      </c>
      <c r="AQ88" s="4"/>
      <c r="AR88" s="4"/>
      <c r="AS88" s="4"/>
      <c r="AT88" s="4"/>
    </row>
    <row r="89" spans="1:46" s="88" customFormat="1" ht="111.95" customHeight="1" x14ac:dyDescent="0.25">
      <c r="A89" s="76">
        <v>272</v>
      </c>
      <c r="B89" s="76" t="s">
        <v>74</v>
      </c>
      <c r="C89" s="76"/>
      <c r="D89" s="76"/>
      <c r="E89" s="76"/>
      <c r="F89" s="78" t="s">
        <v>381</v>
      </c>
      <c r="G89" s="79" t="s">
        <v>204</v>
      </c>
      <c r="H89" s="79" t="s">
        <v>382</v>
      </c>
      <c r="I89" s="80"/>
      <c r="J89" s="79" t="s">
        <v>383</v>
      </c>
      <c r="K89" s="79" t="s">
        <v>384</v>
      </c>
      <c r="L89" s="81" t="s">
        <v>186</v>
      </c>
      <c r="M89" s="81"/>
      <c r="N89" s="82">
        <v>43647</v>
      </c>
      <c r="O89" s="82">
        <v>44742</v>
      </c>
      <c r="P89" s="83">
        <f t="shared" si="22"/>
        <v>3</v>
      </c>
      <c r="Q89" s="77" t="s">
        <v>19</v>
      </c>
      <c r="R89" s="77" t="s">
        <v>79</v>
      </c>
      <c r="S89" s="77" t="str">
        <f t="shared" si="23"/>
        <v>Z</v>
      </c>
      <c r="T89" s="84">
        <v>1</v>
      </c>
      <c r="U89" s="84">
        <v>1</v>
      </c>
      <c r="V89" s="84">
        <v>1</v>
      </c>
      <c r="W89" s="84">
        <f t="shared" si="24"/>
        <v>3</v>
      </c>
      <c r="X89" s="84" t="str">
        <f t="shared" si="25"/>
        <v>Biasa</v>
      </c>
      <c r="Y89" s="78" t="s">
        <v>368</v>
      </c>
      <c r="Z89" s="115"/>
      <c r="AA89" s="82"/>
      <c r="AB89" s="82"/>
      <c r="AC89" s="82"/>
      <c r="AD89" s="27"/>
      <c r="AE89" s="85"/>
      <c r="AF89" s="77" t="s">
        <v>192</v>
      </c>
      <c r="AG89" s="77"/>
      <c r="AH89" s="21"/>
      <c r="AI89" s="21"/>
      <c r="AJ89" s="21"/>
      <c r="AK89" s="21"/>
      <c r="AL89" s="21"/>
      <c r="AM89" s="27" t="s">
        <v>358</v>
      </c>
      <c r="AN89" s="86"/>
      <c r="AO89" s="87"/>
      <c r="AP89" s="82">
        <f t="shared" si="26"/>
        <v>48392</v>
      </c>
      <c r="AQ89" s="4"/>
      <c r="AR89" s="4"/>
      <c r="AS89" s="4"/>
      <c r="AT89" s="4"/>
    </row>
    <row r="90" spans="1:46" s="88" customFormat="1" ht="111.95" customHeight="1" x14ac:dyDescent="0.25">
      <c r="A90" s="76">
        <v>273</v>
      </c>
      <c r="B90" s="76" t="s">
        <v>74</v>
      </c>
      <c r="C90" s="76"/>
      <c r="D90" s="76"/>
      <c r="E90" s="76"/>
      <c r="F90" s="78" t="s">
        <v>399</v>
      </c>
      <c r="G90" s="79" t="s">
        <v>204</v>
      </c>
      <c r="H90" s="79" t="s">
        <v>400</v>
      </c>
      <c r="I90" s="80"/>
      <c r="J90" s="79" t="s">
        <v>401</v>
      </c>
      <c r="K90" s="79" t="s">
        <v>402</v>
      </c>
      <c r="L90" s="81" t="s">
        <v>321</v>
      </c>
      <c r="M90" s="81"/>
      <c r="N90" s="82">
        <v>43587</v>
      </c>
      <c r="O90" s="82">
        <v>44682</v>
      </c>
      <c r="P90" s="83">
        <f t="shared" si="22"/>
        <v>3</v>
      </c>
      <c r="Q90" s="77" t="s">
        <v>19</v>
      </c>
      <c r="R90" s="77" t="s">
        <v>79</v>
      </c>
      <c r="S90" s="77" t="str">
        <f t="shared" ref="S90:S121" si="27">IF(R90="End","Z",IF(R90="Cancel","C",IF(SUM(R90)&gt;0,"O",IF(ISBLANK(R90),"X",IF(SUM(R90)&lt;0,"Y",IF(SUM(R90),"-","O"))))))</f>
        <v>Z</v>
      </c>
      <c r="T90" s="84">
        <v>1</v>
      </c>
      <c r="U90" s="84">
        <v>1</v>
      </c>
      <c r="V90" s="84">
        <v>1</v>
      </c>
      <c r="W90" s="84">
        <f t="shared" ref="W90:W121" si="28">T90+U90+V90</f>
        <v>3</v>
      </c>
      <c r="X90" s="84" t="str">
        <f t="shared" ref="X90:X121" si="29">IF(W90&gt;5,"Penting",IF(ISBLANK(W90),"","Biasa"))</f>
        <v>Biasa</v>
      </c>
      <c r="Y90" s="78" t="s">
        <v>357</v>
      </c>
      <c r="Z90" s="115"/>
      <c r="AA90" s="82"/>
      <c r="AB90" s="82"/>
      <c r="AC90" s="82"/>
      <c r="AD90" s="27"/>
      <c r="AE90" s="85"/>
      <c r="AF90" s="77" t="s">
        <v>192</v>
      </c>
      <c r="AG90" s="77"/>
      <c r="AH90" s="21"/>
      <c r="AI90" s="21"/>
      <c r="AJ90" s="21"/>
      <c r="AK90" s="21"/>
      <c r="AL90" s="21"/>
      <c r="AM90" s="27" t="s">
        <v>358</v>
      </c>
      <c r="AN90" s="86">
        <v>43600</v>
      </c>
      <c r="AO90" s="87"/>
      <c r="AP90" s="82">
        <f t="shared" si="26"/>
        <v>48332</v>
      </c>
      <c r="AQ90" s="4"/>
      <c r="AR90" s="4"/>
      <c r="AS90" s="4"/>
      <c r="AT90" s="4"/>
    </row>
    <row r="91" spans="1:46" s="88" customFormat="1" ht="111.95" customHeight="1" x14ac:dyDescent="0.25">
      <c r="A91" s="76">
        <v>274</v>
      </c>
      <c r="B91" s="76" t="s">
        <v>74</v>
      </c>
      <c r="C91" s="76"/>
      <c r="D91" s="76"/>
      <c r="E91" s="76"/>
      <c r="F91" s="78" t="s">
        <v>474</v>
      </c>
      <c r="G91" s="79" t="s">
        <v>204</v>
      </c>
      <c r="H91" s="79" t="s">
        <v>475</v>
      </c>
      <c r="I91" s="80"/>
      <c r="J91" s="79" t="s">
        <v>476</v>
      </c>
      <c r="K91" s="79" t="s">
        <v>477</v>
      </c>
      <c r="L91" s="81" t="s">
        <v>186</v>
      </c>
      <c r="M91" s="81"/>
      <c r="N91" s="82">
        <v>44378</v>
      </c>
      <c r="O91" s="82">
        <v>44742</v>
      </c>
      <c r="P91" s="83">
        <f t="shared" si="22"/>
        <v>0.99726027397260275</v>
      </c>
      <c r="Q91" s="77" t="s">
        <v>19</v>
      </c>
      <c r="R91" s="77" t="s">
        <v>79</v>
      </c>
      <c r="S91" s="77" t="str">
        <f t="shared" si="27"/>
        <v>Z</v>
      </c>
      <c r="T91" s="84">
        <v>1</v>
      </c>
      <c r="U91" s="84">
        <v>1</v>
      </c>
      <c r="V91" s="84">
        <v>1</v>
      </c>
      <c r="W91" s="84">
        <f t="shared" si="28"/>
        <v>3</v>
      </c>
      <c r="X91" s="84" t="str">
        <f t="shared" si="29"/>
        <v>Biasa</v>
      </c>
      <c r="Y91" s="78" t="s">
        <v>368</v>
      </c>
      <c r="Z91" s="115"/>
      <c r="AA91" s="82"/>
      <c r="AB91" s="82"/>
      <c r="AC91" s="82"/>
      <c r="AD91" s="27"/>
      <c r="AE91" s="85"/>
      <c r="AF91" s="77" t="s">
        <v>342</v>
      </c>
      <c r="AG91" s="77"/>
      <c r="AH91" s="21"/>
      <c r="AI91" s="21"/>
      <c r="AJ91" s="21"/>
      <c r="AK91" s="21"/>
      <c r="AL91" s="21"/>
      <c r="AM91" s="27" t="s">
        <v>87</v>
      </c>
      <c r="AN91" s="86">
        <v>44407</v>
      </c>
      <c r="AO91" s="87"/>
      <c r="AP91" s="82">
        <f t="shared" si="26"/>
        <v>48392</v>
      </c>
      <c r="AQ91" s="4"/>
      <c r="AR91" s="4"/>
      <c r="AS91" s="4"/>
      <c r="AT91" s="4"/>
    </row>
    <row r="92" spans="1:46" s="88" customFormat="1" ht="111.95" customHeight="1" x14ac:dyDescent="0.25">
      <c r="A92" s="76">
        <v>275</v>
      </c>
      <c r="B92" s="76" t="s">
        <v>74</v>
      </c>
      <c r="C92" s="76"/>
      <c r="D92" s="76"/>
      <c r="E92" s="76"/>
      <c r="F92" s="78" t="s">
        <v>485</v>
      </c>
      <c r="G92" s="79" t="s">
        <v>204</v>
      </c>
      <c r="H92" s="79" t="s">
        <v>486</v>
      </c>
      <c r="I92" s="80"/>
      <c r="J92" s="79" t="s">
        <v>324</v>
      </c>
      <c r="K92" s="79" t="s">
        <v>487</v>
      </c>
      <c r="L92" s="81" t="s">
        <v>321</v>
      </c>
      <c r="M92" s="81"/>
      <c r="N92" s="82">
        <v>43556</v>
      </c>
      <c r="O92" s="82">
        <v>44651</v>
      </c>
      <c r="P92" s="83">
        <f t="shared" si="22"/>
        <v>3</v>
      </c>
      <c r="Q92" s="77" t="s">
        <v>19</v>
      </c>
      <c r="R92" s="77" t="s">
        <v>79</v>
      </c>
      <c r="S92" s="77" t="str">
        <f t="shared" si="27"/>
        <v>Z</v>
      </c>
      <c r="T92" s="84">
        <v>1</v>
      </c>
      <c r="U92" s="84">
        <v>1</v>
      </c>
      <c r="V92" s="84">
        <v>1</v>
      </c>
      <c r="W92" s="84">
        <f t="shared" si="28"/>
        <v>3</v>
      </c>
      <c r="X92" s="84" t="str">
        <f t="shared" si="29"/>
        <v>Biasa</v>
      </c>
      <c r="Y92" s="78" t="s">
        <v>488</v>
      </c>
      <c r="Z92" s="115"/>
      <c r="AA92" s="82"/>
      <c r="AB92" s="82"/>
      <c r="AC92" s="82"/>
      <c r="AD92" s="27"/>
      <c r="AE92" s="85"/>
      <c r="AF92" s="77" t="s">
        <v>192</v>
      </c>
      <c r="AG92" s="77"/>
      <c r="AH92" s="21"/>
      <c r="AI92" s="21"/>
      <c r="AJ92" s="21"/>
      <c r="AK92" s="21"/>
      <c r="AL92" s="21"/>
      <c r="AM92" s="27" t="s">
        <v>358</v>
      </c>
      <c r="AN92" s="86">
        <v>43544</v>
      </c>
      <c r="AO92" s="87"/>
      <c r="AP92" s="82">
        <f t="shared" si="26"/>
        <v>48301</v>
      </c>
      <c r="AQ92" s="4"/>
      <c r="AR92" s="4"/>
      <c r="AS92" s="4"/>
      <c r="AT92" s="4"/>
    </row>
    <row r="93" spans="1:46" s="88" customFormat="1" ht="111.95" customHeight="1" x14ac:dyDescent="0.25">
      <c r="A93" s="76">
        <v>276</v>
      </c>
      <c r="B93" s="76" t="s">
        <v>74</v>
      </c>
      <c r="C93" s="76"/>
      <c r="D93" s="76"/>
      <c r="E93" s="76"/>
      <c r="F93" s="78" t="s">
        <v>470</v>
      </c>
      <c r="G93" s="79" t="s">
        <v>204</v>
      </c>
      <c r="H93" s="79" t="s">
        <v>471</v>
      </c>
      <c r="I93" s="80"/>
      <c r="J93" s="79" t="s">
        <v>472</v>
      </c>
      <c r="K93" s="79" t="s">
        <v>473</v>
      </c>
      <c r="L93" s="81" t="s">
        <v>186</v>
      </c>
      <c r="M93" s="81"/>
      <c r="N93" s="82">
        <v>44013</v>
      </c>
      <c r="O93" s="82">
        <v>44742</v>
      </c>
      <c r="P93" s="83">
        <f t="shared" si="22"/>
        <v>1.9972602739726026</v>
      </c>
      <c r="Q93" s="77" t="s">
        <v>19</v>
      </c>
      <c r="R93" s="77" t="s">
        <v>79</v>
      </c>
      <c r="S93" s="77" t="str">
        <f t="shared" si="27"/>
        <v>Z</v>
      </c>
      <c r="T93" s="84">
        <v>1</v>
      </c>
      <c r="U93" s="84">
        <v>1</v>
      </c>
      <c r="V93" s="84">
        <v>1</v>
      </c>
      <c r="W93" s="84">
        <f t="shared" si="28"/>
        <v>3</v>
      </c>
      <c r="X93" s="84" t="str">
        <f t="shared" si="29"/>
        <v>Biasa</v>
      </c>
      <c r="Y93" s="78" t="s">
        <v>368</v>
      </c>
      <c r="Z93" s="115"/>
      <c r="AA93" s="82"/>
      <c r="AB93" s="82"/>
      <c r="AC93" s="82"/>
      <c r="AD93" s="27"/>
      <c r="AE93" s="85"/>
      <c r="AF93" s="77" t="s">
        <v>192</v>
      </c>
      <c r="AG93" s="77"/>
      <c r="AH93" s="21"/>
      <c r="AI93" s="21"/>
      <c r="AJ93" s="21"/>
      <c r="AK93" s="21"/>
      <c r="AL93" s="21"/>
      <c r="AM93" s="27" t="s">
        <v>87</v>
      </c>
      <c r="AN93" s="86">
        <v>44013</v>
      </c>
      <c r="AO93" s="87"/>
      <c r="AP93" s="82">
        <f t="shared" si="26"/>
        <v>48392</v>
      </c>
      <c r="AQ93" s="4"/>
      <c r="AR93" s="4"/>
      <c r="AS93" s="4"/>
      <c r="AT93" s="4"/>
    </row>
    <row r="94" spans="1:46" s="88" customFormat="1" ht="111.95" customHeight="1" x14ac:dyDescent="0.25">
      <c r="A94" s="76">
        <v>277</v>
      </c>
      <c r="B94" s="76" t="s">
        <v>74</v>
      </c>
      <c r="C94" s="76"/>
      <c r="D94" s="76"/>
      <c r="E94" s="76"/>
      <c r="F94" s="78" t="s">
        <v>704</v>
      </c>
      <c r="G94" s="79" t="s">
        <v>693</v>
      </c>
      <c r="H94" s="79" t="s">
        <v>705</v>
      </c>
      <c r="I94" s="80"/>
      <c r="J94" s="79" t="s">
        <v>695</v>
      </c>
      <c r="K94" s="79" t="s">
        <v>706</v>
      </c>
      <c r="L94" s="81">
        <v>9000</v>
      </c>
      <c r="M94" s="81" t="s">
        <v>697</v>
      </c>
      <c r="N94" s="82">
        <v>44697</v>
      </c>
      <c r="O94" s="82">
        <v>44819</v>
      </c>
      <c r="P94" s="83">
        <f t="shared" si="22"/>
        <v>0.33424657534246577</v>
      </c>
      <c r="Q94" s="77" t="s">
        <v>19</v>
      </c>
      <c r="R94" s="77" t="s">
        <v>79</v>
      </c>
      <c r="S94" s="77" t="str">
        <f t="shared" si="27"/>
        <v>Z</v>
      </c>
      <c r="T94" s="84">
        <v>3</v>
      </c>
      <c r="U94" s="84">
        <v>2</v>
      </c>
      <c r="V94" s="84">
        <v>2</v>
      </c>
      <c r="W94" s="84">
        <f t="shared" si="28"/>
        <v>7</v>
      </c>
      <c r="X94" s="84" t="str">
        <f t="shared" si="29"/>
        <v>Penting</v>
      </c>
      <c r="Y94" s="78"/>
      <c r="Z94" s="115"/>
      <c r="AA94" s="82"/>
      <c r="AB94" s="82"/>
      <c r="AC94" s="82"/>
      <c r="AD94" s="27" t="s">
        <v>14</v>
      </c>
      <c r="AE94" s="85">
        <v>44805</v>
      </c>
      <c r="AF94" s="77" t="s">
        <v>192</v>
      </c>
      <c r="AG94" s="77"/>
      <c r="AH94" s="21"/>
      <c r="AI94" s="21"/>
      <c r="AJ94" s="21"/>
      <c r="AK94" s="21"/>
      <c r="AL94" s="21"/>
      <c r="AM94" s="27" t="s">
        <v>87</v>
      </c>
      <c r="AN94" s="86"/>
      <c r="AO94" s="87"/>
      <c r="AP94" s="82">
        <f t="shared" si="26"/>
        <v>48469</v>
      </c>
      <c r="AQ94" s="4"/>
      <c r="AR94" s="4"/>
      <c r="AS94" s="4"/>
      <c r="AT94" s="4"/>
    </row>
    <row r="95" spans="1:46" s="88" customFormat="1" ht="111.95" customHeight="1" x14ac:dyDescent="0.25">
      <c r="A95" s="76">
        <v>278</v>
      </c>
      <c r="B95" s="76" t="s">
        <v>74</v>
      </c>
      <c r="C95" s="76"/>
      <c r="D95" s="76"/>
      <c r="E95" s="76"/>
      <c r="F95" s="78" t="s">
        <v>710</v>
      </c>
      <c r="G95" s="79" t="s">
        <v>693</v>
      </c>
      <c r="H95" s="79" t="s">
        <v>711</v>
      </c>
      <c r="I95" s="80"/>
      <c r="J95" s="79" t="s">
        <v>695</v>
      </c>
      <c r="K95" s="79" t="s">
        <v>712</v>
      </c>
      <c r="L95" s="81">
        <v>9000</v>
      </c>
      <c r="M95" s="81" t="s">
        <v>697</v>
      </c>
      <c r="N95" s="82">
        <v>44820</v>
      </c>
      <c r="O95" s="82">
        <v>44827</v>
      </c>
      <c r="P95" s="83">
        <f t="shared" si="22"/>
        <v>1.9178082191780823E-2</v>
      </c>
      <c r="Q95" s="77" t="s">
        <v>19</v>
      </c>
      <c r="R95" s="77" t="s">
        <v>79</v>
      </c>
      <c r="S95" s="77" t="str">
        <f t="shared" si="27"/>
        <v>Z</v>
      </c>
      <c r="T95" s="84">
        <v>3</v>
      </c>
      <c r="U95" s="84">
        <v>2</v>
      </c>
      <c r="V95" s="84">
        <v>2</v>
      </c>
      <c r="W95" s="84">
        <f t="shared" si="28"/>
        <v>7</v>
      </c>
      <c r="X95" s="84" t="str">
        <f t="shared" si="29"/>
        <v>Penting</v>
      </c>
      <c r="Y95" s="78"/>
      <c r="Z95" s="115"/>
      <c r="AA95" s="82"/>
      <c r="AB95" s="82"/>
      <c r="AC95" s="82"/>
      <c r="AD95" s="27" t="s">
        <v>14</v>
      </c>
      <c r="AE95" s="85">
        <v>44827</v>
      </c>
      <c r="AF95" s="77" t="s">
        <v>192</v>
      </c>
      <c r="AG95" s="77"/>
      <c r="AH95" s="21"/>
      <c r="AI95" s="21"/>
      <c r="AJ95" s="21"/>
      <c r="AK95" s="21"/>
      <c r="AL95" s="21"/>
      <c r="AM95" s="27" t="s">
        <v>100</v>
      </c>
      <c r="AN95" s="86">
        <v>44819</v>
      </c>
      <c r="AO95" s="87"/>
      <c r="AP95" s="82">
        <f t="shared" si="26"/>
        <v>48477</v>
      </c>
      <c r="AQ95" s="4"/>
      <c r="AR95" s="4"/>
      <c r="AS95" s="4"/>
      <c r="AT95" s="4"/>
    </row>
    <row r="96" spans="1:46" s="88" customFormat="1" ht="111.95" customHeight="1" x14ac:dyDescent="0.25">
      <c r="A96" s="76">
        <v>279</v>
      </c>
      <c r="B96" s="76" t="s">
        <v>74</v>
      </c>
      <c r="C96" s="76"/>
      <c r="D96" s="76"/>
      <c r="E96" s="76"/>
      <c r="F96" s="78" t="s">
        <v>451</v>
      </c>
      <c r="G96" s="79" t="s">
        <v>204</v>
      </c>
      <c r="H96" s="79" t="s">
        <v>452</v>
      </c>
      <c r="I96" s="80"/>
      <c r="J96" s="79" t="s">
        <v>453</v>
      </c>
      <c r="K96" s="79" t="s">
        <v>454</v>
      </c>
      <c r="L96" s="81" t="s">
        <v>321</v>
      </c>
      <c r="M96" s="81"/>
      <c r="N96" s="82">
        <v>43647</v>
      </c>
      <c r="O96" s="82">
        <v>44742</v>
      </c>
      <c r="P96" s="83">
        <f t="shared" si="22"/>
        <v>3</v>
      </c>
      <c r="Q96" s="77" t="s">
        <v>19</v>
      </c>
      <c r="R96" s="77" t="s">
        <v>79</v>
      </c>
      <c r="S96" s="77" t="str">
        <f t="shared" si="27"/>
        <v>Z</v>
      </c>
      <c r="T96" s="84">
        <v>1</v>
      </c>
      <c r="U96" s="84">
        <v>1</v>
      </c>
      <c r="V96" s="84">
        <v>1</v>
      </c>
      <c r="W96" s="84">
        <f t="shared" si="28"/>
        <v>3</v>
      </c>
      <c r="X96" s="84" t="str">
        <f t="shared" si="29"/>
        <v>Biasa</v>
      </c>
      <c r="Y96" s="78" t="s">
        <v>223</v>
      </c>
      <c r="Z96" s="115"/>
      <c r="AA96" s="82"/>
      <c r="AB96" s="82"/>
      <c r="AC96" s="82"/>
      <c r="AD96" s="27"/>
      <c r="AE96" s="85"/>
      <c r="AF96" s="77" t="s">
        <v>192</v>
      </c>
      <c r="AG96" s="77"/>
      <c r="AH96" s="21"/>
      <c r="AI96" s="21"/>
      <c r="AJ96" s="21"/>
      <c r="AK96" s="21"/>
      <c r="AL96" s="21"/>
      <c r="AM96" s="27" t="s">
        <v>87</v>
      </c>
      <c r="AN96" s="86"/>
      <c r="AO96" s="87"/>
      <c r="AP96" s="82">
        <f t="shared" si="26"/>
        <v>48392</v>
      </c>
      <c r="AQ96" s="4"/>
      <c r="AR96" s="4"/>
      <c r="AS96" s="4"/>
      <c r="AT96" s="4"/>
    </row>
    <row r="97" spans="1:48" s="88" customFormat="1" ht="111.95" customHeight="1" x14ac:dyDescent="0.25">
      <c r="A97" s="76">
        <v>280</v>
      </c>
      <c r="B97" s="76" t="s">
        <v>74</v>
      </c>
      <c r="C97" s="76"/>
      <c r="D97" s="76"/>
      <c r="E97" s="76"/>
      <c r="F97" s="78" t="s">
        <v>409</v>
      </c>
      <c r="G97" s="79" t="s">
        <v>204</v>
      </c>
      <c r="H97" s="79" t="s">
        <v>410</v>
      </c>
      <c r="I97" s="80"/>
      <c r="J97" s="79" t="s">
        <v>404</v>
      </c>
      <c r="K97" s="79" t="s">
        <v>411</v>
      </c>
      <c r="L97" s="81">
        <v>250000</v>
      </c>
      <c r="M97" s="81" t="s">
        <v>406</v>
      </c>
      <c r="N97" s="82">
        <v>44526</v>
      </c>
      <c r="O97" s="82">
        <v>44890</v>
      </c>
      <c r="P97" s="83">
        <f t="shared" si="22"/>
        <v>0.99726027397260275</v>
      </c>
      <c r="Q97" s="77" t="s">
        <v>19</v>
      </c>
      <c r="R97" s="77" t="s">
        <v>79</v>
      </c>
      <c r="S97" s="77" t="str">
        <f t="shared" si="27"/>
        <v>Z</v>
      </c>
      <c r="T97" s="84">
        <v>1</v>
      </c>
      <c r="U97" s="84">
        <v>1</v>
      </c>
      <c r="V97" s="84">
        <v>1</v>
      </c>
      <c r="W97" s="84">
        <f t="shared" si="28"/>
        <v>3</v>
      </c>
      <c r="X97" s="84" t="str">
        <f t="shared" si="29"/>
        <v>Biasa</v>
      </c>
      <c r="Y97" s="78" t="s">
        <v>412</v>
      </c>
      <c r="Z97" s="115"/>
      <c r="AA97" s="82"/>
      <c r="AB97" s="82"/>
      <c r="AC97" s="82"/>
      <c r="AD97" s="27" t="s">
        <v>86</v>
      </c>
      <c r="AE97" s="85">
        <v>44501</v>
      </c>
      <c r="AF97" s="77" t="s">
        <v>192</v>
      </c>
      <c r="AG97" s="77"/>
      <c r="AH97" s="21"/>
      <c r="AI97" s="21"/>
      <c r="AJ97" s="21"/>
      <c r="AK97" s="21"/>
      <c r="AL97" s="21"/>
      <c r="AM97" s="27" t="s">
        <v>87</v>
      </c>
      <c r="AN97" s="86"/>
      <c r="AO97" s="87"/>
      <c r="AP97" s="82">
        <f t="shared" si="26"/>
        <v>48540</v>
      </c>
      <c r="AQ97" s="4"/>
      <c r="AR97" s="4"/>
      <c r="AS97" s="4"/>
      <c r="AT97" s="4"/>
    </row>
    <row r="98" spans="1:48" s="88" customFormat="1" ht="111.95" customHeight="1" x14ac:dyDescent="0.25">
      <c r="A98" s="76">
        <v>281</v>
      </c>
      <c r="B98" s="76" t="s">
        <v>74</v>
      </c>
      <c r="C98" s="76"/>
      <c r="D98" s="76"/>
      <c r="E98" s="76"/>
      <c r="F98" s="78" t="s">
        <v>271</v>
      </c>
      <c r="G98" s="79" t="s">
        <v>272</v>
      </c>
      <c r="H98" s="79" t="s">
        <v>273</v>
      </c>
      <c r="I98" s="80"/>
      <c r="J98" s="79" t="s">
        <v>274</v>
      </c>
      <c r="K98" s="79" t="s">
        <v>275</v>
      </c>
      <c r="L98" s="81">
        <v>132600000</v>
      </c>
      <c r="M98" s="81"/>
      <c r="N98" s="82">
        <v>44348</v>
      </c>
      <c r="O98" s="82">
        <v>44562</v>
      </c>
      <c r="P98" s="83">
        <f t="shared" si="22"/>
        <v>0.58630136986301373</v>
      </c>
      <c r="Q98" s="77" t="s">
        <v>19</v>
      </c>
      <c r="R98" s="77" t="s">
        <v>79</v>
      </c>
      <c r="S98" s="77" t="str">
        <f t="shared" si="27"/>
        <v>Z</v>
      </c>
      <c r="T98" s="84">
        <v>1</v>
      </c>
      <c r="U98" s="84">
        <v>1</v>
      </c>
      <c r="V98" s="84">
        <v>1</v>
      </c>
      <c r="W98" s="84">
        <f t="shared" si="28"/>
        <v>3</v>
      </c>
      <c r="X98" s="84" t="str">
        <f t="shared" si="29"/>
        <v>Biasa</v>
      </c>
      <c r="Y98" s="78" t="s">
        <v>276</v>
      </c>
      <c r="Z98" s="115"/>
      <c r="AA98" s="82"/>
      <c r="AB98" s="82"/>
      <c r="AC98" s="82"/>
      <c r="AD98" s="27" t="s">
        <v>14</v>
      </c>
      <c r="AE98" s="85">
        <v>44562</v>
      </c>
      <c r="AF98" s="77" t="s">
        <v>192</v>
      </c>
      <c r="AG98" s="77"/>
      <c r="AH98" s="21"/>
      <c r="AI98" s="21"/>
      <c r="AJ98" s="21"/>
      <c r="AK98" s="21"/>
      <c r="AL98" s="21"/>
      <c r="AM98" s="27"/>
      <c r="AN98" s="86"/>
      <c r="AO98" s="87"/>
      <c r="AP98" s="82">
        <f t="shared" si="26"/>
        <v>48212</v>
      </c>
      <c r="AQ98" s="4"/>
      <c r="AR98" s="4"/>
      <c r="AS98" s="4"/>
      <c r="AT98" s="4"/>
    </row>
    <row r="99" spans="1:48" s="88" customFormat="1" ht="111.95" customHeight="1" x14ac:dyDescent="0.25">
      <c r="A99" s="76">
        <v>282</v>
      </c>
      <c r="B99" s="76" t="s">
        <v>74</v>
      </c>
      <c r="C99" s="76"/>
      <c r="D99" s="76"/>
      <c r="E99" s="76"/>
      <c r="F99" s="78" t="s">
        <v>289</v>
      </c>
      <c r="G99" s="79" t="s">
        <v>290</v>
      </c>
      <c r="H99" s="79" t="s">
        <v>291</v>
      </c>
      <c r="I99" s="80"/>
      <c r="J99" s="79" t="s">
        <v>292</v>
      </c>
      <c r="K99" s="79" t="s">
        <v>293</v>
      </c>
      <c r="L99" s="81">
        <v>39000000</v>
      </c>
      <c r="M99" s="81"/>
      <c r="N99" s="82">
        <v>44501</v>
      </c>
      <c r="O99" s="82">
        <v>44742</v>
      </c>
      <c r="P99" s="83">
        <f t="shared" si="22"/>
        <v>0.66027397260273968</v>
      </c>
      <c r="Q99" s="77" t="s">
        <v>19</v>
      </c>
      <c r="R99" s="77" t="s">
        <v>79</v>
      </c>
      <c r="S99" s="77" t="str">
        <f t="shared" si="27"/>
        <v>Z</v>
      </c>
      <c r="T99" s="84">
        <v>1</v>
      </c>
      <c r="U99" s="84">
        <v>1</v>
      </c>
      <c r="V99" s="84">
        <v>1</v>
      </c>
      <c r="W99" s="84">
        <f t="shared" si="28"/>
        <v>3</v>
      </c>
      <c r="X99" s="84" t="str">
        <f t="shared" si="29"/>
        <v>Biasa</v>
      </c>
      <c r="Y99" s="78"/>
      <c r="Z99" s="115"/>
      <c r="AA99" s="82"/>
      <c r="AB99" s="82"/>
      <c r="AC99" s="82"/>
      <c r="AD99" s="27" t="s">
        <v>79</v>
      </c>
      <c r="AE99" s="85">
        <v>44743</v>
      </c>
      <c r="AF99" s="77" t="s">
        <v>192</v>
      </c>
      <c r="AG99" s="77"/>
      <c r="AH99" s="21"/>
      <c r="AI99" s="21"/>
      <c r="AJ99" s="21"/>
      <c r="AK99" s="21"/>
      <c r="AL99" s="21"/>
      <c r="AM99" s="27" t="s">
        <v>87</v>
      </c>
      <c r="AN99" s="86"/>
      <c r="AO99" s="87"/>
      <c r="AP99" s="82">
        <f t="shared" si="26"/>
        <v>48392</v>
      </c>
      <c r="AQ99" s="4"/>
      <c r="AR99" s="4"/>
      <c r="AS99" s="4"/>
      <c r="AT99" s="4"/>
    </row>
    <row r="100" spans="1:48" s="88" customFormat="1" ht="111.95" customHeight="1" x14ac:dyDescent="0.25">
      <c r="A100" s="76">
        <v>283</v>
      </c>
      <c r="B100" s="76" t="s">
        <v>74</v>
      </c>
      <c r="C100" s="76"/>
      <c r="D100" s="76"/>
      <c r="E100" s="76"/>
      <c r="F100" s="78" t="s">
        <v>294</v>
      </c>
      <c r="G100" s="79" t="s">
        <v>204</v>
      </c>
      <c r="H100" s="79" t="s">
        <v>295</v>
      </c>
      <c r="I100" s="80"/>
      <c r="J100" s="79" t="s">
        <v>296</v>
      </c>
      <c r="K100" s="79"/>
      <c r="L100" s="81">
        <v>60000</v>
      </c>
      <c r="M100" s="81" t="s">
        <v>297</v>
      </c>
      <c r="N100" s="82">
        <v>44529</v>
      </c>
      <c r="O100" s="82" t="s">
        <v>75</v>
      </c>
      <c r="P100" s="83" t="s">
        <v>75</v>
      </c>
      <c r="Q100" s="77" t="s">
        <v>19</v>
      </c>
      <c r="R100" s="77" t="s">
        <v>79</v>
      </c>
      <c r="S100" s="77" t="str">
        <f t="shared" si="27"/>
        <v>Z</v>
      </c>
      <c r="T100" s="84">
        <v>1</v>
      </c>
      <c r="U100" s="84">
        <v>1</v>
      </c>
      <c r="V100" s="84">
        <v>1</v>
      </c>
      <c r="W100" s="84">
        <f t="shared" si="28"/>
        <v>3</v>
      </c>
      <c r="X100" s="84" t="str">
        <f t="shared" si="29"/>
        <v>Biasa</v>
      </c>
      <c r="Y100" s="78"/>
      <c r="Z100" s="115"/>
      <c r="AA100" s="82"/>
      <c r="AB100" s="82"/>
      <c r="AC100" s="82"/>
      <c r="AD100" s="27" t="s">
        <v>86</v>
      </c>
      <c r="AE100" s="85">
        <v>44501</v>
      </c>
      <c r="AF100" s="77" t="s">
        <v>192</v>
      </c>
      <c r="AG100" s="77"/>
      <c r="AH100" s="21"/>
      <c r="AI100" s="21"/>
      <c r="AJ100" s="21"/>
      <c r="AK100" s="21"/>
      <c r="AL100" s="21"/>
      <c r="AM100" s="27" t="s">
        <v>87</v>
      </c>
      <c r="AN100" s="86"/>
      <c r="AO100" s="87"/>
      <c r="AP100" s="82" t="e">
        <f t="shared" si="26"/>
        <v>#VALUE!</v>
      </c>
      <c r="AQ100" s="4"/>
      <c r="AR100" s="4"/>
      <c r="AS100" s="4"/>
      <c r="AT100" s="4"/>
    </row>
    <row r="101" spans="1:48" s="88" customFormat="1" ht="111.95" customHeight="1" x14ac:dyDescent="0.25">
      <c r="A101" s="76">
        <v>284</v>
      </c>
      <c r="B101" s="76" t="s">
        <v>74</v>
      </c>
      <c r="C101" s="76"/>
      <c r="D101" s="76"/>
      <c r="E101" s="76"/>
      <c r="F101" s="78" t="s">
        <v>532</v>
      </c>
      <c r="G101" s="79" t="s">
        <v>204</v>
      </c>
      <c r="H101" s="79" t="s">
        <v>533</v>
      </c>
      <c r="I101" s="80"/>
      <c r="J101" s="79" t="s">
        <v>534</v>
      </c>
      <c r="K101" s="79" t="s">
        <v>535</v>
      </c>
      <c r="L101" s="81" t="s">
        <v>536</v>
      </c>
      <c r="M101" s="81" t="s">
        <v>537</v>
      </c>
      <c r="N101" s="82">
        <v>44210</v>
      </c>
      <c r="O101" s="82">
        <v>44575</v>
      </c>
      <c r="P101" s="83">
        <f>(O101-N101)/365</f>
        <v>1</v>
      </c>
      <c r="Q101" s="77" t="s">
        <v>19</v>
      </c>
      <c r="R101" s="77" t="s">
        <v>79</v>
      </c>
      <c r="S101" s="77" t="str">
        <f t="shared" si="27"/>
        <v>Z</v>
      </c>
      <c r="T101" s="84">
        <v>1</v>
      </c>
      <c r="U101" s="84">
        <v>1</v>
      </c>
      <c r="V101" s="84">
        <v>1</v>
      </c>
      <c r="W101" s="84">
        <f t="shared" si="28"/>
        <v>3</v>
      </c>
      <c r="X101" s="84" t="str">
        <f t="shared" si="29"/>
        <v>Biasa</v>
      </c>
      <c r="Y101" s="78" t="s">
        <v>538</v>
      </c>
      <c r="Z101" s="115"/>
      <c r="AA101" s="82"/>
      <c r="AB101" s="82"/>
      <c r="AC101" s="82"/>
      <c r="AD101" s="27" t="s">
        <v>14</v>
      </c>
      <c r="AE101" s="85">
        <v>44576</v>
      </c>
      <c r="AF101" s="77" t="s">
        <v>192</v>
      </c>
      <c r="AG101" s="77"/>
      <c r="AH101" s="21"/>
      <c r="AI101" s="21"/>
      <c r="AJ101" s="21"/>
      <c r="AK101" s="21"/>
      <c r="AL101" s="21"/>
      <c r="AM101" s="27"/>
      <c r="AN101" s="86"/>
      <c r="AO101" s="87"/>
      <c r="AP101" s="82">
        <f t="shared" si="26"/>
        <v>48225</v>
      </c>
      <c r="AQ101" s="4"/>
      <c r="AR101" s="4"/>
      <c r="AS101" s="4"/>
      <c r="AT101" s="4"/>
    </row>
    <row r="102" spans="1:48" s="88" customFormat="1" ht="111.95" customHeight="1" x14ac:dyDescent="0.25">
      <c r="A102" s="76">
        <v>285</v>
      </c>
      <c r="B102" s="76" t="s">
        <v>74</v>
      </c>
      <c r="C102" s="76"/>
      <c r="D102" s="76"/>
      <c r="E102" s="76"/>
      <c r="F102" s="78" t="s">
        <v>660</v>
      </c>
      <c r="G102" s="79" t="s">
        <v>661</v>
      </c>
      <c r="H102" s="79" t="s">
        <v>662</v>
      </c>
      <c r="I102" s="80"/>
      <c r="J102" s="79" t="s">
        <v>659</v>
      </c>
      <c r="K102" s="79"/>
      <c r="L102" s="81">
        <v>215450000</v>
      </c>
      <c r="M102" s="81"/>
      <c r="N102" s="82">
        <v>42917</v>
      </c>
      <c r="O102" s="82">
        <v>44742</v>
      </c>
      <c r="P102" s="83">
        <f>(O102-N102)/365</f>
        <v>5</v>
      </c>
      <c r="Q102" s="77" t="s">
        <v>19</v>
      </c>
      <c r="R102" s="77" t="s">
        <v>79</v>
      </c>
      <c r="S102" s="77" t="str">
        <f t="shared" si="27"/>
        <v>Z</v>
      </c>
      <c r="T102" s="84">
        <v>1</v>
      </c>
      <c r="U102" s="84">
        <v>3</v>
      </c>
      <c r="V102" s="84">
        <v>1</v>
      </c>
      <c r="W102" s="84">
        <f t="shared" si="28"/>
        <v>5</v>
      </c>
      <c r="X102" s="84" t="str">
        <f t="shared" si="29"/>
        <v>Biasa</v>
      </c>
      <c r="Y102" s="78"/>
      <c r="Z102" s="115"/>
      <c r="AA102" s="82"/>
      <c r="AB102" s="82"/>
      <c r="AC102" s="82"/>
      <c r="AD102" s="27"/>
      <c r="AE102" s="85"/>
      <c r="AF102" s="77" t="s">
        <v>192</v>
      </c>
      <c r="AG102" s="77"/>
      <c r="AH102" s="21"/>
      <c r="AI102" s="21"/>
      <c r="AJ102" s="21"/>
      <c r="AK102" s="21"/>
      <c r="AL102" s="21"/>
      <c r="AM102" s="27" t="s">
        <v>663</v>
      </c>
      <c r="AN102" s="86"/>
      <c r="AO102" s="87"/>
      <c r="AP102" s="82">
        <f t="shared" si="26"/>
        <v>48392</v>
      </c>
      <c r="AQ102" s="4"/>
      <c r="AR102" s="4"/>
      <c r="AS102" s="4"/>
      <c r="AT102" s="4"/>
    </row>
    <row r="103" spans="1:48" s="88" customFormat="1" ht="111.95" customHeight="1" x14ac:dyDescent="0.25">
      <c r="A103" s="76">
        <v>286</v>
      </c>
      <c r="B103" s="76" t="s">
        <v>74</v>
      </c>
      <c r="C103" s="76"/>
      <c r="D103" s="76"/>
      <c r="E103" s="76"/>
      <c r="F103" s="78" t="s">
        <v>664</v>
      </c>
      <c r="G103" s="79" t="s">
        <v>665</v>
      </c>
      <c r="H103" s="79" t="s">
        <v>666</v>
      </c>
      <c r="I103" s="80"/>
      <c r="J103" s="79" t="s">
        <v>659</v>
      </c>
      <c r="K103" s="79"/>
      <c r="L103" s="81">
        <v>208875000</v>
      </c>
      <c r="M103" s="81"/>
      <c r="N103" s="82">
        <v>42948</v>
      </c>
      <c r="O103" s="82">
        <v>44773</v>
      </c>
      <c r="P103" s="83">
        <f>(O103-N103)/365</f>
        <v>5</v>
      </c>
      <c r="Q103" s="77" t="s">
        <v>19</v>
      </c>
      <c r="R103" s="77" t="s">
        <v>79</v>
      </c>
      <c r="S103" s="77" t="str">
        <f t="shared" si="27"/>
        <v>Z</v>
      </c>
      <c r="T103" s="84">
        <v>1</v>
      </c>
      <c r="U103" s="84">
        <v>3</v>
      </c>
      <c r="V103" s="84">
        <v>1</v>
      </c>
      <c r="W103" s="84">
        <f t="shared" si="28"/>
        <v>5</v>
      </c>
      <c r="X103" s="84" t="str">
        <f t="shared" si="29"/>
        <v>Biasa</v>
      </c>
      <c r="Y103" s="78"/>
      <c r="Z103" s="115"/>
      <c r="AA103" s="82"/>
      <c r="AB103" s="82"/>
      <c r="AC103" s="82"/>
      <c r="AD103" s="27"/>
      <c r="AE103" s="85"/>
      <c r="AF103" s="77" t="s">
        <v>192</v>
      </c>
      <c r="AG103" s="77"/>
      <c r="AH103" s="21"/>
      <c r="AI103" s="21"/>
      <c r="AJ103" s="21"/>
      <c r="AK103" s="21"/>
      <c r="AL103" s="21"/>
      <c r="AM103" s="27" t="s">
        <v>663</v>
      </c>
      <c r="AN103" s="86"/>
      <c r="AO103" s="87"/>
      <c r="AP103" s="82">
        <f t="shared" si="26"/>
        <v>48423</v>
      </c>
      <c r="AQ103" s="4"/>
      <c r="AR103" s="4"/>
      <c r="AS103" s="4"/>
      <c r="AT103" s="4"/>
    </row>
    <row r="104" spans="1:48" s="88" customFormat="1" ht="111.95" customHeight="1" x14ac:dyDescent="0.25">
      <c r="A104" s="76">
        <v>287</v>
      </c>
      <c r="B104" s="76" t="s">
        <v>74</v>
      </c>
      <c r="C104" s="76"/>
      <c r="D104" s="76"/>
      <c r="E104" s="76"/>
      <c r="F104" s="78" t="s">
        <v>75</v>
      </c>
      <c r="G104" s="79" t="s">
        <v>675</v>
      </c>
      <c r="H104" s="79" t="s">
        <v>676</v>
      </c>
      <c r="I104" s="80"/>
      <c r="J104" s="79" t="s">
        <v>677</v>
      </c>
      <c r="K104" s="79"/>
      <c r="L104" s="81"/>
      <c r="M104" s="81"/>
      <c r="N104" s="82">
        <v>43178</v>
      </c>
      <c r="O104" s="82" t="s">
        <v>75</v>
      </c>
      <c r="P104" s="83" t="s">
        <v>75</v>
      </c>
      <c r="Q104" s="77" t="s">
        <v>19</v>
      </c>
      <c r="R104" s="77" t="s">
        <v>79</v>
      </c>
      <c r="S104" s="77" t="str">
        <f t="shared" si="27"/>
        <v>Z</v>
      </c>
      <c r="T104" s="84">
        <v>1</v>
      </c>
      <c r="U104" s="84">
        <v>3</v>
      </c>
      <c r="V104" s="84">
        <v>1</v>
      </c>
      <c r="W104" s="84">
        <f t="shared" si="28"/>
        <v>5</v>
      </c>
      <c r="X104" s="84" t="str">
        <f t="shared" si="29"/>
        <v>Biasa</v>
      </c>
      <c r="Y104" s="78"/>
      <c r="Z104" s="115"/>
      <c r="AA104" s="82"/>
      <c r="AB104" s="82"/>
      <c r="AC104" s="82"/>
      <c r="AD104" s="27"/>
      <c r="AE104" s="85"/>
      <c r="AF104" s="77" t="s">
        <v>678</v>
      </c>
      <c r="AG104" s="77"/>
      <c r="AH104" s="21"/>
      <c r="AI104" s="21"/>
      <c r="AJ104" s="21"/>
      <c r="AK104" s="21"/>
      <c r="AL104" s="21"/>
      <c r="AM104" s="27"/>
      <c r="AN104" s="86"/>
      <c r="AO104" s="87"/>
      <c r="AP104" s="82" t="e">
        <f t="shared" si="26"/>
        <v>#VALUE!</v>
      </c>
      <c r="AQ104" s="4"/>
      <c r="AR104" s="4"/>
      <c r="AS104" s="4"/>
      <c r="AT104" s="4"/>
    </row>
    <row r="105" spans="1:48" s="88" customFormat="1" ht="111.95" customHeight="1" x14ac:dyDescent="0.25">
      <c r="A105" s="76">
        <v>288</v>
      </c>
      <c r="B105" s="76" t="s">
        <v>74</v>
      </c>
      <c r="C105" s="76"/>
      <c r="D105" s="76"/>
      <c r="E105" s="76"/>
      <c r="F105" s="78" t="s">
        <v>75</v>
      </c>
      <c r="G105" s="79" t="s">
        <v>679</v>
      </c>
      <c r="H105" s="79" t="s">
        <v>676</v>
      </c>
      <c r="I105" s="80"/>
      <c r="J105" s="79" t="s">
        <v>680</v>
      </c>
      <c r="K105" s="79"/>
      <c r="L105" s="81"/>
      <c r="M105" s="81"/>
      <c r="N105" s="82">
        <v>43272</v>
      </c>
      <c r="O105" s="82">
        <v>43585</v>
      </c>
      <c r="P105" s="83">
        <f t="shared" ref="P105:P144" si="30">(O105-N105)/365</f>
        <v>0.8575342465753425</v>
      </c>
      <c r="Q105" s="77" t="s">
        <v>19</v>
      </c>
      <c r="R105" s="77" t="s">
        <v>79</v>
      </c>
      <c r="S105" s="77" t="str">
        <f t="shared" si="27"/>
        <v>Z</v>
      </c>
      <c r="T105" s="84">
        <v>1</v>
      </c>
      <c r="U105" s="84">
        <v>3</v>
      </c>
      <c r="V105" s="84">
        <v>1</v>
      </c>
      <c r="W105" s="84">
        <f t="shared" si="28"/>
        <v>5</v>
      </c>
      <c r="X105" s="84" t="str">
        <f t="shared" si="29"/>
        <v>Biasa</v>
      </c>
      <c r="Y105" s="78" t="s">
        <v>681</v>
      </c>
      <c r="Z105" s="115"/>
      <c r="AA105" s="82"/>
      <c r="AB105" s="82"/>
      <c r="AC105" s="82"/>
      <c r="AD105" s="27"/>
      <c r="AE105" s="85"/>
      <c r="AF105" s="77" t="s">
        <v>678</v>
      </c>
      <c r="AG105" s="77"/>
      <c r="AH105" s="21"/>
      <c r="AI105" s="21"/>
      <c r="AJ105" s="21"/>
      <c r="AK105" s="21"/>
      <c r="AL105" s="21"/>
      <c r="AM105" s="27"/>
      <c r="AN105" s="86"/>
      <c r="AO105" s="87"/>
      <c r="AP105" s="82">
        <f t="shared" si="26"/>
        <v>47235</v>
      </c>
      <c r="AQ105" s="4"/>
      <c r="AR105" s="4"/>
      <c r="AS105" s="4"/>
      <c r="AT105" s="4"/>
    </row>
    <row r="106" spans="1:48" s="88" customFormat="1" ht="111.95" customHeight="1" x14ac:dyDescent="0.25">
      <c r="A106" s="76">
        <v>289</v>
      </c>
      <c r="B106" s="76" t="s">
        <v>74</v>
      </c>
      <c r="C106" s="76"/>
      <c r="D106" s="76"/>
      <c r="E106" s="76"/>
      <c r="F106" s="78" t="s">
        <v>75</v>
      </c>
      <c r="G106" s="79" t="s">
        <v>679</v>
      </c>
      <c r="H106" s="79" t="s">
        <v>676</v>
      </c>
      <c r="I106" s="80"/>
      <c r="J106" s="79" t="s">
        <v>682</v>
      </c>
      <c r="K106" s="79"/>
      <c r="L106" s="81"/>
      <c r="M106" s="81"/>
      <c r="N106" s="82">
        <v>43847</v>
      </c>
      <c r="O106" s="82">
        <v>44362</v>
      </c>
      <c r="P106" s="83">
        <f t="shared" si="30"/>
        <v>1.4109589041095891</v>
      </c>
      <c r="Q106" s="77" t="s">
        <v>19</v>
      </c>
      <c r="R106" s="77" t="s">
        <v>79</v>
      </c>
      <c r="S106" s="77" t="str">
        <f t="shared" si="27"/>
        <v>Z</v>
      </c>
      <c r="T106" s="84">
        <v>1</v>
      </c>
      <c r="U106" s="84">
        <v>3</v>
      </c>
      <c r="V106" s="84">
        <v>1</v>
      </c>
      <c r="W106" s="84">
        <f t="shared" si="28"/>
        <v>5</v>
      </c>
      <c r="X106" s="84" t="str">
        <f t="shared" si="29"/>
        <v>Biasa</v>
      </c>
      <c r="Y106" s="78" t="s">
        <v>683</v>
      </c>
      <c r="Z106" s="115"/>
      <c r="AA106" s="82"/>
      <c r="AB106" s="82"/>
      <c r="AC106" s="82"/>
      <c r="AD106" s="27"/>
      <c r="AE106" s="85"/>
      <c r="AF106" s="77" t="s">
        <v>678</v>
      </c>
      <c r="AG106" s="77"/>
      <c r="AH106" s="21"/>
      <c r="AI106" s="21"/>
      <c r="AJ106" s="21"/>
      <c r="AK106" s="21"/>
      <c r="AL106" s="21"/>
      <c r="AM106" s="27"/>
      <c r="AN106" s="86"/>
      <c r="AO106" s="87"/>
      <c r="AP106" s="82">
        <f t="shared" si="26"/>
        <v>48012</v>
      </c>
      <c r="AQ106" s="4"/>
      <c r="AR106" s="4"/>
      <c r="AS106" s="4"/>
      <c r="AT106" s="4"/>
    </row>
    <row r="107" spans="1:48" s="88" customFormat="1" ht="111.95" customHeight="1" x14ac:dyDescent="0.25">
      <c r="A107" s="76">
        <v>290</v>
      </c>
      <c r="B107" s="76" t="s">
        <v>74</v>
      </c>
      <c r="C107" s="76"/>
      <c r="D107" s="76"/>
      <c r="E107" s="76"/>
      <c r="F107" s="78" t="s">
        <v>330</v>
      </c>
      <c r="G107" s="79" t="s">
        <v>204</v>
      </c>
      <c r="H107" s="79" t="s">
        <v>331</v>
      </c>
      <c r="I107" s="80"/>
      <c r="J107" s="79" t="s">
        <v>332</v>
      </c>
      <c r="K107" s="79" t="s">
        <v>333</v>
      </c>
      <c r="L107" s="81" t="s">
        <v>186</v>
      </c>
      <c r="M107" s="81"/>
      <c r="N107" s="82">
        <v>44013</v>
      </c>
      <c r="O107" s="82">
        <v>44742</v>
      </c>
      <c r="P107" s="83">
        <f t="shared" si="30"/>
        <v>1.9972602739726026</v>
      </c>
      <c r="Q107" s="77" t="s">
        <v>19</v>
      </c>
      <c r="R107" s="77" t="s">
        <v>79</v>
      </c>
      <c r="S107" s="77" t="str">
        <f t="shared" si="27"/>
        <v>Z</v>
      </c>
      <c r="T107" s="84">
        <v>2</v>
      </c>
      <c r="U107" s="84">
        <v>2</v>
      </c>
      <c r="V107" s="84">
        <v>1</v>
      </c>
      <c r="W107" s="84">
        <f t="shared" si="28"/>
        <v>5</v>
      </c>
      <c r="X107" s="84" t="str">
        <f t="shared" si="29"/>
        <v>Biasa</v>
      </c>
      <c r="Y107" s="78" t="s">
        <v>334</v>
      </c>
      <c r="Z107" s="115"/>
      <c r="AA107" s="82"/>
      <c r="AB107" s="82"/>
      <c r="AC107" s="82"/>
      <c r="AD107" s="27" t="s">
        <v>14</v>
      </c>
      <c r="AE107" s="85">
        <v>44501</v>
      </c>
      <c r="AF107" s="77" t="s">
        <v>188</v>
      </c>
      <c r="AG107" s="77"/>
      <c r="AH107" s="21"/>
      <c r="AI107" s="21"/>
      <c r="AJ107" s="21"/>
      <c r="AK107" s="21"/>
      <c r="AL107" s="21"/>
      <c r="AM107" s="27"/>
      <c r="AN107" s="86"/>
      <c r="AO107" s="87"/>
      <c r="AP107" s="82">
        <f t="shared" si="26"/>
        <v>48392</v>
      </c>
      <c r="AQ107" s="4"/>
      <c r="AR107" s="4"/>
      <c r="AS107" s="4"/>
      <c r="AT107" s="4"/>
    </row>
    <row r="108" spans="1:48" s="88" customFormat="1" ht="111.95" customHeight="1" x14ac:dyDescent="0.25">
      <c r="A108" s="76">
        <v>291</v>
      </c>
      <c r="B108" s="76" t="s">
        <v>74</v>
      </c>
      <c r="C108" s="76"/>
      <c r="D108" s="76"/>
      <c r="E108" s="76"/>
      <c r="F108" s="78" t="s">
        <v>644</v>
      </c>
      <c r="G108" s="79" t="s">
        <v>645</v>
      </c>
      <c r="H108" s="79" t="s">
        <v>646</v>
      </c>
      <c r="I108" s="80"/>
      <c r="J108" s="79"/>
      <c r="K108" s="79"/>
      <c r="L108" s="81">
        <v>137500000</v>
      </c>
      <c r="M108" s="81"/>
      <c r="N108" s="82">
        <v>42733</v>
      </c>
      <c r="O108" s="82">
        <v>44571</v>
      </c>
      <c r="P108" s="83">
        <f t="shared" si="30"/>
        <v>5.0356164383561648</v>
      </c>
      <c r="Q108" s="77" t="s">
        <v>19</v>
      </c>
      <c r="R108" s="77" t="s">
        <v>79</v>
      </c>
      <c r="S108" s="77" t="str">
        <f t="shared" si="27"/>
        <v>Z</v>
      </c>
      <c r="T108" s="84">
        <v>1</v>
      </c>
      <c r="U108" s="84">
        <v>3</v>
      </c>
      <c r="V108" s="84">
        <v>1</v>
      </c>
      <c r="W108" s="84">
        <f t="shared" si="28"/>
        <v>5</v>
      </c>
      <c r="X108" s="84" t="str">
        <f t="shared" si="29"/>
        <v>Biasa</v>
      </c>
      <c r="Y108" s="78" t="s">
        <v>647</v>
      </c>
      <c r="Z108" s="115"/>
      <c r="AA108" s="82"/>
      <c r="AB108" s="82"/>
      <c r="AC108" s="82"/>
      <c r="AD108" s="27"/>
      <c r="AE108" s="85"/>
      <c r="AF108" s="77" t="s">
        <v>192</v>
      </c>
      <c r="AG108" s="77"/>
      <c r="AH108" s="21"/>
      <c r="AI108" s="21"/>
      <c r="AJ108" s="21"/>
      <c r="AK108" s="21"/>
      <c r="AL108" s="21"/>
      <c r="AM108" s="27"/>
      <c r="AN108" s="86"/>
      <c r="AO108" s="87"/>
      <c r="AP108" s="82">
        <f t="shared" si="26"/>
        <v>48221</v>
      </c>
      <c r="AQ108" s="4"/>
      <c r="AR108" s="4"/>
      <c r="AS108" s="4"/>
      <c r="AT108" s="4"/>
    </row>
    <row r="109" spans="1:48" s="88" customFormat="1" ht="111.95" customHeight="1" x14ac:dyDescent="0.25">
      <c r="A109" s="76">
        <v>292</v>
      </c>
      <c r="B109" s="76" t="s">
        <v>74</v>
      </c>
      <c r="C109" s="76"/>
      <c r="D109" s="76"/>
      <c r="E109" s="76"/>
      <c r="F109" s="78" t="s">
        <v>648</v>
      </c>
      <c r="G109" s="79" t="s">
        <v>649</v>
      </c>
      <c r="H109" s="79" t="s">
        <v>356</v>
      </c>
      <c r="I109" s="80"/>
      <c r="J109" s="79" t="s">
        <v>650</v>
      </c>
      <c r="K109" s="79" t="s">
        <v>651</v>
      </c>
      <c r="L109" s="81">
        <f>11850000*34</f>
        <v>402900000</v>
      </c>
      <c r="M109" s="81"/>
      <c r="N109" s="82">
        <v>42935</v>
      </c>
      <c r="O109" s="82">
        <v>44031</v>
      </c>
      <c r="P109" s="83">
        <f t="shared" si="30"/>
        <v>3.0027397260273974</v>
      </c>
      <c r="Q109" s="77" t="s">
        <v>19</v>
      </c>
      <c r="R109" s="77" t="s">
        <v>79</v>
      </c>
      <c r="S109" s="77" t="str">
        <f t="shared" si="27"/>
        <v>Z</v>
      </c>
      <c r="T109" s="84">
        <v>1</v>
      </c>
      <c r="U109" s="84">
        <v>3</v>
      </c>
      <c r="V109" s="84">
        <v>1</v>
      </c>
      <c r="W109" s="84">
        <f t="shared" si="28"/>
        <v>5</v>
      </c>
      <c r="X109" s="84" t="str">
        <f t="shared" si="29"/>
        <v>Biasa</v>
      </c>
      <c r="Y109" s="78" t="s">
        <v>652</v>
      </c>
      <c r="Z109" s="115"/>
      <c r="AA109" s="82"/>
      <c r="AB109" s="82"/>
      <c r="AC109" s="82"/>
      <c r="AD109" s="27"/>
      <c r="AE109" s="85"/>
      <c r="AF109" s="77" t="s">
        <v>192</v>
      </c>
      <c r="AG109" s="77"/>
      <c r="AH109" s="21"/>
      <c r="AI109" s="21"/>
      <c r="AJ109" s="21"/>
      <c r="AK109" s="21"/>
      <c r="AL109" s="21"/>
      <c r="AM109" s="27"/>
      <c r="AN109" s="86"/>
      <c r="AO109" s="87"/>
      <c r="AP109" s="82">
        <f t="shared" si="26"/>
        <v>47681</v>
      </c>
      <c r="AQ109" s="4"/>
      <c r="AR109" s="4"/>
      <c r="AS109" s="4"/>
      <c r="AT109" s="4"/>
      <c r="AV109" s="88" t="s">
        <v>823</v>
      </c>
    </row>
    <row r="110" spans="1:48" s="88" customFormat="1" ht="111.95" customHeight="1" x14ac:dyDescent="0.25">
      <c r="A110" s="76">
        <v>293</v>
      </c>
      <c r="B110" s="76" t="s">
        <v>74</v>
      </c>
      <c r="C110" s="76"/>
      <c r="D110" s="76"/>
      <c r="E110" s="76"/>
      <c r="F110" s="78" t="s">
        <v>653</v>
      </c>
      <c r="G110" s="79" t="s">
        <v>654</v>
      </c>
      <c r="H110" s="79" t="s">
        <v>356</v>
      </c>
      <c r="I110" s="80"/>
      <c r="J110" s="79" t="s">
        <v>655</v>
      </c>
      <c r="K110" s="79" t="s">
        <v>651</v>
      </c>
      <c r="L110" s="81">
        <f>4295000*34</f>
        <v>146030000</v>
      </c>
      <c r="M110" s="81"/>
      <c r="N110" s="82">
        <v>42947</v>
      </c>
      <c r="O110" s="82">
        <v>44012</v>
      </c>
      <c r="P110" s="83">
        <f t="shared" si="30"/>
        <v>2.9178082191780823</v>
      </c>
      <c r="Q110" s="77" t="s">
        <v>19</v>
      </c>
      <c r="R110" s="77" t="s">
        <v>79</v>
      </c>
      <c r="S110" s="77" t="str">
        <f t="shared" si="27"/>
        <v>Z</v>
      </c>
      <c r="T110" s="84">
        <v>1</v>
      </c>
      <c r="U110" s="84">
        <v>3</v>
      </c>
      <c r="V110" s="84">
        <v>1</v>
      </c>
      <c r="W110" s="84">
        <f t="shared" si="28"/>
        <v>5</v>
      </c>
      <c r="X110" s="84" t="str">
        <f t="shared" si="29"/>
        <v>Biasa</v>
      </c>
      <c r="Y110" s="78" t="s">
        <v>652</v>
      </c>
      <c r="Z110" s="115"/>
      <c r="AA110" s="82"/>
      <c r="AB110" s="82"/>
      <c r="AC110" s="82"/>
      <c r="AD110" s="27"/>
      <c r="AE110" s="85"/>
      <c r="AF110" s="77" t="s">
        <v>192</v>
      </c>
      <c r="AG110" s="77"/>
      <c r="AH110" s="21"/>
      <c r="AI110" s="21"/>
      <c r="AJ110" s="21"/>
      <c r="AK110" s="21"/>
      <c r="AL110" s="21"/>
      <c r="AM110" s="27"/>
      <c r="AN110" s="86"/>
      <c r="AO110" s="87"/>
      <c r="AP110" s="82">
        <f t="shared" si="26"/>
        <v>47662</v>
      </c>
      <c r="AQ110" s="4"/>
      <c r="AR110" s="4"/>
      <c r="AS110" s="4"/>
      <c r="AT110" s="4"/>
    </row>
    <row r="111" spans="1:48" s="88" customFormat="1" ht="111.95" customHeight="1" x14ac:dyDescent="0.25">
      <c r="A111" s="76">
        <v>294</v>
      </c>
      <c r="B111" s="76" t="s">
        <v>74</v>
      </c>
      <c r="C111" s="76"/>
      <c r="D111" s="76"/>
      <c r="E111" s="76"/>
      <c r="F111" s="78" t="s">
        <v>656</v>
      </c>
      <c r="G111" s="79" t="s">
        <v>657</v>
      </c>
      <c r="H111" s="79" t="s">
        <v>658</v>
      </c>
      <c r="I111" s="80"/>
      <c r="J111" s="79" t="s">
        <v>659</v>
      </c>
      <c r="K111" s="79"/>
      <c r="L111" s="81">
        <v>214400000</v>
      </c>
      <c r="M111" s="81"/>
      <c r="N111" s="82">
        <v>42491</v>
      </c>
      <c r="O111" s="82">
        <v>44316</v>
      </c>
      <c r="P111" s="83">
        <f t="shared" si="30"/>
        <v>5</v>
      </c>
      <c r="Q111" s="77" t="s">
        <v>19</v>
      </c>
      <c r="R111" s="77" t="s">
        <v>79</v>
      </c>
      <c r="S111" s="77" t="str">
        <f t="shared" si="27"/>
        <v>Z</v>
      </c>
      <c r="T111" s="84">
        <v>1</v>
      </c>
      <c r="U111" s="84">
        <v>3</v>
      </c>
      <c r="V111" s="84">
        <v>1</v>
      </c>
      <c r="W111" s="84">
        <f t="shared" si="28"/>
        <v>5</v>
      </c>
      <c r="X111" s="84" t="str">
        <f t="shared" si="29"/>
        <v>Biasa</v>
      </c>
      <c r="Y111" s="78"/>
      <c r="Z111" s="115"/>
      <c r="AA111" s="82"/>
      <c r="AB111" s="82"/>
      <c r="AC111" s="82"/>
      <c r="AD111" s="27"/>
      <c r="AE111" s="85"/>
      <c r="AF111" s="77" t="s">
        <v>192</v>
      </c>
      <c r="AG111" s="77"/>
      <c r="AH111" s="21"/>
      <c r="AI111" s="21"/>
      <c r="AJ111" s="21"/>
      <c r="AK111" s="21"/>
      <c r="AL111" s="21"/>
      <c r="AM111" s="27"/>
      <c r="AN111" s="86"/>
      <c r="AO111" s="87"/>
      <c r="AP111" s="82">
        <f t="shared" si="26"/>
        <v>47966</v>
      </c>
      <c r="AQ111" s="4"/>
      <c r="AR111" s="4"/>
      <c r="AS111" s="4"/>
      <c r="AT111" s="4"/>
    </row>
    <row r="112" spans="1:48" s="88" customFormat="1" ht="111.95" customHeight="1" x14ac:dyDescent="0.25">
      <c r="A112" s="76">
        <v>295</v>
      </c>
      <c r="B112" s="76" t="s">
        <v>74</v>
      </c>
      <c r="C112" s="76"/>
      <c r="D112" s="76"/>
      <c r="E112" s="76"/>
      <c r="F112" s="78" t="s">
        <v>667</v>
      </c>
      <c r="G112" s="79" t="s">
        <v>668</v>
      </c>
      <c r="H112" s="79" t="s">
        <v>638</v>
      </c>
      <c r="I112" s="80"/>
      <c r="J112" s="79" t="s">
        <v>669</v>
      </c>
      <c r="K112" s="79"/>
      <c r="L112" s="81">
        <v>313000000</v>
      </c>
      <c r="M112" s="81"/>
      <c r="N112" s="82">
        <v>42186</v>
      </c>
      <c r="O112" s="82">
        <v>44012</v>
      </c>
      <c r="P112" s="83">
        <f t="shared" si="30"/>
        <v>5.0027397260273974</v>
      </c>
      <c r="Q112" s="77" t="s">
        <v>19</v>
      </c>
      <c r="R112" s="77" t="s">
        <v>79</v>
      </c>
      <c r="S112" s="77" t="str">
        <f t="shared" si="27"/>
        <v>Z</v>
      </c>
      <c r="T112" s="84">
        <v>1</v>
      </c>
      <c r="U112" s="84">
        <v>3</v>
      </c>
      <c r="V112" s="84">
        <v>1</v>
      </c>
      <c r="W112" s="84">
        <f t="shared" si="28"/>
        <v>5</v>
      </c>
      <c r="X112" s="84" t="str">
        <f t="shared" si="29"/>
        <v>Biasa</v>
      </c>
      <c r="Y112" s="78"/>
      <c r="Z112" s="115"/>
      <c r="AA112" s="82"/>
      <c r="AB112" s="82"/>
      <c r="AC112" s="82"/>
      <c r="AD112" s="27"/>
      <c r="AE112" s="85"/>
      <c r="AF112" s="77" t="s">
        <v>192</v>
      </c>
      <c r="AG112" s="77"/>
      <c r="AH112" s="21"/>
      <c r="AI112" s="21"/>
      <c r="AJ112" s="21"/>
      <c r="AK112" s="21"/>
      <c r="AL112" s="21"/>
      <c r="AM112" s="27"/>
      <c r="AN112" s="86"/>
      <c r="AO112" s="87"/>
      <c r="AP112" s="82">
        <f t="shared" si="26"/>
        <v>47662</v>
      </c>
      <c r="AQ112" s="4"/>
      <c r="AR112" s="4"/>
      <c r="AS112" s="4"/>
      <c r="AT112" s="4"/>
    </row>
    <row r="113" spans="1:46" s="88" customFormat="1" ht="111.95" customHeight="1" x14ac:dyDescent="0.25">
      <c r="A113" s="76">
        <v>296</v>
      </c>
      <c r="B113" s="76" t="s">
        <v>74</v>
      </c>
      <c r="C113" s="76"/>
      <c r="D113" s="76"/>
      <c r="E113" s="76"/>
      <c r="F113" s="78" t="s">
        <v>734</v>
      </c>
      <c r="G113" s="79" t="s">
        <v>729</v>
      </c>
      <c r="H113" s="79" t="s">
        <v>735</v>
      </c>
      <c r="I113" s="80"/>
      <c r="J113" s="79" t="s">
        <v>731</v>
      </c>
      <c r="K113" s="79" t="s">
        <v>736</v>
      </c>
      <c r="L113" s="81"/>
      <c r="M113" s="81"/>
      <c r="N113" s="82">
        <v>43313</v>
      </c>
      <c r="O113" s="82">
        <v>44773</v>
      </c>
      <c r="P113" s="83">
        <f t="shared" si="30"/>
        <v>4</v>
      </c>
      <c r="Q113" s="77" t="s">
        <v>23</v>
      </c>
      <c r="R113" s="77" t="s">
        <v>79</v>
      </c>
      <c r="S113" s="77" t="str">
        <f t="shared" si="27"/>
        <v>Z</v>
      </c>
      <c r="T113" s="84">
        <v>1</v>
      </c>
      <c r="U113" s="84">
        <v>1</v>
      </c>
      <c r="V113" s="84">
        <v>1</v>
      </c>
      <c r="W113" s="84">
        <f t="shared" si="28"/>
        <v>3</v>
      </c>
      <c r="X113" s="84" t="str">
        <f t="shared" si="29"/>
        <v>Biasa</v>
      </c>
      <c r="Y113" s="78" t="s">
        <v>737</v>
      </c>
      <c r="Z113" s="115"/>
      <c r="AA113" s="82"/>
      <c r="AB113" s="82"/>
      <c r="AC113" s="82"/>
      <c r="AD113" s="27"/>
      <c r="AE113" s="85"/>
      <c r="AF113" s="77" t="s">
        <v>733</v>
      </c>
      <c r="AG113" s="77"/>
      <c r="AH113" s="21"/>
      <c r="AI113" s="21"/>
      <c r="AJ113" s="21"/>
      <c r="AK113" s="21"/>
      <c r="AL113" s="21"/>
      <c r="AM113" s="27" t="s">
        <v>358</v>
      </c>
      <c r="AN113" s="86"/>
      <c r="AO113" s="87"/>
      <c r="AP113" s="82">
        <f t="shared" si="26"/>
        <v>48423</v>
      </c>
      <c r="AQ113" s="4"/>
      <c r="AR113" s="4"/>
      <c r="AS113" s="4"/>
      <c r="AT113" s="4"/>
    </row>
    <row r="114" spans="1:46" s="88" customFormat="1" ht="111" x14ac:dyDescent="0.25">
      <c r="A114" s="76">
        <v>297</v>
      </c>
      <c r="B114" s="76" t="s">
        <v>74</v>
      </c>
      <c r="C114" s="76"/>
      <c r="D114" s="76"/>
      <c r="E114" s="76"/>
      <c r="F114" s="78" t="s">
        <v>745</v>
      </c>
      <c r="G114" s="79" t="s">
        <v>729</v>
      </c>
      <c r="H114" s="79" t="s">
        <v>746</v>
      </c>
      <c r="I114" s="80"/>
      <c r="J114" s="79" t="s">
        <v>731</v>
      </c>
      <c r="K114" s="79" t="s">
        <v>747</v>
      </c>
      <c r="L114" s="81"/>
      <c r="M114" s="81"/>
      <c r="N114" s="82">
        <v>43891</v>
      </c>
      <c r="O114" s="82">
        <v>44679</v>
      </c>
      <c r="P114" s="83">
        <f t="shared" si="30"/>
        <v>2.1589041095890411</v>
      </c>
      <c r="Q114" s="77" t="s">
        <v>23</v>
      </c>
      <c r="R114" s="77" t="s">
        <v>79</v>
      </c>
      <c r="S114" s="77" t="str">
        <f t="shared" si="27"/>
        <v>Z</v>
      </c>
      <c r="T114" s="84">
        <v>1</v>
      </c>
      <c r="U114" s="84">
        <v>1</v>
      </c>
      <c r="V114" s="84">
        <v>1</v>
      </c>
      <c r="W114" s="84">
        <f t="shared" si="28"/>
        <v>3</v>
      </c>
      <c r="X114" s="84" t="str">
        <f t="shared" si="29"/>
        <v>Biasa</v>
      </c>
      <c r="Y114" s="78" t="s">
        <v>748</v>
      </c>
      <c r="Z114" s="115"/>
      <c r="AA114" s="82"/>
      <c r="AB114" s="82"/>
      <c r="AC114" s="82"/>
      <c r="AD114" s="27"/>
      <c r="AE114" s="85"/>
      <c r="AF114" s="77" t="s">
        <v>733</v>
      </c>
      <c r="AG114" s="77"/>
      <c r="AH114" s="21"/>
      <c r="AI114" s="21"/>
      <c r="AJ114" s="21"/>
      <c r="AK114" s="21"/>
      <c r="AL114" s="21"/>
      <c r="AM114" s="27" t="s">
        <v>87</v>
      </c>
      <c r="AN114" s="86">
        <v>43930</v>
      </c>
      <c r="AO114" s="87"/>
      <c r="AP114" s="82">
        <f t="shared" si="26"/>
        <v>48329</v>
      </c>
      <c r="AQ114" s="4"/>
      <c r="AR114" s="4"/>
      <c r="AS114" s="4"/>
      <c r="AT114" s="4"/>
    </row>
    <row r="115" spans="1:46" s="88" customFormat="1" ht="111.95" customHeight="1" x14ac:dyDescent="0.25">
      <c r="A115" s="76">
        <v>298</v>
      </c>
      <c r="B115" s="76" t="s">
        <v>74</v>
      </c>
      <c r="C115" s="76"/>
      <c r="D115" s="76"/>
      <c r="E115" s="76"/>
      <c r="F115" s="78" t="s">
        <v>756</v>
      </c>
      <c r="G115" s="79" t="s">
        <v>757</v>
      </c>
      <c r="H115" s="79" t="s">
        <v>758</v>
      </c>
      <c r="I115" s="80"/>
      <c r="J115" s="79" t="s">
        <v>759</v>
      </c>
      <c r="K115" s="79" t="s">
        <v>760</v>
      </c>
      <c r="L115" s="81"/>
      <c r="M115" s="81"/>
      <c r="N115" s="82">
        <v>43922</v>
      </c>
      <c r="O115" s="82">
        <v>44651</v>
      </c>
      <c r="P115" s="83">
        <f t="shared" si="30"/>
        <v>1.9972602739726026</v>
      </c>
      <c r="Q115" s="77" t="s">
        <v>23</v>
      </c>
      <c r="R115" s="77" t="s">
        <v>79</v>
      </c>
      <c r="S115" s="77" t="str">
        <f t="shared" si="27"/>
        <v>Z</v>
      </c>
      <c r="T115" s="84">
        <v>1</v>
      </c>
      <c r="U115" s="84">
        <v>3</v>
      </c>
      <c r="V115" s="84">
        <v>1</v>
      </c>
      <c r="W115" s="84">
        <f t="shared" si="28"/>
        <v>5</v>
      </c>
      <c r="X115" s="84" t="str">
        <f t="shared" si="29"/>
        <v>Biasa</v>
      </c>
      <c r="Y115" s="78" t="s">
        <v>761</v>
      </c>
      <c r="Z115" s="115"/>
      <c r="AA115" s="82"/>
      <c r="AB115" s="82"/>
      <c r="AC115" s="82"/>
      <c r="AD115" s="27" t="s">
        <v>86</v>
      </c>
      <c r="AE115" s="85">
        <v>43922</v>
      </c>
      <c r="AF115" s="77" t="s">
        <v>733</v>
      </c>
      <c r="AG115" s="77"/>
      <c r="AH115" s="21"/>
      <c r="AI115" s="21"/>
      <c r="AJ115" s="21"/>
      <c r="AK115" s="21"/>
      <c r="AL115" s="21"/>
      <c r="AM115" s="27" t="s">
        <v>87</v>
      </c>
      <c r="AN115" s="86">
        <v>43930</v>
      </c>
      <c r="AO115" s="87"/>
      <c r="AP115" s="82">
        <f t="shared" si="26"/>
        <v>48301</v>
      </c>
      <c r="AQ115" s="4"/>
      <c r="AR115" s="4"/>
      <c r="AS115" s="4"/>
      <c r="AT115" s="4"/>
    </row>
    <row r="116" spans="1:46" s="88" customFormat="1" ht="111.95" customHeight="1" x14ac:dyDescent="0.25">
      <c r="A116" s="76">
        <v>299</v>
      </c>
      <c r="B116" s="76" t="s">
        <v>74</v>
      </c>
      <c r="C116" s="76"/>
      <c r="D116" s="76"/>
      <c r="E116" s="76"/>
      <c r="F116" s="78" t="s">
        <v>783</v>
      </c>
      <c r="G116" s="79" t="s">
        <v>784</v>
      </c>
      <c r="H116" s="79" t="s">
        <v>785</v>
      </c>
      <c r="I116" s="80"/>
      <c r="J116" s="79" t="s">
        <v>786</v>
      </c>
      <c r="K116" s="79" t="s">
        <v>787</v>
      </c>
      <c r="L116" s="81">
        <v>7500000</v>
      </c>
      <c r="M116" s="81" t="s">
        <v>96</v>
      </c>
      <c r="N116" s="82">
        <v>44378</v>
      </c>
      <c r="O116" s="82">
        <v>44742</v>
      </c>
      <c r="P116" s="83">
        <f t="shared" si="30"/>
        <v>0.99726027397260275</v>
      </c>
      <c r="Q116" s="77" t="s">
        <v>26</v>
      </c>
      <c r="R116" s="77" t="s">
        <v>79</v>
      </c>
      <c r="S116" s="77" t="str">
        <f t="shared" si="27"/>
        <v>Z</v>
      </c>
      <c r="T116" s="84">
        <v>1</v>
      </c>
      <c r="U116" s="84">
        <v>1</v>
      </c>
      <c r="V116" s="84">
        <v>2</v>
      </c>
      <c r="W116" s="84">
        <f t="shared" si="28"/>
        <v>4</v>
      </c>
      <c r="X116" s="84" t="str">
        <f t="shared" si="29"/>
        <v>Biasa</v>
      </c>
      <c r="Y116" s="78"/>
      <c r="Z116" s="115"/>
      <c r="AA116" s="82"/>
      <c r="AB116" s="82"/>
      <c r="AC116" s="82"/>
      <c r="AD116" s="27" t="s">
        <v>79</v>
      </c>
      <c r="AE116" s="85">
        <v>44743</v>
      </c>
      <c r="AF116" s="77" t="s">
        <v>778</v>
      </c>
      <c r="AG116" s="77"/>
      <c r="AH116" s="21"/>
      <c r="AI116" s="21"/>
      <c r="AJ116" s="21"/>
      <c r="AK116" s="21"/>
      <c r="AL116" s="21"/>
      <c r="AM116" s="27" t="s">
        <v>87</v>
      </c>
      <c r="AN116" s="86">
        <v>44422</v>
      </c>
      <c r="AO116" s="87"/>
      <c r="AP116" s="82">
        <f t="shared" si="26"/>
        <v>48392</v>
      </c>
      <c r="AQ116" s="4"/>
      <c r="AR116" s="4"/>
      <c r="AS116" s="4"/>
      <c r="AT116" s="4"/>
    </row>
    <row r="117" spans="1:46" s="88" customFormat="1" ht="111.95" customHeight="1" x14ac:dyDescent="0.25">
      <c r="A117" s="76">
        <v>300</v>
      </c>
      <c r="B117" s="76" t="s">
        <v>74</v>
      </c>
      <c r="C117" s="76"/>
      <c r="D117" s="76"/>
      <c r="E117" s="76"/>
      <c r="F117" s="78" t="s">
        <v>788</v>
      </c>
      <c r="G117" s="79" t="s">
        <v>789</v>
      </c>
      <c r="H117" s="79" t="s">
        <v>785</v>
      </c>
      <c r="I117" s="80"/>
      <c r="J117" s="79" t="s">
        <v>786</v>
      </c>
      <c r="K117" s="79" t="s">
        <v>787</v>
      </c>
      <c r="L117" s="81">
        <v>6000000</v>
      </c>
      <c r="M117" s="81" t="s">
        <v>96</v>
      </c>
      <c r="N117" s="82">
        <v>44378</v>
      </c>
      <c r="O117" s="82">
        <v>44742</v>
      </c>
      <c r="P117" s="83">
        <f t="shared" si="30"/>
        <v>0.99726027397260275</v>
      </c>
      <c r="Q117" s="77" t="s">
        <v>26</v>
      </c>
      <c r="R117" s="77" t="s">
        <v>79</v>
      </c>
      <c r="S117" s="77" t="str">
        <f t="shared" si="27"/>
        <v>Z</v>
      </c>
      <c r="T117" s="84">
        <v>1</v>
      </c>
      <c r="U117" s="84">
        <v>1</v>
      </c>
      <c r="V117" s="84">
        <v>2</v>
      </c>
      <c r="W117" s="84">
        <f t="shared" si="28"/>
        <v>4</v>
      </c>
      <c r="X117" s="84" t="str">
        <f t="shared" si="29"/>
        <v>Biasa</v>
      </c>
      <c r="Y117" s="78"/>
      <c r="Z117" s="115"/>
      <c r="AA117" s="82"/>
      <c r="AB117" s="82"/>
      <c r="AC117" s="82"/>
      <c r="AD117" s="27" t="s">
        <v>79</v>
      </c>
      <c r="AE117" s="85">
        <v>44743</v>
      </c>
      <c r="AF117" s="77" t="s">
        <v>778</v>
      </c>
      <c r="AG117" s="77"/>
      <c r="AH117" s="21"/>
      <c r="AI117" s="21"/>
      <c r="AJ117" s="21"/>
      <c r="AK117" s="21"/>
      <c r="AL117" s="21"/>
      <c r="AM117" s="27" t="s">
        <v>87</v>
      </c>
      <c r="AN117" s="86">
        <v>44422</v>
      </c>
      <c r="AO117" s="87"/>
      <c r="AP117" s="82">
        <f t="shared" si="26"/>
        <v>48392</v>
      </c>
      <c r="AQ117" s="4"/>
      <c r="AR117" s="4"/>
      <c r="AS117" s="4"/>
      <c r="AT117" s="4"/>
    </row>
    <row r="118" spans="1:46" s="88" customFormat="1" ht="111.95" customHeight="1" x14ac:dyDescent="0.25">
      <c r="A118" s="76">
        <v>301</v>
      </c>
      <c r="B118" s="76" t="s">
        <v>74</v>
      </c>
      <c r="C118" s="76"/>
      <c r="D118" s="76"/>
      <c r="E118" s="76"/>
      <c r="F118" s="78" t="s">
        <v>474</v>
      </c>
      <c r="G118" s="79" t="s">
        <v>204</v>
      </c>
      <c r="H118" s="79" t="s">
        <v>475</v>
      </c>
      <c r="I118" s="80"/>
      <c r="J118" s="79" t="s">
        <v>476</v>
      </c>
      <c r="K118" s="79" t="s">
        <v>477</v>
      </c>
      <c r="L118" s="81" t="s">
        <v>186</v>
      </c>
      <c r="M118" s="81"/>
      <c r="N118" s="82">
        <v>44378</v>
      </c>
      <c r="O118" s="82">
        <v>44742</v>
      </c>
      <c r="P118" s="83">
        <f t="shared" si="30"/>
        <v>0.99726027397260275</v>
      </c>
      <c r="Q118" s="77" t="s">
        <v>25</v>
      </c>
      <c r="R118" s="77" t="s">
        <v>79</v>
      </c>
      <c r="S118" s="77" t="str">
        <f t="shared" si="27"/>
        <v>Z</v>
      </c>
      <c r="T118" s="84">
        <v>1</v>
      </c>
      <c r="U118" s="84">
        <v>2</v>
      </c>
      <c r="V118" s="84">
        <v>2</v>
      </c>
      <c r="W118" s="84">
        <f t="shared" si="28"/>
        <v>5</v>
      </c>
      <c r="X118" s="84" t="str">
        <f t="shared" si="29"/>
        <v>Biasa</v>
      </c>
      <c r="Y118" s="78" t="s">
        <v>368</v>
      </c>
      <c r="Z118" s="115"/>
      <c r="AA118" s="82"/>
      <c r="AB118" s="82"/>
      <c r="AC118" s="82"/>
      <c r="AD118" s="27"/>
      <c r="AE118" s="85"/>
      <c r="AF118" s="77" t="s">
        <v>342</v>
      </c>
      <c r="AG118" s="77"/>
      <c r="AH118" s="21"/>
      <c r="AI118" s="21"/>
      <c r="AJ118" s="21"/>
      <c r="AK118" s="21"/>
      <c r="AL118" s="21"/>
      <c r="AM118" s="27"/>
      <c r="AN118" s="86">
        <v>44407</v>
      </c>
      <c r="AO118" s="87"/>
      <c r="AP118" s="82">
        <f t="shared" si="26"/>
        <v>48392</v>
      </c>
      <c r="AQ118" s="4"/>
      <c r="AR118" s="4"/>
      <c r="AS118" s="4"/>
      <c r="AT118" s="4"/>
    </row>
    <row r="119" spans="1:46" s="88" customFormat="1" ht="111.95" customHeight="1" x14ac:dyDescent="0.25">
      <c r="A119" s="76">
        <v>302</v>
      </c>
      <c r="B119" s="76" t="s">
        <v>74</v>
      </c>
      <c r="C119" s="76"/>
      <c r="D119" s="76"/>
      <c r="E119" s="76"/>
      <c r="F119" s="78" t="s">
        <v>957</v>
      </c>
      <c r="G119" s="79" t="s">
        <v>204</v>
      </c>
      <c r="H119" s="79" t="s">
        <v>958</v>
      </c>
      <c r="I119" s="80"/>
      <c r="J119" s="79" t="s">
        <v>959</v>
      </c>
      <c r="K119" s="79" t="s">
        <v>960</v>
      </c>
      <c r="L119" s="81" t="s">
        <v>186</v>
      </c>
      <c r="M119" s="81"/>
      <c r="N119" s="82">
        <v>44378</v>
      </c>
      <c r="O119" s="82">
        <v>44742</v>
      </c>
      <c r="P119" s="83">
        <f t="shared" si="30"/>
        <v>0.99726027397260275</v>
      </c>
      <c r="Q119" s="77" t="s">
        <v>25</v>
      </c>
      <c r="R119" s="77" t="s">
        <v>79</v>
      </c>
      <c r="S119" s="77" t="str">
        <f t="shared" si="27"/>
        <v>Z</v>
      </c>
      <c r="T119" s="84">
        <v>1</v>
      </c>
      <c r="U119" s="84">
        <v>2</v>
      </c>
      <c r="V119" s="84">
        <v>2</v>
      </c>
      <c r="W119" s="84">
        <f t="shared" si="28"/>
        <v>5</v>
      </c>
      <c r="X119" s="84" t="str">
        <f t="shared" si="29"/>
        <v>Biasa</v>
      </c>
      <c r="Y119" s="78" t="s">
        <v>961</v>
      </c>
      <c r="Z119" s="115"/>
      <c r="AA119" s="82"/>
      <c r="AB119" s="82"/>
      <c r="AC119" s="82"/>
      <c r="AD119" s="27"/>
      <c r="AE119" s="85"/>
      <c r="AF119" s="77" t="s">
        <v>588</v>
      </c>
      <c r="AG119" s="77"/>
      <c r="AH119" s="21"/>
      <c r="AI119" s="21"/>
      <c r="AJ119" s="21"/>
      <c r="AK119" s="21"/>
      <c r="AL119" s="21"/>
      <c r="AM119" s="27"/>
      <c r="AN119" s="86">
        <v>44407</v>
      </c>
      <c r="AO119" s="87"/>
      <c r="AP119" s="82">
        <f t="shared" si="26"/>
        <v>48392</v>
      </c>
      <c r="AQ119" s="4"/>
      <c r="AR119" s="4"/>
      <c r="AS119" s="4"/>
      <c r="AT119" s="4"/>
    </row>
    <row r="120" spans="1:46" s="88" customFormat="1" ht="111.75" customHeight="1" x14ac:dyDescent="0.25">
      <c r="A120" s="76">
        <v>303</v>
      </c>
      <c r="B120" s="76" t="s">
        <v>74</v>
      </c>
      <c r="C120" s="76"/>
      <c r="D120" s="76"/>
      <c r="E120" s="76"/>
      <c r="F120" s="78" t="s">
        <v>583</v>
      </c>
      <c r="G120" s="79" t="s">
        <v>584</v>
      </c>
      <c r="H120" s="79" t="s">
        <v>585</v>
      </c>
      <c r="I120" s="80"/>
      <c r="J120" s="79" t="s">
        <v>586</v>
      </c>
      <c r="K120" s="79"/>
      <c r="L120" s="81">
        <v>13650000</v>
      </c>
      <c r="M120" s="81" t="s">
        <v>587</v>
      </c>
      <c r="N120" s="82">
        <v>43405</v>
      </c>
      <c r="O120" s="82">
        <v>44136</v>
      </c>
      <c r="P120" s="83">
        <f t="shared" si="30"/>
        <v>2.0027397260273974</v>
      </c>
      <c r="Q120" s="77" t="s">
        <v>25</v>
      </c>
      <c r="R120" s="77" t="s">
        <v>79</v>
      </c>
      <c r="S120" s="77" t="str">
        <f t="shared" si="27"/>
        <v>Z</v>
      </c>
      <c r="T120" s="84">
        <v>1</v>
      </c>
      <c r="U120" s="84">
        <v>2</v>
      </c>
      <c r="V120" s="84">
        <v>1</v>
      </c>
      <c r="W120" s="84">
        <f t="shared" si="28"/>
        <v>4</v>
      </c>
      <c r="X120" s="84" t="str">
        <f t="shared" si="29"/>
        <v>Biasa</v>
      </c>
      <c r="Y120" s="78"/>
      <c r="Z120" s="115"/>
      <c r="AA120" s="82"/>
      <c r="AB120" s="82"/>
      <c r="AC120" s="82"/>
      <c r="AD120" s="27" t="s">
        <v>14</v>
      </c>
      <c r="AE120" s="85">
        <v>44105</v>
      </c>
      <c r="AF120" s="77" t="s">
        <v>588</v>
      </c>
      <c r="AG120" s="77"/>
      <c r="AH120" s="21"/>
      <c r="AI120" s="21"/>
      <c r="AJ120" s="21"/>
      <c r="AK120" s="21"/>
      <c r="AL120" s="21"/>
      <c r="AM120" s="27"/>
      <c r="AN120" s="86"/>
      <c r="AO120" s="87"/>
      <c r="AP120" s="82">
        <f t="shared" si="26"/>
        <v>47786</v>
      </c>
      <c r="AQ120" s="4"/>
      <c r="AR120" s="4"/>
      <c r="AS120" s="4"/>
      <c r="AT120" s="4"/>
    </row>
    <row r="121" spans="1:46" s="88" customFormat="1" ht="111.95" customHeight="1" x14ac:dyDescent="0.25">
      <c r="A121" s="76">
        <v>304</v>
      </c>
      <c r="B121" s="76" t="s">
        <v>74</v>
      </c>
      <c r="C121" s="76"/>
      <c r="D121" s="76"/>
      <c r="E121" s="76"/>
      <c r="F121" s="78" t="s">
        <v>969</v>
      </c>
      <c r="G121" s="79" t="s">
        <v>204</v>
      </c>
      <c r="H121" s="79" t="s">
        <v>970</v>
      </c>
      <c r="I121" s="80"/>
      <c r="J121" s="79" t="s">
        <v>971</v>
      </c>
      <c r="K121" s="79" t="s">
        <v>972</v>
      </c>
      <c r="L121" s="81" t="s">
        <v>186</v>
      </c>
      <c r="M121" s="81"/>
      <c r="N121" s="82">
        <v>44013</v>
      </c>
      <c r="O121" s="82">
        <v>44377</v>
      </c>
      <c r="P121" s="83">
        <f t="shared" si="30"/>
        <v>0.99726027397260275</v>
      </c>
      <c r="Q121" s="77" t="s">
        <v>25</v>
      </c>
      <c r="R121" s="77" t="s">
        <v>79</v>
      </c>
      <c r="S121" s="77" t="str">
        <f t="shared" si="27"/>
        <v>Z</v>
      </c>
      <c r="T121" s="84">
        <v>1</v>
      </c>
      <c r="U121" s="84">
        <v>1</v>
      </c>
      <c r="V121" s="84">
        <v>2</v>
      </c>
      <c r="W121" s="84">
        <f t="shared" si="28"/>
        <v>4</v>
      </c>
      <c r="X121" s="84" t="str">
        <f t="shared" si="29"/>
        <v>Biasa</v>
      </c>
      <c r="Y121" s="78" t="s">
        <v>973</v>
      </c>
      <c r="Z121" s="115"/>
      <c r="AA121" s="82"/>
      <c r="AB121" s="82"/>
      <c r="AC121" s="82"/>
      <c r="AD121" s="27" t="s">
        <v>14</v>
      </c>
      <c r="AE121" s="85">
        <v>44348</v>
      </c>
      <c r="AF121" s="77" t="s">
        <v>974</v>
      </c>
      <c r="AG121" s="77"/>
      <c r="AH121" s="21"/>
      <c r="AI121" s="21"/>
      <c r="AJ121" s="21"/>
      <c r="AK121" s="21"/>
      <c r="AL121" s="21"/>
      <c r="AM121" s="27"/>
      <c r="AN121" s="86"/>
      <c r="AO121" s="87"/>
      <c r="AP121" s="82">
        <f t="shared" si="26"/>
        <v>48027</v>
      </c>
      <c r="AQ121" s="4"/>
      <c r="AR121" s="4"/>
      <c r="AS121" s="4"/>
      <c r="AT121" s="4"/>
    </row>
    <row r="122" spans="1:46" s="88" customFormat="1" ht="111.95" customHeight="1" x14ac:dyDescent="0.25">
      <c r="A122" s="76">
        <v>305</v>
      </c>
      <c r="B122" s="76" t="s">
        <v>74</v>
      </c>
      <c r="C122" s="76"/>
      <c r="D122" s="76"/>
      <c r="E122" s="76"/>
      <c r="F122" s="78" t="s">
        <v>75</v>
      </c>
      <c r="G122" s="79" t="s">
        <v>813</v>
      </c>
      <c r="H122" s="79" t="s">
        <v>832</v>
      </c>
      <c r="I122" s="80"/>
      <c r="J122" s="79" t="s">
        <v>821</v>
      </c>
      <c r="K122" s="79"/>
      <c r="L122" s="81"/>
      <c r="M122" s="81"/>
      <c r="N122" s="82">
        <v>42278</v>
      </c>
      <c r="O122" s="82">
        <v>44834</v>
      </c>
      <c r="P122" s="83">
        <f t="shared" si="30"/>
        <v>7.0027397260273974</v>
      </c>
      <c r="Q122" s="77" t="s">
        <v>22</v>
      </c>
      <c r="R122" s="77" t="s">
        <v>79</v>
      </c>
      <c r="S122" s="77" t="str">
        <f t="shared" ref="S122:S138" si="31">IF(R122="End","Z",IF(R122="Cancel","C",IF(SUM(R122)&gt;0,"O",IF(ISBLANK(R122),"X",IF(SUM(R122)&lt;0,"Y",IF(SUM(R122),"-","O"))))))</f>
        <v>Z</v>
      </c>
      <c r="T122" s="84">
        <v>3</v>
      </c>
      <c r="U122" s="84">
        <v>3</v>
      </c>
      <c r="V122" s="84">
        <v>3</v>
      </c>
      <c r="W122" s="84">
        <f t="shared" ref="W122:W138" si="32">T122+U122+V122</f>
        <v>9</v>
      </c>
      <c r="X122" s="84" t="str">
        <f t="shared" ref="X122:X144" si="33">IF(W122&gt;5,"Penting",IF(ISBLANK(W122),"","Biasa"))</f>
        <v>Penting</v>
      </c>
      <c r="Y122" s="78" t="s">
        <v>833</v>
      </c>
      <c r="Z122" s="115"/>
      <c r="AA122" s="82"/>
      <c r="AB122" s="82"/>
      <c r="AC122" s="82"/>
      <c r="AD122" s="27"/>
      <c r="AE122" s="85"/>
      <c r="AF122" s="77" t="s">
        <v>816</v>
      </c>
      <c r="AG122" s="77"/>
      <c r="AH122" s="21"/>
      <c r="AI122" s="21"/>
      <c r="AJ122" s="21"/>
      <c r="AK122" s="21"/>
      <c r="AL122" s="21"/>
      <c r="AM122" s="27"/>
      <c r="AN122" s="86"/>
      <c r="AO122" s="87"/>
      <c r="AP122" s="82">
        <f t="shared" si="26"/>
        <v>48484</v>
      </c>
      <c r="AQ122" s="4"/>
      <c r="AR122" s="4"/>
      <c r="AS122" s="4"/>
      <c r="AT122" s="4"/>
    </row>
    <row r="123" spans="1:46" s="88" customFormat="1" ht="111.95" customHeight="1" x14ac:dyDescent="0.25">
      <c r="A123" s="76">
        <v>306</v>
      </c>
      <c r="B123" s="76" t="s">
        <v>74</v>
      </c>
      <c r="C123" s="76"/>
      <c r="D123" s="76"/>
      <c r="E123" s="76"/>
      <c r="F123" s="78" t="s">
        <v>75</v>
      </c>
      <c r="G123" s="79" t="s">
        <v>813</v>
      </c>
      <c r="H123" s="79" t="s">
        <v>835</v>
      </c>
      <c r="I123" s="80"/>
      <c r="J123" s="79" t="s">
        <v>821</v>
      </c>
      <c r="K123" s="79"/>
      <c r="L123" s="81"/>
      <c r="M123" s="81"/>
      <c r="N123" s="82">
        <v>42879</v>
      </c>
      <c r="O123" s="82">
        <v>44704</v>
      </c>
      <c r="P123" s="83">
        <f t="shared" si="30"/>
        <v>5</v>
      </c>
      <c r="Q123" s="77" t="s">
        <v>22</v>
      </c>
      <c r="R123" s="77" t="s">
        <v>79</v>
      </c>
      <c r="S123" s="77" t="str">
        <f t="shared" si="31"/>
        <v>Z</v>
      </c>
      <c r="T123" s="84">
        <v>3</v>
      </c>
      <c r="U123" s="84">
        <v>3</v>
      </c>
      <c r="V123" s="84">
        <v>3</v>
      </c>
      <c r="W123" s="84">
        <f t="shared" si="32"/>
        <v>9</v>
      </c>
      <c r="X123" s="84" t="str">
        <f t="shared" si="33"/>
        <v>Penting</v>
      </c>
      <c r="Y123" s="78" t="s">
        <v>833</v>
      </c>
      <c r="Z123" s="115"/>
      <c r="AA123" s="82"/>
      <c r="AB123" s="82"/>
      <c r="AC123" s="82"/>
      <c r="AD123" s="27"/>
      <c r="AE123" s="85"/>
      <c r="AF123" s="77" t="s">
        <v>816</v>
      </c>
      <c r="AG123" s="77"/>
      <c r="AH123" s="21"/>
      <c r="AI123" s="21"/>
      <c r="AJ123" s="21"/>
      <c r="AK123" s="21"/>
      <c r="AL123" s="21"/>
      <c r="AM123" s="27"/>
      <c r="AN123" s="86"/>
      <c r="AO123" s="87"/>
      <c r="AP123" s="82">
        <f t="shared" si="26"/>
        <v>48354</v>
      </c>
      <c r="AQ123" s="4"/>
      <c r="AR123" s="4"/>
      <c r="AS123" s="4"/>
      <c r="AT123" s="4"/>
    </row>
    <row r="124" spans="1:46" s="88" customFormat="1" ht="111.95" customHeight="1" x14ac:dyDescent="0.25">
      <c r="A124" s="76">
        <v>307</v>
      </c>
      <c r="B124" s="76" t="s">
        <v>74</v>
      </c>
      <c r="C124" s="76"/>
      <c r="D124" s="76"/>
      <c r="E124" s="76"/>
      <c r="F124" s="78" t="s">
        <v>75</v>
      </c>
      <c r="G124" s="79" t="s">
        <v>813</v>
      </c>
      <c r="H124" s="79" t="s">
        <v>837</v>
      </c>
      <c r="I124" s="80"/>
      <c r="J124" s="79" t="s">
        <v>821</v>
      </c>
      <c r="K124" s="79"/>
      <c r="L124" s="81"/>
      <c r="M124" s="81"/>
      <c r="N124" s="82">
        <v>43416</v>
      </c>
      <c r="O124" s="82">
        <v>44876</v>
      </c>
      <c r="P124" s="83">
        <f t="shared" si="30"/>
        <v>4</v>
      </c>
      <c r="Q124" s="77" t="s">
        <v>22</v>
      </c>
      <c r="R124" s="77" t="s">
        <v>79</v>
      </c>
      <c r="S124" s="77" t="str">
        <f t="shared" si="31"/>
        <v>Z</v>
      </c>
      <c r="T124" s="84">
        <v>3</v>
      </c>
      <c r="U124" s="84">
        <v>3</v>
      </c>
      <c r="V124" s="84">
        <v>3</v>
      </c>
      <c r="W124" s="84">
        <f t="shared" si="32"/>
        <v>9</v>
      </c>
      <c r="X124" s="84" t="str">
        <f t="shared" si="33"/>
        <v>Penting</v>
      </c>
      <c r="Y124" s="78" t="s">
        <v>833</v>
      </c>
      <c r="Z124" s="115"/>
      <c r="AA124" s="82"/>
      <c r="AB124" s="82"/>
      <c r="AC124" s="82"/>
      <c r="AD124" s="27"/>
      <c r="AE124" s="85"/>
      <c r="AF124" s="77" t="s">
        <v>816</v>
      </c>
      <c r="AG124" s="77"/>
      <c r="AH124" s="21"/>
      <c r="AI124" s="21"/>
      <c r="AJ124" s="21"/>
      <c r="AK124" s="21"/>
      <c r="AL124" s="21"/>
      <c r="AM124" s="27"/>
      <c r="AN124" s="86">
        <v>43882</v>
      </c>
      <c r="AO124" s="87"/>
      <c r="AP124" s="82">
        <f t="shared" si="26"/>
        <v>48526</v>
      </c>
      <c r="AQ124" s="4"/>
      <c r="AR124" s="4"/>
      <c r="AS124" s="4"/>
      <c r="AT124" s="4"/>
    </row>
    <row r="125" spans="1:46" s="88" customFormat="1" ht="111.95" customHeight="1" x14ac:dyDescent="0.25">
      <c r="A125" s="76">
        <v>308</v>
      </c>
      <c r="B125" s="76" t="s">
        <v>74</v>
      </c>
      <c r="C125" s="76"/>
      <c r="D125" s="76"/>
      <c r="E125" s="76"/>
      <c r="F125" s="78" t="s">
        <v>75</v>
      </c>
      <c r="G125" s="79" t="s">
        <v>813</v>
      </c>
      <c r="H125" s="79" t="s">
        <v>840</v>
      </c>
      <c r="I125" s="80"/>
      <c r="J125" s="79" t="s">
        <v>821</v>
      </c>
      <c r="K125" s="79"/>
      <c r="L125" s="81"/>
      <c r="M125" s="81"/>
      <c r="N125" s="82">
        <v>39845</v>
      </c>
      <c r="O125" s="82">
        <v>44957</v>
      </c>
      <c r="P125" s="83">
        <f t="shared" si="30"/>
        <v>14.005479452054795</v>
      </c>
      <c r="Q125" s="77" t="s">
        <v>22</v>
      </c>
      <c r="R125" s="77" t="s">
        <v>79</v>
      </c>
      <c r="S125" s="77" t="str">
        <f t="shared" si="31"/>
        <v>Z</v>
      </c>
      <c r="T125" s="84">
        <v>3</v>
      </c>
      <c r="U125" s="84">
        <v>3</v>
      </c>
      <c r="V125" s="84">
        <v>3</v>
      </c>
      <c r="W125" s="84">
        <f t="shared" si="32"/>
        <v>9</v>
      </c>
      <c r="X125" s="84" t="str">
        <f t="shared" si="33"/>
        <v>Penting</v>
      </c>
      <c r="Y125" s="78" t="s">
        <v>1177</v>
      </c>
      <c r="Z125" s="115" t="s">
        <v>81</v>
      </c>
      <c r="AA125" s="82">
        <f>N125+4650</f>
        <v>44495</v>
      </c>
      <c r="AB125" s="82">
        <f>N125+5015</f>
        <v>44860</v>
      </c>
      <c r="AC125" s="82"/>
      <c r="AD125" s="27"/>
      <c r="AE125" s="85"/>
      <c r="AF125" s="77" t="s">
        <v>816</v>
      </c>
      <c r="AG125" s="77"/>
      <c r="AH125" s="21"/>
      <c r="AI125" s="21"/>
      <c r="AJ125" s="21"/>
      <c r="AK125" s="21"/>
      <c r="AL125" s="21"/>
      <c r="AM125" s="27"/>
      <c r="AN125" s="86"/>
      <c r="AO125" s="87"/>
      <c r="AP125" s="82">
        <f t="shared" si="26"/>
        <v>48607</v>
      </c>
      <c r="AQ125" s="4"/>
      <c r="AR125" s="4"/>
      <c r="AS125" s="4"/>
      <c r="AT125" s="4"/>
    </row>
    <row r="126" spans="1:46" s="88" customFormat="1" ht="111.95" customHeight="1" x14ac:dyDescent="0.25">
      <c r="A126" s="76">
        <v>309</v>
      </c>
      <c r="B126" s="76" t="s">
        <v>74</v>
      </c>
      <c r="C126" s="76"/>
      <c r="D126" s="76"/>
      <c r="E126" s="76"/>
      <c r="F126" s="78" t="s">
        <v>75</v>
      </c>
      <c r="G126" s="79" t="s">
        <v>813</v>
      </c>
      <c r="H126" s="79" t="s">
        <v>848</v>
      </c>
      <c r="I126" s="80"/>
      <c r="J126" s="79" t="s">
        <v>821</v>
      </c>
      <c r="K126" s="79"/>
      <c r="L126" s="81"/>
      <c r="M126" s="81"/>
      <c r="N126" s="82">
        <v>42552</v>
      </c>
      <c r="O126" s="82">
        <v>44742</v>
      </c>
      <c r="P126" s="83">
        <f t="shared" si="30"/>
        <v>6</v>
      </c>
      <c r="Q126" s="77" t="s">
        <v>22</v>
      </c>
      <c r="R126" s="77" t="s">
        <v>79</v>
      </c>
      <c r="S126" s="77" t="str">
        <f t="shared" si="31"/>
        <v>Z</v>
      </c>
      <c r="T126" s="84">
        <v>3</v>
      </c>
      <c r="U126" s="84">
        <v>3</v>
      </c>
      <c r="V126" s="84">
        <v>3</v>
      </c>
      <c r="W126" s="84">
        <f t="shared" si="32"/>
        <v>9</v>
      </c>
      <c r="X126" s="84" t="str">
        <f t="shared" si="33"/>
        <v>Penting</v>
      </c>
      <c r="Y126" s="78" t="s">
        <v>833</v>
      </c>
      <c r="Z126" s="115"/>
      <c r="AA126" s="82"/>
      <c r="AB126" s="82"/>
      <c r="AC126" s="82"/>
      <c r="AD126" s="27"/>
      <c r="AE126" s="85"/>
      <c r="AF126" s="77" t="s">
        <v>816</v>
      </c>
      <c r="AG126" s="77"/>
      <c r="AH126" s="21"/>
      <c r="AI126" s="21"/>
      <c r="AJ126" s="21"/>
      <c r="AK126" s="21"/>
      <c r="AL126" s="21"/>
      <c r="AM126" s="27"/>
      <c r="AN126" s="86"/>
      <c r="AO126" s="87"/>
      <c r="AP126" s="82">
        <f t="shared" si="26"/>
        <v>48392</v>
      </c>
      <c r="AQ126" s="4"/>
      <c r="AR126" s="4"/>
      <c r="AS126" s="4"/>
      <c r="AT126" s="4"/>
    </row>
    <row r="127" spans="1:46" s="88" customFormat="1" ht="111.95" customHeight="1" x14ac:dyDescent="0.25">
      <c r="A127" s="76">
        <v>310</v>
      </c>
      <c r="B127" s="76" t="s">
        <v>74</v>
      </c>
      <c r="C127" s="76"/>
      <c r="D127" s="76"/>
      <c r="E127" s="76"/>
      <c r="F127" s="78" t="s">
        <v>75</v>
      </c>
      <c r="G127" s="79" t="s">
        <v>813</v>
      </c>
      <c r="H127" s="79" t="s">
        <v>1141</v>
      </c>
      <c r="I127" s="80"/>
      <c r="J127" s="79" t="s">
        <v>821</v>
      </c>
      <c r="K127" s="79"/>
      <c r="L127" s="81"/>
      <c r="M127" s="81"/>
      <c r="N127" s="82">
        <v>43497</v>
      </c>
      <c r="O127" s="82">
        <v>43861</v>
      </c>
      <c r="P127" s="83">
        <f t="shared" si="30"/>
        <v>0.99726027397260275</v>
      </c>
      <c r="Q127" s="77" t="s">
        <v>22</v>
      </c>
      <c r="R127" s="77" t="s">
        <v>79</v>
      </c>
      <c r="S127" s="77" t="str">
        <f t="shared" si="31"/>
        <v>Z</v>
      </c>
      <c r="T127" s="84">
        <v>3</v>
      </c>
      <c r="U127" s="84">
        <v>3</v>
      </c>
      <c r="V127" s="84">
        <v>3</v>
      </c>
      <c r="W127" s="84">
        <f t="shared" si="32"/>
        <v>9</v>
      </c>
      <c r="X127" s="84" t="str">
        <f t="shared" si="33"/>
        <v>Penting</v>
      </c>
      <c r="Y127" s="78"/>
      <c r="Z127" s="115"/>
      <c r="AA127" s="82"/>
      <c r="AB127" s="82"/>
      <c r="AC127" s="82"/>
      <c r="AD127" s="27" t="s">
        <v>14</v>
      </c>
      <c r="AE127" s="85">
        <v>43497</v>
      </c>
      <c r="AF127" s="77" t="s">
        <v>816</v>
      </c>
      <c r="AG127" s="77"/>
      <c r="AH127" s="21"/>
      <c r="AI127" s="21"/>
      <c r="AJ127" s="21"/>
      <c r="AK127" s="21"/>
      <c r="AL127" s="21"/>
      <c r="AM127" s="27"/>
      <c r="AN127" s="86"/>
      <c r="AO127" s="87"/>
      <c r="AP127" s="82">
        <f t="shared" si="26"/>
        <v>47511</v>
      </c>
      <c r="AQ127" s="4"/>
      <c r="AR127" s="4"/>
      <c r="AS127" s="4"/>
      <c r="AT127" s="4"/>
    </row>
    <row r="128" spans="1:46" s="88" customFormat="1" ht="111.95" customHeight="1" x14ac:dyDescent="0.25">
      <c r="A128" s="76">
        <v>311</v>
      </c>
      <c r="B128" s="76" t="s">
        <v>74</v>
      </c>
      <c r="C128" s="76"/>
      <c r="D128" s="76"/>
      <c r="E128" s="76"/>
      <c r="F128" s="78" t="s">
        <v>75</v>
      </c>
      <c r="G128" s="79" t="s">
        <v>813</v>
      </c>
      <c r="H128" s="79" t="s">
        <v>1142</v>
      </c>
      <c r="I128" s="80"/>
      <c r="J128" s="79" t="s">
        <v>821</v>
      </c>
      <c r="K128" s="79"/>
      <c r="L128" s="81"/>
      <c r="M128" s="81"/>
      <c r="N128" s="82">
        <v>43244</v>
      </c>
      <c r="O128" s="82">
        <v>43608</v>
      </c>
      <c r="P128" s="83">
        <f t="shared" si="30"/>
        <v>0.99726027397260275</v>
      </c>
      <c r="Q128" s="77" t="s">
        <v>22</v>
      </c>
      <c r="R128" s="77" t="s">
        <v>79</v>
      </c>
      <c r="S128" s="77" t="str">
        <f t="shared" si="31"/>
        <v>Z</v>
      </c>
      <c r="T128" s="84">
        <v>3</v>
      </c>
      <c r="U128" s="84">
        <v>3</v>
      </c>
      <c r="V128" s="84">
        <v>3</v>
      </c>
      <c r="W128" s="84">
        <f t="shared" si="32"/>
        <v>9</v>
      </c>
      <c r="X128" s="84" t="str">
        <f t="shared" si="33"/>
        <v>Penting</v>
      </c>
      <c r="Y128" s="78"/>
      <c r="Z128" s="115"/>
      <c r="AA128" s="82"/>
      <c r="AB128" s="82"/>
      <c r="AC128" s="82"/>
      <c r="AD128" s="27" t="s">
        <v>14</v>
      </c>
      <c r="AE128" s="85">
        <v>43497</v>
      </c>
      <c r="AF128" s="77" t="s">
        <v>816</v>
      </c>
      <c r="AG128" s="77"/>
      <c r="AH128" s="21"/>
      <c r="AI128" s="21"/>
      <c r="AJ128" s="21"/>
      <c r="AK128" s="21"/>
      <c r="AL128" s="21"/>
      <c r="AM128" s="27"/>
      <c r="AN128" s="86"/>
      <c r="AO128" s="87"/>
      <c r="AP128" s="82">
        <f t="shared" si="26"/>
        <v>47258</v>
      </c>
      <c r="AQ128" s="4"/>
      <c r="AR128" s="4"/>
      <c r="AS128" s="4"/>
      <c r="AT128" s="4"/>
    </row>
    <row r="129" spans="1:48" s="88" customFormat="1" ht="111.95" customHeight="1" x14ac:dyDescent="0.25">
      <c r="A129" s="76">
        <v>312</v>
      </c>
      <c r="B129" s="76" t="s">
        <v>74</v>
      </c>
      <c r="C129" s="76"/>
      <c r="D129" s="76"/>
      <c r="E129" s="76"/>
      <c r="F129" s="78" t="s">
        <v>75</v>
      </c>
      <c r="G129" s="79" t="s">
        <v>813</v>
      </c>
      <c r="H129" s="79" t="s">
        <v>1143</v>
      </c>
      <c r="I129" s="80"/>
      <c r="J129" s="79" t="s">
        <v>821</v>
      </c>
      <c r="K129" s="79"/>
      <c r="L129" s="81"/>
      <c r="M129" s="81"/>
      <c r="N129" s="82">
        <v>43296</v>
      </c>
      <c r="O129" s="82">
        <v>43660</v>
      </c>
      <c r="P129" s="83">
        <f t="shared" si="30"/>
        <v>0.99726027397260275</v>
      </c>
      <c r="Q129" s="77" t="s">
        <v>22</v>
      </c>
      <c r="R129" s="77" t="s">
        <v>79</v>
      </c>
      <c r="S129" s="77" t="str">
        <f t="shared" si="31"/>
        <v>Z</v>
      </c>
      <c r="T129" s="84">
        <v>3</v>
      </c>
      <c r="U129" s="84">
        <v>3</v>
      </c>
      <c r="V129" s="84">
        <v>3</v>
      </c>
      <c r="W129" s="84">
        <f t="shared" si="32"/>
        <v>9</v>
      </c>
      <c r="X129" s="84" t="str">
        <f t="shared" si="33"/>
        <v>Penting</v>
      </c>
      <c r="Y129" s="78"/>
      <c r="Z129" s="115"/>
      <c r="AA129" s="82"/>
      <c r="AB129" s="82"/>
      <c r="AC129" s="82"/>
      <c r="AD129" s="27" t="s">
        <v>14</v>
      </c>
      <c r="AE129" s="85">
        <v>43497</v>
      </c>
      <c r="AF129" s="77" t="s">
        <v>816</v>
      </c>
      <c r="AG129" s="77"/>
      <c r="AH129" s="21"/>
      <c r="AI129" s="21"/>
      <c r="AJ129" s="21"/>
      <c r="AK129" s="21"/>
      <c r="AL129" s="21"/>
      <c r="AM129" s="27"/>
      <c r="AN129" s="86"/>
      <c r="AO129" s="87"/>
      <c r="AP129" s="82">
        <f t="shared" si="26"/>
        <v>47310</v>
      </c>
      <c r="AQ129" s="4"/>
      <c r="AR129" s="4"/>
      <c r="AS129" s="4"/>
      <c r="AT129" s="4"/>
    </row>
    <row r="130" spans="1:48" s="88" customFormat="1" ht="111.95" customHeight="1" x14ac:dyDescent="0.25">
      <c r="A130" s="76">
        <v>313</v>
      </c>
      <c r="B130" s="76" t="s">
        <v>74</v>
      </c>
      <c r="C130" s="76"/>
      <c r="D130" s="76"/>
      <c r="E130" s="76"/>
      <c r="F130" s="78" t="s">
        <v>75</v>
      </c>
      <c r="G130" s="79" t="s">
        <v>813</v>
      </c>
      <c r="H130" s="79" t="s">
        <v>1144</v>
      </c>
      <c r="I130" s="80"/>
      <c r="J130" s="79" t="s">
        <v>821</v>
      </c>
      <c r="K130" s="79"/>
      <c r="L130" s="81"/>
      <c r="M130" s="81"/>
      <c r="N130" s="82">
        <v>43189</v>
      </c>
      <c r="O130" s="82">
        <v>43553</v>
      </c>
      <c r="P130" s="83">
        <f t="shared" si="30"/>
        <v>0.99726027397260275</v>
      </c>
      <c r="Q130" s="77" t="s">
        <v>22</v>
      </c>
      <c r="R130" s="77" t="s">
        <v>79</v>
      </c>
      <c r="S130" s="77" t="str">
        <f t="shared" si="31"/>
        <v>Z</v>
      </c>
      <c r="T130" s="84">
        <v>3</v>
      </c>
      <c r="U130" s="84">
        <v>3</v>
      </c>
      <c r="V130" s="84">
        <v>3</v>
      </c>
      <c r="W130" s="84">
        <f t="shared" si="32"/>
        <v>9</v>
      </c>
      <c r="X130" s="84" t="str">
        <f t="shared" si="33"/>
        <v>Penting</v>
      </c>
      <c r="Y130" s="78"/>
      <c r="Z130" s="115"/>
      <c r="AA130" s="82"/>
      <c r="AB130" s="82"/>
      <c r="AC130" s="82"/>
      <c r="AD130" s="27" t="s">
        <v>14</v>
      </c>
      <c r="AE130" s="85">
        <v>43497</v>
      </c>
      <c r="AF130" s="77" t="s">
        <v>816</v>
      </c>
      <c r="AG130" s="77"/>
      <c r="AH130" s="21"/>
      <c r="AI130" s="21"/>
      <c r="AJ130" s="21"/>
      <c r="AK130" s="21"/>
      <c r="AL130" s="21"/>
      <c r="AM130" s="27"/>
      <c r="AN130" s="86"/>
      <c r="AO130" s="87"/>
      <c r="AP130" s="82">
        <f t="shared" si="26"/>
        <v>47203</v>
      </c>
      <c r="AQ130" s="4"/>
      <c r="AR130" s="4"/>
      <c r="AS130" s="4"/>
      <c r="AT130" s="4"/>
    </row>
    <row r="131" spans="1:48" s="88" customFormat="1" ht="111.95" customHeight="1" x14ac:dyDescent="0.25">
      <c r="A131" s="76">
        <v>314</v>
      </c>
      <c r="B131" s="76" t="s">
        <v>74</v>
      </c>
      <c r="C131" s="76"/>
      <c r="D131" s="76"/>
      <c r="E131" s="76"/>
      <c r="F131" s="78" t="s">
        <v>181</v>
      </c>
      <c r="G131" s="79" t="s">
        <v>182</v>
      </c>
      <c r="H131" s="79" t="s">
        <v>183</v>
      </c>
      <c r="I131" s="80"/>
      <c r="J131" s="79" t="s">
        <v>184</v>
      </c>
      <c r="K131" s="79" t="s">
        <v>185</v>
      </c>
      <c r="L131" s="81" t="s">
        <v>186</v>
      </c>
      <c r="M131" s="81"/>
      <c r="N131" s="82">
        <v>44501</v>
      </c>
      <c r="O131" s="82">
        <v>44742</v>
      </c>
      <c r="P131" s="83">
        <f t="shared" si="30"/>
        <v>0.66027397260273968</v>
      </c>
      <c r="Q131" s="77" t="s">
        <v>29</v>
      </c>
      <c r="R131" s="77" t="s">
        <v>79</v>
      </c>
      <c r="S131" s="77" t="str">
        <f t="shared" si="31"/>
        <v>Z</v>
      </c>
      <c r="T131" s="84">
        <v>1</v>
      </c>
      <c r="U131" s="84">
        <v>2</v>
      </c>
      <c r="V131" s="84">
        <v>1</v>
      </c>
      <c r="W131" s="84">
        <f t="shared" si="32"/>
        <v>4</v>
      </c>
      <c r="X131" s="84" t="str">
        <f t="shared" si="33"/>
        <v>Biasa</v>
      </c>
      <c r="Y131" s="78" t="s">
        <v>187</v>
      </c>
      <c r="Z131" s="115"/>
      <c r="AA131" s="82"/>
      <c r="AB131" s="82"/>
      <c r="AC131" s="82"/>
      <c r="AD131" s="27"/>
      <c r="AE131" s="85"/>
      <c r="AF131" s="77" t="s">
        <v>188</v>
      </c>
      <c r="AG131" s="77"/>
      <c r="AH131" s="21"/>
      <c r="AI131" s="21"/>
      <c r="AJ131" s="21"/>
      <c r="AK131" s="21"/>
      <c r="AL131" s="21"/>
      <c r="AM131" s="27"/>
      <c r="AN131" s="86">
        <v>44512</v>
      </c>
      <c r="AO131" s="87"/>
      <c r="AP131" s="82">
        <f t="shared" si="26"/>
        <v>48392</v>
      </c>
      <c r="AQ131" s="4"/>
      <c r="AR131" s="4"/>
      <c r="AS131" s="4"/>
      <c r="AT131" s="4"/>
    </row>
    <row r="132" spans="1:48" s="88" customFormat="1" ht="111.95" customHeight="1" x14ac:dyDescent="0.25">
      <c r="A132" s="76">
        <v>315</v>
      </c>
      <c r="B132" s="76" t="s">
        <v>74</v>
      </c>
      <c r="C132" s="76"/>
      <c r="D132" s="76"/>
      <c r="E132" s="76"/>
      <c r="F132" s="78" t="s">
        <v>969</v>
      </c>
      <c r="G132" s="79" t="s">
        <v>204</v>
      </c>
      <c r="H132" s="79" t="s">
        <v>970</v>
      </c>
      <c r="I132" s="80"/>
      <c r="J132" s="79" t="s">
        <v>971</v>
      </c>
      <c r="K132" s="79" t="s">
        <v>972</v>
      </c>
      <c r="L132" s="81" t="s">
        <v>186</v>
      </c>
      <c r="M132" s="81"/>
      <c r="N132" s="82">
        <v>44013</v>
      </c>
      <c r="O132" s="82">
        <v>44742</v>
      </c>
      <c r="P132" s="83">
        <f t="shared" si="30"/>
        <v>1.9972602739726026</v>
      </c>
      <c r="Q132" s="77" t="s">
        <v>29</v>
      </c>
      <c r="R132" s="77" t="s">
        <v>79</v>
      </c>
      <c r="S132" s="77" t="str">
        <f t="shared" si="31"/>
        <v>Z</v>
      </c>
      <c r="T132" s="84">
        <v>1</v>
      </c>
      <c r="U132" s="84">
        <v>1</v>
      </c>
      <c r="V132" s="84">
        <v>1</v>
      </c>
      <c r="W132" s="84">
        <f t="shared" si="32"/>
        <v>3</v>
      </c>
      <c r="X132" s="84" t="str">
        <f t="shared" si="33"/>
        <v>Biasa</v>
      </c>
      <c r="Y132" s="78" t="s">
        <v>961</v>
      </c>
      <c r="Z132" s="115" t="s">
        <v>81</v>
      </c>
      <c r="AA132" s="82">
        <f>N132+635</f>
        <v>44648</v>
      </c>
      <c r="AB132" s="82">
        <f>+N132+1000</f>
        <v>45013</v>
      </c>
      <c r="AC132" s="82"/>
      <c r="AD132" s="27"/>
      <c r="AE132" s="85"/>
      <c r="AF132" s="77" t="s">
        <v>1023</v>
      </c>
      <c r="AG132" s="77"/>
      <c r="AH132" s="21"/>
      <c r="AI132" s="21"/>
      <c r="AJ132" s="21"/>
      <c r="AK132" s="21"/>
      <c r="AL132" s="21"/>
      <c r="AM132" s="27"/>
      <c r="AN132" s="86">
        <v>43991</v>
      </c>
      <c r="AO132" s="87"/>
      <c r="AP132" s="82">
        <f t="shared" si="26"/>
        <v>48392</v>
      </c>
      <c r="AQ132" s="4"/>
      <c r="AR132" s="4"/>
      <c r="AS132" s="4"/>
      <c r="AT132" s="4"/>
    </row>
    <row r="133" spans="1:48" s="88" customFormat="1" ht="111.95" customHeight="1" x14ac:dyDescent="0.25">
      <c r="A133" s="76">
        <v>316</v>
      </c>
      <c r="B133" s="76" t="s">
        <v>74</v>
      </c>
      <c r="C133" s="76"/>
      <c r="D133" s="76"/>
      <c r="E133" s="76"/>
      <c r="F133" s="78" t="s">
        <v>1068</v>
      </c>
      <c r="G133" s="79" t="s">
        <v>204</v>
      </c>
      <c r="H133" s="79" t="s">
        <v>1069</v>
      </c>
      <c r="I133" s="80"/>
      <c r="J133" s="79" t="s">
        <v>1070</v>
      </c>
      <c r="K133" s="79" t="s">
        <v>1071</v>
      </c>
      <c r="L133" s="81" t="s">
        <v>321</v>
      </c>
      <c r="M133" s="81"/>
      <c r="N133" s="82">
        <v>43922</v>
      </c>
      <c r="O133" s="82">
        <v>44651</v>
      </c>
      <c r="P133" s="83">
        <f t="shared" si="30"/>
        <v>1.9972602739726026</v>
      </c>
      <c r="Q133" s="77" t="s">
        <v>29</v>
      </c>
      <c r="R133" s="77" t="s">
        <v>79</v>
      </c>
      <c r="S133" s="77" t="str">
        <f t="shared" si="31"/>
        <v>Z</v>
      </c>
      <c r="T133" s="84">
        <v>1</v>
      </c>
      <c r="U133" s="84">
        <v>2</v>
      </c>
      <c r="V133" s="84">
        <v>2</v>
      </c>
      <c r="W133" s="84">
        <f t="shared" si="32"/>
        <v>5</v>
      </c>
      <c r="X133" s="84" t="str">
        <f t="shared" si="33"/>
        <v>Biasa</v>
      </c>
      <c r="Y133" s="78" t="s">
        <v>1072</v>
      </c>
      <c r="Z133" s="115"/>
      <c r="AA133" s="82"/>
      <c r="AB133" s="82"/>
      <c r="AC133" s="82"/>
      <c r="AD133" s="27"/>
      <c r="AE133" s="85"/>
      <c r="AF133" s="77" t="s">
        <v>1023</v>
      </c>
      <c r="AG133" s="77"/>
      <c r="AH133" s="21"/>
      <c r="AI133" s="21"/>
      <c r="AJ133" s="21"/>
      <c r="AK133" s="21"/>
      <c r="AL133" s="21"/>
      <c r="AM133" s="27"/>
      <c r="AN133" s="86">
        <v>43948</v>
      </c>
      <c r="AO133" s="87"/>
      <c r="AP133" s="82">
        <f t="shared" si="26"/>
        <v>48301</v>
      </c>
      <c r="AQ133" s="4"/>
      <c r="AR133" s="4"/>
      <c r="AS133" s="4"/>
      <c r="AT133" s="4"/>
    </row>
    <row r="134" spans="1:48" s="88" customFormat="1" ht="111.75" customHeight="1" x14ac:dyDescent="0.25">
      <c r="A134" s="76">
        <v>317</v>
      </c>
      <c r="B134" s="76" t="s">
        <v>74</v>
      </c>
      <c r="C134" s="76"/>
      <c r="D134" s="76"/>
      <c r="E134" s="76"/>
      <c r="F134" s="78" t="s">
        <v>1077</v>
      </c>
      <c r="G134" s="79" t="s">
        <v>204</v>
      </c>
      <c r="H134" s="79" t="s">
        <v>1078</v>
      </c>
      <c r="I134" s="80"/>
      <c r="J134" s="79" t="s">
        <v>1079</v>
      </c>
      <c r="K134" s="79" t="s">
        <v>1080</v>
      </c>
      <c r="L134" s="81">
        <v>890000</v>
      </c>
      <c r="M134" s="81" t="s">
        <v>1081</v>
      </c>
      <c r="N134" s="82">
        <v>43910</v>
      </c>
      <c r="O134" s="82">
        <v>44640</v>
      </c>
      <c r="P134" s="83">
        <f t="shared" si="30"/>
        <v>2</v>
      </c>
      <c r="Q134" s="77" t="s">
        <v>29</v>
      </c>
      <c r="R134" s="77" t="s">
        <v>79</v>
      </c>
      <c r="S134" s="77" t="str">
        <f t="shared" si="31"/>
        <v>Z</v>
      </c>
      <c r="T134" s="84">
        <v>1</v>
      </c>
      <c r="U134" s="84">
        <v>1</v>
      </c>
      <c r="V134" s="84">
        <v>3</v>
      </c>
      <c r="W134" s="84">
        <f t="shared" si="32"/>
        <v>5</v>
      </c>
      <c r="X134" s="84" t="str">
        <f t="shared" si="33"/>
        <v>Biasa</v>
      </c>
      <c r="Y134" s="78" t="s">
        <v>1082</v>
      </c>
      <c r="Z134" s="115"/>
      <c r="AA134" s="82"/>
      <c r="AB134" s="82"/>
      <c r="AC134" s="82"/>
      <c r="AD134" s="27"/>
      <c r="AE134" s="85"/>
      <c r="AF134" s="77" t="s">
        <v>1023</v>
      </c>
      <c r="AG134" s="77"/>
      <c r="AH134" s="21"/>
      <c r="AI134" s="21"/>
      <c r="AJ134" s="21"/>
      <c r="AK134" s="21"/>
      <c r="AL134" s="21"/>
      <c r="AM134" s="27"/>
      <c r="AN134" s="86">
        <v>43978</v>
      </c>
      <c r="AO134" s="87"/>
      <c r="AP134" s="82">
        <f t="shared" si="26"/>
        <v>48290</v>
      </c>
      <c r="AQ134" s="4"/>
      <c r="AR134" s="4"/>
      <c r="AS134" s="4"/>
      <c r="AT134" s="4"/>
    </row>
    <row r="135" spans="1:48" s="88" customFormat="1" ht="111.95" customHeight="1" x14ac:dyDescent="0.25">
      <c r="A135" s="76">
        <v>318</v>
      </c>
      <c r="B135" s="76" t="s">
        <v>74</v>
      </c>
      <c r="C135" s="76"/>
      <c r="D135" s="76"/>
      <c r="E135" s="76"/>
      <c r="F135" s="78" t="s">
        <v>330</v>
      </c>
      <c r="G135" s="79" t="s">
        <v>204</v>
      </c>
      <c r="H135" s="79" t="s">
        <v>1029</v>
      </c>
      <c r="I135" s="80"/>
      <c r="J135" s="79" t="s">
        <v>332</v>
      </c>
      <c r="K135" s="79" t="s">
        <v>333</v>
      </c>
      <c r="L135" s="81" t="s">
        <v>186</v>
      </c>
      <c r="M135" s="81"/>
      <c r="N135" s="82">
        <v>44013</v>
      </c>
      <c r="O135" s="82">
        <v>44742</v>
      </c>
      <c r="P135" s="83">
        <f t="shared" si="30"/>
        <v>1.9972602739726026</v>
      </c>
      <c r="Q135" s="77" t="s">
        <v>29</v>
      </c>
      <c r="R135" s="77" t="s">
        <v>79</v>
      </c>
      <c r="S135" s="77" t="str">
        <f t="shared" si="31"/>
        <v>Z</v>
      </c>
      <c r="T135" s="84">
        <v>1</v>
      </c>
      <c r="U135" s="84">
        <v>2</v>
      </c>
      <c r="V135" s="84">
        <v>2</v>
      </c>
      <c r="W135" s="84">
        <f t="shared" si="32"/>
        <v>5</v>
      </c>
      <c r="X135" s="84" t="str">
        <f t="shared" si="33"/>
        <v>Biasa</v>
      </c>
      <c r="Y135" s="78" t="s">
        <v>334</v>
      </c>
      <c r="Z135" s="115"/>
      <c r="AA135" s="82"/>
      <c r="AB135" s="82"/>
      <c r="AC135" s="82"/>
      <c r="AD135" s="27" t="s">
        <v>14</v>
      </c>
      <c r="AE135" s="85">
        <v>44501</v>
      </c>
      <c r="AF135" s="77" t="s">
        <v>188</v>
      </c>
      <c r="AG135" s="77"/>
      <c r="AH135" s="21"/>
      <c r="AI135" s="21"/>
      <c r="AJ135" s="21"/>
      <c r="AK135" s="21"/>
      <c r="AL135" s="21"/>
      <c r="AM135" s="27"/>
      <c r="AN135" s="86"/>
      <c r="AO135" s="87"/>
      <c r="AP135" s="82">
        <f t="shared" ref="AP135:AP159" si="34">O135+3650</f>
        <v>48392</v>
      </c>
      <c r="AQ135" s="4"/>
      <c r="AR135" s="4"/>
      <c r="AS135" s="4"/>
      <c r="AT135" s="4"/>
    </row>
    <row r="136" spans="1:48" s="88" customFormat="1" ht="111.95" customHeight="1" x14ac:dyDescent="0.25">
      <c r="A136" s="76">
        <v>319</v>
      </c>
      <c r="B136" s="76" t="s">
        <v>74</v>
      </c>
      <c r="C136" s="76"/>
      <c r="D136" s="76"/>
      <c r="E136" s="76"/>
      <c r="F136" s="78" t="s">
        <v>75</v>
      </c>
      <c r="G136" s="79" t="s">
        <v>849</v>
      </c>
      <c r="H136" s="79" t="s">
        <v>850</v>
      </c>
      <c r="I136" s="80"/>
      <c r="J136" s="79" t="s">
        <v>851</v>
      </c>
      <c r="K136" s="79"/>
      <c r="L136" s="81"/>
      <c r="M136" s="81"/>
      <c r="N136" s="82">
        <v>43040</v>
      </c>
      <c r="O136" s="82">
        <v>44865</v>
      </c>
      <c r="P136" s="83">
        <f t="shared" si="30"/>
        <v>5</v>
      </c>
      <c r="Q136" s="77" t="s">
        <v>25</v>
      </c>
      <c r="R136" s="77" t="s">
        <v>79</v>
      </c>
      <c r="S136" s="77" t="str">
        <f t="shared" si="31"/>
        <v>Z</v>
      </c>
      <c r="T136" s="84">
        <v>3</v>
      </c>
      <c r="U136" s="84">
        <v>3</v>
      </c>
      <c r="V136" s="84">
        <v>3</v>
      </c>
      <c r="W136" s="84">
        <f t="shared" si="32"/>
        <v>9</v>
      </c>
      <c r="X136" s="84" t="str">
        <f t="shared" si="33"/>
        <v>Penting</v>
      </c>
      <c r="Y136" s="78"/>
      <c r="Z136" s="115" t="s">
        <v>81</v>
      </c>
      <c r="AA136" s="82">
        <f>N136+1365</f>
        <v>44405</v>
      </c>
      <c r="AB136" s="82"/>
      <c r="AC136" s="82"/>
      <c r="AD136" s="27"/>
      <c r="AE136" s="85"/>
      <c r="AF136" s="77" t="s">
        <v>852</v>
      </c>
      <c r="AG136" s="77"/>
      <c r="AH136" s="21"/>
      <c r="AI136" s="21"/>
      <c r="AJ136" s="21"/>
      <c r="AK136" s="21"/>
      <c r="AL136" s="21"/>
      <c r="AM136" s="27"/>
      <c r="AN136" s="86"/>
      <c r="AO136" s="87"/>
      <c r="AP136" s="82">
        <f t="shared" si="34"/>
        <v>48515</v>
      </c>
      <c r="AQ136" s="4"/>
      <c r="AR136" s="4"/>
      <c r="AV136" s="93"/>
    </row>
    <row r="137" spans="1:48" ht="55.5" x14ac:dyDescent="0.25">
      <c r="A137" s="76">
        <v>175</v>
      </c>
      <c r="B137" s="76" t="s">
        <v>74</v>
      </c>
      <c r="C137" s="76" t="s">
        <v>1175</v>
      </c>
      <c r="D137" s="76">
        <v>2</v>
      </c>
      <c r="E137" s="76" t="s">
        <v>82</v>
      </c>
      <c r="F137" s="78"/>
      <c r="G137" s="79" t="s">
        <v>997</v>
      </c>
      <c r="H137" s="79" t="s">
        <v>676</v>
      </c>
      <c r="I137" s="80" t="s">
        <v>1339</v>
      </c>
      <c r="J137" s="79"/>
      <c r="K137" s="79" t="s">
        <v>995</v>
      </c>
      <c r="L137" s="81">
        <v>5000</v>
      </c>
      <c r="M137" s="81" t="s">
        <v>96</v>
      </c>
      <c r="N137" s="82">
        <v>44743</v>
      </c>
      <c r="O137" s="82">
        <v>45107</v>
      </c>
      <c r="P137" s="83">
        <f t="shared" si="30"/>
        <v>0.99726027397260275</v>
      </c>
      <c r="Q137" s="77" t="s">
        <v>31</v>
      </c>
      <c r="R137" s="77" t="s">
        <v>79</v>
      </c>
      <c r="S137" s="77" t="str">
        <f t="shared" si="31"/>
        <v>Z</v>
      </c>
      <c r="T137" s="84">
        <v>1</v>
      </c>
      <c r="U137" s="84">
        <v>3</v>
      </c>
      <c r="V137" s="84">
        <v>1</v>
      </c>
      <c r="W137" s="84">
        <f t="shared" si="32"/>
        <v>5</v>
      </c>
      <c r="X137" s="84" t="str">
        <f t="shared" si="33"/>
        <v>Biasa</v>
      </c>
      <c r="Y137" s="78"/>
      <c r="Z137" s="115"/>
      <c r="AA137" s="82"/>
      <c r="AB137" s="82"/>
      <c r="AC137" s="82"/>
      <c r="AD137" s="27"/>
      <c r="AE137" s="85"/>
      <c r="AF137" s="77" t="s">
        <v>996</v>
      </c>
      <c r="AG137" s="77" t="s">
        <v>150</v>
      </c>
      <c r="AH137" s="21"/>
      <c r="AI137" s="21"/>
      <c r="AJ137" s="21"/>
      <c r="AK137" s="21"/>
      <c r="AL137" s="21"/>
      <c r="AM137" s="27" t="s">
        <v>998</v>
      </c>
      <c r="AN137" s="86">
        <v>44718</v>
      </c>
      <c r="AO137" s="87"/>
      <c r="AP137" s="82">
        <f t="shared" si="34"/>
        <v>48757</v>
      </c>
    </row>
    <row r="138" spans="1:48" ht="83.25" x14ac:dyDescent="0.25">
      <c r="A138" s="76">
        <v>176</v>
      </c>
      <c r="B138" s="76" t="s">
        <v>74</v>
      </c>
      <c r="C138" s="76" t="s">
        <v>1175</v>
      </c>
      <c r="D138" s="76">
        <v>3</v>
      </c>
      <c r="E138" s="76" t="s">
        <v>82</v>
      </c>
      <c r="F138" s="78"/>
      <c r="G138" s="79" t="s">
        <v>999</v>
      </c>
      <c r="H138" s="79" t="s">
        <v>1000</v>
      </c>
      <c r="I138" s="80" t="s">
        <v>1339</v>
      </c>
      <c r="J138" s="79" t="s">
        <v>1001</v>
      </c>
      <c r="K138" s="79" t="s">
        <v>1002</v>
      </c>
      <c r="L138" s="81"/>
      <c r="M138" s="81"/>
      <c r="N138" s="82">
        <v>44732</v>
      </c>
      <c r="O138" s="82">
        <v>45097</v>
      </c>
      <c r="P138" s="83">
        <f t="shared" si="30"/>
        <v>1</v>
      </c>
      <c r="Q138" s="77" t="s">
        <v>31</v>
      </c>
      <c r="R138" s="77" t="s">
        <v>79</v>
      </c>
      <c r="S138" s="77" t="str">
        <f t="shared" si="31"/>
        <v>Z</v>
      </c>
      <c r="T138" s="84">
        <v>1</v>
      </c>
      <c r="U138" s="84">
        <v>3</v>
      </c>
      <c r="V138" s="84">
        <v>1</v>
      </c>
      <c r="W138" s="84">
        <f t="shared" si="32"/>
        <v>5</v>
      </c>
      <c r="X138" s="84" t="str">
        <f t="shared" si="33"/>
        <v>Biasa</v>
      </c>
      <c r="Y138" s="78"/>
      <c r="Z138" s="115"/>
      <c r="AA138" s="82"/>
      <c r="AB138" s="82"/>
      <c r="AC138" s="82"/>
      <c r="AD138" s="27"/>
      <c r="AE138" s="85"/>
      <c r="AF138" s="77" t="s">
        <v>996</v>
      </c>
      <c r="AG138" s="77" t="s">
        <v>150</v>
      </c>
      <c r="AH138" s="21"/>
      <c r="AI138" s="21"/>
      <c r="AJ138" s="21"/>
      <c r="AK138" s="21"/>
      <c r="AL138" s="21"/>
      <c r="AM138" s="27" t="s">
        <v>1003</v>
      </c>
      <c r="AN138" s="86">
        <v>44732</v>
      </c>
      <c r="AO138" s="87"/>
      <c r="AP138" s="82">
        <f t="shared" si="34"/>
        <v>48747</v>
      </c>
    </row>
    <row r="139" spans="1:48" ht="166.5" x14ac:dyDescent="0.25">
      <c r="A139" s="76">
        <v>123</v>
      </c>
      <c r="B139" s="76" t="s">
        <v>74</v>
      </c>
      <c r="C139" s="76" t="s">
        <v>1164</v>
      </c>
      <c r="D139" s="76">
        <v>1</v>
      </c>
      <c r="E139" s="76" t="s">
        <v>82</v>
      </c>
      <c r="F139" s="78" t="s">
        <v>1275</v>
      </c>
      <c r="G139" s="79" t="s">
        <v>1276</v>
      </c>
      <c r="H139" s="79" t="s">
        <v>170</v>
      </c>
      <c r="I139" s="80" t="s">
        <v>1339</v>
      </c>
      <c r="J139" s="79" t="s">
        <v>171</v>
      </c>
      <c r="K139" s="79" t="s">
        <v>172</v>
      </c>
      <c r="L139" s="81">
        <v>100671960.05</v>
      </c>
      <c r="M139" s="81" t="s">
        <v>96</v>
      </c>
      <c r="N139" s="82">
        <v>44927</v>
      </c>
      <c r="O139" s="82">
        <v>45107</v>
      </c>
      <c r="P139" s="83">
        <f t="shared" si="30"/>
        <v>0.49315068493150682</v>
      </c>
      <c r="Q139" s="77" t="s">
        <v>19</v>
      </c>
      <c r="R139" s="77" t="s">
        <v>79</v>
      </c>
      <c r="S139" s="77" t="str">
        <f t="shared" ref="S139:S140" si="35">IF(R139="End","Z",IF(R139="Cancel","C",IF(SUM(R139)&gt;0,"O",IF(ISBLANK(R139),"X",IF(SUM(R139)&lt;0,"Y",IF(SUM(R139),"-","O"))))))</f>
        <v>Z</v>
      </c>
      <c r="T139" s="84">
        <v>1</v>
      </c>
      <c r="U139" s="84">
        <v>2</v>
      </c>
      <c r="V139" s="84">
        <v>1</v>
      </c>
      <c r="W139" s="84">
        <v>5</v>
      </c>
      <c r="X139" s="84" t="str">
        <f t="shared" si="33"/>
        <v>Biasa</v>
      </c>
      <c r="Y139" s="78"/>
      <c r="Z139" s="115"/>
      <c r="AA139" s="82"/>
      <c r="AB139" s="82"/>
      <c r="AC139" s="82"/>
      <c r="AD139" s="27"/>
      <c r="AE139" s="85"/>
      <c r="AF139" s="77" t="s">
        <v>168</v>
      </c>
      <c r="AG139" s="77" t="s">
        <v>81</v>
      </c>
      <c r="AH139" s="21" t="s">
        <v>81</v>
      </c>
      <c r="AI139" s="21" t="s">
        <v>81</v>
      </c>
      <c r="AJ139" s="21" t="s">
        <v>81</v>
      </c>
      <c r="AK139" s="21" t="s">
        <v>81</v>
      </c>
      <c r="AL139" s="21" t="s">
        <v>81</v>
      </c>
      <c r="AM139" s="27" t="s">
        <v>100</v>
      </c>
      <c r="AN139" s="86">
        <v>44925</v>
      </c>
      <c r="AO139" s="87"/>
      <c r="AP139" s="82">
        <f t="shared" si="34"/>
        <v>48757</v>
      </c>
    </row>
    <row r="140" spans="1:48" ht="83.25" x14ac:dyDescent="0.25">
      <c r="A140" s="76">
        <v>62</v>
      </c>
      <c r="B140" s="76" t="s">
        <v>74</v>
      </c>
      <c r="C140" s="76" t="s">
        <v>1155</v>
      </c>
      <c r="D140" s="76">
        <v>5</v>
      </c>
      <c r="E140" s="76" t="s">
        <v>82</v>
      </c>
      <c r="F140" s="78" t="s">
        <v>573</v>
      </c>
      <c r="G140" s="79" t="s">
        <v>204</v>
      </c>
      <c r="H140" s="79" t="s">
        <v>574</v>
      </c>
      <c r="I140" s="80" t="s">
        <v>1339</v>
      </c>
      <c r="J140" s="79" t="s">
        <v>571</v>
      </c>
      <c r="K140" s="79" t="s">
        <v>575</v>
      </c>
      <c r="L140" s="81" t="s">
        <v>186</v>
      </c>
      <c r="M140" s="81"/>
      <c r="N140" s="82">
        <v>44743</v>
      </c>
      <c r="O140" s="82">
        <v>45107</v>
      </c>
      <c r="P140" s="83">
        <f t="shared" si="30"/>
        <v>0.99726027397260275</v>
      </c>
      <c r="Q140" s="77" t="s">
        <v>19</v>
      </c>
      <c r="R140" s="77" t="s">
        <v>79</v>
      </c>
      <c r="S140" s="77" t="str">
        <f t="shared" si="35"/>
        <v>Z</v>
      </c>
      <c r="T140" s="84">
        <v>1</v>
      </c>
      <c r="U140" s="84">
        <v>2</v>
      </c>
      <c r="V140" s="84">
        <v>1</v>
      </c>
      <c r="W140" s="84">
        <f t="shared" ref="W140:W144" si="36">T140+U140+V140</f>
        <v>4</v>
      </c>
      <c r="X140" s="84" t="str">
        <f t="shared" si="33"/>
        <v>Biasa</v>
      </c>
      <c r="Y140" s="78"/>
      <c r="Z140" s="115"/>
      <c r="AA140" s="82"/>
      <c r="AB140" s="82"/>
      <c r="AC140" s="82"/>
      <c r="AD140" s="27" t="s">
        <v>86</v>
      </c>
      <c r="AE140" s="85">
        <v>44617</v>
      </c>
      <c r="AF140" s="77" t="s">
        <v>192</v>
      </c>
      <c r="AG140" s="77" t="s">
        <v>81</v>
      </c>
      <c r="AH140" s="21" t="s">
        <v>81</v>
      </c>
      <c r="AI140" s="21" t="s">
        <v>81</v>
      </c>
      <c r="AJ140" s="21" t="s">
        <v>81</v>
      </c>
      <c r="AK140" s="21" t="s">
        <v>81</v>
      </c>
      <c r="AL140" s="21" t="s">
        <v>81</v>
      </c>
      <c r="AM140" s="27" t="s">
        <v>100</v>
      </c>
      <c r="AN140" s="86">
        <v>44740</v>
      </c>
      <c r="AO140" s="87"/>
      <c r="AP140" s="82">
        <f t="shared" si="34"/>
        <v>48757</v>
      </c>
    </row>
    <row r="141" spans="1:48" ht="83.25" x14ac:dyDescent="0.25">
      <c r="A141" s="76">
        <v>56</v>
      </c>
      <c r="B141" s="76" t="s">
        <v>74</v>
      </c>
      <c r="C141" s="76" t="s">
        <v>1154</v>
      </c>
      <c r="D141" s="76">
        <v>4</v>
      </c>
      <c r="E141" s="76" t="s">
        <v>82</v>
      </c>
      <c r="F141" s="78" t="s">
        <v>1215</v>
      </c>
      <c r="G141" s="79" t="s">
        <v>204</v>
      </c>
      <c r="H141" s="79" t="s">
        <v>403</v>
      </c>
      <c r="I141" s="80" t="s">
        <v>1339</v>
      </c>
      <c r="J141" s="79" t="s">
        <v>404</v>
      </c>
      <c r="K141" s="79" t="s">
        <v>405</v>
      </c>
      <c r="L141" s="81">
        <v>250000</v>
      </c>
      <c r="M141" s="81" t="s">
        <v>406</v>
      </c>
      <c r="N141" s="82">
        <v>44891</v>
      </c>
      <c r="O141" s="82">
        <v>45107</v>
      </c>
      <c r="P141" s="83">
        <f t="shared" si="30"/>
        <v>0.59178082191780823</v>
      </c>
      <c r="Q141" s="77" t="s">
        <v>19</v>
      </c>
      <c r="R141" s="77" t="s">
        <v>79</v>
      </c>
      <c r="S141" s="77" t="str">
        <f t="shared" ref="S141" si="37">IF(R141="End","Z",IF(R141="Cancel","C",IF(SUM(R141)&gt;0,"O",IF(ISBLANK(R141),"X",IF(SUM(R141)&lt;0,"Y",IF(SUM(R141),"-","O"))))))</f>
        <v>Z</v>
      </c>
      <c r="T141" s="84">
        <v>1</v>
      </c>
      <c r="U141" s="84">
        <v>2</v>
      </c>
      <c r="V141" s="84">
        <v>1</v>
      </c>
      <c r="W141" s="84">
        <f t="shared" si="36"/>
        <v>4</v>
      </c>
      <c r="X141" s="84" t="str">
        <f t="shared" si="33"/>
        <v>Biasa</v>
      </c>
      <c r="Y141" s="78"/>
      <c r="Z141" s="115"/>
      <c r="AA141" s="82"/>
      <c r="AB141" s="82"/>
      <c r="AC141" s="82"/>
      <c r="AD141" s="27" t="s">
        <v>86</v>
      </c>
      <c r="AE141" s="85">
        <v>44501</v>
      </c>
      <c r="AF141" s="77" t="s">
        <v>192</v>
      </c>
      <c r="AG141" s="77" t="s">
        <v>81</v>
      </c>
      <c r="AH141" s="21" t="s">
        <v>81</v>
      </c>
      <c r="AI141" s="21" t="s">
        <v>81</v>
      </c>
      <c r="AJ141" s="21" t="s">
        <v>81</v>
      </c>
      <c r="AK141" s="21" t="s">
        <v>81</v>
      </c>
      <c r="AL141" s="21" t="s">
        <v>81</v>
      </c>
      <c r="AM141" s="27" t="s">
        <v>100</v>
      </c>
      <c r="AN141" s="86">
        <v>44883</v>
      </c>
      <c r="AO141" s="87"/>
      <c r="AP141" s="82">
        <f t="shared" si="34"/>
        <v>48757</v>
      </c>
    </row>
    <row r="142" spans="1:48" ht="138.75" x14ac:dyDescent="0.25">
      <c r="A142" s="76">
        <v>235</v>
      </c>
      <c r="B142" s="76" t="s">
        <v>74</v>
      </c>
      <c r="C142" s="76" t="s">
        <v>1194</v>
      </c>
      <c r="D142" s="76">
        <v>41</v>
      </c>
      <c r="E142" s="76" t="s">
        <v>217</v>
      </c>
      <c r="F142" s="78" t="s">
        <v>1296</v>
      </c>
      <c r="G142" s="79" t="s">
        <v>1297</v>
      </c>
      <c r="H142" s="79" t="s">
        <v>1298</v>
      </c>
      <c r="I142" s="80" t="s">
        <v>1338</v>
      </c>
      <c r="J142" s="79" t="s">
        <v>1299</v>
      </c>
      <c r="K142" s="79" t="s">
        <v>1300</v>
      </c>
      <c r="L142" s="81">
        <v>250000000</v>
      </c>
      <c r="M142" s="81" t="s">
        <v>282</v>
      </c>
      <c r="N142" s="82">
        <v>44928</v>
      </c>
      <c r="O142" s="82">
        <v>45092</v>
      </c>
      <c r="P142" s="83">
        <f t="shared" si="30"/>
        <v>0.44931506849315067</v>
      </c>
      <c r="Q142" s="77" t="s">
        <v>19</v>
      </c>
      <c r="R142" s="77" t="s">
        <v>79</v>
      </c>
      <c r="S142" s="77" t="str">
        <f t="shared" ref="S142" si="38">IF(R142="End","Z",IF(R142="Cancel","C",IF(SUM(R142)&gt;0,"O",IF(ISBLANK(R142),"X",IF(SUM(R142)&lt;0,"Y",IF(SUM(R142),"-","O"))))))</f>
        <v>Z</v>
      </c>
      <c r="T142" s="84">
        <v>1</v>
      </c>
      <c r="U142" s="84">
        <v>3</v>
      </c>
      <c r="V142" s="84">
        <v>1</v>
      </c>
      <c r="W142" s="84">
        <f t="shared" si="36"/>
        <v>5</v>
      </c>
      <c r="X142" s="84" t="str">
        <f t="shared" si="33"/>
        <v>Biasa</v>
      </c>
      <c r="Y142" s="78" t="s">
        <v>1429</v>
      </c>
      <c r="Z142" s="115"/>
      <c r="AA142" s="82"/>
      <c r="AB142" s="82"/>
      <c r="AC142" s="82"/>
      <c r="AD142" s="27"/>
      <c r="AE142" s="85"/>
      <c r="AF142" s="77" t="s">
        <v>168</v>
      </c>
      <c r="AG142" s="77" t="s">
        <v>81</v>
      </c>
      <c r="AH142" s="21" t="s">
        <v>81</v>
      </c>
      <c r="AI142" s="21" t="s">
        <v>81</v>
      </c>
      <c r="AJ142" s="21" t="s">
        <v>81</v>
      </c>
      <c r="AK142" s="21" t="s">
        <v>81</v>
      </c>
      <c r="AL142" s="21" t="s">
        <v>81</v>
      </c>
      <c r="AM142" s="27" t="s">
        <v>100</v>
      </c>
      <c r="AN142" s="86">
        <v>44936</v>
      </c>
      <c r="AO142" s="87"/>
      <c r="AP142" s="82">
        <f t="shared" si="34"/>
        <v>48742</v>
      </c>
    </row>
    <row r="143" spans="1:48" ht="83.25" x14ac:dyDescent="0.25">
      <c r="A143" s="76">
        <v>30</v>
      </c>
      <c r="B143" s="76" t="s">
        <v>74</v>
      </c>
      <c r="C143" s="76" t="s">
        <v>1150</v>
      </c>
      <c r="D143" s="76">
        <v>5</v>
      </c>
      <c r="E143" s="76" t="s">
        <v>82</v>
      </c>
      <c r="F143" s="78" t="s">
        <v>369</v>
      </c>
      <c r="G143" s="79" t="s">
        <v>204</v>
      </c>
      <c r="H143" s="79" t="s">
        <v>370</v>
      </c>
      <c r="I143" s="80" t="s">
        <v>1339</v>
      </c>
      <c r="J143" s="79" t="s">
        <v>371</v>
      </c>
      <c r="K143" s="79" t="s">
        <v>372</v>
      </c>
      <c r="L143" s="81" t="s">
        <v>321</v>
      </c>
      <c r="M143" s="81"/>
      <c r="N143" s="82">
        <v>44743</v>
      </c>
      <c r="O143" s="82">
        <v>45107</v>
      </c>
      <c r="P143" s="83">
        <f t="shared" si="30"/>
        <v>0.99726027397260275</v>
      </c>
      <c r="Q143" s="77" t="s">
        <v>19</v>
      </c>
      <c r="R143" s="77" t="s">
        <v>79</v>
      </c>
      <c r="S143" s="77" t="str">
        <f t="shared" ref="S143:S145" si="39">IF(R143="End","Z",IF(R143="Cancel","C",IF(SUM(R143)&gt;0,"O",IF(ISBLANK(R143),"X",IF(SUM(R143)&lt;0,"Y",IF(SUM(R143),"-","O"))))))</f>
        <v>Z</v>
      </c>
      <c r="T143" s="84">
        <v>2</v>
      </c>
      <c r="U143" s="84">
        <v>2</v>
      </c>
      <c r="V143" s="84">
        <v>1</v>
      </c>
      <c r="W143" s="84">
        <f t="shared" si="36"/>
        <v>5</v>
      </c>
      <c r="X143" s="84" t="str">
        <f t="shared" si="33"/>
        <v>Biasa</v>
      </c>
      <c r="Y143" s="78"/>
      <c r="Z143" s="115"/>
      <c r="AA143" s="82"/>
      <c r="AB143" s="82"/>
      <c r="AC143" s="82"/>
      <c r="AD143" s="27"/>
      <c r="AE143" s="85"/>
      <c r="AF143" s="77" t="s">
        <v>192</v>
      </c>
      <c r="AG143" s="77" t="s">
        <v>81</v>
      </c>
      <c r="AH143" s="21" t="s">
        <v>81</v>
      </c>
      <c r="AI143" s="21" t="s">
        <v>81</v>
      </c>
      <c r="AJ143" s="21" t="s">
        <v>81</v>
      </c>
      <c r="AK143" s="21" t="s">
        <v>81</v>
      </c>
      <c r="AL143" s="21" t="s">
        <v>81</v>
      </c>
      <c r="AM143" s="27" t="s">
        <v>100</v>
      </c>
      <c r="AN143" s="86">
        <v>44740</v>
      </c>
      <c r="AO143" s="87"/>
      <c r="AP143" s="82">
        <f t="shared" si="34"/>
        <v>48757</v>
      </c>
    </row>
    <row r="144" spans="1:48" ht="83.25" x14ac:dyDescent="0.25">
      <c r="A144" s="76">
        <v>49</v>
      </c>
      <c r="B144" s="76" t="s">
        <v>74</v>
      </c>
      <c r="C144" s="76" t="s">
        <v>1153</v>
      </c>
      <c r="D144" s="76">
        <v>4</v>
      </c>
      <c r="E144" s="76" t="s">
        <v>82</v>
      </c>
      <c r="F144" s="78" t="s">
        <v>459</v>
      </c>
      <c r="G144" s="79" t="s">
        <v>204</v>
      </c>
      <c r="H144" s="79" t="s">
        <v>460</v>
      </c>
      <c r="I144" s="80" t="s">
        <v>1339</v>
      </c>
      <c r="J144" s="79" t="s">
        <v>461</v>
      </c>
      <c r="K144" s="79" t="s">
        <v>462</v>
      </c>
      <c r="L144" s="81" t="s">
        <v>186</v>
      </c>
      <c r="M144" s="81"/>
      <c r="N144" s="82">
        <v>44743</v>
      </c>
      <c r="O144" s="82">
        <v>45107</v>
      </c>
      <c r="P144" s="83">
        <f t="shared" si="30"/>
        <v>0.99726027397260275</v>
      </c>
      <c r="Q144" s="77" t="s">
        <v>19</v>
      </c>
      <c r="R144" s="77" t="s">
        <v>79</v>
      </c>
      <c r="S144" s="77" t="str">
        <f t="shared" si="39"/>
        <v>Z</v>
      </c>
      <c r="T144" s="84">
        <v>1</v>
      </c>
      <c r="U144" s="84">
        <v>1</v>
      </c>
      <c r="V144" s="84">
        <v>1</v>
      </c>
      <c r="W144" s="84">
        <f t="shared" si="36"/>
        <v>3</v>
      </c>
      <c r="X144" s="84" t="str">
        <f t="shared" si="33"/>
        <v>Biasa</v>
      </c>
      <c r="Y144" s="78"/>
      <c r="Z144" s="115"/>
      <c r="AA144" s="82"/>
      <c r="AB144" s="82"/>
      <c r="AC144" s="82"/>
      <c r="AD144" s="27"/>
      <c r="AE144" s="85"/>
      <c r="AF144" s="77" t="s">
        <v>188</v>
      </c>
      <c r="AG144" s="77" t="s">
        <v>81</v>
      </c>
      <c r="AH144" s="21" t="s">
        <v>81</v>
      </c>
      <c r="AI144" s="21" t="s">
        <v>81</v>
      </c>
      <c r="AJ144" s="21" t="s">
        <v>81</v>
      </c>
      <c r="AK144" s="21" t="s">
        <v>81</v>
      </c>
      <c r="AL144" s="21" t="s">
        <v>81</v>
      </c>
      <c r="AM144" s="27" t="s">
        <v>87</v>
      </c>
      <c r="AN144" s="86">
        <v>44740</v>
      </c>
      <c r="AO144" s="87"/>
      <c r="AP144" s="82">
        <f t="shared" si="34"/>
        <v>48757</v>
      </c>
    </row>
    <row r="145" spans="1:42" ht="83.25" x14ac:dyDescent="0.25">
      <c r="A145" s="76">
        <v>57</v>
      </c>
      <c r="B145" s="76" t="s">
        <v>74</v>
      </c>
      <c r="C145" s="76" t="s">
        <v>1154</v>
      </c>
      <c r="D145" s="76">
        <v>5</v>
      </c>
      <c r="E145" s="76" t="s">
        <v>82</v>
      </c>
      <c r="F145" s="78" t="s">
        <v>1187</v>
      </c>
      <c r="G145" s="79" t="s">
        <v>204</v>
      </c>
      <c r="H145" s="79" t="s">
        <v>407</v>
      </c>
      <c r="I145" s="80" t="s">
        <v>1339</v>
      </c>
      <c r="J145" s="79" t="s">
        <v>404</v>
      </c>
      <c r="K145" s="79" t="s">
        <v>408</v>
      </c>
      <c r="L145" s="81">
        <v>250000</v>
      </c>
      <c r="M145" s="81" t="s">
        <v>406</v>
      </c>
      <c r="N145" s="82">
        <v>44891</v>
      </c>
      <c r="O145" s="82">
        <v>45107</v>
      </c>
      <c r="P145" s="83">
        <f t="shared" ref="P145" si="40">(O145-N145)/365</f>
        <v>0.59178082191780823</v>
      </c>
      <c r="Q145" s="77" t="s">
        <v>19</v>
      </c>
      <c r="R145" s="77" t="s">
        <v>79</v>
      </c>
      <c r="S145" s="77" t="str">
        <f t="shared" si="39"/>
        <v>Z</v>
      </c>
      <c r="T145" s="84">
        <v>1</v>
      </c>
      <c r="U145" s="84">
        <v>2</v>
      </c>
      <c r="V145" s="84">
        <v>1</v>
      </c>
      <c r="W145" s="84">
        <f t="shared" ref="W145" si="41">T145+U145+V145</f>
        <v>4</v>
      </c>
      <c r="X145" s="84" t="str">
        <f t="shared" ref="X145" si="42">IF(W145&gt;5,"Penting",IF(ISBLANK(W145),"","Biasa"))</f>
        <v>Biasa</v>
      </c>
      <c r="Y145" s="78"/>
      <c r="Z145" s="115"/>
      <c r="AA145" s="82"/>
      <c r="AB145" s="82"/>
      <c r="AC145" s="82"/>
      <c r="AD145" s="27" t="s">
        <v>86</v>
      </c>
      <c r="AE145" s="85">
        <v>44501</v>
      </c>
      <c r="AF145" s="77" t="s">
        <v>192</v>
      </c>
      <c r="AG145" s="77" t="s">
        <v>81</v>
      </c>
      <c r="AH145" s="21" t="s">
        <v>81</v>
      </c>
      <c r="AI145" s="21" t="s">
        <v>81</v>
      </c>
      <c r="AJ145" s="21" t="s">
        <v>81</v>
      </c>
      <c r="AK145" s="21" t="s">
        <v>81</v>
      </c>
      <c r="AL145" s="21" t="s">
        <v>81</v>
      </c>
      <c r="AM145" s="27" t="s">
        <v>100</v>
      </c>
      <c r="AN145" s="86">
        <v>44883</v>
      </c>
      <c r="AO145" s="87"/>
      <c r="AP145" s="82">
        <f t="shared" si="34"/>
        <v>48757</v>
      </c>
    </row>
    <row r="146" spans="1:42" ht="55.5" x14ac:dyDescent="0.25">
      <c r="A146" s="76">
        <v>151</v>
      </c>
      <c r="B146" s="76" t="s">
        <v>74</v>
      </c>
      <c r="C146" s="76" t="s">
        <v>1170</v>
      </c>
      <c r="D146" s="76">
        <v>5</v>
      </c>
      <c r="E146" s="76" t="s">
        <v>82</v>
      </c>
      <c r="F146" s="78" t="s">
        <v>799</v>
      </c>
      <c r="G146" s="79" t="s">
        <v>800</v>
      </c>
      <c r="H146" s="79" t="s">
        <v>801</v>
      </c>
      <c r="I146" s="80" t="s">
        <v>1339</v>
      </c>
      <c r="J146" s="79" t="s">
        <v>802</v>
      </c>
      <c r="K146" s="79" t="s">
        <v>803</v>
      </c>
      <c r="L146" s="81">
        <v>53677777</v>
      </c>
      <c r="M146" s="81" t="s">
        <v>96</v>
      </c>
      <c r="N146" s="82">
        <v>44743</v>
      </c>
      <c r="O146" s="82">
        <v>45107</v>
      </c>
      <c r="P146" s="83">
        <f t="shared" ref="P146:P160" si="43">(O146-N146)/365</f>
        <v>0.99726027397260275</v>
      </c>
      <c r="Q146" s="77" t="s">
        <v>26</v>
      </c>
      <c r="R146" s="77" t="s">
        <v>79</v>
      </c>
      <c r="S146" s="77" t="str">
        <f t="shared" ref="S146:S147" si="44">IF(R146="End","Z",IF(R146="Cancel","C",IF(SUM(R146)&gt;0,"O",IF(ISBLANK(R146),"X",IF(SUM(R146)&lt;0,"Y",IF(SUM(R146),"-","O"))))))</f>
        <v>Z</v>
      </c>
      <c r="T146" s="84">
        <v>1</v>
      </c>
      <c r="U146" s="84">
        <v>1</v>
      </c>
      <c r="V146" s="84">
        <v>3</v>
      </c>
      <c r="W146" s="84">
        <f t="shared" ref="W146:W160" si="45">T146+U146+V146</f>
        <v>5</v>
      </c>
      <c r="X146" s="84" t="str">
        <f t="shared" ref="X146:X160" si="46">IF(W146&gt;5,"Penting",IF(ISBLANK(W146),"","Biasa"))</f>
        <v>Biasa</v>
      </c>
      <c r="Y146" s="78"/>
      <c r="Z146" s="115"/>
      <c r="AA146" s="82"/>
      <c r="AB146" s="82"/>
      <c r="AC146" s="82"/>
      <c r="AD146" s="27" t="s">
        <v>86</v>
      </c>
      <c r="AE146" s="85">
        <v>43983</v>
      </c>
      <c r="AF146" s="77" t="s">
        <v>778</v>
      </c>
      <c r="AG146" s="77" t="s">
        <v>81</v>
      </c>
      <c r="AH146" s="21" t="s">
        <v>81</v>
      </c>
      <c r="AI146" s="21" t="s">
        <v>81</v>
      </c>
      <c r="AJ146" s="21" t="s">
        <v>81</v>
      </c>
      <c r="AK146" s="21" t="s">
        <v>81</v>
      </c>
      <c r="AL146" s="21" t="s">
        <v>81</v>
      </c>
      <c r="AM146" s="27" t="s">
        <v>100</v>
      </c>
      <c r="AN146" s="86">
        <v>44740</v>
      </c>
      <c r="AO146" s="87"/>
      <c r="AP146" s="82">
        <f t="shared" si="34"/>
        <v>48757</v>
      </c>
    </row>
    <row r="147" spans="1:42" ht="111" x14ac:dyDescent="0.25">
      <c r="A147" s="76">
        <v>145</v>
      </c>
      <c r="B147" s="76" t="s">
        <v>74</v>
      </c>
      <c r="C147" s="76" t="s">
        <v>1169</v>
      </c>
      <c r="D147" s="76">
        <v>4</v>
      </c>
      <c r="E147" s="76" t="s">
        <v>82</v>
      </c>
      <c r="F147" s="78" t="s">
        <v>250</v>
      </c>
      <c r="G147" s="79" t="s">
        <v>251</v>
      </c>
      <c r="H147" s="79" t="s">
        <v>252</v>
      </c>
      <c r="I147" s="80" t="s">
        <v>1339</v>
      </c>
      <c r="J147" s="79" t="s">
        <v>253</v>
      </c>
      <c r="K147" s="79" t="s">
        <v>254</v>
      </c>
      <c r="L147" s="81">
        <v>388000000</v>
      </c>
      <c r="M147" s="81" t="s">
        <v>85</v>
      </c>
      <c r="N147" s="82">
        <v>44743</v>
      </c>
      <c r="O147" s="82">
        <v>45107</v>
      </c>
      <c r="P147" s="83">
        <f t="shared" si="43"/>
        <v>0.99726027397260275</v>
      </c>
      <c r="Q147" s="77" t="s">
        <v>19</v>
      </c>
      <c r="R147" s="77" t="s">
        <v>79</v>
      </c>
      <c r="S147" s="77" t="str">
        <f t="shared" si="44"/>
        <v>Z</v>
      </c>
      <c r="T147" s="84">
        <v>2</v>
      </c>
      <c r="U147" s="84">
        <v>2</v>
      </c>
      <c r="V147" s="84">
        <v>1</v>
      </c>
      <c r="W147" s="84">
        <f t="shared" si="45"/>
        <v>5</v>
      </c>
      <c r="X147" s="84" t="str">
        <f t="shared" si="46"/>
        <v>Biasa</v>
      </c>
      <c r="Y147" s="78"/>
      <c r="Z147" s="115"/>
      <c r="AA147" s="82"/>
      <c r="AB147" s="82"/>
      <c r="AC147" s="82"/>
      <c r="AD147" s="27" t="s">
        <v>86</v>
      </c>
      <c r="AE147" s="85">
        <v>44743</v>
      </c>
      <c r="AF147" s="77" t="s">
        <v>168</v>
      </c>
      <c r="AG147" s="77" t="s">
        <v>81</v>
      </c>
      <c r="AH147" s="21" t="s">
        <v>81</v>
      </c>
      <c r="AI147" s="21" t="s">
        <v>81</v>
      </c>
      <c r="AJ147" s="21" t="s">
        <v>81</v>
      </c>
      <c r="AK147" s="21" t="s">
        <v>81</v>
      </c>
      <c r="AL147" s="21" t="s">
        <v>81</v>
      </c>
      <c r="AM147" s="27" t="s">
        <v>244</v>
      </c>
      <c r="AN147" s="86">
        <v>44750</v>
      </c>
      <c r="AO147" s="87"/>
      <c r="AP147" s="82">
        <f t="shared" si="34"/>
        <v>48757</v>
      </c>
    </row>
    <row r="148" spans="1:42" ht="55.5" x14ac:dyDescent="0.25">
      <c r="A148" s="76">
        <v>53</v>
      </c>
      <c r="B148" s="76" t="s">
        <v>74</v>
      </c>
      <c r="C148" s="76" t="s">
        <v>1154</v>
      </c>
      <c r="D148" s="76">
        <v>2</v>
      </c>
      <c r="E148" s="76" t="s">
        <v>82</v>
      </c>
      <c r="F148" s="78" t="s">
        <v>203</v>
      </c>
      <c r="G148" s="79" t="s">
        <v>204</v>
      </c>
      <c r="H148" s="79" t="s">
        <v>201</v>
      </c>
      <c r="I148" s="80" t="s">
        <v>1339</v>
      </c>
      <c r="J148" s="79" t="s">
        <v>205</v>
      </c>
      <c r="K148" s="79" t="s">
        <v>202</v>
      </c>
      <c r="L148" s="81" t="s">
        <v>206</v>
      </c>
      <c r="M148" s="81" t="s">
        <v>207</v>
      </c>
      <c r="N148" s="82">
        <v>44743</v>
      </c>
      <c r="O148" s="82">
        <v>45107</v>
      </c>
      <c r="P148" s="83">
        <f t="shared" si="43"/>
        <v>0.99726027397260275</v>
      </c>
      <c r="Q148" s="77" t="s">
        <v>19</v>
      </c>
      <c r="R148" s="77" t="s">
        <v>79</v>
      </c>
      <c r="S148" s="77" t="str">
        <f t="shared" ref="S148" si="47">IF(R148="End","Z",IF(R148="Cancel","C",IF(SUM(R148)&gt;0,"O",IF(ISBLANK(R148),"X",IF(SUM(R148)&lt;0,"Y",IF(SUM(R148),"-","O"))))))</f>
        <v>Z</v>
      </c>
      <c r="T148" s="84">
        <v>1</v>
      </c>
      <c r="U148" s="84">
        <v>2</v>
      </c>
      <c r="V148" s="84">
        <v>1</v>
      </c>
      <c r="W148" s="84">
        <f t="shared" si="45"/>
        <v>4</v>
      </c>
      <c r="X148" s="84" t="str">
        <f t="shared" si="46"/>
        <v>Biasa</v>
      </c>
      <c r="Y148" s="78"/>
      <c r="Z148" s="115"/>
      <c r="AA148" s="82"/>
      <c r="AB148" s="82"/>
      <c r="AC148" s="82"/>
      <c r="AD148" s="27" t="s">
        <v>86</v>
      </c>
      <c r="AE148" s="85">
        <v>44741</v>
      </c>
      <c r="AF148" s="77" t="s">
        <v>192</v>
      </c>
      <c r="AG148" s="77" t="s">
        <v>81</v>
      </c>
      <c r="AH148" s="21" t="s">
        <v>81</v>
      </c>
      <c r="AI148" s="21" t="s">
        <v>81</v>
      </c>
      <c r="AJ148" s="21" t="s">
        <v>81</v>
      </c>
      <c r="AK148" s="21" t="s">
        <v>81</v>
      </c>
      <c r="AL148" s="21" t="s">
        <v>81</v>
      </c>
      <c r="AM148" s="27" t="s">
        <v>100</v>
      </c>
      <c r="AN148" s="86">
        <v>44740</v>
      </c>
      <c r="AO148" s="87"/>
      <c r="AP148" s="82">
        <f t="shared" si="34"/>
        <v>48757</v>
      </c>
    </row>
    <row r="149" spans="1:42" ht="138.75" x14ac:dyDescent="0.25">
      <c r="A149" s="76">
        <v>135</v>
      </c>
      <c r="B149" s="76" t="s">
        <v>74</v>
      </c>
      <c r="C149" s="76" t="s">
        <v>1166</v>
      </c>
      <c r="D149" s="76">
        <v>4</v>
      </c>
      <c r="E149" s="76" t="s">
        <v>82</v>
      </c>
      <c r="F149" s="78" t="s">
        <v>255</v>
      </c>
      <c r="G149" s="79" t="s">
        <v>256</v>
      </c>
      <c r="H149" s="79" t="s">
        <v>257</v>
      </c>
      <c r="I149" s="80" t="s">
        <v>1339</v>
      </c>
      <c r="J149" s="79" t="s">
        <v>258</v>
      </c>
      <c r="K149" s="79" t="s">
        <v>259</v>
      </c>
      <c r="L149" s="81">
        <v>600000</v>
      </c>
      <c r="M149" s="81" t="s">
        <v>96</v>
      </c>
      <c r="N149" s="82">
        <v>44738</v>
      </c>
      <c r="O149" s="82">
        <v>45102</v>
      </c>
      <c r="P149" s="83">
        <f t="shared" si="43"/>
        <v>0.99726027397260275</v>
      </c>
      <c r="Q149" s="77" t="s">
        <v>19</v>
      </c>
      <c r="R149" s="77" t="s">
        <v>79</v>
      </c>
      <c r="S149" s="77" t="str">
        <f t="shared" ref="S149" si="48">IF(R149="End","Z",IF(R149="Cancel","C",IF(SUM(R149)&gt;0,"O",IF(ISBLANK(R149),"X",IF(SUM(R149)&lt;0,"Y",IF(SUM(R149),"-","O"))))))</f>
        <v>Z</v>
      </c>
      <c r="T149" s="84">
        <v>1</v>
      </c>
      <c r="U149" s="84">
        <v>1</v>
      </c>
      <c r="V149" s="84">
        <v>2</v>
      </c>
      <c r="W149" s="84">
        <f t="shared" si="45"/>
        <v>4</v>
      </c>
      <c r="X149" s="84" t="str">
        <f t="shared" si="46"/>
        <v>Biasa</v>
      </c>
      <c r="Y149" s="78"/>
      <c r="Z149" s="115"/>
      <c r="AA149" s="82"/>
      <c r="AB149" s="82"/>
      <c r="AC149" s="82"/>
      <c r="AD149" s="27" t="s">
        <v>86</v>
      </c>
      <c r="AE149" s="85">
        <v>44008</v>
      </c>
      <c r="AF149" s="77" t="s">
        <v>192</v>
      </c>
      <c r="AG149" s="77" t="s">
        <v>81</v>
      </c>
      <c r="AH149" s="21" t="s">
        <v>81</v>
      </c>
      <c r="AI149" s="21" t="s">
        <v>81</v>
      </c>
      <c r="AJ149" s="21" t="s">
        <v>81</v>
      </c>
      <c r="AK149" s="21" t="s">
        <v>81</v>
      </c>
      <c r="AL149" s="21" t="s">
        <v>81</v>
      </c>
      <c r="AM149" s="27" t="s">
        <v>100</v>
      </c>
      <c r="AN149" s="86">
        <v>44740</v>
      </c>
      <c r="AO149" s="87"/>
      <c r="AP149" s="82">
        <f t="shared" si="34"/>
        <v>48752</v>
      </c>
    </row>
    <row r="150" spans="1:42" ht="83.25" x14ac:dyDescent="0.25">
      <c r="A150" s="76">
        <v>41</v>
      </c>
      <c r="B150" s="76" t="s">
        <v>74</v>
      </c>
      <c r="C150" s="76" t="s">
        <v>1152</v>
      </c>
      <c r="D150" s="76">
        <v>3</v>
      </c>
      <c r="E150" s="76" t="s">
        <v>82</v>
      </c>
      <c r="F150" s="78" t="s">
        <v>463</v>
      </c>
      <c r="G150" s="79" t="s">
        <v>204</v>
      </c>
      <c r="H150" s="79" t="s">
        <v>464</v>
      </c>
      <c r="I150" s="80" t="s">
        <v>1339</v>
      </c>
      <c r="J150" s="79" t="s">
        <v>465</v>
      </c>
      <c r="K150" s="79" t="s">
        <v>466</v>
      </c>
      <c r="L150" s="81" t="s">
        <v>321</v>
      </c>
      <c r="M150" s="81"/>
      <c r="N150" s="82">
        <v>44743</v>
      </c>
      <c r="O150" s="82">
        <v>45107</v>
      </c>
      <c r="P150" s="83">
        <f t="shared" si="43"/>
        <v>0.99726027397260275</v>
      </c>
      <c r="Q150" s="77" t="s">
        <v>19</v>
      </c>
      <c r="R150" s="77" t="s">
        <v>79</v>
      </c>
      <c r="S150" s="77" t="str">
        <f t="shared" ref="S150" si="49">IF(R150="End","Z",IF(R150="Cancel","C",IF(SUM(R150)&gt;0,"O",IF(ISBLANK(R150),"X",IF(SUM(R150)&lt;0,"Y",IF(SUM(R150),"-","O"))))))</f>
        <v>Z</v>
      </c>
      <c r="T150" s="84">
        <v>1</v>
      </c>
      <c r="U150" s="84">
        <v>1</v>
      </c>
      <c r="V150" s="84">
        <v>1</v>
      </c>
      <c r="W150" s="84">
        <f t="shared" si="45"/>
        <v>3</v>
      </c>
      <c r="X150" s="84" t="str">
        <f t="shared" si="46"/>
        <v>Biasa</v>
      </c>
      <c r="Y150" s="78"/>
      <c r="Z150" s="115"/>
      <c r="AA150" s="82"/>
      <c r="AB150" s="82"/>
      <c r="AC150" s="82"/>
      <c r="AD150" s="27"/>
      <c r="AE150" s="85"/>
      <c r="AF150" s="77" t="s">
        <v>192</v>
      </c>
      <c r="AG150" s="77" t="s">
        <v>81</v>
      </c>
      <c r="AH150" s="21" t="s">
        <v>81</v>
      </c>
      <c r="AI150" s="21" t="s">
        <v>81</v>
      </c>
      <c r="AJ150" s="21" t="s">
        <v>81</v>
      </c>
      <c r="AK150" s="21" t="s">
        <v>81</v>
      </c>
      <c r="AL150" s="21" t="s">
        <v>81</v>
      </c>
      <c r="AM150" s="27" t="s">
        <v>87</v>
      </c>
      <c r="AN150" s="86">
        <v>44720</v>
      </c>
      <c r="AO150" s="87"/>
      <c r="AP150" s="82">
        <f t="shared" si="34"/>
        <v>48757</v>
      </c>
    </row>
    <row r="151" spans="1:42" ht="83.25" x14ac:dyDescent="0.25">
      <c r="A151" s="76">
        <v>107</v>
      </c>
      <c r="B151" s="76" t="s">
        <v>74</v>
      </c>
      <c r="C151" s="76" t="s">
        <v>1162</v>
      </c>
      <c r="D151" s="76">
        <v>10</v>
      </c>
      <c r="E151" s="76" t="s">
        <v>82</v>
      </c>
      <c r="F151" s="78" t="s">
        <v>433</v>
      </c>
      <c r="G151" s="79" t="s">
        <v>425</v>
      </c>
      <c r="H151" s="79" t="s">
        <v>434</v>
      </c>
      <c r="I151" s="80" t="s">
        <v>1339</v>
      </c>
      <c r="J151" s="79" t="s">
        <v>435</v>
      </c>
      <c r="K151" s="79" t="s">
        <v>436</v>
      </c>
      <c r="L151" s="81" t="s">
        <v>321</v>
      </c>
      <c r="M151" s="81"/>
      <c r="N151" s="82">
        <v>44758</v>
      </c>
      <c r="O151" s="82">
        <v>45122</v>
      </c>
      <c r="P151" s="83">
        <f t="shared" si="43"/>
        <v>0.99726027397260275</v>
      </c>
      <c r="Q151" s="77" t="s">
        <v>24</v>
      </c>
      <c r="R151" s="77" t="s">
        <v>79</v>
      </c>
      <c r="S151" s="77" t="str">
        <f t="shared" ref="S151" si="50">IF(R151="End","Z",IF(R151="Cancel","C",IF(SUM(R151)&gt;0,"O",IF(ISBLANK(R151),"X",IF(SUM(R151)&lt;0,"Y",IF(SUM(R151),"-","O"))))))</f>
        <v>Z</v>
      </c>
      <c r="T151" s="84">
        <v>2</v>
      </c>
      <c r="U151" s="84">
        <v>1</v>
      </c>
      <c r="V151" s="84">
        <v>2</v>
      </c>
      <c r="W151" s="84">
        <f t="shared" si="45"/>
        <v>5</v>
      </c>
      <c r="X151" s="84" t="str">
        <f t="shared" si="46"/>
        <v>Biasa</v>
      </c>
      <c r="Y151" s="78"/>
      <c r="Z151" s="115"/>
      <c r="AA151" s="82"/>
      <c r="AB151" s="82"/>
      <c r="AC151" s="82"/>
      <c r="AD151" s="27" t="s">
        <v>86</v>
      </c>
      <c r="AE151" s="85">
        <v>44044</v>
      </c>
      <c r="AF151" s="77" t="s">
        <v>423</v>
      </c>
      <c r="AG151" s="77" t="s">
        <v>81</v>
      </c>
      <c r="AH151" s="21" t="s">
        <v>81</v>
      </c>
      <c r="AI151" s="21" t="s">
        <v>81</v>
      </c>
      <c r="AJ151" s="21" t="s">
        <v>81</v>
      </c>
      <c r="AK151" s="21" t="s">
        <v>81</v>
      </c>
      <c r="AL151" s="21" t="s">
        <v>81</v>
      </c>
      <c r="AM151" s="27" t="s">
        <v>87</v>
      </c>
      <c r="AN151" s="86">
        <v>44720</v>
      </c>
      <c r="AO151" s="87"/>
      <c r="AP151" s="82">
        <f t="shared" si="34"/>
        <v>48772</v>
      </c>
    </row>
    <row r="152" spans="1:42" ht="83.25" x14ac:dyDescent="0.25">
      <c r="A152" s="76">
        <v>152</v>
      </c>
      <c r="B152" s="76" t="s">
        <v>74</v>
      </c>
      <c r="C152" s="76" t="s">
        <v>1171</v>
      </c>
      <c r="D152" s="76">
        <v>1</v>
      </c>
      <c r="E152" s="76" t="s">
        <v>82</v>
      </c>
      <c r="F152" s="78" t="s">
        <v>808</v>
      </c>
      <c r="G152" s="79" t="s">
        <v>809</v>
      </c>
      <c r="H152" s="79" t="s">
        <v>810</v>
      </c>
      <c r="I152" s="80" t="s">
        <v>1339</v>
      </c>
      <c r="J152" s="79" t="s">
        <v>811</v>
      </c>
      <c r="K152" s="79" t="s">
        <v>812</v>
      </c>
      <c r="L152" s="81">
        <v>128400000</v>
      </c>
      <c r="M152" s="81" t="s">
        <v>85</v>
      </c>
      <c r="N152" s="82">
        <v>44743</v>
      </c>
      <c r="O152" s="82">
        <v>45107</v>
      </c>
      <c r="P152" s="83">
        <f t="shared" si="43"/>
        <v>0.99726027397260275</v>
      </c>
      <c r="Q152" s="77" t="s">
        <v>26</v>
      </c>
      <c r="R152" s="77" t="s">
        <v>79</v>
      </c>
      <c r="S152" s="77" t="str">
        <f t="shared" ref="S152:S155" si="51">IF(R152="End","Z",IF(R152="Cancel","C",IF(SUM(R152)&gt;0,"O",IF(ISBLANK(R152),"X",IF(SUM(R152)&lt;0,"Y",IF(SUM(R152),"-","O"))))))</f>
        <v>Z</v>
      </c>
      <c r="T152" s="84">
        <v>1</v>
      </c>
      <c r="U152" s="84">
        <v>1</v>
      </c>
      <c r="V152" s="84">
        <v>3</v>
      </c>
      <c r="W152" s="84">
        <f t="shared" si="45"/>
        <v>5</v>
      </c>
      <c r="X152" s="84" t="str">
        <f t="shared" si="46"/>
        <v>Biasa</v>
      </c>
      <c r="Y152" s="78"/>
      <c r="Z152" s="115"/>
      <c r="AA152" s="82"/>
      <c r="AB152" s="82"/>
      <c r="AC152" s="82"/>
      <c r="AD152" s="27" t="s">
        <v>86</v>
      </c>
      <c r="AE152" s="85">
        <v>44741</v>
      </c>
      <c r="AF152" s="77" t="s">
        <v>778</v>
      </c>
      <c r="AG152" s="77" t="s">
        <v>81</v>
      </c>
      <c r="AH152" s="21" t="s">
        <v>81</v>
      </c>
      <c r="AI152" s="21" t="s">
        <v>81</v>
      </c>
      <c r="AJ152" s="21" t="s">
        <v>81</v>
      </c>
      <c r="AK152" s="21" t="s">
        <v>81</v>
      </c>
      <c r="AL152" s="21" t="s">
        <v>81</v>
      </c>
      <c r="AM152" s="27" t="s">
        <v>100</v>
      </c>
      <c r="AN152" s="86">
        <v>44740</v>
      </c>
      <c r="AO152" s="87"/>
      <c r="AP152" s="82">
        <f t="shared" si="34"/>
        <v>48757</v>
      </c>
    </row>
    <row r="153" spans="1:42" ht="83.25" x14ac:dyDescent="0.25">
      <c r="A153" s="76">
        <v>206</v>
      </c>
      <c r="B153" s="76" t="s">
        <v>74</v>
      </c>
      <c r="C153" s="76" t="s">
        <v>1178</v>
      </c>
      <c r="D153" s="76">
        <v>3</v>
      </c>
      <c r="E153" s="76" t="s">
        <v>82</v>
      </c>
      <c r="F153" s="78" t="s">
        <v>1305</v>
      </c>
      <c r="G153" s="79" t="s">
        <v>204</v>
      </c>
      <c r="H153" s="79" t="s">
        <v>1306</v>
      </c>
      <c r="I153" s="80" t="s">
        <v>1339</v>
      </c>
      <c r="J153" s="79" t="s">
        <v>1307</v>
      </c>
      <c r="K153" s="79"/>
      <c r="L153" s="81">
        <v>48000000</v>
      </c>
      <c r="M153" s="81" t="s">
        <v>469</v>
      </c>
      <c r="N153" s="82">
        <v>44935</v>
      </c>
      <c r="O153" s="82">
        <v>45107</v>
      </c>
      <c r="P153" s="83">
        <f t="shared" si="43"/>
        <v>0.47123287671232877</v>
      </c>
      <c r="Q153" s="77" t="s">
        <v>19</v>
      </c>
      <c r="R153" s="77" t="s">
        <v>79</v>
      </c>
      <c r="S153" s="77" t="str">
        <f t="shared" si="51"/>
        <v>Z</v>
      </c>
      <c r="T153" s="84">
        <v>1</v>
      </c>
      <c r="U153" s="84">
        <v>2</v>
      </c>
      <c r="V153" s="84">
        <v>3</v>
      </c>
      <c r="W153" s="84">
        <f t="shared" si="45"/>
        <v>6</v>
      </c>
      <c r="X153" s="84" t="str">
        <f t="shared" si="46"/>
        <v>Penting</v>
      </c>
      <c r="Y153" s="78"/>
      <c r="Z153" s="115"/>
      <c r="AA153" s="82"/>
      <c r="AB153" s="82"/>
      <c r="AC153" s="82"/>
      <c r="AD153" s="27"/>
      <c r="AE153" s="85"/>
      <c r="AF153" s="77" t="s">
        <v>192</v>
      </c>
      <c r="AG153" s="77" t="s">
        <v>81</v>
      </c>
      <c r="AH153" s="21" t="s">
        <v>81</v>
      </c>
      <c r="AI153" s="21" t="s">
        <v>81</v>
      </c>
      <c r="AJ153" s="21" t="s">
        <v>81</v>
      </c>
      <c r="AK153" s="21" t="s">
        <v>81</v>
      </c>
      <c r="AL153" s="21" t="s">
        <v>81</v>
      </c>
      <c r="AM153" s="27" t="s">
        <v>100</v>
      </c>
      <c r="AN153" s="86">
        <v>44936</v>
      </c>
      <c r="AO153" s="87"/>
      <c r="AP153" s="82">
        <f t="shared" si="34"/>
        <v>48757</v>
      </c>
    </row>
    <row r="154" spans="1:42" ht="83.25" x14ac:dyDescent="0.25">
      <c r="A154" s="76">
        <v>141</v>
      </c>
      <c r="B154" s="76" t="s">
        <v>74</v>
      </c>
      <c r="C154" s="76" t="s">
        <v>1168</v>
      </c>
      <c r="D154" s="76">
        <v>5</v>
      </c>
      <c r="E154" s="76" t="s">
        <v>82</v>
      </c>
      <c r="F154" s="78" t="s">
        <v>349</v>
      </c>
      <c r="G154" s="79" t="s">
        <v>343</v>
      </c>
      <c r="H154" s="79" t="s">
        <v>350</v>
      </c>
      <c r="I154" s="80" t="s">
        <v>1339</v>
      </c>
      <c r="J154" s="79" t="s">
        <v>351</v>
      </c>
      <c r="K154" s="79" t="s">
        <v>352</v>
      </c>
      <c r="L154" s="81" t="s">
        <v>353</v>
      </c>
      <c r="M154" s="81" t="s">
        <v>354</v>
      </c>
      <c r="N154" s="82">
        <v>44743</v>
      </c>
      <c r="O154" s="82">
        <v>45107</v>
      </c>
      <c r="P154" s="83">
        <f t="shared" si="43"/>
        <v>0.99726027397260275</v>
      </c>
      <c r="Q154" s="77" t="s">
        <v>19</v>
      </c>
      <c r="R154" s="77" t="s">
        <v>79</v>
      </c>
      <c r="S154" s="77" t="str">
        <f t="shared" si="51"/>
        <v>Z</v>
      </c>
      <c r="T154" s="84">
        <v>1</v>
      </c>
      <c r="U154" s="84">
        <v>2</v>
      </c>
      <c r="V154" s="84">
        <v>3</v>
      </c>
      <c r="W154" s="84">
        <f t="shared" si="45"/>
        <v>6</v>
      </c>
      <c r="X154" s="84" t="str">
        <f t="shared" si="46"/>
        <v>Penting</v>
      </c>
      <c r="Y154" s="78"/>
      <c r="Z154" s="115"/>
      <c r="AA154" s="82"/>
      <c r="AB154" s="82"/>
      <c r="AC154" s="82"/>
      <c r="AD154" s="27" t="s">
        <v>86</v>
      </c>
      <c r="AE154" s="85">
        <v>44743</v>
      </c>
      <c r="AF154" s="77" t="s">
        <v>192</v>
      </c>
      <c r="AG154" s="77" t="s">
        <v>81</v>
      </c>
      <c r="AH154" s="21" t="s">
        <v>81</v>
      </c>
      <c r="AI154" s="21" t="s">
        <v>81</v>
      </c>
      <c r="AJ154" s="21" t="s">
        <v>81</v>
      </c>
      <c r="AK154" s="21" t="s">
        <v>81</v>
      </c>
      <c r="AL154" s="21" t="s">
        <v>81</v>
      </c>
      <c r="AM154" s="27" t="s">
        <v>100</v>
      </c>
      <c r="AN154" s="86">
        <v>44750</v>
      </c>
      <c r="AO154" s="87"/>
      <c r="AP154" s="82">
        <f t="shared" si="34"/>
        <v>48757</v>
      </c>
    </row>
    <row r="155" spans="1:42" ht="83.25" x14ac:dyDescent="0.25">
      <c r="A155" s="76">
        <v>226</v>
      </c>
      <c r="B155" s="76" t="s">
        <v>74</v>
      </c>
      <c r="C155" s="76" t="s">
        <v>1194</v>
      </c>
      <c r="D155" s="76">
        <v>18</v>
      </c>
      <c r="E155" s="76" t="s">
        <v>217</v>
      </c>
      <c r="F155" s="78" t="s">
        <v>672</v>
      </c>
      <c r="G155" s="79" t="s">
        <v>670</v>
      </c>
      <c r="H155" s="79" t="s">
        <v>671</v>
      </c>
      <c r="I155" s="80" t="s">
        <v>1339</v>
      </c>
      <c r="J155" s="79" t="s">
        <v>673</v>
      </c>
      <c r="K155" s="79" t="s">
        <v>674</v>
      </c>
      <c r="L155" s="81">
        <v>1289000233</v>
      </c>
      <c r="M155" s="81"/>
      <c r="N155" s="82">
        <v>44032</v>
      </c>
      <c r="O155" s="82">
        <v>45127</v>
      </c>
      <c r="P155" s="83">
        <f t="shared" si="43"/>
        <v>3</v>
      </c>
      <c r="Q155" s="77" t="s">
        <v>19</v>
      </c>
      <c r="R155" s="77" t="s">
        <v>79</v>
      </c>
      <c r="S155" s="77" t="str">
        <f t="shared" si="51"/>
        <v>Z</v>
      </c>
      <c r="T155" s="84">
        <v>1</v>
      </c>
      <c r="U155" s="84">
        <v>3</v>
      </c>
      <c r="V155" s="84">
        <v>1</v>
      </c>
      <c r="W155" s="84">
        <f t="shared" si="45"/>
        <v>5</v>
      </c>
      <c r="X155" s="84" t="str">
        <f t="shared" si="46"/>
        <v>Biasa</v>
      </c>
      <c r="Y155" s="78"/>
      <c r="Z155" s="115"/>
      <c r="AA155" s="82"/>
      <c r="AB155" s="82"/>
      <c r="AC155" s="82"/>
      <c r="AD155" s="27" t="s">
        <v>86</v>
      </c>
      <c r="AE155" s="85">
        <v>44044</v>
      </c>
      <c r="AF155" s="77" t="s">
        <v>192</v>
      </c>
      <c r="AG155" s="77" t="s">
        <v>81</v>
      </c>
      <c r="AH155" s="21" t="s">
        <v>81</v>
      </c>
      <c r="AI155" s="21" t="s">
        <v>81</v>
      </c>
      <c r="AJ155" s="21" t="s">
        <v>81</v>
      </c>
      <c r="AK155" s="21" t="s">
        <v>81</v>
      </c>
      <c r="AL155" s="21" t="s">
        <v>81</v>
      </c>
      <c r="AM155" s="27" t="s">
        <v>87</v>
      </c>
      <c r="AN155" s="86">
        <v>44057</v>
      </c>
      <c r="AO155" s="87"/>
      <c r="AP155" s="82">
        <f t="shared" si="34"/>
        <v>48777</v>
      </c>
    </row>
    <row r="156" spans="1:42" ht="55.5" x14ac:dyDescent="0.25">
      <c r="A156" s="76">
        <v>127</v>
      </c>
      <c r="B156" s="76" t="s">
        <v>74</v>
      </c>
      <c r="C156" s="76" t="s">
        <v>1164</v>
      </c>
      <c r="D156" s="76">
        <v>5</v>
      </c>
      <c r="E156" s="76" t="s">
        <v>82</v>
      </c>
      <c r="F156" s="78" t="s">
        <v>1341</v>
      </c>
      <c r="G156" s="79" t="s">
        <v>198</v>
      </c>
      <c r="H156" s="79" t="s">
        <v>201</v>
      </c>
      <c r="I156" s="80" t="s">
        <v>1338</v>
      </c>
      <c r="J156" s="79" t="s">
        <v>199</v>
      </c>
      <c r="K156" s="79" t="s">
        <v>202</v>
      </c>
      <c r="L156" s="81"/>
      <c r="M156" s="81"/>
      <c r="N156" s="82">
        <v>44986</v>
      </c>
      <c r="O156" s="82">
        <v>45107</v>
      </c>
      <c r="P156" s="83">
        <f t="shared" si="43"/>
        <v>0.33150684931506852</v>
      </c>
      <c r="Q156" s="77" t="s">
        <v>19</v>
      </c>
      <c r="R156" s="77" t="s">
        <v>79</v>
      </c>
      <c r="S156" s="77" t="str">
        <f t="shared" ref="S156:S157" si="52">IF(R156="End","Z",IF(R156="Cancel","C",IF(SUM(R156)&gt;0,"O",IF(ISBLANK(R156),"X",IF(SUM(R156)&lt;0,"Y",IF(SUM(R156),"-","O"))))))</f>
        <v>Z</v>
      </c>
      <c r="T156" s="84">
        <v>1</v>
      </c>
      <c r="U156" s="84">
        <v>1</v>
      </c>
      <c r="V156" s="84">
        <v>1</v>
      </c>
      <c r="W156" s="84">
        <f t="shared" si="45"/>
        <v>3</v>
      </c>
      <c r="X156" s="84" t="str">
        <f t="shared" si="46"/>
        <v>Biasa</v>
      </c>
      <c r="Y156" s="78"/>
      <c r="Z156" s="115"/>
      <c r="AA156" s="82"/>
      <c r="AB156" s="82"/>
      <c r="AC156" s="82"/>
      <c r="AD156" s="27" t="s">
        <v>86</v>
      </c>
      <c r="AE156" s="85">
        <v>44256</v>
      </c>
      <c r="AF156" s="77" t="s">
        <v>168</v>
      </c>
      <c r="AG156" s="77" t="s">
        <v>81</v>
      </c>
      <c r="AH156" s="21" t="s">
        <v>81</v>
      </c>
      <c r="AI156" s="21" t="s">
        <v>81</v>
      </c>
      <c r="AJ156" s="21" t="s">
        <v>81</v>
      </c>
      <c r="AK156" s="21" t="s">
        <v>81</v>
      </c>
      <c r="AL156" s="21" t="s">
        <v>81</v>
      </c>
      <c r="AM156" s="27" t="s">
        <v>100</v>
      </c>
      <c r="AN156" s="86">
        <v>45058</v>
      </c>
      <c r="AO156" s="87"/>
      <c r="AP156" s="82">
        <f t="shared" si="34"/>
        <v>48757</v>
      </c>
    </row>
    <row r="157" spans="1:42" ht="138.75" x14ac:dyDescent="0.25">
      <c r="A157" s="76">
        <v>149</v>
      </c>
      <c r="B157" s="76" t="s">
        <v>74</v>
      </c>
      <c r="C157" s="76" t="s">
        <v>1170</v>
      </c>
      <c r="D157" s="76">
        <v>3</v>
      </c>
      <c r="E157" s="76" t="s">
        <v>82</v>
      </c>
      <c r="F157" s="78" t="s">
        <v>783</v>
      </c>
      <c r="G157" s="79" t="s">
        <v>790</v>
      </c>
      <c r="H157" s="79" t="s">
        <v>791</v>
      </c>
      <c r="I157" s="80" t="s">
        <v>1339</v>
      </c>
      <c r="J157" s="79" t="s">
        <v>792</v>
      </c>
      <c r="K157" s="79" t="s">
        <v>793</v>
      </c>
      <c r="L157" s="81" t="s">
        <v>794</v>
      </c>
      <c r="M157" s="81" t="s">
        <v>795</v>
      </c>
      <c r="N157" s="82">
        <v>44743</v>
      </c>
      <c r="O157" s="82">
        <v>45107</v>
      </c>
      <c r="P157" s="83">
        <f t="shared" si="43"/>
        <v>0.99726027397260275</v>
      </c>
      <c r="Q157" s="77" t="s">
        <v>26</v>
      </c>
      <c r="R157" s="77" t="s">
        <v>79</v>
      </c>
      <c r="S157" s="77" t="str">
        <f t="shared" si="52"/>
        <v>Z</v>
      </c>
      <c r="T157" s="84">
        <v>1</v>
      </c>
      <c r="U157" s="84">
        <v>1</v>
      </c>
      <c r="V157" s="84">
        <v>3</v>
      </c>
      <c r="W157" s="84">
        <f t="shared" si="45"/>
        <v>5</v>
      </c>
      <c r="X157" s="84" t="str">
        <f t="shared" si="46"/>
        <v>Biasa</v>
      </c>
      <c r="Y157" s="78"/>
      <c r="Z157" s="115"/>
      <c r="AA157" s="82"/>
      <c r="AB157" s="82"/>
      <c r="AC157" s="82"/>
      <c r="AD157" s="27"/>
      <c r="AE157" s="85"/>
      <c r="AF157" s="77" t="s">
        <v>236</v>
      </c>
      <c r="AG157" s="77" t="s">
        <v>81</v>
      </c>
      <c r="AH157" s="21" t="s">
        <v>81</v>
      </c>
      <c r="AI157" s="21" t="s">
        <v>81</v>
      </c>
      <c r="AJ157" s="21" t="s">
        <v>81</v>
      </c>
      <c r="AK157" s="21" t="s">
        <v>81</v>
      </c>
      <c r="AL157" s="21" t="s">
        <v>81</v>
      </c>
      <c r="AM157" s="27" t="s">
        <v>100</v>
      </c>
      <c r="AN157" s="86">
        <v>44764</v>
      </c>
      <c r="AO157" s="87"/>
      <c r="AP157" s="82">
        <f t="shared" si="34"/>
        <v>48757</v>
      </c>
    </row>
    <row r="158" spans="1:42" ht="83.25" x14ac:dyDescent="0.25">
      <c r="A158" s="76">
        <v>115</v>
      </c>
      <c r="B158" s="76" t="s">
        <v>74</v>
      </c>
      <c r="C158" s="76" t="s">
        <v>1160</v>
      </c>
      <c r="D158" s="76">
        <v>3</v>
      </c>
      <c r="E158" s="76" t="s">
        <v>82</v>
      </c>
      <c r="F158" s="78" t="s">
        <v>920</v>
      </c>
      <c r="G158" s="79" t="s">
        <v>901</v>
      </c>
      <c r="H158" s="79" t="s">
        <v>921</v>
      </c>
      <c r="I158" s="80" t="s">
        <v>1339</v>
      </c>
      <c r="J158" s="79" t="s">
        <v>903</v>
      </c>
      <c r="K158" s="79" t="s">
        <v>922</v>
      </c>
      <c r="L158" s="81">
        <v>1250000</v>
      </c>
      <c r="M158" s="81" t="s">
        <v>923</v>
      </c>
      <c r="N158" s="82">
        <v>44774</v>
      </c>
      <c r="O158" s="82">
        <v>45138</v>
      </c>
      <c r="P158" s="83">
        <f t="shared" si="43"/>
        <v>0.99726027397260275</v>
      </c>
      <c r="Q158" s="77" t="s">
        <v>21</v>
      </c>
      <c r="R158" s="77" t="s">
        <v>79</v>
      </c>
      <c r="S158" s="77" t="str">
        <f t="shared" ref="S158:S159" si="53">IF(R158="End","Z",IF(R158="Cancel","C",IF(SUM(R158)&gt;0,"O",IF(ISBLANK(R158),"X",IF(SUM(R158)&lt;0,"Y",IF(SUM(R158),"-","O"))))))</f>
        <v>Z</v>
      </c>
      <c r="T158" s="84">
        <v>3</v>
      </c>
      <c r="U158" s="84">
        <v>3</v>
      </c>
      <c r="V158" s="84">
        <v>3</v>
      </c>
      <c r="W158" s="84">
        <f t="shared" si="45"/>
        <v>9</v>
      </c>
      <c r="X158" s="84" t="str">
        <f t="shared" si="46"/>
        <v>Penting</v>
      </c>
      <c r="Y158" s="78"/>
      <c r="Z158" s="115"/>
      <c r="AA158" s="82"/>
      <c r="AB158" s="82"/>
      <c r="AC158" s="82"/>
      <c r="AD158" s="27" t="s">
        <v>86</v>
      </c>
      <c r="AE158" s="85">
        <v>43608</v>
      </c>
      <c r="AF158" s="77" t="s">
        <v>893</v>
      </c>
      <c r="AG158" s="77" t="s">
        <v>81</v>
      </c>
      <c r="AH158" s="21" t="s">
        <v>81</v>
      </c>
      <c r="AI158" s="21" t="s">
        <v>81</v>
      </c>
      <c r="AJ158" s="21" t="s">
        <v>81</v>
      </c>
      <c r="AK158" s="21" t="s">
        <v>81</v>
      </c>
      <c r="AL158" s="21" t="s">
        <v>81</v>
      </c>
      <c r="AM158" s="27" t="s">
        <v>100</v>
      </c>
      <c r="AN158" s="86">
        <v>44760</v>
      </c>
      <c r="AO158" s="87"/>
      <c r="AP158" s="82">
        <f t="shared" si="34"/>
        <v>48788</v>
      </c>
    </row>
    <row r="159" spans="1:42" ht="111" x14ac:dyDescent="0.25">
      <c r="A159" s="76">
        <v>108</v>
      </c>
      <c r="B159" s="76" t="s">
        <v>74</v>
      </c>
      <c r="C159" s="76" t="s">
        <v>1161</v>
      </c>
      <c r="D159" s="76">
        <v>1</v>
      </c>
      <c r="E159" s="76" t="s">
        <v>82</v>
      </c>
      <c r="F159" s="78" t="s">
        <v>888</v>
      </c>
      <c r="G159" s="79" t="s">
        <v>889</v>
      </c>
      <c r="H159" s="79" t="s">
        <v>890</v>
      </c>
      <c r="I159" s="80" t="s">
        <v>1338</v>
      </c>
      <c r="J159" s="79" t="s">
        <v>891</v>
      </c>
      <c r="K159" s="79"/>
      <c r="L159" s="81">
        <v>37500000</v>
      </c>
      <c r="M159" s="81" t="s">
        <v>892</v>
      </c>
      <c r="N159" s="82">
        <v>44774</v>
      </c>
      <c r="O159" s="82">
        <v>45138</v>
      </c>
      <c r="P159" s="83">
        <f t="shared" si="43"/>
        <v>0.99726027397260275</v>
      </c>
      <c r="Q159" s="77" t="s">
        <v>21</v>
      </c>
      <c r="R159" s="77" t="s">
        <v>79</v>
      </c>
      <c r="S159" s="77" t="str">
        <f t="shared" si="53"/>
        <v>Z</v>
      </c>
      <c r="T159" s="84">
        <v>3</v>
      </c>
      <c r="U159" s="84">
        <v>3</v>
      </c>
      <c r="V159" s="84">
        <v>3</v>
      </c>
      <c r="W159" s="84">
        <f t="shared" si="45"/>
        <v>9</v>
      </c>
      <c r="X159" s="84" t="str">
        <f t="shared" si="46"/>
        <v>Penting</v>
      </c>
      <c r="Y159" s="78"/>
      <c r="Z159" s="115"/>
      <c r="AA159" s="82"/>
      <c r="AB159" s="82"/>
      <c r="AC159" s="82"/>
      <c r="AD159" s="27"/>
      <c r="AE159" s="85"/>
      <c r="AF159" s="77" t="s">
        <v>893</v>
      </c>
      <c r="AG159" s="77" t="s">
        <v>81</v>
      </c>
      <c r="AH159" s="21" t="s">
        <v>81</v>
      </c>
      <c r="AI159" s="21" t="s">
        <v>81</v>
      </c>
      <c r="AJ159" s="21" t="s">
        <v>81</v>
      </c>
      <c r="AK159" s="21" t="s">
        <v>81</v>
      </c>
      <c r="AL159" s="21" t="s">
        <v>81</v>
      </c>
      <c r="AM159" s="27" t="s">
        <v>100</v>
      </c>
      <c r="AN159" s="86">
        <v>44735</v>
      </c>
      <c r="AO159" s="87"/>
      <c r="AP159" s="82">
        <f t="shared" si="34"/>
        <v>48788</v>
      </c>
    </row>
    <row r="160" spans="1:42" ht="83.25" x14ac:dyDescent="0.25">
      <c r="A160" s="76">
        <v>114</v>
      </c>
      <c r="B160" s="76" t="s">
        <v>74</v>
      </c>
      <c r="C160" s="76" t="s">
        <v>1160</v>
      </c>
      <c r="D160" s="76">
        <v>2</v>
      </c>
      <c r="E160" s="76" t="s">
        <v>82</v>
      </c>
      <c r="F160" s="78" t="s">
        <v>917</v>
      </c>
      <c r="G160" s="79" t="s">
        <v>901</v>
      </c>
      <c r="H160" s="79" t="s">
        <v>918</v>
      </c>
      <c r="I160" s="80" t="s">
        <v>1339</v>
      </c>
      <c r="J160" s="79" t="s">
        <v>907</v>
      </c>
      <c r="K160" s="79" t="s">
        <v>919</v>
      </c>
      <c r="L160" s="81" t="s">
        <v>186</v>
      </c>
      <c r="M160" s="81"/>
      <c r="N160" s="82">
        <v>44774</v>
      </c>
      <c r="O160" s="82">
        <v>45138</v>
      </c>
      <c r="P160" s="83">
        <f t="shared" si="43"/>
        <v>0.99726027397260275</v>
      </c>
      <c r="Q160" s="77" t="s">
        <v>21</v>
      </c>
      <c r="R160" s="77" t="s">
        <v>79</v>
      </c>
      <c r="S160" s="77" t="str">
        <f t="shared" ref="S160" si="54">IF(R160="End","Z",IF(R160="Cancel","C",IF(SUM(R160)&gt;0,"O",IF(ISBLANK(R160),"X",IF(SUM(R160)&lt;0,"Y",IF(SUM(R160),"-","O"))))))</f>
        <v>Z</v>
      </c>
      <c r="T160" s="84">
        <v>3</v>
      </c>
      <c r="U160" s="84">
        <v>3</v>
      </c>
      <c r="V160" s="84">
        <v>3</v>
      </c>
      <c r="W160" s="84">
        <f t="shared" si="45"/>
        <v>9</v>
      </c>
      <c r="X160" s="84" t="str">
        <f t="shared" si="46"/>
        <v>Penting</v>
      </c>
      <c r="Y160" s="78" t="s">
        <v>912</v>
      </c>
      <c r="Z160" s="115"/>
      <c r="AA160" s="82"/>
      <c r="AB160" s="82"/>
      <c r="AC160" s="82"/>
      <c r="AD160" s="27" t="s">
        <v>86</v>
      </c>
      <c r="AE160" s="85">
        <v>43602</v>
      </c>
      <c r="AF160" s="77" t="s">
        <v>893</v>
      </c>
      <c r="AG160" s="77" t="s">
        <v>81</v>
      </c>
      <c r="AH160" s="21" t="s">
        <v>81</v>
      </c>
      <c r="AI160" s="21" t="s">
        <v>81</v>
      </c>
      <c r="AJ160" s="21" t="s">
        <v>81</v>
      </c>
      <c r="AK160" s="21" t="s">
        <v>81</v>
      </c>
      <c r="AL160" s="21" t="s">
        <v>81</v>
      </c>
      <c r="AM160" s="27" t="s">
        <v>100</v>
      </c>
      <c r="AN160" s="86">
        <v>44764</v>
      </c>
      <c r="AO160" s="87"/>
    </row>
  </sheetData>
  <autoFilter ref="A5:AP155" xr:uid="{00000000-0009-0000-0000-000001000000}"/>
  <mergeCells count="8">
    <mergeCell ref="AH4:AJ4"/>
    <mergeCell ref="AK4:AL4"/>
    <mergeCell ref="C4:D4"/>
    <mergeCell ref="L4:M4"/>
    <mergeCell ref="N4:O4"/>
    <mergeCell ref="T4:X4"/>
    <mergeCell ref="AA4:AC4"/>
    <mergeCell ref="AD4:AE4"/>
  </mergeCells>
  <conditionalFormatting sqref="A18 B19:AO20 B23:AO23 B25:AO32 B36:AO42 A61:AO61">
    <cfRule type="expression" dxfId="275" priority="988">
      <formula>$R18:$R411="End"</formula>
    </cfRule>
    <cfRule type="expression" dxfId="274" priority="987">
      <formula>$R18:$R411="Cancel"</formula>
    </cfRule>
    <cfRule type="expression" dxfId="273" priority="986">
      <formula>$R18:$R411=""</formula>
    </cfRule>
    <cfRule type="expression" dxfId="272" priority="985">
      <formula>$X18:$X411="Penting"</formula>
    </cfRule>
    <cfRule type="expression" dxfId="271" priority="989">
      <formula>$R18:$R411&lt;=0</formula>
    </cfRule>
    <cfRule type="expression" dxfId="270" priority="990">
      <formula>$R18:$R411&lt;4</formula>
    </cfRule>
  </conditionalFormatting>
  <conditionalFormatting sqref="A19:A33 A34:AO35 A36:A42 B43:AO43 B45:AO48 B51:AO54 B56:AO56 A60:AO60">
    <cfRule type="expression" dxfId="269" priority="624">
      <formula>$R19:$R413&lt;4</formula>
    </cfRule>
    <cfRule type="expression" dxfId="268" priority="623">
      <formula>$R19:$R413&lt;=0</formula>
    </cfRule>
    <cfRule type="expression" dxfId="267" priority="621">
      <formula>$R19:$R413="Cancel"</formula>
    </cfRule>
    <cfRule type="expression" dxfId="266" priority="622">
      <formula>$R19:$R413="End"</formula>
    </cfRule>
    <cfRule type="expression" dxfId="265" priority="620">
      <formula>$R19:$R413=""</formula>
    </cfRule>
    <cfRule type="expression" dxfId="264" priority="619">
      <formula>$X19:$X413="Penting"</formula>
    </cfRule>
  </conditionalFormatting>
  <conditionalFormatting sqref="A43:A55 A58:A59">
    <cfRule type="expression" dxfId="263" priority="613">
      <formula>$X43:$X438="Penting"</formula>
    </cfRule>
    <cfRule type="expression" dxfId="262" priority="614">
      <formula>$R43:$R438=""</formula>
    </cfRule>
    <cfRule type="expression" dxfId="261" priority="615">
      <formula>$R43:$R438="Cancel"</formula>
    </cfRule>
    <cfRule type="expression" dxfId="260" priority="616">
      <formula>$R43:$R438="End"</formula>
    </cfRule>
    <cfRule type="expression" dxfId="259" priority="617">
      <formula>$R43:$R438&lt;=0</formula>
    </cfRule>
    <cfRule type="expression" dxfId="258" priority="618">
      <formula>$R43:$R438&lt;4</formula>
    </cfRule>
  </conditionalFormatting>
  <conditionalFormatting sqref="A56">
    <cfRule type="expression" dxfId="257" priority="459">
      <formula>$R56:$R453="Cancel"</formula>
    </cfRule>
    <cfRule type="expression" dxfId="256" priority="457">
      <formula>$X56:$X453="Penting"</formula>
    </cfRule>
    <cfRule type="expression" dxfId="255" priority="461">
      <formula>$R56:$R453&lt;=0</formula>
    </cfRule>
    <cfRule type="expression" dxfId="254" priority="462">
      <formula>$R56:$R453&lt;4</formula>
    </cfRule>
    <cfRule type="expression" dxfId="253" priority="460">
      <formula>$R56:$R453="End"</formula>
    </cfRule>
    <cfRule type="expression" dxfId="252" priority="458">
      <formula>$R56:$R453=""</formula>
    </cfRule>
  </conditionalFormatting>
  <conditionalFormatting sqref="A66">
    <cfRule type="expression" dxfId="251" priority="385">
      <formula>$X66:$X454="Penting"</formula>
    </cfRule>
    <cfRule type="expression" dxfId="250" priority="386">
      <formula>$R66:$R454=""</formula>
    </cfRule>
    <cfRule type="expression" dxfId="249" priority="387">
      <formula>$R66:$R454="Cancel"</formula>
    </cfRule>
    <cfRule type="expression" dxfId="248" priority="388">
      <formula>$R66:$R454="End"</formula>
    </cfRule>
    <cfRule type="expression" dxfId="247" priority="389">
      <formula>$R66:$R454&lt;=0</formula>
    </cfRule>
    <cfRule type="expression" dxfId="246" priority="390">
      <formula>$R66:$R454&lt;4</formula>
    </cfRule>
  </conditionalFormatting>
  <conditionalFormatting sqref="A67:A77">
    <cfRule type="expression" dxfId="245" priority="3954">
      <formula>$R67:$R444&lt;4</formula>
    </cfRule>
    <cfRule type="expression" dxfId="244" priority="3953">
      <formula>$R67:$R444&lt;=0</formula>
    </cfRule>
    <cfRule type="expression" dxfId="243" priority="3952">
      <formula>$R67:$R444="End"</formula>
    </cfRule>
    <cfRule type="expression" dxfId="242" priority="3951">
      <formula>$R67:$R444="Cancel"</formula>
    </cfRule>
    <cfRule type="expression" dxfId="241" priority="3950">
      <formula>$R67:$R444=""</formula>
    </cfRule>
    <cfRule type="expression" dxfId="240" priority="3949">
      <formula>$X67:$X444="Penting"</formula>
    </cfRule>
  </conditionalFormatting>
  <conditionalFormatting sqref="A78">
    <cfRule type="expression" dxfId="239" priority="364">
      <formula>$R78:$R454="End"</formula>
    </cfRule>
    <cfRule type="expression" dxfId="238" priority="362">
      <formula>$R78:$R454=""</formula>
    </cfRule>
    <cfRule type="expression" dxfId="237" priority="361">
      <formula>$X78:$X454="Penting"</formula>
    </cfRule>
    <cfRule type="expression" dxfId="236" priority="363">
      <formula>$R78:$R454="Cancel"</formula>
    </cfRule>
    <cfRule type="expression" dxfId="235" priority="366">
      <formula>$R78:$R454&lt;4</formula>
    </cfRule>
    <cfRule type="expression" dxfId="234" priority="365">
      <formula>$R78:$R454&lt;=0</formula>
    </cfRule>
  </conditionalFormatting>
  <conditionalFormatting sqref="A79">
    <cfRule type="expression" dxfId="233" priority="353">
      <formula>$R79:$R454&lt;=0</formula>
    </cfRule>
    <cfRule type="expression" dxfId="232" priority="349">
      <formula>$X79:$X454="Penting"</formula>
    </cfRule>
    <cfRule type="expression" dxfId="231" priority="350">
      <formula>$R79:$R454=""</formula>
    </cfRule>
    <cfRule type="expression" dxfId="230" priority="351">
      <formula>$R79:$R454="Cancel"</formula>
    </cfRule>
    <cfRule type="expression" dxfId="229" priority="352">
      <formula>$R79:$R454="End"</formula>
    </cfRule>
    <cfRule type="expression" dxfId="228" priority="354">
      <formula>$R79:$R454&lt;4</formula>
    </cfRule>
  </conditionalFormatting>
  <conditionalFormatting sqref="A80">
    <cfRule type="expression" dxfId="227" priority="317">
      <formula>$R80:$R344&lt;=0</formula>
    </cfRule>
    <cfRule type="expression" dxfId="226" priority="313">
      <formula>$X80:$X344="Penting"</formula>
    </cfRule>
    <cfRule type="expression" dxfId="225" priority="318">
      <formula>$R80:$R344&lt;4</formula>
    </cfRule>
    <cfRule type="expression" dxfId="224" priority="316">
      <formula>$R80:$R344="End"</formula>
    </cfRule>
    <cfRule type="expression" dxfId="223" priority="315">
      <formula>$R80:$R344="Cancel"</formula>
    </cfRule>
    <cfRule type="expression" dxfId="222" priority="314">
      <formula>$R80:$R344=""</formula>
    </cfRule>
  </conditionalFormatting>
  <conditionalFormatting sqref="A81">
    <cfRule type="expression" dxfId="221" priority="304">
      <formula>$R81:$R344="End"</formula>
    </cfRule>
    <cfRule type="expression" dxfId="220" priority="305">
      <formula>$R81:$R344&lt;=0</formula>
    </cfRule>
    <cfRule type="expression" dxfId="219" priority="306">
      <formula>$R81:$R344&lt;4</formula>
    </cfRule>
    <cfRule type="expression" dxfId="218" priority="302">
      <formula>$R81:$R344=""</formula>
    </cfRule>
    <cfRule type="expression" dxfId="217" priority="303">
      <formula>$R81:$R344="Cancel"</formula>
    </cfRule>
    <cfRule type="expression" dxfId="216" priority="301">
      <formula>$X81:$X344="Penting"</formula>
    </cfRule>
  </conditionalFormatting>
  <conditionalFormatting sqref="A83:A136">
    <cfRule type="expression" dxfId="215" priority="328">
      <formula>$R83:$R401="End"</formula>
    </cfRule>
    <cfRule type="expression" dxfId="214" priority="327">
      <formula>$R83:$R401="Cancel"</formula>
    </cfRule>
    <cfRule type="expression" dxfId="213" priority="326">
      <formula>$R83:$R401=""</formula>
    </cfRule>
    <cfRule type="expression" dxfId="212" priority="325">
      <formula>$X83:$X401="Penting"</formula>
    </cfRule>
    <cfRule type="expression" dxfId="211" priority="329">
      <formula>$R83:$R401&lt;=0</formula>
    </cfRule>
    <cfRule type="expression" dxfId="210" priority="330">
      <formula>$R83:$R401&lt;4</formula>
    </cfRule>
  </conditionalFormatting>
  <conditionalFormatting sqref="A137:A142">
    <cfRule type="expression" dxfId="209" priority="300">
      <formula>$R137:$R376&lt;4</formula>
    </cfRule>
    <cfRule type="expression" dxfId="208" priority="299">
      <formula>$R137:$R376&lt;=0</formula>
    </cfRule>
    <cfRule type="expression" dxfId="207" priority="297">
      <formula>$R137:$R376="Cancel"</formula>
    </cfRule>
    <cfRule type="expression" dxfId="206" priority="296">
      <formula>$R137:$R376=""</formula>
    </cfRule>
    <cfRule type="expression" dxfId="205" priority="295">
      <formula>$X137:$X376="Penting"</formula>
    </cfRule>
    <cfRule type="expression" dxfId="204" priority="298">
      <formula>$R137:$R376="End"</formula>
    </cfRule>
  </conditionalFormatting>
  <conditionalFormatting sqref="A143:A156">
    <cfRule type="expression" dxfId="203" priority="64">
      <formula>$R143:$R381="End"</formula>
    </cfRule>
    <cfRule type="expression" dxfId="202" priority="65">
      <formula>$R143:$R381&lt;=0</formula>
    </cfRule>
    <cfRule type="expression" dxfId="201" priority="62">
      <formula>$R143:$R381=""</formula>
    </cfRule>
    <cfRule type="expression" dxfId="200" priority="63">
      <formula>$R143:$R381="Cancel"</formula>
    </cfRule>
    <cfRule type="expression" dxfId="199" priority="66">
      <formula>$R143:$R381&lt;4</formula>
    </cfRule>
    <cfRule type="expression" dxfId="198" priority="61">
      <formula>$X143:$X381="Penting"</formula>
    </cfRule>
  </conditionalFormatting>
  <conditionalFormatting sqref="A157">
    <cfRule type="expression" dxfId="197" priority="59">
      <formula>$R157:$R396&lt;=0</formula>
    </cfRule>
    <cfRule type="expression" dxfId="196" priority="60">
      <formula>$R157:$R396&lt;4</formula>
    </cfRule>
    <cfRule type="expression" dxfId="195" priority="55">
      <formula>$X157:$X396="Penting"</formula>
    </cfRule>
    <cfRule type="expression" dxfId="194" priority="56">
      <formula>$R157:$R396=""</formula>
    </cfRule>
    <cfRule type="expression" dxfId="193" priority="57">
      <formula>$R157:$R396="Cancel"</formula>
    </cfRule>
    <cfRule type="expression" dxfId="192" priority="58">
      <formula>$R157:$R396="End"</formula>
    </cfRule>
  </conditionalFormatting>
  <conditionalFormatting sqref="A158:A159">
    <cfRule type="expression" dxfId="191" priority="18">
      <formula>$R158:$R398&lt;4</formula>
    </cfRule>
    <cfRule type="expression" dxfId="190" priority="17">
      <formula>$R158:$R398&lt;=0</formula>
    </cfRule>
    <cfRule type="expression" dxfId="189" priority="16">
      <formula>$R158:$R398="End"</formula>
    </cfRule>
    <cfRule type="expression" dxfId="188" priority="15">
      <formula>$R158:$R398="Cancel"</formula>
    </cfRule>
    <cfRule type="expression" dxfId="187" priority="14">
      <formula>$R158:$R398=""</formula>
    </cfRule>
    <cfRule type="expression" dxfId="186" priority="13">
      <formula>$X158:$X398="Penting"</formula>
    </cfRule>
  </conditionalFormatting>
  <conditionalFormatting sqref="A160">
    <cfRule type="expression" dxfId="185" priority="2">
      <formula>$R160:$R401=""</formula>
    </cfRule>
    <cfRule type="expression" dxfId="184" priority="3">
      <formula>$R160:$R401="Cancel"</formula>
    </cfRule>
    <cfRule type="expression" dxfId="183" priority="4">
      <formula>$R160:$R401="End"</formula>
    </cfRule>
    <cfRule type="expression" dxfId="182" priority="5">
      <formula>$R160:$R401&lt;=0</formula>
    </cfRule>
    <cfRule type="expression" dxfId="181" priority="6">
      <formula>$R160:$R401&lt;4</formula>
    </cfRule>
    <cfRule type="expression" dxfId="180" priority="1">
      <formula>$X160:$X401="Penting"</formula>
    </cfRule>
  </conditionalFormatting>
  <conditionalFormatting sqref="A6:Q6 S6:AO6 AP6:AP159 A7:A17 B18:AO18 B44:AO44 B49:AO50 B55:AO55 A62:AO62">
    <cfRule type="expression" dxfId="179" priority="972">
      <formula>$R6:$R398&lt;4</formula>
    </cfRule>
    <cfRule type="expression" dxfId="178" priority="971">
      <formula>$R6:$R398&lt;=0</formula>
    </cfRule>
    <cfRule type="expression" dxfId="177" priority="969">
      <formula>$R6:$R398="Cancel"</formula>
    </cfRule>
    <cfRule type="expression" dxfId="176" priority="967">
      <formula>$X6:$X398="Penting"</formula>
    </cfRule>
    <cfRule type="expression" dxfId="175" priority="968">
      <formula>$R6:$R398=""</formula>
    </cfRule>
    <cfRule type="expression" dxfId="174" priority="970">
      <formula>$R6:$R398="End"</formula>
    </cfRule>
  </conditionalFormatting>
  <conditionalFormatting sqref="A57:AO57 B58:AO59">
    <cfRule type="expression" dxfId="173" priority="456">
      <formula>$R57:$R453&lt;4</formula>
    </cfRule>
    <cfRule type="expression" dxfId="172" priority="455">
      <formula>$R57:$R453&lt;=0</formula>
    </cfRule>
    <cfRule type="expression" dxfId="171" priority="454">
      <formula>$R57:$R453="End"</formula>
    </cfRule>
    <cfRule type="expression" dxfId="170" priority="453">
      <formula>$R57:$R453="Cancel"</formula>
    </cfRule>
    <cfRule type="expression" dxfId="169" priority="452">
      <formula>$R57:$R453=""</formula>
    </cfRule>
    <cfRule type="expression" dxfId="168" priority="451">
      <formula>$X57:$X453="Penting"</formula>
    </cfRule>
  </conditionalFormatting>
  <conditionalFormatting sqref="A64:AO64">
    <cfRule type="expression" dxfId="167" priority="414">
      <formula>$R64:$R454&lt;4</formula>
    </cfRule>
    <cfRule type="expression" dxfId="166" priority="413">
      <formula>$R64:$R454&lt;=0</formula>
    </cfRule>
    <cfRule type="expression" dxfId="165" priority="412">
      <formula>$R64:$R454="End"</formula>
    </cfRule>
    <cfRule type="expression" dxfId="164" priority="411">
      <formula>$R64:$R454="Cancel"</formula>
    </cfRule>
    <cfRule type="expression" dxfId="163" priority="410">
      <formula>$R64:$R454=""</formula>
    </cfRule>
    <cfRule type="expression" dxfId="162" priority="409">
      <formula>$X64:$X454="Penting"</formula>
    </cfRule>
  </conditionalFormatting>
  <conditionalFormatting sqref="B7:Q7 S7:AO7 B21:AO22 B24:AO24 B33:AO33 A63:AO63">
    <cfRule type="expression" dxfId="161" priority="1015">
      <formula>$X7:$X398="Penting"</formula>
    </cfRule>
    <cfRule type="expression" dxfId="160" priority="1020">
      <formula>$R7:$R398&lt;4</formula>
    </cfRule>
    <cfRule type="expression" dxfId="159" priority="1019">
      <formula>$R7:$R398&lt;=0</formula>
    </cfRule>
    <cfRule type="expression" dxfId="158" priority="1018">
      <formula>$R7:$R398="End"</formula>
    </cfRule>
    <cfRule type="expression" dxfId="157" priority="1017">
      <formula>$R7:$R398="Cancel"</formula>
    </cfRule>
    <cfRule type="expression" dxfId="156" priority="1016">
      <formula>$R7:$R398=""</formula>
    </cfRule>
  </conditionalFormatting>
  <conditionalFormatting sqref="B65:AO66">
    <cfRule type="expression" dxfId="155" priority="407">
      <formula>$R65:$R452&lt;=0</formula>
    </cfRule>
    <cfRule type="expression" dxfId="154" priority="408">
      <formula>$R65:$R452&lt;4</formula>
    </cfRule>
    <cfRule type="expression" dxfId="153" priority="406">
      <formula>$R65:$R452="End"</formula>
    </cfRule>
    <cfRule type="expression" dxfId="152" priority="405">
      <formula>$R65:$R452="Cancel"</formula>
    </cfRule>
    <cfRule type="expression" dxfId="151" priority="404">
      <formula>$R65:$R452=""</formula>
    </cfRule>
    <cfRule type="expression" dxfId="150" priority="403">
      <formula>$X65:$X452="Penting"</formula>
    </cfRule>
  </conditionalFormatting>
  <conditionalFormatting sqref="B67:AO77">
    <cfRule type="expression" dxfId="149" priority="3945">
      <formula>$R67:$R440="Cancel"</formula>
    </cfRule>
    <cfRule type="expression" dxfId="148" priority="3946">
      <formula>$R67:$R440="End"</formula>
    </cfRule>
    <cfRule type="expression" dxfId="147" priority="3947">
      <formula>$R67:$R440&lt;=0</formula>
    </cfRule>
    <cfRule type="expression" dxfId="146" priority="3948">
      <formula>$R67:$R440&lt;4</formula>
    </cfRule>
    <cfRule type="expression" dxfId="145" priority="3943">
      <formula>$X67:$X440="Penting"</formula>
    </cfRule>
    <cfRule type="expression" dxfId="144" priority="3944">
      <formula>$R67:$R440=""</formula>
    </cfRule>
  </conditionalFormatting>
  <conditionalFormatting sqref="B78:AO78 A82">
    <cfRule type="expression" dxfId="143" priority="370">
      <formula>$R78:$R450="End"</formula>
    </cfRule>
    <cfRule type="expression" dxfId="142" priority="371">
      <formula>$R78:$R450&lt;=0</formula>
    </cfRule>
    <cfRule type="expression" dxfId="141" priority="372">
      <formula>$R78:$R450&lt;4</formula>
    </cfRule>
    <cfRule type="expression" dxfId="140" priority="367">
      <formula>$X78:$X450="Penting"</formula>
    </cfRule>
    <cfRule type="expression" dxfId="139" priority="368">
      <formula>$R78:$R450=""</formula>
    </cfRule>
    <cfRule type="expression" dxfId="138" priority="369">
      <formula>$R78:$R450="Cancel"</formula>
    </cfRule>
  </conditionalFormatting>
  <conditionalFormatting sqref="B79:AO79">
    <cfRule type="expression" dxfId="137" priority="355">
      <formula>$X79:$X450="Penting"</formula>
    </cfRule>
    <cfRule type="expression" dxfId="136" priority="360">
      <formula>$R79:$R450&lt;4</formula>
    </cfRule>
    <cfRule type="expression" dxfId="135" priority="356">
      <formula>$R79:$R450=""</formula>
    </cfRule>
    <cfRule type="expression" dxfId="134" priority="359">
      <formula>$R79:$R450&lt;=0</formula>
    </cfRule>
    <cfRule type="expression" dxfId="133" priority="357">
      <formula>$R79:$R450="Cancel"</formula>
    </cfRule>
    <cfRule type="expression" dxfId="132" priority="358">
      <formula>$R79:$R450="End"</formula>
    </cfRule>
  </conditionalFormatting>
  <conditionalFormatting sqref="B80:AO80">
    <cfRule type="expression" dxfId="131" priority="319">
      <formula>$X80:$X340="Penting"</formula>
    </cfRule>
    <cfRule type="expression" dxfId="130" priority="324">
      <formula>$R80:$R340&lt;4</formula>
    </cfRule>
    <cfRule type="expression" dxfId="129" priority="323">
      <formula>$R80:$R340&lt;=0</formula>
    </cfRule>
    <cfRule type="expression" dxfId="128" priority="321">
      <formula>$R80:$R340="Cancel"</formula>
    </cfRule>
    <cfRule type="expression" dxfId="127" priority="322">
      <formula>$R80:$R340="End"</formula>
    </cfRule>
    <cfRule type="expression" dxfId="126" priority="320">
      <formula>$R80:$R340=""</formula>
    </cfRule>
  </conditionalFormatting>
  <conditionalFormatting sqref="B81:AO81">
    <cfRule type="expression" dxfId="125" priority="312">
      <formula>$R81:$R337&lt;4</formula>
    </cfRule>
    <cfRule type="expression" dxfId="124" priority="311">
      <formula>$R81:$R337&lt;=0</formula>
    </cfRule>
    <cfRule type="expression" dxfId="123" priority="308">
      <formula>$R81:$R337=""</formula>
    </cfRule>
    <cfRule type="expression" dxfId="122" priority="309">
      <formula>$R81:$R337="Cancel"</formula>
    </cfRule>
    <cfRule type="expression" dxfId="121" priority="307">
      <formula>$X81:$X337="Penting"</formula>
    </cfRule>
    <cfRule type="expression" dxfId="120" priority="310">
      <formula>$R81:$R337="End"</formula>
    </cfRule>
  </conditionalFormatting>
  <conditionalFormatting sqref="B82:AO82">
    <cfRule type="expression" dxfId="119" priority="347">
      <formula>$R82:$R441&lt;=0</formula>
    </cfRule>
    <cfRule type="expression" dxfId="118" priority="344">
      <formula>$R82:$R441=""</formula>
    </cfRule>
    <cfRule type="expression" dxfId="117" priority="343">
      <formula>$X82:$X441="Penting"</formula>
    </cfRule>
    <cfRule type="expression" dxfId="116" priority="345">
      <formula>$R82:$R441="Cancel"</formula>
    </cfRule>
    <cfRule type="expression" dxfId="115" priority="346">
      <formula>$R82:$R441="End"</formula>
    </cfRule>
    <cfRule type="expression" dxfId="114" priority="348">
      <formula>$R82:$R441&lt;4</formula>
    </cfRule>
  </conditionalFormatting>
  <conditionalFormatting sqref="B83:AO136">
    <cfRule type="expression" dxfId="113" priority="334">
      <formula>$R83:$R388="End"</formula>
    </cfRule>
    <cfRule type="expression" dxfId="112" priority="335">
      <formula>$R83:$R388&lt;=0</formula>
    </cfRule>
    <cfRule type="expression" dxfId="111" priority="333">
      <formula>$R83:$R388="Cancel"</formula>
    </cfRule>
    <cfRule type="expression" dxfId="110" priority="336">
      <formula>$R83:$R388&lt;4</formula>
    </cfRule>
    <cfRule type="expression" dxfId="109" priority="331">
      <formula>$X83:$X388="Penting"</formula>
    </cfRule>
    <cfRule type="expression" dxfId="108" priority="332">
      <formula>$R83:$R388=""</formula>
    </cfRule>
  </conditionalFormatting>
  <conditionalFormatting sqref="B137:AO138">
    <cfRule type="expression" dxfId="107" priority="292">
      <formula>$R137:$R383="End"</formula>
    </cfRule>
    <cfRule type="expression" dxfId="106" priority="291">
      <formula>$R137:$R383="Cancel"</formula>
    </cfRule>
    <cfRule type="expression" dxfId="105" priority="290">
      <formula>$R137:$R383=""</formula>
    </cfRule>
    <cfRule type="expression" dxfId="104" priority="289">
      <formula>$X137:$X383="Penting"</formula>
    </cfRule>
    <cfRule type="expression" dxfId="103" priority="293">
      <formula>$R137:$R383&lt;=0</formula>
    </cfRule>
    <cfRule type="expression" dxfId="102" priority="294">
      <formula>$R137:$R383&lt;4</formula>
    </cfRule>
  </conditionalFormatting>
  <conditionalFormatting sqref="B139:AO139">
    <cfRule type="expression" dxfId="101" priority="266">
      <formula>$R139:$R383=""</formula>
    </cfRule>
    <cfRule type="expression" dxfId="100" priority="267">
      <formula>$R139:$R383="Cancel"</formula>
    </cfRule>
    <cfRule type="expression" dxfId="99" priority="268">
      <formula>$R139:$R383="End"</formula>
    </cfRule>
    <cfRule type="expression" dxfId="98" priority="269">
      <formula>$R139:$R383&lt;=0</formula>
    </cfRule>
    <cfRule type="expression" dxfId="97" priority="270">
      <formula>$R139:$R383&lt;4</formula>
    </cfRule>
    <cfRule type="expression" dxfId="96" priority="265">
      <formula>$X139:$X383="Penting"</formula>
    </cfRule>
  </conditionalFormatting>
  <conditionalFormatting sqref="B140:AO141">
    <cfRule type="expression" dxfId="95" priority="254">
      <formula>$R140:$R383=""</formula>
    </cfRule>
    <cfRule type="expression" dxfId="94" priority="258">
      <formula>$R140:$R383&lt;4</formula>
    </cfRule>
    <cfRule type="expression" dxfId="93" priority="255">
      <formula>$R140:$R383="Cancel"</formula>
    </cfRule>
    <cfRule type="expression" dxfId="92" priority="253">
      <formula>$X140:$X383="Penting"</formula>
    </cfRule>
    <cfRule type="expression" dxfId="91" priority="256">
      <formula>$R140:$R383="End"</formula>
    </cfRule>
    <cfRule type="expression" dxfId="90" priority="257">
      <formula>$R140:$R383&lt;=0</formula>
    </cfRule>
  </conditionalFormatting>
  <conditionalFormatting sqref="B142:AO142">
    <cfRule type="expression" dxfId="89" priority="232">
      <formula>$R142:$R400="End"</formula>
    </cfRule>
    <cfRule type="expression" dxfId="88" priority="233">
      <formula>$R142:$R400&lt;=0</formula>
    </cfRule>
    <cfRule type="expression" dxfId="87" priority="234">
      <formula>$R142:$R400&lt;4</formula>
    </cfRule>
    <cfRule type="expression" dxfId="86" priority="231">
      <formula>$R142:$R400="Cancel"</formula>
    </cfRule>
    <cfRule type="expression" dxfId="85" priority="230">
      <formula>$R142:$R400=""</formula>
    </cfRule>
    <cfRule type="expression" dxfId="84" priority="229">
      <formula>$X142:$X400="Penting"</formula>
    </cfRule>
  </conditionalFormatting>
  <conditionalFormatting sqref="B143:AO143">
    <cfRule type="expression" dxfId="83" priority="218">
      <formula>$R143:$R384=""</formula>
    </cfRule>
    <cfRule type="expression" dxfId="82" priority="217">
      <formula>$X143:$X384="Penting"</formula>
    </cfRule>
    <cfRule type="expression" dxfId="81" priority="222">
      <formula>$R143:$R384&lt;4</formula>
    </cfRule>
    <cfRule type="expression" dxfId="80" priority="220">
      <formula>$R143:$R384="End"</formula>
    </cfRule>
    <cfRule type="expression" dxfId="79" priority="221">
      <formula>$R143:$R384&lt;=0</formula>
    </cfRule>
    <cfRule type="expression" dxfId="78" priority="219">
      <formula>$R143:$R384="Cancel"</formula>
    </cfRule>
  </conditionalFormatting>
  <conditionalFormatting sqref="B144:AO145">
    <cfRule type="expression" dxfId="77" priority="210">
      <formula>$R144:$R386&lt;4</formula>
    </cfRule>
    <cfRule type="expression" dxfId="76" priority="208">
      <formula>$R144:$R386="End"</formula>
    </cfRule>
    <cfRule type="expression" dxfId="75" priority="207">
      <formula>$R144:$R386="Cancel"</formula>
    </cfRule>
    <cfRule type="expression" dxfId="74" priority="206">
      <formula>$R144:$R386=""</formula>
    </cfRule>
    <cfRule type="expression" dxfId="73" priority="209">
      <formula>$R144:$R386&lt;=0</formula>
    </cfRule>
    <cfRule type="expression" dxfId="72" priority="205">
      <formula>$X144:$X386="Penting"</formula>
    </cfRule>
  </conditionalFormatting>
  <conditionalFormatting sqref="B146:AO147">
    <cfRule type="expression" dxfId="71" priority="171">
      <formula>$R146:$R390="Cancel"</formula>
    </cfRule>
    <cfRule type="expression" dxfId="70" priority="173">
      <formula>$R146:$R390&lt;=0</formula>
    </cfRule>
    <cfRule type="expression" dxfId="69" priority="169">
      <formula>$X146:$X390="Penting"</formula>
    </cfRule>
    <cfRule type="expression" dxfId="68" priority="174">
      <formula>$R146:$R390&lt;4</formula>
    </cfRule>
    <cfRule type="expression" dxfId="67" priority="170">
      <formula>$R146:$R390=""</formula>
    </cfRule>
    <cfRule type="expression" dxfId="66" priority="172">
      <formula>$R146:$R390="End"</formula>
    </cfRule>
  </conditionalFormatting>
  <conditionalFormatting sqref="B148:AO148">
    <cfRule type="expression" dxfId="65" priority="160">
      <formula>$R148:$R390="End"</formula>
    </cfRule>
    <cfRule type="expression" dxfId="64" priority="157">
      <formula>$X148:$X390="Penting"</formula>
    </cfRule>
    <cfRule type="expression" dxfId="63" priority="158">
      <formula>$R148:$R390=""</formula>
    </cfRule>
    <cfRule type="expression" dxfId="62" priority="159">
      <formula>$R148:$R390="Cancel"</formula>
    </cfRule>
    <cfRule type="expression" dxfId="61" priority="161">
      <formula>$R148:$R390&lt;=0</formula>
    </cfRule>
    <cfRule type="expression" dxfId="60" priority="162">
      <formula>$R148:$R390&lt;4</formula>
    </cfRule>
  </conditionalFormatting>
  <conditionalFormatting sqref="B149:AO149">
    <cfRule type="expression" dxfId="59" priority="148">
      <formula>$R149:$R393="End"</formula>
    </cfRule>
    <cfRule type="expression" dxfId="58" priority="147">
      <formula>$R149:$R393="Cancel"</formula>
    </cfRule>
    <cfRule type="expression" dxfId="57" priority="146">
      <formula>$R149:$R393=""</formula>
    </cfRule>
    <cfRule type="expression" dxfId="56" priority="145">
      <formula>$X149:$X393="Penting"</formula>
    </cfRule>
    <cfRule type="expression" dxfId="55" priority="150">
      <formula>$R149:$R393&lt;4</formula>
    </cfRule>
    <cfRule type="expression" dxfId="54" priority="149">
      <formula>$R149:$R393&lt;=0</formula>
    </cfRule>
  </conditionalFormatting>
  <conditionalFormatting sqref="B150:AO150">
    <cfRule type="expression" dxfId="53" priority="138">
      <formula>$R150:$R392&lt;4</formula>
    </cfRule>
    <cfRule type="expression" dxfId="52" priority="136">
      <formula>$R150:$R392="End"</formula>
    </cfRule>
    <cfRule type="expression" dxfId="51" priority="137">
      <formula>$R150:$R392&lt;=0</formula>
    </cfRule>
    <cfRule type="expression" dxfId="50" priority="133">
      <formula>$X150:$X392="Penting"</formula>
    </cfRule>
    <cfRule type="expression" dxfId="49" priority="134">
      <formula>$R150:$R392=""</formula>
    </cfRule>
    <cfRule type="expression" dxfId="48" priority="135">
      <formula>$R150:$R392="Cancel"</formula>
    </cfRule>
  </conditionalFormatting>
  <conditionalFormatting sqref="B151:AO151">
    <cfRule type="expression" dxfId="47" priority="124">
      <formula>$R151:$R394="End"</formula>
    </cfRule>
    <cfRule type="expression" dxfId="46" priority="126">
      <formula>$R151:$R394&lt;4</formula>
    </cfRule>
    <cfRule type="expression" dxfId="45" priority="123">
      <formula>$R151:$R394="Cancel"</formula>
    </cfRule>
    <cfRule type="expression" dxfId="44" priority="122">
      <formula>$R151:$R394=""</formula>
    </cfRule>
    <cfRule type="expression" dxfId="43" priority="125">
      <formula>$R151:$R394&lt;=0</formula>
    </cfRule>
    <cfRule type="expression" dxfId="42" priority="121">
      <formula>$X151:$X394="Penting"</formula>
    </cfRule>
  </conditionalFormatting>
  <conditionalFormatting sqref="B152:AO152">
    <cfRule type="expression" dxfId="41" priority="114">
      <formula>$R152:$R396&lt;4</formula>
    </cfRule>
    <cfRule type="expression" dxfId="40" priority="113">
      <formula>$R152:$R396&lt;=0</formula>
    </cfRule>
    <cfRule type="expression" dxfId="39" priority="112">
      <formula>$R152:$R396="End"</formula>
    </cfRule>
    <cfRule type="expression" dxfId="38" priority="111">
      <formula>$R152:$R396="Cancel"</formula>
    </cfRule>
    <cfRule type="expression" dxfId="37" priority="110">
      <formula>$R152:$R396=""</formula>
    </cfRule>
    <cfRule type="expression" dxfId="36" priority="109">
      <formula>$X152:$X396="Penting"</formula>
    </cfRule>
  </conditionalFormatting>
  <conditionalFormatting sqref="B153:AO153">
    <cfRule type="expression" dxfId="35" priority="102">
      <formula>$R153:$R399&lt;4</formula>
    </cfRule>
    <cfRule type="expression" dxfId="34" priority="100">
      <formula>$R153:$R399="End"</formula>
    </cfRule>
    <cfRule type="expression" dxfId="33" priority="97">
      <formula>$X153:$X399="Penting"</formula>
    </cfRule>
    <cfRule type="expression" dxfId="32" priority="98">
      <formula>$R153:$R399=""</formula>
    </cfRule>
    <cfRule type="expression" dxfId="31" priority="99">
      <formula>$R153:$R399="Cancel"</formula>
    </cfRule>
    <cfRule type="expression" dxfId="30" priority="101">
      <formula>$R153:$R399&lt;=0</formula>
    </cfRule>
  </conditionalFormatting>
  <conditionalFormatting sqref="B154:AO154">
    <cfRule type="expression" dxfId="29" priority="86">
      <formula>$R154:$R398=""</formula>
    </cfRule>
    <cfRule type="expression" dxfId="28" priority="87">
      <formula>$R154:$R398="Cancel"</formula>
    </cfRule>
    <cfRule type="expression" dxfId="27" priority="85">
      <formula>$X154:$X398="Penting"</formula>
    </cfRule>
    <cfRule type="expression" dxfId="26" priority="88">
      <formula>$R154:$R398="End"</formula>
    </cfRule>
    <cfRule type="expression" dxfId="25" priority="89">
      <formula>$R154:$R398&lt;=0</formula>
    </cfRule>
    <cfRule type="expression" dxfId="24" priority="90">
      <formula>$R154:$R398&lt;4</formula>
    </cfRule>
  </conditionalFormatting>
  <conditionalFormatting sqref="B155:AO156">
    <cfRule type="expression" dxfId="23" priority="70">
      <formula>$R155:$R398="End"</formula>
    </cfRule>
    <cfRule type="expression" dxfId="22" priority="72">
      <formula>$R155:$R398&lt;4</formula>
    </cfRule>
    <cfRule type="expression" dxfId="21" priority="71">
      <formula>$R155:$R398&lt;=0</formula>
    </cfRule>
    <cfRule type="expression" dxfId="20" priority="68">
      <formula>$R155:$R398=""</formula>
    </cfRule>
    <cfRule type="expression" dxfId="19" priority="67">
      <formula>$X155:$X398="Penting"</formula>
    </cfRule>
    <cfRule type="expression" dxfId="18" priority="69">
      <formula>$R155:$R398="Cancel"</formula>
    </cfRule>
  </conditionalFormatting>
  <conditionalFormatting sqref="B157:AO159">
    <cfRule type="expression" dxfId="17" priority="24">
      <formula>$R157:$R402&lt;4</formula>
    </cfRule>
    <cfRule type="expression" dxfId="16" priority="23">
      <formula>$R157:$R402&lt;=0</formula>
    </cfRule>
    <cfRule type="expression" dxfId="15" priority="22">
      <formula>$R157:$R402="End"</formula>
    </cfRule>
    <cfRule type="expression" dxfId="14" priority="20">
      <formula>$R157:$R402=""</formula>
    </cfRule>
    <cfRule type="expression" dxfId="13" priority="19">
      <formula>$X157:$X402="Penting"</formula>
    </cfRule>
    <cfRule type="expression" dxfId="12" priority="21">
      <formula>$R157:$R402="Cancel"</formula>
    </cfRule>
  </conditionalFormatting>
  <conditionalFormatting sqref="B160:AO160">
    <cfRule type="expression" dxfId="11" priority="10">
      <formula>$R160:$R406="End"</formula>
    </cfRule>
    <cfRule type="expression" dxfId="10" priority="11">
      <formula>$R160:$R406&lt;=0</formula>
    </cfRule>
    <cfRule type="expression" dxfId="9" priority="12">
      <formula>$R160:$R406&lt;4</formula>
    </cfRule>
    <cfRule type="expression" dxfId="8" priority="7">
      <formula>$X160:$X406="Penting"</formula>
    </cfRule>
    <cfRule type="expression" dxfId="7" priority="8">
      <formula>$R160:$R406=""</formula>
    </cfRule>
    <cfRule type="expression" dxfId="6" priority="9">
      <formula>$R160:$R406="Cancel"</formula>
    </cfRule>
  </conditionalFormatting>
  <conditionalFormatting sqref="R6:R15 B8:Q15 S8:AO15 B16:AO17 A65">
    <cfRule type="expression" dxfId="5" priority="397">
      <formula>$X6:$X395="Penting"</formula>
    </cfRule>
    <cfRule type="expression" dxfId="4" priority="398">
      <formula>$R6:$R395=""</formula>
    </cfRule>
    <cfRule type="expression" dxfId="3" priority="399">
      <formula>$R6:$R395="Cancel"</formula>
    </cfRule>
    <cfRule type="expression" dxfId="2" priority="400">
      <formula>$R6:$R395="End"</formula>
    </cfRule>
    <cfRule type="expression" dxfId="1" priority="401">
      <formula>$R6:$R395&lt;=0</formula>
    </cfRule>
    <cfRule type="expression" dxfId="0" priority="402">
      <formula>$R6:$R395&lt;4</formula>
    </cfRule>
  </conditionalFormatting>
  <hyperlinks>
    <hyperlink ref="K14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5"/>
  <sheetViews>
    <sheetView view="pageBreakPreview" topLeftCell="B1" zoomScaleNormal="100" zoomScaleSheetLayoutView="100" workbookViewId="0">
      <selection activeCell="E258" sqref="E258"/>
    </sheetView>
  </sheetViews>
  <sheetFormatPr defaultRowHeight="15" x14ac:dyDescent="0.25"/>
  <cols>
    <col min="1" max="1" width="11.140625" bestFit="1" customWidth="1"/>
    <col min="2" max="2" width="4.42578125" bestFit="1" customWidth="1"/>
    <col min="3" max="3" width="34.7109375" bestFit="1" customWidth="1"/>
    <col min="4" max="4" width="52.5703125" customWidth="1"/>
    <col min="5" max="5" width="39" customWidth="1"/>
    <col min="6" max="11" width="7.85546875" customWidth="1"/>
  </cols>
  <sheetData>
    <row r="1" spans="1:11" x14ac:dyDescent="0.25">
      <c r="A1" s="134" t="s">
        <v>1238</v>
      </c>
      <c r="H1" s="135" t="s">
        <v>1243</v>
      </c>
      <c r="I1" s="135" t="s">
        <v>1242</v>
      </c>
      <c r="J1" s="135" t="s">
        <v>1242</v>
      </c>
      <c r="K1" s="135" t="s">
        <v>1240</v>
      </c>
    </row>
    <row r="2" spans="1:11" x14ac:dyDescent="0.25">
      <c r="H2" s="136"/>
      <c r="I2" s="136"/>
      <c r="J2" s="136"/>
      <c r="K2" s="136"/>
    </row>
    <row r="3" spans="1:11" x14ac:dyDescent="0.25">
      <c r="A3" s="213" t="s">
        <v>1239</v>
      </c>
      <c r="B3" s="213"/>
      <c r="C3" s="213"/>
      <c r="D3" s="213"/>
      <c r="E3" s="213"/>
      <c r="H3" s="137"/>
      <c r="I3" s="137"/>
      <c r="J3" s="137"/>
      <c r="K3" s="137"/>
    </row>
    <row r="4" spans="1:11" x14ac:dyDescent="0.25">
      <c r="A4" s="213"/>
      <c r="B4" s="213"/>
      <c r="C4" s="213"/>
      <c r="D4" s="213"/>
      <c r="E4" s="213"/>
      <c r="H4" s="135" t="s">
        <v>224</v>
      </c>
      <c r="I4" s="135" t="s">
        <v>192</v>
      </c>
      <c r="J4" s="135" t="s">
        <v>168</v>
      </c>
      <c r="K4" s="135" t="s">
        <v>1241</v>
      </c>
    </row>
    <row r="5" spans="1:11" x14ac:dyDescent="0.25">
      <c r="A5" t="s">
        <v>1244</v>
      </c>
      <c r="B5" t="s">
        <v>1245</v>
      </c>
      <c r="C5" s="138">
        <v>44897</v>
      </c>
    </row>
    <row r="6" spans="1:11" ht="32.25" customHeight="1" x14ac:dyDescent="0.25">
      <c r="A6" s="210" t="s">
        <v>41</v>
      </c>
      <c r="B6" s="211"/>
      <c r="C6" s="119"/>
      <c r="D6" s="119"/>
      <c r="E6" s="119"/>
      <c r="F6" s="123" t="s">
        <v>1230</v>
      </c>
      <c r="G6" s="212" t="s">
        <v>1226</v>
      </c>
      <c r="H6" s="212"/>
      <c r="I6" s="212"/>
      <c r="J6" s="212" t="s">
        <v>1227</v>
      </c>
      <c r="K6" s="212"/>
    </row>
    <row r="7" spans="1:11" ht="42" x14ac:dyDescent="0.25">
      <c r="A7" s="116" t="s">
        <v>46</v>
      </c>
      <c r="B7" s="116" t="s">
        <v>1</v>
      </c>
      <c r="C7" s="120" t="s">
        <v>47</v>
      </c>
      <c r="D7" s="120" t="s">
        <v>48</v>
      </c>
      <c r="E7" s="120" t="s">
        <v>49</v>
      </c>
      <c r="F7" s="127" t="s">
        <v>70</v>
      </c>
      <c r="G7" s="126" t="s">
        <v>1225</v>
      </c>
      <c r="H7" s="128" t="s">
        <v>1224</v>
      </c>
      <c r="I7" s="128" t="s">
        <v>1223</v>
      </c>
      <c r="J7" s="118" t="s">
        <v>1228</v>
      </c>
      <c r="K7" s="118" t="s">
        <v>1229</v>
      </c>
    </row>
    <row r="8" spans="1:11" ht="31.5" x14ac:dyDescent="0.25">
      <c r="A8" s="117" t="s">
        <v>1145</v>
      </c>
      <c r="B8" s="117">
        <v>1</v>
      </c>
      <c r="C8" s="121" t="s">
        <v>75</v>
      </c>
      <c r="D8" s="122" t="s">
        <v>83</v>
      </c>
      <c r="E8" s="122" t="s">
        <v>84</v>
      </c>
      <c r="F8" s="124" t="s">
        <v>81</v>
      </c>
      <c r="G8" s="125" t="s">
        <v>81</v>
      </c>
      <c r="H8" s="125" t="s">
        <v>81</v>
      </c>
      <c r="I8" s="125" t="s">
        <v>81</v>
      </c>
      <c r="J8" s="125" t="s">
        <v>81</v>
      </c>
      <c r="K8" s="125" t="s">
        <v>81</v>
      </c>
    </row>
    <row r="9" spans="1:11" ht="15.75" x14ac:dyDescent="0.25">
      <c r="A9" s="117" t="s">
        <v>1145</v>
      </c>
      <c r="B9" s="117">
        <v>2</v>
      </c>
      <c r="C9" s="121" t="s">
        <v>75</v>
      </c>
      <c r="D9" s="122" t="s">
        <v>89</v>
      </c>
      <c r="E9" s="122" t="s">
        <v>90</v>
      </c>
      <c r="F9" s="124" t="s">
        <v>81</v>
      </c>
      <c r="G9" s="125" t="s">
        <v>81</v>
      </c>
      <c r="H9" s="125" t="s">
        <v>81</v>
      </c>
      <c r="I9" s="125" t="s">
        <v>81</v>
      </c>
      <c r="J9" s="125" t="s">
        <v>81</v>
      </c>
      <c r="K9" s="125" t="s">
        <v>81</v>
      </c>
    </row>
    <row r="10" spans="1:11" ht="15.75" x14ac:dyDescent="0.25">
      <c r="A10" s="117" t="s">
        <v>1145</v>
      </c>
      <c r="B10" s="117">
        <v>3</v>
      </c>
      <c r="C10" s="121" t="s">
        <v>75</v>
      </c>
      <c r="D10" s="122" t="s">
        <v>93</v>
      </c>
      <c r="E10" s="122" t="s">
        <v>76</v>
      </c>
      <c r="F10" s="124" t="s">
        <v>81</v>
      </c>
      <c r="G10" s="125" t="s">
        <v>81</v>
      </c>
      <c r="H10" s="125" t="s">
        <v>81</v>
      </c>
      <c r="I10" s="125" t="s">
        <v>81</v>
      </c>
      <c r="J10" s="125" t="s">
        <v>81</v>
      </c>
      <c r="K10" s="125" t="s">
        <v>81</v>
      </c>
    </row>
    <row r="11" spans="1:11" ht="31.5" x14ac:dyDescent="0.25">
      <c r="A11" s="117" t="s">
        <v>1145</v>
      </c>
      <c r="B11" s="117">
        <v>4</v>
      </c>
      <c r="C11" s="121" t="s">
        <v>75</v>
      </c>
      <c r="D11" s="122" t="s">
        <v>97</v>
      </c>
      <c r="E11" s="122" t="s">
        <v>84</v>
      </c>
      <c r="F11" s="124" t="s">
        <v>81</v>
      </c>
      <c r="G11" s="125" t="s">
        <v>81</v>
      </c>
      <c r="H11" s="125" t="s">
        <v>81</v>
      </c>
      <c r="I11" s="125" t="s">
        <v>81</v>
      </c>
      <c r="J11" s="125" t="s">
        <v>81</v>
      </c>
      <c r="K11" s="125" t="s">
        <v>81</v>
      </c>
    </row>
    <row r="12" spans="1:11" ht="15.75" x14ac:dyDescent="0.25">
      <c r="A12" s="117" t="s">
        <v>1145</v>
      </c>
      <c r="B12" s="117">
        <v>5</v>
      </c>
      <c r="C12" s="121" t="s">
        <v>75</v>
      </c>
      <c r="D12" s="122" t="s">
        <v>98</v>
      </c>
      <c r="E12" s="122" t="s">
        <v>90</v>
      </c>
      <c r="F12" s="124" t="s">
        <v>81</v>
      </c>
      <c r="G12" s="125" t="s">
        <v>81</v>
      </c>
      <c r="H12" s="125" t="s">
        <v>81</v>
      </c>
      <c r="I12" s="125" t="s">
        <v>81</v>
      </c>
      <c r="J12" s="125" t="s">
        <v>81</v>
      </c>
      <c r="K12" s="125" t="s">
        <v>81</v>
      </c>
    </row>
    <row r="13" spans="1:11" ht="15.75" x14ac:dyDescent="0.25">
      <c r="A13" s="117" t="s">
        <v>1146</v>
      </c>
      <c r="B13" s="117">
        <v>1</v>
      </c>
      <c r="C13" s="121" t="s">
        <v>75</v>
      </c>
      <c r="D13" s="122" t="s">
        <v>105</v>
      </c>
      <c r="E13" s="122" t="s">
        <v>106</v>
      </c>
      <c r="F13" s="124" t="s">
        <v>81</v>
      </c>
      <c r="G13" s="125" t="s">
        <v>81</v>
      </c>
      <c r="H13" s="125" t="s">
        <v>81</v>
      </c>
      <c r="I13" s="125" t="s">
        <v>81</v>
      </c>
      <c r="J13" s="125" t="s">
        <v>81</v>
      </c>
      <c r="K13" s="125" t="s">
        <v>81</v>
      </c>
    </row>
    <row r="14" spans="1:11" ht="31.5" x14ac:dyDescent="0.25">
      <c r="A14" s="117" t="s">
        <v>1146</v>
      </c>
      <c r="B14" s="117">
        <v>2</v>
      </c>
      <c r="C14" s="121" t="s">
        <v>75</v>
      </c>
      <c r="D14" s="122" t="s">
        <v>103</v>
      </c>
      <c r="E14" s="122" t="s">
        <v>84</v>
      </c>
      <c r="F14" s="124" t="s">
        <v>81</v>
      </c>
      <c r="G14" s="125" t="s">
        <v>81</v>
      </c>
      <c r="H14" s="125" t="s">
        <v>81</v>
      </c>
      <c r="I14" s="125" t="s">
        <v>81</v>
      </c>
      <c r="J14" s="125" t="s">
        <v>81</v>
      </c>
      <c r="K14" s="125" t="s">
        <v>81</v>
      </c>
    </row>
    <row r="15" spans="1:11" ht="15.75" x14ac:dyDescent="0.25">
      <c r="A15" s="117" t="s">
        <v>1146</v>
      </c>
      <c r="B15" s="117">
        <v>3</v>
      </c>
      <c r="C15" s="121" t="s">
        <v>75</v>
      </c>
      <c r="D15" s="122" t="s">
        <v>108</v>
      </c>
      <c r="E15" s="122" t="s">
        <v>109</v>
      </c>
      <c r="F15" s="124" t="s">
        <v>81</v>
      </c>
      <c r="G15" s="125" t="s">
        <v>81</v>
      </c>
      <c r="H15" s="125" t="s">
        <v>81</v>
      </c>
      <c r="I15" s="125" t="s">
        <v>81</v>
      </c>
      <c r="J15" s="125" t="s">
        <v>81</v>
      </c>
      <c r="K15" s="125" t="s">
        <v>81</v>
      </c>
    </row>
    <row r="16" spans="1:11" ht="15.75" x14ac:dyDescent="0.25">
      <c r="A16" s="117" t="s">
        <v>1146</v>
      </c>
      <c r="B16" s="117">
        <v>4</v>
      </c>
      <c r="C16" s="121" t="s">
        <v>75</v>
      </c>
      <c r="D16" s="122" t="s">
        <v>101</v>
      </c>
      <c r="E16" s="122" t="s">
        <v>90</v>
      </c>
      <c r="F16" s="124" t="s">
        <v>81</v>
      </c>
      <c r="G16" s="125" t="s">
        <v>81</v>
      </c>
      <c r="H16" s="125" t="s">
        <v>81</v>
      </c>
      <c r="I16" s="125" t="s">
        <v>81</v>
      </c>
      <c r="J16" s="125" t="s">
        <v>81</v>
      </c>
      <c r="K16" s="125" t="s">
        <v>81</v>
      </c>
    </row>
    <row r="17" spans="1:11" ht="15.75" x14ac:dyDescent="0.25">
      <c r="A17" s="117" t="s">
        <v>1146</v>
      </c>
      <c r="B17" s="117">
        <v>5</v>
      </c>
      <c r="C17" s="121" t="s">
        <v>110</v>
      </c>
      <c r="D17" s="122" t="s">
        <v>111</v>
      </c>
      <c r="E17" s="122" t="s">
        <v>112</v>
      </c>
      <c r="F17" s="124" t="s">
        <v>81</v>
      </c>
      <c r="G17" s="125" t="s">
        <v>81</v>
      </c>
      <c r="H17" s="125" t="s">
        <v>81</v>
      </c>
      <c r="I17" s="125" t="s">
        <v>81</v>
      </c>
      <c r="J17" s="125" t="s">
        <v>81</v>
      </c>
      <c r="K17" s="125" t="s">
        <v>81</v>
      </c>
    </row>
    <row r="18" spans="1:11" ht="15.75" x14ac:dyDescent="0.25">
      <c r="A18" s="117" t="s">
        <v>1147</v>
      </c>
      <c r="B18" s="117">
        <v>1</v>
      </c>
      <c r="C18" s="121" t="s">
        <v>117</v>
      </c>
      <c r="D18" s="122" t="s">
        <v>118</v>
      </c>
      <c r="E18" s="122" t="s">
        <v>112</v>
      </c>
      <c r="F18" s="124" t="s">
        <v>81</v>
      </c>
      <c r="G18" s="125" t="s">
        <v>81</v>
      </c>
      <c r="H18" s="125" t="s">
        <v>81</v>
      </c>
      <c r="I18" s="125" t="s">
        <v>81</v>
      </c>
      <c r="J18" s="125" t="s">
        <v>81</v>
      </c>
      <c r="K18" s="125" t="s">
        <v>81</v>
      </c>
    </row>
    <row r="19" spans="1:11" ht="15.75" x14ac:dyDescent="0.25">
      <c r="A19" s="117" t="s">
        <v>1147</v>
      </c>
      <c r="B19" s="117">
        <v>2</v>
      </c>
      <c r="C19" s="121" t="s">
        <v>124</v>
      </c>
      <c r="D19" s="122" t="s">
        <v>125</v>
      </c>
      <c r="E19" s="122" t="s">
        <v>112</v>
      </c>
      <c r="F19" s="124" t="s">
        <v>81</v>
      </c>
      <c r="G19" s="125" t="s">
        <v>81</v>
      </c>
      <c r="H19" s="125" t="s">
        <v>81</v>
      </c>
      <c r="I19" s="125" t="s">
        <v>81</v>
      </c>
      <c r="J19" s="125" t="s">
        <v>81</v>
      </c>
      <c r="K19" s="125" t="s">
        <v>81</v>
      </c>
    </row>
    <row r="20" spans="1:11" ht="15.75" x14ac:dyDescent="0.25">
      <c r="A20" s="117" t="s">
        <v>1147</v>
      </c>
      <c r="B20" s="117">
        <v>3</v>
      </c>
      <c r="C20" s="121" t="s">
        <v>127</v>
      </c>
      <c r="D20" s="122" t="s">
        <v>128</v>
      </c>
      <c r="E20" s="122" t="s">
        <v>112</v>
      </c>
      <c r="F20" s="124" t="s">
        <v>81</v>
      </c>
      <c r="G20" s="125" t="s">
        <v>81</v>
      </c>
      <c r="H20" s="125" t="s">
        <v>81</v>
      </c>
      <c r="I20" s="125" t="s">
        <v>81</v>
      </c>
      <c r="J20" s="125" t="s">
        <v>81</v>
      </c>
      <c r="K20" s="125" t="s">
        <v>81</v>
      </c>
    </row>
    <row r="21" spans="1:11" ht="15.75" x14ac:dyDescent="0.25">
      <c r="A21" s="117" t="s">
        <v>1147</v>
      </c>
      <c r="B21" s="117">
        <v>4</v>
      </c>
      <c r="C21" s="121" t="s">
        <v>131</v>
      </c>
      <c r="D21" s="122" t="s">
        <v>130</v>
      </c>
      <c r="E21" s="122" t="s">
        <v>112</v>
      </c>
      <c r="F21" s="124" t="s">
        <v>81</v>
      </c>
      <c r="G21" s="125" t="s">
        <v>81</v>
      </c>
      <c r="H21" s="125" t="s">
        <v>81</v>
      </c>
      <c r="I21" s="125" t="s">
        <v>81</v>
      </c>
      <c r="J21" s="125" t="s">
        <v>81</v>
      </c>
      <c r="K21" s="125" t="s">
        <v>81</v>
      </c>
    </row>
    <row r="22" spans="1:11" ht="15.75" x14ac:dyDescent="0.25">
      <c r="A22" s="117" t="s">
        <v>1147</v>
      </c>
      <c r="B22" s="117">
        <v>5</v>
      </c>
      <c r="C22" s="121" t="s">
        <v>133</v>
      </c>
      <c r="D22" s="122" t="s">
        <v>134</v>
      </c>
      <c r="E22" s="122" t="s">
        <v>112</v>
      </c>
      <c r="F22" s="124" t="s">
        <v>81</v>
      </c>
      <c r="G22" s="125" t="s">
        <v>81</v>
      </c>
      <c r="H22" s="125" t="s">
        <v>81</v>
      </c>
      <c r="I22" s="125" t="s">
        <v>81</v>
      </c>
      <c r="J22" s="125" t="s">
        <v>81</v>
      </c>
      <c r="K22" s="125" t="s">
        <v>81</v>
      </c>
    </row>
    <row r="23" spans="1:11" ht="15.75" x14ac:dyDescent="0.25">
      <c r="A23" s="117" t="s">
        <v>1148</v>
      </c>
      <c r="B23" s="117">
        <v>1</v>
      </c>
      <c r="C23" s="121" t="s">
        <v>136</v>
      </c>
      <c r="D23" s="122" t="s">
        <v>137</v>
      </c>
      <c r="E23" s="122" t="s">
        <v>112</v>
      </c>
      <c r="F23" s="124" t="s">
        <v>81</v>
      </c>
      <c r="G23" s="125" t="s">
        <v>81</v>
      </c>
      <c r="H23" s="125" t="s">
        <v>81</v>
      </c>
      <c r="I23" s="125" t="s">
        <v>81</v>
      </c>
      <c r="J23" s="125" t="s">
        <v>81</v>
      </c>
      <c r="K23" s="125" t="s">
        <v>81</v>
      </c>
    </row>
    <row r="24" spans="1:11" ht="15.75" x14ac:dyDescent="0.25">
      <c r="A24" s="117" t="s">
        <v>1148</v>
      </c>
      <c r="B24" s="117">
        <v>2</v>
      </c>
      <c r="C24" s="121" t="s">
        <v>144</v>
      </c>
      <c r="D24" s="122" t="s">
        <v>145</v>
      </c>
      <c r="E24" s="122" t="s">
        <v>112</v>
      </c>
      <c r="F24" s="124" t="s">
        <v>81</v>
      </c>
      <c r="G24" s="125" t="s">
        <v>81</v>
      </c>
      <c r="H24" s="125" t="s">
        <v>81</v>
      </c>
      <c r="I24" s="125" t="s">
        <v>81</v>
      </c>
      <c r="J24" s="125" t="s">
        <v>81</v>
      </c>
      <c r="K24" s="125" t="s">
        <v>81</v>
      </c>
    </row>
    <row r="25" spans="1:11" ht="15.75" x14ac:dyDescent="0.25">
      <c r="A25" s="117" t="s">
        <v>1148</v>
      </c>
      <c r="B25" s="117">
        <v>3</v>
      </c>
      <c r="C25" s="121" t="s">
        <v>141</v>
      </c>
      <c r="D25" s="122" t="s">
        <v>142</v>
      </c>
      <c r="E25" s="122" t="s">
        <v>112</v>
      </c>
      <c r="F25" s="124" t="s">
        <v>81</v>
      </c>
      <c r="G25" s="125" t="s">
        <v>81</v>
      </c>
      <c r="H25" s="125" t="s">
        <v>81</v>
      </c>
      <c r="I25" s="125" t="s">
        <v>81</v>
      </c>
      <c r="J25" s="125" t="s">
        <v>81</v>
      </c>
      <c r="K25" s="125" t="s">
        <v>81</v>
      </c>
    </row>
    <row r="26" spans="1:11" ht="15.75" x14ac:dyDescent="0.25">
      <c r="A26" s="117" t="s">
        <v>1148</v>
      </c>
      <c r="B26" s="117">
        <v>4</v>
      </c>
      <c r="C26" s="121" t="s">
        <v>138</v>
      </c>
      <c r="D26" s="122" t="s">
        <v>139</v>
      </c>
      <c r="E26" s="122" t="s">
        <v>140</v>
      </c>
      <c r="F26" s="124" t="s">
        <v>81</v>
      </c>
      <c r="G26" s="125" t="s">
        <v>81</v>
      </c>
      <c r="H26" s="125" t="s">
        <v>81</v>
      </c>
      <c r="I26" s="125" t="s">
        <v>81</v>
      </c>
      <c r="J26" s="125" t="s">
        <v>81</v>
      </c>
      <c r="K26" s="125" t="s">
        <v>81</v>
      </c>
    </row>
    <row r="27" spans="1:11" ht="15.75" x14ac:dyDescent="0.25">
      <c r="A27" s="117" t="s">
        <v>1148</v>
      </c>
      <c r="B27" s="117">
        <v>5</v>
      </c>
      <c r="C27" s="121" t="s">
        <v>156</v>
      </c>
      <c r="D27" s="122" t="s">
        <v>157</v>
      </c>
      <c r="E27" s="122" t="s">
        <v>112</v>
      </c>
      <c r="F27" s="124" t="s">
        <v>81</v>
      </c>
      <c r="G27" s="125" t="s">
        <v>81</v>
      </c>
      <c r="H27" s="125" t="s">
        <v>81</v>
      </c>
      <c r="I27" s="125" t="s">
        <v>81</v>
      </c>
      <c r="J27" s="125" t="s">
        <v>81</v>
      </c>
      <c r="K27" s="125" t="s">
        <v>81</v>
      </c>
    </row>
    <row r="28" spans="1:11" ht="15.75" x14ac:dyDescent="0.25">
      <c r="A28" s="117" t="s">
        <v>1149</v>
      </c>
      <c r="B28" s="117">
        <v>1</v>
      </c>
      <c r="C28" s="121" t="s">
        <v>153</v>
      </c>
      <c r="D28" s="122" t="s">
        <v>154</v>
      </c>
      <c r="E28" s="122" t="s">
        <v>112</v>
      </c>
      <c r="F28" s="124" t="s">
        <v>81</v>
      </c>
      <c r="G28" s="125" t="s">
        <v>81</v>
      </c>
      <c r="H28" s="125" t="s">
        <v>81</v>
      </c>
      <c r="I28" s="125" t="s">
        <v>81</v>
      </c>
      <c r="J28" s="125" t="s">
        <v>81</v>
      </c>
      <c r="K28" s="125" t="s">
        <v>81</v>
      </c>
    </row>
    <row r="29" spans="1:11" ht="15.75" x14ac:dyDescent="0.25">
      <c r="A29" s="117" t="s">
        <v>1149</v>
      </c>
      <c r="B29" s="117">
        <v>2</v>
      </c>
      <c r="C29" s="121" t="s">
        <v>159</v>
      </c>
      <c r="D29" s="122" t="s">
        <v>160</v>
      </c>
      <c r="E29" s="122" t="s">
        <v>112</v>
      </c>
      <c r="F29" s="124" t="s">
        <v>81</v>
      </c>
      <c r="G29" s="125" t="s">
        <v>81</v>
      </c>
      <c r="H29" s="125" t="s">
        <v>81</v>
      </c>
      <c r="I29" s="125" t="s">
        <v>81</v>
      </c>
      <c r="J29" s="125" t="s">
        <v>81</v>
      </c>
      <c r="K29" s="125" t="s">
        <v>81</v>
      </c>
    </row>
    <row r="30" spans="1:11" ht="15.75" x14ac:dyDescent="0.25">
      <c r="A30" s="117" t="s">
        <v>1149</v>
      </c>
      <c r="B30" s="117">
        <v>3</v>
      </c>
      <c r="C30" s="121" t="s">
        <v>162</v>
      </c>
      <c r="D30" s="122" t="s">
        <v>163</v>
      </c>
      <c r="E30" s="122" t="s">
        <v>112</v>
      </c>
      <c r="F30" s="124" t="s">
        <v>81</v>
      </c>
      <c r="G30" s="125" t="s">
        <v>81</v>
      </c>
      <c r="H30" s="125" t="s">
        <v>81</v>
      </c>
      <c r="I30" s="125" t="s">
        <v>81</v>
      </c>
      <c r="J30" s="125" t="s">
        <v>81</v>
      </c>
      <c r="K30" s="125" t="s">
        <v>81</v>
      </c>
    </row>
    <row r="31" spans="1:11" ht="15.75" x14ac:dyDescent="0.25">
      <c r="A31" s="117" t="s">
        <v>1149</v>
      </c>
      <c r="B31" s="117">
        <v>4</v>
      </c>
      <c r="C31" s="121" t="s">
        <v>151</v>
      </c>
      <c r="D31" s="122" t="s">
        <v>148</v>
      </c>
      <c r="E31" s="122" t="s">
        <v>112</v>
      </c>
      <c r="F31" s="124" t="s">
        <v>81</v>
      </c>
      <c r="G31" s="125" t="s">
        <v>81</v>
      </c>
      <c r="H31" s="125" t="s">
        <v>81</v>
      </c>
      <c r="I31" s="125" t="s">
        <v>81</v>
      </c>
      <c r="J31" s="125" t="s">
        <v>81</v>
      </c>
      <c r="K31" s="125" t="s">
        <v>81</v>
      </c>
    </row>
    <row r="32" spans="1:11" ht="15.75" x14ac:dyDescent="0.25">
      <c r="A32" s="117" t="s">
        <v>1149</v>
      </c>
      <c r="B32" s="117">
        <v>5</v>
      </c>
      <c r="C32" s="121" t="s">
        <v>120</v>
      </c>
      <c r="D32" s="122" t="s">
        <v>121</v>
      </c>
      <c r="E32" s="122" t="s">
        <v>112</v>
      </c>
      <c r="F32" s="124" t="s">
        <v>81</v>
      </c>
      <c r="G32" s="125" t="s">
        <v>81</v>
      </c>
      <c r="H32" s="125" t="s">
        <v>81</v>
      </c>
      <c r="I32" s="125" t="s">
        <v>81</v>
      </c>
      <c r="J32" s="125" t="s">
        <v>81</v>
      </c>
      <c r="K32" s="125" t="s">
        <v>81</v>
      </c>
    </row>
    <row r="33" spans="1:11" ht="15.75" x14ac:dyDescent="0.25">
      <c r="A33" s="117" t="s">
        <v>1150</v>
      </c>
      <c r="B33" s="117">
        <v>1</v>
      </c>
      <c r="C33" s="121" t="s">
        <v>322</v>
      </c>
      <c r="D33" s="122" t="s">
        <v>204</v>
      </c>
      <c r="E33" s="122" t="s">
        <v>323</v>
      </c>
      <c r="F33" s="124" t="s">
        <v>81</v>
      </c>
      <c r="G33" s="125" t="s">
        <v>81</v>
      </c>
      <c r="H33" s="125" t="s">
        <v>81</v>
      </c>
      <c r="I33" s="125" t="s">
        <v>81</v>
      </c>
      <c r="J33" s="125" t="s">
        <v>81</v>
      </c>
      <c r="K33" s="125" t="s">
        <v>81</v>
      </c>
    </row>
    <row r="34" spans="1:11" ht="15.75" x14ac:dyDescent="0.25">
      <c r="A34" s="117" t="s">
        <v>1150</v>
      </c>
      <c r="B34" s="117">
        <v>2</v>
      </c>
      <c r="C34" s="121" t="s">
        <v>326</v>
      </c>
      <c r="D34" s="122" t="s">
        <v>204</v>
      </c>
      <c r="E34" s="122" t="s">
        <v>327</v>
      </c>
      <c r="F34" s="124" t="s">
        <v>81</v>
      </c>
      <c r="G34" s="125" t="s">
        <v>81</v>
      </c>
      <c r="H34" s="125" t="s">
        <v>81</v>
      </c>
      <c r="I34" s="125" t="s">
        <v>81</v>
      </c>
      <c r="J34" s="125" t="s">
        <v>81</v>
      </c>
      <c r="K34" s="125" t="s">
        <v>81</v>
      </c>
    </row>
    <row r="35" spans="1:11" ht="15.75" x14ac:dyDescent="0.25">
      <c r="A35" s="117" t="s">
        <v>1150</v>
      </c>
      <c r="B35" s="117">
        <v>2</v>
      </c>
      <c r="C35" s="121" t="s">
        <v>326</v>
      </c>
      <c r="D35" s="122" t="s">
        <v>204</v>
      </c>
      <c r="E35" s="122" t="s">
        <v>327</v>
      </c>
      <c r="F35" s="124" t="s">
        <v>81</v>
      </c>
      <c r="G35" s="125" t="s">
        <v>81</v>
      </c>
      <c r="H35" s="125" t="s">
        <v>81</v>
      </c>
      <c r="I35" s="125" t="s">
        <v>81</v>
      </c>
      <c r="J35" s="125" t="s">
        <v>81</v>
      </c>
      <c r="K35" s="125" t="s">
        <v>81</v>
      </c>
    </row>
    <row r="36" spans="1:11" ht="15.75" x14ac:dyDescent="0.25">
      <c r="A36" s="117" t="s">
        <v>1150</v>
      </c>
      <c r="B36" s="117">
        <v>3</v>
      </c>
      <c r="C36" s="121" t="s">
        <v>1183</v>
      </c>
      <c r="D36" s="122" t="s">
        <v>204</v>
      </c>
      <c r="E36" s="122" t="s">
        <v>335</v>
      </c>
      <c r="F36" s="124" t="s">
        <v>81</v>
      </c>
      <c r="G36" s="125" t="s">
        <v>81</v>
      </c>
      <c r="H36" s="125" t="s">
        <v>81</v>
      </c>
      <c r="I36" s="125" t="s">
        <v>81</v>
      </c>
      <c r="J36" s="125" t="s">
        <v>81</v>
      </c>
      <c r="K36" s="125" t="s">
        <v>81</v>
      </c>
    </row>
    <row r="37" spans="1:11" ht="15.75" x14ac:dyDescent="0.25">
      <c r="A37" s="117" t="s">
        <v>1150</v>
      </c>
      <c r="B37" s="117">
        <v>3</v>
      </c>
      <c r="C37" s="121" t="s">
        <v>1183</v>
      </c>
      <c r="D37" s="122" t="s">
        <v>204</v>
      </c>
      <c r="E37" s="122" t="s">
        <v>335</v>
      </c>
      <c r="F37" s="124" t="s">
        <v>81</v>
      </c>
      <c r="G37" s="125" t="s">
        <v>81</v>
      </c>
      <c r="H37" s="125" t="s">
        <v>81</v>
      </c>
      <c r="I37" s="125" t="s">
        <v>81</v>
      </c>
      <c r="J37" s="125" t="s">
        <v>81</v>
      </c>
      <c r="K37" s="125" t="s">
        <v>81</v>
      </c>
    </row>
    <row r="38" spans="1:11" ht="15.75" x14ac:dyDescent="0.25">
      <c r="A38" s="117" t="s">
        <v>1150</v>
      </c>
      <c r="B38" s="117">
        <v>4</v>
      </c>
      <c r="C38" s="121" t="s">
        <v>338</v>
      </c>
      <c r="D38" s="122" t="s">
        <v>204</v>
      </c>
      <c r="E38" s="122" t="s">
        <v>339</v>
      </c>
      <c r="F38" s="124" t="s">
        <v>81</v>
      </c>
      <c r="G38" s="125" t="s">
        <v>81</v>
      </c>
      <c r="H38" s="125" t="s">
        <v>81</v>
      </c>
      <c r="I38" s="125" t="s">
        <v>81</v>
      </c>
      <c r="J38" s="125" t="s">
        <v>81</v>
      </c>
      <c r="K38" s="125" t="s">
        <v>81</v>
      </c>
    </row>
    <row r="39" spans="1:11" ht="15.75" x14ac:dyDescent="0.25">
      <c r="A39" s="117" t="s">
        <v>1150</v>
      </c>
      <c r="B39" s="117">
        <v>4</v>
      </c>
      <c r="C39" s="121" t="s">
        <v>338</v>
      </c>
      <c r="D39" s="122" t="s">
        <v>204</v>
      </c>
      <c r="E39" s="122" t="s">
        <v>339</v>
      </c>
      <c r="F39" s="124" t="s">
        <v>81</v>
      </c>
      <c r="G39" s="125" t="s">
        <v>81</v>
      </c>
      <c r="H39" s="125" t="s">
        <v>81</v>
      </c>
      <c r="I39" s="125" t="s">
        <v>81</v>
      </c>
      <c r="J39" s="125" t="s">
        <v>81</v>
      </c>
      <c r="K39" s="125" t="s">
        <v>81</v>
      </c>
    </row>
    <row r="40" spans="1:11" ht="15.75" x14ac:dyDescent="0.25">
      <c r="A40" s="117" t="s">
        <v>1150</v>
      </c>
      <c r="B40" s="117">
        <v>5</v>
      </c>
      <c r="C40" s="121" t="s">
        <v>369</v>
      </c>
      <c r="D40" s="122" t="s">
        <v>204</v>
      </c>
      <c r="E40" s="122" t="s">
        <v>370</v>
      </c>
      <c r="F40" s="124" t="s">
        <v>81</v>
      </c>
      <c r="G40" s="125" t="s">
        <v>81</v>
      </c>
      <c r="H40" s="125" t="s">
        <v>81</v>
      </c>
      <c r="I40" s="125" t="s">
        <v>81</v>
      </c>
      <c r="J40" s="125" t="s">
        <v>81</v>
      </c>
      <c r="K40" s="125" t="s">
        <v>81</v>
      </c>
    </row>
    <row r="41" spans="1:11" ht="15.75" x14ac:dyDescent="0.25">
      <c r="A41" s="117" t="s">
        <v>1151</v>
      </c>
      <c r="B41" s="117">
        <v>1</v>
      </c>
      <c r="C41" s="121" t="s">
        <v>373</v>
      </c>
      <c r="D41" s="122" t="s">
        <v>204</v>
      </c>
      <c r="E41" s="122" t="s">
        <v>374</v>
      </c>
      <c r="F41" s="124" t="s">
        <v>81</v>
      </c>
      <c r="G41" s="125" t="s">
        <v>81</v>
      </c>
      <c r="H41" s="125" t="s">
        <v>81</v>
      </c>
      <c r="I41" s="125" t="s">
        <v>81</v>
      </c>
      <c r="J41" s="125" t="s">
        <v>81</v>
      </c>
      <c r="K41" s="125" t="s">
        <v>81</v>
      </c>
    </row>
    <row r="42" spans="1:11" ht="15.75" x14ac:dyDescent="0.25">
      <c r="A42" s="117" t="s">
        <v>1151</v>
      </c>
      <c r="B42" s="117">
        <v>2</v>
      </c>
      <c r="C42" s="121" t="s">
        <v>377</v>
      </c>
      <c r="D42" s="122" t="s">
        <v>204</v>
      </c>
      <c r="E42" s="122" t="s">
        <v>378</v>
      </c>
      <c r="F42" s="124" t="s">
        <v>81</v>
      </c>
      <c r="G42" s="125" t="s">
        <v>81</v>
      </c>
      <c r="H42" s="125" t="s">
        <v>81</v>
      </c>
      <c r="I42" s="125" t="s">
        <v>81</v>
      </c>
      <c r="J42" s="125" t="s">
        <v>81</v>
      </c>
      <c r="K42" s="125" t="s">
        <v>81</v>
      </c>
    </row>
    <row r="43" spans="1:11" ht="15.75" x14ac:dyDescent="0.25">
      <c r="A43" s="117" t="s">
        <v>1151</v>
      </c>
      <c r="B43" s="117">
        <v>2</v>
      </c>
      <c r="C43" s="121" t="s">
        <v>377</v>
      </c>
      <c r="D43" s="122" t="s">
        <v>204</v>
      </c>
      <c r="E43" s="122" t="s">
        <v>378</v>
      </c>
      <c r="F43" s="124" t="s">
        <v>81</v>
      </c>
      <c r="G43" s="125" t="s">
        <v>81</v>
      </c>
      <c r="H43" s="125" t="s">
        <v>81</v>
      </c>
      <c r="I43" s="125" t="s">
        <v>81</v>
      </c>
      <c r="J43" s="125" t="s">
        <v>81</v>
      </c>
      <c r="K43" s="125" t="s">
        <v>81</v>
      </c>
    </row>
    <row r="44" spans="1:11" ht="15.75" x14ac:dyDescent="0.25">
      <c r="A44" s="117" t="s">
        <v>1151</v>
      </c>
      <c r="B44" s="117">
        <v>3</v>
      </c>
      <c r="C44" s="121" t="s">
        <v>385</v>
      </c>
      <c r="D44" s="122" t="s">
        <v>204</v>
      </c>
      <c r="E44" s="122" t="s">
        <v>386</v>
      </c>
      <c r="F44" s="124" t="s">
        <v>81</v>
      </c>
      <c r="G44" s="125" t="s">
        <v>81</v>
      </c>
      <c r="H44" s="125" t="s">
        <v>81</v>
      </c>
      <c r="I44" s="125" t="s">
        <v>81</v>
      </c>
      <c r="J44" s="125" t="s">
        <v>81</v>
      </c>
      <c r="K44" s="125" t="s">
        <v>81</v>
      </c>
    </row>
    <row r="45" spans="1:11" ht="15.75" x14ac:dyDescent="0.25">
      <c r="A45" s="117" t="s">
        <v>1151</v>
      </c>
      <c r="B45" s="117">
        <v>3</v>
      </c>
      <c r="C45" s="121" t="s">
        <v>385</v>
      </c>
      <c r="D45" s="122" t="s">
        <v>204</v>
      </c>
      <c r="E45" s="122" t="s">
        <v>386</v>
      </c>
      <c r="F45" s="124" t="s">
        <v>81</v>
      </c>
      <c r="G45" s="125" t="s">
        <v>81</v>
      </c>
      <c r="H45" s="125" t="s">
        <v>81</v>
      </c>
      <c r="I45" s="125" t="s">
        <v>81</v>
      </c>
      <c r="J45" s="125" t="s">
        <v>81</v>
      </c>
      <c r="K45" s="125" t="s">
        <v>81</v>
      </c>
    </row>
    <row r="46" spans="1:11" ht="15.75" x14ac:dyDescent="0.25">
      <c r="A46" s="117" t="s">
        <v>1151</v>
      </c>
      <c r="B46" s="117">
        <v>3</v>
      </c>
      <c r="C46" s="121" t="s">
        <v>385</v>
      </c>
      <c r="D46" s="122" t="s">
        <v>204</v>
      </c>
      <c r="E46" s="122" t="s">
        <v>386</v>
      </c>
      <c r="F46" s="124" t="s">
        <v>81</v>
      </c>
      <c r="G46" s="125" t="s">
        <v>81</v>
      </c>
      <c r="H46" s="125" t="s">
        <v>81</v>
      </c>
      <c r="I46" s="125" t="s">
        <v>81</v>
      </c>
      <c r="J46" s="125" t="s">
        <v>81</v>
      </c>
      <c r="K46" s="125" t="s">
        <v>81</v>
      </c>
    </row>
    <row r="47" spans="1:11" ht="15.75" x14ac:dyDescent="0.25">
      <c r="A47" s="117" t="s">
        <v>1151</v>
      </c>
      <c r="B47" s="117">
        <v>4</v>
      </c>
      <c r="C47" s="121" t="s">
        <v>391</v>
      </c>
      <c r="D47" s="122" t="s">
        <v>204</v>
      </c>
      <c r="E47" s="122" t="s">
        <v>392</v>
      </c>
      <c r="F47" s="124" t="s">
        <v>81</v>
      </c>
      <c r="G47" s="125" t="s">
        <v>81</v>
      </c>
      <c r="H47" s="125" t="s">
        <v>81</v>
      </c>
      <c r="I47" s="125" t="s">
        <v>81</v>
      </c>
      <c r="J47" s="125" t="s">
        <v>81</v>
      </c>
      <c r="K47" s="125" t="s">
        <v>81</v>
      </c>
    </row>
    <row r="48" spans="1:11" ht="15.75" x14ac:dyDescent="0.25">
      <c r="A48" s="117" t="s">
        <v>1151</v>
      </c>
      <c r="B48" s="117">
        <v>4</v>
      </c>
      <c r="C48" s="121" t="s">
        <v>391</v>
      </c>
      <c r="D48" s="122" t="s">
        <v>204</v>
      </c>
      <c r="E48" s="122" t="s">
        <v>392</v>
      </c>
      <c r="F48" s="124" t="s">
        <v>81</v>
      </c>
      <c r="G48" s="125" t="s">
        <v>81</v>
      </c>
      <c r="H48" s="125" t="s">
        <v>81</v>
      </c>
      <c r="I48" s="125" t="s">
        <v>81</v>
      </c>
      <c r="J48" s="125" t="s">
        <v>81</v>
      </c>
      <c r="K48" s="125" t="s">
        <v>81</v>
      </c>
    </row>
    <row r="49" spans="1:11" ht="15.75" x14ac:dyDescent="0.25">
      <c r="A49" s="117" t="s">
        <v>1151</v>
      </c>
      <c r="B49" s="117">
        <v>5</v>
      </c>
      <c r="C49" s="121" t="s">
        <v>478</v>
      </c>
      <c r="D49" s="122" t="s">
        <v>204</v>
      </c>
      <c r="E49" s="122" t="s">
        <v>479</v>
      </c>
      <c r="F49" s="124" t="s">
        <v>81</v>
      </c>
      <c r="G49" s="125" t="s">
        <v>81</v>
      </c>
      <c r="H49" s="125" t="s">
        <v>81</v>
      </c>
      <c r="I49" s="125" t="s">
        <v>81</v>
      </c>
      <c r="J49" s="125" t="s">
        <v>81</v>
      </c>
      <c r="K49" s="125" t="s">
        <v>81</v>
      </c>
    </row>
    <row r="50" spans="1:11" ht="15.75" x14ac:dyDescent="0.25">
      <c r="A50" s="117" t="s">
        <v>1152</v>
      </c>
      <c r="B50" s="117">
        <v>1</v>
      </c>
      <c r="C50" s="121" t="s">
        <v>563</v>
      </c>
      <c r="D50" s="122" t="s">
        <v>204</v>
      </c>
      <c r="E50" s="122" t="s">
        <v>564</v>
      </c>
      <c r="F50" s="124" t="s">
        <v>81</v>
      </c>
      <c r="G50" s="125" t="s">
        <v>81</v>
      </c>
      <c r="H50" s="125" t="s">
        <v>81</v>
      </c>
      <c r="I50" s="125" t="s">
        <v>81</v>
      </c>
      <c r="J50" s="125" t="s">
        <v>81</v>
      </c>
      <c r="K50" s="125" t="s">
        <v>81</v>
      </c>
    </row>
    <row r="51" spans="1:11" ht="15.75" x14ac:dyDescent="0.25">
      <c r="A51" s="117" t="s">
        <v>1152</v>
      </c>
      <c r="B51" s="117">
        <v>2</v>
      </c>
      <c r="C51" s="121" t="s">
        <v>395</v>
      </c>
      <c r="D51" s="122" t="s">
        <v>204</v>
      </c>
      <c r="E51" s="122" t="s">
        <v>396</v>
      </c>
      <c r="F51" s="124" t="s">
        <v>81</v>
      </c>
      <c r="G51" s="125" t="s">
        <v>81</v>
      </c>
      <c r="H51" s="125" t="s">
        <v>81</v>
      </c>
      <c r="I51" s="125" t="s">
        <v>81</v>
      </c>
      <c r="J51" s="125" t="s">
        <v>81</v>
      </c>
      <c r="K51" s="125" t="s">
        <v>81</v>
      </c>
    </row>
    <row r="52" spans="1:11" ht="15.75" x14ac:dyDescent="0.25">
      <c r="A52" s="117" t="s">
        <v>1152</v>
      </c>
      <c r="B52" s="117">
        <v>3</v>
      </c>
      <c r="C52" s="121" t="s">
        <v>463</v>
      </c>
      <c r="D52" s="122" t="s">
        <v>204</v>
      </c>
      <c r="E52" s="122" t="s">
        <v>464</v>
      </c>
      <c r="F52" s="124" t="s">
        <v>81</v>
      </c>
      <c r="G52" s="125" t="s">
        <v>81</v>
      </c>
      <c r="H52" s="125" t="s">
        <v>81</v>
      </c>
      <c r="I52" s="125" t="s">
        <v>81</v>
      </c>
      <c r="J52" s="125" t="s">
        <v>81</v>
      </c>
      <c r="K52" s="125" t="s">
        <v>81</v>
      </c>
    </row>
    <row r="53" spans="1:11" ht="15.75" x14ac:dyDescent="0.25">
      <c r="A53" s="117" t="s">
        <v>1152</v>
      </c>
      <c r="B53" s="117">
        <v>4</v>
      </c>
      <c r="C53" s="121" t="s">
        <v>503</v>
      </c>
      <c r="D53" s="122" t="s">
        <v>204</v>
      </c>
      <c r="E53" s="122" t="s">
        <v>504</v>
      </c>
      <c r="F53" s="124" t="s">
        <v>81</v>
      </c>
      <c r="G53" s="125" t="s">
        <v>81</v>
      </c>
      <c r="H53" s="125" t="s">
        <v>81</v>
      </c>
      <c r="I53" s="125" t="s">
        <v>81</v>
      </c>
      <c r="J53" s="125" t="s">
        <v>81</v>
      </c>
      <c r="K53" s="125" t="s">
        <v>81</v>
      </c>
    </row>
    <row r="54" spans="1:11" ht="15.75" x14ac:dyDescent="0.25">
      <c r="A54" s="117" t="s">
        <v>1152</v>
      </c>
      <c r="B54" s="117">
        <v>5</v>
      </c>
      <c r="C54" s="121" t="s">
        <v>507</v>
      </c>
      <c r="D54" s="122" t="s">
        <v>204</v>
      </c>
      <c r="E54" s="122" t="s">
        <v>508</v>
      </c>
      <c r="F54" s="124" t="s">
        <v>81</v>
      </c>
      <c r="G54" s="125" t="s">
        <v>81</v>
      </c>
      <c r="H54" s="125" t="s">
        <v>81</v>
      </c>
      <c r="I54" s="125" t="s">
        <v>81</v>
      </c>
      <c r="J54" s="125" t="s">
        <v>81</v>
      </c>
      <c r="K54" s="125" t="s">
        <v>81</v>
      </c>
    </row>
    <row r="55" spans="1:11" ht="15.75" x14ac:dyDescent="0.25">
      <c r="A55" s="117" t="s">
        <v>1152</v>
      </c>
      <c r="B55" s="117">
        <v>5</v>
      </c>
      <c r="C55" s="121" t="s">
        <v>507</v>
      </c>
      <c r="D55" s="122" t="s">
        <v>204</v>
      </c>
      <c r="E55" s="122" t="s">
        <v>508</v>
      </c>
      <c r="F55" s="124" t="s">
        <v>81</v>
      </c>
      <c r="G55" s="125" t="s">
        <v>81</v>
      </c>
      <c r="H55" s="125" t="s">
        <v>81</v>
      </c>
      <c r="I55" s="125" t="s">
        <v>81</v>
      </c>
      <c r="J55" s="125" t="s">
        <v>81</v>
      </c>
      <c r="K55" s="125" t="s">
        <v>81</v>
      </c>
    </row>
    <row r="56" spans="1:11" ht="15.75" x14ac:dyDescent="0.25">
      <c r="A56" s="117" t="s">
        <v>1153</v>
      </c>
      <c r="B56" s="117">
        <v>1</v>
      </c>
      <c r="C56" s="121" t="s">
        <v>512</v>
      </c>
      <c r="D56" s="122" t="s">
        <v>204</v>
      </c>
      <c r="E56" s="122" t="s">
        <v>513</v>
      </c>
      <c r="F56" s="124" t="s">
        <v>81</v>
      </c>
      <c r="G56" s="125" t="s">
        <v>81</v>
      </c>
      <c r="H56" s="125" t="s">
        <v>81</v>
      </c>
      <c r="I56" s="125" t="s">
        <v>81</v>
      </c>
      <c r="J56" s="125" t="s">
        <v>81</v>
      </c>
      <c r="K56" s="125" t="s">
        <v>81</v>
      </c>
    </row>
    <row r="57" spans="1:11" ht="15.75" x14ac:dyDescent="0.25">
      <c r="A57" s="117" t="s">
        <v>1153</v>
      </c>
      <c r="B57" s="117">
        <v>1</v>
      </c>
      <c r="C57" s="121" t="s">
        <v>512</v>
      </c>
      <c r="D57" s="122" t="s">
        <v>204</v>
      </c>
      <c r="E57" s="122" t="s">
        <v>513</v>
      </c>
      <c r="F57" s="124" t="s">
        <v>81</v>
      </c>
      <c r="G57" s="125" t="s">
        <v>81</v>
      </c>
      <c r="H57" s="125" t="s">
        <v>81</v>
      </c>
      <c r="I57" s="125" t="s">
        <v>81</v>
      </c>
      <c r="J57" s="125" t="s">
        <v>81</v>
      </c>
      <c r="K57" s="125" t="s">
        <v>81</v>
      </c>
    </row>
    <row r="58" spans="1:11" ht="15.75" x14ac:dyDescent="0.25">
      <c r="A58" s="117" t="s">
        <v>1153</v>
      </c>
      <c r="B58" s="117">
        <v>2</v>
      </c>
      <c r="C58" s="121" t="s">
        <v>516</v>
      </c>
      <c r="D58" s="122" t="s">
        <v>204</v>
      </c>
      <c r="E58" s="122" t="s">
        <v>517</v>
      </c>
      <c r="F58" s="124" t="s">
        <v>81</v>
      </c>
      <c r="G58" s="125" t="s">
        <v>81</v>
      </c>
      <c r="H58" s="125" t="s">
        <v>81</v>
      </c>
      <c r="I58" s="125" t="s">
        <v>81</v>
      </c>
      <c r="J58" s="125" t="s">
        <v>81</v>
      </c>
      <c r="K58" s="125" t="s">
        <v>81</v>
      </c>
    </row>
    <row r="59" spans="1:11" ht="15.75" x14ac:dyDescent="0.25">
      <c r="A59" s="117" t="s">
        <v>1153</v>
      </c>
      <c r="B59" s="117">
        <v>3</v>
      </c>
      <c r="C59" s="121" t="s">
        <v>447</v>
      </c>
      <c r="D59" s="122" t="s">
        <v>204</v>
      </c>
      <c r="E59" s="122" t="s">
        <v>448</v>
      </c>
      <c r="F59" s="124" t="s">
        <v>81</v>
      </c>
      <c r="G59" s="125" t="s">
        <v>81</v>
      </c>
      <c r="H59" s="125" t="s">
        <v>81</v>
      </c>
      <c r="I59" s="125" t="s">
        <v>81</v>
      </c>
      <c r="J59" s="125" t="s">
        <v>81</v>
      </c>
      <c r="K59" s="125" t="s">
        <v>81</v>
      </c>
    </row>
    <row r="60" spans="1:11" ht="15.75" x14ac:dyDescent="0.25">
      <c r="A60" s="117" t="s">
        <v>1153</v>
      </c>
      <c r="B60" s="117">
        <v>4</v>
      </c>
      <c r="C60" s="121" t="s">
        <v>459</v>
      </c>
      <c r="D60" s="122" t="s">
        <v>204</v>
      </c>
      <c r="E60" s="122" t="s">
        <v>460</v>
      </c>
      <c r="F60" s="124" t="s">
        <v>81</v>
      </c>
      <c r="G60" s="125" t="s">
        <v>81</v>
      </c>
      <c r="H60" s="125" t="s">
        <v>81</v>
      </c>
      <c r="I60" s="125" t="s">
        <v>81</v>
      </c>
      <c r="J60" s="125" t="s">
        <v>81</v>
      </c>
      <c r="K60" s="125" t="s">
        <v>81</v>
      </c>
    </row>
    <row r="61" spans="1:11" ht="15.75" x14ac:dyDescent="0.25">
      <c r="A61" s="117" t="s">
        <v>1153</v>
      </c>
      <c r="B61" s="117">
        <v>4</v>
      </c>
      <c r="C61" s="121" t="s">
        <v>459</v>
      </c>
      <c r="D61" s="122" t="s">
        <v>204</v>
      </c>
      <c r="E61" s="122" t="s">
        <v>460</v>
      </c>
      <c r="F61" s="124" t="s">
        <v>81</v>
      </c>
      <c r="G61" s="125" t="s">
        <v>81</v>
      </c>
      <c r="H61" s="125" t="s">
        <v>81</v>
      </c>
      <c r="I61" s="125" t="s">
        <v>81</v>
      </c>
      <c r="J61" s="125" t="s">
        <v>81</v>
      </c>
      <c r="K61" s="125" t="s">
        <v>81</v>
      </c>
    </row>
    <row r="62" spans="1:11" ht="15.75" x14ac:dyDescent="0.25">
      <c r="A62" s="117" t="s">
        <v>1153</v>
      </c>
      <c r="B62" s="117">
        <v>5</v>
      </c>
      <c r="C62" s="121" t="s">
        <v>501</v>
      </c>
      <c r="D62" s="122" t="s">
        <v>204</v>
      </c>
      <c r="E62" s="122" t="s">
        <v>284</v>
      </c>
      <c r="F62" s="124" t="s">
        <v>81</v>
      </c>
      <c r="G62" s="125" t="s">
        <v>81</v>
      </c>
      <c r="H62" s="125" t="s">
        <v>81</v>
      </c>
      <c r="I62" s="125" t="s">
        <v>81</v>
      </c>
      <c r="J62" s="125" t="s">
        <v>81</v>
      </c>
      <c r="K62" s="125" t="s">
        <v>81</v>
      </c>
    </row>
    <row r="63" spans="1:11" ht="15.75" x14ac:dyDescent="0.25">
      <c r="A63" s="117" t="s">
        <v>1154</v>
      </c>
      <c r="B63" s="117">
        <v>1</v>
      </c>
      <c r="C63" s="121" t="s">
        <v>557</v>
      </c>
      <c r="D63" s="122" t="s">
        <v>558</v>
      </c>
      <c r="E63" s="122" t="s">
        <v>559</v>
      </c>
      <c r="F63" s="124" t="s">
        <v>81</v>
      </c>
      <c r="G63" s="125" t="s">
        <v>81</v>
      </c>
      <c r="H63" s="125" t="s">
        <v>81</v>
      </c>
      <c r="I63" s="125" t="s">
        <v>81</v>
      </c>
      <c r="J63" s="125" t="s">
        <v>81</v>
      </c>
      <c r="K63" s="125" t="s">
        <v>81</v>
      </c>
    </row>
    <row r="64" spans="1:11" ht="15.75" x14ac:dyDescent="0.25">
      <c r="A64" s="117" t="s">
        <v>1154</v>
      </c>
      <c r="B64" s="117">
        <v>2</v>
      </c>
      <c r="C64" s="121" t="s">
        <v>203</v>
      </c>
      <c r="D64" s="122" t="s">
        <v>204</v>
      </c>
      <c r="E64" s="122" t="s">
        <v>201</v>
      </c>
      <c r="F64" s="124" t="s">
        <v>81</v>
      </c>
      <c r="G64" s="125" t="s">
        <v>81</v>
      </c>
      <c r="H64" s="125" t="s">
        <v>81</v>
      </c>
      <c r="I64" s="125" t="s">
        <v>81</v>
      </c>
      <c r="J64" s="125" t="s">
        <v>81</v>
      </c>
      <c r="K64" s="125" t="s">
        <v>81</v>
      </c>
    </row>
    <row r="65" spans="1:11" ht="15.75" x14ac:dyDescent="0.25">
      <c r="A65" s="117" t="s">
        <v>1154</v>
      </c>
      <c r="B65" s="117">
        <v>3</v>
      </c>
      <c r="C65" s="121" t="s">
        <v>580</v>
      </c>
      <c r="D65" s="122" t="s">
        <v>204</v>
      </c>
      <c r="E65" s="122" t="s">
        <v>581</v>
      </c>
      <c r="F65" s="124" t="s">
        <v>81</v>
      </c>
      <c r="G65" s="125" t="s">
        <v>81</v>
      </c>
      <c r="H65" s="125" t="s">
        <v>81</v>
      </c>
      <c r="I65" s="125" t="s">
        <v>81</v>
      </c>
      <c r="J65" s="125" t="s">
        <v>81</v>
      </c>
      <c r="K65" s="125" t="s">
        <v>81</v>
      </c>
    </row>
    <row r="66" spans="1:11" ht="15.75" x14ac:dyDescent="0.25">
      <c r="A66" s="117" t="s">
        <v>1154</v>
      </c>
      <c r="B66" s="117">
        <v>3</v>
      </c>
      <c r="C66" s="121" t="s">
        <v>580</v>
      </c>
      <c r="D66" s="122" t="s">
        <v>204</v>
      </c>
      <c r="E66" s="122" t="s">
        <v>581</v>
      </c>
      <c r="F66" s="124" t="s">
        <v>81</v>
      </c>
      <c r="G66" s="125" t="s">
        <v>81</v>
      </c>
      <c r="H66" s="125" t="s">
        <v>81</v>
      </c>
      <c r="I66" s="125" t="s">
        <v>81</v>
      </c>
      <c r="J66" s="125" t="s">
        <v>81</v>
      </c>
      <c r="K66" s="125" t="s">
        <v>81</v>
      </c>
    </row>
    <row r="67" spans="1:11" ht="15.75" x14ac:dyDescent="0.25">
      <c r="A67" s="117" t="s">
        <v>1154</v>
      </c>
      <c r="B67" s="117">
        <v>4</v>
      </c>
      <c r="C67" s="121" t="s">
        <v>1215</v>
      </c>
      <c r="D67" s="122" t="s">
        <v>204</v>
      </c>
      <c r="E67" s="122" t="s">
        <v>403</v>
      </c>
      <c r="F67" s="124" t="s">
        <v>81</v>
      </c>
      <c r="G67" s="125" t="s">
        <v>81</v>
      </c>
      <c r="H67" s="125" t="s">
        <v>81</v>
      </c>
      <c r="I67" s="125" t="s">
        <v>81</v>
      </c>
      <c r="J67" s="125" t="s">
        <v>81</v>
      </c>
      <c r="K67" s="125" t="s">
        <v>81</v>
      </c>
    </row>
    <row r="68" spans="1:11" ht="15.75" x14ac:dyDescent="0.25">
      <c r="A68" s="117" t="s">
        <v>1154</v>
      </c>
      <c r="B68" s="117">
        <v>5</v>
      </c>
      <c r="C68" s="121" t="s">
        <v>1187</v>
      </c>
      <c r="D68" s="122" t="s">
        <v>204</v>
      </c>
      <c r="E68" s="122" t="s">
        <v>407</v>
      </c>
      <c r="F68" s="124" t="s">
        <v>81</v>
      </c>
      <c r="G68" s="125" t="s">
        <v>81</v>
      </c>
      <c r="H68" s="125" t="s">
        <v>81</v>
      </c>
      <c r="I68" s="125" t="s">
        <v>81</v>
      </c>
      <c r="J68" s="125" t="s">
        <v>81</v>
      </c>
      <c r="K68" s="125" t="s">
        <v>81</v>
      </c>
    </row>
    <row r="69" spans="1:11" ht="15.75" x14ac:dyDescent="0.25">
      <c r="A69" s="117" t="s">
        <v>1155</v>
      </c>
      <c r="B69" s="117">
        <v>1</v>
      </c>
      <c r="C69" s="121" t="s">
        <v>1220</v>
      </c>
      <c r="D69" s="122" t="s">
        <v>204</v>
      </c>
      <c r="E69" s="122" t="s">
        <v>413</v>
      </c>
      <c r="F69" s="124" t="s">
        <v>81</v>
      </c>
      <c r="G69" s="125" t="s">
        <v>81</v>
      </c>
      <c r="H69" s="125" t="s">
        <v>81</v>
      </c>
      <c r="I69" s="125" t="s">
        <v>81</v>
      </c>
      <c r="J69" s="125" t="s">
        <v>81</v>
      </c>
      <c r="K69" s="125" t="s">
        <v>81</v>
      </c>
    </row>
    <row r="70" spans="1:11" ht="15.75" x14ac:dyDescent="0.25">
      <c r="A70" s="117" t="s">
        <v>1155</v>
      </c>
      <c r="B70" s="117">
        <v>2</v>
      </c>
      <c r="C70" s="121" t="s">
        <v>1219</v>
      </c>
      <c r="D70" s="122" t="s">
        <v>204</v>
      </c>
      <c r="E70" s="122" t="s">
        <v>416</v>
      </c>
      <c r="F70" s="124" t="s">
        <v>81</v>
      </c>
      <c r="G70" s="125" t="s">
        <v>81</v>
      </c>
      <c r="H70" s="125" t="s">
        <v>81</v>
      </c>
      <c r="I70" s="125" t="s">
        <v>81</v>
      </c>
      <c r="J70" s="125" t="s">
        <v>81</v>
      </c>
      <c r="K70" s="125" t="s">
        <v>81</v>
      </c>
    </row>
    <row r="71" spans="1:11" ht="15.75" x14ac:dyDescent="0.25">
      <c r="A71" s="117" t="s">
        <v>1155</v>
      </c>
      <c r="B71" s="117">
        <v>3</v>
      </c>
      <c r="C71" s="121" t="s">
        <v>567</v>
      </c>
      <c r="D71" s="122" t="s">
        <v>204</v>
      </c>
      <c r="E71" s="122" t="s">
        <v>533</v>
      </c>
      <c r="F71" s="124" t="s">
        <v>81</v>
      </c>
      <c r="G71" s="125" t="s">
        <v>81</v>
      </c>
      <c r="H71" s="125" t="s">
        <v>81</v>
      </c>
      <c r="I71" s="125" t="s">
        <v>81</v>
      </c>
      <c r="J71" s="125" t="s">
        <v>81</v>
      </c>
      <c r="K71" s="125" t="s">
        <v>81</v>
      </c>
    </row>
    <row r="72" spans="1:11" ht="15.75" x14ac:dyDescent="0.25">
      <c r="A72" s="117" t="s">
        <v>1155</v>
      </c>
      <c r="B72" s="117">
        <v>4</v>
      </c>
      <c r="C72" s="121" t="s">
        <v>569</v>
      </c>
      <c r="D72" s="122" t="s">
        <v>204</v>
      </c>
      <c r="E72" s="122" t="s">
        <v>570</v>
      </c>
      <c r="F72" s="124" t="s">
        <v>81</v>
      </c>
      <c r="G72" s="125" t="s">
        <v>81</v>
      </c>
      <c r="H72" s="125" t="s">
        <v>81</v>
      </c>
      <c r="I72" s="125" t="s">
        <v>81</v>
      </c>
      <c r="J72" s="125" t="s">
        <v>81</v>
      </c>
      <c r="K72" s="125" t="s">
        <v>81</v>
      </c>
    </row>
    <row r="73" spans="1:11" ht="15.75" x14ac:dyDescent="0.25">
      <c r="A73" s="117" t="s">
        <v>1155</v>
      </c>
      <c r="B73" s="117">
        <v>5</v>
      </c>
      <c r="C73" s="121" t="s">
        <v>573</v>
      </c>
      <c r="D73" s="122" t="s">
        <v>204</v>
      </c>
      <c r="E73" s="122" t="s">
        <v>574</v>
      </c>
      <c r="F73" s="124" t="s">
        <v>81</v>
      </c>
      <c r="G73" s="125" t="s">
        <v>81</v>
      </c>
      <c r="H73" s="125" t="s">
        <v>81</v>
      </c>
      <c r="I73" s="125" t="s">
        <v>81</v>
      </c>
      <c r="J73" s="125" t="s">
        <v>81</v>
      </c>
      <c r="K73" s="125" t="s">
        <v>81</v>
      </c>
    </row>
    <row r="74" spans="1:11" ht="15.75" x14ac:dyDescent="0.25">
      <c r="A74" s="117" t="s">
        <v>1156</v>
      </c>
      <c r="B74" s="117">
        <v>1</v>
      </c>
      <c r="C74" s="121" t="s">
        <v>455</v>
      </c>
      <c r="D74" s="122" t="s">
        <v>204</v>
      </c>
      <c r="E74" s="122" t="s">
        <v>456</v>
      </c>
      <c r="F74" s="124" t="s">
        <v>81</v>
      </c>
      <c r="G74" s="125" t="s">
        <v>81</v>
      </c>
      <c r="H74" s="125" t="s">
        <v>81</v>
      </c>
      <c r="I74" s="125" t="s">
        <v>81</v>
      </c>
      <c r="J74" s="125" t="s">
        <v>81</v>
      </c>
      <c r="K74" s="125" t="s">
        <v>81</v>
      </c>
    </row>
    <row r="75" spans="1:11" ht="15.75" x14ac:dyDescent="0.25">
      <c r="A75" s="117" t="s">
        <v>1156</v>
      </c>
      <c r="B75" s="117">
        <v>2</v>
      </c>
      <c r="C75" s="121" t="s">
        <v>576</v>
      </c>
      <c r="D75" s="122" t="s">
        <v>204</v>
      </c>
      <c r="E75" s="122" t="s">
        <v>577</v>
      </c>
      <c r="F75" s="124" t="s">
        <v>81</v>
      </c>
      <c r="G75" s="125" t="s">
        <v>81</v>
      </c>
      <c r="H75" s="125" t="s">
        <v>81</v>
      </c>
      <c r="I75" s="125" t="s">
        <v>81</v>
      </c>
      <c r="J75" s="125" t="s">
        <v>81</v>
      </c>
      <c r="K75" s="125" t="s">
        <v>81</v>
      </c>
    </row>
    <row r="76" spans="1:11" ht="15.75" x14ac:dyDescent="0.25">
      <c r="A76" s="117" t="s">
        <v>1156</v>
      </c>
      <c r="B76" s="117">
        <v>3</v>
      </c>
      <c r="C76" s="121" t="s">
        <v>979</v>
      </c>
      <c r="D76" s="122" t="s">
        <v>204</v>
      </c>
      <c r="E76" s="122" t="s">
        <v>980</v>
      </c>
      <c r="F76" s="124" t="s">
        <v>81</v>
      </c>
      <c r="G76" s="125" t="s">
        <v>81</v>
      </c>
      <c r="H76" s="125" t="s">
        <v>81</v>
      </c>
      <c r="I76" s="125" t="s">
        <v>81</v>
      </c>
      <c r="J76" s="125" t="s">
        <v>81</v>
      </c>
      <c r="K76" s="125" t="s">
        <v>81</v>
      </c>
    </row>
    <row r="77" spans="1:11" ht="15.75" x14ac:dyDescent="0.25">
      <c r="A77" s="117" t="s">
        <v>1156</v>
      </c>
      <c r="B77" s="117">
        <v>4</v>
      </c>
      <c r="C77" s="121" t="s">
        <v>975</v>
      </c>
      <c r="D77" s="122" t="s">
        <v>204</v>
      </c>
      <c r="E77" s="122" t="s">
        <v>976</v>
      </c>
      <c r="F77" s="124" t="s">
        <v>81</v>
      </c>
      <c r="G77" s="125" t="s">
        <v>81</v>
      </c>
      <c r="H77" s="125" t="s">
        <v>81</v>
      </c>
      <c r="I77" s="125" t="s">
        <v>81</v>
      </c>
      <c r="J77" s="125" t="s">
        <v>81</v>
      </c>
      <c r="K77" s="125" t="s">
        <v>81</v>
      </c>
    </row>
    <row r="78" spans="1:11" ht="15.75" x14ac:dyDescent="0.25">
      <c r="A78" s="117" t="s">
        <v>1156</v>
      </c>
      <c r="B78" s="117">
        <v>5</v>
      </c>
      <c r="C78" s="121" t="s">
        <v>962</v>
      </c>
      <c r="D78" s="122" t="s">
        <v>204</v>
      </c>
      <c r="E78" s="122" t="s">
        <v>484</v>
      </c>
      <c r="F78" s="124" t="s">
        <v>81</v>
      </c>
      <c r="G78" s="125" t="s">
        <v>81</v>
      </c>
      <c r="H78" s="125" t="s">
        <v>81</v>
      </c>
      <c r="I78" s="125" t="s">
        <v>81</v>
      </c>
      <c r="J78" s="125" t="s">
        <v>81</v>
      </c>
      <c r="K78" s="125" t="s">
        <v>81</v>
      </c>
    </row>
    <row r="79" spans="1:11" ht="15.75" x14ac:dyDescent="0.25">
      <c r="A79" s="117" t="s">
        <v>1157</v>
      </c>
      <c r="B79" s="117">
        <v>1</v>
      </c>
      <c r="C79" s="121" t="s">
        <v>948</v>
      </c>
      <c r="D79" s="122" t="s">
        <v>204</v>
      </c>
      <c r="E79" s="122" t="s">
        <v>949</v>
      </c>
      <c r="F79" s="124" t="s">
        <v>81</v>
      </c>
      <c r="G79" s="125" t="s">
        <v>81</v>
      </c>
      <c r="H79" s="125" t="s">
        <v>81</v>
      </c>
      <c r="I79" s="125" t="s">
        <v>81</v>
      </c>
      <c r="J79" s="125" t="s">
        <v>81</v>
      </c>
      <c r="K79" s="125" t="s">
        <v>81</v>
      </c>
    </row>
    <row r="80" spans="1:11" ht="15.75" x14ac:dyDescent="0.25">
      <c r="A80" s="117" t="s">
        <v>1157</v>
      </c>
      <c r="B80" s="117">
        <v>2</v>
      </c>
      <c r="C80" s="121" t="s">
        <v>951</v>
      </c>
      <c r="D80" s="122" t="s">
        <v>204</v>
      </c>
      <c r="E80" s="122" t="s">
        <v>952</v>
      </c>
      <c r="F80" s="124" t="s">
        <v>81</v>
      </c>
      <c r="G80" s="125" t="s">
        <v>81</v>
      </c>
      <c r="H80" s="125" t="s">
        <v>81</v>
      </c>
      <c r="I80" s="125" t="s">
        <v>81</v>
      </c>
      <c r="J80" s="125" t="s">
        <v>81</v>
      </c>
      <c r="K80" s="125" t="s">
        <v>81</v>
      </c>
    </row>
    <row r="81" spans="1:11" ht="15.75" x14ac:dyDescent="0.25">
      <c r="A81" s="117" t="s">
        <v>1157</v>
      </c>
      <c r="B81" s="117">
        <v>3</v>
      </c>
      <c r="C81" s="121" t="s">
        <v>953</v>
      </c>
      <c r="D81" s="122" t="s">
        <v>204</v>
      </c>
      <c r="E81" s="122" t="s">
        <v>954</v>
      </c>
      <c r="F81" s="124" t="s">
        <v>81</v>
      </c>
      <c r="G81" s="125" t="s">
        <v>81</v>
      </c>
      <c r="H81" s="125" t="s">
        <v>81</v>
      </c>
      <c r="I81" s="125" t="s">
        <v>81</v>
      </c>
      <c r="J81" s="125" t="s">
        <v>81</v>
      </c>
      <c r="K81" s="125" t="s">
        <v>81</v>
      </c>
    </row>
    <row r="82" spans="1:11" ht="15.75" x14ac:dyDescent="0.25">
      <c r="A82" s="117" t="s">
        <v>1157</v>
      </c>
      <c r="B82" s="117">
        <v>4</v>
      </c>
      <c r="C82" s="121" t="s">
        <v>955</v>
      </c>
      <c r="D82" s="122" t="s">
        <v>204</v>
      </c>
      <c r="E82" s="122" t="s">
        <v>956</v>
      </c>
      <c r="F82" s="124" t="s">
        <v>81</v>
      </c>
      <c r="G82" s="125" t="s">
        <v>81</v>
      </c>
      <c r="H82" s="125" t="s">
        <v>81</v>
      </c>
      <c r="I82" s="125" t="s">
        <v>81</v>
      </c>
      <c r="J82" s="125" t="s">
        <v>81</v>
      </c>
      <c r="K82" s="125" t="s">
        <v>81</v>
      </c>
    </row>
    <row r="83" spans="1:11" ht="15.75" x14ac:dyDescent="0.25">
      <c r="A83" s="117" t="s">
        <v>1157</v>
      </c>
      <c r="B83" s="117">
        <v>5</v>
      </c>
      <c r="C83" s="121" t="s">
        <v>965</v>
      </c>
      <c r="D83" s="122" t="s">
        <v>204</v>
      </c>
      <c r="E83" s="122" t="s">
        <v>966</v>
      </c>
      <c r="F83" s="124" t="s">
        <v>81</v>
      </c>
      <c r="G83" s="125" t="s">
        <v>81</v>
      </c>
      <c r="H83" s="125" t="s">
        <v>81</v>
      </c>
      <c r="I83" s="125" t="s">
        <v>81</v>
      </c>
      <c r="J83" s="125" t="s">
        <v>81</v>
      </c>
      <c r="K83" s="125" t="s">
        <v>81</v>
      </c>
    </row>
    <row r="84" spans="1:11" ht="15.75" x14ac:dyDescent="0.25">
      <c r="A84" s="117" t="s">
        <v>1158</v>
      </c>
      <c r="B84" s="117">
        <v>1</v>
      </c>
      <c r="C84" s="121" t="s">
        <v>990</v>
      </c>
      <c r="D84" s="122" t="s">
        <v>204</v>
      </c>
      <c r="E84" s="122" t="s">
        <v>991</v>
      </c>
      <c r="F84" s="124" t="s">
        <v>81</v>
      </c>
      <c r="G84" s="125" t="s">
        <v>81</v>
      </c>
      <c r="H84" s="125" t="s">
        <v>81</v>
      </c>
      <c r="I84" s="125" t="s">
        <v>81</v>
      </c>
      <c r="J84" s="125" t="s">
        <v>81</v>
      </c>
      <c r="K84" s="125" t="s">
        <v>81</v>
      </c>
    </row>
    <row r="85" spans="1:11" ht="15.75" x14ac:dyDescent="0.25">
      <c r="A85" s="117" t="s">
        <v>1158</v>
      </c>
      <c r="B85" s="117">
        <v>2</v>
      </c>
      <c r="C85" s="121" t="s">
        <v>987</v>
      </c>
      <c r="D85" s="122" t="s">
        <v>204</v>
      </c>
      <c r="E85" s="122" t="s">
        <v>988</v>
      </c>
      <c r="F85" s="124" t="s">
        <v>81</v>
      </c>
      <c r="G85" s="125" t="s">
        <v>81</v>
      </c>
      <c r="H85" s="125" t="s">
        <v>81</v>
      </c>
      <c r="I85" s="125" t="s">
        <v>81</v>
      </c>
      <c r="J85" s="125" t="s">
        <v>81</v>
      </c>
      <c r="K85" s="125" t="s">
        <v>81</v>
      </c>
    </row>
    <row r="86" spans="1:11" ht="15.75" x14ac:dyDescent="0.25">
      <c r="A86" s="117" t="s">
        <v>1158</v>
      </c>
      <c r="B86" s="117">
        <v>2</v>
      </c>
      <c r="C86" s="121" t="s">
        <v>987</v>
      </c>
      <c r="D86" s="122" t="s">
        <v>204</v>
      </c>
      <c r="E86" s="122" t="s">
        <v>988</v>
      </c>
      <c r="F86" s="124" t="s">
        <v>81</v>
      </c>
      <c r="G86" s="125" t="s">
        <v>81</v>
      </c>
      <c r="H86" s="125" t="s">
        <v>81</v>
      </c>
      <c r="I86" s="125" t="s">
        <v>81</v>
      </c>
      <c r="J86" s="125" t="s">
        <v>81</v>
      </c>
      <c r="K86" s="125" t="s">
        <v>81</v>
      </c>
    </row>
    <row r="87" spans="1:11" ht="31.5" x14ac:dyDescent="0.25">
      <c r="A87" s="117" t="s">
        <v>1158</v>
      </c>
      <c r="B87" s="117">
        <v>3</v>
      </c>
      <c r="C87" s="121" t="s">
        <v>1025</v>
      </c>
      <c r="D87" s="122" t="s">
        <v>204</v>
      </c>
      <c r="E87" s="122" t="s">
        <v>1026</v>
      </c>
      <c r="F87" s="124" t="s">
        <v>81</v>
      </c>
      <c r="G87" s="125" t="s">
        <v>81</v>
      </c>
      <c r="H87" s="125" t="s">
        <v>81</v>
      </c>
      <c r="I87" s="125" t="s">
        <v>81</v>
      </c>
      <c r="J87" s="125" t="s">
        <v>81</v>
      </c>
      <c r="K87" s="125" t="s">
        <v>81</v>
      </c>
    </row>
    <row r="88" spans="1:11" ht="15.75" x14ac:dyDescent="0.25">
      <c r="A88" s="117" t="s">
        <v>1158</v>
      </c>
      <c r="B88" s="117">
        <v>4</v>
      </c>
      <c r="C88" s="121" t="s">
        <v>1044</v>
      </c>
      <c r="D88" s="122" t="s">
        <v>204</v>
      </c>
      <c r="E88" s="122" t="s">
        <v>1045</v>
      </c>
      <c r="F88" s="124" t="s">
        <v>81</v>
      </c>
      <c r="G88" s="125" t="s">
        <v>81</v>
      </c>
      <c r="H88" s="125" t="s">
        <v>81</v>
      </c>
      <c r="I88" s="125" t="s">
        <v>81</v>
      </c>
      <c r="J88" s="125" t="s">
        <v>81</v>
      </c>
      <c r="K88" s="125" t="s">
        <v>81</v>
      </c>
    </row>
    <row r="89" spans="1:11" ht="15.75" x14ac:dyDescent="0.25">
      <c r="A89" s="117" t="s">
        <v>1158</v>
      </c>
      <c r="B89" s="117">
        <v>5</v>
      </c>
      <c r="C89" s="121" t="s">
        <v>1060</v>
      </c>
      <c r="D89" s="122" t="s">
        <v>204</v>
      </c>
      <c r="E89" s="122" t="s">
        <v>1061</v>
      </c>
      <c r="F89" s="124" t="s">
        <v>81</v>
      </c>
      <c r="G89" s="125" t="s">
        <v>81</v>
      </c>
      <c r="H89" s="125" t="s">
        <v>81</v>
      </c>
      <c r="I89" s="125" t="s">
        <v>81</v>
      </c>
      <c r="J89" s="125" t="s">
        <v>81</v>
      </c>
      <c r="K89" s="125" t="s">
        <v>81</v>
      </c>
    </row>
    <row r="90" spans="1:11" ht="15.75" x14ac:dyDescent="0.25">
      <c r="A90" s="117" t="s">
        <v>1158</v>
      </c>
      <c r="B90" s="117">
        <v>6</v>
      </c>
      <c r="C90" s="121" t="s">
        <v>1056</v>
      </c>
      <c r="D90" s="122" t="s">
        <v>204</v>
      </c>
      <c r="E90" s="122" t="s">
        <v>1057</v>
      </c>
      <c r="F90" s="124" t="s">
        <v>81</v>
      </c>
      <c r="G90" s="125" t="s">
        <v>81</v>
      </c>
      <c r="H90" s="125" t="s">
        <v>81</v>
      </c>
      <c r="I90" s="125" t="s">
        <v>81</v>
      </c>
      <c r="J90" s="125" t="s">
        <v>81</v>
      </c>
      <c r="K90" s="125" t="s">
        <v>81</v>
      </c>
    </row>
    <row r="91" spans="1:11" ht="15.75" x14ac:dyDescent="0.25">
      <c r="A91" s="117" t="s">
        <v>1158</v>
      </c>
      <c r="B91" s="117">
        <v>7</v>
      </c>
      <c r="C91" s="121" t="s">
        <v>1114</v>
      </c>
      <c r="D91" s="122" t="s">
        <v>204</v>
      </c>
      <c r="E91" s="122" t="s">
        <v>1115</v>
      </c>
      <c r="F91" s="124" t="s">
        <v>81</v>
      </c>
      <c r="G91" s="125" t="s">
        <v>81</v>
      </c>
      <c r="H91" s="125" t="s">
        <v>81</v>
      </c>
      <c r="I91" s="125" t="s">
        <v>81</v>
      </c>
      <c r="J91" s="125" t="s">
        <v>81</v>
      </c>
      <c r="K91" s="125" t="s">
        <v>81</v>
      </c>
    </row>
    <row r="92" spans="1:11" ht="15.75" x14ac:dyDescent="0.25">
      <c r="A92" s="117" t="s">
        <v>1158</v>
      </c>
      <c r="B92" s="117">
        <v>8</v>
      </c>
      <c r="C92" s="121" t="s">
        <v>1052</v>
      </c>
      <c r="D92" s="122" t="s">
        <v>204</v>
      </c>
      <c r="E92" s="122" t="s">
        <v>1053</v>
      </c>
      <c r="F92" s="124" t="s">
        <v>81</v>
      </c>
      <c r="G92" s="125" t="s">
        <v>81</v>
      </c>
      <c r="H92" s="125" t="s">
        <v>81</v>
      </c>
      <c r="I92" s="125" t="s">
        <v>81</v>
      </c>
      <c r="J92" s="125" t="s">
        <v>81</v>
      </c>
      <c r="K92" s="125" t="s">
        <v>81</v>
      </c>
    </row>
    <row r="93" spans="1:11" ht="15.75" x14ac:dyDescent="0.25">
      <c r="A93" s="117" t="s">
        <v>1158</v>
      </c>
      <c r="B93" s="117">
        <v>9</v>
      </c>
      <c r="C93" s="121" t="s">
        <v>1038</v>
      </c>
      <c r="D93" s="122" t="s">
        <v>204</v>
      </c>
      <c r="E93" s="122" t="s">
        <v>1039</v>
      </c>
      <c r="F93" s="124" t="s">
        <v>81</v>
      </c>
      <c r="G93" s="125" t="s">
        <v>81</v>
      </c>
      <c r="H93" s="125" t="s">
        <v>81</v>
      </c>
      <c r="I93" s="125" t="s">
        <v>81</v>
      </c>
      <c r="J93" s="125" t="s">
        <v>81</v>
      </c>
      <c r="K93" s="125" t="s">
        <v>81</v>
      </c>
    </row>
    <row r="94" spans="1:11" ht="15.75" x14ac:dyDescent="0.25">
      <c r="A94" s="117" t="s">
        <v>1158</v>
      </c>
      <c r="B94" s="117">
        <v>10</v>
      </c>
      <c r="C94" s="121" t="s">
        <v>1106</v>
      </c>
      <c r="D94" s="122" t="s">
        <v>204</v>
      </c>
      <c r="E94" s="122" t="s">
        <v>1107</v>
      </c>
      <c r="F94" s="124" t="s">
        <v>81</v>
      </c>
      <c r="G94" s="125" t="s">
        <v>81</v>
      </c>
      <c r="H94" s="125" t="s">
        <v>81</v>
      </c>
      <c r="I94" s="125" t="s">
        <v>81</v>
      </c>
      <c r="J94" s="125" t="s">
        <v>81</v>
      </c>
      <c r="K94" s="125" t="s">
        <v>81</v>
      </c>
    </row>
    <row r="95" spans="1:11" ht="15.75" x14ac:dyDescent="0.25">
      <c r="A95" s="117" t="s">
        <v>1159</v>
      </c>
      <c r="B95" s="117">
        <v>1</v>
      </c>
      <c r="C95" s="121" t="s">
        <v>1090</v>
      </c>
      <c r="D95" s="122" t="s">
        <v>204</v>
      </c>
      <c r="E95" s="122" t="s">
        <v>483</v>
      </c>
      <c r="F95" s="124" t="s">
        <v>81</v>
      </c>
      <c r="G95" s="125" t="s">
        <v>81</v>
      </c>
      <c r="H95" s="125" t="s">
        <v>81</v>
      </c>
      <c r="I95" s="125" t="s">
        <v>81</v>
      </c>
      <c r="J95" s="125" t="s">
        <v>81</v>
      </c>
      <c r="K95" s="125" t="s">
        <v>81</v>
      </c>
    </row>
    <row r="96" spans="1:11" ht="15.75" x14ac:dyDescent="0.25">
      <c r="A96" s="117" t="s">
        <v>1159</v>
      </c>
      <c r="B96" s="117">
        <v>2</v>
      </c>
      <c r="C96" s="121" t="s">
        <v>1034</v>
      </c>
      <c r="D96" s="122" t="s">
        <v>204</v>
      </c>
      <c r="E96" s="122" t="s">
        <v>1035</v>
      </c>
      <c r="F96" s="124" t="s">
        <v>81</v>
      </c>
      <c r="G96" s="125" t="s">
        <v>81</v>
      </c>
      <c r="H96" s="125" t="s">
        <v>81</v>
      </c>
      <c r="I96" s="125" t="s">
        <v>81</v>
      </c>
      <c r="J96" s="125" t="s">
        <v>81</v>
      </c>
      <c r="K96" s="125" t="s">
        <v>81</v>
      </c>
    </row>
    <row r="97" spans="1:11" ht="15.75" x14ac:dyDescent="0.25">
      <c r="A97" s="117" t="s">
        <v>1159</v>
      </c>
      <c r="B97" s="117">
        <v>3</v>
      </c>
      <c r="C97" s="121" t="s">
        <v>1073</v>
      </c>
      <c r="D97" s="122" t="s">
        <v>204</v>
      </c>
      <c r="E97" s="122" t="s">
        <v>1074</v>
      </c>
      <c r="F97" s="124" t="s">
        <v>81</v>
      </c>
      <c r="G97" s="125" t="s">
        <v>81</v>
      </c>
      <c r="H97" s="125" t="s">
        <v>81</v>
      </c>
      <c r="I97" s="125" t="s">
        <v>81</v>
      </c>
      <c r="J97" s="125" t="s">
        <v>81</v>
      </c>
      <c r="K97" s="125" t="s">
        <v>81</v>
      </c>
    </row>
    <row r="98" spans="1:11" ht="15.75" x14ac:dyDescent="0.25">
      <c r="A98" s="117" t="s">
        <v>1159</v>
      </c>
      <c r="B98" s="117">
        <v>4</v>
      </c>
      <c r="C98" s="121" t="s">
        <v>1064</v>
      </c>
      <c r="D98" s="122" t="s">
        <v>204</v>
      </c>
      <c r="E98" s="122" t="s">
        <v>1065</v>
      </c>
      <c r="F98" s="124" t="s">
        <v>81</v>
      </c>
      <c r="G98" s="125" t="s">
        <v>81</v>
      </c>
      <c r="H98" s="125" t="s">
        <v>81</v>
      </c>
      <c r="I98" s="125" t="s">
        <v>81</v>
      </c>
      <c r="J98" s="125" t="s">
        <v>81</v>
      </c>
      <c r="K98" s="125" t="s">
        <v>81</v>
      </c>
    </row>
    <row r="99" spans="1:11" ht="15.75" x14ac:dyDescent="0.25">
      <c r="A99" s="117" t="s">
        <v>1159</v>
      </c>
      <c r="B99" s="117">
        <v>5</v>
      </c>
      <c r="C99" s="121" t="s">
        <v>1110</v>
      </c>
      <c r="D99" s="122" t="s">
        <v>204</v>
      </c>
      <c r="E99" s="122" t="s">
        <v>1111</v>
      </c>
      <c r="F99" s="124" t="s">
        <v>81</v>
      </c>
      <c r="G99" s="125" t="s">
        <v>81</v>
      </c>
      <c r="H99" s="125" t="s">
        <v>81</v>
      </c>
      <c r="I99" s="125" t="s">
        <v>81</v>
      </c>
      <c r="J99" s="125" t="s">
        <v>81</v>
      </c>
      <c r="K99" s="125" t="s">
        <v>81</v>
      </c>
    </row>
    <row r="100" spans="1:11" ht="15.75" x14ac:dyDescent="0.25">
      <c r="A100" s="117" t="s">
        <v>1159</v>
      </c>
      <c r="B100" s="117">
        <v>6</v>
      </c>
      <c r="C100" s="121" t="s">
        <v>1098</v>
      </c>
      <c r="D100" s="122" t="s">
        <v>204</v>
      </c>
      <c r="E100" s="122" t="s">
        <v>1099</v>
      </c>
      <c r="F100" s="124" t="s">
        <v>81</v>
      </c>
      <c r="G100" s="125" t="s">
        <v>81</v>
      </c>
      <c r="H100" s="125" t="s">
        <v>81</v>
      </c>
      <c r="I100" s="125" t="s">
        <v>81</v>
      </c>
      <c r="J100" s="125" t="s">
        <v>81</v>
      </c>
      <c r="K100" s="125" t="s">
        <v>81</v>
      </c>
    </row>
    <row r="101" spans="1:11" ht="15.75" x14ac:dyDescent="0.25">
      <c r="A101" s="117" t="s">
        <v>1159</v>
      </c>
      <c r="B101" s="117">
        <v>7</v>
      </c>
      <c r="C101" s="121" t="s">
        <v>1102</v>
      </c>
      <c r="D101" s="122" t="s">
        <v>204</v>
      </c>
      <c r="E101" s="122" t="s">
        <v>1103</v>
      </c>
      <c r="F101" s="124" t="s">
        <v>81</v>
      </c>
      <c r="G101" s="125" t="s">
        <v>81</v>
      </c>
      <c r="H101" s="125" t="s">
        <v>81</v>
      </c>
      <c r="I101" s="125" t="s">
        <v>81</v>
      </c>
      <c r="J101" s="125" t="s">
        <v>81</v>
      </c>
      <c r="K101" s="125" t="s">
        <v>81</v>
      </c>
    </row>
    <row r="102" spans="1:11" ht="15.75" x14ac:dyDescent="0.25">
      <c r="A102" s="117" t="s">
        <v>1159</v>
      </c>
      <c r="B102" s="117">
        <v>8</v>
      </c>
      <c r="C102" s="121" t="s">
        <v>1093</v>
      </c>
      <c r="D102" s="122" t="s">
        <v>204</v>
      </c>
      <c r="E102" s="122" t="s">
        <v>1094</v>
      </c>
      <c r="F102" s="124" t="s">
        <v>81</v>
      </c>
      <c r="G102" s="125" t="s">
        <v>81</v>
      </c>
      <c r="H102" s="125" t="s">
        <v>81</v>
      </c>
      <c r="I102" s="125" t="s">
        <v>81</v>
      </c>
      <c r="J102" s="125" t="s">
        <v>81</v>
      </c>
      <c r="K102" s="125" t="s">
        <v>81</v>
      </c>
    </row>
    <row r="103" spans="1:11" ht="15.75" x14ac:dyDescent="0.25">
      <c r="A103" s="117" t="s">
        <v>1159</v>
      </c>
      <c r="B103" s="117">
        <v>9</v>
      </c>
      <c r="C103" s="121" t="s">
        <v>1083</v>
      </c>
      <c r="D103" s="122" t="s">
        <v>204</v>
      </c>
      <c r="E103" s="122" t="s">
        <v>1084</v>
      </c>
      <c r="F103" s="124" t="s">
        <v>81</v>
      </c>
      <c r="G103" s="125" t="s">
        <v>81</v>
      </c>
      <c r="H103" s="125" t="s">
        <v>81</v>
      </c>
      <c r="I103" s="125" t="s">
        <v>81</v>
      </c>
      <c r="J103" s="125" t="s">
        <v>81</v>
      </c>
      <c r="K103" s="125" t="s">
        <v>81</v>
      </c>
    </row>
    <row r="104" spans="1:11" ht="15.75" x14ac:dyDescent="0.25">
      <c r="A104" s="117" t="s">
        <v>1159</v>
      </c>
      <c r="B104" s="117">
        <v>10</v>
      </c>
      <c r="C104" s="121" t="s">
        <v>1030</v>
      </c>
      <c r="D104" s="122" t="s">
        <v>204</v>
      </c>
      <c r="E104" s="122" t="s">
        <v>1031</v>
      </c>
      <c r="F104" s="124" t="s">
        <v>81</v>
      </c>
      <c r="G104" s="125" t="s">
        <v>81</v>
      </c>
      <c r="H104" s="125" t="s">
        <v>81</v>
      </c>
      <c r="I104" s="125" t="s">
        <v>81</v>
      </c>
      <c r="J104" s="125" t="s">
        <v>81</v>
      </c>
      <c r="K104" s="125" t="s">
        <v>81</v>
      </c>
    </row>
    <row r="105" spans="1:11" ht="31.5" x14ac:dyDescent="0.25">
      <c r="A105" s="117" t="s">
        <v>1159</v>
      </c>
      <c r="B105" s="117">
        <v>11</v>
      </c>
      <c r="C105" s="121" t="s">
        <v>1048</v>
      </c>
      <c r="D105" s="122" t="s">
        <v>204</v>
      </c>
      <c r="E105" s="122" t="s">
        <v>1049</v>
      </c>
      <c r="F105" s="124" t="s">
        <v>81</v>
      </c>
      <c r="G105" s="125" t="s">
        <v>81</v>
      </c>
      <c r="H105" s="125" t="s">
        <v>81</v>
      </c>
      <c r="I105" s="125" t="s">
        <v>81</v>
      </c>
      <c r="J105" s="125" t="s">
        <v>81</v>
      </c>
      <c r="K105" s="125" t="s">
        <v>81</v>
      </c>
    </row>
    <row r="106" spans="1:11" ht="15.75" x14ac:dyDescent="0.25">
      <c r="A106" s="117" t="s">
        <v>1159</v>
      </c>
      <c r="B106" s="117">
        <v>12</v>
      </c>
      <c r="C106" s="121" t="s">
        <v>1087</v>
      </c>
      <c r="D106" s="122" t="s">
        <v>204</v>
      </c>
      <c r="E106" s="122" t="s">
        <v>482</v>
      </c>
      <c r="F106" s="124" t="s">
        <v>81</v>
      </c>
      <c r="G106" s="125" t="s">
        <v>81</v>
      </c>
      <c r="H106" s="125" t="s">
        <v>81</v>
      </c>
      <c r="I106" s="125" t="s">
        <v>81</v>
      </c>
      <c r="J106" s="125" t="s">
        <v>81</v>
      </c>
      <c r="K106" s="125" t="s">
        <v>81</v>
      </c>
    </row>
    <row r="107" spans="1:11" ht="15.75" x14ac:dyDescent="0.25">
      <c r="A107" s="117" t="s">
        <v>1159</v>
      </c>
      <c r="B107" s="117">
        <v>13</v>
      </c>
      <c r="C107" s="121" t="s">
        <v>1126</v>
      </c>
      <c r="D107" s="122" t="s">
        <v>204</v>
      </c>
      <c r="E107" s="122" t="s">
        <v>1127</v>
      </c>
      <c r="F107" s="124" t="s">
        <v>81</v>
      </c>
      <c r="G107" s="125" t="s">
        <v>81</v>
      </c>
      <c r="H107" s="125" t="s">
        <v>81</v>
      </c>
      <c r="I107" s="125" t="s">
        <v>81</v>
      </c>
      <c r="J107" s="125" t="s">
        <v>81</v>
      </c>
      <c r="K107" s="125" t="s">
        <v>81</v>
      </c>
    </row>
    <row r="108" spans="1:11" ht="31.5" x14ac:dyDescent="0.25">
      <c r="A108" s="117" t="s">
        <v>1159</v>
      </c>
      <c r="B108" s="117">
        <v>14</v>
      </c>
      <c r="C108" s="121" t="s">
        <v>1118</v>
      </c>
      <c r="D108" s="122" t="s">
        <v>204</v>
      </c>
      <c r="E108" s="122" t="s">
        <v>1119</v>
      </c>
      <c r="F108" s="124" t="s">
        <v>81</v>
      </c>
      <c r="G108" s="125" t="s">
        <v>81</v>
      </c>
      <c r="H108" s="125" t="s">
        <v>81</v>
      </c>
      <c r="I108" s="125" t="s">
        <v>81</v>
      </c>
      <c r="J108" s="125" t="s">
        <v>81</v>
      </c>
      <c r="K108" s="125" t="s">
        <v>81</v>
      </c>
    </row>
    <row r="109" spans="1:11" ht="15.75" x14ac:dyDescent="0.25">
      <c r="A109" s="117" t="s">
        <v>1159</v>
      </c>
      <c r="B109" s="117">
        <v>15</v>
      </c>
      <c r="C109" s="121" t="s">
        <v>1138</v>
      </c>
      <c r="D109" s="122" t="s">
        <v>204</v>
      </c>
      <c r="E109" s="122" t="s">
        <v>1139</v>
      </c>
      <c r="F109" s="124" t="s">
        <v>81</v>
      </c>
      <c r="G109" s="125" t="s">
        <v>81</v>
      </c>
      <c r="H109" s="125" t="s">
        <v>81</v>
      </c>
      <c r="I109" s="125" t="s">
        <v>81</v>
      </c>
      <c r="J109" s="125" t="s">
        <v>81</v>
      </c>
      <c r="K109" s="125" t="s">
        <v>81</v>
      </c>
    </row>
    <row r="110" spans="1:11" ht="15.75" x14ac:dyDescent="0.25">
      <c r="A110" s="117" t="s">
        <v>1162</v>
      </c>
      <c r="B110" s="117">
        <v>1</v>
      </c>
      <c r="C110" s="121" t="s">
        <v>1122</v>
      </c>
      <c r="D110" s="122" t="s">
        <v>204</v>
      </c>
      <c r="E110" s="122" t="s">
        <v>1123</v>
      </c>
      <c r="F110" s="124" t="s">
        <v>81</v>
      </c>
      <c r="G110" s="125" t="s">
        <v>81</v>
      </c>
      <c r="H110" s="125" t="s">
        <v>81</v>
      </c>
      <c r="I110" s="125" t="s">
        <v>81</v>
      </c>
      <c r="J110" s="125" t="s">
        <v>81</v>
      </c>
      <c r="K110" s="125" t="s">
        <v>81</v>
      </c>
    </row>
    <row r="111" spans="1:11" ht="15.75" x14ac:dyDescent="0.25">
      <c r="A111" s="117" t="s">
        <v>1162</v>
      </c>
      <c r="B111" s="117">
        <v>2</v>
      </c>
      <c r="C111" s="121" t="s">
        <v>1130</v>
      </c>
      <c r="D111" s="122" t="s">
        <v>204</v>
      </c>
      <c r="E111" s="122" t="s">
        <v>1131</v>
      </c>
      <c r="F111" s="124" t="s">
        <v>81</v>
      </c>
      <c r="G111" s="125" t="s">
        <v>81</v>
      </c>
      <c r="H111" s="125" t="s">
        <v>81</v>
      </c>
      <c r="I111" s="125" t="s">
        <v>81</v>
      </c>
      <c r="J111" s="125" t="s">
        <v>81</v>
      </c>
      <c r="K111" s="125" t="s">
        <v>81</v>
      </c>
    </row>
    <row r="112" spans="1:11" ht="15.75" x14ac:dyDescent="0.25">
      <c r="A112" s="117" t="s">
        <v>1162</v>
      </c>
      <c r="B112" s="117">
        <v>3</v>
      </c>
      <c r="C112" s="121" t="s">
        <v>1134</v>
      </c>
      <c r="D112" s="122" t="s">
        <v>204</v>
      </c>
      <c r="E112" s="122" t="s">
        <v>1135</v>
      </c>
      <c r="F112" s="124" t="s">
        <v>81</v>
      </c>
      <c r="G112" s="125" t="s">
        <v>81</v>
      </c>
      <c r="H112" s="125" t="s">
        <v>81</v>
      </c>
      <c r="I112" s="125" t="s">
        <v>81</v>
      </c>
      <c r="J112" s="125" t="s">
        <v>81</v>
      </c>
      <c r="K112" s="125" t="s">
        <v>81</v>
      </c>
    </row>
    <row r="113" spans="1:11" ht="15.75" x14ac:dyDescent="0.25">
      <c r="A113" s="117" t="s">
        <v>1162</v>
      </c>
      <c r="B113" s="117">
        <v>4</v>
      </c>
      <c r="C113" s="121"/>
      <c r="D113" s="122" t="s">
        <v>204</v>
      </c>
      <c r="E113" s="122" t="s">
        <v>1024</v>
      </c>
      <c r="F113" s="124" t="s">
        <v>81</v>
      </c>
      <c r="G113" s="125" t="s">
        <v>81</v>
      </c>
      <c r="H113" s="125" t="s">
        <v>81</v>
      </c>
      <c r="I113" s="125" t="s">
        <v>81</v>
      </c>
      <c r="J113" s="125" t="s">
        <v>81</v>
      </c>
      <c r="K113" s="125" t="s">
        <v>81</v>
      </c>
    </row>
    <row r="114" spans="1:11" ht="15.75" x14ac:dyDescent="0.25">
      <c r="A114" s="117" t="s">
        <v>1162</v>
      </c>
      <c r="B114" s="117">
        <v>5</v>
      </c>
      <c r="C114" s="121" t="s">
        <v>983</v>
      </c>
      <c r="D114" s="122" t="s">
        <v>204</v>
      </c>
      <c r="E114" s="122" t="s">
        <v>984</v>
      </c>
      <c r="F114" s="124" t="s">
        <v>81</v>
      </c>
      <c r="G114" s="125" t="s">
        <v>81</v>
      </c>
      <c r="H114" s="125" t="s">
        <v>81</v>
      </c>
      <c r="I114" s="125" t="s">
        <v>81</v>
      </c>
      <c r="J114" s="125" t="s">
        <v>81</v>
      </c>
      <c r="K114" s="125" t="s">
        <v>81</v>
      </c>
    </row>
    <row r="115" spans="1:11" ht="15.75" x14ac:dyDescent="0.25">
      <c r="A115" s="117" t="s">
        <v>1162</v>
      </c>
      <c r="B115" s="117">
        <v>6</v>
      </c>
      <c r="C115" s="121"/>
      <c r="D115" s="122" t="s">
        <v>204</v>
      </c>
      <c r="E115" s="122" t="s">
        <v>1020</v>
      </c>
      <c r="F115" s="124" t="s">
        <v>81</v>
      </c>
      <c r="G115" s="125" t="s">
        <v>81</v>
      </c>
      <c r="H115" s="125" t="s">
        <v>81</v>
      </c>
      <c r="I115" s="125" t="s">
        <v>81</v>
      </c>
      <c r="J115" s="125" t="s">
        <v>81</v>
      </c>
      <c r="K115" s="125" t="s">
        <v>81</v>
      </c>
    </row>
    <row r="116" spans="1:11" ht="15.75" x14ac:dyDescent="0.25">
      <c r="A116" s="117" t="s">
        <v>1162</v>
      </c>
      <c r="B116" s="117">
        <v>7</v>
      </c>
      <c r="C116" s="121" t="s">
        <v>418</v>
      </c>
      <c r="D116" s="122" t="s">
        <v>419</v>
      </c>
      <c r="E116" s="122" t="s">
        <v>420</v>
      </c>
      <c r="F116" s="124" t="s">
        <v>81</v>
      </c>
      <c r="G116" s="125" t="s">
        <v>81</v>
      </c>
      <c r="H116" s="125" t="s">
        <v>81</v>
      </c>
      <c r="I116" s="125" t="s">
        <v>81</v>
      </c>
      <c r="J116" s="125" t="s">
        <v>81</v>
      </c>
      <c r="K116" s="125" t="s">
        <v>81</v>
      </c>
    </row>
    <row r="117" spans="1:11" ht="15.75" x14ac:dyDescent="0.25">
      <c r="A117" s="117" t="s">
        <v>1162</v>
      </c>
      <c r="B117" s="117">
        <v>8</v>
      </c>
      <c r="C117" s="121" t="s">
        <v>424</v>
      </c>
      <c r="D117" s="122" t="s">
        <v>425</v>
      </c>
      <c r="E117" s="122" t="s">
        <v>426</v>
      </c>
      <c r="F117" s="124" t="s">
        <v>81</v>
      </c>
      <c r="G117" s="125" t="s">
        <v>81</v>
      </c>
      <c r="H117" s="125" t="s">
        <v>81</v>
      </c>
      <c r="I117" s="125" t="s">
        <v>81</v>
      </c>
      <c r="J117" s="125" t="s">
        <v>81</v>
      </c>
      <c r="K117" s="125" t="s">
        <v>81</v>
      </c>
    </row>
    <row r="118" spans="1:11" ht="15.75" x14ac:dyDescent="0.25">
      <c r="A118" s="117" t="s">
        <v>1162</v>
      </c>
      <c r="B118" s="117">
        <v>9</v>
      </c>
      <c r="C118" s="121" t="s">
        <v>431</v>
      </c>
      <c r="D118" s="122" t="s">
        <v>429</v>
      </c>
      <c r="E118" s="122" t="s">
        <v>432</v>
      </c>
      <c r="F118" s="124" t="s">
        <v>81</v>
      </c>
      <c r="G118" s="125" t="s">
        <v>81</v>
      </c>
      <c r="H118" s="125" t="s">
        <v>81</v>
      </c>
      <c r="I118" s="125" t="s">
        <v>81</v>
      </c>
      <c r="J118" s="125" t="s">
        <v>81</v>
      </c>
      <c r="K118" s="125" t="s">
        <v>81</v>
      </c>
    </row>
    <row r="119" spans="1:11" ht="15.75" x14ac:dyDescent="0.25">
      <c r="A119" s="117" t="s">
        <v>1162</v>
      </c>
      <c r="B119" s="117">
        <v>10</v>
      </c>
      <c r="C119" s="121" t="s">
        <v>433</v>
      </c>
      <c r="D119" s="122" t="s">
        <v>425</v>
      </c>
      <c r="E119" s="122" t="s">
        <v>434</v>
      </c>
      <c r="F119" s="124" t="s">
        <v>81</v>
      </c>
      <c r="G119" s="125" t="s">
        <v>81</v>
      </c>
      <c r="H119" s="125" t="s">
        <v>81</v>
      </c>
      <c r="I119" s="125" t="s">
        <v>81</v>
      </c>
      <c r="J119" s="125" t="s">
        <v>81</v>
      </c>
      <c r="K119" s="125" t="s">
        <v>81</v>
      </c>
    </row>
    <row r="120" spans="1:11" ht="15.75" x14ac:dyDescent="0.25">
      <c r="A120" s="117" t="s">
        <v>1161</v>
      </c>
      <c r="B120" s="117">
        <v>1</v>
      </c>
      <c r="C120" s="121" t="s">
        <v>888</v>
      </c>
      <c r="D120" s="122" t="s">
        <v>889</v>
      </c>
      <c r="E120" s="122" t="s">
        <v>890</v>
      </c>
      <c r="F120" s="124" t="s">
        <v>81</v>
      </c>
      <c r="G120" s="125" t="s">
        <v>81</v>
      </c>
      <c r="H120" s="125" t="s">
        <v>81</v>
      </c>
      <c r="I120" s="125" t="s">
        <v>81</v>
      </c>
      <c r="J120" s="125" t="s">
        <v>81</v>
      </c>
      <c r="K120" s="125" t="s">
        <v>81</v>
      </c>
    </row>
    <row r="121" spans="1:11" ht="15.75" x14ac:dyDescent="0.25">
      <c r="A121" s="117" t="s">
        <v>1161</v>
      </c>
      <c r="B121" s="117">
        <v>2</v>
      </c>
      <c r="C121" s="121" t="s">
        <v>894</v>
      </c>
      <c r="D121" s="122" t="s">
        <v>895</v>
      </c>
      <c r="E121" s="122" t="s">
        <v>896</v>
      </c>
      <c r="F121" s="124" t="s">
        <v>81</v>
      </c>
      <c r="G121" s="125" t="s">
        <v>81</v>
      </c>
      <c r="H121" s="125" t="s">
        <v>81</v>
      </c>
      <c r="I121" s="125" t="s">
        <v>81</v>
      </c>
      <c r="J121" s="125" t="s">
        <v>81</v>
      </c>
      <c r="K121" s="125" t="s">
        <v>81</v>
      </c>
    </row>
    <row r="122" spans="1:11" ht="15.75" x14ac:dyDescent="0.25">
      <c r="A122" s="117" t="s">
        <v>1161</v>
      </c>
      <c r="B122" s="117">
        <v>3</v>
      </c>
      <c r="C122" s="121"/>
      <c r="D122" s="122" t="s">
        <v>895</v>
      </c>
      <c r="E122" s="122" t="s">
        <v>898</v>
      </c>
      <c r="F122" s="124" t="s">
        <v>81</v>
      </c>
      <c r="G122" s="125" t="s">
        <v>81</v>
      </c>
      <c r="H122" s="125" t="s">
        <v>81</v>
      </c>
      <c r="I122" s="125" t="s">
        <v>81</v>
      </c>
      <c r="J122" s="125" t="s">
        <v>81</v>
      </c>
      <c r="K122" s="125" t="s">
        <v>81</v>
      </c>
    </row>
    <row r="123" spans="1:11" ht="31.5" x14ac:dyDescent="0.25">
      <c r="A123" s="117" t="s">
        <v>1161</v>
      </c>
      <c r="B123" s="117">
        <v>4</v>
      </c>
      <c r="C123" s="121" t="s">
        <v>900</v>
      </c>
      <c r="D123" s="122" t="s">
        <v>901</v>
      </c>
      <c r="E123" s="122" t="s">
        <v>902</v>
      </c>
      <c r="F123" s="124" t="s">
        <v>81</v>
      </c>
      <c r="G123" s="125" t="s">
        <v>81</v>
      </c>
      <c r="H123" s="125" t="s">
        <v>81</v>
      </c>
      <c r="I123" s="125" t="s">
        <v>81</v>
      </c>
      <c r="J123" s="125" t="s">
        <v>81</v>
      </c>
      <c r="K123" s="125" t="s">
        <v>81</v>
      </c>
    </row>
    <row r="124" spans="1:11" ht="15.75" x14ac:dyDescent="0.25">
      <c r="A124" s="117" t="s">
        <v>1161</v>
      </c>
      <c r="B124" s="117">
        <v>5</v>
      </c>
      <c r="C124" s="121" t="s">
        <v>909</v>
      </c>
      <c r="D124" s="122" t="s">
        <v>901</v>
      </c>
      <c r="E124" s="122" t="s">
        <v>910</v>
      </c>
      <c r="F124" s="124" t="s">
        <v>81</v>
      </c>
      <c r="G124" s="125" t="s">
        <v>81</v>
      </c>
      <c r="H124" s="125" t="s">
        <v>81</v>
      </c>
      <c r="I124" s="125" t="s">
        <v>81</v>
      </c>
      <c r="J124" s="125" t="s">
        <v>81</v>
      </c>
      <c r="K124" s="125" t="s">
        <v>81</v>
      </c>
    </row>
    <row r="125" spans="1:11" ht="15.75" x14ac:dyDescent="0.25">
      <c r="A125" s="117" t="s">
        <v>1160</v>
      </c>
      <c r="B125" s="117">
        <v>1</v>
      </c>
      <c r="C125" s="121" t="s">
        <v>913</v>
      </c>
      <c r="D125" s="122" t="s">
        <v>889</v>
      </c>
      <c r="E125" s="122" t="s">
        <v>914</v>
      </c>
      <c r="F125" s="124" t="s">
        <v>81</v>
      </c>
      <c r="G125" s="125" t="s">
        <v>81</v>
      </c>
      <c r="H125" s="125" t="s">
        <v>81</v>
      </c>
      <c r="I125" s="125" t="s">
        <v>81</v>
      </c>
      <c r="J125" s="125" t="s">
        <v>81</v>
      </c>
      <c r="K125" s="125" t="s">
        <v>81</v>
      </c>
    </row>
    <row r="126" spans="1:11" ht="15.75" x14ac:dyDescent="0.25">
      <c r="A126" s="117" t="s">
        <v>1160</v>
      </c>
      <c r="B126" s="117">
        <v>2</v>
      </c>
      <c r="C126" s="121" t="s">
        <v>917</v>
      </c>
      <c r="D126" s="122" t="s">
        <v>901</v>
      </c>
      <c r="E126" s="122" t="s">
        <v>918</v>
      </c>
      <c r="F126" s="124" t="s">
        <v>81</v>
      </c>
      <c r="G126" s="125" t="s">
        <v>81</v>
      </c>
      <c r="H126" s="125" t="s">
        <v>81</v>
      </c>
      <c r="I126" s="125" t="s">
        <v>81</v>
      </c>
      <c r="J126" s="125" t="s">
        <v>81</v>
      </c>
      <c r="K126" s="125" t="s">
        <v>81</v>
      </c>
    </row>
    <row r="127" spans="1:11" ht="15.75" x14ac:dyDescent="0.25">
      <c r="A127" s="117" t="s">
        <v>1160</v>
      </c>
      <c r="B127" s="117">
        <v>3</v>
      </c>
      <c r="C127" s="121" t="s">
        <v>920</v>
      </c>
      <c r="D127" s="122" t="s">
        <v>901</v>
      </c>
      <c r="E127" s="122" t="s">
        <v>921</v>
      </c>
      <c r="F127" s="124" t="s">
        <v>81</v>
      </c>
      <c r="G127" s="125" t="s">
        <v>81</v>
      </c>
      <c r="H127" s="125" t="s">
        <v>81</v>
      </c>
      <c r="I127" s="125" t="s">
        <v>81</v>
      </c>
      <c r="J127" s="125" t="s">
        <v>81</v>
      </c>
      <c r="K127" s="125" t="s">
        <v>81</v>
      </c>
    </row>
    <row r="128" spans="1:11" ht="31.5" x14ac:dyDescent="0.25">
      <c r="A128" s="117" t="s">
        <v>1160</v>
      </c>
      <c r="B128" s="117">
        <v>4</v>
      </c>
      <c r="C128" s="121" t="s">
        <v>924</v>
      </c>
      <c r="D128" s="122" t="s">
        <v>925</v>
      </c>
      <c r="E128" s="122" t="s">
        <v>926</v>
      </c>
      <c r="F128" s="124" t="s">
        <v>81</v>
      </c>
      <c r="G128" s="125" t="s">
        <v>81</v>
      </c>
      <c r="H128" s="125" t="s">
        <v>81</v>
      </c>
      <c r="I128" s="125" t="s">
        <v>81</v>
      </c>
      <c r="J128" s="125" t="s">
        <v>81</v>
      </c>
      <c r="K128" s="125" t="s">
        <v>81</v>
      </c>
    </row>
    <row r="129" spans="1:11" ht="15.75" x14ac:dyDescent="0.25">
      <c r="A129" s="117" t="s">
        <v>1160</v>
      </c>
      <c r="B129" s="117">
        <v>5</v>
      </c>
      <c r="C129" s="121" t="s">
        <v>929</v>
      </c>
      <c r="D129" s="122" t="s">
        <v>925</v>
      </c>
      <c r="E129" s="122" t="s">
        <v>930</v>
      </c>
      <c r="F129" s="124" t="s">
        <v>81</v>
      </c>
      <c r="G129" s="125" t="s">
        <v>81</v>
      </c>
      <c r="H129" s="125" t="s">
        <v>81</v>
      </c>
      <c r="I129" s="125" t="s">
        <v>81</v>
      </c>
      <c r="J129" s="125" t="s">
        <v>81</v>
      </c>
      <c r="K129" s="125" t="s">
        <v>81</v>
      </c>
    </row>
    <row r="130" spans="1:11" ht="15.75" x14ac:dyDescent="0.25">
      <c r="A130" s="117" t="s">
        <v>1163</v>
      </c>
      <c r="B130" s="117">
        <v>1</v>
      </c>
      <c r="C130" s="121" t="s">
        <v>932</v>
      </c>
      <c r="D130" s="122" t="s">
        <v>933</v>
      </c>
      <c r="E130" s="122" t="s">
        <v>934</v>
      </c>
      <c r="F130" s="124" t="s">
        <v>81</v>
      </c>
      <c r="G130" s="125" t="s">
        <v>81</v>
      </c>
      <c r="H130" s="125" t="s">
        <v>81</v>
      </c>
      <c r="I130" s="125" t="s">
        <v>81</v>
      </c>
      <c r="J130" s="125" t="s">
        <v>81</v>
      </c>
      <c r="K130" s="125" t="s">
        <v>81</v>
      </c>
    </row>
    <row r="131" spans="1:11" ht="15.75" x14ac:dyDescent="0.25">
      <c r="A131" s="117" t="s">
        <v>1163</v>
      </c>
      <c r="B131" s="117">
        <v>2</v>
      </c>
      <c r="C131" s="121" t="s">
        <v>937</v>
      </c>
      <c r="D131" s="122" t="s">
        <v>933</v>
      </c>
      <c r="E131" s="122" t="s">
        <v>938</v>
      </c>
      <c r="F131" s="124" t="s">
        <v>81</v>
      </c>
      <c r="G131" s="125" t="s">
        <v>81</v>
      </c>
      <c r="H131" s="125" t="s">
        <v>81</v>
      </c>
      <c r="I131" s="125" t="s">
        <v>81</v>
      </c>
      <c r="J131" s="125" t="s">
        <v>81</v>
      </c>
      <c r="K131" s="125" t="s">
        <v>81</v>
      </c>
    </row>
    <row r="132" spans="1:11" ht="15.75" x14ac:dyDescent="0.25">
      <c r="A132" s="117" t="s">
        <v>1163</v>
      </c>
      <c r="B132" s="117">
        <v>3</v>
      </c>
      <c r="C132" s="121" t="s">
        <v>940</v>
      </c>
      <c r="D132" s="122" t="s">
        <v>933</v>
      </c>
      <c r="E132" s="122" t="s">
        <v>941</v>
      </c>
      <c r="F132" s="124" t="s">
        <v>81</v>
      </c>
      <c r="G132" s="125" t="s">
        <v>81</v>
      </c>
      <c r="H132" s="125" t="s">
        <v>81</v>
      </c>
      <c r="I132" s="125" t="s">
        <v>81</v>
      </c>
      <c r="J132" s="125" t="s">
        <v>81</v>
      </c>
      <c r="K132" s="125" t="s">
        <v>81</v>
      </c>
    </row>
    <row r="133" spans="1:11" ht="31.5" x14ac:dyDescent="0.25">
      <c r="A133" s="117" t="s">
        <v>1163</v>
      </c>
      <c r="B133" s="117">
        <v>4</v>
      </c>
      <c r="C133" s="121" t="s">
        <v>942</v>
      </c>
      <c r="D133" s="122" t="s">
        <v>925</v>
      </c>
      <c r="E133" s="122" t="s">
        <v>943</v>
      </c>
      <c r="F133" s="124" t="s">
        <v>81</v>
      </c>
      <c r="G133" s="125" t="s">
        <v>81</v>
      </c>
      <c r="H133" s="125" t="s">
        <v>81</v>
      </c>
      <c r="I133" s="125" t="s">
        <v>81</v>
      </c>
      <c r="J133" s="125" t="s">
        <v>81</v>
      </c>
      <c r="K133" s="125" t="s">
        <v>81</v>
      </c>
    </row>
    <row r="134" spans="1:11" ht="31.5" x14ac:dyDescent="0.25">
      <c r="A134" s="117" t="s">
        <v>1163</v>
      </c>
      <c r="B134" s="117">
        <v>5</v>
      </c>
      <c r="C134" s="121" t="s">
        <v>75</v>
      </c>
      <c r="D134" s="122" t="s">
        <v>945</v>
      </c>
      <c r="E134" s="122" t="s">
        <v>946</v>
      </c>
      <c r="F134" s="124" t="s">
        <v>81</v>
      </c>
      <c r="G134" s="125" t="s">
        <v>81</v>
      </c>
      <c r="H134" s="125" t="s">
        <v>81</v>
      </c>
      <c r="I134" s="125" t="s">
        <v>81</v>
      </c>
      <c r="J134" s="125" t="s">
        <v>81</v>
      </c>
      <c r="K134" s="125" t="s">
        <v>81</v>
      </c>
    </row>
    <row r="135" spans="1:11" ht="15.75" x14ac:dyDescent="0.25">
      <c r="A135" s="117" t="s">
        <v>1164</v>
      </c>
      <c r="B135" s="117">
        <v>1</v>
      </c>
      <c r="C135" s="121" t="s">
        <v>169</v>
      </c>
      <c r="D135" s="122" t="s">
        <v>165</v>
      </c>
      <c r="E135" s="122" t="s">
        <v>170</v>
      </c>
      <c r="F135" s="124" t="s">
        <v>81</v>
      </c>
      <c r="G135" s="125" t="s">
        <v>81</v>
      </c>
      <c r="H135" s="125" t="s">
        <v>81</v>
      </c>
      <c r="I135" s="125" t="s">
        <v>81</v>
      </c>
      <c r="J135" s="125" t="s">
        <v>81</v>
      </c>
      <c r="K135" s="125" t="s">
        <v>81</v>
      </c>
    </row>
    <row r="136" spans="1:11" ht="15.75" x14ac:dyDescent="0.25">
      <c r="A136" s="117" t="s">
        <v>1164</v>
      </c>
      <c r="B136" s="117">
        <v>2</v>
      </c>
      <c r="C136" s="121" t="s">
        <v>208</v>
      </c>
      <c r="D136" s="122" t="s">
        <v>209</v>
      </c>
      <c r="E136" s="122" t="s">
        <v>170</v>
      </c>
      <c r="F136" s="124" t="s">
        <v>81</v>
      </c>
      <c r="G136" s="125" t="s">
        <v>81</v>
      </c>
      <c r="H136" s="125" t="s">
        <v>81</v>
      </c>
      <c r="I136" s="125" t="s">
        <v>81</v>
      </c>
      <c r="J136" s="125" t="s">
        <v>81</v>
      </c>
      <c r="K136" s="125" t="s">
        <v>81</v>
      </c>
    </row>
    <row r="137" spans="1:11" ht="15.75" x14ac:dyDescent="0.25">
      <c r="A137" s="117" t="s">
        <v>1164</v>
      </c>
      <c r="B137" s="117">
        <v>3</v>
      </c>
      <c r="C137" s="121" t="s">
        <v>164</v>
      </c>
      <c r="D137" s="122" t="s">
        <v>165</v>
      </c>
      <c r="E137" s="122" t="s">
        <v>166</v>
      </c>
      <c r="F137" s="124" t="s">
        <v>81</v>
      </c>
      <c r="G137" s="125" t="s">
        <v>81</v>
      </c>
      <c r="H137" s="125" t="s">
        <v>81</v>
      </c>
      <c r="I137" s="125" t="s">
        <v>81</v>
      </c>
      <c r="J137" s="125" t="s">
        <v>81</v>
      </c>
      <c r="K137" s="125" t="s">
        <v>81</v>
      </c>
    </row>
    <row r="138" spans="1:11" ht="15.75" x14ac:dyDescent="0.25">
      <c r="A138" s="117" t="s">
        <v>1164</v>
      </c>
      <c r="B138" s="117">
        <v>4</v>
      </c>
      <c r="C138" s="121" t="s">
        <v>174</v>
      </c>
      <c r="D138" s="122" t="s">
        <v>175</v>
      </c>
      <c r="E138" s="122" t="s">
        <v>166</v>
      </c>
      <c r="F138" s="124" t="s">
        <v>81</v>
      </c>
      <c r="G138" s="125" t="s">
        <v>81</v>
      </c>
      <c r="H138" s="125" t="s">
        <v>81</v>
      </c>
      <c r="I138" s="125" t="s">
        <v>81</v>
      </c>
      <c r="J138" s="125" t="s">
        <v>81</v>
      </c>
      <c r="K138" s="125" t="s">
        <v>81</v>
      </c>
    </row>
    <row r="139" spans="1:11" ht="15.75" x14ac:dyDescent="0.25">
      <c r="A139" s="117" t="s">
        <v>1164</v>
      </c>
      <c r="B139" s="117">
        <v>5</v>
      </c>
      <c r="C139" s="121" t="s">
        <v>200</v>
      </c>
      <c r="D139" s="122" t="s">
        <v>198</v>
      </c>
      <c r="E139" s="122" t="s">
        <v>201</v>
      </c>
      <c r="F139" s="124" t="s">
        <v>81</v>
      </c>
      <c r="G139" s="125" t="s">
        <v>81</v>
      </c>
      <c r="H139" s="125" t="s">
        <v>81</v>
      </c>
      <c r="I139" s="125" t="s">
        <v>81</v>
      </c>
      <c r="J139" s="125" t="s">
        <v>81</v>
      </c>
      <c r="K139" s="125" t="s">
        <v>81</v>
      </c>
    </row>
    <row r="140" spans="1:11" ht="31.5" x14ac:dyDescent="0.25">
      <c r="A140" s="117" t="s">
        <v>1165</v>
      </c>
      <c r="B140" s="117">
        <v>1</v>
      </c>
      <c r="C140" s="121" t="s">
        <v>688</v>
      </c>
      <c r="D140" s="122" t="s">
        <v>689</v>
      </c>
      <c r="E140" s="122" t="s">
        <v>690</v>
      </c>
      <c r="F140" s="124" t="s">
        <v>81</v>
      </c>
      <c r="G140" s="125" t="s">
        <v>81</v>
      </c>
      <c r="H140" s="125" t="s">
        <v>81</v>
      </c>
      <c r="I140" s="125" t="s">
        <v>81</v>
      </c>
      <c r="J140" s="125" t="s">
        <v>81</v>
      </c>
      <c r="K140" s="125" t="s">
        <v>81</v>
      </c>
    </row>
    <row r="141" spans="1:11" ht="15.75" x14ac:dyDescent="0.25">
      <c r="A141" s="117" t="s">
        <v>1165</v>
      </c>
      <c r="B141" s="117">
        <v>2</v>
      </c>
      <c r="C141" s="121" t="s">
        <v>176</v>
      </c>
      <c r="D141" s="122" t="s">
        <v>177</v>
      </c>
      <c r="E141" s="122" t="s">
        <v>178</v>
      </c>
      <c r="F141" s="124" t="s">
        <v>81</v>
      </c>
      <c r="G141" s="125" t="s">
        <v>81</v>
      </c>
      <c r="H141" s="125" t="s">
        <v>81</v>
      </c>
      <c r="I141" s="125" t="s">
        <v>81</v>
      </c>
      <c r="J141" s="125" t="s">
        <v>81</v>
      </c>
      <c r="K141" s="125" t="s">
        <v>81</v>
      </c>
    </row>
    <row r="142" spans="1:11" ht="15.75" x14ac:dyDescent="0.25">
      <c r="A142" s="117" t="s">
        <v>1165</v>
      </c>
      <c r="B142" s="117">
        <v>3</v>
      </c>
      <c r="C142" s="121" t="s">
        <v>719</v>
      </c>
      <c r="D142" s="122" t="s">
        <v>720</v>
      </c>
      <c r="E142" s="122" t="s">
        <v>721</v>
      </c>
      <c r="F142" s="124" t="s">
        <v>81</v>
      </c>
      <c r="G142" s="125" t="s">
        <v>81</v>
      </c>
      <c r="H142" s="125" t="s">
        <v>81</v>
      </c>
      <c r="I142" s="125" t="s">
        <v>81</v>
      </c>
      <c r="J142" s="125" t="s">
        <v>81</v>
      </c>
      <c r="K142" s="125" t="s">
        <v>81</v>
      </c>
    </row>
    <row r="143" spans="1:11" ht="31.5" x14ac:dyDescent="0.25">
      <c r="A143" s="117" t="s">
        <v>1165</v>
      </c>
      <c r="B143" s="117">
        <v>4</v>
      </c>
      <c r="C143" s="121" t="s">
        <v>1188</v>
      </c>
      <c r="D143" s="122" t="s">
        <v>724</v>
      </c>
      <c r="E143" s="122" t="s">
        <v>725</v>
      </c>
      <c r="F143" s="124" t="s">
        <v>81</v>
      </c>
      <c r="G143" s="125" t="s">
        <v>81</v>
      </c>
      <c r="H143" s="125" t="s">
        <v>81</v>
      </c>
      <c r="I143" s="125" t="s">
        <v>81</v>
      </c>
      <c r="J143" s="125" t="s">
        <v>81</v>
      </c>
      <c r="K143" s="125" t="s">
        <v>81</v>
      </c>
    </row>
    <row r="144" spans="1:11" ht="15.75" x14ac:dyDescent="0.25">
      <c r="A144" s="117" t="s">
        <v>1165</v>
      </c>
      <c r="B144" s="117">
        <v>5</v>
      </c>
      <c r="C144" s="121" t="s">
        <v>193</v>
      </c>
      <c r="D144" s="122" t="s">
        <v>194</v>
      </c>
      <c r="E144" s="122" t="s">
        <v>195</v>
      </c>
      <c r="F144" s="124" t="s">
        <v>81</v>
      </c>
      <c r="G144" s="125" t="s">
        <v>81</v>
      </c>
      <c r="H144" s="125" t="s">
        <v>81</v>
      </c>
      <c r="I144" s="125" t="s">
        <v>81</v>
      </c>
      <c r="J144" s="125" t="s">
        <v>81</v>
      </c>
      <c r="K144" s="125" t="s">
        <v>81</v>
      </c>
    </row>
    <row r="145" spans="1:11" ht="15.75" x14ac:dyDescent="0.25">
      <c r="A145" s="117" t="s">
        <v>1166</v>
      </c>
      <c r="B145" s="117">
        <v>1</v>
      </c>
      <c r="C145" s="121" t="s">
        <v>225</v>
      </c>
      <c r="D145" s="122" t="s">
        <v>226</v>
      </c>
      <c r="E145" s="122" t="s">
        <v>227</v>
      </c>
      <c r="F145" s="124" t="s">
        <v>81</v>
      </c>
      <c r="G145" s="125" t="s">
        <v>81</v>
      </c>
      <c r="H145" s="125" t="s">
        <v>81</v>
      </c>
      <c r="I145" s="125" t="s">
        <v>81</v>
      </c>
      <c r="J145" s="125" t="s">
        <v>81</v>
      </c>
      <c r="K145" s="125" t="s">
        <v>81</v>
      </c>
    </row>
    <row r="146" spans="1:11" ht="15.75" x14ac:dyDescent="0.25">
      <c r="A146" s="117" t="s">
        <v>1166</v>
      </c>
      <c r="B146" s="117">
        <v>2</v>
      </c>
      <c r="C146" s="121" t="s">
        <v>528</v>
      </c>
      <c r="D146" s="122" t="s">
        <v>226</v>
      </c>
      <c r="E146" s="122" t="s">
        <v>529</v>
      </c>
      <c r="F146" s="124" t="s">
        <v>81</v>
      </c>
      <c r="G146" s="125" t="s">
        <v>81</v>
      </c>
      <c r="H146" s="125" t="s">
        <v>81</v>
      </c>
      <c r="I146" s="125" t="s">
        <v>81</v>
      </c>
      <c r="J146" s="125" t="s">
        <v>81</v>
      </c>
      <c r="K146" s="125" t="s">
        <v>81</v>
      </c>
    </row>
    <row r="147" spans="1:11" ht="15.75" x14ac:dyDescent="0.25">
      <c r="A147" s="117" t="s">
        <v>1166</v>
      </c>
      <c r="B147" s="117">
        <v>3</v>
      </c>
      <c r="C147" s="121" t="s">
        <v>520</v>
      </c>
      <c r="D147" s="122" t="s">
        <v>521</v>
      </c>
      <c r="E147" s="122" t="s">
        <v>522</v>
      </c>
      <c r="F147" s="124" t="s">
        <v>81</v>
      </c>
      <c r="G147" s="125" t="s">
        <v>81</v>
      </c>
      <c r="H147" s="125" t="s">
        <v>81</v>
      </c>
      <c r="I147" s="125" t="s">
        <v>81</v>
      </c>
      <c r="J147" s="125" t="s">
        <v>81</v>
      </c>
      <c r="K147" s="125" t="s">
        <v>81</v>
      </c>
    </row>
    <row r="148" spans="1:11" ht="15.75" x14ac:dyDescent="0.25">
      <c r="A148" s="117" t="s">
        <v>1166</v>
      </c>
      <c r="B148" s="117">
        <v>4</v>
      </c>
      <c r="C148" s="121" t="s">
        <v>255</v>
      </c>
      <c r="D148" s="122" t="s">
        <v>256</v>
      </c>
      <c r="E148" s="122" t="s">
        <v>257</v>
      </c>
      <c r="F148" s="124" t="s">
        <v>81</v>
      </c>
      <c r="G148" s="125" t="s">
        <v>81</v>
      </c>
      <c r="H148" s="125" t="s">
        <v>81</v>
      </c>
      <c r="I148" s="125" t="s">
        <v>81</v>
      </c>
      <c r="J148" s="125" t="s">
        <v>81</v>
      </c>
      <c r="K148" s="125" t="s">
        <v>81</v>
      </c>
    </row>
    <row r="149" spans="1:11" ht="15.75" x14ac:dyDescent="0.25">
      <c r="A149" s="117" t="s">
        <v>1166</v>
      </c>
      <c r="B149" s="117">
        <v>5</v>
      </c>
      <c r="C149" s="121" t="s">
        <v>1167</v>
      </c>
      <c r="D149" s="122" t="s">
        <v>552</v>
      </c>
      <c r="E149" s="122" t="s">
        <v>553</v>
      </c>
      <c r="F149" s="124" t="s">
        <v>81</v>
      </c>
      <c r="G149" s="125" t="s">
        <v>81</v>
      </c>
      <c r="H149" s="125" t="s">
        <v>81</v>
      </c>
      <c r="I149" s="125" t="s">
        <v>81</v>
      </c>
      <c r="J149" s="125" t="s">
        <v>81</v>
      </c>
      <c r="K149" s="125" t="s">
        <v>81</v>
      </c>
    </row>
    <row r="150" spans="1:11" ht="15.75" x14ac:dyDescent="0.25">
      <c r="A150" s="117" t="s">
        <v>1168</v>
      </c>
      <c r="B150" s="117">
        <v>1</v>
      </c>
      <c r="C150" s="121" t="s">
        <v>237</v>
      </c>
      <c r="D150" s="122" t="s">
        <v>238</v>
      </c>
      <c r="E150" s="122" t="s">
        <v>239</v>
      </c>
      <c r="F150" s="124" t="s">
        <v>81</v>
      </c>
      <c r="G150" s="125" t="s">
        <v>81</v>
      </c>
      <c r="H150" s="125" t="s">
        <v>81</v>
      </c>
      <c r="I150" s="125" t="s">
        <v>81</v>
      </c>
      <c r="J150" s="125" t="s">
        <v>81</v>
      </c>
      <c r="K150" s="125" t="s">
        <v>81</v>
      </c>
    </row>
    <row r="151" spans="1:11" ht="15.75" x14ac:dyDescent="0.25">
      <c r="A151" s="117" t="s">
        <v>1168</v>
      </c>
      <c r="B151" s="117">
        <v>2</v>
      </c>
      <c r="C151" s="121" t="s">
        <v>245</v>
      </c>
      <c r="D151" s="122" t="s">
        <v>238</v>
      </c>
      <c r="E151" s="122" t="s">
        <v>246</v>
      </c>
      <c r="F151" s="124" t="s">
        <v>81</v>
      </c>
      <c r="G151" s="125" t="s">
        <v>81</v>
      </c>
      <c r="H151" s="125" t="s">
        <v>81</v>
      </c>
      <c r="I151" s="125" t="s">
        <v>81</v>
      </c>
      <c r="J151" s="125" t="s">
        <v>81</v>
      </c>
      <c r="K151" s="125" t="s">
        <v>81</v>
      </c>
    </row>
    <row r="152" spans="1:11" ht="15.75" x14ac:dyDescent="0.25">
      <c r="A152" s="117" t="s">
        <v>1168</v>
      </c>
      <c r="B152" s="117">
        <v>3</v>
      </c>
      <c r="C152" s="121" t="s">
        <v>1195</v>
      </c>
      <c r="D152" s="122" t="s">
        <v>499</v>
      </c>
      <c r="E152" s="122" t="s">
        <v>284</v>
      </c>
      <c r="F152" s="124" t="s">
        <v>81</v>
      </c>
      <c r="G152" s="125" t="s">
        <v>81</v>
      </c>
      <c r="H152" s="125" t="s">
        <v>81</v>
      </c>
      <c r="I152" s="125" t="s">
        <v>81</v>
      </c>
      <c r="J152" s="125" t="s">
        <v>81</v>
      </c>
      <c r="K152" s="125" t="s">
        <v>81</v>
      </c>
    </row>
    <row r="153" spans="1:11" ht="15.75" x14ac:dyDescent="0.25">
      <c r="A153" s="117" t="s">
        <v>1168</v>
      </c>
      <c r="B153" s="117">
        <v>4</v>
      </c>
      <c r="C153" s="121" t="s">
        <v>346</v>
      </c>
      <c r="D153" s="122" t="s">
        <v>343</v>
      </c>
      <c r="E153" s="122" t="s">
        <v>347</v>
      </c>
      <c r="F153" s="124" t="s">
        <v>81</v>
      </c>
      <c r="G153" s="125" t="s">
        <v>81</v>
      </c>
      <c r="H153" s="125" t="s">
        <v>81</v>
      </c>
      <c r="I153" s="125" t="s">
        <v>81</v>
      </c>
      <c r="J153" s="125" t="s">
        <v>81</v>
      </c>
      <c r="K153" s="125" t="s">
        <v>81</v>
      </c>
    </row>
    <row r="154" spans="1:11" ht="15.75" x14ac:dyDescent="0.25">
      <c r="A154" s="117" t="s">
        <v>1168</v>
      </c>
      <c r="B154" s="117">
        <v>5</v>
      </c>
      <c r="C154" s="121" t="s">
        <v>349</v>
      </c>
      <c r="D154" s="122" t="s">
        <v>343</v>
      </c>
      <c r="E154" s="122" t="s">
        <v>350</v>
      </c>
      <c r="F154" s="124" t="s">
        <v>81</v>
      </c>
      <c r="G154" s="125" t="s">
        <v>81</v>
      </c>
      <c r="H154" s="125" t="s">
        <v>81</v>
      </c>
      <c r="I154" s="125" t="s">
        <v>81</v>
      </c>
      <c r="J154" s="125" t="s">
        <v>81</v>
      </c>
      <c r="K154" s="125" t="s">
        <v>81</v>
      </c>
    </row>
    <row r="155" spans="1:11" ht="15.75" x14ac:dyDescent="0.25">
      <c r="A155" s="117" t="s">
        <v>1169</v>
      </c>
      <c r="B155" s="117">
        <v>1</v>
      </c>
      <c r="C155" s="121" t="s">
        <v>525</v>
      </c>
      <c r="D155" s="122" t="s">
        <v>526</v>
      </c>
      <c r="E155" s="122" t="s">
        <v>522</v>
      </c>
      <c r="F155" s="124" t="s">
        <v>81</v>
      </c>
      <c r="G155" s="125" t="s">
        <v>81</v>
      </c>
      <c r="H155" s="125" t="s">
        <v>81</v>
      </c>
      <c r="I155" s="125" t="s">
        <v>81</v>
      </c>
      <c r="J155" s="125" t="s">
        <v>81</v>
      </c>
      <c r="K155" s="125" t="s">
        <v>81</v>
      </c>
    </row>
    <row r="156" spans="1:11" ht="15.75" x14ac:dyDescent="0.25">
      <c r="A156" s="117" t="s">
        <v>1169</v>
      </c>
      <c r="B156" s="117">
        <v>2</v>
      </c>
      <c r="C156" s="121" t="s">
        <v>232</v>
      </c>
      <c r="D156" s="122" t="s">
        <v>233</v>
      </c>
      <c r="E156" s="122" t="s">
        <v>227</v>
      </c>
      <c r="F156" s="124" t="s">
        <v>81</v>
      </c>
      <c r="G156" s="125" t="s">
        <v>81</v>
      </c>
      <c r="H156" s="125" t="s">
        <v>81</v>
      </c>
      <c r="I156" s="125" t="s">
        <v>81</v>
      </c>
      <c r="J156" s="125" t="s">
        <v>81</v>
      </c>
      <c r="K156" s="125" t="s">
        <v>81</v>
      </c>
    </row>
    <row r="157" spans="1:11" ht="15.75" x14ac:dyDescent="0.25">
      <c r="A157" s="117" t="s">
        <v>1169</v>
      </c>
      <c r="B157" s="117">
        <v>3</v>
      </c>
      <c r="C157" s="121" t="s">
        <v>212</v>
      </c>
      <c r="D157" s="122" t="s">
        <v>213</v>
      </c>
      <c r="E157" s="122" t="s">
        <v>170</v>
      </c>
      <c r="F157" s="124" t="s">
        <v>81</v>
      </c>
      <c r="G157" s="125" t="s">
        <v>81</v>
      </c>
      <c r="H157" s="125" t="s">
        <v>81</v>
      </c>
      <c r="I157" s="125" t="s">
        <v>81</v>
      </c>
      <c r="J157" s="125" t="s">
        <v>81</v>
      </c>
      <c r="K157" s="125" t="s">
        <v>81</v>
      </c>
    </row>
    <row r="158" spans="1:11" ht="15.75" x14ac:dyDescent="0.25">
      <c r="A158" s="117" t="s">
        <v>1169</v>
      </c>
      <c r="B158" s="117">
        <v>4</v>
      </c>
      <c r="C158" s="121" t="s">
        <v>250</v>
      </c>
      <c r="D158" s="122" t="s">
        <v>251</v>
      </c>
      <c r="E158" s="122" t="s">
        <v>252</v>
      </c>
      <c r="F158" s="124" t="s">
        <v>81</v>
      </c>
      <c r="G158" s="125" t="s">
        <v>81</v>
      </c>
      <c r="H158" s="125" t="s">
        <v>81</v>
      </c>
      <c r="I158" s="125" t="s">
        <v>81</v>
      </c>
      <c r="J158" s="125" t="s">
        <v>81</v>
      </c>
      <c r="K158" s="125" t="s">
        <v>81</v>
      </c>
    </row>
    <row r="159" spans="1:11" ht="15.75" x14ac:dyDescent="0.25">
      <c r="A159" s="117" t="s">
        <v>1169</v>
      </c>
      <c r="B159" s="117">
        <v>5</v>
      </c>
      <c r="C159" s="121" t="s">
        <v>589</v>
      </c>
      <c r="D159" s="122" t="s">
        <v>590</v>
      </c>
      <c r="E159" s="122" t="s">
        <v>591</v>
      </c>
      <c r="F159" s="124" t="s">
        <v>81</v>
      </c>
      <c r="G159" s="125" t="s">
        <v>81</v>
      </c>
      <c r="H159" s="125" t="s">
        <v>81</v>
      </c>
      <c r="I159" s="125" t="s">
        <v>81</v>
      </c>
      <c r="J159" s="125" t="s">
        <v>81</v>
      </c>
      <c r="K159" s="125" t="s">
        <v>81</v>
      </c>
    </row>
    <row r="160" spans="1:11" ht="31.5" x14ac:dyDescent="0.25">
      <c r="A160" s="117" t="s">
        <v>1170</v>
      </c>
      <c r="B160" s="117">
        <v>1</v>
      </c>
      <c r="C160" s="121" t="s">
        <v>774</v>
      </c>
      <c r="D160" s="122" t="s">
        <v>775</v>
      </c>
      <c r="E160" s="122" t="s">
        <v>776</v>
      </c>
      <c r="F160" s="124" t="s">
        <v>81</v>
      </c>
      <c r="G160" s="125" t="s">
        <v>81</v>
      </c>
      <c r="H160" s="125" t="s">
        <v>81</v>
      </c>
      <c r="I160" s="125" t="s">
        <v>81</v>
      </c>
      <c r="J160" s="125" t="s">
        <v>81</v>
      </c>
      <c r="K160" s="125" t="s">
        <v>81</v>
      </c>
    </row>
    <row r="161" spans="1:11" ht="15.75" x14ac:dyDescent="0.25">
      <c r="A161" s="131" t="s">
        <v>1170</v>
      </c>
      <c r="B161" s="131">
        <v>2</v>
      </c>
      <c r="C161" s="132" t="s">
        <v>779</v>
      </c>
      <c r="D161" s="133" t="s">
        <v>780</v>
      </c>
      <c r="E161" s="133" t="s">
        <v>781</v>
      </c>
      <c r="F161" s="129" t="s">
        <v>150</v>
      </c>
      <c r="G161" s="130"/>
      <c r="H161" s="130"/>
      <c r="I161" s="130"/>
      <c r="J161" s="130"/>
      <c r="K161" s="130"/>
    </row>
    <row r="162" spans="1:11" ht="31.5" x14ac:dyDescent="0.25">
      <c r="A162" s="117" t="s">
        <v>1170</v>
      </c>
      <c r="B162" s="117">
        <v>3</v>
      </c>
      <c r="C162" s="121" t="s">
        <v>783</v>
      </c>
      <c r="D162" s="122" t="s">
        <v>790</v>
      </c>
      <c r="E162" s="122" t="s">
        <v>791</v>
      </c>
      <c r="F162" s="124" t="s">
        <v>81</v>
      </c>
      <c r="G162" s="125" t="s">
        <v>81</v>
      </c>
      <c r="H162" s="125" t="s">
        <v>81</v>
      </c>
      <c r="I162" s="125" t="s">
        <v>81</v>
      </c>
      <c r="J162" s="125" t="s">
        <v>81</v>
      </c>
      <c r="K162" s="125" t="s">
        <v>81</v>
      </c>
    </row>
    <row r="163" spans="1:11" ht="31.5" x14ac:dyDescent="0.25">
      <c r="A163" s="117" t="s">
        <v>1170</v>
      </c>
      <c r="B163" s="117">
        <v>4</v>
      </c>
      <c r="C163" s="121" t="s">
        <v>796</v>
      </c>
      <c r="D163" s="122" t="s">
        <v>790</v>
      </c>
      <c r="E163" s="122" t="s">
        <v>797</v>
      </c>
      <c r="F163" s="124" t="s">
        <v>81</v>
      </c>
      <c r="G163" s="125" t="s">
        <v>81</v>
      </c>
      <c r="H163" s="125" t="s">
        <v>81</v>
      </c>
      <c r="I163" s="125" t="s">
        <v>81</v>
      </c>
      <c r="J163" s="125" t="s">
        <v>81</v>
      </c>
      <c r="K163" s="125" t="s">
        <v>81</v>
      </c>
    </row>
    <row r="164" spans="1:11" ht="15.75" x14ac:dyDescent="0.25">
      <c r="A164" s="117" t="s">
        <v>1170</v>
      </c>
      <c r="B164" s="117">
        <v>5</v>
      </c>
      <c r="C164" s="121" t="s">
        <v>799</v>
      </c>
      <c r="D164" s="122" t="s">
        <v>800</v>
      </c>
      <c r="E164" s="122" t="s">
        <v>801</v>
      </c>
      <c r="F164" s="124" t="s">
        <v>81</v>
      </c>
      <c r="G164" s="125" t="s">
        <v>81</v>
      </c>
      <c r="H164" s="125" t="s">
        <v>81</v>
      </c>
      <c r="I164" s="125" t="s">
        <v>81</v>
      </c>
      <c r="J164" s="125" t="s">
        <v>81</v>
      </c>
      <c r="K164" s="125" t="s">
        <v>81</v>
      </c>
    </row>
    <row r="165" spans="1:11" ht="15.75" x14ac:dyDescent="0.25">
      <c r="A165" s="117" t="s">
        <v>1171</v>
      </c>
      <c r="B165" s="117">
        <v>1</v>
      </c>
      <c r="C165" s="121" t="s">
        <v>808</v>
      </c>
      <c r="D165" s="122" t="s">
        <v>809</v>
      </c>
      <c r="E165" s="122" t="s">
        <v>810</v>
      </c>
      <c r="F165" s="124" t="s">
        <v>81</v>
      </c>
      <c r="G165" s="125" t="s">
        <v>81</v>
      </c>
      <c r="H165" s="125" t="s">
        <v>81</v>
      </c>
      <c r="I165" s="125" t="s">
        <v>81</v>
      </c>
      <c r="J165" s="125" t="s">
        <v>81</v>
      </c>
      <c r="K165" s="125" t="s">
        <v>81</v>
      </c>
    </row>
    <row r="166" spans="1:11" ht="15.75" x14ac:dyDescent="0.25">
      <c r="A166" s="131" t="s">
        <v>1171</v>
      </c>
      <c r="B166" s="131">
        <v>2</v>
      </c>
      <c r="C166" s="132" t="s">
        <v>75</v>
      </c>
      <c r="D166" s="133" t="s">
        <v>804</v>
      </c>
      <c r="E166" s="133" t="s">
        <v>805</v>
      </c>
      <c r="F166" s="129" t="s">
        <v>150</v>
      </c>
      <c r="G166" s="130"/>
      <c r="H166" s="130"/>
      <c r="I166" s="130"/>
      <c r="J166" s="130"/>
      <c r="K166" s="130"/>
    </row>
    <row r="167" spans="1:11" ht="15.75" x14ac:dyDescent="0.25">
      <c r="A167" s="117" t="s">
        <v>1171</v>
      </c>
      <c r="B167" s="117">
        <v>3</v>
      </c>
      <c r="C167" s="121" t="s">
        <v>437</v>
      </c>
      <c r="D167" s="122" t="s">
        <v>438</v>
      </c>
      <c r="E167" s="122" t="s">
        <v>439</v>
      </c>
      <c r="F167" s="124" t="s">
        <v>81</v>
      </c>
      <c r="G167" s="125" t="s">
        <v>81</v>
      </c>
      <c r="H167" s="125" t="s">
        <v>81</v>
      </c>
      <c r="I167" s="125" t="s">
        <v>81</v>
      </c>
      <c r="J167" s="125" t="s">
        <v>81</v>
      </c>
      <c r="K167" s="125" t="s">
        <v>81</v>
      </c>
    </row>
    <row r="168" spans="1:11" ht="15.75" x14ac:dyDescent="0.25">
      <c r="A168" s="131" t="s">
        <v>1171</v>
      </c>
      <c r="B168" s="131">
        <v>4</v>
      </c>
      <c r="C168" s="132"/>
      <c r="D168" s="133" t="s">
        <v>443</v>
      </c>
      <c r="E168" s="133" t="s">
        <v>444</v>
      </c>
      <c r="F168" s="129" t="s">
        <v>150</v>
      </c>
      <c r="G168" s="130"/>
      <c r="H168" s="130"/>
      <c r="I168" s="130"/>
      <c r="J168" s="130"/>
      <c r="K168" s="130"/>
    </row>
    <row r="169" spans="1:11" ht="15.75" x14ac:dyDescent="0.25">
      <c r="A169" s="117" t="s">
        <v>1171</v>
      </c>
      <c r="B169" s="117">
        <v>5</v>
      </c>
      <c r="C169" s="121" t="s">
        <v>596</v>
      </c>
      <c r="D169" s="122" t="s">
        <v>584</v>
      </c>
      <c r="E169" s="122" t="s">
        <v>594</v>
      </c>
      <c r="F169" s="124" t="s">
        <v>81</v>
      </c>
      <c r="G169" s="125" t="s">
        <v>81</v>
      </c>
      <c r="H169" s="125" t="s">
        <v>81</v>
      </c>
      <c r="I169" s="125" t="s">
        <v>81</v>
      </c>
      <c r="J169" s="125" t="s">
        <v>81</v>
      </c>
      <c r="K169" s="125" t="s">
        <v>81</v>
      </c>
    </row>
    <row r="170" spans="1:11" ht="15.75" x14ac:dyDescent="0.25">
      <c r="A170" s="117" t="s">
        <v>1171</v>
      </c>
      <c r="B170" s="117">
        <v>6</v>
      </c>
      <c r="C170" s="121" t="s">
        <v>593</v>
      </c>
      <c r="D170" s="122" t="s">
        <v>584</v>
      </c>
      <c r="E170" s="122" t="s">
        <v>594</v>
      </c>
      <c r="F170" s="124" t="s">
        <v>81</v>
      </c>
      <c r="G170" s="125" t="s">
        <v>81</v>
      </c>
      <c r="H170" s="125" t="s">
        <v>81</v>
      </c>
      <c r="I170" s="125" t="s">
        <v>81</v>
      </c>
      <c r="J170" s="125" t="s">
        <v>81</v>
      </c>
      <c r="K170" s="125" t="s">
        <v>81</v>
      </c>
    </row>
    <row r="171" spans="1:11" ht="15.75" x14ac:dyDescent="0.25">
      <c r="A171" s="117" t="s">
        <v>1172</v>
      </c>
      <c r="B171" s="117">
        <v>1</v>
      </c>
      <c r="C171" s="121" t="s">
        <v>752</v>
      </c>
      <c r="D171" s="122" t="s">
        <v>753</v>
      </c>
      <c r="E171" s="122" t="s">
        <v>754</v>
      </c>
      <c r="F171" s="124" t="s">
        <v>81</v>
      </c>
      <c r="G171" s="125" t="s">
        <v>81</v>
      </c>
      <c r="H171" s="125" t="s">
        <v>81</v>
      </c>
      <c r="I171" s="125" t="s">
        <v>81</v>
      </c>
      <c r="J171" s="125" t="s">
        <v>81</v>
      </c>
      <c r="K171" s="125" t="s">
        <v>81</v>
      </c>
    </row>
    <row r="172" spans="1:11" ht="15.75" x14ac:dyDescent="0.25">
      <c r="A172" s="131" t="s">
        <v>1172</v>
      </c>
      <c r="B172" s="131">
        <v>2</v>
      </c>
      <c r="C172" s="132" t="s">
        <v>75</v>
      </c>
      <c r="D172" s="133" t="s">
        <v>769</v>
      </c>
      <c r="E172" s="133" t="s">
        <v>770</v>
      </c>
      <c r="F172" s="129" t="s">
        <v>150</v>
      </c>
      <c r="G172" s="130"/>
      <c r="H172" s="130"/>
      <c r="I172" s="130"/>
      <c r="J172" s="130"/>
      <c r="K172" s="130"/>
    </row>
    <row r="173" spans="1:11" ht="31.5" x14ac:dyDescent="0.25">
      <c r="A173" s="117" t="s">
        <v>1172</v>
      </c>
      <c r="B173" s="117">
        <v>3</v>
      </c>
      <c r="C173" s="121" t="s">
        <v>762</v>
      </c>
      <c r="D173" s="122" t="s">
        <v>763</v>
      </c>
      <c r="E173" s="122" t="s">
        <v>758</v>
      </c>
      <c r="F173" s="124" t="s">
        <v>81</v>
      </c>
      <c r="G173" s="125" t="s">
        <v>81</v>
      </c>
      <c r="H173" s="125" t="s">
        <v>81</v>
      </c>
      <c r="I173" s="125" t="s">
        <v>81</v>
      </c>
      <c r="J173" s="125" t="s">
        <v>81</v>
      </c>
      <c r="K173" s="125" t="s">
        <v>81</v>
      </c>
    </row>
    <row r="174" spans="1:11" ht="31.5" x14ac:dyDescent="0.25">
      <c r="A174" s="117" t="s">
        <v>1172</v>
      </c>
      <c r="B174" s="117">
        <v>4</v>
      </c>
      <c r="C174" s="121" t="s">
        <v>749</v>
      </c>
      <c r="D174" s="122" t="s">
        <v>729</v>
      </c>
      <c r="E174" s="122" t="s">
        <v>750</v>
      </c>
      <c r="F174" s="124" t="s">
        <v>81</v>
      </c>
      <c r="G174" s="125" t="s">
        <v>81</v>
      </c>
      <c r="H174" s="125" t="s">
        <v>81</v>
      </c>
      <c r="I174" s="125" t="s">
        <v>81</v>
      </c>
      <c r="J174" s="125" t="s">
        <v>81</v>
      </c>
      <c r="K174" s="125" t="s">
        <v>81</v>
      </c>
    </row>
    <row r="175" spans="1:11" ht="31.5" x14ac:dyDescent="0.25">
      <c r="A175" s="117" t="s">
        <v>1172</v>
      </c>
      <c r="B175" s="117">
        <v>5</v>
      </c>
      <c r="C175" s="121" t="s">
        <v>728</v>
      </c>
      <c r="D175" s="122" t="s">
        <v>729</v>
      </c>
      <c r="E175" s="122" t="s">
        <v>730</v>
      </c>
      <c r="F175" s="124" t="s">
        <v>81</v>
      </c>
      <c r="G175" s="125" t="s">
        <v>81</v>
      </c>
      <c r="H175" s="125" t="s">
        <v>81</v>
      </c>
      <c r="I175" s="125" t="s">
        <v>81</v>
      </c>
      <c r="J175" s="125" t="s">
        <v>81</v>
      </c>
      <c r="K175" s="125" t="s">
        <v>81</v>
      </c>
    </row>
    <row r="176" spans="1:11" ht="31.5" x14ac:dyDescent="0.25">
      <c r="A176" s="117" t="s">
        <v>1172</v>
      </c>
      <c r="B176" s="117">
        <v>6</v>
      </c>
      <c r="C176" s="121" t="s">
        <v>738</v>
      </c>
      <c r="D176" s="122" t="s">
        <v>729</v>
      </c>
      <c r="E176" s="122" t="s">
        <v>739</v>
      </c>
      <c r="F176" s="124" t="s">
        <v>81</v>
      </c>
      <c r="G176" s="125" t="s">
        <v>81</v>
      </c>
      <c r="H176" s="125" t="s">
        <v>81</v>
      </c>
      <c r="I176" s="125" t="s">
        <v>81</v>
      </c>
      <c r="J176" s="125" t="s">
        <v>81</v>
      </c>
      <c r="K176" s="125" t="s">
        <v>81</v>
      </c>
    </row>
    <row r="177" spans="1:11" ht="31.5" x14ac:dyDescent="0.25">
      <c r="A177" s="117" t="s">
        <v>1172</v>
      </c>
      <c r="B177" s="117">
        <v>7</v>
      </c>
      <c r="C177" s="121" t="s">
        <v>766</v>
      </c>
      <c r="D177" s="122" t="s">
        <v>729</v>
      </c>
      <c r="E177" s="122" t="s">
        <v>767</v>
      </c>
      <c r="F177" s="124" t="s">
        <v>81</v>
      </c>
      <c r="G177" s="125" t="s">
        <v>81</v>
      </c>
      <c r="H177" s="125" t="s">
        <v>81</v>
      </c>
      <c r="I177" s="125" t="s">
        <v>81</v>
      </c>
      <c r="J177" s="125" t="s">
        <v>81</v>
      </c>
      <c r="K177" s="125" t="s">
        <v>81</v>
      </c>
    </row>
    <row r="178" spans="1:11" ht="15.75" x14ac:dyDescent="0.25">
      <c r="A178" s="117" t="s">
        <v>1173</v>
      </c>
      <c r="B178" s="117">
        <v>1</v>
      </c>
      <c r="C178" s="121" t="s">
        <v>692</v>
      </c>
      <c r="D178" s="122" t="s">
        <v>693</v>
      </c>
      <c r="E178" s="122" t="s">
        <v>694</v>
      </c>
      <c r="F178" s="124" t="s">
        <v>81</v>
      </c>
      <c r="G178" s="125" t="s">
        <v>81</v>
      </c>
      <c r="H178" s="125" t="s">
        <v>81</v>
      </c>
      <c r="I178" s="125" t="s">
        <v>81</v>
      </c>
      <c r="J178" s="125" t="s">
        <v>81</v>
      </c>
      <c r="K178" s="125" t="s">
        <v>81</v>
      </c>
    </row>
    <row r="179" spans="1:11" ht="15.75" x14ac:dyDescent="0.25">
      <c r="A179" s="117" t="s">
        <v>1173</v>
      </c>
      <c r="B179" s="117">
        <v>2</v>
      </c>
      <c r="C179" s="121" t="s">
        <v>698</v>
      </c>
      <c r="D179" s="122" t="s">
        <v>693</v>
      </c>
      <c r="E179" s="122" t="s">
        <v>699</v>
      </c>
      <c r="F179" s="124" t="s">
        <v>81</v>
      </c>
      <c r="G179" s="125" t="s">
        <v>81</v>
      </c>
      <c r="H179" s="125" t="s">
        <v>81</v>
      </c>
      <c r="I179" s="125" t="s">
        <v>81</v>
      </c>
      <c r="J179" s="125" t="s">
        <v>81</v>
      </c>
      <c r="K179" s="125" t="s">
        <v>81</v>
      </c>
    </row>
    <row r="180" spans="1:11" ht="15.75" x14ac:dyDescent="0.25">
      <c r="A180" s="117" t="s">
        <v>1173</v>
      </c>
      <c r="B180" s="117">
        <v>3</v>
      </c>
      <c r="C180" s="121" t="s">
        <v>701</v>
      </c>
      <c r="D180" s="122" t="s">
        <v>693</v>
      </c>
      <c r="E180" s="122" t="s">
        <v>702</v>
      </c>
      <c r="F180" s="124" t="s">
        <v>81</v>
      </c>
      <c r="G180" s="125" t="s">
        <v>81</v>
      </c>
      <c r="H180" s="125" t="s">
        <v>81</v>
      </c>
      <c r="I180" s="125" t="s">
        <v>81</v>
      </c>
      <c r="J180" s="125" t="s">
        <v>81</v>
      </c>
      <c r="K180" s="125" t="s">
        <v>81</v>
      </c>
    </row>
    <row r="181" spans="1:11" ht="15.75" x14ac:dyDescent="0.25">
      <c r="A181" s="117" t="s">
        <v>1173</v>
      </c>
      <c r="B181" s="117">
        <v>4</v>
      </c>
      <c r="C181" s="121" t="s">
        <v>707</v>
      </c>
      <c r="D181" s="122" t="s">
        <v>693</v>
      </c>
      <c r="E181" s="122" t="s">
        <v>708</v>
      </c>
      <c r="F181" s="124" t="s">
        <v>81</v>
      </c>
      <c r="G181" s="125" t="s">
        <v>81</v>
      </c>
      <c r="H181" s="125" t="s">
        <v>81</v>
      </c>
      <c r="I181" s="125" t="s">
        <v>81</v>
      </c>
      <c r="J181" s="125" t="s">
        <v>81</v>
      </c>
      <c r="K181" s="125" t="s">
        <v>81</v>
      </c>
    </row>
    <row r="182" spans="1:11" ht="15.75" x14ac:dyDescent="0.25">
      <c r="A182" s="117" t="s">
        <v>1173</v>
      </c>
      <c r="B182" s="117">
        <v>5</v>
      </c>
      <c r="C182" s="121" t="s">
        <v>713</v>
      </c>
      <c r="D182" s="122" t="s">
        <v>693</v>
      </c>
      <c r="E182" s="122" t="s">
        <v>714</v>
      </c>
      <c r="F182" s="124" t="s">
        <v>81</v>
      </c>
      <c r="G182" s="125" t="s">
        <v>81</v>
      </c>
      <c r="H182" s="125" t="s">
        <v>81</v>
      </c>
      <c r="I182" s="125" t="s">
        <v>81</v>
      </c>
      <c r="J182" s="125" t="s">
        <v>81</v>
      </c>
      <c r="K182" s="125" t="s">
        <v>81</v>
      </c>
    </row>
    <row r="183" spans="1:11" ht="15.75" x14ac:dyDescent="0.25">
      <c r="A183" s="117" t="s">
        <v>1174</v>
      </c>
      <c r="B183" s="117">
        <v>1</v>
      </c>
      <c r="C183" s="121" t="s">
        <v>716</v>
      </c>
      <c r="D183" s="122" t="s">
        <v>693</v>
      </c>
      <c r="E183" s="122" t="s">
        <v>717</v>
      </c>
      <c r="F183" s="124" t="s">
        <v>81</v>
      </c>
      <c r="G183" s="125" t="s">
        <v>81</v>
      </c>
      <c r="H183" s="125" t="s">
        <v>81</v>
      </c>
      <c r="I183" s="125" t="s">
        <v>81</v>
      </c>
      <c r="J183" s="125" t="s">
        <v>81</v>
      </c>
      <c r="K183" s="125" t="s">
        <v>81</v>
      </c>
    </row>
    <row r="184" spans="1:11" ht="15.75" x14ac:dyDescent="0.25">
      <c r="A184" s="117" t="s">
        <v>1174</v>
      </c>
      <c r="B184" s="117">
        <v>2</v>
      </c>
      <c r="C184" s="121" t="s">
        <v>1203</v>
      </c>
      <c r="D184" s="122" t="s">
        <v>693</v>
      </c>
      <c r="E184" s="122" t="s">
        <v>1206</v>
      </c>
      <c r="F184" s="124" t="s">
        <v>81</v>
      </c>
      <c r="G184" s="125" t="s">
        <v>81</v>
      </c>
      <c r="H184" s="125" t="s">
        <v>81</v>
      </c>
      <c r="I184" s="125" t="s">
        <v>81</v>
      </c>
      <c r="J184" s="125" t="s">
        <v>81</v>
      </c>
      <c r="K184" s="125" t="s">
        <v>81</v>
      </c>
    </row>
    <row r="185" spans="1:11" ht="15.75" x14ac:dyDescent="0.25">
      <c r="A185" s="117" t="s">
        <v>1174</v>
      </c>
      <c r="B185" s="117">
        <v>3</v>
      </c>
      <c r="C185" s="121" t="s">
        <v>1204</v>
      </c>
      <c r="D185" s="122" t="s">
        <v>693</v>
      </c>
      <c r="E185" s="122" t="s">
        <v>1207</v>
      </c>
      <c r="F185" s="124" t="s">
        <v>81</v>
      </c>
      <c r="G185" s="125" t="s">
        <v>81</v>
      </c>
      <c r="H185" s="125" t="s">
        <v>81</v>
      </c>
      <c r="I185" s="125" t="s">
        <v>81</v>
      </c>
      <c r="J185" s="125" t="s">
        <v>81</v>
      </c>
      <c r="K185" s="125" t="s">
        <v>81</v>
      </c>
    </row>
    <row r="186" spans="1:11" ht="15.75" x14ac:dyDescent="0.25">
      <c r="A186" s="117" t="s">
        <v>1174</v>
      </c>
      <c r="B186" s="117">
        <v>4</v>
      </c>
      <c r="C186" s="121" t="s">
        <v>1205</v>
      </c>
      <c r="D186" s="122" t="s">
        <v>693</v>
      </c>
      <c r="E186" s="122" t="s">
        <v>1208</v>
      </c>
      <c r="F186" s="124" t="s">
        <v>81</v>
      </c>
      <c r="G186" s="125" t="s">
        <v>81</v>
      </c>
      <c r="H186" s="125" t="s">
        <v>81</v>
      </c>
      <c r="I186" s="125" t="s">
        <v>81</v>
      </c>
      <c r="J186" s="125" t="s">
        <v>81</v>
      </c>
      <c r="K186" s="125" t="s">
        <v>81</v>
      </c>
    </row>
    <row r="187" spans="1:11" ht="15.75" x14ac:dyDescent="0.25">
      <c r="A187" s="131" t="s">
        <v>1174</v>
      </c>
      <c r="B187" s="131">
        <v>5</v>
      </c>
      <c r="C187" s="132" t="s">
        <v>75</v>
      </c>
      <c r="D187" s="133" t="s">
        <v>189</v>
      </c>
      <c r="E187" s="133" t="s">
        <v>190</v>
      </c>
      <c r="F187" s="129" t="s">
        <v>150</v>
      </c>
      <c r="G187" s="130"/>
      <c r="H187" s="130"/>
      <c r="I187" s="130"/>
      <c r="J187" s="130"/>
      <c r="K187" s="130"/>
    </row>
    <row r="188" spans="1:11" ht="31.5" x14ac:dyDescent="0.25">
      <c r="A188" s="131" t="s">
        <v>1175</v>
      </c>
      <c r="B188" s="131">
        <v>1</v>
      </c>
      <c r="C188" s="132" t="s">
        <v>75</v>
      </c>
      <c r="D188" s="133" t="s">
        <v>994</v>
      </c>
      <c r="E188" s="133" t="s">
        <v>676</v>
      </c>
      <c r="F188" s="129" t="s">
        <v>150</v>
      </c>
      <c r="G188" s="130"/>
      <c r="H188" s="130"/>
      <c r="I188" s="130"/>
      <c r="J188" s="130"/>
      <c r="K188" s="130"/>
    </row>
    <row r="189" spans="1:11" ht="31.5" x14ac:dyDescent="0.25">
      <c r="A189" s="131" t="s">
        <v>1175</v>
      </c>
      <c r="B189" s="131">
        <v>2</v>
      </c>
      <c r="C189" s="132" t="s">
        <v>75</v>
      </c>
      <c r="D189" s="133" t="s">
        <v>997</v>
      </c>
      <c r="E189" s="133" t="s">
        <v>676</v>
      </c>
      <c r="F189" s="129" t="s">
        <v>150</v>
      </c>
      <c r="G189" s="130"/>
      <c r="H189" s="130"/>
      <c r="I189" s="130"/>
      <c r="J189" s="130"/>
      <c r="K189" s="130"/>
    </row>
    <row r="190" spans="1:11" ht="31.5" x14ac:dyDescent="0.25">
      <c r="A190" s="131" t="s">
        <v>1175</v>
      </c>
      <c r="B190" s="131">
        <v>3</v>
      </c>
      <c r="C190" s="132" t="s">
        <v>75</v>
      </c>
      <c r="D190" s="133" t="s">
        <v>999</v>
      </c>
      <c r="E190" s="133" t="s">
        <v>1000</v>
      </c>
      <c r="F190" s="129" t="s">
        <v>150</v>
      </c>
      <c r="G190" s="130"/>
      <c r="H190" s="130"/>
      <c r="I190" s="130"/>
      <c r="J190" s="130"/>
      <c r="K190" s="130"/>
    </row>
    <row r="191" spans="1:11" ht="15.75" x14ac:dyDescent="0.25">
      <c r="A191" s="131" t="s">
        <v>1175</v>
      </c>
      <c r="B191" s="131">
        <v>4</v>
      </c>
      <c r="C191" s="132" t="s">
        <v>1004</v>
      </c>
      <c r="D191" s="133" t="s">
        <v>1005</v>
      </c>
      <c r="E191" s="133" t="s">
        <v>781</v>
      </c>
      <c r="F191" s="129" t="s">
        <v>150</v>
      </c>
      <c r="G191" s="130"/>
      <c r="H191" s="130"/>
      <c r="I191" s="130"/>
      <c r="J191" s="130"/>
      <c r="K191" s="130"/>
    </row>
    <row r="192" spans="1:11" ht="31.5" x14ac:dyDescent="0.25">
      <c r="A192" s="131" t="s">
        <v>1175</v>
      </c>
      <c r="B192" s="131">
        <v>5</v>
      </c>
      <c r="C192" s="132" t="s">
        <v>75</v>
      </c>
      <c r="D192" s="133" t="s">
        <v>1008</v>
      </c>
      <c r="E192" s="133" t="s">
        <v>676</v>
      </c>
      <c r="F192" s="129" t="s">
        <v>150</v>
      </c>
      <c r="G192" s="130"/>
      <c r="H192" s="130"/>
      <c r="I192" s="130"/>
      <c r="J192" s="130"/>
      <c r="K192" s="130"/>
    </row>
    <row r="193" spans="1:11" ht="31.5" x14ac:dyDescent="0.25">
      <c r="A193" s="131" t="s">
        <v>1175</v>
      </c>
      <c r="B193" s="131">
        <v>6</v>
      </c>
      <c r="C193" s="132" t="s">
        <v>1011</v>
      </c>
      <c r="D193" s="133" t="s">
        <v>1012</v>
      </c>
      <c r="E193" s="133" t="s">
        <v>1000</v>
      </c>
      <c r="F193" s="129" t="s">
        <v>150</v>
      </c>
      <c r="G193" s="130"/>
      <c r="H193" s="130"/>
      <c r="I193" s="130"/>
      <c r="J193" s="130"/>
      <c r="K193" s="130"/>
    </row>
    <row r="194" spans="1:11" ht="31.5" x14ac:dyDescent="0.25">
      <c r="A194" s="117" t="s">
        <v>1175</v>
      </c>
      <c r="B194" s="117">
        <v>7</v>
      </c>
      <c r="C194" s="121" t="s">
        <v>1017</v>
      </c>
      <c r="D194" s="122" t="s">
        <v>1237</v>
      </c>
      <c r="E194" s="122" t="s">
        <v>1018</v>
      </c>
      <c r="F194" s="124" t="s">
        <v>81</v>
      </c>
      <c r="G194" s="125" t="s">
        <v>81</v>
      </c>
      <c r="H194" s="125" t="s">
        <v>81</v>
      </c>
      <c r="I194" s="125" t="s">
        <v>81</v>
      </c>
      <c r="J194" s="125" t="s">
        <v>81</v>
      </c>
      <c r="K194" s="125" t="s">
        <v>81</v>
      </c>
    </row>
    <row r="195" spans="1:11" ht="15.75" x14ac:dyDescent="0.25">
      <c r="A195" s="131" t="s">
        <v>1175</v>
      </c>
      <c r="B195" s="131">
        <v>8</v>
      </c>
      <c r="C195" s="132" t="s">
        <v>75</v>
      </c>
      <c r="D195" s="133" t="s">
        <v>861</v>
      </c>
      <c r="E195" s="133" t="s">
        <v>676</v>
      </c>
      <c r="F195" s="129" t="s">
        <v>150</v>
      </c>
      <c r="G195" s="130"/>
      <c r="H195" s="130"/>
      <c r="I195" s="130"/>
      <c r="J195" s="130"/>
      <c r="K195" s="130"/>
    </row>
    <row r="196" spans="1:11" ht="31.5" x14ac:dyDescent="0.25">
      <c r="A196" s="131" t="s">
        <v>1175</v>
      </c>
      <c r="B196" s="131">
        <v>9</v>
      </c>
      <c r="C196" s="132" t="s">
        <v>865</v>
      </c>
      <c r="D196" s="133" t="s">
        <v>866</v>
      </c>
      <c r="E196" s="133" t="s">
        <v>781</v>
      </c>
      <c r="F196" s="129" t="s">
        <v>150</v>
      </c>
      <c r="G196" s="130"/>
      <c r="H196" s="130"/>
      <c r="I196" s="130"/>
      <c r="J196" s="130"/>
      <c r="K196" s="130"/>
    </row>
    <row r="197" spans="1:11" ht="15.75" x14ac:dyDescent="0.25">
      <c r="A197" s="131" t="s">
        <v>1175</v>
      </c>
      <c r="B197" s="131">
        <v>9</v>
      </c>
      <c r="C197" s="132" t="s">
        <v>869</v>
      </c>
      <c r="D197" s="133" t="s">
        <v>870</v>
      </c>
      <c r="E197" s="133" t="s">
        <v>781</v>
      </c>
      <c r="F197" s="129" t="s">
        <v>150</v>
      </c>
      <c r="G197" s="130"/>
      <c r="H197" s="130"/>
      <c r="I197" s="130"/>
      <c r="J197" s="130"/>
      <c r="K197" s="130"/>
    </row>
    <row r="198" spans="1:11" ht="31.5" x14ac:dyDescent="0.25">
      <c r="A198" s="131" t="s">
        <v>1175</v>
      </c>
      <c r="B198" s="131">
        <v>10</v>
      </c>
      <c r="C198" s="132" t="s">
        <v>873</v>
      </c>
      <c r="D198" s="133" t="s">
        <v>870</v>
      </c>
      <c r="E198" s="133" t="s">
        <v>874</v>
      </c>
      <c r="F198" s="129" t="s">
        <v>150</v>
      </c>
      <c r="G198" s="130"/>
      <c r="H198" s="130"/>
      <c r="I198" s="130"/>
      <c r="J198" s="130"/>
      <c r="K198" s="130"/>
    </row>
    <row r="199" spans="1:11" ht="15.75" x14ac:dyDescent="0.25">
      <c r="A199" s="117" t="s">
        <v>1175</v>
      </c>
      <c r="B199" s="117">
        <v>11</v>
      </c>
      <c r="C199" s="121" t="s">
        <v>75</v>
      </c>
      <c r="D199" s="122" t="s">
        <v>876</v>
      </c>
      <c r="E199" s="122" t="s">
        <v>877</v>
      </c>
      <c r="F199" s="124" t="s">
        <v>81</v>
      </c>
      <c r="G199" s="125" t="s">
        <v>81</v>
      </c>
      <c r="H199" s="125" t="s">
        <v>81</v>
      </c>
      <c r="I199" s="125" t="s">
        <v>81</v>
      </c>
      <c r="J199" s="125" t="s">
        <v>81</v>
      </c>
      <c r="K199" s="125" t="s">
        <v>81</v>
      </c>
    </row>
    <row r="200" spans="1:11" ht="15.75" x14ac:dyDescent="0.25">
      <c r="A200" s="131" t="s">
        <v>1175</v>
      </c>
      <c r="B200" s="131">
        <v>12</v>
      </c>
      <c r="C200" s="132" t="s">
        <v>75</v>
      </c>
      <c r="D200" s="133" t="s">
        <v>861</v>
      </c>
      <c r="E200" s="133" t="s">
        <v>883</v>
      </c>
      <c r="F200" s="129" t="s">
        <v>150</v>
      </c>
      <c r="G200" s="130"/>
      <c r="H200" s="130"/>
      <c r="I200" s="130"/>
      <c r="J200" s="130"/>
      <c r="K200" s="130"/>
    </row>
    <row r="201" spans="1:11" ht="15.75" x14ac:dyDescent="0.25">
      <c r="A201" s="131" t="s">
        <v>1175</v>
      </c>
      <c r="B201" s="131">
        <v>13</v>
      </c>
      <c r="C201" s="132" t="s">
        <v>75</v>
      </c>
      <c r="D201" s="133" t="s">
        <v>885</v>
      </c>
      <c r="E201" s="133" t="s">
        <v>886</v>
      </c>
      <c r="F201" s="129" t="s">
        <v>150</v>
      </c>
      <c r="G201" s="130"/>
      <c r="H201" s="130"/>
      <c r="I201" s="130"/>
      <c r="J201" s="130"/>
      <c r="K201" s="130"/>
    </row>
    <row r="202" spans="1:11" ht="31.5" x14ac:dyDescent="0.25">
      <c r="A202" s="131" t="s">
        <v>1175</v>
      </c>
      <c r="B202" s="131">
        <v>14</v>
      </c>
      <c r="C202" s="132" t="s">
        <v>879</v>
      </c>
      <c r="D202" s="133" t="s">
        <v>880</v>
      </c>
      <c r="E202" s="133" t="s">
        <v>881</v>
      </c>
      <c r="F202" s="129" t="s">
        <v>150</v>
      </c>
      <c r="G202" s="130"/>
      <c r="H202" s="130"/>
      <c r="I202" s="130"/>
      <c r="J202" s="130"/>
      <c r="K202" s="130"/>
    </row>
    <row r="203" spans="1:11" ht="15.75" x14ac:dyDescent="0.25">
      <c r="A203" s="131" t="s">
        <v>1176</v>
      </c>
      <c r="B203" s="131">
        <v>1</v>
      </c>
      <c r="C203" s="132" t="s">
        <v>75</v>
      </c>
      <c r="D203" s="133" t="s">
        <v>813</v>
      </c>
      <c r="E203" s="133" t="s">
        <v>817</v>
      </c>
      <c r="F203" s="129" t="s">
        <v>150</v>
      </c>
      <c r="G203" s="130"/>
      <c r="H203" s="130"/>
      <c r="I203" s="130"/>
      <c r="J203" s="130"/>
      <c r="K203" s="130"/>
    </row>
    <row r="204" spans="1:11" ht="15.75" x14ac:dyDescent="0.25">
      <c r="A204" s="131" t="s">
        <v>1176</v>
      </c>
      <c r="B204" s="131">
        <v>2</v>
      </c>
      <c r="C204" s="132" t="s">
        <v>819</v>
      </c>
      <c r="D204" s="133" t="s">
        <v>813</v>
      </c>
      <c r="E204" s="133" t="s">
        <v>820</v>
      </c>
      <c r="F204" s="129" t="s">
        <v>150</v>
      </c>
      <c r="G204" s="130"/>
      <c r="H204" s="130"/>
      <c r="I204" s="130"/>
      <c r="J204" s="130"/>
      <c r="K204" s="130"/>
    </row>
    <row r="205" spans="1:11" ht="15.75" x14ac:dyDescent="0.25">
      <c r="A205" s="131" t="s">
        <v>1176</v>
      </c>
      <c r="B205" s="131">
        <v>3</v>
      </c>
      <c r="C205" s="132" t="s">
        <v>75</v>
      </c>
      <c r="D205" s="133" t="s">
        <v>813</v>
      </c>
      <c r="E205" s="133" t="s">
        <v>824</v>
      </c>
      <c r="F205" s="129" t="s">
        <v>150</v>
      </c>
      <c r="G205" s="130"/>
      <c r="H205" s="130"/>
      <c r="I205" s="130"/>
      <c r="J205" s="130"/>
      <c r="K205" s="130"/>
    </row>
    <row r="206" spans="1:11" ht="47.25" x14ac:dyDescent="0.25">
      <c r="A206" s="117" t="s">
        <v>1176</v>
      </c>
      <c r="B206" s="117">
        <v>4</v>
      </c>
      <c r="C206" s="121" t="s">
        <v>75</v>
      </c>
      <c r="D206" s="122" t="s">
        <v>813</v>
      </c>
      <c r="E206" s="122" t="s">
        <v>826</v>
      </c>
      <c r="F206" s="124" t="s">
        <v>81</v>
      </c>
      <c r="G206" s="125" t="s">
        <v>81</v>
      </c>
      <c r="H206" s="125"/>
      <c r="I206" s="125" t="s">
        <v>81</v>
      </c>
      <c r="J206" s="125"/>
      <c r="K206" s="125"/>
    </row>
    <row r="207" spans="1:11" ht="15.75" x14ac:dyDescent="0.25">
      <c r="A207" s="131" t="s">
        <v>1176</v>
      </c>
      <c r="B207" s="131">
        <v>5</v>
      </c>
      <c r="C207" s="132" t="s">
        <v>75</v>
      </c>
      <c r="D207" s="133" t="s">
        <v>813</v>
      </c>
      <c r="E207" s="133" t="s">
        <v>831</v>
      </c>
      <c r="F207" s="129" t="s">
        <v>150</v>
      </c>
      <c r="G207" s="130"/>
      <c r="H207" s="130"/>
      <c r="I207" s="130"/>
      <c r="J207" s="130"/>
      <c r="K207" s="130"/>
    </row>
    <row r="208" spans="1:11" ht="47.25" x14ac:dyDescent="0.25">
      <c r="A208" s="131" t="s">
        <v>1176</v>
      </c>
      <c r="B208" s="131">
        <v>6</v>
      </c>
      <c r="C208" s="132" t="s">
        <v>75</v>
      </c>
      <c r="D208" s="133" t="s">
        <v>813</v>
      </c>
      <c r="E208" s="133" t="s">
        <v>834</v>
      </c>
      <c r="F208" s="129" t="s">
        <v>150</v>
      </c>
      <c r="G208" s="130"/>
      <c r="H208" s="130"/>
      <c r="I208" s="130"/>
      <c r="J208" s="130"/>
      <c r="K208" s="130"/>
    </row>
    <row r="209" spans="1:11" ht="15.75" x14ac:dyDescent="0.25">
      <c r="A209" s="117" t="s">
        <v>1176</v>
      </c>
      <c r="B209" s="117">
        <v>7</v>
      </c>
      <c r="C209" s="121" t="s">
        <v>75</v>
      </c>
      <c r="D209" s="122" t="s">
        <v>813</v>
      </c>
      <c r="E209" s="122" t="s">
        <v>836</v>
      </c>
      <c r="F209" s="124" t="s">
        <v>81</v>
      </c>
      <c r="G209" s="125" t="s">
        <v>81</v>
      </c>
      <c r="H209" s="125"/>
      <c r="I209" s="125" t="s">
        <v>81</v>
      </c>
      <c r="J209" s="125"/>
      <c r="K209" s="125"/>
    </row>
    <row r="210" spans="1:11" ht="15.75" x14ac:dyDescent="0.25">
      <c r="A210" s="131" t="s">
        <v>1176</v>
      </c>
      <c r="B210" s="131">
        <v>8</v>
      </c>
      <c r="C210" s="132" t="s">
        <v>75</v>
      </c>
      <c r="D210" s="133" t="s">
        <v>813</v>
      </c>
      <c r="E210" s="133" t="s">
        <v>838</v>
      </c>
      <c r="F210" s="129" t="s">
        <v>150</v>
      </c>
      <c r="G210" s="130"/>
      <c r="H210" s="130"/>
      <c r="I210" s="130"/>
      <c r="J210" s="130"/>
      <c r="K210" s="130"/>
    </row>
    <row r="211" spans="1:11" ht="31.5" x14ac:dyDescent="0.25">
      <c r="A211" s="131" t="s">
        <v>1176</v>
      </c>
      <c r="B211" s="131">
        <v>9</v>
      </c>
      <c r="C211" s="132" t="s">
        <v>819</v>
      </c>
      <c r="D211" s="133" t="s">
        <v>813</v>
      </c>
      <c r="E211" s="133" t="s">
        <v>839</v>
      </c>
      <c r="F211" s="129" t="s">
        <v>150</v>
      </c>
      <c r="G211" s="130"/>
      <c r="H211" s="130"/>
      <c r="I211" s="130"/>
      <c r="J211" s="130"/>
      <c r="K211" s="130"/>
    </row>
    <row r="212" spans="1:11" ht="31.5" x14ac:dyDescent="0.25">
      <c r="A212" s="131" t="s">
        <v>1176</v>
      </c>
      <c r="B212" s="131">
        <v>10</v>
      </c>
      <c r="C212" s="132" t="s">
        <v>75</v>
      </c>
      <c r="D212" s="133" t="s">
        <v>813</v>
      </c>
      <c r="E212" s="133" t="s">
        <v>860</v>
      </c>
      <c r="F212" s="129" t="s">
        <v>150</v>
      </c>
      <c r="G212" s="130"/>
      <c r="H212" s="130"/>
      <c r="I212" s="130"/>
      <c r="J212" s="130"/>
      <c r="K212" s="130"/>
    </row>
    <row r="213" spans="1:11" ht="15.75" x14ac:dyDescent="0.25">
      <c r="A213" s="131" t="s">
        <v>1176</v>
      </c>
      <c r="B213" s="131">
        <v>11</v>
      </c>
      <c r="C213" s="132" t="s">
        <v>841</v>
      </c>
      <c r="D213" s="133" t="s">
        <v>813</v>
      </c>
      <c r="E213" s="133" t="s">
        <v>781</v>
      </c>
      <c r="F213" s="129" t="s">
        <v>150</v>
      </c>
      <c r="G213" s="130"/>
      <c r="H213" s="130"/>
      <c r="I213" s="130"/>
      <c r="J213" s="130"/>
      <c r="K213" s="130"/>
    </row>
    <row r="214" spans="1:11" ht="15.75" x14ac:dyDescent="0.25">
      <c r="A214" s="131" t="s">
        <v>1176</v>
      </c>
      <c r="B214" s="131">
        <v>12</v>
      </c>
      <c r="C214" s="132" t="s">
        <v>75</v>
      </c>
      <c r="D214" s="133" t="s">
        <v>813</v>
      </c>
      <c r="E214" s="133" t="s">
        <v>843</v>
      </c>
      <c r="F214" s="129" t="s">
        <v>150</v>
      </c>
      <c r="G214" s="130"/>
      <c r="H214" s="130"/>
      <c r="I214" s="130"/>
      <c r="J214" s="130"/>
      <c r="K214" s="130"/>
    </row>
    <row r="215" spans="1:11" ht="15.75" x14ac:dyDescent="0.25">
      <c r="A215" s="131" t="s">
        <v>1176</v>
      </c>
      <c r="B215" s="131">
        <v>13</v>
      </c>
      <c r="C215" s="132" t="s">
        <v>75</v>
      </c>
      <c r="D215" s="133" t="s">
        <v>813</v>
      </c>
      <c r="E215" s="133" t="s">
        <v>845</v>
      </c>
      <c r="F215" s="129" t="s">
        <v>150</v>
      </c>
      <c r="G215" s="130"/>
      <c r="H215" s="130"/>
      <c r="I215" s="130"/>
      <c r="J215" s="130"/>
      <c r="K215" s="130"/>
    </row>
    <row r="216" spans="1:11" ht="15.75" x14ac:dyDescent="0.25">
      <c r="A216" s="131" t="s">
        <v>1176</v>
      </c>
      <c r="B216" s="131">
        <v>14</v>
      </c>
      <c r="C216" s="132" t="s">
        <v>75</v>
      </c>
      <c r="D216" s="133" t="s">
        <v>813</v>
      </c>
      <c r="E216" s="133" t="s">
        <v>847</v>
      </c>
      <c r="F216" s="129" t="s">
        <v>150</v>
      </c>
      <c r="G216" s="130"/>
      <c r="H216" s="130"/>
      <c r="I216" s="130"/>
      <c r="J216" s="130"/>
      <c r="K216" s="130"/>
    </row>
    <row r="217" spans="1:11" ht="15.75" x14ac:dyDescent="0.25">
      <c r="A217" s="131" t="s">
        <v>1176</v>
      </c>
      <c r="B217" s="131">
        <v>15</v>
      </c>
      <c r="C217" s="132" t="s">
        <v>75</v>
      </c>
      <c r="D217" s="133" t="s">
        <v>813</v>
      </c>
      <c r="E217" s="133" t="s">
        <v>859</v>
      </c>
      <c r="F217" s="129" t="s">
        <v>150</v>
      </c>
      <c r="G217" s="130"/>
      <c r="H217" s="130"/>
      <c r="I217" s="130"/>
      <c r="J217" s="130"/>
      <c r="K217" s="130"/>
    </row>
    <row r="218" spans="1:11" ht="31.5" x14ac:dyDescent="0.25">
      <c r="A218" s="131" t="s">
        <v>1176</v>
      </c>
      <c r="B218" s="131">
        <v>16</v>
      </c>
      <c r="C218" s="132" t="s">
        <v>853</v>
      </c>
      <c r="D218" s="133" t="s">
        <v>854</v>
      </c>
      <c r="E218" s="133" t="s">
        <v>855</v>
      </c>
      <c r="F218" s="129" t="s">
        <v>150</v>
      </c>
      <c r="G218" s="130"/>
      <c r="H218" s="130"/>
      <c r="I218" s="130"/>
      <c r="J218" s="130"/>
      <c r="K218" s="130"/>
    </row>
    <row r="219" spans="1:11" ht="15.75" x14ac:dyDescent="0.25">
      <c r="A219" s="117" t="s">
        <v>1178</v>
      </c>
      <c r="B219" s="117">
        <v>1</v>
      </c>
      <c r="C219" s="121" t="s">
        <v>1179</v>
      </c>
      <c r="D219" s="122" t="s">
        <v>1180</v>
      </c>
      <c r="E219" s="122" t="s">
        <v>1181</v>
      </c>
      <c r="F219" s="124" t="s">
        <v>81</v>
      </c>
      <c r="G219" s="125" t="s">
        <v>81</v>
      </c>
      <c r="H219" s="125" t="s">
        <v>81</v>
      </c>
      <c r="I219" s="125" t="s">
        <v>81</v>
      </c>
      <c r="J219" s="125" t="s">
        <v>81</v>
      </c>
      <c r="K219" s="125" t="s">
        <v>81</v>
      </c>
    </row>
    <row r="220" spans="1:11" ht="31.5" x14ac:dyDescent="0.25">
      <c r="A220" s="117" t="s">
        <v>1178</v>
      </c>
      <c r="B220" s="117">
        <v>2</v>
      </c>
      <c r="C220" s="121" t="s">
        <v>1233</v>
      </c>
      <c r="D220" s="122" t="s">
        <v>1234</v>
      </c>
      <c r="E220" s="122" t="s">
        <v>1018</v>
      </c>
      <c r="F220" s="124" t="s">
        <v>81</v>
      </c>
      <c r="G220" s="125" t="s">
        <v>81</v>
      </c>
      <c r="H220" s="125" t="s">
        <v>81</v>
      </c>
      <c r="I220" s="125" t="s">
        <v>81</v>
      </c>
      <c r="J220" s="125" t="s">
        <v>81</v>
      </c>
      <c r="K220" s="125" t="s">
        <v>81</v>
      </c>
    </row>
    <row r="221" spans="1:11" ht="15.75" x14ac:dyDescent="0.25">
      <c r="A221" s="117" t="s">
        <v>1194</v>
      </c>
      <c r="B221" s="117">
        <v>1</v>
      </c>
      <c r="C221" s="121" t="s">
        <v>612</v>
      </c>
      <c r="D221" s="122" t="s">
        <v>613</v>
      </c>
      <c r="E221" s="122" t="s">
        <v>605</v>
      </c>
      <c r="F221" s="124" t="s">
        <v>81</v>
      </c>
      <c r="G221" s="125" t="s">
        <v>81</v>
      </c>
      <c r="H221" s="125" t="s">
        <v>81</v>
      </c>
      <c r="I221" s="125" t="s">
        <v>81</v>
      </c>
      <c r="J221" s="125" t="s">
        <v>81</v>
      </c>
      <c r="K221" s="125" t="s">
        <v>81</v>
      </c>
    </row>
    <row r="222" spans="1:11" ht="15.75" x14ac:dyDescent="0.25">
      <c r="A222" s="117" t="s">
        <v>1194</v>
      </c>
      <c r="B222" s="117">
        <v>2</v>
      </c>
      <c r="C222" s="121" t="s">
        <v>604</v>
      </c>
      <c r="D222" s="122" t="s">
        <v>599</v>
      </c>
      <c r="E222" s="122" t="s">
        <v>605</v>
      </c>
      <c r="F222" s="124" t="s">
        <v>81</v>
      </c>
      <c r="G222" s="125" t="s">
        <v>81</v>
      </c>
      <c r="H222" s="125" t="s">
        <v>81</v>
      </c>
      <c r="I222" s="125" t="s">
        <v>81</v>
      </c>
      <c r="J222" s="125" t="s">
        <v>81</v>
      </c>
      <c r="K222" s="125" t="s">
        <v>81</v>
      </c>
    </row>
    <row r="223" spans="1:11" ht="15.75" x14ac:dyDescent="0.25">
      <c r="A223" s="117" t="s">
        <v>1194</v>
      </c>
      <c r="B223" s="117">
        <v>3</v>
      </c>
      <c r="C223" s="121" t="s">
        <v>598</v>
      </c>
      <c r="D223" s="122" t="s">
        <v>599</v>
      </c>
      <c r="E223" s="122" t="s">
        <v>600</v>
      </c>
      <c r="F223" s="124" t="s">
        <v>81</v>
      </c>
      <c r="G223" s="125" t="s">
        <v>81</v>
      </c>
      <c r="H223" s="125" t="s">
        <v>81</v>
      </c>
      <c r="I223" s="125" t="s">
        <v>81</v>
      </c>
      <c r="J223" s="125" t="s">
        <v>81</v>
      </c>
      <c r="K223" s="125" t="s">
        <v>81</v>
      </c>
    </row>
    <row r="224" spans="1:11" ht="15.75" x14ac:dyDescent="0.25">
      <c r="A224" s="117" t="s">
        <v>1194</v>
      </c>
      <c r="B224" s="117">
        <v>4</v>
      </c>
      <c r="C224" s="121" t="s">
        <v>548</v>
      </c>
      <c r="D224" s="122" t="s">
        <v>204</v>
      </c>
      <c r="E224" s="122" t="s">
        <v>549</v>
      </c>
      <c r="F224" s="124" t="s">
        <v>81</v>
      </c>
      <c r="G224" s="125" t="s">
        <v>81</v>
      </c>
      <c r="H224" s="125" t="s">
        <v>81</v>
      </c>
      <c r="I224" s="125" t="s">
        <v>81</v>
      </c>
      <c r="J224" s="125" t="s">
        <v>81</v>
      </c>
      <c r="K224" s="125" t="s">
        <v>81</v>
      </c>
    </row>
    <row r="225" spans="1:11" ht="15.75" x14ac:dyDescent="0.25">
      <c r="A225" s="117" t="s">
        <v>1194</v>
      </c>
      <c r="B225" s="117">
        <v>5</v>
      </c>
      <c r="C225" s="121" t="s">
        <v>539</v>
      </c>
      <c r="D225" s="122" t="s">
        <v>204</v>
      </c>
      <c r="E225" s="122" t="s">
        <v>540</v>
      </c>
      <c r="F225" s="124" t="s">
        <v>81</v>
      </c>
      <c r="G225" s="125" t="s">
        <v>81</v>
      </c>
      <c r="H225" s="125" t="s">
        <v>81</v>
      </c>
      <c r="I225" s="125" t="s">
        <v>81</v>
      </c>
      <c r="J225" s="125" t="s">
        <v>81</v>
      </c>
      <c r="K225" s="125" t="s">
        <v>81</v>
      </c>
    </row>
    <row r="226" spans="1:11" ht="15.75" x14ac:dyDescent="0.25">
      <c r="A226" s="117" t="s">
        <v>1194</v>
      </c>
      <c r="B226" s="117">
        <v>6</v>
      </c>
      <c r="C226" s="121" t="s">
        <v>308</v>
      </c>
      <c r="D226" s="122" t="s">
        <v>204</v>
      </c>
      <c r="E226" s="122" t="s">
        <v>284</v>
      </c>
      <c r="F226" s="124" t="s">
        <v>81</v>
      </c>
      <c r="G226" s="125" t="s">
        <v>81</v>
      </c>
      <c r="H226" s="125" t="s">
        <v>81</v>
      </c>
      <c r="I226" s="125" t="s">
        <v>81</v>
      </c>
      <c r="J226" s="125" t="s">
        <v>81</v>
      </c>
      <c r="K226" s="125" t="s">
        <v>81</v>
      </c>
    </row>
    <row r="227" spans="1:11" ht="15.75" x14ac:dyDescent="0.25">
      <c r="A227" s="117" t="s">
        <v>1194</v>
      </c>
      <c r="B227" s="117">
        <v>7</v>
      </c>
      <c r="C227" s="121" t="s">
        <v>298</v>
      </c>
      <c r="D227" s="122" t="s">
        <v>204</v>
      </c>
      <c r="E227" s="122" t="s">
        <v>299</v>
      </c>
      <c r="F227" s="124" t="s">
        <v>81</v>
      </c>
      <c r="G227" s="125" t="s">
        <v>81</v>
      </c>
      <c r="H227" s="125" t="s">
        <v>81</v>
      </c>
      <c r="I227" s="125" t="s">
        <v>81</v>
      </c>
      <c r="J227" s="125" t="s">
        <v>81</v>
      </c>
      <c r="K227" s="125" t="s">
        <v>81</v>
      </c>
    </row>
    <row r="228" spans="1:11" ht="15.75" x14ac:dyDescent="0.25">
      <c r="A228" s="117" t="s">
        <v>1194</v>
      </c>
      <c r="B228" s="117">
        <v>8</v>
      </c>
      <c r="C228" s="121" t="s">
        <v>608</v>
      </c>
      <c r="D228" s="122" t="s">
        <v>609</v>
      </c>
      <c r="E228" s="122" t="s">
        <v>605</v>
      </c>
      <c r="F228" s="124" t="s">
        <v>81</v>
      </c>
      <c r="G228" s="125" t="s">
        <v>81</v>
      </c>
      <c r="H228" s="125" t="s">
        <v>81</v>
      </c>
      <c r="I228" s="125" t="s">
        <v>81</v>
      </c>
      <c r="J228" s="125" t="s">
        <v>81</v>
      </c>
      <c r="K228" s="125" t="s">
        <v>81</v>
      </c>
    </row>
    <row r="229" spans="1:11" ht="15.75" x14ac:dyDescent="0.25">
      <c r="A229" s="117" t="s">
        <v>1194</v>
      </c>
      <c r="B229" s="117">
        <v>9</v>
      </c>
      <c r="C229" s="121" t="s">
        <v>283</v>
      </c>
      <c r="D229" s="122" t="s">
        <v>204</v>
      </c>
      <c r="E229" s="122" t="s">
        <v>284</v>
      </c>
      <c r="F229" s="124" t="s">
        <v>81</v>
      </c>
      <c r="G229" s="125" t="s">
        <v>81</v>
      </c>
      <c r="H229" s="125" t="s">
        <v>81</v>
      </c>
      <c r="I229" s="125" t="s">
        <v>81</v>
      </c>
      <c r="J229" s="125" t="s">
        <v>81</v>
      </c>
      <c r="K229" s="125" t="s">
        <v>81</v>
      </c>
    </row>
    <row r="230" spans="1:11" ht="15.75" x14ac:dyDescent="0.25">
      <c r="A230" s="117" t="s">
        <v>1194</v>
      </c>
      <c r="B230" s="117">
        <v>10</v>
      </c>
      <c r="C230" s="121" t="s">
        <v>309</v>
      </c>
      <c r="D230" s="122" t="s">
        <v>310</v>
      </c>
      <c r="E230" s="122" t="s">
        <v>284</v>
      </c>
      <c r="F230" s="124" t="s">
        <v>81</v>
      </c>
      <c r="G230" s="125" t="s">
        <v>81</v>
      </c>
      <c r="H230" s="125" t="s">
        <v>81</v>
      </c>
      <c r="I230" s="125" t="s">
        <v>81</v>
      </c>
      <c r="J230" s="125" t="s">
        <v>81</v>
      </c>
      <c r="K230" s="125" t="s">
        <v>81</v>
      </c>
    </row>
    <row r="231" spans="1:11" ht="15.75" x14ac:dyDescent="0.25">
      <c r="A231" s="117" t="s">
        <v>1194</v>
      </c>
      <c r="B231" s="117">
        <v>11</v>
      </c>
      <c r="C231" s="121" t="s">
        <v>304</v>
      </c>
      <c r="D231" s="122" t="s">
        <v>204</v>
      </c>
      <c r="E231" s="122" t="s">
        <v>299</v>
      </c>
      <c r="F231" s="124" t="s">
        <v>81</v>
      </c>
      <c r="G231" s="125" t="s">
        <v>81</v>
      </c>
      <c r="H231" s="125" t="s">
        <v>81</v>
      </c>
      <c r="I231" s="125" t="s">
        <v>81</v>
      </c>
      <c r="J231" s="125" t="s">
        <v>81</v>
      </c>
      <c r="K231" s="125" t="s">
        <v>81</v>
      </c>
    </row>
    <row r="232" spans="1:11" ht="15.75" x14ac:dyDescent="0.25">
      <c r="A232" s="117" t="s">
        <v>1194</v>
      </c>
      <c r="B232" s="117">
        <v>12</v>
      </c>
      <c r="C232" s="121" t="s">
        <v>620</v>
      </c>
      <c r="D232" s="122" t="s">
        <v>621</v>
      </c>
      <c r="E232" s="122" t="s">
        <v>622</v>
      </c>
      <c r="F232" s="124" t="s">
        <v>81</v>
      </c>
      <c r="G232" s="125" t="s">
        <v>81</v>
      </c>
      <c r="H232" s="125" t="s">
        <v>81</v>
      </c>
      <c r="I232" s="125" t="s">
        <v>81</v>
      </c>
      <c r="J232" s="125" t="s">
        <v>81</v>
      </c>
      <c r="K232" s="125" t="s">
        <v>81</v>
      </c>
    </row>
    <row r="233" spans="1:11" ht="31.5" x14ac:dyDescent="0.25">
      <c r="A233" s="117" t="s">
        <v>1194</v>
      </c>
      <c r="B233" s="117">
        <v>13</v>
      </c>
      <c r="C233" s="121" t="s">
        <v>1184</v>
      </c>
      <c r="D233" s="122" t="s">
        <v>218</v>
      </c>
      <c r="E233" s="122" t="s">
        <v>1185</v>
      </c>
      <c r="F233" s="124" t="s">
        <v>81</v>
      </c>
      <c r="G233" s="125" t="s">
        <v>81</v>
      </c>
      <c r="H233" s="125" t="s">
        <v>81</v>
      </c>
      <c r="I233" s="125" t="s">
        <v>81</v>
      </c>
      <c r="J233" s="125" t="s">
        <v>81</v>
      </c>
      <c r="K233" s="125" t="s">
        <v>81</v>
      </c>
    </row>
    <row r="234" spans="1:11" ht="15.75" x14ac:dyDescent="0.25">
      <c r="A234" s="117" t="s">
        <v>1194</v>
      </c>
      <c r="B234" s="117">
        <v>14</v>
      </c>
      <c r="C234" s="121" t="s">
        <v>639</v>
      </c>
      <c r="D234" s="122" t="s">
        <v>204</v>
      </c>
      <c r="E234" s="122" t="s">
        <v>640</v>
      </c>
      <c r="F234" s="124" t="s">
        <v>81</v>
      </c>
      <c r="G234" s="125" t="s">
        <v>81</v>
      </c>
      <c r="H234" s="125" t="s">
        <v>81</v>
      </c>
      <c r="I234" s="125" t="s">
        <v>81</v>
      </c>
      <c r="J234" s="125" t="s">
        <v>81</v>
      </c>
      <c r="K234" s="125" t="s">
        <v>81</v>
      </c>
    </row>
    <row r="235" spans="1:11" ht="15.75" x14ac:dyDescent="0.25">
      <c r="A235" s="117" t="s">
        <v>1194</v>
      </c>
      <c r="B235" s="117">
        <v>15</v>
      </c>
      <c r="C235" s="121" t="s">
        <v>467</v>
      </c>
      <c r="D235" s="122" t="s">
        <v>204</v>
      </c>
      <c r="E235" s="122" t="s">
        <v>464</v>
      </c>
      <c r="F235" s="124" t="s">
        <v>81</v>
      </c>
      <c r="G235" s="125" t="s">
        <v>81</v>
      </c>
      <c r="H235" s="125" t="s">
        <v>81</v>
      </c>
      <c r="I235" s="125" t="s">
        <v>81</v>
      </c>
      <c r="J235" s="125" t="s">
        <v>81</v>
      </c>
      <c r="K235" s="125" t="s">
        <v>81</v>
      </c>
    </row>
    <row r="236" spans="1:11" ht="15.75" x14ac:dyDescent="0.25">
      <c r="A236" s="117" t="s">
        <v>1194</v>
      </c>
      <c r="B236" s="117">
        <v>16</v>
      </c>
      <c r="C236" s="121" t="s">
        <v>314</v>
      </c>
      <c r="D236" s="122" t="s">
        <v>315</v>
      </c>
      <c r="E236" s="122" t="s">
        <v>316</v>
      </c>
      <c r="F236" s="124" t="s">
        <v>81</v>
      </c>
      <c r="G236" s="125" t="s">
        <v>81</v>
      </c>
      <c r="H236" s="125" t="s">
        <v>81</v>
      </c>
      <c r="I236" s="125" t="s">
        <v>81</v>
      </c>
      <c r="J236" s="125" t="s">
        <v>81</v>
      </c>
      <c r="K236" s="125" t="s">
        <v>81</v>
      </c>
    </row>
    <row r="237" spans="1:11" ht="15.75" x14ac:dyDescent="0.25">
      <c r="A237" s="131" t="s">
        <v>1194</v>
      </c>
      <c r="B237" s="131">
        <v>17</v>
      </c>
      <c r="C237" s="132" t="s">
        <v>635</v>
      </c>
      <c r="D237" s="133" t="s">
        <v>204</v>
      </c>
      <c r="E237" s="133" t="s">
        <v>636</v>
      </c>
      <c r="F237" s="129" t="s">
        <v>150</v>
      </c>
      <c r="G237" s="130"/>
      <c r="H237" s="130"/>
      <c r="I237" s="130"/>
      <c r="J237" s="130"/>
      <c r="K237" s="130"/>
    </row>
    <row r="238" spans="1:11" ht="15.75" x14ac:dyDescent="0.25">
      <c r="A238" s="117" t="s">
        <v>1194</v>
      </c>
      <c r="B238" s="117">
        <v>18</v>
      </c>
      <c r="C238" s="121" t="s">
        <v>672</v>
      </c>
      <c r="D238" s="122" t="s">
        <v>670</v>
      </c>
      <c r="E238" s="122" t="s">
        <v>671</v>
      </c>
      <c r="F238" s="124" t="s">
        <v>81</v>
      </c>
      <c r="G238" s="125" t="s">
        <v>81</v>
      </c>
      <c r="H238" s="125" t="s">
        <v>81</v>
      </c>
      <c r="I238" s="125" t="s">
        <v>81</v>
      </c>
      <c r="J238" s="125" t="s">
        <v>81</v>
      </c>
      <c r="K238" s="125" t="s">
        <v>81</v>
      </c>
    </row>
    <row r="239" spans="1:11" ht="15.75" x14ac:dyDescent="0.25">
      <c r="A239" s="117" t="s">
        <v>1194</v>
      </c>
      <c r="B239" s="117">
        <v>19</v>
      </c>
      <c r="C239" s="121" t="s">
        <v>615</v>
      </c>
      <c r="D239" s="122" t="s">
        <v>280</v>
      </c>
      <c r="E239" s="122" t="s">
        <v>616</v>
      </c>
      <c r="F239" s="124" t="s">
        <v>81</v>
      </c>
      <c r="G239" s="125" t="s">
        <v>81</v>
      </c>
      <c r="H239" s="125" t="s">
        <v>81</v>
      </c>
      <c r="I239" s="125" t="s">
        <v>81</v>
      </c>
      <c r="J239" s="125" t="s">
        <v>81</v>
      </c>
      <c r="K239" s="125" t="s">
        <v>81</v>
      </c>
    </row>
    <row r="240" spans="1:11" ht="15.75" x14ac:dyDescent="0.25">
      <c r="A240" s="117" t="s">
        <v>1194</v>
      </c>
      <c r="B240" s="117">
        <v>20</v>
      </c>
      <c r="C240" s="121" t="s">
        <v>260</v>
      </c>
      <c r="D240" s="122" t="s">
        <v>204</v>
      </c>
      <c r="E240" s="122" t="s">
        <v>261</v>
      </c>
      <c r="F240" s="124" t="s">
        <v>81</v>
      </c>
      <c r="G240" s="125" t="s">
        <v>81</v>
      </c>
      <c r="H240" s="125" t="s">
        <v>81</v>
      </c>
      <c r="I240" s="125" t="s">
        <v>81</v>
      </c>
      <c r="J240" s="125" t="s">
        <v>81</v>
      </c>
      <c r="K240" s="125" t="s">
        <v>81</v>
      </c>
    </row>
    <row r="241" spans="1:11" ht="15.75" x14ac:dyDescent="0.25">
      <c r="A241" s="117" t="s">
        <v>1194</v>
      </c>
      <c r="B241" s="117">
        <v>21</v>
      </c>
      <c r="C241" s="121" t="s">
        <v>1190</v>
      </c>
      <c r="D241" s="122" t="s">
        <v>1191</v>
      </c>
      <c r="E241" s="122" t="s">
        <v>291</v>
      </c>
      <c r="F241" s="124" t="s">
        <v>81</v>
      </c>
      <c r="G241" s="125" t="s">
        <v>81</v>
      </c>
      <c r="H241" s="125" t="s">
        <v>81</v>
      </c>
      <c r="I241" s="125" t="s">
        <v>81</v>
      </c>
      <c r="J241" s="125" t="s">
        <v>81</v>
      </c>
      <c r="K241" s="125" t="s">
        <v>81</v>
      </c>
    </row>
    <row r="242" spans="1:11" ht="15.75" x14ac:dyDescent="0.25">
      <c r="A242" s="117" t="s">
        <v>1194</v>
      </c>
      <c r="B242" s="117">
        <v>22</v>
      </c>
      <c r="C242" s="121" t="s">
        <v>277</v>
      </c>
      <c r="D242" s="122" t="s">
        <v>272</v>
      </c>
      <c r="E242" s="122" t="s">
        <v>273</v>
      </c>
      <c r="F242" s="124" t="s">
        <v>81</v>
      </c>
      <c r="G242" s="125" t="s">
        <v>81</v>
      </c>
      <c r="H242" s="125" t="s">
        <v>81</v>
      </c>
      <c r="I242" s="125" t="s">
        <v>81</v>
      </c>
      <c r="J242" s="125" t="s">
        <v>81</v>
      </c>
      <c r="K242" s="125" t="s">
        <v>81</v>
      </c>
    </row>
    <row r="243" spans="1:11" ht="15.75" x14ac:dyDescent="0.25">
      <c r="A243" s="117" t="s">
        <v>1194</v>
      </c>
      <c r="B243" s="117">
        <v>23</v>
      </c>
      <c r="C243" s="121" t="s">
        <v>543</v>
      </c>
      <c r="D243" s="122" t="s">
        <v>204</v>
      </c>
      <c r="E243" s="122" t="s">
        <v>544</v>
      </c>
      <c r="F243" s="124" t="s">
        <v>81</v>
      </c>
      <c r="G243" s="125" t="s">
        <v>81</v>
      </c>
      <c r="H243" s="125" t="s">
        <v>81</v>
      </c>
      <c r="I243" s="125" t="s">
        <v>81</v>
      </c>
      <c r="J243" s="125" t="s">
        <v>81</v>
      </c>
      <c r="K243" s="125" t="s">
        <v>81</v>
      </c>
    </row>
    <row r="244" spans="1:11" ht="15.75" x14ac:dyDescent="0.25">
      <c r="A244" s="131" t="s">
        <v>1194</v>
      </c>
      <c r="B244" s="131">
        <v>24</v>
      </c>
      <c r="C244" s="132" t="s">
        <v>1013</v>
      </c>
      <c r="D244" s="133" t="s">
        <v>1014</v>
      </c>
      <c r="E244" s="133" t="s">
        <v>1015</v>
      </c>
      <c r="F244" s="129" t="s">
        <v>150</v>
      </c>
      <c r="G244" s="130"/>
      <c r="H244" s="130"/>
      <c r="I244" s="130"/>
      <c r="J244" s="130"/>
      <c r="K244" s="130"/>
    </row>
    <row r="245" spans="1:11" ht="15.75" x14ac:dyDescent="0.25">
      <c r="A245" s="117" t="s">
        <v>1194</v>
      </c>
      <c r="B245" s="117">
        <v>25</v>
      </c>
      <c r="C245" s="121" t="s">
        <v>630</v>
      </c>
      <c r="D245" s="122" t="s">
        <v>631</v>
      </c>
      <c r="E245" s="122" t="s">
        <v>632</v>
      </c>
      <c r="F245" s="124" t="s">
        <v>81</v>
      </c>
      <c r="G245" s="125" t="s">
        <v>81</v>
      </c>
      <c r="H245" s="125" t="s">
        <v>81</v>
      </c>
      <c r="I245" s="125" t="s">
        <v>81</v>
      </c>
      <c r="J245" s="125" t="s">
        <v>81</v>
      </c>
      <c r="K245" s="125" t="s">
        <v>81</v>
      </c>
    </row>
    <row r="246" spans="1:11" ht="15.75" x14ac:dyDescent="0.25">
      <c r="A246" s="117" t="s">
        <v>1194</v>
      </c>
      <c r="B246" s="117">
        <v>26</v>
      </c>
      <c r="C246" s="121" t="s">
        <v>626</v>
      </c>
      <c r="D246" s="122" t="s">
        <v>280</v>
      </c>
      <c r="E246" s="122" t="s">
        <v>627</v>
      </c>
      <c r="F246" s="124" t="s">
        <v>81</v>
      </c>
      <c r="G246" s="125" t="s">
        <v>81</v>
      </c>
      <c r="H246" s="125" t="s">
        <v>81</v>
      </c>
      <c r="I246" s="125" t="s">
        <v>81</v>
      </c>
      <c r="J246" s="125" t="s">
        <v>81</v>
      </c>
      <c r="K246" s="125" t="s">
        <v>81</v>
      </c>
    </row>
    <row r="247" spans="1:11" ht="15.75" x14ac:dyDescent="0.25">
      <c r="A247" s="117" t="s">
        <v>1194</v>
      </c>
      <c r="B247" s="117">
        <v>27</v>
      </c>
      <c r="C247" s="121" t="s">
        <v>279</v>
      </c>
      <c r="D247" s="122" t="s">
        <v>280</v>
      </c>
      <c r="E247" s="122" t="s">
        <v>273</v>
      </c>
      <c r="F247" s="124" t="s">
        <v>81</v>
      </c>
      <c r="G247" s="125" t="s">
        <v>81</v>
      </c>
      <c r="H247" s="125" t="s">
        <v>81</v>
      </c>
      <c r="I247" s="125" t="s">
        <v>81</v>
      </c>
      <c r="J247" s="125" t="s">
        <v>81</v>
      </c>
      <c r="K247" s="125" t="s">
        <v>81</v>
      </c>
    </row>
    <row r="248" spans="1:11" ht="15.75" x14ac:dyDescent="0.25">
      <c r="A248" s="117" t="s">
        <v>1194</v>
      </c>
      <c r="B248" s="117">
        <v>28</v>
      </c>
      <c r="C248" s="121" t="s">
        <v>489</v>
      </c>
      <c r="D248" s="122" t="s">
        <v>204</v>
      </c>
      <c r="E248" s="122" t="s">
        <v>486</v>
      </c>
      <c r="F248" s="124" t="s">
        <v>81</v>
      </c>
      <c r="G248" s="125" t="s">
        <v>81</v>
      </c>
      <c r="H248" s="125" t="s">
        <v>81</v>
      </c>
      <c r="I248" s="125" t="s">
        <v>81</v>
      </c>
      <c r="J248" s="125" t="s">
        <v>81</v>
      </c>
      <c r="K248" s="125" t="s">
        <v>81</v>
      </c>
    </row>
    <row r="249" spans="1:11" ht="15.75" x14ac:dyDescent="0.25">
      <c r="A249" s="117" t="s">
        <v>1194</v>
      </c>
      <c r="B249" s="117">
        <v>29</v>
      </c>
      <c r="C249" s="121" t="s">
        <v>493</v>
      </c>
      <c r="D249" s="122" t="s">
        <v>494</v>
      </c>
      <c r="E249" s="122" t="s">
        <v>495</v>
      </c>
      <c r="F249" s="124" t="s">
        <v>81</v>
      </c>
      <c r="G249" s="125" t="s">
        <v>81</v>
      </c>
      <c r="H249" s="125" t="s">
        <v>81</v>
      </c>
      <c r="I249" s="125" t="s">
        <v>81</v>
      </c>
      <c r="J249" s="125" t="s">
        <v>81</v>
      </c>
      <c r="K249" s="125" t="s">
        <v>81</v>
      </c>
    </row>
    <row r="250" spans="1:11" ht="15.75" x14ac:dyDescent="0.25">
      <c r="A250" s="117" t="s">
        <v>1194</v>
      </c>
      <c r="B250" s="117">
        <v>30</v>
      </c>
      <c r="C250" s="121" t="s">
        <v>266</v>
      </c>
      <c r="D250" s="122" t="s">
        <v>267</v>
      </c>
      <c r="E250" s="122" t="s">
        <v>268</v>
      </c>
      <c r="F250" s="124" t="s">
        <v>81</v>
      </c>
      <c r="G250" s="125" t="s">
        <v>81</v>
      </c>
      <c r="H250" s="125" t="s">
        <v>81</v>
      </c>
      <c r="I250" s="125" t="s">
        <v>81</v>
      </c>
      <c r="J250" s="125" t="s">
        <v>81</v>
      </c>
      <c r="K250" s="125" t="s">
        <v>81</v>
      </c>
    </row>
    <row r="251" spans="1:11" ht="31.5" x14ac:dyDescent="0.25">
      <c r="A251" s="117" t="s">
        <v>1194</v>
      </c>
      <c r="B251" s="117">
        <v>31</v>
      </c>
      <c r="C251" s="121" t="s">
        <v>1213</v>
      </c>
      <c r="D251" s="122" t="s">
        <v>218</v>
      </c>
      <c r="E251" s="122" t="s">
        <v>219</v>
      </c>
      <c r="F251" s="124" t="s">
        <v>81</v>
      </c>
      <c r="G251" s="125" t="s">
        <v>81</v>
      </c>
      <c r="H251" s="125" t="s">
        <v>81</v>
      </c>
      <c r="I251" s="125" t="s">
        <v>81</v>
      </c>
      <c r="J251" s="125" t="s">
        <v>81</v>
      </c>
      <c r="K251" s="125" t="s">
        <v>81</v>
      </c>
    </row>
    <row r="252" spans="1:11" ht="15.75" x14ac:dyDescent="0.25">
      <c r="A252" s="131" t="s">
        <v>1194</v>
      </c>
      <c r="B252" s="131">
        <v>32</v>
      </c>
      <c r="C252" s="132" t="s">
        <v>75</v>
      </c>
      <c r="D252" s="133" t="s">
        <v>684</v>
      </c>
      <c r="E252" s="133" t="s">
        <v>676</v>
      </c>
      <c r="F252" s="129" t="s">
        <v>150</v>
      </c>
      <c r="G252" s="130"/>
      <c r="H252" s="130"/>
      <c r="I252" s="130"/>
      <c r="J252" s="130"/>
      <c r="K252" s="130"/>
    </row>
    <row r="253" spans="1:11" ht="15.75" x14ac:dyDescent="0.25">
      <c r="A253" s="131" t="s">
        <v>1194</v>
      </c>
      <c r="B253" s="131">
        <v>33</v>
      </c>
      <c r="C253" s="132" t="s">
        <v>75</v>
      </c>
      <c r="D253" s="133" t="s">
        <v>685</v>
      </c>
      <c r="E253" s="133" t="s">
        <v>676</v>
      </c>
      <c r="F253" s="129" t="s">
        <v>150</v>
      </c>
      <c r="G253" s="130"/>
      <c r="H253" s="130"/>
      <c r="I253" s="130"/>
      <c r="J253" s="130"/>
      <c r="K253" s="130"/>
    </row>
    <row r="254" spans="1:11" ht="15.75" x14ac:dyDescent="0.25">
      <c r="A254" s="117" t="s">
        <v>1194</v>
      </c>
      <c r="B254" s="117">
        <v>34</v>
      </c>
      <c r="C254" s="121" t="s">
        <v>1198</v>
      </c>
      <c r="D254" s="122" t="s">
        <v>1232</v>
      </c>
      <c r="E254" s="122" t="s">
        <v>1199</v>
      </c>
      <c r="F254" s="124" t="s">
        <v>81</v>
      </c>
      <c r="G254" s="125" t="s">
        <v>81</v>
      </c>
      <c r="H254" s="125" t="s">
        <v>81</v>
      </c>
      <c r="I254" s="125" t="s">
        <v>81</v>
      </c>
      <c r="J254" s="125" t="s">
        <v>81</v>
      </c>
      <c r="K254" s="125" t="s">
        <v>81</v>
      </c>
    </row>
    <row r="255" spans="1:11" ht="15.75" x14ac:dyDescent="0.25">
      <c r="A255" s="117" t="s">
        <v>1194</v>
      </c>
      <c r="B255" s="117">
        <v>35</v>
      </c>
      <c r="C255" s="121" t="s">
        <v>1217</v>
      </c>
      <c r="D255" s="122" t="s">
        <v>280</v>
      </c>
      <c r="E255" s="122" t="s">
        <v>627</v>
      </c>
      <c r="F255" s="124" t="s">
        <v>81</v>
      </c>
      <c r="G255" s="125" t="s">
        <v>81</v>
      </c>
      <c r="H255" s="125" t="s">
        <v>81</v>
      </c>
      <c r="I255" s="125" t="s">
        <v>81</v>
      </c>
      <c r="J255" s="125" t="s">
        <v>81</v>
      </c>
      <c r="K255" s="125" t="s">
        <v>81</v>
      </c>
    </row>
  </sheetData>
  <autoFilter ref="A7:K255" xr:uid="{00000000-0009-0000-0000-000002000000}"/>
  <mergeCells count="4">
    <mergeCell ref="A6:B6"/>
    <mergeCell ref="G6:I6"/>
    <mergeCell ref="J6:K6"/>
    <mergeCell ref="A3:E4"/>
  </mergeCells>
  <printOptions horizontalCentered="1"/>
  <pageMargins left="0" right="0" top="0.35433070866141736" bottom="0.15748031496062992" header="0.31496062992125984" footer="0.31496062992125984"/>
  <pageSetup paperSize="9" scale="76" orientation="landscape" r:id="rId1"/>
  <rowBreaks count="2" manualBreakCount="2">
    <brk id="42" max="16383" man="1"/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Kontrak ALL</vt:lpstr>
      <vt:lpstr>End</vt:lpstr>
      <vt:lpstr>CS</vt:lpstr>
      <vt:lpstr>'Kontrak ALL'!Print_Area</vt:lpstr>
      <vt:lpstr>CS!Print_Titles</vt:lpstr>
      <vt:lpstr>'Kontrak 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GA-08</dc:creator>
  <cp:lastModifiedBy>GA-06</cp:lastModifiedBy>
  <cp:lastPrinted>2023-07-13T05:23:01Z</cp:lastPrinted>
  <dcterms:created xsi:type="dcterms:W3CDTF">2022-11-05T01:01:18Z</dcterms:created>
  <dcterms:modified xsi:type="dcterms:W3CDTF">2023-11-28T06:29:56Z</dcterms:modified>
</cp:coreProperties>
</file>