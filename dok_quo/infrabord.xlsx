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-07\Documents\covid-19\"/>
    </mc:Choice>
  </mc:AlternateContent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1" l="1"/>
  <c r="K16" i="1"/>
  <c r="H16" i="1"/>
  <c r="N11" i="1"/>
  <c r="K11" i="1"/>
  <c r="H11" i="1"/>
  <c r="N6" i="1"/>
  <c r="K6" i="1"/>
  <c r="H6" i="1"/>
  <c r="E4" i="1" s="1"/>
  <c r="C9" i="1"/>
  <c r="C8" i="1"/>
  <c r="C7" i="1"/>
  <c r="C6" i="1"/>
  <c r="C4" i="1"/>
  <c r="E12" i="1" l="1"/>
  <c r="E13" i="1"/>
  <c r="E5" i="1"/>
  <c r="E8" i="1"/>
  <c r="E6" i="1"/>
  <c r="E7" i="1"/>
  <c r="E11" i="1"/>
  <c r="E9" i="1"/>
  <c r="E10" i="1"/>
</calcChain>
</file>

<file path=xl/sharedStrings.xml><?xml version="1.0" encoding="utf-8"?>
<sst xmlns="http://schemas.openxmlformats.org/spreadsheetml/2006/main" count="52" uniqueCount="30">
  <si>
    <t>No</t>
  </si>
  <si>
    <t>Area</t>
  </si>
  <si>
    <t>Kebutuhan Infrabord</t>
  </si>
  <si>
    <t>Loker cowok</t>
  </si>
  <si>
    <t>Loker cewek</t>
  </si>
  <si>
    <t>ukuran infrabord</t>
  </si>
  <si>
    <t>lebar</t>
  </si>
  <si>
    <t>panjang</t>
  </si>
  <si>
    <t>Loker Mukenah</t>
  </si>
  <si>
    <t>Loker Tempat botol all area</t>
  </si>
  <si>
    <t>Qty</t>
  </si>
  <si>
    <t>Satuan</t>
  </si>
  <si>
    <t>Layer</t>
  </si>
  <si>
    <t xml:space="preserve">Ukuran Loker </t>
  </si>
  <si>
    <t>Wudhu Cowok</t>
  </si>
  <si>
    <t>tempat wudhu cowok</t>
  </si>
  <si>
    <t>Wudhu Cewek</t>
  </si>
  <si>
    <t>tempat wudhu Cewek</t>
  </si>
  <si>
    <t>Toilet Cewek 6 * 4 Toilet</t>
  </si>
  <si>
    <t>Wastavel Toilet office</t>
  </si>
  <si>
    <t>toilet cuci tangan Cewek</t>
  </si>
  <si>
    <t>toilet office</t>
  </si>
  <si>
    <t>layer</t>
  </si>
  <si>
    <t>Total kebutuhan infrabord</t>
  </si>
  <si>
    <t>Lembar</t>
  </si>
  <si>
    <t xml:space="preserve">Sekat Cuci Tangan </t>
  </si>
  <si>
    <t>Sekat dispenser</t>
  </si>
  <si>
    <t>Cuci tangan kanten</t>
  </si>
  <si>
    <t>Sekat Dispenser</t>
  </si>
  <si>
    <t>Ukuran material yang di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</si>
</sst>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2" fontId="0" fillId="2" borderId="0" xfId="0" applyNumberFormat="1" applyFill="1"/>
    <xf numFmtId="2" fontId="0" fillId="5" borderId="0" xfId="0" applyNumberFormat="1" applyFill="1"/>
    <xf numFmtId="2" fontId="0" fillId="4" borderId="0" xfId="0" applyNumberFormat="1" applyFill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tabSelected="1" workbookViewId="0">
      <selection activeCell="P5" sqref="P5"/>
    </sheetView>
  </sheetViews>
  <sheetFormatPr defaultRowHeight="15" x14ac:dyDescent="0.25"/>
  <cols>
    <col min="1" max="1" width="6.28515625" customWidth="1"/>
    <col min="2" max="2" width="25.5703125" bestFit="1" customWidth="1"/>
    <col min="6" max="6" width="4" customWidth="1"/>
    <col min="8" max="8" width="10.7109375" customWidth="1"/>
    <col min="9" max="9" width="10.140625" customWidth="1"/>
    <col min="12" max="12" width="9.42578125" customWidth="1"/>
  </cols>
  <sheetData>
    <row r="1" spans="1:15" ht="18.75" x14ac:dyDescent="0.3">
      <c r="A1" s="18" t="s">
        <v>2</v>
      </c>
      <c r="B1" s="18"/>
      <c r="C1" s="18"/>
      <c r="D1" s="18"/>
      <c r="E1" s="18"/>
      <c r="G1" s="21" t="s">
        <v>29</v>
      </c>
    </row>
    <row r="2" spans="1:15" x14ac:dyDescent="0.25">
      <c r="A2" s="19"/>
      <c r="B2" s="19"/>
      <c r="C2" s="19"/>
      <c r="D2" s="19"/>
      <c r="E2" s="19"/>
    </row>
    <row r="3" spans="1:15" x14ac:dyDescent="0.25">
      <c r="A3" s="20" t="s">
        <v>0</v>
      </c>
      <c r="B3" s="20" t="s">
        <v>1</v>
      </c>
      <c r="C3" s="20" t="s">
        <v>10</v>
      </c>
      <c r="D3" s="20" t="s">
        <v>11</v>
      </c>
      <c r="E3" s="20" t="s">
        <v>24</v>
      </c>
      <c r="G3" s="14" t="s">
        <v>5</v>
      </c>
      <c r="H3" s="14"/>
      <c r="I3" s="13"/>
      <c r="J3" s="13" t="s">
        <v>13</v>
      </c>
      <c r="K3" s="13"/>
      <c r="L3" s="13"/>
      <c r="M3" s="13" t="s">
        <v>15</v>
      </c>
      <c r="N3" s="13"/>
    </row>
    <row r="4" spans="1:15" x14ac:dyDescent="0.25">
      <c r="A4" s="5">
        <v>1</v>
      </c>
      <c r="B4" s="3" t="s">
        <v>3</v>
      </c>
      <c r="C4" s="4">
        <f>8+8+8+9+8</f>
        <v>41</v>
      </c>
      <c r="D4" s="4" t="s">
        <v>12</v>
      </c>
      <c r="E4" s="7">
        <f>$K$6*C4/$H$6</f>
        <v>14.257518796992482</v>
      </c>
      <c r="G4" s="14" t="s">
        <v>7</v>
      </c>
      <c r="H4" s="14">
        <v>1.52</v>
      </c>
      <c r="I4" s="13"/>
      <c r="J4" s="13" t="s">
        <v>7</v>
      </c>
      <c r="K4" s="13">
        <v>1.8</v>
      </c>
      <c r="L4" s="13"/>
      <c r="M4" s="13" t="s">
        <v>7</v>
      </c>
      <c r="N4" s="13">
        <v>1.25</v>
      </c>
    </row>
    <row r="5" spans="1:15" x14ac:dyDescent="0.25">
      <c r="A5" s="5">
        <v>2</v>
      </c>
      <c r="B5" s="3" t="s">
        <v>4</v>
      </c>
      <c r="C5" s="4">
        <v>161</v>
      </c>
      <c r="D5" s="4" t="s">
        <v>12</v>
      </c>
      <c r="E5" s="7">
        <f>$K$6*C5/$H$6</f>
        <v>55.986842105263158</v>
      </c>
      <c r="G5" s="14" t="s">
        <v>6</v>
      </c>
      <c r="H5" s="14">
        <v>1.26</v>
      </c>
      <c r="I5" s="13"/>
      <c r="J5" s="13" t="s">
        <v>6</v>
      </c>
      <c r="K5" s="13">
        <v>0.37</v>
      </c>
      <c r="L5" s="13"/>
      <c r="M5" s="13" t="s">
        <v>6</v>
      </c>
      <c r="N5" s="13">
        <v>0.6</v>
      </c>
    </row>
    <row r="6" spans="1:15" x14ac:dyDescent="0.25">
      <c r="A6" s="5">
        <v>3</v>
      </c>
      <c r="B6" s="3" t="s">
        <v>8</v>
      </c>
      <c r="C6" s="4">
        <f>5+5+5+2+1+2</f>
        <v>20</v>
      </c>
      <c r="D6" s="4" t="s">
        <v>12</v>
      </c>
      <c r="E6" s="7">
        <f>$K$6*C6/$H$6</f>
        <v>6.9548872180451129</v>
      </c>
      <c r="G6" s="14"/>
      <c r="H6" s="16">
        <f>H4*H5</f>
        <v>1.9152</v>
      </c>
      <c r="I6" s="13"/>
      <c r="J6" s="13"/>
      <c r="K6" s="17">
        <f>K4*K5</f>
        <v>0.66600000000000004</v>
      </c>
      <c r="L6" s="13"/>
      <c r="M6" s="13"/>
      <c r="N6" s="13">
        <f>N5*N4</f>
        <v>0.75</v>
      </c>
    </row>
    <row r="7" spans="1:15" x14ac:dyDescent="0.25">
      <c r="A7" s="5">
        <v>4</v>
      </c>
      <c r="B7" s="3" t="s">
        <v>9</v>
      </c>
      <c r="C7" s="4">
        <f>5+5+2+2+1</f>
        <v>15</v>
      </c>
      <c r="D7" s="4" t="s">
        <v>12</v>
      </c>
      <c r="E7" s="7">
        <f>$K$6*C7/$H$6</f>
        <v>5.2161654135338349</v>
      </c>
    </row>
    <row r="8" spans="1:15" s="2" customFormat="1" x14ac:dyDescent="0.25">
      <c r="A8" s="5">
        <v>5</v>
      </c>
      <c r="B8" s="3" t="s">
        <v>14</v>
      </c>
      <c r="C8" s="4">
        <f>8+4</f>
        <v>12</v>
      </c>
      <c r="D8" s="4" t="s">
        <v>12</v>
      </c>
      <c r="E8" s="7">
        <f>+N6*C8/H6</f>
        <v>4.6992481203007515</v>
      </c>
      <c r="F8" s="8"/>
      <c r="G8" s="12" t="s">
        <v>17</v>
      </c>
      <c r="H8" s="12"/>
      <c r="I8" s="12"/>
      <c r="J8" s="12" t="s">
        <v>20</v>
      </c>
      <c r="K8" s="12"/>
      <c r="L8" s="12"/>
      <c r="M8" s="12" t="s">
        <v>21</v>
      </c>
      <c r="N8" s="12"/>
      <c r="O8"/>
    </row>
    <row r="9" spans="1:15" x14ac:dyDescent="0.25">
      <c r="A9" s="5">
        <v>6</v>
      </c>
      <c r="B9" s="3" t="s">
        <v>16</v>
      </c>
      <c r="C9" s="4">
        <f>10+14+9+14</f>
        <v>47</v>
      </c>
      <c r="D9" s="4" t="s">
        <v>12</v>
      </c>
      <c r="E9" s="7">
        <f>H11*C9/H6</f>
        <v>18.405388471177943</v>
      </c>
      <c r="F9" s="9"/>
      <c r="G9" s="12" t="s">
        <v>7</v>
      </c>
      <c r="H9" s="12">
        <v>1.25</v>
      </c>
      <c r="I9" s="12"/>
      <c r="J9" s="12" t="s">
        <v>7</v>
      </c>
      <c r="K9" s="12">
        <v>1.25</v>
      </c>
      <c r="L9" s="12"/>
      <c r="M9" s="12" t="s">
        <v>7</v>
      </c>
      <c r="N9" s="12">
        <v>1.2</v>
      </c>
      <c r="O9" s="2"/>
    </row>
    <row r="10" spans="1:15" x14ac:dyDescent="0.25">
      <c r="A10" s="5">
        <v>7</v>
      </c>
      <c r="B10" s="3" t="s">
        <v>18</v>
      </c>
      <c r="C10" s="4">
        <v>24</v>
      </c>
      <c r="D10" s="4" t="s">
        <v>12</v>
      </c>
      <c r="E10" s="7">
        <f>K11*C10/H6</f>
        <v>6.2656641604010028</v>
      </c>
      <c r="F10" s="9"/>
      <c r="G10" s="12" t="s">
        <v>6</v>
      </c>
      <c r="H10" s="12">
        <v>0.6</v>
      </c>
      <c r="I10" s="12"/>
      <c r="J10" s="12" t="s">
        <v>6</v>
      </c>
      <c r="K10" s="12">
        <v>0.4</v>
      </c>
      <c r="L10" s="12"/>
      <c r="M10" s="12" t="s">
        <v>6</v>
      </c>
      <c r="N10" s="12">
        <v>0.6</v>
      </c>
    </row>
    <row r="11" spans="1:15" x14ac:dyDescent="0.25">
      <c r="A11" s="5">
        <v>8</v>
      </c>
      <c r="B11" s="3" t="s">
        <v>19</v>
      </c>
      <c r="C11" s="4">
        <v>2</v>
      </c>
      <c r="D11" s="4" t="s">
        <v>22</v>
      </c>
      <c r="E11" s="7">
        <f>N11*C11/H6</f>
        <v>0.75187969924812026</v>
      </c>
      <c r="F11" s="9"/>
      <c r="G11" s="12"/>
      <c r="H11" s="12">
        <f>H9*H10</f>
        <v>0.75</v>
      </c>
      <c r="I11" s="12"/>
      <c r="J11" s="12"/>
      <c r="K11" s="12">
        <f>K9*K10</f>
        <v>0.5</v>
      </c>
      <c r="L11" s="12"/>
      <c r="M11" s="12"/>
      <c r="N11" s="12">
        <f>N9*N10</f>
        <v>0.72</v>
      </c>
    </row>
    <row r="12" spans="1:15" x14ac:dyDescent="0.25">
      <c r="A12" s="5">
        <v>9</v>
      </c>
      <c r="B12" s="3" t="s">
        <v>25</v>
      </c>
      <c r="C12" s="4">
        <v>12</v>
      </c>
      <c r="D12" s="4" t="s">
        <v>12</v>
      </c>
      <c r="E12" s="7">
        <f>H16*C13/H6</f>
        <v>0.52866541353383456</v>
      </c>
      <c r="F12" s="9"/>
    </row>
    <row r="13" spans="1:15" x14ac:dyDescent="0.25">
      <c r="A13" s="5">
        <v>10</v>
      </c>
      <c r="B13" s="3" t="s">
        <v>26</v>
      </c>
      <c r="C13" s="4">
        <v>9</v>
      </c>
      <c r="D13" s="4" t="s">
        <v>12</v>
      </c>
      <c r="E13" s="7">
        <f>K16*C13/H6</f>
        <v>3.524436090225564</v>
      </c>
      <c r="F13" s="9"/>
      <c r="G13" s="11" t="s">
        <v>27</v>
      </c>
      <c r="H13" s="11"/>
      <c r="I13" s="11"/>
      <c r="J13" s="11" t="s">
        <v>28</v>
      </c>
      <c r="K13" s="11"/>
    </row>
    <row r="14" spans="1:15" x14ac:dyDescent="0.25">
      <c r="A14" s="3"/>
      <c r="B14" s="3" t="s">
        <v>23</v>
      </c>
      <c r="C14" s="3"/>
      <c r="D14" s="3"/>
      <c r="E14" s="6">
        <f>SUM(E4:E13)</f>
        <v>116.59069548872179</v>
      </c>
      <c r="F14" s="9"/>
      <c r="G14" s="11" t="s">
        <v>7</v>
      </c>
      <c r="H14" s="11">
        <v>0.45</v>
      </c>
      <c r="I14" s="11"/>
      <c r="J14" s="11" t="s">
        <v>7</v>
      </c>
      <c r="K14" s="11">
        <v>1.5</v>
      </c>
    </row>
    <row r="15" spans="1:15" x14ac:dyDescent="0.25">
      <c r="F15" s="9"/>
      <c r="G15" s="11" t="s">
        <v>6</v>
      </c>
      <c r="H15" s="11">
        <v>0.25</v>
      </c>
      <c r="I15" s="11"/>
      <c r="J15" s="11" t="s">
        <v>6</v>
      </c>
      <c r="K15" s="11">
        <v>0.5</v>
      </c>
    </row>
    <row r="16" spans="1:15" x14ac:dyDescent="0.25">
      <c r="A16" s="1"/>
      <c r="F16" s="9"/>
      <c r="G16" s="11"/>
      <c r="H16" s="15">
        <f>H14*H15</f>
        <v>0.1125</v>
      </c>
      <c r="I16" s="11"/>
      <c r="J16" s="11"/>
      <c r="K16" s="11">
        <f>K14*K15</f>
        <v>0.75</v>
      </c>
    </row>
    <row r="17" spans="1:9" x14ac:dyDescent="0.25">
      <c r="A17" s="1"/>
      <c r="F17" s="9"/>
      <c r="G17" s="9"/>
      <c r="H17" s="9"/>
      <c r="I17" s="9"/>
    </row>
    <row r="18" spans="1:9" x14ac:dyDescent="0.25">
      <c r="F18" s="9"/>
      <c r="G18" s="9"/>
      <c r="H18" s="9"/>
      <c r="I18" s="9"/>
    </row>
    <row r="19" spans="1:9" x14ac:dyDescent="0.25">
      <c r="F19" s="10"/>
      <c r="G19" s="10"/>
      <c r="H19" s="10"/>
      <c r="I19" s="10"/>
    </row>
  </sheetData>
  <mergeCells count="1">
    <mergeCell ref="A1:E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GA-07</dc:creator>
  <cp:lastModifiedBy>GA-07</cp:lastModifiedBy>
  <dcterms:created xsi:type="dcterms:W3CDTF">2015-06-05T18:17:20Z</dcterms:created>
  <dcterms:modified xsi:type="dcterms:W3CDTF">2020-07-07T09:04:10Z</dcterms:modified>
</cp:coreProperties>
</file>