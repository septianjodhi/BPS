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ING DATA SAMI-55\A. TERM 82 MIKI\"/>
    </mc:Choice>
  </mc:AlternateContent>
  <xr:revisionPtr revIDLastSave="0" documentId="13_ncr:1_{599213F8-B96B-4147-92D9-56319B4C37C6}" xr6:coauthVersionLast="47" xr6:coauthVersionMax="47" xr10:uidLastSave="{00000000-0000-0000-0000-000000000000}"/>
  <bookViews>
    <workbookView xWindow="-120" yWindow="-120" windowWidth="24240" windowHeight="13140" xr2:uid="{A0818836-03F4-4266-8E34-D50AA881466B}"/>
  </bookViews>
  <sheets>
    <sheet name="SUSU JUNI 2022" sheetId="1" r:id="rId1"/>
  </sheets>
  <definedNames>
    <definedName name="_xlnm.Print_Area" localSheetId="0">'SUSU JUNI 2022'!$A$1:$L$48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7" i="1" l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47" i="1" s="1"/>
  <c r="K17" i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J17" i="1"/>
  <c r="G10" i="1"/>
  <c r="G11" i="1" s="1"/>
</calcChain>
</file>

<file path=xl/sharedStrings.xml><?xml version="1.0" encoding="utf-8"?>
<sst xmlns="http://schemas.openxmlformats.org/spreadsheetml/2006/main" count="57" uniqueCount="33">
  <si>
    <t>PT. SEMARANG AUTOCOMP MANUFACTURING INDONESIA</t>
  </si>
  <si>
    <t>PGA/GA-GS</t>
  </si>
  <si>
    <t>Sisa Mei 2022</t>
  </si>
  <si>
    <r>
      <t xml:space="preserve">DATA </t>
    </r>
    <r>
      <rPr>
        <b/>
        <sz val="26"/>
        <rFont val="Algerian"/>
        <family val="5"/>
      </rPr>
      <t>SUSU</t>
    </r>
    <r>
      <rPr>
        <b/>
        <sz val="20"/>
        <rFont val="Calibri"/>
        <family val="2"/>
        <scheme val="minor"/>
      </rPr>
      <t xml:space="preserve">  BULAN JUNI 2022</t>
    </r>
  </si>
  <si>
    <t>Invoice ditagihkan di bulan Juni 2022</t>
  </si>
  <si>
    <t>PGA-GA-2206-136</t>
  </si>
  <si>
    <t>PR</t>
  </si>
  <si>
    <t>VP</t>
  </si>
  <si>
    <t>PO Juni 2022</t>
  </si>
  <si>
    <t xml:space="preserve">Total </t>
  </si>
  <si>
    <t>DATA SUSU  BULAN JUNI 2022</t>
  </si>
  <si>
    <t>NOMOR PO</t>
  </si>
  <si>
    <t>PERIODE</t>
  </si>
  <si>
    <t>HARI</t>
  </si>
  <si>
    <t>TANGGAL</t>
  </si>
  <si>
    <t>Stok  
/kedatangan</t>
  </si>
  <si>
    <t xml:space="preserve"> Pembagian
           A</t>
  </si>
  <si>
    <t>TOTAL
SHIFT A+B</t>
  </si>
  <si>
    <t>Sisa Qty/ Stok akhir</t>
  </si>
  <si>
    <t>A</t>
  </si>
  <si>
    <t>SHIFT I</t>
  </si>
  <si>
    <t>SHIFT II</t>
  </si>
  <si>
    <t>C= A-B</t>
  </si>
  <si>
    <t>GA/SUSU/VI/2022/001</t>
  </si>
  <si>
    <t>06/2022</t>
  </si>
  <si>
    <t>Rabu</t>
  </si>
  <si>
    <t>Kamis</t>
  </si>
  <si>
    <t>Jum'at</t>
  </si>
  <si>
    <t>Sabtu</t>
  </si>
  <si>
    <t>Minggu</t>
  </si>
  <si>
    <t>Senin</t>
  </si>
  <si>
    <t>Selasa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</si>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</sst>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;@"/>
    <numFmt numFmtId="165" formatCode="_(* #,##0.00_);_(* \(#,##0.00\);_(* &quot;-&quot;??_);_(@_)"/>
    <numFmt numFmtId="166" formatCode="_(* #,##0_);_(* \(#,##0\);_(* &quot;-&quot;??_);_(@_)"/>
    <numFmt numFmtId="167" formatCode="_-[$Rp-421]* #,##0_ ;_-[$Rp-421]* \-#,##0\ ;_-[$Rp-421]* &quot;-&quot;_ ;_-@_ "/>
    <numFmt numFmtId="168" formatCode="_-[$Rp-421]* #,##0_-;\-[$Rp-421]* #,##0_-;_-[$Rp-421]* &quot;-&quot;_-;_-@_-"/>
  </numFmts>
  <fonts count="18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0"/>
      <name val="Calibri"/>
      <family val="2"/>
      <scheme val="minor"/>
    </font>
    <font>
      <i/>
      <sz val="10"/>
      <name val="Arial Unicode MS"/>
      <family val="2"/>
    </font>
    <font>
      <b/>
      <sz val="10"/>
      <name val="Calibri"/>
      <family val="2"/>
      <scheme val="minor"/>
    </font>
    <font>
      <i/>
      <sz val="9"/>
      <name val="Arial Unicode MS"/>
      <family val="2"/>
    </font>
    <font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6"/>
      <name val="Algerian"/>
      <family val="5"/>
    </font>
    <font>
      <i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erlin Sans FB Demi"/>
      <family val="2"/>
    </font>
    <font>
      <b/>
      <sz val="25"/>
      <name val="Berlin Sans FB Dem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mediumDashDotDot">
        <color auto="1"/>
      </left>
      <right/>
      <top style="mediumDashDotDot">
        <color auto="1"/>
      </top>
      <bottom/>
      <diagonal/>
    </border>
    <border>
      <left/>
      <right/>
      <top style="mediumDashDotDot">
        <color auto="1"/>
      </top>
      <bottom/>
      <diagonal/>
    </border>
    <border>
      <left style="mediumDashDotDot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DotDot">
        <color auto="1"/>
      </left>
      <right/>
      <top/>
      <bottom style="mediumDashDotDot">
        <color auto="1"/>
      </bottom>
      <diagonal/>
    </border>
    <border>
      <left/>
      <right/>
      <top/>
      <bottom style="mediumDashDotDot">
        <color auto="1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6" fontId="10" fillId="0" borderId="4" xfId="1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vertical="center"/>
    </xf>
    <xf numFmtId="167" fontId="10" fillId="0" borderId="4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7" fontId="4" fillId="0" borderId="4" xfId="0" applyNumberFormat="1" applyFont="1" applyBorder="1" applyAlignment="1">
      <alignment horizontal="center" vertical="center"/>
    </xf>
    <xf numFmtId="168" fontId="4" fillId="0" borderId="4" xfId="1" applyNumberFormat="1" applyFont="1" applyBorder="1" applyAlignment="1">
      <alignment horizontal="center" vertical="center"/>
    </xf>
    <xf numFmtId="166" fontId="7" fillId="0" borderId="8" xfId="1" applyNumberFormat="1" applyFont="1" applyFill="1" applyBorder="1" applyAlignment="1">
      <alignment horizontal="center" vertical="center"/>
    </xf>
    <xf numFmtId="166" fontId="7" fillId="0" borderId="11" xfId="1" applyNumberFormat="1" applyFont="1" applyFill="1" applyBorder="1" applyAlignment="1">
      <alignment horizontal="center" vertical="center"/>
    </xf>
    <xf numFmtId="166" fontId="7" fillId="0" borderId="14" xfId="1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164" fontId="12" fillId="2" borderId="4" xfId="0" applyNumberFormat="1" applyFont="1" applyFill="1" applyBorder="1" applyAlignment="1">
      <alignment horizontal="center" vertical="center" wrapText="1"/>
    </xf>
    <xf numFmtId="164" fontId="10" fillId="2" borderId="4" xfId="0" applyNumberFormat="1" applyFont="1" applyFill="1" applyBorder="1" applyAlignment="1">
      <alignment horizontal="center" vertical="center" wrapText="1"/>
    </xf>
    <xf numFmtId="1" fontId="10" fillId="2" borderId="4" xfId="0" applyNumberFormat="1" applyFont="1" applyFill="1" applyBorder="1" applyAlignment="1">
      <alignment horizontal="center" vertical="center"/>
    </xf>
    <xf numFmtId="164" fontId="14" fillId="0" borderId="4" xfId="0" applyNumberFormat="1" applyFont="1" applyBorder="1" applyAlignment="1">
      <alignment horizontal="left" vertical="center"/>
    </xf>
    <xf numFmtId="164" fontId="14" fillId="0" borderId="4" xfId="0" applyNumberFormat="1" applyFont="1" applyBorder="1" applyAlignment="1">
      <alignment horizontal="center" vertical="center"/>
    </xf>
    <xf numFmtId="1" fontId="2" fillId="0" borderId="22" xfId="0" applyNumberFormat="1" applyFont="1" applyBorder="1" applyAlignment="1">
      <alignment vertical="center"/>
    </xf>
    <xf numFmtId="1" fontId="2" fillId="0" borderId="22" xfId="0" applyNumberFormat="1" applyFont="1" applyBorder="1" applyAlignment="1">
      <alignment horizontal="center" vertical="center"/>
    </xf>
    <xf numFmtId="1" fontId="15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right" vertical="center"/>
    </xf>
    <xf numFmtId="1" fontId="2" fillId="0" borderId="4" xfId="0" applyNumberFormat="1" applyFont="1" applyBorder="1" applyAlignment="1">
      <alignment vertical="center"/>
    </xf>
    <xf numFmtId="1" fontId="2" fillId="0" borderId="4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 wrapText="1"/>
    </xf>
    <xf numFmtId="17" fontId="12" fillId="0" borderId="23" xfId="0" quotePrefix="1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1" fontId="7" fillId="2" borderId="4" xfId="0" applyNumberFormat="1" applyFont="1" applyFill="1" applyBorder="1" applyAlignment="1">
      <alignment horizontal="center" vertical="center"/>
    </xf>
    <xf numFmtId="1" fontId="17" fillId="2" borderId="4" xfId="0" applyNumberFormat="1" applyFont="1" applyFill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17" fontId="12" fillId="0" borderId="18" xfId="0" quotePrefix="1" applyNumberFormat="1" applyFont="1" applyBorder="1" applyAlignment="1">
      <alignment horizontal="center" vertical="center" wrapText="1"/>
    </xf>
    <xf numFmtId="17" fontId="12" fillId="0" borderId="21" xfId="0" quotePrefix="1" applyNumberFormat="1" applyFont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164" fontId="9" fillId="0" borderId="15" xfId="0" applyNumberFormat="1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164" fontId="12" fillId="2" borderId="4" xfId="0" applyNumberFormat="1" applyFont="1" applyFill="1" applyBorder="1" applyAlignment="1">
      <alignment horizontal="center" vertical="center"/>
    </xf>
    <xf numFmtId="164" fontId="12" fillId="2" borderId="4" xfId="0" applyNumberFormat="1" applyFont="1" applyFill="1" applyBorder="1" applyAlignment="1">
      <alignment horizontal="center" vertical="center" wrapText="1"/>
    </xf>
    <xf numFmtId="1" fontId="10" fillId="2" borderId="16" xfId="0" applyNumberFormat="1" applyFont="1" applyFill="1" applyBorder="1" applyAlignment="1">
      <alignment horizontal="center" vertical="center" wrapText="1"/>
    </xf>
    <xf numFmtId="1" fontId="10" fillId="2" borderId="17" xfId="0" applyNumberFormat="1" applyFont="1" applyFill="1" applyBorder="1" applyAlignment="1">
      <alignment horizontal="center" vertical="center"/>
    </xf>
    <xf numFmtId="1" fontId="10" fillId="2" borderId="19" xfId="0" applyNumberFormat="1" applyFont="1" applyFill="1" applyBorder="1" applyAlignment="1">
      <alignment horizontal="center" vertical="center"/>
    </xf>
    <xf numFmtId="1" fontId="10" fillId="2" borderId="20" xfId="0" applyNumberFormat="1" applyFont="1" applyFill="1" applyBorder="1" applyAlignment="1">
      <alignment horizontal="center" vertical="center"/>
    </xf>
    <xf numFmtId="1" fontId="10" fillId="2" borderId="18" xfId="0" applyNumberFormat="1" applyFont="1" applyFill="1" applyBorder="1" applyAlignment="1">
      <alignment horizontal="center" vertical="center" wrapText="1"/>
    </xf>
    <xf numFmtId="1" fontId="10" fillId="2" borderId="21" xfId="0" applyNumberFormat="1" applyFont="1" applyFill="1" applyBorder="1" applyAlignment="1">
      <alignment horizontal="center" vertical="center"/>
    </xf>
    <xf numFmtId="1" fontId="10" fillId="2" borderId="22" xfId="0" applyNumberFormat="1" applyFont="1" applyFill="1" applyBorder="1" applyAlignment="1">
      <alignment horizontal="center" vertical="center"/>
    </xf>
    <xf numFmtId="1" fontId="10" fillId="2" borderId="4" xfId="0" applyNumberFormat="1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167" fontId="10" fillId="0" borderId="6" xfId="0" applyNumberFormat="1" applyFont="1" applyBorder="1" applyAlignment="1">
      <alignment horizontal="center" vertical="center"/>
    </xf>
    <xf numFmtId="167" fontId="10" fillId="0" borderId="7" xfId="0" applyNumberFormat="1" applyFont="1" applyBorder="1" applyAlignment="1">
      <alignment horizontal="center" vertical="center"/>
    </xf>
    <xf numFmtId="167" fontId="10" fillId="0" borderId="9" xfId="0" applyNumberFormat="1" applyFont="1" applyBorder="1" applyAlignment="1">
      <alignment horizontal="center" vertical="center"/>
    </xf>
    <xf numFmtId="167" fontId="10" fillId="0" borderId="10" xfId="0" applyNumberFormat="1" applyFont="1" applyBorder="1" applyAlignment="1">
      <alignment horizontal="center" vertical="center"/>
    </xf>
    <xf numFmtId="167" fontId="10" fillId="0" borderId="12" xfId="0" applyNumberFormat="1" applyFont="1" applyBorder="1" applyAlignment="1">
      <alignment horizontal="center" vertical="center"/>
    </xf>
    <xf numFmtId="167" fontId="10" fillId="0" borderId="13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48</xdr:row>
      <xdr:rowOff>57150</xdr:rowOff>
    </xdr:from>
    <xdr:to>
      <xdr:col>10</xdr:col>
      <xdr:colOff>928375</xdr:colOff>
      <xdr:row>54</xdr:row>
      <xdr:rowOff>166742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ECB0D4-D73E-493C-A7D9-B9B79197C6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126" t="59081" r="57807" b="28324"/>
        <a:stretch/>
      </xdr:blipFill>
      <xdr:spPr>
        <a:xfrm>
          <a:off x="4152900" y="12944475"/>
          <a:ext cx="4405000" cy="14240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E31E-7C87-4BD3-8B36-0D48407737F9}">
  <sheetPr>
    <pageSetUpPr fitToPage="1"/>
  </sheetPr>
  <dimension ref="B1:M457"/>
  <sheetViews>
    <sheetView tabSelected="1" view="pageBreakPreview" topLeftCell="A31" zoomScaleNormal="100" zoomScaleSheetLayoutView="100" workbookViewId="0">
      <selection activeCell="T38" sqref="T38"/>
    </sheetView>
  </sheetViews>
  <sheetFormatPr defaultRowHeight="12.75"/>
  <cols>
    <col min="1" max="1" width="0.85546875" style="8" customWidth="1"/>
    <col min="2" max="2" width="3.7109375" style="8" customWidth="1"/>
    <col min="3" max="3" width="16" style="11" customWidth="1"/>
    <col min="4" max="4" width="15.7109375" style="11" customWidth="1"/>
    <col min="5" max="5" width="8.7109375" style="12" customWidth="1"/>
    <col min="6" max="6" width="10.42578125" style="13" bestFit="1" customWidth="1"/>
    <col min="7" max="7" width="17.5703125" style="13" customWidth="1"/>
    <col min="8" max="8" width="12.7109375" style="13" customWidth="1"/>
    <col min="9" max="9" width="12.7109375" style="14" customWidth="1"/>
    <col min="10" max="10" width="16" style="14" customWidth="1"/>
    <col min="11" max="11" width="14.140625" style="23" customWidth="1"/>
    <col min="12" max="12" width="4.85546875" style="23" customWidth="1"/>
    <col min="13" max="13" width="0.7109375" style="8" customWidth="1"/>
    <col min="14" max="16384" width="9.140625" style="8"/>
  </cols>
  <sheetData>
    <row r="1" spans="2:13" ht="20.100000000000001" customHeight="1">
      <c r="B1" s="1"/>
      <c r="C1" s="2" t="s">
        <v>0</v>
      </c>
      <c r="D1" s="3"/>
      <c r="E1" s="4"/>
      <c r="F1" s="5"/>
      <c r="G1" s="5"/>
      <c r="H1" s="5"/>
      <c r="I1" s="6"/>
      <c r="J1" s="6"/>
      <c r="K1" s="7"/>
      <c r="L1" s="7"/>
      <c r="M1" s="1"/>
    </row>
    <row r="2" spans="2:13" ht="20.100000000000001" customHeight="1">
      <c r="B2" s="9"/>
      <c r="C2" s="10" t="s">
        <v>1</v>
      </c>
      <c r="K2" s="15" t="s">
        <v>2</v>
      </c>
      <c r="L2" s="16"/>
      <c r="M2" s="9"/>
    </row>
    <row r="3" spans="2:13" ht="25.5" customHeight="1">
      <c r="B3" s="9"/>
      <c r="C3" s="79" t="s">
        <v>3</v>
      </c>
      <c r="D3" s="79"/>
      <c r="E3" s="79"/>
      <c r="F3" s="79"/>
      <c r="G3" s="79"/>
      <c r="H3" s="79"/>
      <c r="I3" s="79"/>
      <c r="J3" s="80"/>
      <c r="K3" s="15"/>
      <c r="L3" s="16"/>
      <c r="M3" s="9"/>
    </row>
    <row r="4" spans="2:13" ht="20.100000000000001" customHeight="1">
      <c r="B4" s="9"/>
      <c r="C4" s="81" t="s">
        <v>4</v>
      </c>
      <c r="D4" s="81"/>
      <c r="E4" s="81"/>
      <c r="F4" s="81"/>
      <c r="G4" s="81"/>
      <c r="H4" s="81"/>
      <c r="I4" s="81"/>
      <c r="J4" s="82"/>
      <c r="K4" s="17"/>
      <c r="L4" s="16"/>
      <c r="M4" s="9"/>
    </row>
    <row r="5" spans="2:13" ht="20.100000000000001" customHeight="1">
      <c r="B5" s="9"/>
      <c r="C5" s="18" t="s">
        <v>5</v>
      </c>
      <c r="D5" s="19"/>
      <c r="E5" s="20"/>
      <c r="F5" s="20"/>
      <c r="K5" s="14"/>
      <c r="L5" s="21"/>
      <c r="M5" s="9"/>
    </row>
    <row r="6" spans="2:13" ht="20.100000000000001" customHeight="1">
      <c r="B6" s="9"/>
      <c r="C6" s="18" t="s">
        <v>6</v>
      </c>
      <c r="D6" s="22" t="s">
        <v>7</v>
      </c>
      <c r="E6" s="20"/>
      <c r="F6" s="20"/>
      <c r="M6" s="9"/>
    </row>
    <row r="7" spans="2:13" ht="20.100000000000001" customHeight="1">
      <c r="B7" s="9"/>
      <c r="C7" s="24">
        <v>14000000</v>
      </c>
      <c r="D7" s="25">
        <v>14000000</v>
      </c>
      <c r="E7" s="20"/>
      <c r="F7" s="20"/>
      <c r="M7" s="9"/>
    </row>
    <row r="8" spans="2:13" ht="20.100000000000001" customHeight="1" thickBot="1">
      <c r="B8" s="9"/>
      <c r="C8" s="8"/>
      <c r="D8" s="8"/>
      <c r="E8" s="20"/>
      <c r="F8" s="20"/>
      <c r="M8" s="9"/>
    </row>
    <row r="9" spans="2:13" ht="20.100000000000001" customHeight="1">
      <c r="B9" s="9"/>
      <c r="C9" s="83" t="s">
        <v>8</v>
      </c>
      <c r="D9" s="84"/>
      <c r="E9" s="84"/>
      <c r="F9" s="84"/>
      <c r="G9" s="26">
        <v>7000</v>
      </c>
      <c r="M9" s="9"/>
    </row>
    <row r="10" spans="2:13" ht="20.100000000000001" customHeight="1">
      <c r="B10" s="9"/>
      <c r="C10" s="85" t="s">
        <v>2</v>
      </c>
      <c r="D10" s="86"/>
      <c r="E10" s="86"/>
      <c r="F10" s="86"/>
      <c r="G10" s="27">
        <f>G17</f>
        <v>0</v>
      </c>
      <c r="M10" s="9"/>
    </row>
    <row r="11" spans="2:13" ht="20.100000000000001" customHeight="1" thickBot="1">
      <c r="B11" s="9"/>
      <c r="C11" s="87" t="s">
        <v>9</v>
      </c>
      <c r="D11" s="88"/>
      <c r="E11" s="88"/>
      <c r="F11" s="88"/>
      <c r="G11" s="28">
        <f>+G9+G10</f>
        <v>7000</v>
      </c>
      <c r="M11" s="9"/>
    </row>
    <row r="12" spans="2:13" ht="30" customHeight="1">
      <c r="B12" s="9"/>
      <c r="C12" s="79" t="s">
        <v>10</v>
      </c>
      <c r="D12" s="79"/>
      <c r="E12" s="79"/>
      <c r="F12" s="79"/>
      <c r="G12" s="79"/>
      <c r="H12" s="79"/>
      <c r="I12" s="79"/>
      <c r="J12" s="79"/>
      <c r="K12" s="79"/>
      <c r="L12" s="29"/>
      <c r="M12" s="9"/>
    </row>
    <row r="13" spans="2:13" ht="20.100000000000001" customHeight="1">
      <c r="B13" s="9"/>
      <c r="C13" s="67"/>
      <c r="D13" s="67"/>
      <c r="E13" s="67"/>
      <c r="F13" s="67"/>
      <c r="G13" s="67"/>
      <c r="H13" s="67"/>
      <c r="I13" s="67"/>
      <c r="J13" s="67"/>
      <c r="K13" s="67"/>
      <c r="L13" s="20"/>
      <c r="M13" s="9"/>
    </row>
    <row r="14" spans="2:13" s="31" customFormat="1" ht="21" customHeight="1">
      <c r="B14" s="30"/>
      <c r="C14" s="68" t="s">
        <v>11</v>
      </c>
      <c r="D14" s="68" t="s">
        <v>12</v>
      </c>
      <c r="E14" s="69" t="s">
        <v>13</v>
      </c>
      <c r="F14" s="69" t="s">
        <v>14</v>
      </c>
      <c r="G14" s="70" t="s">
        <v>15</v>
      </c>
      <c r="H14" s="71" t="s">
        <v>16</v>
      </c>
      <c r="I14" s="72"/>
      <c r="J14" s="75" t="s">
        <v>17</v>
      </c>
      <c r="K14" s="78" t="s">
        <v>18</v>
      </c>
      <c r="L14" s="20"/>
      <c r="M14" s="30"/>
    </row>
    <row r="15" spans="2:13" s="31" customFormat="1" ht="21" customHeight="1">
      <c r="B15" s="30"/>
      <c r="C15" s="68"/>
      <c r="D15" s="68"/>
      <c r="E15" s="69"/>
      <c r="F15" s="69"/>
      <c r="G15" s="70"/>
      <c r="H15" s="73"/>
      <c r="I15" s="74"/>
      <c r="J15" s="76"/>
      <c r="K15" s="78"/>
      <c r="L15" s="20"/>
      <c r="M15" s="30"/>
    </row>
    <row r="16" spans="2:13" s="31" customFormat="1" ht="25.5" customHeight="1">
      <c r="B16" s="30"/>
      <c r="C16" s="68"/>
      <c r="D16" s="68"/>
      <c r="E16" s="69"/>
      <c r="F16" s="69"/>
      <c r="G16" s="32" t="s">
        <v>19</v>
      </c>
      <c r="H16" s="33" t="s">
        <v>20</v>
      </c>
      <c r="I16" s="34" t="s">
        <v>21</v>
      </c>
      <c r="J16" s="77"/>
      <c r="K16" s="34" t="s">
        <v>22</v>
      </c>
      <c r="L16" s="20"/>
      <c r="M16" s="30"/>
    </row>
    <row r="17" spans="2:13" s="31" customFormat="1" ht="21" customHeight="1">
      <c r="B17" s="30"/>
      <c r="C17" s="60" t="s">
        <v>23</v>
      </c>
      <c r="D17" s="62" t="s">
        <v>24</v>
      </c>
      <c r="E17" s="35" t="s">
        <v>25</v>
      </c>
      <c r="F17" s="36">
        <v>44713</v>
      </c>
      <c r="G17" s="37"/>
      <c r="H17" s="38">
        <v>194</v>
      </c>
      <c r="I17" s="39">
        <v>142</v>
      </c>
      <c r="J17" s="39">
        <f>+H17+I17</f>
        <v>336</v>
      </c>
      <c r="K17" s="40">
        <f>+G17-J17</f>
        <v>-336</v>
      </c>
      <c r="L17" s="23"/>
      <c r="M17" s="30"/>
    </row>
    <row r="18" spans="2:13" s="31" customFormat="1" ht="24" customHeight="1">
      <c r="B18" s="30"/>
      <c r="C18" s="61"/>
      <c r="D18" s="63"/>
      <c r="E18" s="41" t="s">
        <v>26</v>
      </c>
      <c r="F18" s="42">
        <v>44714</v>
      </c>
      <c r="G18" s="38"/>
      <c r="H18" s="38">
        <v>98</v>
      </c>
      <c r="I18" s="39">
        <v>76</v>
      </c>
      <c r="J18" s="39">
        <f t="shared" ref="J18:J46" si="0">+H18+I18</f>
        <v>174</v>
      </c>
      <c r="K18" s="40">
        <f>+K17+G18-J18</f>
        <v>-510</v>
      </c>
      <c r="L18" s="23"/>
      <c r="M18" s="30"/>
    </row>
    <row r="19" spans="2:13" s="31" customFormat="1" ht="21" customHeight="1">
      <c r="B19" s="30"/>
      <c r="C19" s="61"/>
      <c r="D19" s="63"/>
      <c r="E19" s="41" t="s">
        <v>27</v>
      </c>
      <c r="F19" s="42">
        <v>44715</v>
      </c>
      <c r="G19" s="43"/>
      <c r="H19" s="38">
        <v>100</v>
      </c>
      <c r="I19" s="39">
        <v>74</v>
      </c>
      <c r="J19" s="39">
        <f t="shared" si="0"/>
        <v>174</v>
      </c>
      <c r="K19" s="40">
        <f t="shared" ref="K19:K44" si="1">+K18+G19-J19</f>
        <v>-684</v>
      </c>
      <c r="L19" s="23"/>
      <c r="M19" s="30"/>
    </row>
    <row r="20" spans="2:13" s="31" customFormat="1" ht="21" customHeight="1">
      <c r="B20" s="30"/>
      <c r="C20" s="61"/>
      <c r="D20" s="63"/>
      <c r="E20" s="35" t="s">
        <v>28</v>
      </c>
      <c r="F20" s="36">
        <v>44716</v>
      </c>
      <c r="G20" s="44"/>
      <c r="H20" s="45">
        <v>265</v>
      </c>
      <c r="I20" s="46">
        <v>57</v>
      </c>
      <c r="J20" s="39">
        <f>+H20+I20</f>
        <v>322</v>
      </c>
      <c r="K20" s="40">
        <f t="shared" si="1"/>
        <v>-1006</v>
      </c>
      <c r="L20" s="23"/>
      <c r="M20" s="30"/>
    </row>
    <row r="21" spans="2:13" s="31" customFormat="1" ht="21" customHeight="1">
      <c r="B21" s="30"/>
      <c r="C21" s="61"/>
      <c r="D21" s="63"/>
      <c r="E21" s="35" t="s">
        <v>29</v>
      </c>
      <c r="F21" s="36">
        <v>44717</v>
      </c>
      <c r="G21" s="44"/>
      <c r="H21" s="45"/>
      <c r="I21" s="46"/>
      <c r="J21" s="39">
        <f t="shared" si="0"/>
        <v>0</v>
      </c>
      <c r="K21" s="40">
        <f t="shared" si="1"/>
        <v>-1006</v>
      </c>
      <c r="L21" s="23"/>
      <c r="M21" s="30"/>
    </row>
    <row r="22" spans="2:13" s="31" customFormat="1" ht="21" customHeight="1">
      <c r="B22" s="30"/>
      <c r="C22" s="61"/>
      <c r="D22" s="63"/>
      <c r="E22" s="41" t="s">
        <v>30</v>
      </c>
      <c r="F22" s="42">
        <v>44718</v>
      </c>
      <c r="G22" s="44"/>
      <c r="H22" s="38">
        <v>104</v>
      </c>
      <c r="I22" s="39">
        <v>65</v>
      </c>
      <c r="J22" s="39">
        <f t="shared" si="0"/>
        <v>169</v>
      </c>
      <c r="K22" s="40">
        <f t="shared" si="1"/>
        <v>-1175</v>
      </c>
      <c r="L22" s="23"/>
      <c r="M22" s="30"/>
    </row>
    <row r="23" spans="2:13" s="31" customFormat="1" ht="21" customHeight="1">
      <c r="B23" s="30"/>
      <c r="C23" s="61"/>
      <c r="D23" s="63"/>
      <c r="E23" s="41" t="s">
        <v>31</v>
      </c>
      <c r="F23" s="42">
        <v>44719</v>
      </c>
      <c r="G23" s="44"/>
      <c r="H23" s="38">
        <v>100</v>
      </c>
      <c r="I23" s="39">
        <v>71</v>
      </c>
      <c r="J23" s="39">
        <f t="shared" si="0"/>
        <v>171</v>
      </c>
      <c r="K23" s="40">
        <f t="shared" si="1"/>
        <v>-1346</v>
      </c>
      <c r="L23" s="23"/>
      <c r="M23" s="30"/>
    </row>
    <row r="24" spans="2:13" s="31" customFormat="1" ht="21" customHeight="1">
      <c r="B24" s="30"/>
      <c r="C24" s="61"/>
      <c r="D24" s="63"/>
      <c r="E24" s="41" t="s">
        <v>25</v>
      </c>
      <c r="F24" s="42">
        <v>44720</v>
      </c>
      <c r="G24" s="44"/>
      <c r="H24" s="38">
        <v>92</v>
      </c>
      <c r="I24" s="39">
        <v>75</v>
      </c>
      <c r="J24" s="39">
        <f t="shared" si="0"/>
        <v>167</v>
      </c>
      <c r="K24" s="40">
        <f t="shared" si="1"/>
        <v>-1513</v>
      </c>
      <c r="L24" s="23"/>
      <c r="M24" s="30"/>
    </row>
    <row r="25" spans="2:13" s="31" customFormat="1" ht="21" customHeight="1">
      <c r="B25" s="30"/>
      <c r="C25" s="61"/>
      <c r="D25" s="63"/>
      <c r="E25" s="41" t="s">
        <v>26</v>
      </c>
      <c r="F25" s="42">
        <v>44721</v>
      </c>
      <c r="G25" s="44"/>
      <c r="H25" s="38">
        <v>99</v>
      </c>
      <c r="I25" s="39">
        <v>65</v>
      </c>
      <c r="J25" s="39">
        <f t="shared" si="0"/>
        <v>164</v>
      </c>
      <c r="K25" s="40">
        <f t="shared" si="1"/>
        <v>-1677</v>
      </c>
      <c r="L25" s="23"/>
      <c r="M25" s="30"/>
    </row>
    <row r="26" spans="2:13" s="31" customFormat="1" ht="21" customHeight="1">
      <c r="B26" s="30"/>
      <c r="C26" s="61"/>
      <c r="D26" s="63"/>
      <c r="E26" s="41" t="s">
        <v>27</v>
      </c>
      <c r="F26" s="42">
        <v>44722</v>
      </c>
      <c r="G26" s="44"/>
      <c r="H26" s="38">
        <v>100</v>
      </c>
      <c r="I26" s="39">
        <v>74</v>
      </c>
      <c r="J26" s="39">
        <f t="shared" si="0"/>
        <v>174</v>
      </c>
      <c r="K26" s="40">
        <f t="shared" si="1"/>
        <v>-1851</v>
      </c>
      <c r="L26" s="23">
        <v>1722</v>
      </c>
      <c r="M26" s="30"/>
    </row>
    <row r="27" spans="2:13" s="31" customFormat="1" ht="21" customHeight="1">
      <c r="B27" s="30"/>
      <c r="C27" s="61"/>
      <c r="D27" s="63"/>
      <c r="E27" s="35" t="s">
        <v>28</v>
      </c>
      <c r="F27" s="36">
        <v>44723</v>
      </c>
      <c r="G27" s="44"/>
      <c r="H27" s="45">
        <v>198</v>
      </c>
      <c r="I27" s="46">
        <v>0</v>
      </c>
      <c r="J27" s="39">
        <f t="shared" si="0"/>
        <v>198</v>
      </c>
      <c r="K27" s="40">
        <f t="shared" si="1"/>
        <v>-2049</v>
      </c>
      <c r="L27" s="23"/>
      <c r="M27" s="30"/>
    </row>
    <row r="28" spans="2:13" s="31" customFormat="1" ht="21" customHeight="1">
      <c r="B28" s="30"/>
      <c r="C28" s="61"/>
      <c r="D28" s="63"/>
      <c r="E28" s="35" t="s">
        <v>29</v>
      </c>
      <c r="F28" s="36">
        <v>44724</v>
      </c>
      <c r="G28" s="44"/>
      <c r="H28" s="45"/>
      <c r="I28" s="46"/>
      <c r="J28" s="39">
        <f t="shared" si="0"/>
        <v>0</v>
      </c>
      <c r="K28" s="40">
        <f t="shared" si="1"/>
        <v>-2049</v>
      </c>
      <c r="L28" s="23"/>
      <c r="M28" s="30"/>
    </row>
    <row r="29" spans="2:13" s="31" customFormat="1" ht="21" customHeight="1">
      <c r="B29" s="30"/>
      <c r="C29" s="61"/>
      <c r="D29" s="63"/>
      <c r="E29" s="41" t="s">
        <v>30</v>
      </c>
      <c r="F29" s="42">
        <v>44725</v>
      </c>
      <c r="G29" s="44"/>
      <c r="H29" s="38">
        <v>99</v>
      </c>
      <c r="I29" s="39">
        <v>73</v>
      </c>
      <c r="J29" s="39">
        <f t="shared" si="0"/>
        <v>172</v>
      </c>
      <c r="K29" s="40">
        <f t="shared" si="1"/>
        <v>-2221</v>
      </c>
      <c r="L29" s="23"/>
      <c r="M29" s="30"/>
    </row>
    <row r="30" spans="2:13" s="31" customFormat="1" ht="21" customHeight="1">
      <c r="B30" s="30"/>
      <c r="C30" s="61"/>
      <c r="D30" s="63"/>
      <c r="E30" s="41" t="s">
        <v>31</v>
      </c>
      <c r="F30" s="42">
        <v>44726</v>
      </c>
      <c r="G30" s="44"/>
      <c r="H30" s="38">
        <v>100</v>
      </c>
      <c r="I30" s="39">
        <v>72</v>
      </c>
      <c r="J30" s="39">
        <f t="shared" si="0"/>
        <v>172</v>
      </c>
      <c r="K30" s="40">
        <f t="shared" si="1"/>
        <v>-2393</v>
      </c>
      <c r="L30" s="23"/>
      <c r="M30" s="30"/>
    </row>
    <row r="31" spans="2:13" s="31" customFormat="1" ht="21" customHeight="1">
      <c r="B31" s="30"/>
      <c r="C31" s="61"/>
      <c r="D31" s="63"/>
      <c r="E31" s="41" t="s">
        <v>25</v>
      </c>
      <c r="F31" s="42">
        <v>44727</v>
      </c>
      <c r="G31" s="44"/>
      <c r="H31" s="38">
        <v>97</v>
      </c>
      <c r="I31" s="39">
        <v>74</v>
      </c>
      <c r="J31" s="39">
        <f t="shared" si="0"/>
        <v>171</v>
      </c>
      <c r="K31" s="40">
        <f t="shared" si="1"/>
        <v>-2564</v>
      </c>
      <c r="L31" s="23"/>
      <c r="M31" s="30"/>
    </row>
    <row r="32" spans="2:13" s="31" customFormat="1" ht="21" customHeight="1">
      <c r="B32" s="30"/>
      <c r="C32" s="61"/>
      <c r="D32" s="63"/>
      <c r="E32" s="41" t="s">
        <v>26</v>
      </c>
      <c r="F32" s="42">
        <v>44728</v>
      </c>
      <c r="G32" s="44"/>
      <c r="H32" s="38">
        <v>108</v>
      </c>
      <c r="I32" s="39">
        <v>70</v>
      </c>
      <c r="J32" s="39">
        <f t="shared" si="0"/>
        <v>178</v>
      </c>
      <c r="K32" s="40">
        <f t="shared" si="1"/>
        <v>-2742</v>
      </c>
      <c r="L32" s="23"/>
      <c r="M32" s="30"/>
    </row>
    <row r="33" spans="2:13" s="31" customFormat="1" ht="21" customHeight="1">
      <c r="B33" s="30"/>
      <c r="C33" s="61"/>
      <c r="D33" s="63"/>
      <c r="E33" s="41" t="s">
        <v>27</v>
      </c>
      <c r="F33" s="42">
        <v>44729</v>
      </c>
      <c r="G33" s="44">
        <v>3000</v>
      </c>
      <c r="H33" s="38">
        <v>112</v>
      </c>
      <c r="I33" s="39">
        <v>74</v>
      </c>
      <c r="J33" s="39">
        <f t="shared" si="0"/>
        <v>186</v>
      </c>
      <c r="K33" s="40">
        <f t="shared" si="1"/>
        <v>72</v>
      </c>
      <c r="L33" s="23">
        <v>645</v>
      </c>
      <c r="M33" s="30"/>
    </row>
    <row r="34" spans="2:13" s="31" customFormat="1" ht="21" customHeight="1">
      <c r="B34" s="30"/>
      <c r="C34" s="61"/>
      <c r="D34" s="63"/>
      <c r="E34" s="35" t="s">
        <v>28</v>
      </c>
      <c r="F34" s="36">
        <v>44730</v>
      </c>
      <c r="G34" s="44"/>
      <c r="H34" s="45">
        <v>181</v>
      </c>
      <c r="I34" s="46"/>
      <c r="J34" s="39">
        <f t="shared" si="0"/>
        <v>181</v>
      </c>
      <c r="K34" s="40">
        <f t="shared" si="1"/>
        <v>-109</v>
      </c>
      <c r="L34" s="23"/>
      <c r="M34" s="30"/>
    </row>
    <row r="35" spans="2:13" s="31" customFormat="1" ht="21" customHeight="1">
      <c r="B35" s="30"/>
      <c r="C35" s="61"/>
      <c r="D35" s="63"/>
      <c r="E35" s="35" t="s">
        <v>29</v>
      </c>
      <c r="F35" s="36">
        <v>44731</v>
      </c>
      <c r="G35" s="44"/>
      <c r="H35" s="45"/>
      <c r="I35" s="46"/>
      <c r="J35" s="39">
        <f t="shared" si="0"/>
        <v>0</v>
      </c>
      <c r="K35" s="40">
        <f t="shared" si="1"/>
        <v>-109</v>
      </c>
      <c r="L35" s="23"/>
      <c r="M35" s="30"/>
    </row>
    <row r="36" spans="2:13" s="31" customFormat="1" ht="21" customHeight="1">
      <c r="B36" s="30"/>
      <c r="C36" s="61"/>
      <c r="D36" s="63"/>
      <c r="E36" s="41" t="s">
        <v>30</v>
      </c>
      <c r="F36" s="42">
        <v>44732</v>
      </c>
      <c r="G36" s="44"/>
      <c r="H36" s="38">
        <v>104</v>
      </c>
      <c r="I36" s="39">
        <v>73</v>
      </c>
      <c r="J36" s="39">
        <f t="shared" si="0"/>
        <v>177</v>
      </c>
      <c r="K36" s="40">
        <f t="shared" si="1"/>
        <v>-286</v>
      </c>
      <c r="L36" s="23"/>
      <c r="M36" s="30"/>
    </row>
    <row r="37" spans="2:13" s="31" customFormat="1" ht="21" customHeight="1">
      <c r="B37" s="30"/>
      <c r="C37" s="61"/>
      <c r="D37" s="63"/>
      <c r="E37" s="41" t="s">
        <v>31</v>
      </c>
      <c r="F37" s="42">
        <v>44733</v>
      </c>
      <c r="G37" s="44"/>
      <c r="H37" s="38">
        <v>97</v>
      </c>
      <c r="I37" s="39">
        <v>73</v>
      </c>
      <c r="J37" s="39">
        <f t="shared" si="0"/>
        <v>170</v>
      </c>
      <c r="K37" s="40">
        <f t="shared" si="1"/>
        <v>-456</v>
      </c>
      <c r="L37" s="23"/>
      <c r="M37" s="30"/>
    </row>
    <row r="38" spans="2:13" s="31" customFormat="1" ht="21" customHeight="1">
      <c r="B38" s="30"/>
      <c r="C38" s="61"/>
      <c r="D38" s="63"/>
      <c r="E38" s="41" t="s">
        <v>25</v>
      </c>
      <c r="F38" s="42">
        <v>44734</v>
      </c>
      <c r="G38" s="44"/>
      <c r="H38" s="38">
        <v>105</v>
      </c>
      <c r="I38" s="39">
        <v>85</v>
      </c>
      <c r="J38" s="39">
        <f t="shared" si="0"/>
        <v>190</v>
      </c>
      <c r="K38" s="40">
        <f t="shared" si="1"/>
        <v>-646</v>
      </c>
      <c r="L38" s="23"/>
      <c r="M38" s="30"/>
    </row>
    <row r="39" spans="2:13" s="31" customFormat="1" ht="21" customHeight="1">
      <c r="B39" s="30"/>
      <c r="C39" s="61"/>
      <c r="D39" s="63"/>
      <c r="E39" s="41" t="s">
        <v>26</v>
      </c>
      <c r="F39" s="42">
        <v>44735</v>
      </c>
      <c r="G39" s="44"/>
      <c r="H39" s="38">
        <v>115</v>
      </c>
      <c r="I39" s="39">
        <v>85</v>
      </c>
      <c r="J39" s="39">
        <f t="shared" si="0"/>
        <v>200</v>
      </c>
      <c r="K39" s="40">
        <f t="shared" si="1"/>
        <v>-846</v>
      </c>
      <c r="L39" s="23"/>
      <c r="M39" s="30"/>
    </row>
    <row r="40" spans="2:13" s="31" customFormat="1" ht="21" customHeight="1">
      <c r="B40" s="30"/>
      <c r="C40" s="61"/>
      <c r="D40" s="63"/>
      <c r="E40" s="41" t="s">
        <v>27</v>
      </c>
      <c r="F40" s="42">
        <v>44736</v>
      </c>
      <c r="G40" s="44"/>
      <c r="H40" s="38">
        <v>115</v>
      </c>
      <c r="I40" s="39">
        <v>85</v>
      </c>
      <c r="J40" s="39">
        <f t="shared" si="0"/>
        <v>200</v>
      </c>
      <c r="K40" s="40">
        <f t="shared" si="1"/>
        <v>-1046</v>
      </c>
      <c r="L40" s="23"/>
      <c r="M40" s="30"/>
    </row>
    <row r="41" spans="2:13" s="31" customFormat="1" ht="21" customHeight="1">
      <c r="B41" s="30"/>
      <c r="C41" s="61"/>
      <c r="D41" s="63"/>
      <c r="E41" s="35" t="s">
        <v>28</v>
      </c>
      <c r="F41" s="36">
        <v>44737</v>
      </c>
      <c r="G41" s="44"/>
      <c r="H41" s="45">
        <v>100</v>
      </c>
      <c r="I41" s="47">
        <v>100</v>
      </c>
      <c r="J41" s="39">
        <f t="shared" si="0"/>
        <v>200</v>
      </c>
      <c r="K41" s="40">
        <f t="shared" si="1"/>
        <v>-1246</v>
      </c>
      <c r="L41" s="23"/>
      <c r="M41" s="30"/>
    </row>
    <row r="42" spans="2:13" s="31" customFormat="1" ht="21" customHeight="1">
      <c r="B42" s="30"/>
      <c r="C42" s="61"/>
      <c r="D42" s="63"/>
      <c r="E42" s="35" t="s">
        <v>29</v>
      </c>
      <c r="F42" s="36">
        <v>44738</v>
      </c>
      <c r="G42" s="44"/>
      <c r="H42" s="45"/>
      <c r="I42" s="47"/>
      <c r="J42" s="39">
        <f t="shared" si="0"/>
        <v>0</v>
      </c>
      <c r="K42" s="40">
        <f t="shared" si="1"/>
        <v>-1246</v>
      </c>
      <c r="L42" s="23"/>
      <c r="M42" s="30"/>
    </row>
    <row r="43" spans="2:13" s="31" customFormat="1" ht="21" customHeight="1">
      <c r="B43" s="30"/>
      <c r="C43" s="61"/>
      <c r="D43" s="63"/>
      <c r="E43" s="41" t="s">
        <v>30</v>
      </c>
      <c r="F43" s="42">
        <v>44739</v>
      </c>
      <c r="G43" s="44"/>
      <c r="H43" s="38">
        <v>115</v>
      </c>
      <c r="I43" s="39">
        <v>85</v>
      </c>
      <c r="J43" s="39">
        <f t="shared" si="0"/>
        <v>200</v>
      </c>
      <c r="K43" s="40">
        <f t="shared" si="1"/>
        <v>-1446</v>
      </c>
      <c r="L43" s="23"/>
      <c r="M43" s="30"/>
    </row>
    <row r="44" spans="2:13" s="31" customFormat="1" ht="21" customHeight="1">
      <c r="B44" s="30"/>
      <c r="C44" s="61"/>
      <c r="D44" s="63"/>
      <c r="E44" s="41" t="s">
        <v>31</v>
      </c>
      <c r="F44" s="42">
        <v>44740</v>
      </c>
      <c r="G44" s="44"/>
      <c r="H44" s="38">
        <v>115</v>
      </c>
      <c r="I44" s="39">
        <v>85</v>
      </c>
      <c r="J44" s="39">
        <f t="shared" si="0"/>
        <v>200</v>
      </c>
      <c r="K44" s="40">
        <f t="shared" si="1"/>
        <v>-1646</v>
      </c>
      <c r="L44" s="23"/>
      <c r="M44" s="30"/>
    </row>
    <row r="45" spans="2:13" s="31" customFormat="1" ht="21" customHeight="1">
      <c r="B45" s="30"/>
      <c r="C45" s="48"/>
      <c r="D45" s="49"/>
      <c r="E45" s="41" t="s">
        <v>25</v>
      </c>
      <c r="F45" s="42">
        <v>44741</v>
      </c>
      <c r="G45" s="44"/>
      <c r="H45" s="38">
        <v>115</v>
      </c>
      <c r="I45" s="39">
        <v>85</v>
      </c>
      <c r="J45" s="39">
        <f t="shared" si="0"/>
        <v>200</v>
      </c>
      <c r="K45" s="40"/>
      <c r="L45" s="23"/>
      <c r="M45" s="30"/>
    </row>
    <row r="46" spans="2:13" s="31" customFormat="1" ht="21" customHeight="1">
      <c r="B46" s="30"/>
      <c r="C46" s="48"/>
      <c r="D46" s="49"/>
      <c r="E46" s="41" t="s">
        <v>26</v>
      </c>
      <c r="F46" s="42">
        <v>44742</v>
      </c>
      <c r="G46" s="44"/>
      <c r="H46" s="38">
        <v>115</v>
      </c>
      <c r="I46" s="39">
        <v>85</v>
      </c>
      <c r="J46" s="39">
        <f t="shared" si="0"/>
        <v>200</v>
      </c>
      <c r="K46" s="40"/>
      <c r="L46" s="23"/>
      <c r="M46" s="30"/>
    </row>
    <row r="47" spans="2:13" s="54" customFormat="1" ht="30.75">
      <c r="B47" s="50"/>
      <c r="C47" s="51"/>
      <c r="D47" s="64" t="s">
        <v>32</v>
      </c>
      <c r="E47" s="65"/>
      <c r="F47" s="66"/>
      <c r="G47" s="52">
        <f>SUM(G17:G44)</f>
        <v>3000</v>
      </c>
      <c r="H47" s="52"/>
      <c r="I47" s="53"/>
      <c r="J47" s="53">
        <f>SUM(J17:J46)</f>
        <v>5046</v>
      </c>
      <c r="K47" s="53"/>
      <c r="L47" s="23"/>
      <c r="M47" s="50"/>
    </row>
    <row r="48" spans="2:13" ht="13.5" thickBot="1">
      <c r="B48" s="55"/>
      <c r="C48" s="56"/>
      <c r="D48" s="56"/>
      <c r="E48" s="56"/>
      <c r="F48" s="57"/>
      <c r="G48" s="57"/>
      <c r="H48" s="57"/>
      <c r="I48" s="58"/>
      <c r="J48" s="58"/>
      <c r="K48" s="59"/>
      <c r="L48" s="59"/>
      <c r="M48" s="9"/>
    </row>
    <row r="49" spans="13:13">
      <c r="M49" s="9"/>
    </row>
    <row r="50" spans="13:13">
      <c r="M50" s="9"/>
    </row>
    <row r="51" spans="13:13" ht="20.100000000000001" customHeight="1">
      <c r="M51" s="9"/>
    </row>
    <row r="52" spans="13:13" ht="20.100000000000001" customHeight="1">
      <c r="M52" s="9"/>
    </row>
    <row r="53" spans="13:13" ht="20.100000000000001" customHeight="1">
      <c r="M53" s="9"/>
    </row>
    <row r="54" spans="13:13" ht="20.100000000000001" customHeight="1" thickBot="1">
      <c r="M54" s="55"/>
    </row>
    <row r="55" spans="13:13" ht="20.100000000000001" customHeight="1"/>
    <row r="56" spans="13:13" ht="20.100000000000001" customHeight="1"/>
    <row r="57" spans="13:13" ht="20.100000000000001" customHeight="1"/>
    <row r="58" spans="13:13" ht="20.100000000000001" customHeight="1"/>
    <row r="59" spans="13:13" ht="20.100000000000001" customHeight="1"/>
    <row r="60" spans="13:13" ht="20.100000000000001" customHeight="1"/>
    <row r="61" spans="13:13" ht="20.100000000000001" customHeight="1"/>
    <row r="62" spans="13:13" ht="20.100000000000001" customHeight="1"/>
    <row r="63" spans="13:13" ht="20.100000000000001" customHeight="1"/>
    <row r="64" spans="13:13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15" customHeight="1"/>
    <row r="455" ht="15" customHeight="1"/>
    <row r="456" ht="15" customHeight="1"/>
    <row r="457" ht="15" customHeight="1"/>
  </sheetData>
  <mergeCells count="18">
    <mergeCell ref="C12:K12"/>
    <mergeCell ref="C3:J3"/>
    <mergeCell ref="C4:J4"/>
    <mergeCell ref="C9:F9"/>
    <mergeCell ref="C10:F10"/>
    <mergeCell ref="C11:F11"/>
    <mergeCell ref="C17:C44"/>
    <mergeCell ref="D17:D44"/>
    <mergeCell ref="D47:F47"/>
    <mergeCell ref="C13:K13"/>
    <mergeCell ref="C14:C16"/>
    <mergeCell ref="D14:D16"/>
    <mergeCell ref="E14:E16"/>
    <mergeCell ref="F14:F16"/>
    <mergeCell ref="G14:G15"/>
    <mergeCell ref="H14:I15"/>
    <mergeCell ref="J14:J16"/>
    <mergeCell ref="K14:K15"/>
  </mergeCells>
  <printOptions horizontalCentered="1"/>
  <pageMargins left="0.196850393700787" right="0.196850393700787" top="0" bottom="0.196850393700787" header="1.5748031496063" footer="0.196850393700787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SUSU JUNI 2022</vt:lpstr>
      <vt:lpstr>'SUSU JUNI 2022'!Print_Area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GA-03</dc:creator>
  <cp:lastModifiedBy>GA-03</cp:lastModifiedBy>
  <dcterms:created xsi:type="dcterms:W3CDTF">2022-06-29T06:22:35Z</dcterms:created>
  <dcterms:modified xsi:type="dcterms:W3CDTF">2022-07-19T12:19:41Z</dcterms:modified>
</cp:coreProperties>
</file>