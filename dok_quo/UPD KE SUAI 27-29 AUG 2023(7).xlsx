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UPD\"/>
    </mc:Choice>
  </mc:AlternateContent>
  <xr:revisionPtr revIDLastSave="0" documentId="8_{AF6F1AA1-5DCF-49D4-9761-452A64A57B6E}" xr6:coauthVersionLast="47" xr6:coauthVersionMax="47" xr10:uidLastSave="{00000000-0000-0000-0000-000000000000}"/>
  <bookViews>
    <workbookView xWindow="-120" yWindow="-120" windowWidth="29040" windowHeight="15840" xr2:uid="{086F815F-B2BB-4FBF-98BC-F46DE91C7190}"/>
  </bookViews>
  <sheets>
    <sheet name="Detail Budget" sheetId="1" r:id="rId1"/>
  </sheets>
  <definedNames>
    <definedName name="_xlnm.Print_Area" localSheetId="0">'Detail Budget'!$A$5:$I$14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<sst xmlns="http://schemas.openxmlformats.org/spreadsheetml/2006/main" count="48" uniqueCount="33">
  <si>
    <t>PART_NO</t>
  </si>
  <si>
    <t>PART  NAME</t>
  </si>
  <si>
    <t>DETAIL PART</t>
  </si>
  <si>
    <t>ACC NO.</t>
  </si>
  <si>
    <t>CURR</t>
  </si>
  <si>
    <t>QTY</t>
  </si>
  <si>
    <t>PRICE</t>
  </si>
  <si>
    <t>AMOUNT</t>
  </si>
  <si>
    <t>TIT024</t>
  </si>
  <si>
    <t>PERJALANAN DINAS BY CAR</t>
  </si>
  <si>
    <t>UANG LUAR KOTA DRIVER PERJANAN DINAS</t>
  </si>
  <si>
    <t>Rent-Vehicle</t>
  </si>
  <si>
    <t>IDR</t>
  </si>
  <si>
    <t>TIT023</t>
  </si>
  <si>
    <t>TOL DAN PARKIR PERJALANAN DINAS</t>
  </si>
  <si>
    <t>TIT-Parking and Toll</t>
  </si>
  <si>
    <t>TIT022</t>
  </si>
  <si>
    <t>BBM PERJALANAN DINAS</t>
  </si>
  <si>
    <t>TIT-Premium</t>
  </si>
  <si>
    <t>TIT025</t>
  </si>
  <si>
    <t>BIAYA INAP PERJALANAN DINAS</t>
  </si>
  <si>
    <t>TIT026</t>
  </si>
  <si>
    <t>OVERTIME DRIVER PERJALANAN DINAS</t>
  </si>
  <si>
    <t>UPD</t>
  </si>
  <si>
    <t>RENT023</t>
  </si>
  <si>
    <t>SEWA UNIT MOBIL LEPAS KUNCI</t>
  </si>
  <si>
    <t>UPD004</t>
  </si>
  <si>
    <t>UPD DALAM NEGERI GOL IV</t>
  </si>
  <si>
    <t>TOT-Pocket &amp; Food Money</t>
  </si>
  <si>
    <t>SVR001</t>
  </si>
  <si>
    <t>SOVENIR</t>
  </si>
  <si>
    <t>SOVENIR AFILIATE</t>
  </si>
  <si>
    <t>TOT-Souvenir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</si>
</sst>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73763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0" fillId="0" borderId="0" xfId="0" applyNumberFormat="1"/>
    <xf numFmtId="0" fontId="5" fillId="0" borderId="1" xfId="0" applyFont="1" applyBorder="1"/>
    <xf numFmtId="41" fontId="5" fillId="0" borderId="1" xfId="1" applyFont="1" applyFill="1" applyBorder="1" applyAlignment="1">
      <alignment horizontal="center" vertical="center"/>
    </xf>
    <xf numFmtId="41" fontId="5" fillId="0" borderId="1" xfId="1" applyFont="1" applyBorder="1"/>
    <xf numFmtId="41" fontId="5" fillId="0" borderId="1" xfId="1" applyFont="1" applyFill="1" applyBorder="1"/>
    <xf numFmtId="0" fontId="6" fillId="0" borderId="1" xfId="2" applyFont="1" applyBorder="1"/>
    <xf numFmtId="3" fontId="0" fillId="0" borderId="2" xfId="0" applyNumberFormat="1" applyBorder="1"/>
    <xf numFmtId="0" fontId="0" fillId="2" borderId="1" xfId="0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>
      <alignment horizontal="center"/>
    </xf>
    <xf numFmtId="0" fontId="5" fillId="3" borderId="1" xfId="0" applyFont="1" applyFill="1" applyBorder="1"/>
    <xf numFmtId="41" fontId="5" fillId="3" borderId="1" xfId="1" applyFont="1" applyFill="1" applyBorder="1"/>
    <xf numFmtId="43" fontId="0" fillId="3" borderId="0" xfId="3" applyFont="1" applyFill="1"/>
    <xf numFmtId="0" fontId="0" fillId="3" borderId="0" xfId="0" applyFill="1"/>
  </cellXfs>
  <cellStyles count="4">
    <cellStyle name="Comma" xfId="3" builtinId="3"/>
    <cellStyle name="Comma [0]" xfId="1" builtinId="6"/>
    <cellStyle name="Normal" xfId="0" builtinId="0"/>
    <cellStyle name="Normal 2" xfId="2" xr:uid="{EB36CFA3-1AAA-4137-8548-000A3733F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4537-AC38-4F33-ABFE-1A2B77931393}">
  <sheetPr>
    <tabColor rgb="FFFFC000"/>
    <pageSetUpPr fitToPage="1"/>
  </sheetPr>
  <dimension ref="A3:J15"/>
  <sheetViews>
    <sheetView tabSelected="1" zoomScaleNormal="100" workbookViewId="0">
      <selection activeCell="C20" sqref="C20"/>
    </sheetView>
  </sheetViews>
  <sheetFormatPr defaultRowHeight="15" x14ac:dyDescent="0.25"/>
  <cols>
    <col min="1" max="1" width="11.140625" customWidth="1"/>
    <col min="2" max="2" width="37.28515625" bestFit="1" customWidth="1"/>
    <col min="3" max="3" width="59.85546875" customWidth="1"/>
    <col min="4" max="4" width="17.140625" customWidth="1"/>
    <col min="5" max="5" width="18.28515625" customWidth="1"/>
    <col min="6" max="6" width="9.140625" customWidth="1"/>
    <col min="7" max="7" width="9.28515625" customWidth="1"/>
    <col min="8" max="8" width="10.7109375" customWidth="1"/>
    <col min="9" max="9" width="10.5703125" customWidth="1"/>
    <col min="10" max="10" width="13.28515625" bestFit="1" customWidth="1"/>
  </cols>
  <sheetData>
    <row r="3" spans="1:10" x14ac:dyDescent="0.25">
      <c r="A3" s="1"/>
      <c r="D3" s="2"/>
    </row>
    <row r="5" spans="1:10" x14ac:dyDescent="0.25">
      <c r="A5" s="10" t="s">
        <v>0</v>
      </c>
      <c r="B5" s="11" t="s">
        <v>1</v>
      </c>
      <c r="C5" s="10" t="s">
        <v>2</v>
      </c>
      <c r="D5" s="10" t="s">
        <v>3</v>
      </c>
      <c r="E5" s="12"/>
      <c r="F5" s="9" t="s">
        <v>4</v>
      </c>
      <c r="G5" s="9" t="s">
        <v>5</v>
      </c>
      <c r="H5" s="9" t="s">
        <v>6</v>
      </c>
      <c r="I5" s="9" t="s">
        <v>7</v>
      </c>
    </row>
    <row r="6" spans="1:10" x14ac:dyDescent="0.25">
      <c r="A6" s="10"/>
      <c r="B6" s="11"/>
      <c r="C6" s="10"/>
      <c r="D6" s="10"/>
      <c r="E6" s="12"/>
      <c r="F6" s="9"/>
      <c r="G6" s="9"/>
      <c r="H6" s="9"/>
      <c r="I6" s="9"/>
    </row>
    <row r="7" spans="1:10" x14ac:dyDescent="0.25">
      <c r="A7" s="3" t="s">
        <v>24</v>
      </c>
      <c r="B7" s="3" t="s">
        <v>9</v>
      </c>
      <c r="C7" s="3" t="s">
        <v>25</v>
      </c>
      <c r="D7" s="3">
        <v>7266407</v>
      </c>
      <c r="E7" s="3" t="s">
        <v>11</v>
      </c>
      <c r="F7" s="3" t="s">
        <v>12</v>
      </c>
      <c r="G7" s="4">
        <v>2</v>
      </c>
      <c r="H7" s="4">
        <v>550000</v>
      </c>
      <c r="I7" s="4">
        <f>+G7*H7</f>
        <v>1100000</v>
      </c>
    </row>
    <row r="8" spans="1:10" s="16" customFormat="1" x14ac:dyDescent="0.25">
      <c r="A8" s="13" t="s">
        <v>8</v>
      </c>
      <c r="B8" s="13" t="s">
        <v>9</v>
      </c>
      <c r="C8" s="13" t="s">
        <v>10</v>
      </c>
      <c r="D8" s="13">
        <v>7266407</v>
      </c>
      <c r="E8" s="13" t="s">
        <v>11</v>
      </c>
      <c r="F8" s="13" t="s">
        <v>12</v>
      </c>
      <c r="G8" s="14">
        <v>2</v>
      </c>
      <c r="H8" s="14">
        <v>100000</v>
      </c>
      <c r="I8" s="14">
        <f t="shared" ref="I8:I12" si="0">+H8*G8</f>
        <v>200000</v>
      </c>
      <c r="J8" s="15">
        <v>300000</v>
      </c>
    </row>
    <row r="9" spans="1:10" s="16" customFormat="1" x14ac:dyDescent="0.25">
      <c r="A9" s="13" t="s">
        <v>13</v>
      </c>
      <c r="B9" s="13" t="s">
        <v>9</v>
      </c>
      <c r="C9" s="13" t="s">
        <v>14</v>
      </c>
      <c r="D9" s="13">
        <v>7255304</v>
      </c>
      <c r="E9" s="13" t="s">
        <v>15</v>
      </c>
      <c r="F9" s="13" t="s">
        <v>12</v>
      </c>
      <c r="G9" s="14">
        <v>1</v>
      </c>
      <c r="H9" s="14">
        <v>1050000</v>
      </c>
      <c r="I9" s="14">
        <f t="shared" si="0"/>
        <v>1050000</v>
      </c>
      <c r="J9" s="15">
        <f>1000000+150000</f>
        <v>1150000</v>
      </c>
    </row>
    <row r="10" spans="1:10" s="16" customFormat="1" x14ac:dyDescent="0.25">
      <c r="A10" s="13" t="s">
        <v>16</v>
      </c>
      <c r="B10" s="13" t="s">
        <v>9</v>
      </c>
      <c r="C10" s="13" t="s">
        <v>17</v>
      </c>
      <c r="D10" s="13">
        <v>7255301</v>
      </c>
      <c r="E10" s="13" t="s">
        <v>18</v>
      </c>
      <c r="F10" s="13" t="s">
        <v>12</v>
      </c>
      <c r="G10" s="14">
        <v>1</v>
      </c>
      <c r="H10" s="14">
        <v>1000000</v>
      </c>
      <c r="I10" s="14">
        <f t="shared" si="0"/>
        <v>1000000</v>
      </c>
      <c r="J10" s="15">
        <v>1350000</v>
      </c>
    </row>
    <row r="11" spans="1:10" s="16" customFormat="1" x14ac:dyDescent="0.25">
      <c r="A11" s="13" t="s">
        <v>19</v>
      </c>
      <c r="B11" s="13" t="s">
        <v>9</v>
      </c>
      <c r="C11" s="13" t="s">
        <v>20</v>
      </c>
      <c r="D11" s="13">
        <v>7266407</v>
      </c>
      <c r="E11" s="13" t="s">
        <v>11</v>
      </c>
      <c r="F11" s="13" t="s">
        <v>12</v>
      </c>
      <c r="G11" s="14">
        <v>1</v>
      </c>
      <c r="H11" s="14">
        <v>150000</v>
      </c>
      <c r="I11" s="14">
        <f t="shared" si="0"/>
        <v>150000</v>
      </c>
      <c r="J11" s="15">
        <v>300000</v>
      </c>
    </row>
    <row r="12" spans="1:10" s="16" customFormat="1" x14ac:dyDescent="0.25">
      <c r="A12" s="13" t="s">
        <v>21</v>
      </c>
      <c r="B12" s="13" t="s">
        <v>9</v>
      </c>
      <c r="C12" s="13" t="s">
        <v>22</v>
      </c>
      <c r="D12" s="13">
        <v>7266407</v>
      </c>
      <c r="E12" s="13" t="s">
        <v>11</v>
      </c>
      <c r="F12" s="13" t="s">
        <v>12</v>
      </c>
      <c r="G12" s="14">
        <v>1</v>
      </c>
      <c r="H12" s="14">
        <v>550000</v>
      </c>
      <c r="I12" s="14">
        <f t="shared" si="0"/>
        <v>550000</v>
      </c>
      <c r="J12" s="15">
        <v>900000</v>
      </c>
    </row>
    <row r="13" spans="1:10" x14ac:dyDescent="0.25">
      <c r="A13" s="3" t="s">
        <v>26</v>
      </c>
      <c r="B13" s="3" t="s">
        <v>23</v>
      </c>
      <c r="C13" s="3" t="s">
        <v>27</v>
      </c>
      <c r="D13" s="3">
        <v>6255203</v>
      </c>
      <c r="E13" s="3" t="s">
        <v>28</v>
      </c>
      <c r="F13" s="3" t="s">
        <v>12</v>
      </c>
      <c r="G13" s="5">
        <v>2</v>
      </c>
      <c r="H13" s="6">
        <v>175000</v>
      </c>
      <c r="I13" s="5">
        <f>+G13*H13</f>
        <v>350000</v>
      </c>
    </row>
    <row r="14" spans="1:10" x14ac:dyDescent="0.25">
      <c r="A14" s="7" t="s">
        <v>29</v>
      </c>
      <c r="B14" s="7" t="s">
        <v>30</v>
      </c>
      <c r="C14" s="7" t="s">
        <v>31</v>
      </c>
      <c r="D14" s="7">
        <v>7255207</v>
      </c>
      <c r="E14" s="7" t="s">
        <v>32</v>
      </c>
      <c r="F14" s="3" t="s">
        <v>12</v>
      </c>
      <c r="G14" s="6">
        <v>1</v>
      </c>
      <c r="H14" s="6">
        <v>500000</v>
      </c>
      <c r="I14" s="6">
        <f>+G14*H14</f>
        <v>500000</v>
      </c>
    </row>
    <row r="15" spans="1:10" x14ac:dyDescent="0.25">
      <c r="I15" s="8">
        <f>SUM(I7:I14)</f>
        <v>4900000</v>
      </c>
    </row>
  </sheetData>
  <mergeCells count="9">
    <mergeCell ref="H5:H6"/>
    <mergeCell ref="I5:I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scale="7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 Budget</vt:lpstr>
      <vt:lpstr>'Detail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FA-06</cp:lastModifiedBy>
  <dcterms:created xsi:type="dcterms:W3CDTF">2023-03-25T02:55:45Z</dcterms:created>
  <dcterms:modified xsi:type="dcterms:W3CDTF">2023-08-19T08:31:43Z</dcterms:modified>
</cp:coreProperties>
</file>