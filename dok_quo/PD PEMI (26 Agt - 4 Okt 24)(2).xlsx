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332"/>
  <workbookPr defaultThemeVersion="124226"/>
  <mc:AlternateContent xmlns:mc="http://schemas.openxmlformats.org/markup-compatibility/2006">
    <mc:Choice Requires="x15">
      <x15ac:absPath xmlns:x15ac="http://schemas.microsoft.com/office/spreadsheetml/2010/11/ac" url="\\10.62.126.108\Share data 219\1. ADMINISTRASI\3. BUDGET SECTION\1. BUDGET\7. BUDGET TERM 84\10. PERJALANAN DINAS\3. PD PEMI 26 Agt - 4 Okt 2024_AFA &amp; NYP\"/>
    </mc:Choice>
  </mc:AlternateContent>
  <xr:revisionPtr revIDLastSave="0" documentId="13_ncr:1_{EC196D0F-0174-4485-A2E9-2F885ED79A8E}" xr6:coauthVersionLast="47" xr6:coauthVersionMax="47" xr10:uidLastSave="{00000000-0000-0000-0000-000000000000}"/>
  <bookViews>
    <workbookView xWindow="-120" yWindow="-120" windowWidth="29040" windowHeight="15720" tabRatio="761" xr2:uid="{00000000-000D-0000-FFFF-FFFF00000000}"/>
  </bookViews>
  <sheets>
    <sheet name="TAHAP 1" sheetId="30" r:id="rId1"/>
    <sheet name="TAPAH 2.2 (Rincian)" sheetId="35" r:id="rId2"/>
    <sheet name="TAHAP 2.1 (SPD)" sheetId="36" r:id="rId3"/>
  </sheets>
  <externalReferences>
    <externalReference r:id="rId4"/>
    <externalReference r:id="rId5"/>
    <externalReference r:id="rId6"/>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s>
  <definedNames>
    <definedName name="______b1" hidden="1">'[1]S-PLAN'!$I$1293:$P$1293</definedName>
    <definedName name="______b2" hidden="1">'[1]S-PLAN'!$I$1293:$P$1293</definedName>
    <definedName name="______b3" hidden="1">'[1]S-PLAN'!$I$1293:$P$1293</definedName>
    <definedName name="______PL1" hidden="1">'[1]S-PLAN'!$I$582:$P$582</definedName>
    <definedName name="_____b1" hidden="1">'[1]S-PLAN'!$I$1293:$P$1293</definedName>
    <definedName name="_____b2" hidden="1">'[1]S-PLAN'!$I$1293:$P$1293</definedName>
    <definedName name="_____b3" hidden="1">'[1]S-PLAN'!$I$1293:$P$1293</definedName>
    <definedName name="_____PL1" hidden="1">'[1]S-PLAN'!$I$582:$P$582</definedName>
    <definedName name="____b1" hidden="1">'[1]S-PLAN'!$I$1293:$P$1293</definedName>
    <definedName name="____b2" hidden="1">'[1]S-PLAN'!$I$1293:$P$1293</definedName>
    <definedName name="____b3" hidden="1">'[1]S-PLAN'!$I$1293:$P$1293</definedName>
    <definedName name="____PL1" hidden="1">'[1]S-PLAN'!$I$582:$P$582</definedName>
    <definedName name="___b1" hidden="1">'[1]S-PLAN'!$I$1293:$P$1293</definedName>
    <definedName name="___b2" hidden="1">'[1]S-PLAN'!$I$1293:$P$1293</definedName>
    <definedName name="___b3" hidden="1">'[1]S-PLAN'!$I$1293:$P$1293</definedName>
    <definedName name="___PL1" hidden="1">'[1]S-PLAN'!$I$582:$P$582</definedName>
    <definedName name="__123Graph_AAMOUNT" hidden="1">#REF!</definedName>
    <definedName name="__123Graph_ACOT" hidden="1">#REF!</definedName>
    <definedName name="__123Graph_ALOCA" hidden="1">#REF!</definedName>
    <definedName name="__123Graph_AWIRE" hidden="1">#REF!</definedName>
    <definedName name="__123Graph_BAMOUNT" hidden="1">#REF!</definedName>
    <definedName name="__123Graph_BCOT" hidden="1">#REF!</definedName>
    <definedName name="__123Graph_BWIRE" hidden="1">#REF!</definedName>
    <definedName name="__123Graph_CAMOUNT" hidden="1">#REF!</definedName>
    <definedName name="__123Graph_CCOT" hidden="1">#REF!</definedName>
    <definedName name="__123Graph_CWIRE" hidden="1">#REF!</definedName>
    <definedName name="__123Graph_D" hidden="1">'[2]MAT-IN'!#REF!</definedName>
    <definedName name="__123Graph_DAMOUNT" hidden="1">#REF!</definedName>
    <definedName name="__123Graph_DWIRE" hidden="1">#REF!</definedName>
    <definedName name="__123Graph_EWIRE" hidden="1">#REF!</definedName>
    <definedName name="__123Graph_XLOCA" hidden="1">#REF!</definedName>
    <definedName name="__b1" hidden="1">'[1]S-PLAN'!$I$1293:$P$1293</definedName>
    <definedName name="__b2" hidden="1">'[1]S-PLAN'!$I$1293:$P$1293</definedName>
    <definedName name="__b3" hidden="1">'[1]S-PLAN'!$I$1293:$P$1293</definedName>
    <definedName name="__PL1" hidden="1">'[1]S-PLAN'!$I$582:$P$582</definedName>
    <definedName name="__sa１" hidden="1">#REF!</definedName>
    <definedName name="__VF2">#REF!</definedName>
    <definedName name="_1__123Graph_Aｸﾞﾗﾌ_1" hidden="1">#REF!</definedName>
    <definedName name="_1Excel_BuiltIn_Print_Titles_1_1">'[3]SA-1.1'!#REF!</definedName>
    <definedName name="_2__123Graph_Bｸﾞﾗﾌ_1" hidden="1">#REF!</definedName>
    <definedName name="_26_1生_CROSS_クエリー1">#REF!</definedName>
    <definedName name="_28_出庫リスト_クエリー">#REF!</definedName>
    <definedName name="_3__123Graph_Cｸﾞﾗﾌ_1" hidden="1">#REF!</definedName>
    <definedName name="_4__123Graph_Dｸﾞﾗﾌ_1" hidden="1">#REF!</definedName>
    <definedName name="_5__123Graph_Eｸﾞﾗﾌ_1" hidden="1">#REF!</definedName>
    <definedName name="_b1" hidden="1">'[1]S-PLAN'!$I$1293:$P$1293</definedName>
    <definedName name="_b2" hidden="1">'[1]S-PLAN'!$I$1293:$P$1293</definedName>
    <definedName name="_b3" hidden="1">'[1]S-PLAN'!$I$1293:$P$1293</definedName>
    <definedName name="_Dist_Bin" hidden="1">'[2]MAT-IN'!#REF!</definedName>
    <definedName name="_Dist_Values" hidden="1">'[2]MAT-IN'!#REF!</definedName>
    <definedName name="_Fill" hidden="1">#REF!</definedName>
    <definedName name="_xlnm._FilterDatabase" hidden="1">[4]ＷＦ権限プロファイル!$A$3:$AH$116</definedName>
    <definedName name="_Key1" hidden="1">#REF!</definedName>
    <definedName name="_Key2" hidden="1">[5]原単位表!#REF!</definedName>
    <definedName name="_Order1" hidden="1">255</definedName>
    <definedName name="_Order2" hidden="1">0</definedName>
    <definedName name="_Parse_Out" hidden="1">[6]SPTOBAT!#REF!</definedName>
    <definedName name="_PL1" hidden="1">'[1]S-PLAN'!$I$582:$P$582</definedName>
    <definedName name="_pp2_313_クエリー">#REF!</definedName>
    <definedName name="_Q">[7]_MISSION!$T$1:$BI$245</definedName>
    <definedName name="_Regression_X" hidden="1">#REF!</definedName>
    <definedName name="_sa１" hidden="1">#REF!</definedName>
    <definedName name="_Sort" hidden="1">#REF!</definedName>
    <definedName name="_Table1_In1" hidden="1">#REF!</definedName>
    <definedName name="_Table1_Out" hidden="1">#REF!</definedName>
    <definedName name="_生新規部品ﾘｽﾄ_クエリー">#REF!</definedName>
    <definedName name="⑤2" hidden="1">{"'TOYOTA'!$A$1:$R$26"}</definedName>
    <definedName name="A" hidden="1">#REF!</definedName>
    <definedName name="A_K1出庫リスト">#REF!</definedName>
    <definedName name="A7_UPL">#REF!</definedName>
    <definedName name="aaa" hidden="1">#REF!</definedName>
    <definedName name="aaaa" hidden="1">#REF!</definedName>
    <definedName name="abs" hidden="1">#REF!</definedName>
    <definedName name="Access_Button" hidden="1">"業務96下修_DATA_List"</definedName>
    <definedName name="AccessDatabase" hidden="1">"C:\WINDOWS\Personal\COMMODITY  GROUP  FOR   VX - 133  &amp;   149.mdb"</definedName>
    <definedName name="ada" hidden="1">[8]MYZK02!$I$531:$P$531</definedName>
    <definedName name="air" hidden="1">'[9]702'!#REF!</definedName>
    <definedName name="AS" hidden="1">[10]サイズリスト!#REF!</definedName>
    <definedName name="AS2DocOpenMode" hidden="1">"AS2DocumentEdit"</definedName>
    <definedName name="ase" hidden="1">[8]MYZK02!$I$811:$P$811</definedName>
    <definedName name="asew" hidden="1">[8]MYZK02!$I$1259:$P$1259</definedName>
    <definedName name="ASSET_TYPE">[11]System!$A$32:$A$34</definedName>
    <definedName name="aw" hidden="1">[8]MYZK02!$I$1302:$P$1302</definedName>
    <definedName name="awa" hidden="1">[8]MYZK02!$I$1307:$P$1307</definedName>
    <definedName name="awae" hidden="1">[8]MYZK02!$I$1129:$P$1129</definedName>
    <definedName name="awew" hidden="1">[8]MYZK02!$I$1293:$P$1293</definedName>
    <definedName name="awf" hidden="1">'[1]S-PLAN'!$I$1293:$P$1293</definedName>
    <definedName name="awse" hidden="1">[8]MYZK02!$I$1306:$P$1306</definedName>
    <definedName name="B9_">#N/A</definedName>
    <definedName name="bbb" hidden="1">#REF!</definedName>
    <definedName name="ccc" hidden="1">#REF!</definedName>
    <definedName name="CETAKUNITKERJA_5">"'file:///D:/DATA-E/My Dokuments/Dept Prod C/Manpower/DATABASE local/DAFTAR UNIT KERJA PROD DOMESTIC REV.xls'#$DETAIL.$#REF!$#REF!"</definedName>
    <definedName name="Cir." hidden="1">'[12]702'!#REF!</definedName>
    <definedName name="CONCEPT">[11]System!$A$255:$A$256</definedName>
    <definedName name="COST_DEPT_CLS_CD">[11]System!$A$20:$A$25</definedName>
    <definedName name="D">[13]外注計算!$E$5</definedName>
    <definedName name="ｄ" hidden="1">#REF!</definedName>
    <definedName name="D_Version" hidden="1">[14]_RemoteViewSysMain!$H$3</definedName>
    <definedName name="D10_">#N/A</definedName>
    <definedName name="D2_">#REF!</definedName>
    <definedName name="D9_">#N/A</definedName>
    <definedName name="DASARDATABASE_12">"$'Meninggalkan Pekerjaan'.$#REF!$#REF!:$#REF!$#REF!"</definedName>
    <definedName name="DASARNAMABASE">"$#REF!.$B$10:$F$3608"</definedName>
    <definedName name="DASARNAMABASE_10">"$#REF!.$B$10:$F$3608"</definedName>
    <definedName name="DASARNIKBASE">"$#REF!.$C$10:$F$3608"</definedName>
    <definedName name="DASARNIKBASE_10">"$#REF!.$C$10:$F$3608"</definedName>
    <definedName name="data">"$#REF!.$A$10:$AB$3608"</definedName>
    <definedName name="data_10">"$#REF!.$A$10:$AB$3608"</definedName>
    <definedName name="ddd" hidden="1">#REF!</definedName>
    <definedName name="DEHRFH">#REF!</definedName>
    <definedName name="des" hidden="1">[8]MYZK02!$I$1305:$P$1305</definedName>
    <definedName name="dew" hidden="1">[8]MYZK02!$I$1293:$P$1293</definedName>
    <definedName name="DISP_LANG_CANDIDATE">[11]System!$C$42:$C$44</definedName>
    <definedName name="DROPDOWNLIST">[11]System!$A$218:$A$252</definedName>
    <definedName name="dwa" hidden="1">[8]MYZK02!$I$828:$P$828</definedName>
    <definedName name="E">#N/A</definedName>
    <definedName name="ECRN2">[15]メーカー検索!#REF!</definedName>
    <definedName name="EDIX" hidden="1">#REF!</definedName>
    <definedName name="Entity">[16]LIST!$A$4:$A$38</definedName>
    <definedName name="esese" hidden="1">[17]トピックス!#REF!</definedName>
    <definedName name="ew" hidden="1">[8]MYZK02!$I$809:$P$809</definedName>
    <definedName name="ewa" hidden="1">[8]MYZK02!$I$1304:$P$1304</definedName>
    <definedName name="ewaw" hidden="1">[8]MYZK02!$I$1293:$P$1293</definedName>
    <definedName name="ewg" hidden="1">[8]MYZK02!$I$1308:$P$1308</definedName>
    <definedName name="ewq" hidden="1">[8]MYZK02!$K$75:$P$75</definedName>
    <definedName name="Excel_BuiltIn__FilterDatabase_1">#REF!</definedName>
    <definedName name="Excel_BuiltIn__FilterDatabase_1_1">#REF!</definedName>
    <definedName name="Excel_BuiltIn__FilterDatabase_12_1">"$'Meninggalkan Pekerjaan'.$#REF!$#REF!:$#REF!$#REF!"</definedName>
    <definedName name="Excel_BuiltIn_Criteria_12_1">"$'Meninggalkan Pekerjaan'.$#REF!$#REF!:$#REF!$#REF!"</definedName>
    <definedName name="Excel_BuiltIn_Extract_12">"$'Meninggalkan Pekerjaan'.$#REF!$#REF!:$#REF!$#REF!"</definedName>
    <definedName name="Excel_BuiltIn_Print_Area_2">#REF!</definedName>
    <definedName name="Excel_BuiltIn_Print_Area_2_1">#REF!</definedName>
    <definedName name="Excel_BuiltIn_Print_Titles_1">#REF!</definedName>
    <definedName name="EXPDOM_DEST_CARMKR">[11]System!$A$184:$A$213</definedName>
    <definedName name="fea" hidden="1">[8]MYZK02!$K$1259:$P$1259</definedName>
    <definedName name="feaw" hidden="1">[8]MYZK02!$I$601:$P$601</definedName>
    <definedName name="fes" hidden="1">[8]MYZK02!$I$811:$P$811</definedName>
    <definedName name="fesa" hidden="1">[8]MYZK02!$I$812:$P$812</definedName>
    <definedName name="FIX_VAR_CD">[11]System!$A$28:$A$29</definedName>
    <definedName name="Fo" hidden="1">'[9]702'!#REF!</definedName>
    <definedName name="G_LEADER">"$#REF!.$B$67:$AB$263"</definedName>
    <definedName name="G_LEADER_10">"$#REF!.$B$67:$AB$263"</definedName>
    <definedName name="ges" hidden="1">[8]MYZK02!$I$595:$P$595</definedName>
    <definedName name="GHJ">#REF!</definedName>
    <definedName name="H" hidden="1">#REF!</definedName>
    <definedName name="HFM_RCR027">[11]System!$C$52</definedName>
    <definedName name="HFM_RCR028">[11]System!$C$53</definedName>
    <definedName name="HFM_RCR029">[11]System!$C$54</definedName>
    <definedName name="HFM_RCR030">[11]System!$C$55</definedName>
    <definedName name="HFM_RCR035">[11]System!$C$56</definedName>
    <definedName name="HFM_RCR037">[11]System!$C$57</definedName>
    <definedName name="HFM_RCR038">[11]System!$C$58</definedName>
    <definedName name="HFM_RCR039">[11]System!$C$59</definedName>
    <definedName name="HFM_RCR040">[11]System!$C$60</definedName>
    <definedName name="HFM_RCR041">[11]System!$C$61</definedName>
    <definedName name="HFM_RCR042">[11]System!$C$62</definedName>
    <definedName name="HFM_RCR043">[11]System!$C$63</definedName>
    <definedName name="HFM_RPL025">[11]System!$C$124</definedName>
    <definedName name="HFM_RPL026">[11]System!$C$125</definedName>
    <definedName name="HFM_RPL027">[11]System!$C$126</definedName>
    <definedName name="HFM_RPL030">[11]System!$C$127</definedName>
    <definedName name="HFM_RPL031">[11]System!$C$128</definedName>
    <definedName name="HFM_RPL051">[11]System!$C$129</definedName>
    <definedName name="HFM_RPL053">[11]System!$C$130</definedName>
    <definedName name="HFM_RPL058">[11]System!$C$131</definedName>
    <definedName name="HTML_CodePage" hidden="1">932</definedName>
    <definedName name="HTML_Control" hidden="1">{"'部署一覧'!$A$1384:$G$1490"}</definedName>
    <definedName name="HTML_Control1" hidden="1">{"'部署一覧'!$A$1384:$G$1490"}</definedName>
    <definedName name="HTML_Description" hidden="1">""</definedName>
    <definedName name="HTML_Email" hidden="1">""</definedName>
    <definedName name="HTML_Header" hidden="1">"部署番号表『化工品』"</definedName>
    <definedName name="HTML_LastUpdate" hidden="1">"2004/01/20"</definedName>
    <definedName name="HTML_LineAfter" hidden="1">FALSE</definedName>
    <definedName name="HTML_LineBefore" hidden="1">FALSE</definedName>
    <definedName name="HTML_Name" hidden="1">"(株)ブリヂストン"</definedName>
    <definedName name="HTML_OBDlg2" hidden="1">TRUE</definedName>
    <definedName name="HTML_OBDlg4" hidden="1">TRUE</definedName>
    <definedName name="HTML_OS" hidden="1">0</definedName>
    <definedName name="HTML_PathFile" hidden="1">"E:\0116_9.htm"</definedName>
    <definedName name="HTML_Title" hidden="1">"部署番号表"</definedName>
    <definedName name="HTML1_1" hidden="1">"[Book2]Sheet1!$A$1:$H$484"</definedName>
    <definedName name="HTML1_10" hidden="1">"obminfo@us.oracle.com"</definedName>
    <definedName name="HTML1_11" hidden="1">1</definedName>
    <definedName name="HTML1_12" hidden="1">"C:\Obm1\obm_html_doc\em_pl.htm"</definedName>
    <definedName name="HTML1_2" hidden="1">1</definedName>
    <definedName name="HTML1_3" hidden="1">"Oracle Business Models"</definedName>
    <definedName name="HTML1_4" hidden="1">"Process Library - Enterprise Management"</definedName>
    <definedName name="HTML1_5" hidden="1">""</definedName>
    <definedName name="HTML1_6" hidden="1">-4146</definedName>
    <definedName name="HTML1_7" hidden="1">-4146</definedName>
    <definedName name="HTML1_8" hidden="1">"7/6/99"</definedName>
    <definedName name="HTML1_9" hidden="1">"OBM Program Office"</definedName>
    <definedName name="HTML10_1" hidden="1">"[BU000201.xls]部署一覧!$A$1173:$G$1366"</definedName>
    <definedName name="HTML10_10" hidden="1">""</definedName>
    <definedName name="HTML10_11" hidden="1">1</definedName>
    <definedName name="HTML10_12" hidden="1">"E:\0201_8.htm"</definedName>
    <definedName name="HTML10_2" hidden="1">1</definedName>
    <definedName name="HTML10_3" hidden="1">"部署番号表"</definedName>
    <definedName name="HTML10_4" hidden="1">"部署番号表『化工品』"</definedName>
    <definedName name="HTML10_5" hidden="1">""</definedName>
    <definedName name="HTML10_6" hidden="1">-4146</definedName>
    <definedName name="HTML10_7" hidden="1">-4146</definedName>
    <definedName name="HTML10_8" hidden="1">"2000/02/03"</definedName>
    <definedName name="HTML10_9" hidden="1">"株式会社ブリヂストン"</definedName>
    <definedName name="HTML100_1" hidden="1">"[BU001116.xls]部署一覧!$A$1043:$G$1096"</definedName>
    <definedName name="HTML100_10" hidden="1">""</definedName>
    <definedName name="HTML100_11" hidden="1">1</definedName>
    <definedName name="HTML100_12" hidden="1">"E:\1116_7.htm"</definedName>
    <definedName name="HTML100_2" hidden="1">1</definedName>
    <definedName name="HTML100_3" hidden="1">"部署番号表"</definedName>
    <definedName name="HTML100_4" hidden="1">"部署番号表『工場』"</definedName>
    <definedName name="HTML100_5" hidden="1">""</definedName>
    <definedName name="HTML100_6" hidden="1">-4146</definedName>
    <definedName name="HTML100_7" hidden="1">-4146</definedName>
    <definedName name="HTML100_8" hidden="1">"2000/11/17"</definedName>
    <definedName name="HTML100_9" hidden="1">"株式会社ブリヂストン"</definedName>
    <definedName name="HTML101_1" hidden="1">"[BU001116.xls]部署一覧!$A$1108:$G$1294"</definedName>
    <definedName name="HTML101_10" hidden="1">""</definedName>
    <definedName name="HTML101_11" hidden="1">1</definedName>
    <definedName name="HTML101_12" hidden="1">"E:\1116_8.htm"</definedName>
    <definedName name="HTML101_2" hidden="1">1</definedName>
    <definedName name="HTML101_3" hidden="1">"部署番号表"</definedName>
    <definedName name="HTML101_4" hidden="1">"部署番号表『化工品』"</definedName>
    <definedName name="HTML101_5" hidden="1">""</definedName>
    <definedName name="HTML101_6" hidden="1">-4146</definedName>
    <definedName name="HTML101_7" hidden="1">-4146</definedName>
    <definedName name="HTML101_8" hidden="1">"2000/11/17"</definedName>
    <definedName name="HTML101_9" hidden="1">"株式会社ブリヂストン"</definedName>
    <definedName name="HTML102_1" hidden="1">"[BU001116.xls]部署一覧!$A$1303:$G$1386"</definedName>
    <definedName name="HTML102_10" hidden="1">""</definedName>
    <definedName name="HTML102_11" hidden="1">1</definedName>
    <definedName name="HTML102_12" hidden="1">"E:\1116_9.htm"</definedName>
    <definedName name="HTML102_2" hidden="1">1</definedName>
    <definedName name="HTML102_3" hidden="1">"部署番号表"</definedName>
    <definedName name="HTML102_4" hidden="1">"部署番号表『化工品』"</definedName>
    <definedName name="HTML102_5" hidden="1">""</definedName>
    <definedName name="HTML102_6" hidden="1">-4146</definedName>
    <definedName name="HTML102_7" hidden="1">-4146</definedName>
    <definedName name="HTML102_8" hidden="1">"2000/11/17"</definedName>
    <definedName name="HTML102_9" hidden="1">"株式会社ブリヂストン"</definedName>
    <definedName name="HTML103_1" hidden="1">"[BU001201.xls]部署一覧!$A$6:$G$187"</definedName>
    <definedName name="HTML103_10" hidden="1">""</definedName>
    <definedName name="HTML103_11" hidden="1">1</definedName>
    <definedName name="HTML103_12" hidden="1">"E:\1201_1.htm"</definedName>
    <definedName name="HTML103_2" hidden="1">1</definedName>
    <definedName name="HTML103_3" hidden="1">"部署番号表"</definedName>
    <definedName name="HTML103_4" hidden="1">"部署番号表『本社』"</definedName>
    <definedName name="HTML103_5" hidden="1">""</definedName>
    <definedName name="HTML103_6" hidden="1">-4146</definedName>
    <definedName name="HTML103_7" hidden="1">-4146</definedName>
    <definedName name="HTML103_8" hidden="1">"2000/12/05"</definedName>
    <definedName name="HTML103_9" hidden="1">"株式会社ブリヂストン"</definedName>
    <definedName name="HTML104_1" hidden="1">"[BU001201.xls]部署一覧!$A$198:$G$370"</definedName>
    <definedName name="HTML104_10" hidden="1">""</definedName>
    <definedName name="HTML104_11" hidden="1">1</definedName>
    <definedName name="HTML104_12" hidden="1">"E:\1201_2.htm"</definedName>
    <definedName name="HTML104_2" hidden="1">1</definedName>
    <definedName name="HTML104_3" hidden="1">"部署番号表"</definedName>
    <definedName name="HTML104_4" hidden="1">"部署番号表『本社』"</definedName>
    <definedName name="HTML104_5" hidden="1">""</definedName>
    <definedName name="HTML104_6" hidden="1">-4146</definedName>
    <definedName name="HTML104_7" hidden="1">-4146</definedName>
    <definedName name="HTML104_8" hidden="1">"2000/12/05"</definedName>
    <definedName name="HTML104_9" hidden="1">"株式会社ブリヂストン"</definedName>
    <definedName name="HTML105_1" hidden="1">"[BU001201.xls]部署一覧!$A$393:$G$640"</definedName>
    <definedName name="HTML105_10" hidden="1">""</definedName>
    <definedName name="HTML105_11" hidden="1">1</definedName>
    <definedName name="HTML105_12" hidden="1">"E:\1201_3.htm"</definedName>
    <definedName name="HTML105_2" hidden="1">1</definedName>
    <definedName name="HTML105_3" hidden="1">"部署番号表"</definedName>
    <definedName name="HTML105_4" hidden="1">"部署番号表『小平』"</definedName>
    <definedName name="HTML105_5" hidden="1">""</definedName>
    <definedName name="HTML105_6" hidden="1">-4146</definedName>
    <definedName name="HTML105_7" hidden="1">-4146</definedName>
    <definedName name="HTML105_8" hidden="1">"2000/12/05"</definedName>
    <definedName name="HTML105_9" hidden="1">"株式会社ブリヂストン"</definedName>
    <definedName name="HTML106_1" hidden="1">"[BU001201.xls]部署一覧!$A$653:$G$853"</definedName>
    <definedName name="HTML106_10" hidden="1">""</definedName>
    <definedName name="HTML106_11" hidden="1">1</definedName>
    <definedName name="HTML106_12" hidden="1">"E:\1201_4.htm"</definedName>
    <definedName name="HTML106_2" hidden="1">1</definedName>
    <definedName name="HTML106_3" hidden="1">"部署番号表"</definedName>
    <definedName name="HTML106_4" hidden="1">"部署番号表『小平』"</definedName>
    <definedName name="HTML106_5" hidden="1">""</definedName>
    <definedName name="HTML106_6" hidden="1">-4146</definedName>
    <definedName name="HTML106_7" hidden="1">-4146</definedName>
    <definedName name="HTML106_8" hidden="1">"2000/12/05"</definedName>
    <definedName name="HTML106_9" hidden="1">"株式会社ブリヂストン"</definedName>
    <definedName name="HTML107_1" hidden="1">"[BU001201.xls]部署一覧!$A$856:$G$929"</definedName>
    <definedName name="HTML107_10" hidden="1">""</definedName>
    <definedName name="HTML107_11" hidden="1">1</definedName>
    <definedName name="HTML107_12" hidden="1">"E:\1201_5.htm"</definedName>
    <definedName name="HTML107_2" hidden="1">1</definedName>
    <definedName name="HTML107_3" hidden="1">"部署番号表"</definedName>
    <definedName name="HTML107_4" hidden="1">"部署番号表『工場』"</definedName>
    <definedName name="HTML107_5" hidden="1">""</definedName>
    <definedName name="HTML107_6" hidden="1">-4146</definedName>
    <definedName name="HTML107_7" hidden="1">-4146</definedName>
    <definedName name="HTML107_8" hidden="1">"2000/12/05"</definedName>
    <definedName name="HTML107_9" hidden="1">"株式会社ブリヂストン"</definedName>
    <definedName name="HTML108_1" hidden="1">"[BU001201.xls]部署一覧!$A$933:$G$1055"</definedName>
    <definedName name="HTML108_10" hidden="1">""</definedName>
    <definedName name="HTML108_11" hidden="1">1</definedName>
    <definedName name="HTML108_12" hidden="1">"E:\1201_6.htm"</definedName>
    <definedName name="HTML108_2" hidden="1">1</definedName>
    <definedName name="HTML108_3" hidden="1">"部署番号表"</definedName>
    <definedName name="HTML108_4" hidden="1">"部署番号表『工場』"</definedName>
    <definedName name="HTML108_5" hidden="1">""</definedName>
    <definedName name="HTML108_6" hidden="1">-4146</definedName>
    <definedName name="HTML108_7" hidden="1">-4146</definedName>
    <definedName name="HTML108_8" hidden="1">"2000/12/05"</definedName>
    <definedName name="HTML108_9" hidden="1">"株式会社ブリヂストン"</definedName>
    <definedName name="HTML109_1" hidden="1">"[BU001201.xls]部署一覧!$A$1058:$G$1120"</definedName>
    <definedName name="HTML109_10" hidden="1">""</definedName>
    <definedName name="HTML109_11" hidden="1">1</definedName>
    <definedName name="HTML109_12" hidden="1">"E:\1201_7.htm"</definedName>
    <definedName name="HTML109_2" hidden="1">1</definedName>
    <definedName name="HTML109_3" hidden="1">"部署番号表"</definedName>
    <definedName name="HTML109_4" hidden="1">"部署番号表『工場』"</definedName>
    <definedName name="HTML109_5" hidden="1">""</definedName>
    <definedName name="HTML109_6" hidden="1">-4146</definedName>
    <definedName name="HTML109_7" hidden="1">-4146</definedName>
    <definedName name="HTML109_8" hidden="1">"2000/12/05"</definedName>
    <definedName name="HTML109_9" hidden="1">"株式会社ブリヂストン"</definedName>
    <definedName name="HTML11_1" hidden="1">"[BU000201.xls]部署一覧!$A$1368:$G$1452"</definedName>
    <definedName name="HTML11_10" hidden="1">""</definedName>
    <definedName name="HTML11_11" hidden="1">1</definedName>
    <definedName name="HTML11_12" hidden="1">"E:\0201_9.htm"</definedName>
    <definedName name="HTML11_2" hidden="1">1</definedName>
    <definedName name="HTML11_3" hidden="1">"部署番号表"</definedName>
    <definedName name="HTML11_4" hidden="1">"部署番号表『化工品』"</definedName>
    <definedName name="HTML11_5" hidden="1">""</definedName>
    <definedName name="HTML11_6" hidden="1">-4146</definedName>
    <definedName name="HTML11_7" hidden="1">-4146</definedName>
    <definedName name="HTML11_8" hidden="1">"2000/02/03"</definedName>
    <definedName name="HTML11_9" hidden="1">"株式会社ブリヂストン"</definedName>
    <definedName name="HTML110_1" hidden="1">"[BU001201.xls]部署一覧!$A$1123:$G$1327"</definedName>
    <definedName name="HTML110_10" hidden="1">""</definedName>
    <definedName name="HTML110_11" hidden="1">1</definedName>
    <definedName name="HTML110_12" hidden="1">"E:\1201_8.htm"</definedName>
    <definedName name="HTML110_2" hidden="1">1</definedName>
    <definedName name="HTML110_3" hidden="1">"部署番号表"</definedName>
    <definedName name="HTML110_4" hidden="1">"部署番号表『化工品』"</definedName>
    <definedName name="HTML110_5" hidden="1">""</definedName>
    <definedName name="HTML110_6" hidden="1">-4146</definedName>
    <definedName name="HTML110_7" hidden="1">-4146</definedName>
    <definedName name="HTML110_8" hidden="1">"2000/12/05"</definedName>
    <definedName name="HTML110_9" hidden="1">"株式会社ブリヂストン"</definedName>
    <definedName name="HTML111_1" hidden="1">"[BU001201.xls]部署一覧!$A$1331:$G$1394"</definedName>
    <definedName name="HTML111_10" hidden="1">""</definedName>
    <definedName name="HTML111_11" hidden="1">1</definedName>
    <definedName name="HTML111_12" hidden="1">"E:\1201_9.htm"</definedName>
    <definedName name="HTML111_2" hidden="1">1</definedName>
    <definedName name="HTML111_3" hidden="1">"部署番号表"</definedName>
    <definedName name="HTML111_4" hidden="1">"部署番号表『化工品』"</definedName>
    <definedName name="HTML111_5" hidden="1">""</definedName>
    <definedName name="HTML111_6" hidden="1">-4146</definedName>
    <definedName name="HTML111_7" hidden="1">-4146</definedName>
    <definedName name="HTML111_8" hidden="1">"2000/12/05"</definedName>
    <definedName name="HTML111_9" hidden="1">"株式会社ブリヂストン"</definedName>
    <definedName name="HTML112_1" hidden="1">"[BU20010101.xls]部署一覧!$A$6:$G$191"</definedName>
    <definedName name="HTML112_10" hidden="1">""</definedName>
    <definedName name="HTML112_11" hidden="1">1</definedName>
    <definedName name="HTML112_12" hidden="1">"E:\0101_1.htm"</definedName>
    <definedName name="HTML112_2" hidden="1">1</definedName>
    <definedName name="HTML112_3" hidden="1">"部署番号表"</definedName>
    <definedName name="HTML112_4" hidden="1">"部署番号表『本社』"</definedName>
    <definedName name="HTML112_5" hidden="1">""</definedName>
    <definedName name="HTML112_6" hidden="1">-4146</definedName>
    <definedName name="HTML112_7" hidden="1">-4146</definedName>
    <definedName name="HTML112_8" hidden="1">"2001/01/12"</definedName>
    <definedName name="HTML112_9" hidden="1">"株式会社ブリヂストン"</definedName>
    <definedName name="HTML113_1" hidden="1">"[BU20010101.xls]部署一覧!$A$198:$G$371"</definedName>
    <definedName name="HTML113_10" hidden="1">""</definedName>
    <definedName name="HTML113_11" hidden="1">1</definedName>
    <definedName name="HTML113_12" hidden="1">"E:\0101_2.htm"</definedName>
    <definedName name="HTML113_2" hidden="1">1</definedName>
    <definedName name="HTML113_3" hidden="1">"部署番号表"</definedName>
    <definedName name="HTML113_4" hidden="1">"部署番号表『本社』"</definedName>
    <definedName name="HTML113_5" hidden="1">""</definedName>
    <definedName name="HTML113_6" hidden="1">-4146</definedName>
    <definedName name="HTML113_7" hidden="1">-4146</definedName>
    <definedName name="HTML113_8" hidden="1">"2001/01/12"</definedName>
    <definedName name="HTML113_9" hidden="1">"株式会社ブリヂストン"</definedName>
    <definedName name="HTML114_1" hidden="1">"[BU20010101.xls]部署一覧!$A$393:$G$642"</definedName>
    <definedName name="HTML114_10" hidden="1">""</definedName>
    <definedName name="HTML114_11" hidden="1">1</definedName>
    <definedName name="HTML114_12" hidden="1">"E:\0101_3.htm"</definedName>
    <definedName name="HTML114_2" hidden="1">1</definedName>
    <definedName name="HTML114_3" hidden="1">"部署番号表"</definedName>
    <definedName name="HTML114_4" hidden="1">"部署番号表『小平』"</definedName>
    <definedName name="HTML114_5" hidden="1">""</definedName>
    <definedName name="HTML114_6" hidden="1">-4146</definedName>
    <definedName name="HTML114_7" hidden="1">-4146</definedName>
    <definedName name="HTML114_8" hidden="1">"2001/01/12"</definedName>
    <definedName name="HTML114_9" hidden="1">"株式会社ブリヂストン"</definedName>
    <definedName name="HTML115_1" hidden="1">"[BU20010101.xls]部署一覧!$A$653:$G$854"</definedName>
    <definedName name="HTML115_10" hidden="1">""</definedName>
    <definedName name="HTML115_11" hidden="1">1</definedName>
    <definedName name="HTML115_12" hidden="1">"E:\0101_4.htm"</definedName>
    <definedName name="HTML115_2" hidden="1">1</definedName>
    <definedName name="HTML115_3" hidden="1">"部署番号表"</definedName>
    <definedName name="HTML115_4" hidden="1">"部署番号表『小平』"</definedName>
    <definedName name="HTML115_5" hidden="1">""</definedName>
    <definedName name="HTML115_6" hidden="1">-4146</definedName>
    <definedName name="HTML115_7" hidden="1">-4146</definedName>
    <definedName name="HTML115_8" hidden="1">"2001/01/12"</definedName>
    <definedName name="HTML115_9" hidden="1">"株式会社ブリヂストン"</definedName>
    <definedName name="HTML116_1" hidden="1">"[BU20010101.xls]部署一覧!$A$857:$G$929"</definedName>
    <definedName name="HTML116_10" hidden="1">""</definedName>
    <definedName name="HTML116_11" hidden="1">1</definedName>
    <definedName name="HTML116_12" hidden="1">"E:\0101_5.htm"</definedName>
    <definedName name="HTML116_2" hidden="1">1</definedName>
    <definedName name="HTML116_3" hidden="1">"部署番号表"</definedName>
    <definedName name="HTML116_4" hidden="1">"部署番号表『工場』"</definedName>
    <definedName name="HTML116_5" hidden="1">""</definedName>
    <definedName name="HTML116_6" hidden="1">-4146</definedName>
    <definedName name="HTML116_7" hidden="1">-4146</definedName>
    <definedName name="HTML116_8" hidden="1">"2001/01/12"</definedName>
    <definedName name="HTML116_9" hidden="1">"株式会社ブリヂストン"</definedName>
    <definedName name="HTML117_1" hidden="1">"[BU20010101.xls]部署一覧!$A$933:$G$1056"</definedName>
    <definedName name="HTML117_10" hidden="1">""</definedName>
    <definedName name="HTML117_11" hidden="1">1</definedName>
    <definedName name="HTML117_12" hidden="1">"E:\0101_6.htm"</definedName>
    <definedName name="HTML117_2" hidden="1">1</definedName>
    <definedName name="HTML117_3" hidden="1">"部署番号表"</definedName>
    <definedName name="HTML117_4" hidden="1">"部署番号表『工場』"</definedName>
    <definedName name="HTML117_5" hidden="1">""</definedName>
    <definedName name="HTML117_6" hidden="1">-4146</definedName>
    <definedName name="HTML117_7" hidden="1">-4146</definedName>
    <definedName name="HTML117_8" hidden="1">"2001/01/12"</definedName>
    <definedName name="HTML117_9" hidden="1">"株式会社ブリヂストン"</definedName>
    <definedName name="HTML118_1" hidden="1">"[BU20010101.xls]部署一覧!$A$1059:$G$1119"</definedName>
    <definedName name="HTML118_10" hidden="1">""</definedName>
    <definedName name="HTML118_11" hidden="1">1</definedName>
    <definedName name="HTML118_12" hidden="1">"E:\0101_7.htm"</definedName>
    <definedName name="HTML118_2" hidden="1">1</definedName>
    <definedName name="HTML118_3" hidden="1">"部署番号表"</definedName>
    <definedName name="HTML118_4" hidden="1">"部署番号表『工場』"</definedName>
    <definedName name="HTML118_5" hidden="1">""</definedName>
    <definedName name="HTML118_6" hidden="1">-4146</definedName>
    <definedName name="HTML118_7" hidden="1">-4146</definedName>
    <definedName name="HTML118_8" hidden="1">"2001/01/12"</definedName>
    <definedName name="HTML118_9" hidden="1">"株式会社ブリヂストン"</definedName>
    <definedName name="HTML119_1" hidden="1">"[BU20010101.xls]部署一覧!$A$1122:$G$1326"</definedName>
    <definedName name="HTML119_10" hidden="1">""</definedName>
    <definedName name="HTML119_11" hidden="1">1</definedName>
    <definedName name="HTML119_12" hidden="1">"E:\0101_8.htm"</definedName>
    <definedName name="HTML119_2" hidden="1">1</definedName>
    <definedName name="HTML119_3" hidden="1">"部署番号表"</definedName>
    <definedName name="HTML119_4" hidden="1">"部署番号表『化工品』"</definedName>
    <definedName name="HTML119_5" hidden="1">""</definedName>
    <definedName name="HTML119_6" hidden="1">-4146</definedName>
    <definedName name="HTML119_7" hidden="1">-4146</definedName>
    <definedName name="HTML119_8" hidden="1">"2001/01/12"</definedName>
    <definedName name="HTML119_9" hidden="1">"株式会社ブリヂストン"</definedName>
    <definedName name="HTML12_1" hidden="1">"[BU000301.xls]部署一覧!$A$6:$G$209"</definedName>
    <definedName name="HTML12_10" hidden="1">""</definedName>
    <definedName name="HTML12_11" hidden="1">1</definedName>
    <definedName name="HTML12_12" hidden="1">"E:\0301_1.htm"</definedName>
    <definedName name="HTML12_2" hidden="1">1</definedName>
    <definedName name="HTML12_3" hidden="1">"部署番号表"</definedName>
    <definedName name="HTML12_4" hidden="1">"部署番号表『本社』"</definedName>
    <definedName name="HTML12_5" hidden="1">""</definedName>
    <definedName name="HTML12_6" hidden="1">-4146</definedName>
    <definedName name="HTML12_7" hidden="1">-4146</definedName>
    <definedName name="HTML12_8" hidden="1">"2000/03/03"</definedName>
    <definedName name="HTML12_9" hidden="1">"株式会社ブリヂストン"</definedName>
    <definedName name="HTML120_1" hidden="1">"[BU20010101.xls]部署一覧!$A$1328:$G$1395"</definedName>
    <definedName name="HTML120_10" hidden="1">""</definedName>
    <definedName name="HTML120_11" hidden="1">1</definedName>
    <definedName name="HTML120_12" hidden="1">"E:\0101_9.htm"</definedName>
    <definedName name="HTML120_2" hidden="1">1</definedName>
    <definedName name="HTML120_3" hidden="1">"部署番号表"</definedName>
    <definedName name="HTML120_4" hidden="1">"部署番号表『化工品』"</definedName>
    <definedName name="HTML120_5" hidden="1">""</definedName>
    <definedName name="HTML120_6" hidden="1">-4146</definedName>
    <definedName name="HTML120_7" hidden="1">-4146</definedName>
    <definedName name="HTML120_8" hidden="1">"2001/01/12"</definedName>
    <definedName name="HTML120_9" hidden="1">"株式会社ブリヂストン"</definedName>
    <definedName name="HTML121_1" hidden="1">"[BU20010201.xls]部署一覧!$A$361:$G$616"</definedName>
    <definedName name="HTML121_10" hidden="1">""</definedName>
    <definedName name="HTML121_11" hidden="1">1</definedName>
    <definedName name="HTML121_12" hidden="1">"E:\0201_3.htm"</definedName>
    <definedName name="HTML121_2" hidden="1">1</definedName>
    <definedName name="HTML121_3" hidden="1">"部署番号表"</definedName>
    <definedName name="HTML121_4" hidden="1">"部署番号表『小平』"</definedName>
    <definedName name="HTML121_5" hidden="1">""</definedName>
    <definedName name="HTML121_6" hidden="1">-4146</definedName>
    <definedName name="HTML121_7" hidden="1">-4146</definedName>
    <definedName name="HTML121_8" hidden="1">"2001/02/06"</definedName>
    <definedName name="HTML121_9" hidden="1">"株式会社ブリヂストン"</definedName>
    <definedName name="HTML122_1" hidden="1">"[BU20010301.xls]部署一覧!$A$6:$G$193"</definedName>
    <definedName name="HTML122_10" hidden="1">""</definedName>
    <definedName name="HTML122_11" hidden="1">1</definedName>
    <definedName name="HTML122_12" hidden="1">"E:\0301_1.htm"</definedName>
    <definedName name="HTML122_2" hidden="1">1</definedName>
    <definedName name="HTML122_3" hidden="1">"部署番号表"</definedName>
    <definedName name="HTML122_4" hidden="1">"部署番号表『本社』"</definedName>
    <definedName name="HTML122_5" hidden="1">""</definedName>
    <definedName name="HTML122_6" hidden="1">-4146</definedName>
    <definedName name="HTML122_7" hidden="1">-4146</definedName>
    <definedName name="HTML122_8" hidden="1">"2001/03/06"</definedName>
    <definedName name="HTML122_9" hidden="1">"株式会社ブリヂストン"</definedName>
    <definedName name="HTML123_1" hidden="1">"[BU20010301.xls]部署一覧!$A$198:$G$359"</definedName>
    <definedName name="HTML123_10" hidden="1">""</definedName>
    <definedName name="HTML123_11" hidden="1">1</definedName>
    <definedName name="HTML123_12" hidden="1">"E:\0301_2.htm"</definedName>
    <definedName name="HTML123_2" hidden="1">1</definedName>
    <definedName name="HTML123_3" hidden="1">"部署番号表"</definedName>
    <definedName name="HTML123_4" hidden="1">"部署番号表『本社』"</definedName>
    <definedName name="HTML123_5" hidden="1">""</definedName>
    <definedName name="HTML123_6" hidden="1">-4146</definedName>
    <definedName name="HTML123_7" hidden="1">-4146</definedName>
    <definedName name="HTML123_8" hidden="1">"2001/03/06"</definedName>
    <definedName name="HTML123_9" hidden="1">"株式会社ブリヂストン"</definedName>
    <definedName name="HTML124_1" hidden="1">"[BU20010301.xls]部署一覧!$A$362:$G$630"</definedName>
    <definedName name="HTML124_10" hidden="1">""</definedName>
    <definedName name="HTML124_11" hidden="1">1</definedName>
    <definedName name="HTML124_12" hidden="1">"E:\0301_3.htm"</definedName>
    <definedName name="HTML124_2" hidden="1">1</definedName>
    <definedName name="HTML124_3" hidden="1">"部署番号表"</definedName>
    <definedName name="HTML124_4" hidden="1">"部署番号表『小平』"</definedName>
    <definedName name="HTML124_5" hidden="1">""</definedName>
    <definedName name="HTML124_6" hidden="1">-4146</definedName>
    <definedName name="HTML124_7" hidden="1">-4146</definedName>
    <definedName name="HTML124_8" hidden="1">"2001/03/06"</definedName>
    <definedName name="HTML124_9" hidden="1">"株式会社ブリヂストン"</definedName>
    <definedName name="HTML125_1" hidden="1">"[BU20010301.xls]部署一覧!$A$633:$G$821"</definedName>
    <definedName name="HTML125_10" hidden="1">""</definedName>
    <definedName name="HTML125_11" hidden="1">1</definedName>
    <definedName name="HTML125_12" hidden="1">"E:\0301_4.htm"</definedName>
    <definedName name="HTML125_2" hidden="1">1</definedName>
    <definedName name="HTML125_3" hidden="1">"部署番号表"</definedName>
    <definedName name="HTML125_4" hidden="1">"部署番号表『小平』"</definedName>
    <definedName name="HTML125_5" hidden="1">""</definedName>
    <definedName name="HTML125_6" hidden="1">-4146</definedName>
    <definedName name="HTML125_7" hidden="1">-4146</definedName>
    <definedName name="HTML125_8" hidden="1">"2001/03/06"</definedName>
    <definedName name="HTML125_9" hidden="1">"株式会社ブリヂストン"</definedName>
    <definedName name="HTML126_1" hidden="1">"[BU20010301.xls]部署一覧!$A$824:$G$899"</definedName>
    <definedName name="HTML126_10" hidden="1">""</definedName>
    <definedName name="HTML126_11" hidden="1">1</definedName>
    <definedName name="HTML126_12" hidden="1">"E:\0301_5.htm"</definedName>
    <definedName name="HTML126_2" hidden="1">1</definedName>
    <definedName name="HTML126_3" hidden="1">"部署番号表"</definedName>
    <definedName name="HTML126_4" hidden="1">"部署番号表『工場』"</definedName>
    <definedName name="HTML126_5" hidden="1">""</definedName>
    <definedName name="HTML126_6" hidden="1">-4146</definedName>
    <definedName name="HTML126_7" hidden="1">-4146</definedName>
    <definedName name="HTML126_8" hidden="1">"2001/03/06"</definedName>
    <definedName name="HTML126_9" hidden="1">"株式会社ブリヂストン"</definedName>
    <definedName name="HTML127_1" hidden="1">"[BU20010301.xls]部署一覧!$A$913:$G$1014"</definedName>
    <definedName name="HTML127_10" hidden="1">""</definedName>
    <definedName name="HTML127_11" hidden="1">1</definedName>
    <definedName name="HTML127_12" hidden="1">"E:\0301_6.htm"</definedName>
    <definedName name="HTML127_2" hidden="1">1</definedName>
    <definedName name="HTML127_3" hidden="1">"部署番号表"</definedName>
    <definedName name="HTML127_4" hidden="1">"部署番号表『工場』"</definedName>
    <definedName name="HTML127_5" hidden="1">""</definedName>
    <definedName name="HTML127_6" hidden="1">-4146</definedName>
    <definedName name="HTML127_7" hidden="1">-4146</definedName>
    <definedName name="HTML127_8" hidden="1">"2001/03/06"</definedName>
    <definedName name="HTML127_9" hidden="1">"株式会社ブリヂストン"</definedName>
    <definedName name="HTML128_1" hidden="1">"[BU20010301.xls]部署一覧!$A$1017:$G$1068"</definedName>
    <definedName name="HTML128_10" hidden="1">""</definedName>
    <definedName name="HTML128_11" hidden="1">1</definedName>
    <definedName name="HTML128_12" hidden="1">"E:\0301_7.htm"</definedName>
    <definedName name="HTML128_2" hidden="1">1</definedName>
    <definedName name="HTML128_3" hidden="1">"部署番号表"</definedName>
    <definedName name="HTML128_4" hidden="1">"部署番号表『工場』"</definedName>
    <definedName name="HTML128_5" hidden="1">""</definedName>
    <definedName name="HTML128_6" hidden="1">-4146</definedName>
    <definedName name="HTML128_7" hidden="1">-4146</definedName>
    <definedName name="HTML128_8" hidden="1">"2001/03/06"</definedName>
    <definedName name="HTML128_9" hidden="1">"株式会社ブリヂストン"</definedName>
    <definedName name="HTML129_1" hidden="1">"[BU20010301.xls]部署一覧!$A$1071:$G$1274"</definedName>
    <definedName name="HTML129_10" hidden="1">""</definedName>
    <definedName name="HTML129_11" hidden="1">1</definedName>
    <definedName name="HTML129_12" hidden="1">"E:\0301_8.htm"</definedName>
    <definedName name="HTML129_2" hidden="1">1</definedName>
    <definedName name="HTML129_3" hidden="1">"部署番号表"</definedName>
    <definedName name="HTML129_4" hidden="1">"部署番号表『化工品』"</definedName>
    <definedName name="HTML129_5" hidden="1">""</definedName>
    <definedName name="HTML129_6" hidden="1">-4146</definedName>
    <definedName name="HTML129_7" hidden="1">-4146</definedName>
    <definedName name="HTML129_8" hidden="1">"2001/03/06"</definedName>
    <definedName name="HTML129_9" hidden="1">"株式会社ブリヂストン"</definedName>
    <definedName name="HTML13_1" hidden="1">"[BU000301.xls]部署一覧!$A$211:$G$383"</definedName>
    <definedName name="HTML13_10" hidden="1">""</definedName>
    <definedName name="HTML13_11" hidden="1">1</definedName>
    <definedName name="HTML13_12" hidden="1">"E:\0301_2.htm"</definedName>
    <definedName name="HTML13_2" hidden="1">1</definedName>
    <definedName name="HTML13_3" hidden="1">"部署番号表"</definedName>
    <definedName name="HTML13_4" hidden="1">"部署番号表『本社』"</definedName>
    <definedName name="HTML13_5" hidden="1">""</definedName>
    <definedName name="HTML13_6" hidden="1">-4146</definedName>
    <definedName name="HTML13_7" hidden="1">-4146</definedName>
    <definedName name="HTML13_8" hidden="1">"2000/03/03"</definedName>
    <definedName name="HTML13_9" hidden="1">"株式会社ブリヂストン"</definedName>
    <definedName name="HTML130_1" hidden="1">"[BU20010301.xls]部署一覧!$A$1277:$G$1344"</definedName>
    <definedName name="HTML130_10" hidden="1">""</definedName>
    <definedName name="HTML130_11" hidden="1">1</definedName>
    <definedName name="HTML130_12" hidden="1">"E:\0301_9.htm"</definedName>
    <definedName name="HTML130_2" hidden="1">1</definedName>
    <definedName name="HTML130_3" hidden="1">"部署番号表"</definedName>
    <definedName name="HTML130_4" hidden="1">"部署番号表『化工品』"</definedName>
    <definedName name="HTML130_5" hidden="1">""</definedName>
    <definedName name="HTML130_6" hidden="1">-4146</definedName>
    <definedName name="HTML130_7" hidden="1">-4146</definedName>
    <definedName name="HTML130_8" hidden="1">"2001/03/06"</definedName>
    <definedName name="HTML130_9" hidden="1">"株式会社ブリヂストン"</definedName>
    <definedName name="HTML131_1" hidden="1">"[BU20010401.xls]部署一覧!$A$6:$G$193"</definedName>
    <definedName name="HTML131_10" hidden="1">""</definedName>
    <definedName name="HTML131_11" hidden="1">1</definedName>
    <definedName name="HTML131_12" hidden="1">"E:\0401_1.htm"</definedName>
    <definedName name="HTML131_2" hidden="1">1</definedName>
    <definedName name="HTML131_3" hidden="1">"部署番号表"</definedName>
    <definedName name="HTML131_4" hidden="1">"部署番号表『本社』"</definedName>
    <definedName name="HTML131_5" hidden="1">""</definedName>
    <definedName name="HTML131_6" hidden="1">-4146</definedName>
    <definedName name="HTML131_7" hidden="1">-4146</definedName>
    <definedName name="HTML131_8" hidden="1">"2001/04/09"</definedName>
    <definedName name="HTML131_9" hidden="1">"株式会社ブリヂストン"</definedName>
    <definedName name="HTML132_1" hidden="1">"[BU20010401.xls]部署一覧!$A$198:$G$373"</definedName>
    <definedName name="HTML132_10" hidden="1">""</definedName>
    <definedName name="HTML132_11" hidden="1">1</definedName>
    <definedName name="HTML132_12" hidden="1">"E:\0401_2.htm"</definedName>
    <definedName name="HTML132_2" hidden="1">1</definedName>
    <definedName name="HTML132_3" hidden="1">"部署番号表"</definedName>
    <definedName name="HTML132_4" hidden="1">"部署番号表『本社』"</definedName>
    <definedName name="HTML132_5" hidden="1">""</definedName>
    <definedName name="HTML132_6" hidden="1">-4146</definedName>
    <definedName name="HTML132_7" hidden="1">-4146</definedName>
    <definedName name="HTML132_8" hidden="1">"2001/04/09"</definedName>
    <definedName name="HTML132_9" hidden="1">"株式会社ブリヂストン"</definedName>
    <definedName name="HTML133_1" hidden="1">"[BU20010401.xls]部署一覧!$A$376:$G$630"</definedName>
    <definedName name="HTML133_10" hidden="1">""</definedName>
    <definedName name="HTML133_11" hidden="1">1</definedName>
    <definedName name="HTML133_12" hidden="1">"E:\0401_3.htm"</definedName>
    <definedName name="HTML133_2" hidden="1">1</definedName>
    <definedName name="HTML133_3" hidden="1">"部署番号表"</definedName>
    <definedName name="HTML133_4" hidden="1">"部署番号表『小平』"</definedName>
    <definedName name="HTML133_5" hidden="1">""</definedName>
    <definedName name="HTML133_6" hidden="1">-4146</definedName>
    <definedName name="HTML133_7" hidden="1">-4146</definedName>
    <definedName name="HTML133_8" hidden="1">"2001/04/09"</definedName>
    <definedName name="HTML133_9" hidden="1">"株式会社ブリヂストン"</definedName>
    <definedName name="HTML134_1" hidden="1">"[BU20010401.xls]部署一覧!$A$633:$G$822"</definedName>
    <definedName name="HTML134_10" hidden="1">""</definedName>
    <definedName name="HTML134_11" hidden="1">1</definedName>
    <definedName name="HTML134_12" hidden="1">"E:\0401_4.htm"</definedName>
    <definedName name="HTML134_2" hidden="1">1</definedName>
    <definedName name="HTML134_3" hidden="1">"部署番号表"</definedName>
    <definedName name="HTML134_4" hidden="1">"部署番号表『小平』"</definedName>
    <definedName name="HTML134_5" hidden="1">""</definedName>
    <definedName name="HTML134_6" hidden="1">-4146</definedName>
    <definedName name="HTML134_7" hidden="1">-4146</definedName>
    <definedName name="HTML134_8" hidden="1">"2001/04/09"</definedName>
    <definedName name="HTML134_9" hidden="1">"株式会社ブリヂストン"</definedName>
    <definedName name="HTML135_1" hidden="1">"[BU20010401.xls]部署一覧!$A$825:$G$900"</definedName>
    <definedName name="HTML135_10" hidden="1">""</definedName>
    <definedName name="HTML135_11" hidden="1">1</definedName>
    <definedName name="HTML135_12" hidden="1">"E:\0401_5.htm"</definedName>
    <definedName name="HTML135_2" hidden="1">1</definedName>
    <definedName name="HTML135_3" hidden="1">"部署番号表"</definedName>
    <definedName name="HTML135_4" hidden="1">"部署番号表『工場』"</definedName>
    <definedName name="HTML135_5" hidden="1">""</definedName>
    <definedName name="HTML135_6" hidden="1">-4146</definedName>
    <definedName name="HTML135_7" hidden="1">-4146</definedName>
    <definedName name="HTML135_8" hidden="1">"2001/04/09"</definedName>
    <definedName name="HTML135_9" hidden="1">"株式会社ブリヂストン"</definedName>
    <definedName name="HTML136_1" hidden="1">"[BU20010401.xls]部署一覧!$A$913:$G$1014"</definedName>
    <definedName name="HTML136_10" hidden="1">""</definedName>
    <definedName name="HTML136_11" hidden="1">1</definedName>
    <definedName name="HTML136_12" hidden="1">"E:\0401_6.htm"</definedName>
    <definedName name="HTML136_2" hidden="1">1</definedName>
    <definedName name="HTML136_3" hidden="1">"部署番号表"</definedName>
    <definedName name="HTML136_4" hidden="1">"部署番号表『工場』"</definedName>
    <definedName name="HTML136_5" hidden="1">""</definedName>
    <definedName name="HTML136_6" hidden="1">-4146</definedName>
    <definedName name="HTML136_7" hidden="1">-4146</definedName>
    <definedName name="HTML136_8" hidden="1">"2001/04/09"</definedName>
    <definedName name="HTML136_9" hidden="1">"株式会社ブリヂストン"</definedName>
    <definedName name="HTML137_1" hidden="1">"[BU20010401.xls]部署一覧!$A$1017:$G$1068"</definedName>
    <definedName name="HTML137_10" hidden="1">""</definedName>
    <definedName name="HTML137_11" hidden="1">1</definedName>
    <definedName name="HTML137_12" hidden="1">"E:\0401_7.htm"</definedName>
    <definedName name="HTML137_2" hidden="1">1</definedName>
    <definedName name="HTML137_3" hidden="1">"部署番号表"</definedName>
    <definedName name="HTML137_4" hidden="1">"部署番号表『工場』"</definedName>
    <definedName name="HTML137_5" hidden="1">""</definedName>
    <definedName name="HTML137_6" hidden="1">-4146</definedName>
    <definedName name="HTML137_7" hidden="1">-4146</definedName>
    <definedName name="HTML137_8" hidden="1">"2001/04/09"</definedName>
    <definedName name="HTML137_9" hidden="1">"株式会社ブリヂストン"</definedName>
    <definedName name="HTML138_1" hidden="1">"[BU20010401.xls]部署一覧!$A$1071:$G$1274"</definedName>
    <definedName name="HTML138_10" hidden="1">""</definedName>
    <definedName name="HTML138_11" hidden="1">1</definedName>
    <definedName name="HTML138_12" hidden="1">"E:\0401_8.htm"</definedName>
    <definedName name="HTML138_2" hidden="1">1</definedName>
    <definedName name="HTML138_3" hidden="1">"部署番号表"</definedName>
    <definedName name="HTML138_4" hidden="1">"部署番号表『化工品』"</definedName>
    <definedName name="HTML138_5" hidden="1">""</definedName>
    <definedName name="HTML138_6" hidden="1">-4146</definedName>
    <definedName name="HTML138_7" hidden="1">-4146</definedName>
    <definedName name="HTML138_8" hidden="1">"2001/04/09"</definedName>
    <definedName name="HTML138_9" hidden="1">"株式会社ブリヂストン"</definedName>
    <definedName name="HTML139_1" hidden="1">"[BU20010401.xls]部署一覧!$A$1277:$G$1345"</definedName>
    <definedName name="HTML139_10" hidden="1">""</definedName>
    <definedName name="HTML139_11" hidden="1">1</definedName>
    <definedName name="HTML139_12" hidden="1">"E:\0401_9.htm"</definedName>
    <definedName name="HTML139_2" hidden="1">1</definedName>
    <definedName name="HTML139_3" hidden="1">"部署番号表"</definedName>
    <definedName name="HTML139_4" hidden="1">"部署番号表『化工品』"</definedName>
    <definedName name="HTML139_5" hidden="1">""</definedName>
    <definedName name="HTML139_6" hidden="1">-4146</definedName>
    <definedName name="HTML139_7" hidden="1">-4146</definedName>
    <definedName name="HTML139_8" hidden="1">"2001/04/09"</definedName>
    <definedName name="HTML139_9" hidden="1">"株式会社ブリヂストン"</definedName>
    <definedName name="HTML14_1" hidden="1">"[BU000301.xls]部署一覧!$A$393:$G$664"</definedName>
    <definedName name="HTML14_10" hidden="1">""</definedName>
    <definedName name="HTML14_11" hidden="1">1</definedName>
    <definedName name="HTML14_12" hidden="1">"E:\0301_3.htm"</definedName>
    <definedName name="HTML14_2" hidden="1">1</definedName>
    <definedName name="HTML14_3" hidden="1">"部署番号表"</definedName>
    <definedName name="HTML14_4" hidden="1">"部署番号表『小平』"</definedName>
    <definedName name="HTML14_5" hidden="1">""</definedName>
    <definedName name="HTML14_6" hidden="1">-4146</definedName>
    <definedName name="HTML14_7" hidden="1">-4146</definedName>
    <definedName name="HTML14_8" hidden="1">"2000/03/03"</definedName>
    <definedName name="HTML14_9" hidden="1">"株式会社ブリヂストン"</definedName>
    <definedName name="HTML140_1" hidden="1">"[BU20011001.xls]部署一覧!$A$6:$G$211"</definedName>
    <definedName name="HTML140_10" hidden="1">""</definedName>
    <definedName name="HTML140_11" hidden="1">1</definedName>
    <definedName name="HTML140_12" hidden="1">"E:\1001_1.htm"</definedName>
    <definedName name="HTML140_2" hidden="1">1</definedName>
    <definedName name="HTML140_3" hidden="1">"部署番号表"</definedName>
    <definedName name="HTML140_4" hidden="1">"部署番号表『本社』"</definedName>
    <definedName name="HTML140_5" hidden="1">""</definedName>
    <definedName name="HTML140_6" hidden="1">-4146</definedName>
    <definedName name="HTML140_7" hidden="1">-4146</definedName>
    <definedName name="HTML140_8" hidden="1">"2001/10/09"</definedName>
    <definedName name="HTML140_9" hidden="1">"株式会社ブリヂストン"</definedName>
    <definedName name="HTML141_1" hidden="1">"[BU20011001.xls]部署一覧!$A$214:$G$387"</definedName>
    <definedName name="HTML141_10" hidden="1">""</definedName>
    <definedName name="HTML141_11" hidden="1">1</definedName>
    <definedName name="HTML141_12" hidden="1">"E:\1001_2.htm"</definedName>
    <definedName name="HTML141_2" hidden="1">1</definedName>
    <definedName name="HTML141_3" hidden="1">"部署番号表"</definedName>
    <definedName name="HTML141_4" hidden="1">"部署番号表『本社』"</definedName>
    <definedName name="HTML141_5" hidden="1">""</definedName>
    <definedName name="HTML141_6" hidden="1">-4146</definedName>
    <definedName name="HTML141_7" hidden="1">-4146</definedName>
    <definedName name="HTML141_8" hidden="1">"2001/10/09"</definedName>
    <definedName name="HTML141_9" hidden="1">"株式会社ブリヂストン"</definedName>
    <definedName name="HTML142_1" hidden="1">"[BU20011001.xls]部署一覧!$A$393:$G$660"</definedName>
    <definedName name="HTML142_10" hidden="1">""</definedName>
    <definedName name="HTML142_11" hidden="1">1</definedName>
    <definedName name="HTML142_12" hidden="1">"E:\1001_3.htm"</definedName>
    <definedName name="HTML142_2" hidden="1">1</definedName>
    <definedName name="HTML142_3" hidden="1">"部署番号表"</definedName>
    <definedName name="HTML142_4" hidden="1">"部署番号表『小平』"</definedName>
    <definedName name="HTML142_5" hidden="1">""</definedName>
    <definedName name="HTML142_6" hidden="1">-4146</definedName>
    <definedName name="HTML142_7" hidden="1">-4146</definedName>
    <definedName name="HTML142_8" hidden="1">"2001/10/09"</definedName>
    <definedName name="HTML142_9" hidden="1">"株式会社ブリヂストン"</definedName>
    <definedName name="HTML143_1" hidden="1">"[BU20011001.xls]部署一覧!$A$663:$G$868"</definedName>
    <definedName name="HTML143_10" hidden="1">""</definedName>
    <definedName name="HTML143_11" hidden="1">1</definedName>
    <definedName name="HTML143_12" hidden="1">"E:\1001_4.htm"</definedName>
    <definedName name="HTML143_2" hidden="1">1</definedName>
    <definedName name="HTML143_3" hidden="1">"部署番号表"</definedName>
    <definedName name="HTML143_4" hidden="1">"部署番号表『小平』"</definedName>
    <definedName name="HTML143_5" hidden="1">""</definedName>
    <definedName name="HTML143_6" hidden="1">-4146</definedName>
    <definedName name="HTML143_7" hidden="1">-4146</definedName>
    <definedName name="HTML143_8" hidden="1">"2001/10/09"</definedName>
    <definedName name="HTML143_9" hidden="1">"株式会社ブリヂストン"</definedName>
    <definedName name="HTML144_1" hidden="1">"[BU20011001.xls]部署一覧!$A$871:$G$943"</definedName>
    <definedName name="HTML144_10" hidden="1">""</definedName>
    <definedName name="HTML144_11" hidden="1">1</definedName>
    <definedName name="HTML144_12" hidden="1">"E:\1001_5.htm"</definedName>
    <definedName name="HTML144_2" hidden="1">1</definedName>
    <definedName name="HTML144_3" hidden="1">"部署番号表"</definedName>
    <definedName name="HTML144_4" hidden="1">"部署番号表『工場』"</definedName>
    <definedName name="HTML144_5" hidden="1">""</definedName>
    <definedName name="HTML144_6" hidden="1">-4146</definedName>
    <definedName name="HTML144_7" hidden="1">-4146</definedName>
    <definedName name="HTML144_8" hidden="1">"2001/10/09"</definedName>
    <definedName name="HTML144_9" hidden="1">"株式会社ブリヂストン"</definedName>
    <definedName name="HTML145_1" hidden="1">"[BU20011001.xls]部署一覧!$A$946:$G$1053"</definedName>
    <definedName name="HTML145_10" hidden="1">""</definedName>
    <definedName name="HTML145_11" hidden="1">1</definedName>
    <definedName name="HTML145_12" hidden="1">"E:\1001_6.htm"</definedName>
    <definedName name="HTML145_2" hidden="1">1</definedName>
    <definedName name="HTML145_3" hidden="1">"部署番号表"</definedName>
    <definedName name="HTML145_4" hidden="1">"部署番号表『工場』"</definedName>
    <definedName name="HTML145_5" hidden="1">""</definedName>
    <definedName name="HTML145_6" hidden="1">-4146</definedName>
    <definedName name="HTML145_7" hidden="1">-4146</definedName>
    <definedName name="HTML145_8" hidden="1">"2001/10/09"</definedName>
    <definedName name="HTML145_9" hidden="1">"株式会社ブリヂストン"</definedName>
    <definedName name="HTML146_1" hidden="1">"[BU20011001.xls]部署一覧!$A$1056:$G$1106"</definedName>
    <definedName name="HTML146_10" hidden="1">""</definedName>
    <definedName name="HTML146_11" hidden="1">1</definedName>
    <definedName name="HTML146_12" hidden="1">"E:\1001_7.htm"</definedName>
    <definedName name="HTML146_2" hidden="1">1</definedName>
    <definedName name="HTML146_3" hidden="1">"部署番号表"</definedName>
    <definedName name="HTML146_4" hidden="1">"部署番号表『工場』"</definedName>
    <definedName name="HTML146_5" hidden="1">""</definedName>
    <definedName name="HTML146_6" hidden="1">-4146</definedName>
    <definedName name="HTML146_7" hidden="1">-4146</definedName>
    <definedName name="HTML146_8" hidden="1">"2001/10/09"</definedName>
    <definedName name="HTML146_9" hidden="1">"株式会社ブリヂストン"</definedName>
    <definedName name="HTML147_1" hidden="1">"[BU20011001.xls]部署一覧!$A$1108:$G$1311"</definedName>
    <definedName name="HTML147_10" hidden="1">""</definedName>
    <definedName name="HTML147_11" hidden="1">1</definedName>
    <definedName name="HTML147_12" hidden="1">"E:\1001_8.htm"</definedName>
    <definedName name="HTML147_2" hidden="1">1</definedName>
    <definedName name="HTML147_3" hidden="1">"部署番号表"</definedName>
    <definedName name="HTML147_4" hidden="1">"部署番号表『化工品』"</definedName>
    <definedName name="HTML147_5" hidden="1">""</definedName>
    <definedName name="HTML147_6" hidden="1">-4146</definedName>
    <definedName name="HTML147_7" hidden="1">-4146</definedName>
    <definedName name="HTML147_8" hidden="1">"2001/10/09"</definedName>
    <definedName name="HTML147_9" hidden="1">"株式会社ブリヂストン"</definedName>
    <definedName name="HTML148_1" hidden="1">"[BU20011001.xls]部署一覧!$A$1314:$G$1375"</definedName>
    <definedName name="HTML148_10" hidden="1">""</definedName>
    <definedName name="HTML148_11" hidden="1">1</definedName>
    <definedName name="HTML148_12" hidden="1">"E:\1001_9.htm"</definedName>
    <definedName name="HTML148_2" hidden="1">1</definedName>
    <definedName name="HTML148_3" hidden="1">"部署番号表"</definedName>
    <definedName name="HTML148_4" hidden="1">"部署番号表『化工品』"</definedName>
    <definedName name="HTML148_5" hidden="1">""</definedName>
    <definedName name="HTML148_6" hidden="1">-4146</definedName>
    <definedName name="HTML148_7" hidden="1">-4146</definedName>
    <definedName name="HTML148_8" hidden="1">"2001/10/09"</definedName>
    <definedName name="HTML148_9" hidden="1">"株式会社ブリヂストン"</definedName>
    <definedName name="HTML149_1" hidden="1">"[BU20011101.xls]部署一覧!$A$6:$G$211"</definedName>
    <definedName name="HTML149_10" hidden="1">""</definedName>
    <definedName name="HTML149_11" hidden="1">1</definedName>
    <definedName name="HTML149_12" hidden="1">"E:\1101_1.htm"</definedName>
    <definedName name="HTML149_2" hidden="1">1</definedName>
    <definedName name="HTML149_3" hidden="1">"部署番号表"</definedName>
    <definedName name="HTML149_4" hidden="1">"部署番号表『本社』"</definedName>
    <definedName name="HTML149_5" hidden="1">""</definedName>
    <definedName name="HTML149_6" hidden="1">-4146</definedName>
    <definedName name="HTML149_7" hidden="1">-4146</definedName>
    <definedName name="HTML149_8" hidden="1">"2001/11/01"</definedName>
    <definedName name="HTML149_9" hidden="1">"株式会社ブリヂストン"</definedName>
    <definedName name="HTML15_1" hidden="1">"[BU000301.xls]部署一覧!$A$667:$G$870"</definedName>
    <definedName name="HTML15_10" hidden="1">""</definedName>
    <definedName name="HTML15_11" hidden="1">1</definedName>
    <definedName name="HTML15_12" hidden="1">"E:\0301_4.htm"</definedName>
    <definedName name="HTML15_2" hidden="1">1</definedName>
    <definedName name="HTML15_3" hidden="1">"部署番号表"</definedName>
    <definedName name="HTML15_4" hidden="1">"部署番号表『小平』"</definedName>
    <definedName name="HTML15_5" hidden="1">""</definedName>
    <definedName name="HTML15_6" hidden="1">-4146</definedName>
    <definedName name="HTML15_7" hidden="1">-4146</definedName>
    <definedName name="HTML15_8" hidden="1">"2000/03/03"</definedName>
    <definedName name="HTML15_9" hidden="1">"株式会社ブリヂストン"</definedName>
    <definedName name="HTML16_1" hidden="1">"[BU000301.xls]部署一覧!$A$873:$G$973"</definedName>
    <definedName name="HTML16_10" hidden="1">""</definedName>
    <definedName name="HTML16_11" hidden="1">1</definedName>
    <definedName name="HTML16_12" hidden="1">"E:\0301_5.htm"</definedName>
    <definedName name="HTML16_2" hidden="1">1</definedName>
    <definedName name="HTML16_3" hidden="1">"部署番号表"</definedName>
    <definedName name="HTML16_4" hidden="1">"部署番号表『工場』"</definedName>
    <definedName name="HTML16_5" hidden="1">""</definedName>
    <definedName name="HTML16_6" hidden="1">-4146</definedName>
    <definedName name="HTML16_7" hidden="1">-4146</definedName>
    <definedName name="HTML16_8" hidden="1">"2000/03/03"</definedName>
    <definedName name="HTML16_9" hidden="1">"株式会社ブリヂストン"</definedName>
    <definedName name="HTML17_1" hidden="1">"[BU000301.xls]部署一覧!$A$979:$G$1160"</definedName>
    <definedName name="HTML17_10" hidden="1">""</definedName>
    <definedName name="HTML17_11" hidden="1">1</definedName>
    <definedName name="HTML17_12" hidden="1">"E:\0301_6.htm"</definedName>
    <definedName name="HTML17_2" hidden="1">1</definedName>
    <definedName name="HTML17_3" hidden="1">"部署番号表"</definedName>
    <definedName name="HTML17_4" hidden="1">"部署番号表『工場』"</definedName>
    <definedName name="HTML17_5" hidden="1">""</definedName>
    <definedName name="HTML17_6" hidden="1">-4146</definedName>
    <definedName name="HTML17_7" hidden="1">-4146</definedName>
    <definedName name="HTML17_8" hidden="1">"2000/03/03"</definedName>
    <definedName name="HTML17_9" hidden="1">"株式会社ブリヂストン"</definedName>
    <definedName name="HTML18_1" hidden="1">"[BU000301.xls]部署一覧!$A$979:$G$1101"</definedName>
    <definedName name="HTML18_10" hidden="1">""</definedName>
    <definedName name="HTML18_11" hidden="1">1</definedName>
    <definedName name="HTML18_12" hidden="1">"E:\0301_6.htm"</definedName>
    <definedName name="HTML18_2" hidden="1">1</definedName>
    <definedName name="HTML18_3" hidden="1">"部署番号表"</definedName>
    <definedName name="HTML18_4" hidden="1">"部署番号表『工場』"</definedName>
    <definedName name="HTML18_5" hidden="1">""</definedName>
    <definedName name="HTML18_6" hidden="1">-4146</definedName>
    <definedName name="HTML18_7" hidden="1">-4146</definedName>
    <definedName name="HTML18_8" hidden="1">"2000/03/03"</definedName>
    <definedName name="HTML18_9" hidden="1">"株式会社ブリヂストン"</definedName>
    <definedName name="HTML19_1" hidden="1">"[BU000301.xls]部署一覧!$A$1108:$G$1160"</definedName>
    <definedName name="HTML19_10" hidden="1">""</definedName>
    <definedName name="HTML19_11" hidden="1">1</definedName>
    <definedName name="HTML19_12" hidden="1">"E:\0301_7.htm"</definedName>
    <definedName name="HTML19_2" hidden="1">1</definedName>
    <definedName name="HTML19_3" hidden="1">"部署番号表"</definedName>
    <definedName name="HTML19_4" hidden="1">"部署番号表『工場』"</definedName>
    <definedName name="HTML19_5" hidden="1">""</definedName>
    <definedName name="HTML19_6" hidden="1">-4146</definedName>
    <definedName name="HTML19_7" hidden="1">-4146</definedName>
    <definedName name="HTML19_8" hidden="1">"2000/03/03"</definedName>
    <definedName name="HTML19_9" hidden="1">"株式会社ブリヂストン"</definedName>
    <definedName name="HTML2_1" hidden="1">"[BU990901.xls]部署一覧!$A$283:$G$500"</definedName>
    <definedName name="HTML2_10" hidden="1">""</definedName>
    <definedName name="HTML2_11" hidden="1">1</definedName>
    <definedName name="HTML2_12" hidden="1">"E:\0901_2.htm"</definedName>
    <definedName name="HTML2_2" hidden="1">1</definedName>
    <definedName name="HTML2_3" hidden="1">"部署番号表"</definedName>
    <definedName name="HTML2_4" hidden="1">"部署番号表『本社』"</definedName>
    <definedName name="HTML2_5" hidden="1">""</definedName>
    <definedName name="HTML2_6" hidden="1">-4146</definedName>
    <definedName name="HTML2_7" hidden="1">-4146</definedName>
    <definedName name="HTML2_8" hidden="1">"1999/08/30"</definedName>
    <definedName name="HTML2_9" hidden="1">"株式会社ブリヂストン"</definedName>
    <definedName name="HTML20_1" hidden="1">"[BU000301.xls]部署一覧!$A$1173:$G$1365"</definedName>
    <definedName name="HTML20_10" hidden="1">""</definedName>
    <definedName name="HTML20_11" hidden="1">1</definedName>
    <definedName name="HTML20_12" hidden="1">"E:\0301_8.htm"</definedName>
    <definedName name="HTML20_2" hidden="1">1</definedName>
    <definedName name="HTML20_3" hidden="1">"部署番号表"</definedName>
    <definedName name="HTML20_4" hidden="1">"部署番号表『化工品』"</definedName>
    <definedName name="HTML20_5" hidden="1">""</definedName>
    <definedName name="HTML20_6" hidden="1">-4146</definedName>
    <definedName name="HTML20_7" hidden="1">-4146</definedName>
    <definedName name="HTML20_8" hidden="1">"2000/03/03"</definedName>
    <definedName name="HTML20_9" hidden="1">"株式会社ブリヂストン"</definedName>
    <definedName name="HTML21_1" hidden="1">"[BU000301.xls]部署一覧!$A$1368:$G$1452"</definedName>
    <definedName name="HTML21_10" hidden="1">""</definedName>
    <definedName name="HTML21_11" hidden="1">1</definedName>
    <definedName name="HTML21_12" hidden="1">"E:\0301_9.htm"</definedName>
    <definedName name="HTML21_2" hidden="1">1</definedName>
    <definedName name="HTML21_3" hidden="1">"部署番号表"</definedName>
    <definedName name="HTML21_4" hidden="1">"部署番号表『化工品』"</definedName>
    <definedName name="HTML21_5" hidden="1">""</definedName>
    <definedName name="HTML21_6" hidden="1">-4146</definedName>
    <definedName name="HTML21_7" hidden="1">-4146</definedName>
    <definedName name="HTML21_8" hidden="1">"2000/03/03"</definedName>
    <definedName name="HTML21_9" hidden="1">"株式会社ブリヂストン"</definedName>
    <definedName name="HTML22_1" hidden="1">"[BU000316.xls]部署一覧!$A$6:$G$209"</definedName>
    <definedName name="HTML22_10" hidden="1">""</definedName>
    <definedName name="HTML22_11" hidden="1">1</definedName>
    <definedName name="HTML22_12" hidden="1">"E:\0316_1.htm"</definedName>
    <definedName name="HTML22_2" hidden="1">1</definedName>
    <definedName name="HTML22_3" hidden="1">"部署番号表"</definedName>
    <definedName name="HTML22_4" hidden="1">"部署番号表『本社』"</definedName>
    <definedName name="HTML22_5" hidden="1">""</definedName>
    <definedName name="HTML22_6" hidden="1">-4146</definedName>
    <definedName name="HTML22_7" hidden="1">-4146</definedName>
    <definedName name="HTML22_8" hidden="1">"2000/03/17"</definedName>
    <definedName name="HTML22_9" hidden="1">"株式会社ブリヂストン"</definedName>
    <definedName name="HTML23_1" hidden="1">"[BU000316.xls]部署一覧!$A$211:$G$383"</definedName>
    <definedName name="HTML23_10" hidden="1">""</definedName>
    <definedName name="HTML23_11" hidden="1">1</definedName>
    <definedName name="HTML23_12" hidden="1">"E:\0316_2.htm"</definedName>
    <definedName name="HTML23_2" hidden="1">1</definedName>
    <definedName name="HTML23_3" hidden="1">"部署番号表"</definedName>
    <definedName name="HTML23_4" hidden="1">"部署番号表『本社』"</definedName>
    <definedName name="HTML23_5" hidden="1">""</definedName>
    <definedName name="HTML23_6" hidden="1">-4146</definedName>
    <definedName name="HTML23_7" hidden="1">-4146</definedName>
    <definedName name="HTML23_8" hidden="1">"2000/03/17"</definedName>
    <definedName name="HTML23_9" hidden="1">"株式会社ブリヂストン"</definedName>
    <definedName name="HTML24_1" hidden="1">"[BU000316.xls]部署一覧!$A$393:$G$664"</definedName>
    <definedName name="HTML24_10" hidden="1">""</definedName>
    <definedName name="HTML24_11" hidden="1">1</definedName>
    <definedName name="HTML24_12" hidden="1">"E:\0316_3.htm"</definedName>
    <definedName name="HTML24_2" hidden="1">1</definedName>
    <definedName name="HTML24_3" hidden="1">"部署番号表"</definedName>
    <definedName name="HTML24_4" hidden="1">"部署番号表『小平』"</definedName>
    <definedName name="HTML24_5" hidden="1">""</definedName>
    <definedName name="HTML24_6" hidden="1">-4146</definedName>
    <definedName name="HTML24_7" hidden="1">-4146</definedName>
    <definedName name="HTML24_8" hidden="1">"2000/03/17"</definedName>
    <definedName name="HTML24_9" hidden="1">"株式会社ブリヂストン"</definedName>
    <definedName name="HTML25_1" hidden="1">"[BU000316.xls]部署一覧!$A$667:$G$869"</definedName>
    <definedName name="HTML25_10" hidden="1">""</definedName>
    <definedName name="HTML25_11" hidden="1">1</definedName>
    <definedName name="HTML25_12" hidden="1">"E:\0316_4.htm"</definedName>
    <definedName name="HTML25_2" hidden="1">1</definedName>
    <definedName name="HTML25_3" hidden="1">"部署番号表"</definedName>
    <definedName name="HTML25_4" hidden="1">"部署番号表『小平』"</definedName>
    <definedName name="HTML25_5" hidden="1">""</definedName>
    <definedName name="HTML25_6" hidden="1">-4146</definedName>
    <definedName name="HTML25_7" hidden="1">-4146</definedName>
    <definedName name="HTML25_8" hidden="1">"2000/03/23"</definedName>
    <definedName name="HTML25_9" hidden="1">"株式会社ブリヂストン"</definedName>
    <definedName name="HTML26_1" hidden="1">"[BU000316.xls]部署一覧!$A$872:$G$973"</definedName>
    <definedName name="HTML26_10" hidden="1">""</definedName>
    <definedName name="HTML26_11" hidden="1">1</definedName>
    <definedName name="HTML26_12" hidden="1">"E:\0316_5.htm"</definedName>
    <definedName name="HTML26_2" hidden="1">1</definedName>
    <definedName name="HTML26_3" hidden="1">"部署番号表"</definedName>
    <definedName name="HTML26_4" hidden="1">"部署番号表『工場』"</definedName>
    <definedName name="HTML26_5" hidden="1">""</definedName>
    <definedName name="HTML26_6" hidden="1">-4146</definedName>
    <definedName name="HTML26_7" hidden="1">-4146</definedName>
    <definedName name="HTML26_8" hidden="1">"2000/03/17"</definedName>
    <definedName name="HTML26_9" hidden="1">"株式会社ブリヂストン"</definedName>
    <definedName name="HTML27_1" hidden="1">"[BU000316.xls]部署一覧!$A$979:$G$1101"</definedName>
    <definedName name="HTML27_10" hidden="1">""</definedName>
    <definedName name="HTML27_11" hidden="1">1</definedName>
    <definedName name="HTML27_12" hidden="1">"E:\0316_6.htm"</definedName>
    <definedName name="HTML27_2" hidden="1">1</definedName>
    <definedName name="HTML27_3" hidden="1">"部署番号表"</definedName>
    <definedName name="HTML27_4" hidden="1">"部署番号表『工場』"</definedName>
    <definedName name="HTML27_5" hidden="1">""</definedName>
    <definedName name="HTML27_6" hidden="1">-4146</definedName>
    <definedName name="HTML27_7" hidden="1">-4146</definedName>
    <definedName name="HTML27_8" hidden="1">"2000/03/17"</definedName>
    <definedName name="HTML27_9" hidden="1">"株式会社ブリヂストン"</definedName>
    <definedName name="HTML28_1" hidden="1">"[BU000316.xls]部署一覧!$A$1108:$G$1160"</definedName>
    <definedName name="HTML28_10" hidden="1">""</definedName>
    <definedName name="HTML28_11" hidden="1">1</definedName>
    <definedName name="HTML28_12" hidden="1">"E:\0316_07.htm"</definedName>
    <definedName name="HTML28_2" hidden="1">1</definedName>
    <definedName name="HTML28_3" hidden="1">"部署番号表"</definedName>
    <definedName name="HTML28_4" hidden="1">"部署番号表『工場』"</definedName>
    <definedName name="HTML28_5" hidden="1">""</definedName>
    <definedName name="HTML28_6" hidden="1">-4146</definedName>
    <definedName name="HTML28_7" hidden="1">-4146</definedName>
    <definedName name="HTML28_8" hidden="1">"2000/03/17"</definedName>
    <definedName name="HTML28_9" hidden="1">"株式会社ブリヂストン"</definedName>
    <definedName name="HTML29_1" hidden="1">"[BU000316.xls]部署一覧!$A$1172:$G$1365"</definedName>
    <definedName name="HTML29_10" hidden="1">""</definedName>
    <definedName name="HTML29_11" hidden="1">1</definedName>
    <definedName name="HTML29_12" hidden="1">"E:\0316_8.htm"</definedName>
    <definedName name="HTML29_2" hidden="1">1</definedName>
    <definedName name="HTML29_3" hidden="1">"部署番号表"</definedName>
    <definedName name="HTML29_4" hidden="1">"部署番号表『化工品』"</definedName>
    <definedName name="HTML29_5" hidden="1">""</definedName>
    <definedName name="HTML29_6" hidden="1">-4146</definedName>
    <definedName name="HTML29_7" hidden="1">-4146</definedName>
    <definedName name="HTML29_8" hidden="1">"2000/03/17"</definedName>
    <definedName name="HTML29_9" hidden="1">"株式会社ブリヂストン"</definedName>
    <definedName name="HTML3_1" hidden="1">"[BU000201.xls]部署一覧!$A$6:$G$211"</definedName>
    <definedName name="HTML3_10" hidden="1">""</definedName>
    <definedName name="HTML3_11" hidden="1">1</definedName>
    <definedName name="HTML3_12" hidden="1">"E:\0201_1.htm"</definedName>
    <definedName name="HTML3_2" hidden="1">1</definedName>
    <definedName name="HTML3_3" hidden="1">"部署番号表"</definedName>
    <definedName name="HTML3_4" hidden="1">"部署番号表『本社』"</definedName>
    <definedName name="HTML3_5" hidden="1">""</definedName>
    <definedName name="HTML3_6" hidden="1">-4146</definedName>
    <definedName name="HTML3_7" hidden="1">-4146</definedName>
    <definedName name="HTML3_8" hidden="1">"2000/02/03"</definedName>
    <definedName name="HTML3_9" hidden="1">"株式会社ブリヂストン"</definedName>
    <definedName name="HTML30_1" hidden="1">"[BU000316.xls]部署一覧!$A$1368:$G$1452"</definedName>
    <definedName name="HTML30_10" hidden="1">""</definedName>
    <definedName name="HTML30_11" hidden="1">1</definedName>
    <definedName name="HTML30_12" hidden="1">"E:\0316_9.htm"</definedName>
    <definedName name="HTML30_2" hidden="1">1</definedName>
    <definedName name="HTML30_3" hidden="1">"部署番号表"</definedName>
    <definedName name="HTML30_4" hidden="1">"部署番号表『化工品』"</definedName>
    <definedName name="HTML30_5" hidden="1">""</definedName>
    <definedName name="HTML30_6" hidden="1">-4146</definedName>
    <definedName name="HTML30_7" hidden="1">-4146</definedName>
    <definedName name="HTML30_8" hidden="1">"2000/03/17"</definedName>
    <definedName name="HTML30_9" hidden="1">"株式会社ブリヂストン"</definedName>
    <definedName name="HTML31_1" hidden="1">"[BU2000401.xls]部署一覧!$A$6:$G$209"</definedName>
    <definedName name="HTML31_10" hidden="1">""</definedName>
    <definedName name="HTML31_11" hidden="1">1</definedName>
    <definedName name="HTML31_12" hidden="1">"E:\0401_1.htm"</definedName>
    <definedName name="HTML31_2" hidden="1">1</definedName>
    <definedName name="HTML31_3" hidden="1">"部署番号表"</definedName>
    <definedName name="HTML31_4" hidden="1">"部署番号表『本社』"</definedName>
    <definedName name="HTML31_5" hidden="1">""</definedName>
    <definedName name="HTML31_6" hidden="1">-4146</definedName>
    <definedName name="HTML31_7" hidden="1">-4146</definedName>
    <definedName name="HTML31_8" hidden="1">"2000/04/07"</definedName>
    <definedName name="HTML31_9" hidden="1">"株式会社ブリヂストン"</definedName>
    <definedName name="HTML32_1" hidden="1">"[BU2000401.xls]部署一覧!$A$211:$G$383"</definedName>
    <definedName name="HTML32_10" hidden="1">""</definedName>
    <definedName name="HTML32_11" hidden="1">1</definedName>
    <definedName name="HTML32_12" hidden="1">"E:\0401_2.htm"</definedName>
    <definedName name="HTML32_2" hidden="1">1</definedName>
    <definedName name="HTML32_3" hidden="1">"部署番号表"</definedName>
    <definedName name="HTML32_4" hidden="1">"部署番号表『本社』"</definedName>
    <definedName name="HTML32_5" hidden="1">""</definedName>
    <definedName name="HTML32_6" hidden="1">-4146</definedName>
    <definedName name="HTML32_7" hidden="1">-4146</definedName>
    <definedName name="HTML32_8" hidden="1">"2000/04/07"</definedName>
    <definedName name="HTML32_9" hidden="1">"株式会社ブリヂストン"</definedName>
    <definedName name="HTML33_1" hidden="1">"[BU2000401.xls]部署一覧!$A$393:$G$664"</definedName>
    <definedName name="HTML33_10" hidden="1">""</definedName>
    <definedName name="HTML33_11" hidden="1">1</definedName>
    <definedName name="HTML33_12" hidden="1">"E:\0401_3.htm"</definedName>
    <definedName name="HTML33_2" hidden="1">1</definedName>
    <definedName name="HTML33_3" hidden="1">"部署番号表"</definedName>
    <definedName name="HTML33_4" hidden="1">"部署番号表『小平』"</definedName>
    <definedName name="HTML33_5" hidden="1">""</definedName>
    <definedName name="HTML33_6" hidden="1">-4146</definedName>
    <definedName name="HTML33_7" hidden="1">-4146</definedName>
    <definedName name="HTML33_8" hidden="1">"2000/04/07"</definedName>
    <definedName name="HTML33_9" hidden="1">"株式会社ブリヂストン"</definedName>
    <definedName name="HTML34_1" hidden="1">"[BU2000401.xls]部署一覧!$A$667:$G$870"</definedName>
    <definedName name="HTML34_10" hidden="1">""</definedName>
    <definedName name="HTML34_11" hidden="1">1</definedName>
    <definedName name="HTML34_12" hidden="1">"E:\0401_4.htm"</definedName>
    <definedName name="HTML34_2" hidden="1">1</definedName>
    <definedName name="HTML34_3" hidden="1">"部署番号表"</definedName>
    <definedName name="HTML34_4" hidden="1">"部署番号表『小平』"</definedName>
    <definedName name="HTML34_5" hidden="1">""</definedName>
    <definedName name="HTML34_6" hidden="1">-4146</definedName>
    <definedName name="HTML34_7" hidden="1">-4146</definedName>
    <definedName name="HTML34_8" hidden="1">"2000/04/07"</definedName>
    <definedName name="HTML34_9" hidden="1">"株式会社ブリヂストン"</definedName>
    <definedName name="HTML35_1" hidden="1">"[BU2000401.xls]部署一覧!$A$873:$G$970"</definedName>
    <definedName name="HTML35_10" hidden="1">""</definedName>
    <definedName name="HTML35_11" hidden="1">1</definedName>
    <definedName name="HTML35_12" hidden="1">"E:\0401_5.htm"</definedName>
    <definedName name="HTML35_2" hidden="1">1</definedName>
    <definedName name="HTML35_3" hidden="1">"部署番号表"</definedName>
    <definedName name="HTML35_4" hidden="1">"部署番号表『工場』"</definedName>
    <definedName name="HTML35_5" hidden="1">""</definedName>
    <definedName name="HTML35_6" hidden="1">-4146</definedName>
    <definedName name="HTML35_7" hidden="1">-4146</definedName>
    <definedName name="HTML35_8" hidden="1">"2000/04/07"</definedName>
    <definedName name="HTML35_9" hidden="1">"株式会社ブリヂストン"</definedName>
    <definedName name="HTML36_1" hidden="1">"[BU2000401.xls]部署一覧!$A$979:$G$1097"</definedName>
    <definedName name="HTML36_10" hidden="1">""</definedName>
    <definedName name="HTML36_11" hidden="1">1</definedName>
    <definedName name="HTML36_12" hidden="1">"E:\0401_6.htm"</definedName>
    <definedName name="HTML36_2" hidden="1">1</definedName>
    <definedName name="HTML36_3" hidden="1">"部署番号表"</definedName>
    <definedName name="HTML36_4" hidden="1">"部署番号表『工場』"</definedName>
    <definedName name="HTML36_5" hidden="1">""</definedName>
    <definedName name="HTML36_6" hidden="1">-4146</definedName>
    <definedName name="HTML36_7" hidden="1">-4146</definedName>
    <definedName name="HTML36_8" hidden="1">"2000/04/07"</definedName>
    <definedName name="HTML36_9" hidden="1">"株式会社ブリヂストン"</definedName>
    <definedName name="HTML37_1" hidden="1">"[BU2000401.xls]部署一覧!$A$1108:$G$1160"</definedName>
    <definedName name="HTML37_10" hidden="1">""</definedName>
    <definedName name="HTML37_11" hidden="1">1</definedName>
    <definedName name="HTML37_12" hidden="1">"E:\0401_7.htm"</definedName>
    <definedName name="HTML37_2" hidden="1">1</definedName>
    <definedName name="HTML37_3" hidden="1">"部署番号表"</definedName>
    <definedName name="HTML37_4" hidden="1">"部署番号表『工場』"</definedName>
    <definedName name="HTML37_5" hidden="1">""</definedName>
    <definedName name="HTML37_6" hidden="1">-4146</definedName>
    <definedName name="HTML37_7" hidden="1">-4146</definedName>
    <definedName name="HTML37_8" hidden="1">"2000/04/07"</definedName>
    <definedName name="HTML37_9" hidden="1">"株式会社ブリヂストン"</definedName>
    <definedName name="HTML38_1" hidden="1">"[BU2000401.xls]部署一覧!$A$1172:$G$1364"</definedName>
    <definedName name="HTML38_10" hidden="1">""</definedName>
    <definedName name="HTML38_11" hidden="1">1</definedName>
    <definedName name="HTML38_12" hidden="1">"E:\0401_8.htm"</definedName>
    <definedName name="HTML38_2" hidden="1">1</definedName>
    <definedName name="HTML38_3" hidden="1">"部署番号表"</definedName>
    <definedName name="HTML38_4" hidden="1">"部署番号表『化工品』"</definedName>
    <definedName name="HTML38_5" hidden="1">""</definedName>
    <definedName name="HTML38_6" hidden="1">-4146</definedName>
    <definedName name="HTML38_7" hidden="1">-4146</definedName>
    <definedName name="HTML38_8" hidden="1">"2000/04/07"</definedName>
    <definedName name="HTML38_9" hidden="1">"株式会社ブリヂストン"</definedName>
    <definedName name="HTML39_1" hidden="1">"[BU2000401.xls]部署一覧!$A$1368:$G$1452"</definedName>
    <definedName name="HTML39_10" hidden="1">""</definedName>
    <definedName name="HTML39_11" hidden="1">1</definedName>
    <definedName name="HTML39_12" hidden="1">"E:\0401_9.htm"</definedName>
    <definedName name="HTML39_2" hidden="1">1</definedName>
    <definedName name="HTML39_3" hidden="1">"部署番号表"</definedName>
    <definedName name="HTML39_4" hidden="1">"部署番号表『化工品』"</definedName>
    <definedName name="HTML39_5" hidden="1">""</definedName>
    <definedName name="HTML39_6" hidden="1">-4146</definedName>
    <definedName name="HTML39_7" hidden="1">-4146</definedName>
    <definedName name="HTML39_8" hidden="1">"2000/04/07"</definedName>
    <definedName name="HTML39_9" hidden="1">"株式会社ブリヂストン"</definedName>
    <definedName name="HTML4_1" hidden="1">"[BU000201.xls]部署一覧!$A$213:$G$383"</definedName>
    <definedName name="HTML4_10" hidden="1">""</definedName>
    <definedName name="HTML4_11" hidden="1">1</definedName>
    <definedName name="HTML4_12" hidden="1">"E:\0201_2.htm"</definedName>
    <definedName name="HTML4_2" hidden="1">1</definedName>
    <definedName name="HTML4_3" hidden="1">"部署番号表"</definedName>
    <definedName name="HTML4_4" hidden="1">"部署番号表『本社』"</definedName>
    <definedName name="HTML4_5" hidden="1">""</definedName>
    <definedName name="HTML4_6" hidden="1">-4146</definedName>
    <definedName name="HTML4_7" hidden="1">-4146</definedName>
    <definedName name="HTML4_8" hidden="1">"2000/02/03"</definedName>
    <definedName name="HTML4_9" hidden="1">"株式会社ブリヂストン"</definedName>
    <definedName name="HTML40_1" hidden="1">"[BU000416.xls]部署一覧!$A$6:$G$209"</definedName>
    <definedName name="HTML40_10" hidden="1">""</definedName>
    <definedName name="HTML40_11" hidden="1">1</definedName>
    <definedName name="HTML40_12" hidden="1">"E:\0416_1.htm"</definedName>
    <definedName name="HTML40_2" hidden="1">1</definedName>
    <definedName name="HTML40_3" hidden="1">"部署番号表"</definedName>
    <definedName name="HTML40_4" hidden="1">"部署番号表『本社』"</definedName>
    <definedName name="HTML40_5" hidden="1">""</definedName>
    <definedName name="HTML40_6" hidden="1">-4146</definedName>
    <definedName name="HTML40_7" hidden="1">-4146</definedName>
    <definedName name="HTML40_8" hidden="1">"2000/04/19"</definedName>
    <definedName name="HTML40_9" hidden="1">"株式会社ブリヂストン"</definedName>
    <definedName name="HTML41_1" hidden="1">"[BU000416.xls]部署一覧!$A$211:$G$383"</definedName>
    <definedName name="HTML41_10" hidden="1">""</definedName>
    <definedName name="HTML41_11" hidden="1">1</definedName>
    <definedName name="HTML41_12" hidden="1">"E:\0416_2.htm"</definedName>
    <definedName name="HTML41_2" hidden="1">1</definedName>
    <definedName name="HTML41_3" hidden="1">"部署番号表"</definedName>
    <definedName name="HTML41_4" hidden="1">"部署番号表『本社』"</definedName>
    <definedName name="HTML41_5" hidden="1">""</definedName>
    <definedName name="HTML41_6" hidden="1">-4146</definedName>
    <definedName name="HTML41_7" hidden="1">-4146</definedName>
    <definedName name="HTML41_8" hidden="1">"2000/04/19"</definedName>
    <definedName name="HTML41_9" hidden="1">"株式会社ブリヂストン"</definedName>
    <definedName name="HTML42_1" hidden="1">"[BU000416.xls]部署一覧!$A$393:$G$664"</definedName>
    <definedName name="HTML42_10" hidden="1">""</definedName>
    <definedName name="HTML42_11" hidden="1">1</definedName>
    <definedName name="HTML42_12" hidden="1">"E:\0416_3.htm"</definedName>
    <definedName name="HTML42_2" hidden="1">1</definedName>
    <definedName name="HTML42_3" hidden="1">"部署番号表"</definedName>
    <definedName name="HTML42_4" hidden="1">"部署番号表『小平』"</definedName>
    <definedName name="HTML42_5" hidden="1">""</definedName>
    <definedName name="HTML42_6" hidden="1">-4146</definedName>
    <definedName name="HTML42_7" hidden="1">-4146</definedName>
    <definedName name="HTML42_8" hidden="1">"2000/04/19"</definedName>
    <definedName name="HTML42_9" hidden="1">"株式会社ブリヂストン"</definedName>
    <definedName name="HTML43_1" hidden="1">"[BU000416.xls]部署一覧!$A$668:$G$868"</definedName>
    <definedName name="HTML43_10" hidden="1">""</definedName>
    <definedName name="HTML43_11" hidden="1">1</definedName>
    <definedName name="HTML43_12" hidden="1">"E:\0416_4.htm"</definedName>
    <definedName name="HTML43_2" hidden="1">1</definedName>
    <definedName name="HTML43_3" hidden="1">"部署番号表"</definedName>
    <definedName name="HTML43_4" hidden="1">"部署番号表『小平』"</definedName>
    <definedName name="HTML43_5" hidden="1">""</definedName>
    <definedName name="HTML43_6" hidden="1">-4146</definedName>
    <definedName name="HTML43_7" hidden="1">-4146</definedName>
    <definedName name="HTML43_8" hidden="1">"2000/04/19"</definedName>
    <definedName name="HTML43_9" hidden="1">"株式会社ブリヂストン"</definedName>
    <definedName name="HTML44_1" hidden="1">"[BU000416.xls]部署一覧!$A$871:$G$970"</definedName>
    <definedName name="HTML44_10" hidden="1">""</definedName>
    <definedName name="HTML44_11" hidden="1">1</definedName>
    <definedName name="HTML44_12" hidden="1">"E:\0416_5.htm"</definedName>
    <definedName name="HTML44_2" hidden="1">1</definedName>
    <definedName name="HTML44_3" hidden="1">"部署番号表"</definedName>
    <definedName name="HTML44_4" hidden="1">"部署番号表『工場』"</definedName>
    <definedName name="HTML44_5" hidden="1">""</definedName>
    <definedName name="HTML44_6" hidden="1">-4146</definedName>
    <definedName name="HTML44_7" hidden="1">-4146</definedName>
    <definedName name="HTML44_8" hidden="1">"2000/04/19"</definedName>
    <definedName name="HTML44_9" hidden="1">"株式会社ブリヂストン"</definedName>
    <definedName name="HTML45_1" hidden="1">"[BU000416.xls]部署一覧!$A$979:$G$1097"</definedName>
    <definedName name="HTML45_10" hidden="1">""</definedName>
    <definedName name="HTML45_11" hidden="1">1</definedName>
    <definedName name="HTML45_12" hidden="1">"E:\0416_6.htm"</definedName>
    <definedName name="HTML45_2" hidden="1">1</definedName>
    <definedName name="HTML45_3" hidden="1">"部署番号表"</definedName>
    <definedName name="HTML45_4" hidden="1">"部署番号表『工場』"</definedName>
    <definedName name="HTML45_5" hidden="1">""</definedName>
    <definedName name="HTML45_6" hidden="1">-4146</definedName>
    <definedName name="HTML45_7" hidden="1">-4146</definedName>
    <definedName name="HTML45_8" hidden="1">"2000/04/19"</definedName>
    <definedName name="HTML45_9" hidden="1">"株式会社ブリヂストン"</definedName>
    <definedName name="HTML46_1" hidden="1">"[BU000416.xls]部署一覧!$A$1108:$G$1160"</definedName>
    <definedName name="HTML46_10" hidden="1">""</definedName>
    <definedName name="HTML46_11" hidden="1">1</definedName>
    <definedName name="HTML46_12" hidden="1">"E:\0416_7.htm"</definedName>
    <definedName name="HTML46_2" hidden="1">1</definedName>
    <definedName name="HTML46_3" hidden="1">"部署番号表"</definedName>
    <definedName name="HTML46_4" hidden="1">"部署番号表『工場』"</definedName>
    <definedName name="HTML46_5" hidden="1">""</definedName>
    <definedName name="HTML46_6" hidden="1">-4146</definedName>
    <definedName name="HTML46_7" hidden="1">-4146</definedName>
    <definedName name="HTML46_8" hidden="1">"2000/04/19"</definedName>
    <definedName name="HTML46_9" hidden="1">"株式会社ブリヂストン"</definedName>
    <definedName name="HTML47_1" hidden="1">"[BU000416.xls]部署一覧!$A$1172:$G$1364"</definedName>
    <definedName name="HTML47_10" hidden="1">""</definedName>
    <definedName name="HTML47_11" hidden="1">1</definedName>
    <definedName name="HTML47_12" hidden="1">"E:\0416_8.htm"</definedName>
    <definedName name="HTML47_2" hidden="1">1</definedName>
    <definedName name="HTML47_3" hidden="1">"部署番号表"</definedName>
    <definedName name="HTML47_4" hidden="1">"部署番号表『化工品』"</definedName>
    <definedName name="HTML47_5" hidden="1">""</definedName>
    <definedName name="HTML47_6" hidden="1">-4146</definedName>
    <definedName name="HTML47_7" hidden="1">-4146</definedName>
    <definedName name="HTML47_8" hidden="1">"2000/04/19"</definedName>
    <definedName name="HTML47_9" hidden="1">"株式会社ブリヂストン"</definedName>
    <definedName name="HTML48_1" hidden="1">"[BU000416.xls]部署一覧!$A$1368:$G$1452"</definedName>
    <definedName name="HTML48_10" hidden="1">""</definedName>
    <definedName name="HTML48_11" hidden="1">1</definedName>
    <definedName name="HTML48_12" hidden="1">"E:\0416_9.htm"</definedName>
    <definedName name="HTML48_2" hidden="1">1</definedName>
    <definedName name="HTML48_3" hidden="1">"部署番号表"</definedName>
    <definedName name="HTML48_4" hidden="1">"部署番号表『化工品』"</definedName>
    <definedName name="HTML48_5" hidden="1">""</definedName>
    <definedName name="HTML48_6" hidden="1">-4146</definedName>
    <definedName name="HTML48_7" hidden="1">-4146</definedName>
    <definedName name="HTML48_8" hidden="1">"2000/04/19"</definedName>
    <definedName name="HTML48_9" hidden="1">"株式会社ブリヂストン"</definedName>
    <definedName name="HTML49_1" hidden="1">"[BU000501.xls]部署一覧!$A$6:$G$208"</definedName>
    <definedName name="HTML49_10" hidden="1">""</definedName>
    <definedName name="HTML49_11" hidden="1">1</definedName>
    <definedName name="HTML49_12" hidden="1">"E:\0501_1.htm"</definedName>
    <definedName name="HTML49_2" hidden="1">1</definedName>
    <definedName name="HTML49_3" hidden="1">"部署番号表"</definedName>
    <definedName name="HTML49_4" hidden="1">"部署番号表『本社』"</definedName>
    <definedName name="HTML49_5" hidden="1">""</definedName>
    <definedName name="HTML49_6" hidden="1">-4146</definedName>
    <definedName name="HTML49_7" hidden="1">-4146</definedName>
    <definedName name="HTML49_8" hidden="1">"2000/05/01"</definedName>
    <definedName name="HTML49_9" hidden="1">"株式会社ブリヂストン"</definedName>
    <definedName name="HTML5_1" hidden="1">"[BU000201.xls]部署一覧!$A$393:$G$664"</definedName>
    <definedName name="HTML5_10" hidden="1">""</definedName>
    <definedName name="HTML5_11" hidden="1">1</definedName>
    <definedName name="HTML5_12" hidden="1">"E:\0201_3.htm"</definedName>
    <definedName name="HTML5_2" hidden="1">1</definedName>
    <definedName name="HTML5_3" hidden="1">"部署番号表"</definedName>
    <definedName name="HTML5_4" hidden="1">"部署番号表『小平』"</definedName>
    <definedName name="HTML5_5" hidden="1">""</definedName>
    <definedName name="HTML5_6" hidden="1">-4146</definedName>
    <definedName name="HTML5_7" hidden="1">-4146</definedName>
    <definedName name="HTML5_8" hidden="1">"2000/02/03"</definedName>
    <definedName name="HTML5_9" hidden="1">"株式会社ブリヂストン"</definedName>
    <definedName name="HTML50_1" hidden="1">"[BU000501.xls]部署一覧!$A$212:$G$383"</definedName>
    <definedName name="HTML50_10" hidden="1">""</definedName>
    <definedName name="HTML50_11" hidden="1">1</definedName>
    <definedName name="HTML50_12" hidden="1">"E:\0501_2.htm"</definedName>
    <definedName name="HTML50_2" hidden="1">1</definedName>
    <definedName name="HTML50_3" hidden="1">"部署番号表"</definedName>
    <definedName name="HTML50_4" hidden="1">"部署番号表『本社』"</definedName>
    <definedName name="HTML50_5" hidden="1">""</definedName>
    <definedName name="HTML50_6" hidden="1">-4146</definedName>
    <definedName name="HTML50_7" hidden="1">-4146</definedName>
    <definedName name="HTML50_8" hidden="1">"2000/05/01"</definedName>
    <definedName name="HTML50_9" hidden="1">"株式会社ブリヂストン"</definedName>
    <definedName name="HTML51_1" hidden="1">"[BU000501.xls]部署一覧!$A$395:$G$664"</definedName>
    <definedName name="HTML51_10" hidden="1">""</definedName>
    <definedName name="HTML51_11" hidden="1">1</definedName>
    <definedName name="HTML51_12" hidden="1">"E:\0501_3.htm"</definedName>
    <definedName name="HTML51_2" hidden="1">1</definedName>
    <definedName name="HTML51_3" hidden="1">"部署番号表"</definedName>
    <definedName name="HTML51_4" hidden="1">"部署番号表『小平』"</definedName>
    <definedName name="HTML51_5" hidden="1">""</definedName>
    <definedName name="HTML51_6" hidden="1">-4146</definedName>
    <definedName name="HTML51_7" hidden="1">-4146</definedName>
    <definedName name="HTML51_8" hidden="1">"2000/05/01"</definedName>
    <definedName name="HTML51_9" hidden="1">"株式会社ブリヂストン"</definedName>
    <definedName name="HTML52_1" hidden="1">"[BU000501.xls]部署一覧!$A$668:$G$867"</definedName>
    <definedName name="HTML52_10" hidden="1">""</definedName>
    <definedName name="HTML52_11" hidden="1">1</definedName>
    <definedName name="HTML52_12" hidden="1">"E:\0501_4.htm"</definedName>
    <definedName name="HTML52_2" hidden="1">1</definedName>
    <definedName name="HTML52_3" hidden="1">"部署番号表"</definedName>
    <definedName name="HTML52_4" hidden="1">"部署番号表『小平』"</definedName>
    <definedName name="HTML52_5" hidden="1">""</definedName>
    <definedName name="HTML52_6" hidden="1">-4146</definedName>
    <definedName name="HTML52_7" hidden="1">-4146</definedName>
    <definedName name="HTML52_8" hidden="1">"2000/05/01"</definedName>
    <definedName name="HTML52_9" hidden="1">"株式会社ブリヂストン"</definedName>
    <definedName name="HTML53_1" hidden="1">"[BU000501.xls]部署一覧!$A$870:$G$970"</definedName>
    <definedName name="HTML53_10" hidden="1">""</definedName>
    <definedName name="HTML53_11" hidden="1">1</definedName>
    <definedName name="HTML53_12" hidden="1">"E:\0501_5.htm"</definedName>
    <definedName name="HTML53_2" hidden="1">1</definedName>
    <definedName name="HTML53_3" hidden="1">"部署番号表"</definedName>
    <definedName name="HTML53_4" hidden="1">"部署番号表『工場』"</definedName>
    <definedName name="HTML53_5" hidden="1">""</definedName>
    <definedName name="HTML53_6" hidden="1">-4146</definedName>
    <definedName name="HTML53_7" hidden="1">-4146</definedName>
    <definedName name="HTML53_8" hidden="1">"2000/05/01"</definedName>
    <definedName name="HTML53_9" hidden="1">"株式会社ブリヂストン"</definedName>
    <definedName name="HTML54_1" hidden="1">"[BU000501.xls]部署一覧!$A$979:$G$1098"</definedName>
    <definedName name="HTML54_10" hidden="1">""</definedName>
    <definedName name="HTML54_11" hidden="1">1</definedName>
    <definedName name="HTML54_12" hidden="1">"E:\0501_6.htm"</definedName>
    <definedName name="HTML54_2" hidden="1">1</definedName>
    <definedName name="HTML54_3" hidden="1">"部署番号表"</definedName>
    <definedName name="HTML54_4" hidden="1">"部署番号表『工場』"</definedName>
    <definedName name="HTML54_5" hidden="1">""</definedName>
    <definedName name="HTML54_6" hidden="1">-4146</definedName>
    <definedName name="HTML54_7" hidden="1">-4146</definedName>
    <definedName name="HTML54_8" hidden="1">"2000/05/01"</definedName>
    <definedName name="HTML54_9" hidden="1">"株式会社ブリヂストン"</definedName>
    <definedName name="HTML55_1" hidden="1">"[BU000501.xls]部署一覧!$A$1108:$G$1160"</definedName>
    <definedName name="HTML55_10" hidden="1">""</definedName>
    <definedName name="HTML55_11" hidden="1">1</definedName>
    <definedName name="HTML55_12" hidden="1">"E:\0501_7.htm"</definedName>
    <definedName name="HTML55_2" hidden="1">1</definedName>
    <definedName name="HTML55_3" hidden="1">"部署番号表"</definedName>
    <definedName name="HTML55_4" hidden="1">"部署番号表『工場』"</definedName>
    <definedName name="HTML55_5" hidden="1">""</definedName>
    <definedName name="HTML55_6" hidden="1">-4146</definedName>
    <definedName name="HTML55_7" hidden="1">-4146</definedName>
    <definedName name="HTML55_8" hidden="1">"2000/05/01"</definedName>
    <definedName name="HTML55_9" hidden="1">"株式会社ブリヂストン"</definedName>
    <definedName name="HTML56_1" hidden="1">"[BU000501.xls]部署一覧!$A$1172:$G$1364"</definedName>
    <definedName name="HTML56_10" hidden="1">""</definedName>
    <definedName name="HTML56_11" hidden="1">1</definedName>
    <definedName name="HTML56_12" hidden="1">"E:\0501_8.htm"</definedName>
    <definedName name="HTML56_2" hidden="1">1</definedName>
    <definedName name="HTML56_3" hidden="1">"部署番号表"</definedName>
    <definedName name="HTML56_4" hidden="1">"部署番号表『化工品』"</definedName>
    <definedName name="HTML56_5" hidden="1">""</definedName>
    <definedName name="HTML56_6" hidden="1">-4146</definedName>
    <definedName name="HTML56_7" hidden="1">-4146</definedName>
    <definedName name="HTML56_8" hidden="1">"2000/05/01"</definedName>
    <definedName name="HTML56_9" hidden="1">"株式会社ブリヂストン"</definedName>
    <definedName name="HTML57_1" hidden="1">"[BU000501.xls]部署一覧!$A$1368:$G$1452"</definedName>
    <definedName name="HTML57_10" hidden="1">""</definedName>
    <definedName name="HTML57_11" hidden="1">1</definedName>
    <definedName name="HTML57_12" hidden="1">"E:\0501_9.htm"</definedName>
    <definedName name="HTML57_2" hidden="1">1</definedName>
    <definedName name="HTML57_3" hidden="1">"部署番号表"</definedName>
    <definedName name="HTML57_4" hidden="1">"部署番号表『化工品』"</definedName>
    <definedName name="HTML57_5" hidden="1">""</definedName>
    <definedName name="HTML57_6" hidden="1">-4146</definedName>
    <definedName name="HTML57_7" hidden="1">-4146</definedName>
    <definedName name="HTML57_8" hidden="1">"2000/05/01"</definedName>
    <definedName name="HTML57_9" hidden="1">"株式会社ブリヂストン"</definedName>
    <definedName name="HTML58_1" hidden="1">"[BU000516.xls]部署一覧!$A$6:$G$208"</definedName>
    <definedName name="HTML58_10" hidden="1">""</definedName>
    <definedName name="HTML58_11" hidden="1">1</definedName>
    <definedName name="HTML58_12" hidden="1">"E:\0516_1.htm"</definedName>
    <definedName name="HTML58_2" hidden="1">1</definedName>
    <definedName name="HTML58_3" hidden="1">"部署番号表"</definedName>
    <definedName name="HTML58_4" hidden="1">"部署番号表『本社』"</definedName>
    <definedName name="HTML58_5" hidden="1">""</definedName>
    <definedName name="HTML58_6" hidden="1">-4146</definedName>
    <definedName name="HTML58_7" hidden="1">-4146</definedName>
    <definedName name="HTML58_8" hidden="1">"2000/05/19"</definedName>
    <definedName name="HTML58_9" hidden="1">"株式会社ブリヂストン"</definedName>
    <definedName name="HTML59_1" hidden="1">"[BU000516.xls]部署一覧!$A$210:$G$383"</definedName>
    <definedName name="HTML59_10" hidden="1">""</definedName>
    <definedName name="HTML59_11" hidden="1">1</definedName>
    <definedName name="HTML59_12" hidden="1">"E:\0516_2.htm"</definedName>
    <definedName name="HTML59_2" hidden="1">1</definedName>
    <definedName name="HTML59_3" hidden="1">"部署番号表"</definedName>
    <definedName name="HTML59_4" hidden="1">"部署番号表『本社』"</definedName>
    <definedName name="HTML59_5" hidden="1">""</definedName>
    <definedName name="HTML59_6" hidden="1">-4146</definedName>
    <definedName name="HTML59_7" hidden="1">-4146</definedName>
    <definedName name="HTML59_8" hidden="1">"2000/05/19"</definedName>
    <definedName name="HTML59_9" hidden="1">"株式会社ブリヂストン"</definedName>
    <definedName name="HTML6_1" hidden="1">"[BU000201.xls]部署一覧!$A$667:$G$871"</definedName>
    <definedName name="HTML6_10" hidden="1">""</definedName>
    <definedName name="HTML6_11" hidden="1">1</definedName>
    <definedName name="HTML6_12" hidden="1">"E:\0201_4.htm"</definedName>
    <definedName name="HTML6_2" hidden="1">1</definedName>
    <definedName name="HTML6_3" hidden="1">"部署番号表"</definedName>
    <definedName name="HTML6_4" hidden="1">"部署番号表『小平』"</definedName>
    <definedName name="HTML6_5" hidden="1">""</definedName>
    <definedName name="HTML6_6" hidden="1">-4146</definedName>
    <definedName name="HTML6_7" hidden="1">-4146</definedName>
    <definedName name="HTML6_8" hidden="1">"2000/02/03"</definedName>
    <definedName name="HTML6_9" hidden="1">"株式会社ブリヂストン"</definedName>
    <definedName name="HTML60_1" hidden="1">"[BU000516.xls]部署一覧!$A$393:$G$664"</definedName>
    <definedName name="HTML60_10" hidden="1">""</definedName>
    <definedName name="HTML60_11" hidden="1">1</definedName>
    <definedName name="HTML60_12" hidden="1">"E:\0516_3.htm"</definedName>
    <definedName name="HTML60_2" hidden="1">1</definedName>
    <definedName name="HTML60_3" hidden="1">"部署番号表"</definedName>
    <definedName name="HTML60_4" hidden="1">"部署番号表『小平』"</definedName>
    <definedName name="HTML60_5" hidden="1">""</definedName>
    <definedName name="HTML60_6" hidden="1">-4146</definedName>
    <definedName name="HTML60_7" hidden="1">-4146</definedName>
    <definedName name="HTML60_8" hidden="1">"2000/05/19"</definedName>
    <definedName name="HTML60_9" hidden="1">"株式会社ブリヂストン"</definedName>
    <definedName name="HTML61_1" hidden="1">"[BU000516.xls]部署一覧!$A$668:$G$867"</definedName>
    <definedName name="HTML61_10" hidden="1">""</definedName>
    <definedName name="HTML61_11" hidden="1">1</definedName>
    <definedName name="HTML61_12" hidden="1">"E:\0516_4.htm"</definedName>
    <definedName name="HTML61_2" hidden="1">1</definedName>
    <definedName name="HTML61_3" hidden="1">"部署番号表"</definedName>
    <definedName name="HTML61_4" hidden="1">"部署番号表『小平』"</definedName>
    <definedName name="HTML61_5" hidden="1">""</definedName>
    <definedName name="HTML61_6" hidden="1">-4146</definedName>
    <definedName name="HTML61_7" hidden="1">-4146</definedName>
    <definedName name="HTML61_8" hidden="1">"2000/05/19"</definedName>
    <definedName name="HTML61_9" hidden="1">"株式会社ブリヂストン"</definedName>
    <definedName name="HTML62_1" hidden="1">"[BU000516.xls]部署一覧!$A$870:$G$970"</definedName>
    <definedName name="HTML62_10" hidden="1">""</definedName>
    <definedName name="HTML62_11" hidden="1">1</definedName>
    <definedName name="HTML62_12" hidden="1">"E:\0516_5.htm"</definedName>
    <definedName name="HTML62_2" hidden="1">1</definedName>
    <definedName name="HTML62_3" hidden="1">"部署番号表"</definedName>
    <definedName name="HTML62_4" hidden="1">"部署番号表『工場』"</definedName>
    <definedName name="HTML62_5" hidden="1">""</definedName>
    <definedName name="HTML62_6" hidden="1">-4146</definedName>
    <definedName name="HTML62_7" hidden="1">-4146</definedName>
    <definedName name="HTML62_8" hidden="1">"2000/05/19"</definedName>
    <definedName name="HTML62_9" hidden="1">"株式会社ブリヂストン"</definedName>
    <definedName name="HTML63_1" hidden="1">"[BU000516.xls]部署一覧!$A$979:$G$1098"</definedName>
    <definedName name="HTML63_10" hidden="1">""</definedName>
    <definedName name="HTML63_11" hidden="1">1</definedName>
    <definedName name="HTML63_12" hidden="1">"E:\0516_6.htm"</definedName>
    <definedName name="HTML63_2" hidden="1">1</definedName>
    <definedName name="HTML63_3" hidden="1">"部署番号表"</definedName>
    <definedName name="HTML63_4" hidden="1">"部署番号表『工場』"</definedName>
    <definedName name="HTML63_5" hidden="1">""</definedName>
    <definedName name="HTML63_6" hidden="1">-4146</definedName>
    <definedName name="HTML63_7" hidden="1">-4146</definedName>
    <definedName name="HTML63_8" hidden="1">"2000/05/19"</definedName>
    <definedName name="HTML63_9" hidden="1">"株式会社ブリヂストン"</definedName>
    <definedName name="HTML64_1" hidden="1">"[BU000516.xls]部署一覧!$A$1108:$G$1160"</definedName>
    <definedName name="HTML64_10" hidden="1">""</definedName>
    <definedName name="HTML64_11" hidden="1">1</definedName>
    <definedName name="HTML64_12" hidden="1">"E:\0516_7.htm"</definedName>
    <definedName name="HTML64_2" hidden="1">1</definedName>
    <definedName name="HTML64_3" hidden="1">"部署番号表"</definedName>
    <definedName name="HTML64_4" hidden="1">"部署番号表『工場』"</definedName>
    <definedName name="HTML64_5" hidden="1">""</definedName>
    <definedName name="HTML64_6" hidden="1">-4146</definedName>
    <definedName name="HTML64_7" hidden="1">-4146</definedName>
    <definedName name="HTML64_8" hidden="1">"2000/05/19"</definedName>
    <definedName name="HTML64_9" hidden="1">"株式会社ブリヂストン"</definedName>
    <definedName name="HTML65_1" hidden="1">"[BU000516.xls]部署一覧!$A$1172:$G$1364"</definedName>
    <definedName name="HTML65_10" hidden="1">""</definedName>
    <definedName name="HTML65_11" hidden="1">1</definedName>
    <definedName name="HTML65_12" hidden="1">"E:\0516_8.htm"</definedName>
    <definedName name="HTML65_2" hidden="1">1</definedName>
    <definedName name="HTML65_3" hidden="1">"部署番号表"</definedName>
    <definedName name="HTML65_4" hidden="1">"部署番号表『化工品』"</definedName>
    <definedName name="HTML65_5" hidden="1">""</definedName>
    <definedName name="HTML65_6" hidden="1">-4146</definedName>
    <definedName name="HTML65_7" hidden="1">-4146</definedName>
    <definedName name="HTML65_8" hidden="1">"2000/05/19"</definedName>
    <definedName name="HTML65_9" hidden="1">"株式会社ブリヂストン"</definedName>
    <definedName name="HTML66_1" hidden="1">"[BU000516.xls]部署一覧!$A$1368:$G$1452"</definedName>
    <definedName name="HTML66_10" hidden="1">""</definedName>
    <definedName name="HTML66_11" hidden="1">1</definedName>
    <definedName name="HTML66_12" hidden="1">"E:\0516_9.htm"</definedName>
    <definedName name="HTML66_2" hidden="1">1</definedName>
    <definedName name="HTML66_3" hidden="1">"部署番号表"</definedName>
    <definedName name="HTML66_4" hidden="1">"部署番号表『化工品』"</definedName>
    <definedName name="HTML66_5" hidden="1">""</definedName>
    <definedName name="HTML66_6" hidden="1">-4146</definedName>
    <definedName name="HTML66_7" hidden="1">-4146</definedName>
    <definedName name="HTML66_8" hidden="1">"2000/05/19"</definedName>
    <definedName name="HTML66_9" hidden="1">"株式会社ブリヂストン"</definedName>
    <definedName name="HTML67_1" hidden="1">"[BU000616.xls]部署一覧!$A$6:$G$208"</definedName>
    <definedName name="HTML67_10" hidden="1">""</definedName>
    <definedName name="HTML67_11" hidden="1">1</definedName>
    <definedName name="HTML67_12" hidden="1">"E:\0616_1.htm"</definedName>
    <definedName name="HTML67_2" hidden="1">1</definedName>
    <definedName name="HTML67_3" hidden="1">"部署番号表"</definedName>
    <definedName name="HTML67_4" hidden="1">"部署番号表『本社』"</definedName>
    <definedName name="HTML67_5" hidden="1">""</definedName>
    <definedName name="HTML67_6" hidden="1">-4146</definedName>
    <definedName name="HTML67_7" hidden="1">-4146</definedName>
    <definedName name="HTML67_8" hidden="1">"2000/06/20"</definedName>
    <definedName name="HTML67_9" hidden="1">"株式会社ブリヂストン"</definedName>
    <definedName name="HTML68_1" hidden="1">"[BU000616.xls]部署一覧!$A$210:$G$383"</definedName>
    <definedName name="HTML68_10" hidden="1">""</definedName>
    <definedName name="HTML68_11" hidden="1">1</definedName>
    <definedName name="HTML68_12" hidden="1">"E:\0616_2.htm"</definedName>
    <definedName name="HTML68_2" hidden="1">1</definedName>
    <definedName name="HTML68_3" hidden="1">"部署番号表"</definedName>
    <definedName name="HTML68_4" hidden="1">"部署番号表『本社』"</definedName>
    <definedName name="HTML68_5" hidden="1">""</definedName>
    <definedName name="HTML68_6" hidden="1">-4146</definedName>
    <definedName name="HTML68_7" hidden="1">-4146</definedName>
    <definedName name="HTML68_8" hidden="1">"2000/06/20"</definedName>
    <definedName name="HTML68_9" hidden="1">"株式会社ブリヂストン"</definedName>
    <definedName name="HTML69_1" hidden="1">"[BU000616.xls]部署一覧!$A$393:$G$664"</definedName>
    <definedName name="HTML69_10" hidden="1">""</definedName>
    <definedName name="HTML69_11" hidden="1">1</definedName>
    <definedName name="HTML69_12" hidden="1">"E:\0616_3.htm"</definedName>
    <definedName name="HTML69_2" hidden="1">1</definedName>
    <definedName name="HTML69_3" hidden="1">"部署番号表"</definedName>
    <definedName name="HTML69_4" hidden="1">"部署番号表『小平』"</definedName>
    <definedName name="HTML69_5" hidden="1">""</definedName>
    <definedName name="HTML69_6" hidden="1">-4146</definedName>
    <definedName name="HTML69_7" hidden="1">-4146</definedName>
    <definedName name="HTML69_8" hidden="1">"2000/06/20"</definedName>
    <definedName name="HTML69_9" hidden="1">"株式会社ブリヂストン"</definedName>
    <definedName name="HTML7_1" hidden="1">"[BU000201.xls]部署一覧!$A$874:$G$973"</definedName>
    <definedName name="HTML7_10" hidden="1">""</definedName>
    <definedName name="HTML7_11" hidden="1">1</definedName>
    <definedName name="HTML7_12" hidden="1">"E:\0201_5.htm"</definedName>
    <definedName name="HTML7_2" hidden="1">1</definedName>
    <definedName name="HTML7_3" hidden="1">"部署番号表"</definedName>
    <definedName name="HTML7_4" hidden="1">"部署番号表『工場』"</definedName>
    <definedName name="HTML7_5" hidden="1">""</definedName>
    <definedName name="HTML7_6" hidden="1">-4146</definedName>
    <definedName name="HTML7_7" hidden="1">-4146</definedName>
    <definedName name="HTML7_8" hidden="1">"2000/02/03"</definedName>
    <definedName name="HTML7_9" hidden="1">"株式会社ブリヂストン"</definedName>
    <definedName name="HTML70_1" hidden="1">"[BU000616.xls]部署一覧!$A$668:$G$867"</definedName>
    <definedName name="HTML70_10" hidden="1">""</definedName>
    <definedName name="HTML70_11" hidden="1">1</definedName>
    <definedName name="HTML70_12" hidden="1">"E:\0616_4.htm"</definedName>
    <definedName name="HTML70_2" hidden="1">1</definedName>
    <definedName name="HTML70_3" hidden="1">"部署番号表"</definedName>
    <definedName name="HTML70_4" hidden="1">"部署番号表『小平』"</definedName>
    <definedName name="HTML70_5" hidden="1">""</definedName>
    <definedName name="HTML70_6" hidden="1">-4146</definedName>
    <definedName name="HTML70_7" hidden="1">-4146</definedName>
    <definedName name="HTML70_8" hidden="1">"2000/06/20"</definedName>
    <definedName name="HTML70_9" hidden="1">"株式会社ブリヂストン"</definedName>
    <definedName name="HTML71_1" hidden="1">"[BU000616.xls]部署一覧!$A$870:$G$970"</definedName>
    <definedName name="HTML71_10" hidden="1">""</definedName>
    <definedName name="HTML71_11" hidden="1">1</definedName>
    <definedName name="HTML71_12" hidden="1">"E:\0616_5.htm"</definedName>
    <definedName name="HTML71_2" hidden="1">1</definedName>
    <definedName name="HTML71_3" hidden="1">"部署番号表"</definedName>
    <definedName name="HTML71_4" hidden="1">"部署番号表『工場』"</definedName>
    <definedName name="HTML71_5" hidden="1">""</definedName>
    <definedName name="HTML71_6" hidden="1">-4146</definedName>
    <definedName name="HTML71_7" hidden="1">-4146</definedName>
    <definedName name="HTML71_8" hidden="1">"2000/06/20"</definedName>
    <definedName name="HTML71_9" hidden="1">"株式会社ブリヂストン"</definedName>
    <definedName name="HTML72_1" hidden="1">"[BU000616.xls]部署一覧!$A$979:$G$1098"</definedName>
    <definedName name="HTML72_10" hidden="1">""</definedName>
    <definedName name="HTML72_11" hidden="1">1</definedName>
    <definedName name="HTML72_12" hidden="1">"E:\0616_6.htm"</definedName>
    <definedName name="HTML72_2" hidden="1">1</definedName>
    <definedName name="HTML72_3" hidden="1">"部署番号表"</definedName>
    <definedName name="HTML72_4" hidden="1">"部署番号表『工場』"</definedName>
    <definedName name="HTML72_5" hidden="1">""</definedName>
    <definedName name="HTML72_6" hidden="1">-4146</definedName>
    <definedName name="HTML72_7" hidden="1">-4146</definedName>
    <definedName name="HTML72_8" hidden="1">"2000/06/20"</definedName>
    <definedName name="HTML72_9" hidden="1">"株式会社ブリヂストン"</definedName>
    <definedName name="HTML73_1" hidden="1">"[BU000616.xls]部署一覧!$A$1108:$G$1160"</definedName>
    <definedName name="HTML73_10" hidden="1">""</definedName>
    <definedName name="HTML73_11" hidden="1">1</definedName>
    <definedName name="HTML73_12" hidden="1">"E:\0616_7.htm"</definedName>
    <definedName name="HTML73_2" hidden="1">1</definedName>
    <definedName name="HTML73_3" hidden="1">"部署番号表"</definedName>
    <definedName name="HTML73_4" hidden="1">"部署番号表『工場』"</definedName>
    <definedName name="HTML73_5" hidden="1">""</definedName>
    <definedName name="HTML73_6" hidden="1">-4146</definedName>
    <definedName name="HTML73_7" hidden="1">-4146</definedName>
    <definedName name="HTML73_8" hidden="1">"2000/06/20"</definedName>
    <definedName name="HTML73_9" hidden="1">"株式会社ブリヂストン"</definedName>
    <definedName name="HTML74_1" hidden="1">"[BU000616.xls]部署一覧!$A$1172:$G$1363"</definedName>
    <definedName name="HTML74_10" hidden="1">""</definedName>
    <definedName name="HTML74_11" hidden="1">1</definedName>
    <definedName name="HTML74_12" hidden="1">"E:\0616_8.htm"</definedName>
    <definedName name="HTML74_2" hidden="1">1</definedName>
    <definedName name="HTML74_3" hidden="1">"部署番号表"</definedName>
    <definedName name="HTML74_4" hidden="1">"部署番号表『化工品』"</definedName>
    <definedName name="HTML74_5" hidden="1">""</definedName>
    <definedName name="HTML74_6" hidden="1">-4146</definedName>
    <definedName name="HTML74_7" hidden="1">-4146</definedName>
    <definedName name="HTML74_8" hidden="1">"2000/06/20"</definedName>
    <definedName name="HTML74_9" hidden="1">"株式会社ブリヂストン"</definedName>
    <definedName name="HTML75_1" hidden="1">"[BU000616.xls]部署一覧!$A$1368:$G$1452"</definedName>
    <definedName name="HTML75_10" hidden="1">""</definedName>
    <definedName name="HTML75_11" hidden="1">1</definedName>
    <definedName name="HTML75_12" hidden="1">"E:\0616_9.htm"</definedName>
    <definedName name="HTML75_2" hidden="1">1</definedName>
    <definedName name="HTML75_3" hidden="1">"部署番号表"</definedName>
    <definedName name="HTML75_4" hidden="1">"部署番号表『化工品』"</definedName>
    <definedName name="HTML75_5" hidden="1">""</definedName>
    <definedName name="HTML75_6" hidden="1">-4146</definedName>
    <definedName name="HTML75_7" hidden="1">-4146</definedName>
    <definedName name="HTML75_8" hidden="1">"2000/06/20"</definedName>
    <definedName name="HTML75_9" hidden="1">"株式会社ブリヂストン"</definedName>
    <definedName name="HTML76_1" hidden="1">"[BU000816.xls]部署一覧!$A$6:$G$207"</definedName>
    <definedName name="HTML76_10" hidden="1">""</definedName>
    <definedName name="HTML76_11" hidden="1">1</definedName>
    <definedName name="HTML76_12" hidden="1">"E:\0816_1.htm"</definedName>
    <definedName name="HTML76_2" hidden="1">1</definedName>
    <definedName name="HTML76_3" hidden="1">"部署番号表"</definedName>
    <definedName name="HTML76_4" hidden="1">"部署番号表『本社』"</definedName>
    <definedName name="HTML76_5" hidden="1">""</definedName>
    <definedName name="HTML76_6" hidden="1">-4146</definedName>
    <definedName name="HTML76_7" hidden="1">-4146</definedName>
    <definedName name="HTML76_8" hidden="1">"2000/08/22"</definedName>
    <definedName name="HTML76_9" hidden="1">"株式会社ブリヂストン"</definedName>
    <definedName name="HTML77_1" hidden="1">"[BU000816.xls]部署一覧!$A$209:$G$403"</definedName>
    <definedName name="HTML77_10" hidden="1">""</definedName>
    <definedName name="HTML77_11" hidden="1">1</definedName>
    <definedName name="HTML77_12" hidden="1">"E:\0816_2.htm"</definedName>
    <definedName name="HTML77_2" hidden="1">1</definedName>
    <definedName name="HTML77_3" hidden="1">"部署番号表"</definedName>
    <definedName name="HTML77_4" hidden="1">"部署番号表『本社』"</definedName>
    <definedName name="HTML77_5" hidden="1">""</definedName>
    <definedName name="HTML77_6" hidden="1">-4146</definedName>
    <definedName name="HTML77_7" hidden="1">-4146</definedName>
    <definedName name="HTML77_8" hidden="1">"2000/08/22"</definedName>
    <definedName name="HTML77_9" hidden="1">"株式会社ブリヂストン"</definedName>
    <definedName name="HTML78_1" hidden="1">"[BU000816.xls]部署一覧!$A$406:$G$664"</definedName>
    <definedName name="HTML78_10" hidden="1">""</definedName>
    <definedName name="HTML78_11" hidden="1">1</definedName>
    <definedName name="HTML78_12" hidden="1">"E:\0816_3.htm"</definedName>
    <definedName name="HTML78_2" hidden="1">1</definedName>
    <definedName name="HTML78_3" hidden="1">"部署番号表"</definedName>
    <definedName name="HTML78_4" hidden="1">"部署番号表『小平』"</definedName>
    <definedName name="HTML78_5" hidden="1">""</definedName>
    <definedName name="HTML78_6" hidden="1">-4146</definedName>
    <definedName name="HTML78_7" hidden="1">-4146</definedName>
    <definedName name="HTML78_8" hidden="1">"2000/08/22"</definedName>
    <definedName name="HTML78_9" hidden="1">"株式会社ブリヂストン"</definedName>
    <definedName name="HTML79_1" hidden="1">"[BU000816.xls]部署一覧!$A$668:$G$867"</definedName>
    <definedName name="HTML79_10" hidden="1">""</definedName>
    <definedName name="HTML79_11" hidden="1">1</definedName>
    <definedName name="HTML79_12" hidden="1">"E:\0816_4.htm"</definedName>
    <definedName name="HTML79_2" hidden="1">1</definedName>
    <definedName name="HTML79_3" hidden="1">"部署番号表"</definedName>
    <definedName name="HTML79_4" hidden="1">"部署番号表『小平』"</definedName>
    <definedName name="HTML79_5" hidden="1">""</definedName>
    <definedName name="HTML79_6" hidden="1">-4146</definedName>
    <definedName name="HTML79_7" hidden="1">-4146</definedName>
    <definedName name="HTML79_8" hidden="1">"2000/08/22"</definedName>
    <definedName name="HTML79_9" hidden="1">"株式会社ブリヂストン"</definedName>
    <definedName name="HTML8_1" hidden="1">"[BU000201.xls]部署一覧!$A$979:$G$1101"</definedName>
    <definedName name="HTML8_10" hidden="1">""</definedName>
    <definedName name="HTML8_11" hidden="1">1</definedName>
    <definedName name="HTML8_12" hidden="1">"E:\0201_6.htm"</definedName>
    <definedName name="HTML8_2" hidden="1">1</definedName>
    <definedName name="HTML8_3" hidden="1">"部署番号表"</definedName>
    <definedName name="HTML8_4" hidden="1">"部署番号表『工場』"</definedName>
    <definedName name="HTML8_5" hidden="1">""</definedName>
    <definedName name="HTML8_6" hidden="1">-4146</definedName>
    <definedName name="HTML8_7" hidden="1">-4146</definedName>
    <definedName name="HTML8_8" hidden="1">"2000/02/03"</definedName>
    <definedName name="HTML8_9" hidden="1">"株式会社ブリヂストン"</definedName>
    <definedName name="HTML80_1" hidden="1">"[BU000816.xls]部署一覧!$A$870:$G$969"</definedName>
    <definedName name="HTML80_10" hidden="1">""</definedName>
    <definedName name="HTML80_11" hidden="1">1</definedName>
    <definedName name="HTML80_12" hidden="1">"E:\0816_5.htm"</definedName>
    <definedName name="HTML80_2" hidden="1">1</definedName>
    <definedName name="HTML80_3" hidden="1">"部署番号表"</definedName>
    <definedName name="HTML80_4" hidden="1">"部署番号表『工場』"</definedName>
    <definedName name="HTML80_5" hidden="1">""</definedName>
    <definedName name="HTML80_6" hidden="1">-4146</definedName>
    <definedName name="HTML80_7" hidden="1">-4146</definedName>
    <definedName name="HTML80_8" hidden="1">"2000/08/22"</definedName>
    <definedName name="HTML80_9" hidden="1">"株式会社ブリヂストン"</definedName>
    <definedName name="HTML81_1" hidden="1">"[BU000816.xls]部署一覧!$A$979:$G$1096"</definedName>
    <definedName name="HTML81_10" hidden="1">""</definedName>
    <definedName name="HTML81_11" hidden="1">1</definedName>
    <definedName name="HTML81_12" hidden="1">"E:\0816_6.htm"</definedName>
    <definedName name="HTML81_2" hidden="1">1</definedName>
    <definedName name="HTML81_3" hidden="1">"部署番号表"</definedName>
    <definedName name="HTML81_4" hidden="1">"部署番号表『工場』"</definedName>
    <definedName name="HTML81_5" hidden="1">""</definedName>
    <definedName name="HTML81_6" hidden="1">-4146</definedName>
    <definedName name="HTML81_7" hidden="1">-4146</definedName>
    <definedName name="HTML81_8" hidden="1">"2000/08/22"</definedName>
    <definedName name="HTML81_9" hidden="1">"株式会社ブリヂストン"</definedName>
    <definedName name="HTML82_1" hidden="1">"[BU000816.xls]部署一覧!$A$1108:$G$1160"</definedName>
    <definedName name="HTML82_10" hidden="1">""</definedName>
    <definedName name="HTML82_11" hidden="1">1</definedName>
    <definedName name="HTML82_12" hidden="1">"E:\0816_7.htm"</definedName>
    <definedName name="HTML82_2" hidden="1">1</definedName>
    <definedName name="HTML82_3" hidden="1">"部署番号表"</definedName>
    <definedName name="HTML82_4" hidden="1">"部署番号表『工場』"</definedName>
    <definedName name="HTML82_5" hidden="1">""</definedName>
    <definedName name="HTML82_6" hidden="1">-4146</definedName>
    <definedName name="HTML82_7" hidden="1">-4146</definedName>
    <definedName name="HTML82_8" hidden="1">"2000/08/22"</definedName>
    <definedName name="HTML82_9" hidden="1">"株式会社ブリヂストン"</definedName>
    <definedName name="HTML83_1" hidden="1">"[BU000816.xls]部署一覧!$A$1172:$G$1363"</definedName>
    <definedName name="HTML83_10" hidden="1">""</definedName>
    <definedName name="HTML83_11" hidden="1">1</definedName>
    <definedName name="HTML83_12" hidden="1">"E:\0816_8.htm"</definedName>
    <definedName name="HTML83_2" hidden="1">1</definedName>
    <definedName name="HTML83_3" hidden="1">"部署番号表"</definedName>
    <definedName name="HTML83_4" hidden="1">"部署番号表『化工品』"</definedName>
    <definedName name="HTML83_5" hidden="1">""</definedName>
    <definedName name="HTML83_6" hidden="1">-4146</definedName>
    <definedName name="HTML83_7" hidden="1">-4146</definedName>
    <definedName name="HTML83_8" hidden="1">"2000/08/22"</definedName>
    <definedName name="HTML83_9" hidden="1">"株式会社ブリヂストン"</definedName>
    <definedName name="HTML84_1" hidden="1">"[BU000816.xls]部署一覧!$A$1368:$G$1452"</definedName>
    <definedName name="HTML84_10" hidden="1">""</definedName>
    <definedName name="HTML84_11" hidden="1">1</definedName>
    <definedName name="HTML84_12" hidden="1">"E:\0816_9.htm"</definedName>
    <definedName name="HTML84_2" hidden="1">1</definedName>
    <definedName name="HTML84_3" hidden="1">"部署番号表"</definedName>
    <definedName name="HTML84_4" hidden="1">"部署番号表『化工品』"</definedName>
    <definedName name="HTML84_5" hidden="1">""</definedName>
    <definedName name="HTML84_6" hidden="1">-4146</definedName>
    <definedName name="HTML84_7" hidden="1">-4146</definedName>
    <definedName name="HTML84_8" hidden="1">"2000/08/22"</definedName>
    <definedName name="HTML84_9" hidden="1">"株式会社ブリヂストン"</definedName>
    <definedName name="HTML85_1" hidden="1">"[BU000901.xls]部署一覧!$A$6:$G$207"</definedName>
    <definedName name="HTML85_10" hidden="1">""</definedName>
    <definedName name="HTML85_11" hidden="1">1</definedName>
    <definedName name="HTML85_12" hidden="1">"E:\0901_1.htm"</definedName>
    <definedName name="HTML85_2" hidden="1">1</definedName>
    <definedName name="HTML85_3" hidden="1">"部署番号表"</definedName>
    <definedName name="HTML85_4" hidden="1">"部署番号表『本社』"</definedName>
    <definedName name="HTML85_5" hidden="1">""</definedName>
    <definedName name="HTML85_6" hidden="1">-4146</definedName>
    <definedName name="HTML85_7" hidden="1">-4146</definedName>
    <definedName name="HTML85_8" hidden="1">"2000/09/05"</definedName>
    <definedName name="HTML85_9" hidden="1">"株式会社ブリヂストン"</definedName>
    <definedName name="HTML86_1" hidden="1">"[BU000901.xls]部署一覧!$A$209:$G$403"</definedName>
    <definedName name="HTML86_10" hidden="1">""</definedName>
    <definedName name="HTML86_11" hidden="1">1</definedName>
    <definedName name="HTML86_12" hidden="1">"E:\0901_2.htm"</definedName>
    <definedName name="HTML86_2" hidden="1">1</definedName>
    <definedName name="HTML86_3" hidden="1">"部署番号表"</definedName>
    <definedName name="HTML86_4" hidden="1">"部署番号表『本社』"</definedName>
    <definedName name="HTML86_5" hidden="1">""</definedName>
    <definedName name="HTML86_6" hidden="1">-4146</definedName>
    <definedName name="HTML86_7" hidden="1">-4146</definedName>
    <definedName name="HTML86_8" hidden="1">"2000/09/05"</definedName>
    <definedName name="HTML86_9" hidden="1">"株式会社ブリヂストン"</definedName>
    <definedName name="HTML87_1" hidden="1">"[BU000901.xls]部署一覧!$A$406:$G$664"</definedName>
    <definedName name="HTML87_10" hidden="1">""</definedName>
    <definedName name="HTML87_11" hidden="1">1</definedName>
    <definedName name="HTML87_12" hidden="1">"E:\0901_3.htm"</definedName>
    <definedName name="HTML87_2" hidden="1">1</definedName>
    <definedName name="HTML87_3" hidden="1">"部署番号表"</definedName>
    <definedName name="HTML87_4" hidden="1">"部署番号表『小平』"</definedName>
    <definedName name="HTML87_5" hidden="1">""</definedName>
    <definedName name="HTML87_6" hidden="1">-4146</definedName>
    <definedName name="HTML87_7" hidden="1">-4146</definedName>
    <definedName name="HTML87_8" hidden="1">"2000/09/05"</definedName>
    <definedName name="HTML87_9" hidden="1">"株式会社ブリヂストン"</definedName>
    <definedName name="HTML88_1" hidden="1">"[BU000901.xls]部署一覧!$A$668:$G$866"</definedName>
    <definedName name="HTML88_10" hidden="1">""</definedName>
    <definedName name="HTML88_11" hidden="1">1</definedName>
    <definedName name="HTML88_12" hidden="1">"E:\0901_4.htm"</definedName>
    <definedName name="HTML88_2" hidden="1">1</definedName>
    <definedName name="HTML88_3" hidden="1">"部署番号表"</definedName>
    <definedName name="HTML88_4" hidden="1">"部署番号表『小平』"</definedName>
    <definedName name="HTML88_5" hidden="1">""</definedName>
    <definedName name="HTML88_6" hidden="1">-4146</definedName>
    <definedName name="HTML88_7" hidden="1">-4146</definedName>
    <definedName name="HTML88_8" hidden="1">"2000/09/05"</definedName>
    <definedName name="HTML88_9" hidden="1">"株式会社ブリヂストン"</definedName>
    <definedName name="HTML89_1" hidden="1">"[BU000901.xls]部署一覧!$A$869:$G$968"</definedName>
    <definedName name="HTML89_10" hidden="1">""</definedName>
    <definedName name="HTML89_11" hidden="1">1</definedName>
    <definedName name="HTML89_12" hidden="1">"E:\0901_5.htm"</definedName>
    <definedName name="HTML89_2" hidden="1">1</definedName>
    <definedName name="HTML89_3" hidden="1">"部署番号表"</definedName>
    <definedName name="HTML89_4" hidden="1">"部署番号表『工場』"</definedName>
    <definedName name="HTML89_5" hidden="1">""</definedName>
    <definedName name="HTML89_6" hidden="1">-4146</definedName>
    <definedName name="HTML89_7" hidden="1">-4146</definedName>
    <definedName name="HTML89_8" hidden="1">"2000/09/05"</definedName>
    <definedName name="HTML89_9" hidden="1">"株式会社ブリヂストン"</definedName>
    <definedName name="HTML9_1" hidden="1">"[BU000201.xls]部署一覧!$A$1108:$G$1160"</definedName>
    <definedName name="HTML9_10" hidden="1">""</definedName>
    <definedName name="HTML9_11" hidden="1">1</definedName>
    <definedName name="HTML9_12" hidden="1">"E:\0201_7.htm"</definedName>
    <definedName name="HTML9_2" hidden="1">1</definedName>
    <definedName name="HTML9_3" hidden="1">"部署番号表"</definedName>
    <definedName name="HTML9_4" hidden="1">"部署番号表『工場』"</definedName>
    <definedName name="HTML9_5" hidden="1">""</definedName>
    <definedName name="HTML9_6" hidden="1">-4146</definedName>
    <definedName name="HTML9_7" hidden="1">-4146</definedName>
    <definedName name="HTML9_8" hidden="1">"2000/02/03"</definedName>
    <definedName name="HTML9_9" hidden="1">"株式会社ブリヂストン"</definedName>
    <definedName name="HTML90_1" hidden="1">"[BU000901.xls]部署一覧!$A$979:$G$1096"</definedName>
    <definedName name="HTML90_10" hidden="1">""</definedName>
    <definedName name="HTML90_11" hidden="1">1</definedName>
    <definedName name="HTML90_12" hidden="1">"E:\0901_6.htm"</definedName>
    <definedName name="HTML90_2" hidden="1">1</definedName>
    <definedName name="HTML90_3" hidden="1">"部署番号表"</definedName>
    <definedName name="HTML90_4" hidden="1">"部署番号表『工場』"</definedName>
    <definedName name="HTML90_5" hidden="1">""</definedName>
    <definedName name="HTML90_6" hidden="1">-4146</definedName>
    <definedName name="HTML90_7" hidden="1">-4146</definedName>
    <definedName name="HTML90_8" hidden="1">"2000/09/05"</definedName>
    <definedName name="HTML90_9" hidden="1">"株式会社ブリヂストン"</definedName>
    <definedName name="HTML91_1" hidden="1">"[BU000901.xls]部署一覧!$A$1108:$G$1160"</definedName>
    <definedName name="HTML91_10" hidden="1">""</definedName>
    <definedName name="HTML91_11" hidden="1">1</definedName>
    <definedName name="HTML91_12" hidden="1">"E:\0901_7.htm"</definedName>
    <definedName name="HTML91_2" hidden="1">1</definedName>
    <definedName name="HTML91_3" hidden="1">"部署番号表"</definedName>
    <definedName name="HTML91_4" hidden="1">"部署番号表『工場』"</definedName>
    <definedName name="HTML91_5" hidden="1">""</definedName>
    <definedName name="HTML91_6" hidden="1">-4146</definedName>
    <definedName name="HTML91_7" hidden="1">-4146</definedName>
    <definedName name="HTML91_8" hidden="1">"2000/09/05"</definedName>
    <definedName name="HTML91_9" hidden="1">"株式会社ブリヂストン"</definedName>
    <definedName name="HTML92_1" hidden="1">"[BU000901.xls]部署一覧!$A$1172:$G$1362"</definedName>
    <definedName name="HTML92_10" hidden="1">""</definedName>
    <definedName name="HTML92_11" hidden="1">1</definedName>
    <definedName name="HTML92_12" hidden="1">"E:\0901_8.htm"</definedName>
    <definedName name="HTML92_2" hidden="1">1</definedName>
    <definedName name="HTML92_3" hidden="1">"部署番号表"</definedName>
    <definedName name="HTML92_4" hidden="1">"部署番号表『化工品』"</definedName>
    <definedName name="HTML92_5" hidden="1">""</definedName>
    <definedName name="HTML92_6" hidden="1">-4146</definedName>
    <definedName name="HTML92_7" hidden="1">-4146</definedName>
    <definedName name="HTML92_8" hidden="1">"2000/09/05"</definedName>
    <definedName name="HTML92_9" hidden="1">"株式会社ブリヂストン"</definedName>
    <definedName name="HTML93_1" hidden="1">"[BU000901.xls]部署一覧!$A$1368:$G$1452"</definedName>
    <definedName name="HTML93_10" hidden="1">""</definedName>
    <definedName name="HTML93_11" hidden="1">1</definedName>
    <definedName name="HTML93_12" hidden="1">"E:\0901_9.htm"</definedName>
    <definedName name="HTML93_2" hidden="1">1</definedName>
    <definedName name="HTML93_3" hidden="1">"部署番号表"</definedName>
    <definedName name="HTML93_4" hidden="1">"部署番号表『化工品』"</definedName>
    <definedName name="HTML93_5" hidden="1">""</definedName>
    <definedName name="HTML93_6" hidden="1">-4146</definedName>
    <definedName name="HTML93_7" hidden="1">-4146</definedName>
    <definedName name="HTML93_8" hidden="1">"2000/09/05"</definedName>
    <definedName name="HTML93_9" hidden="1">"株式会社ブリヂストン"</definedName>
    <definedName name="HTML94_1" hidden="1">"[BU001116.xls]部署一覧!$A$6:$G$183"</definedName>
    <definedName name="HTML94_10" hidden="1">""</definedName>
    <definedName name="HTML94_11" hidden="1">1</definedName>
    <definedName name="HTML94_12" hidden="1">"E:\1116_1.htm"</definedName>
    <definedName name="HTML94_2" hidden="1">1</definedName>
    <definedName name="HTML94_3" hidden="1">"部署番号表"</definedName>
    <definedName name="HTML94_4" hidden="1">"部署番号表『本社』"</definedName>
    <definedName name="HTML94_5" hidden="1">""</definedName>
    <definedName name="HTML94_6" hidden="1">-4146</definedName>
    <definedName name="HTML94_7" hidden="1">-4146</definedName>
    <definedName name="HTML94_8" hidden="1">"2000/11/17"</definedName>
    <definedName name="HTML94_9" hidden="1">"株式会社ブリヂストン"</definedName>
    <definedName name="HTML95_1" hidden="1">"[BU001116.xls]部署一覧!$A$198:$G$370"</definedName>
    <definedName name="HTML95_10" hidden="1">""</definedName>
    <definedName name="HTML95_11" hidden="1">1</definedName>
    <definedName name="HTML95_12" hidden="1">"E:\1116_2htm"</definedName>
    <definedName name="HTML95_2" hidden="1">1</definedName>
    <definedName name="HTML95_3" hidden="1">"部署番号表"</definedName>
    <definedName name="HTML95_4" hidden="1">"部署番号表『本社』"</definedName>
    <definedName name="HTML95_5" hidden="1">""</definedName>
    <definedName name="HTML95_6" hidden="1">-4146</definedName>
    <definedName name="HTML95_7" hidden="1">-4146</definedName>
    <definedName name="HTML95_8" hidden="1">"2000/11/17"</definedName>
    <definedName name="HTML95_9" hidden="1">"株式会社ブリヂストン"</definedName>
    <definedName name="HTML96_1" hidden="1">"[BU001116.xls]部署一覧!$A$393:$G$641"</definedName>
    <definedName name="HTML96_10" hidden="1">""</definedName>
    <definedName name="HTML96_11" hidden="1">1</definedName>
    <definedName name="HTML96_12" hidden="1">"E:\1116_3.htm"</definedName>
    <definedName name="HTML96_2" hidden="1">1</definedName>
    <definedName name="HTML96_3" hidden="1">"部署番号表"</definedName>
    <definedName name="HTML96_4" hidden="1">"部署番号表『小平』"</definedName>
    <definedName name="HTML96_5" hidden="1">""</definedName>
    <definedName name="HTML96_6" hidden="1">-4146</definedName>
    <definedName name="HTML96_7" hidden="1">-4146</definedName>
    <definedName name="HTML96_8" hidden="1">"2000/11/17"</definedName>
    <definedName name="HTML96_9" hidden="1">"株式会社ブリヂストン"</definedName>
    <definedName name="HTML97_1" hidden="1">"[BU001116.xls]部署一覧!$A$652:$G$830"</definedName>
    <definedName name="HTML97_10" hidden="1">""</definedName>
    <definedName name="HTML97_11" hidden="1">1</definedName>
    <definedName name="HTML97_12" hidden="1">"E:\1116_4.htm"</definedName>
    <definedName name="HTML97_2" hidden="1">1</definedName>
    <definedName name="HTML97_3" hidden="1">"部署番号表"</definedName>
    <definedName name="HTML97_4" hidden="1">"部署番号表『小平』"</definedName>
    <definedName name="HTML97_5" hidden="1">""</definedName>
    <definedName name="HTML97_6" hidden="1">-4146</definedName>
    <definedName name="HTML97_7" hidden="1">-4146</definedName>
    <definedName name="HTML97_8" hidden="1">"2000/11/17"</definedName>
    <definedName name="HTML97_9" hidden="1">"株式会社ブリヂストン"</definedName>
    <definedName name="HTML98_1" hidden="1">"[BU001116.xls]部署一覧!$A$833:$G$902"</definedName>
    <definedName name="HTML98_10" hidden="1">""</definedName>
    <definedName name="HTML98_11" hidden="1">1</definedName>
    <definedName name="HTML98_12" hidden="1">"E:\1116_5.htm"</definedName>
    <definedName name="HTML98_2" hidden="1">1</definedName>
    <definedName name="HTML98_3" hidden="1">"部署番号表"</definedName>
    <definedName name="HTML98_4" hidden="1">"部署番号表『工場』"</definedName>
    <definedName name="HTML98_5" hidden="1">""</definedName>
    <definedName name="HTML98_6" hidden="1">-4146</definedName>
    <definedName name="HTML98_7" hidden="1">-4146</definedName>
    <definedName name="HTML98_8" hidden="1">"2000/11/17"</definedName>
    <definedName name="HTML98_9" hidden="1">"株式会社ブリヂストン"</definedName>
    <definedName name="HTML99_1" hidden="1">"[BU001116.xls]部署一覧!$A$913:$G$1030"</definedName>
    <definedName name="HTML99_10" hidden="1">""</definedName>
    <definedName name="HTML99_11" hidden="1">1</definedName>
    <definedName name="HTML99_12" hidden="1">"E:\1116_6.htm"</definedName>
    <definedName name="HTML99_2" hidden="1">1</definedName>
    <definedName name="HTML99_3" hidden="1">"部署番号表"</definedName>
    <definedName name="HTML99_4" hidden="1">"部署番号表『工場』"</definedName>
    <definedName name="HTML99_5" hidden="1">""</definedName>
    <definedName name="HTML99_6" hidden="1">-4146</definedName>
    <definedName name="HTML99_7" hidden="1">-4146</definedName>
    <definedName name="HTML99_8" hidden="1">"2000/11/17"</definedName>
    <definedName name="HTML99_9" hidden="1">"株式会社ブリヂストン"</definedName>
    <definedName name="HTMLCount" hidden="1">1</definedName>
    <definedName name="inspector">"$#REF!.$G$273:$G$811"</definedName>
    <definedName name="inspector_10">"$#REF!.$G$273:$G$811"</definedName>
    <definedName name="ｋ" hidden="1">#REF!</definedName>
    <definedName name="KEI" hidden="1">#REF!</definedName>
    <definedName name="kris">#REF!</definedName>
    <definedName name="kwan" hidden="1">'[9]702'!#REF!</definedName>
    <definedName name="LIG" hidden="1">[18]原単位表!#REF!</definedName>
    <definedName name="LOCAL_MYSQL_DATE_FORMAT"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MAR">[19]Mar!$BE$4</definedName>
    <definedName name="Mc63apr23">#REF!</definedName>
    <definedName name="MON_START">[11]System!$A$37:$A$48</definedName>
    <definedName name="MONTHLY_CURRENCY">[11]ConceptC!$D$16</definedName>
    <definedName name="MUA_MC63_APR23">#REF!</definedName>
    <definedName name="NEW" hidden="1">#REF!</definedName>
    <definedName name="noy" hidden="1">#REF!</definedName>
    <definedName name="NR_A_or_L_SHOP_MAY14">#REF!</definedName>
    <definedName name="ok">#REF!</definedName>
    <definedName name="okkk" hidden="1">'[1]S-PLAN'!$I$1306:$P$1306</definedName>
    <definedName name="operator">"$#REF!.$G$812:$G$3608"</definedName>
    <definedName name="operator_10">"$#REF!.$G$812:$G$3608"</definedName>
    <definedName name="Period">[20]list!$F$4:$F$15</definedName>
    <definedName name="_xlnm.Print_Area" localSheetId="0">'TAHAP 1'!$A$1:$V$84</definedName>
    <definedName name="_xlnm.Print_Area" localSheetId="2">'TAHAP 2.1 (SPD)'!$A$1:$W$60</definedName>
    <definedName name="_xlnm.Print_Area" localSheetId="1">'TAPAH 2.2 (Rincian)'!$A$1:$O$92</definedName>
    <definedName name="_xlnm.Print_Area">#REF!</definedName>
    <definedName name="Print_Area_MI">#REF!</definedName>
    <definedName name="Products">[20]list!$O$4:$O$22</definedName>
    <definedName name="q" hidden="1">#REF!</definedName>
    <definedName name="qaw" hidden="1">[8]MYZK02!$I$1304:$P$1304</definedName>
    <definedName name="red" hidden="1">[8]MYZK02!$K$1293:$P$1293</definedName>
    <definedName name="redw" hidden="1">[8]MYZK02!$I$1293:$P$1293</definedName>
    <definedName name="reg" hidden="1">'[1]S-PLAN'!$I$1293:$P$1293</definedName>
    <definedName name="RETYHJJJTYRY">#REF!</definedName>
    <definedName name="rewq" hidden="1">'[1]S-PLAN'!$I$1293:$P$1293</definedName>
    <definedName name="ｒｒｒ" hidden="1">#REF!</definedName>
    <definedName name="S" hidden="1">#REF!</definedName>
    <definedName name="ｓ" hidden="1">#REF!</definedName>
    <definedName name="sa" hidden="1">#REF!</definedName>
    <definedName name="saa" hidden="1">[8]MYZK02!$I$582:$P$582</definedName>
    <definedName name="sade" hidden="1">'[1]S-PLAN'!$I$1306:$P$1306</definedName>
    <definedName name="SAPBEXrevision" hidden="1">3</definedName>
    <definedName name="SAPBEXsysID" hidden="1">"BW1"</definedName>
    <definedName name="SAPBEXwbID" hidden="1">"3SDE71NL9JJB2F6LMYQ0XGE9S"</definedName>
    <definedName name="sea" hidden="1">[8]MYZK02!$I$859:$P$859</definedName>
    <definedName name="seaw" hidden="1">'[1]S-PLAN'!$I$582:$P$582</definedName>
    <definedName name="sed" hidden="1">[8]MYZK02!$I$812:$P$812</definedName>
    <definedName name="SHOPPDM0531_クエリー1">#REF!</definedName>
    <definedName name="SHUKKO_クエリー">#REF!</definedName>
    <definedName name="SHUTTLE" hidden="1">#REF!</definedName>
    <definedName name="SOrt" hidden="1">[21]STATEMENT!#REF!</definedName>
    <definedName name="SORTIR">"$#REF!.$B$10:$AB$3559"</definedName>
    <definedName name="SORTIR_10">"$#REF!.$B$10:$AB$3559"</definedName>
    <definedName name="SPDMのクロス集計_クエリー">#REF!</definedName>
    <definedName name="ｓｓ" hidden="1">#REF!</definedName>
    <definedName name="sss">#REF!</definedName>
    <definedName name="ＳＳＳ" hidden="1">#REF!</definedName>
    <definedName name="STATUS">"$#REF!.$C$10:$AA$3608"</definedName>
    <definedName name="STATUS_12">"$'Meninggalkan Pekerjaan'.$#REF!$#REF!:$#REF!$#REF!"</definedName>
    <definedName name="STEP">[11]System!$A$14:$A$17</definedName>
    <definedName name="STEP_ASSET">[11]System!$E$14:$E$15</definedName>
    <definedName name="tantou" hidden="1">[17]トピックス!#REF!</definedName>
    <definedName name="TextRefCopy1">'[22]Mar rev'!$BJ$4</definedName>
    <definedName name="TextRefCopy2">'[22]Mar rev'!$BG$4</definedName>
    <definedName name="TextRefCopyRangeCount" hidden="1">2</definedName>
    <definedName name="VERSION">[11]System!$A$2</definedName>
    <definedName name="VF">#REF!</definedName>
    <definedName name="VF38_車両PDM_クエリ">#REF!</definedName>
    <definedName name="VF38ENG_SPDM_040602_">#REF!</definedName>
    <definedName name="vvvv" hidden="1">#REF!</definedName>
    <definedName name="waa" hidden="1">[8]MYZK02!$I$828:$P$828</definedName>
    <definedName name="wde" hidden="1">[8]MYZK02!$I$879:$P$879</definedName>
    <definedName name="wdw" hidden="1">[8]MYZK02!$I$1293:$P$1293</definedName>
    <definedName name="we" hidden="1">[8]MYZK02!$I$809:$P$809</definedName>
    <definedName name="WORD001">[11]Words!$E$2</definedName>
    <definedName name="WORD002">[11]Words!$E$3</definedName>
    <definedName name="WORD003">[11]Words!$E$4</definedName>
    <definedName name="WORD004">[11]Words!$E$5</definedName>
    <definedName name="WORD004B">[11]Words!$E$6</definedName>
    <definedName name="WORD005">[11]Words!$E$7</definedName>
    <definedName name="WORD006">[11]Words!$E$8</definedName>
    <definedName name="WORD007">[11]Words!$E$9</definedName>
    <definedName name="WORD008">[11]Words!$E$10</definedName>
    <definedName name="WORD009">[11]Words!$E$11</definedName>
    <definedName name="WORD010">[11]Words!$E$12</definedName>
    <definedName name="WORD012">[11]Words!$E$14</definedName>
    <definedName name="WORD013">[11]Words!$E$15</definedName>
    <definedName name="WORD014">[11]Words!$E$16</definedName>
    <definedName name="WORD021">[11]Words!$E$23</definedName>
    <definedName name="WORD022">[11]Words!$E$24</definedName>
    <definedName name="WORD025">[11]Words!$E$27</definedName>
    <definedName name="WORD026">[11]Words!$E$28</definedName>
    <definedName name="WORD027">[11]Words!$E$29</definedName>
    <definedName name="WORD028">[11]Words!$E$30</definedName>
    <definedName name="WORD029">[11]Words!$E$31</definedName>
    <definedName name="WORD030">[11]Words!$E$32</definedName>
    <definedName name="WORD031">[11]Words!$E$33</definedName>
    <definedName name="WORD032">[11]Words!$E$34</definedName>
    <definedName name="WORD033">[11]Words!$E$35</definedName>
    <definedName name="WORD034">[11]Words!$E$36</definedName>
    <definedName name="WORD035">[11]Words!$E$37</definedName>
    <definedName name="WORD036">[11]Words!$E$38</definedName>
    <definedName name="WORD037">[11]Words!$E$39</definedName>
    <definedName name="WORD038">[11]Words!$E$40</definedName>
    <definedName name="WORD040">[11]Words!$E$42</definedName>
    <definedName name="WORD041">[11]Words!$E$43</definedName>
    <definedName name="WORD042">[11]Words!$E$44</definedName>
    <definedName name="WORD043">[11]Words!$E$45</definedName>
    <definedName name="WORD044">[11]Words!$E$46</definedName>
    <definedName name="WORD045">[11]Words!$E$47</definedName>
    <definedName name="WORD046">[11]Words!$E$48</definedName>
    <definedName name="WORD047">[11]Words!$E$49</definedName>
    <definedName name="WORD048">[11]Words!$E$50</definedName>
    <definedName name="WORD049">[11]Words!$E$51</definedName>
    <definedName name="WORD050">[11]Words!$E$52</definedName>
    <definedName name="WORD051">[11]Words!$E$53</definedName>
    <definedName name="WORD052">[11]Words!$E$54</definedName>
    <definedName name="WORD053">[11]Words!$E$55</definedName>
    <definedName name="WORD054">[11]Words!$E$56</definedName>
    <definedName name="WORD059">[11]Words!$E$61</definedName>
    <definedName name="WORD060">[11]Words!$E$62</definedName>
    <definedName name="WORD061">[11]Words!$E$63</definedName>
    <definedName name="WORD064">[11]Words!$E$66</definedName>
    <definedName name="WORD065">[11]Words!$E$67</definedName>
    <definedName name="WORD071">[11]Words!$E$73</definedName>
    <definedName name="WORD071b">[11]Words!$E$74</definedName>
    <definedName name="WORD073">[11]Words!$E$76</definedName>
    <definedName name="WORD074">[11]Words!$E$77</definedName>
    <definedName name="WORD075">[11]Words!$E$78</definedName>
    <definedName name="WORD075b">[11]Words!$E$79</definedName>
    <definedName name="WORD076">[11]Words!$E$80</definedName>
    <definedName name="WORD077">[11]Words!$E$81</definedName>
    <definedName name="WORD078">[11]Words!$E$82</definedName>
    <definedName name="WORD079">[11]Words!$E$83</definedName>
    <definedName name="WORD082">[11]Words!$E$86</definedName>
    <definedName name="WORD083">[11]Words!$E$87</definedName>
    <definedName name="WORD084">[11]Words!$E$88</definedName>
    <definedName name="WORD085">[11]Words!$E$89</definedName>
    <definedName name="WORD086">[11]Words!$E$90</definedName>
    <definedName name="WORD087">[11]Words!$E$91</definedName>
    <definedName name="WORD090">[11]Words!$E$94</definedName>
    <definedName name="WORD091">[11]Words!$E$95</definedName>
    <definedName name="WORD092">[11]Words!$E$96</definedName>
    <definedName name="WORD093">[11]Words!$E$97</definedName>
    <definedName name="WORD094">[11]Words!$E$98</definedName>
    <definedName name="WORD095">[11]Words!$E$99</definedName>
    <definedName name="WORD096">[11]Words!$E$100</definedName>
    <definedName name="WORD097">[11]Words!$E$101</definedName>
    <definedName name="WORD098">[11]Words!$E$102</definedName>
    <definedName name="WORD099">[11]Words!$E$103</definedName>
    <definedName name="WORD100">[11]Words!$E$104</definedName>
    <definedName name="WORD101">[11]Words!$E$105</definedName>
    <definedName name="WORD102">[11]Words!$E$106</definedName>
    <definedName name="WORD103">[11]Words!$E$107</definedName>
    <definedName name="WORD104">[11]Words!$E$108</definedName>
    <definedName name="WORD105">[11]Words!$E$109</definedName>
    <definedName name="WORD106">[11]Words!$E$110</definedName>
    <definedName name="WORD107">[11]Words!$E$111</definedName>
    <definedName name="WORD108">[11]Words!$E$112</definedName>
    <definedName name="WORD109">[11]Words!$E$113</definedName>
    <definedName name="WORD110">[11]Words!$E$114</definedName>
    <definedName name="WORD111">[11]Words!$E$115</definedName>
    <definedName name="WORD112">[11]Words!$E$116</definedName>
    <definedName name="WORD113">[11]Words!$E$117</definedName>
    <definedName name="WORD115">[11]Words!$E$119</definedName>
    <definedName name="WORD117">[11]Words!$E$121</definedName>
    <definedName name="WORD11８">[11]Words!$E$122</definedName>
    <definedName name="WORD119">[11]Words!$E$123</definedName>
    <definedName name="WORD120">[11]Words!$E$124</definedName>
    <definedName name="WORD121">[11]Words!$E$125</definedName>
    <definedName name="WORD122">[11]Words!$E$126</definedName>
    <definedName name="WORD123">[11]Words!$E$127</definedName>
    <definedName name="WORD124">[11]Words!$E$128</definedName>
    <definedName name="WORD125">[11]Words!$E$129</definedName>
    <definedName name="WORD126">[11]Words!$E$130</definedName>
    <definedName name="WORD127">[11]Words!$E$131</definedName>
    <definedName name="WORD128">[11]Words!$E$132</definedName>
    <definedName name="WORD129">[11]Words!$E$133</definedName>
    <definedName name="WORD130">[11]Words!$E$134</definedName>
    <definedName name="WORD131">[11]Words!$E$135</definedName>
    <definedName name="WORD132">[11]Words!$E$136</definedName>
    <definedName name="WORD133">[11]Words!$E$137</definedName>
    <definedName name="WORD150">[11]Words!$E$154</definedName>
    <definedName name="WORD152">[11]Words!$E$156</definedName>
    <definedName name="WORD153">[11]Words!$E$157</definedName>
    <definedName name="WORD154">[11]Words!$E$158</definedName>
    <definedName name="WORD155">[11]Words!$E$159</definedName>
    <definedName name="WORD156">[11]Words!$E$160</definedName>
    <definedName name="WORD157">[11]Words!$E$161</definedName>
    <definedName name="WORD158">[11]Words!$E$162</definedName>
    <definedName name="WORD159">[11]Words!$E$163</definedName>
    <definedName name="WORD160">[11]Words!$E$164</definedName>
    <definedName name="WORD161">[11]Words!$E$165</definedName>
    <definedName name="WORD162">[11]Words!$E$166</definedName>
    <definedName name="WORD163">[11]Words!$E$167</definedName>
    <definedName name="WORD164">[11]Words!$E$168</definedName>
    <definedName name="WORD165">[11]Words!$E$169</definedName>
    <definedName name="WORD166">[11]Words!$E$170</definedName>
    <definedName name="WORD167">[11]Words!$E$171</definedName>
    <definedName name="WORD168">[11]Words!$E$172</definedName>
    <definedName name="WORD169">[11]Words!$E$173</definedName>
    <definedName name="WORD170">[11]Words!$E$174</definedName>
    <definedName name="WORD171">[11]Words!$E$175</definedName>
    <definedName name="WORD172">[11]Words!$E$176</definedName>
    <definedName name="WORD173">[11]Words!$E$177</definedName>
    <definedName name="WORD174">[11]Words!$E$178</definedName>
    <definedName name="WORD175">[11]Words!$E$179</definedName>
    <definedName name="WORD176">[11]Words!$E$180</definedName>
    <definedName name="wrn.Bethune." hidden="1">{"BE",#N/A,TRUE,"Sorting"}</definedName>
    <definedName name="wrn.印刷." hidden="1">{#N/A,#N/A,TRUE,"ｼｽﾃﾑ概要";#N/A,#N/A,TRUE,"型交換の考え方";#N/A,#N/A,TRUE,"やりとり";#N/A,#N/A,TRUE,"イベント№一覧";#N/A,#N/A,TRUE,"DM一覧";#N/A,#N/A,TRUE,"機械構成など"}</definedName>
    <definedName name="ｘ" hidden="1">#REF!</definedName>
    <definedName name="YOTEI">#REF!</definedName>
    <definedName name="ｙｙ" hidden="1">#REF!</definedName>
    <definedName name="Z" hidden="1">#REF!</definedName>
    <definedName name="Z_8247C79C_515D_4AD2_AA93_EF971B55936A_.wvu.Cols" hidden="1">#REF!</definedName>
    <definedName name="ZZZZ" hidden="1">#REF!</definedName>
    <definedName name="あ" hidden="1">#REF!</definedName>
    <definedName name="あｓ" hidden="1">#REF!</definedName>
    <definedName name="ああああＷＷ" hidden="1">#REF!</definedName>
    <definedName name="え" hidden="1">#REF!</definedName>
    <definedName name="ｻｲｽﾞﾘｽﾄ0007" hidden="1">[23]サイズリスト!#REF!</definedName>
    <definedName name="にし" hidden="1">[24]報告№②ー１!#REF!</definedName>
    <definedName name="ﾌｨﾙ" hidden="1">#REF!</definedName>
    <definedName name="リインボイス">[20]list!$R$4:$R$7</definedName>
    <definedName name="โ" hidden="1">#REF!</definedName>
    <definedName name="ฏฏฏฏ" hidden="1">#REF!</definedName>
    <definedName name="ณธฯ??" hidden="1">#REF!</definedName>
    <definedName name="ธณ?ฎ" hidden="1">#REF!</definedName>
    <definedName name="事業所">[20]list!$B$4:$B$114</definedName>
    <definedName name="意図伝" hidden="1">#REF!</definedName>
    <definedName name="投入の狙い" hidden="1">#REF!</definedName>
    <definedName name="新作製" hidden="1">[24]報告№②ー１!#REF!</definedName>
    <definedName name="新規" hidden="1">[24]報告№②ー１!#REF!</definedName>
    <definedName name="案" hidden="1">[24]報告№②ー１!#REF!</definedName>
    <definedName name="検査手順" hidden="1">[24]報告№②ー１!#REF!</definedName>
    <definedName name="見積り" hidden="1">#REF!</definedName>
    <definedName name="試乗車マップ" hidden="1">#REF!</definedName>
    <definedName name="調整" hidden="1">{"'TOYOTA'!$A$1:$R$26"}</definedName>
    <definedName name="車両_MC63_APR23">#REF!</definedName>
    <definedName name="関連表" hidden="1">#REF!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P79" i="36" l="1"/>
  <c r="M21" i="36"/>
  <c r="AB21" i="36" s="1"/>
  <c r="K21" i="36"/>
  <c r="AA21" i="36" s="1"/>
  <c r="I21" i="36"/>
  <c r="Z21" i="36" s="1"/>
  <c r="G21" i="36"/>
  <c r="Y21" i="36" s="1"/>
  <c r="M20" i="36"/>
  <c r="AB20" i="36" s="1"/>
  <c r="K20" i="36"/>
  <c r="AA20" i="36" s="1"/>
  <c r="I20" i="36"/>
  <c r="Z20" i="36" s="1"/>
  <c r="G20" i="36"/>
  <c r="F20" i="36"/>
  <c r="C20" i="36"/>
  <c r="M19" i="36"/>
  <c r="AB19" i="36" s="1"/>
  <c r="K19" i="36"/>
  <c r="AA19" i="36" s="1"/>
  <c r="I19" i="36"/>
  <c r="Z19" i="36" s="1"/>
  <c r="G19" i="36"/>
  <c r="Y19" i="36" s="1"/>
  <c r="F19" i="36"/>
  <c r="C19" i="36"/>
  <c r="I10" i="36"/>
  <c r="I9" i="36"/>
  <c r="T56" i="36"/>
  <c r="Q38" i="36"/>
  <c r="O37" i="36"/>
  <c r="O36" i="36"/>
  <c r="B36" i="36"/>
  <c r="AB22" i="36"/>
  <c r="AA22" i="36"/>
  <c r="Z22" i="36"/>
  <c r="Y22" i="36"/>
  <c r="Y20" i="36"/>
  <c r="N89" i="35"/>
  <c r="H84" i="35"/>
  <c r="G84" i="35"/>
  <c r="D84" i="35"/>
  <c r="G83" i="35"/>
  <c r="H83" i="35" s="1"/>
  <c r="D83" i="35"/>
  <c r="G82" i="35"/>
  <c r="H82" i="35" s="1"/>
  <c r="S37" i="36" s="1"/>
  <c r="D82" i="35"/>
  <c r="B82" i="35"/>
  <c r="H81" i="35"/>
  <c r="S36" i="36" s="1"/>
  <c r="G81" i="35"/>
  <c r="D81" i="35"/>
  <c r="F77" i="35"/>
  <c r="H68" i="35"/>
  <c r="G67" i="35"/>
  <c r="H66" i="35"/>
  <c r="H65" i="35"/>
  <c r="H69" i="35" s="1"/>
  <c r="H71" i="35" s="1"/>
  <c r="H64" i="35"/>
  <c r="H63" i="35"/>
  <c r="H62" i="35"/>
  <c r="H61" i="35"/>
  <c r="H57" i="35"/>
  <c r="B84" i="35"/>
  <c r="B83" i="35"/>
  <c r="F36" i="35"/>
  <c r="H29" i="35"/>
  <c r="G29" i="35"/>
  <c r="F29" i="35"/>
  <c r="E29" i="35"/>
  <c r="I26" i="35"/>
  <c r="H22" i="35"/>
  <c r="G22" i="35"/>
  <c r="F22" i="35"/>
  <c r="E22" i="35"/>
  <c r="E8" i="35"/>
  <c r="S38" i="36" l="1"/>
  <c r="O38" i="36"/>
  <c r="G39" i="35"/>
  <c r="G38" i="35"/>
  <c r="G36" i="35"/>
  <c r="I33" i="35"/>
  <c r="G37" i="35" s="1"/>
  <c r="B81" i="35"/>
  <c r="G40" i="35" l="1"/>
  <c r="L38" i="36"/>
  <c r="L39" i="36" s="1"/>
  <c r="R68" i="30" l="1"/>
  <c r="R69" i="30"/>
  <c r="R70" i="30"/>
  <c r="R71" i="30"/>
  <c r="R73" i="30"/>
  <c r="R74" i="30"/>
  <c r="R75" i="30"/>
  <c r="R76" i="30"/>
</calcChain>
</file>

<file path=xl/sharedStrings.xml><?xml version="1.0" encoding="utf-8"?>
<sst xmlns="http://schemas.openxmlformats.org/spreadsheetml/2006/main" count="465" uniqueCount="239">
  <si>
    <t>PT. SEMARANG AUTOCOMP MANUFACTURING INDONESIA</t>
  </si>
  <si>
    <t>NO</t>
  </si>
  <si>
    <t>NIK</t>
  </si>
  <si>
    <t>NAMA</t>
  </si>
  <si>
    <t>DEPT. / SECT.</t>
  </si>
  <si>
    <t>TANGGAL</t>
  </si>
  <si>
    <t>s/d</t>
  </si>
  <si>
    <t>-</t>
  </si>
  <si>
    <t>TUJUAN PERJALANAN DINAS</t>
  </si>
  <si>
    <t>KEPENTINGAN</t>
  </si>
  <si>
    <t>STATION</t>
  </si>
  <si>
    <t>JENIS ARMADA</t>
  </si>
  <si>
    <t>WAKTU KEBERANGKATAN</t>
  </si>
  <si>
    <t>JAM</t>
  </si>
  <si>
    <t>LOKASI</t>
  </si>
  <si>
    <t>Sabuk Pengaman</t>
  </si>
  <si>
    <t>Ban Cadangan</t>
  </si>
  <si>
    <t>Dongkrak</t>
  </si>
  <si>
    <t xml:space="preserve">Pembuka Roda dan </t>
  </si>
  <si>
    <t>Apar</t>
  </si>
  <si>
    <t>Ganjal Ban (Wheel Block)</t>
  </si>
  <si>
    <t>Perisai Kolong Belakang</t>
  </si>
  <si>
    <t>Perisai Kolong Samping</t>
  </si>
  <si>
    <t>Alat Pemantul Cahaya</t>
  </si>
  <si>
    <t>Pemecah Kaca / Martil</t>
  </si>
  <si>
    <t>Usia Driver</t>
  </si>
  <si>
    <t>Kernet</t>
  </si>
  <si>
    <t>●</t>
  </si>
  <si>
    <t>x</t>
  </si>
  <si>
    <t>50 Tahun</t>
  </si>
  <si>
    <t>BUS</t>
  </si>
  <si>
    <t>DEPARTURE</t>
  </si>
  <si>
    <t>ARRIVAL</t>
  </si>
  <si>
    <t>KET.</t>
  </si>
  <si>
    <t>NAMA HOTEL</t>
  </si>
  <si>
    <t>ALAMAT</t>
  </si>
  <si>
    <t>PREPARED</t>
  </si>
  <si>
    <t>CHECKED</t>
  </si>
  <si>
    <t>Renny</t>
  </si>
  <si>
    <t>SMK</t>
  </si>
  <si>
    <t>FYH</t>
  </si>
  <si>
    <t>REQUEST PERHITUNGAN BIAYA PERJALANAN DINAS</t>
  </si>
  <si>
    <t>RANGE TIME</t>
  </si>
  <si>
    <t>JABATAN</t>
  </si>
  <si>
    <t>FORM/CHECKSHEET</t>
  </si>
  <si>
    <t>NO. DOKUMEN</t>
  </si>
  <si>
    <t>REVISI</t>
  </si>
  <si>
    <t xml:space="preserve">HALAMAN </t>
  </si>
  <si>
    <t>MASA BERLAKU</t>
  </si>
  <si>
    <t>APPROVED I</t>
  </si>
  <si>
    <t>APPROVED II</t>
  </si>
  <si>
    <t>AWI</t>
  </si>
  <si>
    <t>: 0</t>
  </si>
  <si>
    <t>: 05-07-2023</t>
  </si>
  <si>
    <t>: 1</t>
  </si>
  <si>
    <t>1. MEMBER YANG AKAN PERJALANAN DINAS</t>
  </si>
  <si>
    <t>REQUEST KHUSUS</t>
  </si>
  <si>
    <t>JUMLAH KURSI (PENUMPANG)</t>
  </si>
  <si>
    <t>3. HOTEL</t>
  </si>
  <si>
    <t>2.a Pesawat</t>
  </si>
  <si>
    <t>2.b Kereta</t>
  </si>
  <si>
    <t>2.c Mobil / Hi Ace / Bus</t>
  </si>
  <si>
    <t>SMOKING</t>
  </si>
  <si>
    <t>BREAKFAST</t>
  </si>
  <si>
    <t>LAUNDRY</t>
  </si>
  <si>
    <t>No</t>
  </si>
  <si>
    <t xml:space="preserve">Mobil </t>
  </si>
  <si>
    <t>Hi Ace</t>
  </si>
  <si>
    <t>Ketentuan Jenis Kamar</t>
  </si>
  <si>
    <t>Golongan</t>
  </si>
  <si>
    <t>I</t>
  </si>
  <si>
    <t>II</t>
  </si>
  <si>
    <t>III</t>
  </si>
  <si>
    <t>IV</t>
  </si>
  <si>
    <t>V</t>
  </si>
  <si>
    <t>VI</t>
  </si>
  <si>
    <t>VII</t>
  </si>
  <si>
    <t>Standard maks. Bintang 3</t>
  </si>
  <si>
    <t>Standard maks. Bintang 4</t>
  </si>
  <si>
    <t>Standard maks. Bintang 5</t>
  </si>
  <si>
    <t>Golongan I - III</t>
  </si>
  <si>
    <t>Luar Negeri</t>
  </si>
  <si>
    <t>Dalam Negeri</t>
  </si>
  <si>
    <t>Pesawat Udara Kelas Ekonomi</t>
  </si>
  <si>
    <t>Kereta Api / Bus</t>
  </si>
  <si>
    <t>Golongan IV - V</t>
  </si>
  <si>
    <t>Golongan VI - VII</t>
  </si>
  <si>
    <t>Pesawat Udara Kelas Bisnis</t>
  </si>
  <si>
    <t>NOTE : Standar kelengkapan armada</t>
  </si>
  <si>
    <t>2. TRANSPORTASI</t>
  </si>
  <si>
    <t>PIC</t>
  </si>
  <si>
    <t>REVIEW</t>
  </si>
  <si>
    <t>TGL</t>
  </si>
  <si>
    <t>ISI PERUBAHAN</t>
  </si>
  <si>
    <t>REV.</t>
  </si>
  <si>
    <t>New Release</t>
  </si>
  <si>
    <t>PERLINDUNGAN HAK CIPTA!                                                                                       
Dokumen ini adalah milik dan untuk dipergunakan di lingkungan kerja PT. SAMI .
Tidak diperkenankan memindahkan, menyalin, atau menggandakan sebagian ataupun seluruhnya isi dokumen ini dalam bentuk dan dengan cara apapun, tanpa izin tertulis dari Wakil manajemen.</t>
  </si>
  <si>
    <r>
      <t xml:space="preserve">Referensi Prosedur/WI/OS/IS/ :
</t>
    </r>
    <r>
      <rPr>
        <sz val="10"/>
        <color theme="1"/>
        <rFont val="Calibri"/>
        <family val="2"/>
        <scheme val="minor"/>
      </rPr>
      <t>PGA-GA.PD.02 : Prosedur Perjalanan Dinas</t>
    </r>
  </si>
  <si>
    <t>Laundry</t>
  </si>
  <si>
    <t>SHUTTLE</t>
  </si>
  <si>
    <t>Name :</t>
  </si>
  <si>
    <t xml:space="preserve">TTD PIC </t>
  </si>
  <si>
    <t>A</t>
  </si>
  <si>
    <r>
      <t xml:space="preserve">Perjalanan Dinas yang memakan waktu </t>
    </r>
    <r>
      <rPr>
        <b/>
        <i/>
        <u/>
        <sz val="12"/>
        <color theme="1"/>
        <rFont val="Calibri"/>
        <family val="2"/>
        <scheme val="minor"/>
      </rPr>
      <t xml:space="preserve">3 (tiga) hari atau lebih </t>
    </r>
    <r>
      <rPr>
        <i/>
        <sz val="12"/>
        <color theme="1"/>
        <rFont val="Calibri"/>
        <family val="2"/>
        <scheme val="minor"/>
      </rPr>
      <t xml:space="preserve">maka ia berhak atas penggantian biaya cuci pakaian (laundry) </t>
    </r>
    <r>
      <rPr>
        <b/>
        <i/>
        <u/>
        <sz val="12"/>
        <color theme="1"/>
        <rFont val="Calibri"/>
        <family val="2"/>
        <scheme val="minor"/>
      </rPr>
      <t xml:space="preserve">5pcs per-hari </t>
    </r>
    <r>
      <rPr>
        <i/>
        <sz val="12"/>
        <color theme="1"/>
        <rFont val="Calibri"/>
        <family val="2"/>
        <scheme val="minor"/>
      </rPr>
      <t>(blouse / kemeja, celana, pakaian dalam dan kaos kaki)</t>
    </r>
  </si>
  <si>
    <r>
      <t xml:space="preserve">Isi kolom di bawah ini dengan tanda </t>
    </r>
    <r>
      <rPr>
        <i/>
        <sz val="12"/>
        <color theme="1"/>
        <rFont val="Calibri"/>
        <family val="2"/>
      </rPr>
      <t>Ѵ atau X</t>
    </r>
  </si>
  <si>
    <r>
      <t xml:space="preserve">Segitiga Pengaman </t>
    </r>
    <r>
      <rPr>
        <i/>
        <sz val="12"/>
        <color theme="1"/>
        <rFont val="Calibri"/>
        <family val="2"/>
        <scheme val="minor"/>
      </rPr>
      <t>(Minimal 2 buah, berwarna merah, dapat memantulkan cahaya)</t>
    </r>
  </si>
  <si>
    <r>
      <t>Kotak P3K</t>
    </r>
    <r>
      <rPr>
        <i/>
        <sz val="12"/>
        <color theme="1"/>
        <rFont val="Calibri"/>
        <family val="2"/>
        <scheme val="minor"/>
      </rPr>
      <t>(Minimal berisi obat antiseptik, kain kassa, kapas, plester)</t>
    </r>
  </si>
  <si>
    <r>
      <t xml:space="preserve">●
</t>
    </r>
    <r>
      <rPr>
        <i/>
        <sz val="12"/>
        <color theme="1"/>
        <rFont val="Calibri"/>
        <family val="2"/>
      </rPr>
      <t>(1x M1 berat 1 Kg)</t>
    </r>
  </si>
  <si>
    <r>
      <t xml:space="preserve">●
</t>
    </r>
    <r>
      <rPr>
        <i/>
        <sz val="12"/>
        <color theme="1"/>
        <rFont val="Calibri"/>
        <family val="2"/>
      </rPr>
      <t>(2x M1 berat 1 Kg)</t>
    </r>
  </si>
  <si>
    <r>
      <t xml:space="preserve">●
</t>
    </r>
    <r>
      <rPr>
        <i/>
        <sz val="12"/>
        <color theme="1"/>
        <rFont val="Calibri"/>
        <family val="2"/>
      </rPr>
      <t>(Jika &gt; 3,500 Kg)</t>
    </r>
  </si>
  <si>
    <t>Point</t>
  </si>
  <si>
    <t>TAHAP</t>
  </si>
  <si>
    <t>KETERANGAN</t>
  </si>
  <si>
    <t>ISI FORM REQUEST PERHITUNGAN BIAYA PERJALANAN DINAS</t>
  </si>
  <si>
    <t>ISI FORM SUMMARY PERBANDINGAN PERJALANAN DINAS KEMUDIAN DI SERAHKAN KE USER</t>
  </si>
  <si>
    <t>PROSES PEMESANAN TIKET / ARMADA &amp; HOTEL</t>
  </si>
  <si>
    <t>PROSES PEMBUATAN PR UPD (yang harus cair sebelum dilaksanakannya perjalanan dinas)</t>
  </si>
  <si>
    <t>PROSES PEMBUATAN PR TIKET / ARMADA &amp; HOTEL</t>
  </si>
  <si>
    <t>EMAIL SPD KE-HR (cc FA)</t>
  </si>
  <si>
    <t>WHO</t>
  </si>
  <si>
    <t>User</t>
  </si>
  <si>
    <t>GA</t>
  </si>
  <si>
    <t>INFORMASI KUNJUNGAN PERJALANAN DINAS KE- GA AFFILIATE TUJUAN</t>
  </si>
  <si>
    <t>~ TIME TABLE PERSIAPAN PERJALANAN DINAS</t>
  </si>
  <si>
    <t>Date</t>
  </si>
  <si>
    <t>TIME LIMIT (ke-GA)</t>
  </si>
  <si>
    <t>H-10 sebelum hari-H</t>
  </si>
  <si>
    <t>H-13 sebelum hari-H</t>
  </si>
  <si>
    <t>H-15 sebelum hari-H</t>
  </si>
  <si>
    <t>H-1 sebelum hari-H</t>
  </si>
  <si>
    <t>H-7 sebelum hari-H</t>
  </si>
  <si>
    <t>H-8 sebelum hari-H</t>
  </si>
  <si>
    <t>di isi oleh GA</t>
  </si>
  <si>
    <t xml:space="preserve">ATUR &amp; KONFIRMASI PENJEMPUTAN </t>
  </si>
  <si>
    <t>plan</t>
  </si>
  <si>
    <t>actual</t>
  </si>
  <si>
    <t>AIR PORT</t>
  </si>
  <si>
    <t>NOTE : Standar transportasi berdasarkan Prosedur Perjalanan Dinas (PGA-GA.PD.02)</t>
  </si>
  <si>
    <t>NOTE : Standar penginapan berdasarkan Prosedur Perjalanan Dinas (PGA-GA.PD.02)</t>
  </si>
  <si>
    <t>MEMINTA APPROVAL SAMPAI DENGAN PRESDIR DAN MGR FA KEMUDIAN FORM DI SERAHKAN KE GA</t>
  </si>
  <si>
    <t>: 083/PGA/GS/FORM/RPBPD</t>
  </si>
  <si>
    <t>Date :</t>
  </si>
  <si>
    <r>
      <t>H</t>
    </r>
    <r>
      <rPr>
        <sz val="14"/>
        <color theme="1"/>
        <rFont val="Calibri"/>
        <family val="2"/>
        <scheme val="minor"/>
      </rPr>
      <t>+</t>
    </r>
    <r>
      <rPr>
        <sz val="12"/>
        <color theme="1"/>
        <rFont val="Calibri"/>
        <family val="2"/>
        <scheme val="minor"/>
      </rPr>
      <t>7 setelah Issued Tiket (point no.4)</t>
    </r>
  </si>
  <si>
    <t>APPROVED</t>
  </si>
  <si>
    <t>: 04-07-2024</t>
  </si>
  <si>
    <t>Hari Senin 1 Minggu sebelum hari-H (08:00)</t>
  </si>
  <si>
    <t>SPV</t>
  </si>
  <si>
    <t>LNA</t>
  </si>
  <si>
    <t>WIN</t>
  </si>
  <si>
    <t>Add Actual UPD</t>
  </si>
  <si>
    <t>New Format</t>
  </si>
  <si>
    <t>Update Tgl Masa Berlaku &amp; Rev. No. Dok.</t>
  </si>
  <si>
    <t>Penggabungan approval perjalanan dinas</t>
  </si>
  <si>
    <r>
      <rPr>
        <b/>
        <sz val="11"/>
        <color theme="1"/>
        <rFont val="Calibri"/>
        <family val="2"/>
        <scheme val="minor"/>
      </rPr>
      <t>Referensi Prosedur/WI/OS/IS/ :</t>
    </r>
    <r>
      <rPr>
        <sz val="11"/>
        <color theme="1"/>
        <rFont val="Calibri"/>
        <family val="2"/>
        <scheme val="minor"/>
      </rPr>
      <t xml:space="preserve">
PGA-GA.PD.02 : Prosedur Perjalanan Dinas</t>
    </r>
  </si>
  <si>
    <t>Yes</t>
  </si>
  <si>
    <t>TOTAL</t>
  </si>
  <si>
    <t>PRICE</t>
  </si>
  <si>
    <t>QTY NIGHT</t>
  </si>
  <si>
    <t>QTY ROOM</t>
  </si>
  <si>
    <t>ROOM</t>
  </si>
  <si>
    <t>Check Out</t>
  </si>
  <si>
    <t>Check In</t>
  </si>
  <si>
    <t>HARGA</t>
  </si>
  <si>
    <t>KET ROOM</t>
  </si>
  <si>
    <t>PERIODE</t>
  </si>
  <si>
    <t>BIAYA OPERATIONAL MOBIL</t>
  </si>
  <si>
    <t>GRAB CAR</t>
  </si>
  <si>
    <t>Parkir (Estimasi)</t>
  </si>
  <si>
    <t>Tol (Estimasi)</t>
  </si>
  <si>
    <t>BBM (Estimasi)</t>
  </si>
  <si>
    <t>Overtime Driver (Estimasi)</t>
  </si>
  <si>
    <t>Uang Inap</t>
  </si>
  <si>
    <t>Fee Luar Kota Driver</t>
  </si>
  <si>
    <t xml:space="preserve">Biaya Antar Ambil </t>
  </si>
  <si>
    <t>JML BIAYA</t>
  </si>
  <si>
    <t>JML HARI</t>
  </si>
  <si>
    <t>ITEM</t>
  </si>
  <si>
    <t>NO.</t>
  </si>
  <si>
    <t>BIAYA SEWA UNIT</t>
  </si>
  <si>
    <t>2.2 MOBIL / LOCAL TRANSPORT</t>
  </si>
  <si>
    <t>PULANG</t>
  </si>
  <si>
    <t>BERANGKAT</t>
  </si>
  <si>
    <t>JUMLAH</t>
  </si>
  <si>
    <t>QTY</t>
  </si>
  <si>
    <t>SCHEDULE</t>
  </si>
  <si>
    <t>KERETA</t>
  </si>
  <si>
    <t>2.1 PESAWAT</t>
  </si>
  <si>
    <r>
      <t>2. TRANSPORTASI</t>
    </r>
    <r>
      <rPr>
        <i/>
        <sz val="12"/>
        <color theme="1"/>
        <rFont val="Calibri"/>
        <family val="2"/>
        <scheme val="minor"/>
      </rPr>
      <t xml:space="preserve">      </t>
    </r>
    <r>
      <rPr>
        <i/>
        <u/>
        <sz val="12"/>
        <color theme="1"/>
        <rFont val="Calibri"/>
        <family val="2"/>
        <scheme val="minor"/>
      </rPr>
      <t>(PIC Perjalanan Dinas tanda tangan pada kolom transportasi yang dipilih atau yang diajukan)</t>
    </r>
  </si>
  <si>
    <t>UPD</t>
  </si>
  <si>
    <t>GOL</t>
  </si>
  <si>
    <t>:</t>
  </si>
  <si>
    <t>Rincian Golongan</t>
  </si>
  <si>
    <t>DINNER</t>
  </si>
  <si>
    <t>LUNCH</t>
  </si>
  <si>
    <t>UANG SAKU</t>
  </si>
  <si>
    <t>NOTE : Standar UPD Dalam Negeri berdasarkan Prosedur Perjalanan Dinas (PGA-GA.PD.02)</t>
  </si>
  <si>
    <t>1. UPD</t>
  </si>
  <si>
    <t xml:space="preserve">LAMPIRAN (Rincian) </t>
  </si>
  <si>
    <t>RENNY</t>
  </si>
  <si>
    <t>: 10-07-2024</t>
  </si>
  <si>
    <t>: 2 / 2</t>
  </si>
  <si>
    <t>HALAMAN</t>
  </si>
  <si>
    <t>: 4</t>
  </si>
  <si>
    <t>: 11-07-2023</t>
  </si>
  <si>
    <t>SURAT PERJALANAN DINAS DALAM NEGERI</t>
  </si>
  <si>
    <t>: 023/PGA/GA/FORM/SPDDN</t>
  </si>
  <si>
    <t>PT. SEMARANG AUTOCOMP MANUFACTURING INDONESIA - TUGU FACTORY</t>
  </si>
  <si>
    <t>BRI</t>
  </si>
  <si>
    <t>6.
MENGETAHUI
MGR FA</t>
  </si>
  <si>
    <r>
      <rPr>
        <b/>
        <u/>
        <sz val="18"/>
        <color theme="1"/>
        <rFont val="Times New Roman"/>
        <family val="1"/>
      </rPr>
      <t>NOTE :</t>
    </r>
    <r>
      <rPr>
        <b/>
        <sz val="14"/>
        <color theme="1"/>
        <rFont val="Times New Roman"/>
        <family val="1"/>
      </rPr>
      <t xml:space="preserve">
</t>
    </r>
    <r>
      <rPr>
        <sz val="14"/>
        <color theme="1"/>
        <rFont val="Times New Roman"/>
        <family val="1"/>
      </rPr>
      <t>1. Ket. Budget di isi bulan periode budget atau di tulis "additional" jika additional budget
2. Approval diproses oleh User
3. Approval pada form ini akan digunakan sebagai jaminan GA dalam melakukan proses issued ticket dan hotel sebelum user melakukan pembuatan PR (purchase requisition).
4. Pembuatan PR setelah proses issued bertujuan agar tidak terjadi selisih harga PR (purchase requisition) dengan actual.</t>
    </r>
  </si>
  <si>
    <t>SUB TOTAL</t>
  </si>
  <si>
    <t xml:space="preserve"> </t>
  </si>
  <si>
    <t>PERIODE BUDGET</t>
  </si>
  <si>
    <t>ESTIMATED
PRICE</t>
  </si>
  <si>
    <t>NO. REKENING</t>
  </si>
  <si>
    <t>UANG CADANGAN</t>
  </si>
  <si>
    <t>HOTEL</t>
  </si>
  <si>
    <t>TRANSPORTASI</t>
  </si>
  <si>
    <t>2. BIAYA PERJALANAN DINAS</t>
  </si>
  <si>
    <t>NKA</t>
  </si>
  <si>
    <t>PRESDIR</t>
  </si>
  <si>
    <t>FM / DFM</t>
  </si>
  <si>
    <t>MGR</t>
  </si>
  <si>
    <t>YANG MENERIMA PERINTAH</t>
  </si>
  <si>
    <t>1. PESERTA</t>
  </si>
  <si>
    <t>: 1/2</t>
  </si>
  <si>
    <t>PAN</t>
  </si>
  <si>
    <t>NYP</t>
  </si>
  <si>
    <t>MIS</t>
  </si>
  <si>
    <t>* Lokal Transport : 200.000/orang</t>
  </si>
  <si>
    <t>* Laundry : 100.000/day</t>
  </si>
  <si>
    <t>: PEMI</t>
  </si>
  <si>
    <t>: TRAINING JISHUKEN</t>
  </si>
  <si>
    <t>NYS/PI</t>
  </si>
  <si>
    <t>COORD. SPV</t>
  </si>
  <si>
    <t>NANANG YUDI PRASETYO</t>
  </si>
  <si>
    <t>ADITYA FAHRIZAL</t>
  </si>
  <si>
    <t>AFA</t>
  </si>
  <si>
    <t>PESAWAT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</si>
</sst>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1">
    <numFmt numFmtId="164" formatCode="_(* #,##0_);_(* \(#,##0\);_(* &quot;-&quot;_);_(@_)"/>
    <numFmt numFmtId="165" formatCode="[$-13809]dd\ mmmm\ yyyy;@"/>
    <numFmt numFmtId="166" formatCode="[$-409]d\-mmm;@"/>
    <numFmt numFmtId="167" formatCode="[$-409]dd\-mmm\-yy;@"/>
    <numFmt numFmtId="168" formatCode="_(* #,##0_);_(* \(#,##0\);_(* &quot;-&quot;??_);_(@_)"/>
    <numFmt numFmtId="169" formatCode="_(* #,##0.00_);_(* \(#,##0.00\);_(* &quot;-&quot;??_);_(@_)"/>
    <numFmt numFmtId="170" formatCode="[$-409]d\-mmm\-yy;@"/>
    <numFmt numFmtId="171" formatCode="_-[$Rp-421]* #,##0_-;\-[$Rp-421]* #,##0_-;_-[$Rp-421]* &quot;-&quot;??_-;_-@_-"/>
    <numFmt numFmtId="172" formatCode="[$-F800]dddd\,\ mmmm\ dd\,\ yyyy"/>
    <numFmt numFmtId="173" formatCode="_-[$Rp-421]* #,##0_-;\-[$Rp-421]* #,##0_-;_-[$Rp-421]* &quot;-&quot;_-;_-@_-"/>
    <numFmt numFmtId="174" formatCode="[$-13809]d\ mmm\ yyyy;@"/>
  </numFmts>
  <fonts count="67" x14ac:knownFonts="1">
    <font>
      <sz val="11"/>
      <color theme="1"/>
      <name val="Calibri"/>
      <family val="2"/>
      <scheme val="minor"/>
    </font>
    <font>
      <sz val="11"/>
      <color theme="1"/>
      <name val="Calibri"/>
      <family val="2"/>
      <scheme val="minor"/>
    </font>
    <font>
      <b/>
      <sz val="11"/>
      <color theme="1"/>
      <name val="Calibri"/>
      <family val="2"/>
      <scheme val="minor"/>
    </font>
    <font>
      <sz val="10"/>
      <color theme="1"/>
      <name val="Calibri"/>
      <family val="2"/>
      <scheme val="minor"/>
    </font>
    <font>
      <sz val="12"/>
      <color theme="1"/>
      <name val="Calibri"/>
      <family val="2"/>
      <scheme val="minor"/>
    </font>
    <font>
      <b/>
      <sz val="14"/>
      <color theme="1"/>
      <name val="Calibri"/>
      <family val="2"/>
      <scheme val="minor"/>
    </font>
    <font>
      <b/>
      <sz val="12"/>
      <color theme="1"/>
      <name val="Calibri"/>
      <family val="2"/>
      <scheme val="minor"/>
    </font>
    <font>
      <b/>
      <sz val="16"/>
      <color theme="1"/>
      <name val="Calibri"/>
      <family val="2"/>
      <scheme val="minor"/>
    </font>
    <font>
      <b/>
      <i/>
      <sz val="11"/>
      <color theme="1"/>
      <name val="Calibri"/>
      <family val="2"/>
      <scheme val="minor"/>
    </font>
    <font>
      <b/>
      <i/>
      <sz val="12"/>
      <color theme="1"/>
      <name val="Calibri"/>
      <family val="2"/>
      <scheme val="minor"/>
    </font>
    <font>
      <b/>
      <sz val="11"/>
      <color rgb="FF0000CC"/>
      <name val="Comic Sans MS"/>
      <family val="4"/>
    </font>
    <font>
      <b/>
      <sz val="12"/>
      <color rgb="FF0000CC"/>
      <name val="Comic Sans MS"/>
      <family val="4"/>
    </font>
    <font>
      <i/>
      <sz val="9"/>
      <color theme="1"/>
      <name val="Calibri"/>
      <family val="2"/>
      <scheme val="minor"/>
    </font>
    <font>
      <b/>
      <i/>
      <sz val="10"/>
      <color theme="1"/>
      <name val="Calibri"/>
      <family val="2"/>
      <scheme val="minor"/>
    </font>
    <font>
      <b/>
      <i/>
      <sz val="12"/>
      <color theme="1"/>
      <name val="Calibri"/>
      <family val="2"/>
    </font>
    <font>
      <i/>
      <sz val="12"/>
      <color theme="1"/>
      <name val="Calibri"/>
      <family val="2"/>
      <scheme val="minor"/>
    </font>
    <font>
      <i/>
      <sz val="12"/>
      <color theme="1"/>
      <name val="Calibri"/>
      <family val="2"/>
    </font>
    <font>
      <b/>
      <sz val="10"/>
      <color theme="1"/>
      <name val="Calibri"/>
      <family val="2"/>
      <scheme val="minor"/>
    </font>
    <font>
      <b/>
      <sz val="9"/>
      <color rgb="FFFF0000"/>
      <name val="Calibri"/>
      <family val="2"/>
      <scheme val="minor"/>
    </font>
    <font>
      <b/>
      <i/>
      <u/>
      <sz val="12"/>
      <color theme="1"/>
      <name val="Calibri"/>
      <family val="2"/>
      <scheme val="minor"/>
    </font>
    <font>
      <u/>
      <sz val="12"/>
      <color theme="1"/>
      <name val="Calibri"/>
      <family val="2"/>
      <scheme val="minor"/>
    </font>
    <font>
      <sz val="14"/>
      <color theme="1"/>
      <name val="Calibri"/>
      <family val="2"/>
      <scheme val="minor"/>
    </font>
    <font>
      <sz val="12"/>
      <color rgb="FF0000CC"/>
      <name val="Calibri"/>
      <family val="2"/>
      <scheme val="minor"/>
    </font>
    <font>
      <b/>
      <sz val="18"/>
      <color theme="1"/>
      <name val="Calibri"/>
      <family val="2"/>
      <scheme val="minor"/>
    </font>
    <font>
      <sz val="10"/>
      <name val="Arial"/>
      <family val="2"/>
    </font>
    <font>
      <sz val="12"/>
      <color theme="1"/>
      <name val="Comic Sans MS"/>
      <family val="4"/>
    </font>
    <font>
      <sz val="12"/>
      <color rgb="FF0000CC"/>
      <name val="Comic Sans MS"/>
      <family val="4"/>
    </font>
    <font>
      <b/>
      <sz val="10"/>
      <color rgb="FFFF0000"/>
      <name val="Calibri"/>
      <family val="2"/>
      <scheme val="minor"/>
    </font>
    <font>
      <sz val="14"/>
      <color rgb="FF0000CC"/>
      <name val="Calibri"/>
      <family val="2"/>
      <scheme val="minor"/>
    </font>
    <font>
      <sz val="14"/>
      <color theme="0"/>
      <name val="Calibri"/>
      <family val="2"/>
      <scheme val="minor"/>
    </font>
    <font>
      <b/>
      <sz val="12"/>
      <color rgb="FF0000CC"/>
      <name val="Calibri"/>
      <family val="2"/>
      <scheme val="minor"/>
    </font>
    <font>
      <b/>
      <sz val="14"/>
      <color rgb="FF0000CC"/>
      <name val="Calibri"/>
      <family val="2"/>
      <scheme val="minor"/>
    </font>
    <font>
      <sz val="14"/>
      <name val="Calibri"/>
      <family val="2"/>
      <scheme val="minor"/>
    </font>
    <font>
      <b/>
      <sz val="14"/>
      <color rgb="FFFF0000"/>
      <name val="Calibri"/>
      <family val="2"/>
      <scheme val="minor"/>
    </font>
    <font>
      <b/>
      <u/>
      <sz val="14"/>
      <color theme="1"/>
      <name val="Calibri"/>
      <family val="2"/>
      <scheme val="minor"/>
    </font>
    <font>
      <i/>
      <u/>
      <sz val="12"/>
      <color theme="1"/>
      <name val="Calibri"/>
      <family val="2"/>
      <scheme val="minor"/>
    </font>
    <font>
      <b/>
      <sz val="14"/>
      <color theme="0"/>
      <name val="Calibri"/>
      <family val="2"/>
      <scheme val="minor"/>
    </font>
    <font>
      <i/>
      <sz val="14"/>
      <color theme="1"/>
      <name val="Calibri"/>
      <family val="2"/>
      <scheme val="minor"/>
    </font>
    <font>
      <b/>
      <i/>
      <sz val="14"/>
      <color theme="1"/>
      <name val="Calibri"/>
      <family val="2"/>
      <scheme val="minor"/>
    </font>
    <font>
      <b/>
      <sz val="14"/>
      <color rgb="FF0000CC"/>
      <name val="Comic Sans MS"/>
      <family val="4"/>
    </font>
    <font>
      <i/>
      <sz val="11"/>
      <color theme="1"/>
      <name val="Calibri"/>
      <family val="2"/>
      <scheme val="minor"/>
    </font>
    <font>
      <sz val="12"/>
      <color theme="1"/>
      <name val="Times New Roman"/>
      <family val="1"/>
    </font>
    <font>
      <sz val="10"/>
      <color theme="1"/>
      <name val="Times New Roman"/>
      <family val="1"/>
    </font>
    <font>
      <b/>
      <sz val="12"/>
      <color theme="1"/>
      <name val="Times New Roman"/>
      <family val="1"/>
    </font>
    <font>
      <sz val="12"/>
      <name val="Times New Roman"/>
      <family val="1"/>
    </font>
    <font>
      <b/>
      <sz val="14"/>
      <color theme="1"/>
      <name val="Times New Roman"/>
      <family val="1"/>
    </font>
    <font>
      <sz val="11"/>
      <color theme="1"/>
      <name val="Times New Roman"/>
      <family val="1"/>
    </font>
    <font>
      <b/>
      <sz val="18"/>
      <color theme="1"/>
      <name val="Times New Roman"/>
      <family val="1"/>
    </font>
    <font>
      <b/>
      <u/>
      <sz val="18"/>
      <color theme="1"/>
      <name val="Times New Roman"/>
      <family val="1"/>
    </font>
    <font>
      <sz val="14"/>
      <color theme="1"/>
      <name val="Times New Roman"/>
      <family val="1"/>
    </font>
    <font>
      <sz val="16"/>
      <color theme="1"/>
      <name val="Times New Roman"/>
      <family val="1"/>
    </font>
    <font>
      <b/>
      <sz val="16"/>
      <color theme="1"/>
      <name val="Times New Roman"/>
      <family val="1"/>
    </font>
    <font>
      <b/>
      <sz val="20"/>
      <color rgb="FF0000CC"/>
      <name val="Times New Roman"/>
      <family val="1"/>
    </font>
    <font>
      <b/>
      <sz val="16"/>
      <color rgb="FF0000CC"/>
      <name val="Times New Roman"/>
      <family val="1"/>
    </font>
    <font>
      <sz val="14"/>
      <color rgb="FF0000CC"/>
      <name val="Times New Roman"/>
      <family val="1"/>
    </font>
    <font>
      <b/>
      <sz val="12"/>
      <color rgb="FF0000CC"/>
      <name val="Times New Roman"/>
      <family val="1"/>
    </font>
    <font>
      <b/>
      <sz val="14"/>
      <color rgb="FF0000CC"/>
      <name val="Times New Roman"/>
      <family val="1"/>
    </font>
    <font>
      <sz val="16"/>
      <color rgb="FF0000CC"/>
      <name val="Times New Roman"/>
      <family val="1"/>
    </font>
    <font>
      <sz val="14"/>
      <name val="Times New Roman"/>
      <family val="1"/>
    </font>
    <font>
      <b/>
      <u/>
      <sz val="20"/>
      <color theme="1"/>
      <name val="Times New Roman"/>
      <family val="1"/>
    </font>
    <font>
      <i/>
      <sz val="14"/>
      <color rgb="FF0000CC"/>
      <name val="Times New Roman"/>
      <family val="1"/>
    </font>
    <font>
      <b/>
      <sz val="10"/>
      <color theme="1"/>
      <name val="Times New Roman"/>
      <family val="1"/>
    </font>
    <font>
      <b/>
      <sz val="20"/>
      <color theme="1"/>
      <name val="Times New Roman"/>
      <family val="1"/>
    </font>
    <font>
      <sz val="20"/>
      <color theme="1"/>
      <name val="Times New Roman"/>
      <family val="1"/>
    </font>
    <font>
      <b/>
      <sz val="16"/>
      <color rgb="FF0000CC"/>
      <name val="Comic Sans MS"/>
      <family val="4"/>
    </font>
    <font>
      <sz val="10"/>
      <name val="Arial Narrow"/>
      <family val="2"/>
    </font>
    <font>
      <sz val="10"/>
      <color rgb="FF0000CC"/>
      <name val="Times New Roman"/>
      <family val="1"/>
    </font>
  </fonts>
  <fills count="10">
    <fill>
      <patternFill patternType="none"/>
    </fill>
    <fill>
      <patternFill patternType="gray125"/>
    </fill>
    <fill>
      <patternFill patternType="solid">
        <fgColor theme="2" tint="-9.9978637043366805E-2"/>
        <bgColor indexed="64"/>
      </patternFill>
    </fill>
    <fill>
      <patternFill patternType="solid">
        <fgColor theme="2" tint="-0.249977111117893"/>
        <bgColor indexed="64"/>
      </patternFill>
    </fill>
    <fill>
      <patternFill patternType="solid">
        <fgColor theme="0" tint="-0.34998626667073579"/>
        <bgColor indexed="64"/>
      </patternFill>
    </fill>
    <fill>
      <patternFill patternType="solid">
        <fgColor rgb="FFFFFF00"/>
        <bgColor indexed="64"/>
      </patternFill>
    </fill>
    <fill>
      <patternFill patternType="solid">
        <fgColor theme="8"/>
        <bgColor indexed="64"/>
      </patternFill>
    </fill>
    <fill>
      <patternFill patternType="solid">
        <fgColor theme="0" tint="-0.249977111117893"/>
        <bgColor indexed="64"/>
      </patternFill>
    </fill>
    <fill>
      <patternFill patternType="solid">
        <fgColor rgb="FFFFC000"/>
        <bgColor indexed="64"/>
      </patternFill>
    </fill>
    <fill>
      <patternFill patternType="solid">
        <fgColor rgb="FFFFFFCC"/>
        <bgColor indexed="64"/>
      </patternFill>
    </fill>
  </fills>
  <borders count="53">
    <border>
      <left/>
      <right/>
      <top/>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bottom/>
      <diagonal/>
    </border>
    <border>
      <left/>
      <right/>
      <top/>
      <bottom style="hair">
        <color auto="1"/>
      </bottom>
      <diagonal/>
    </border>
    <border>
      <left/>
      <right/>
      <top style="hair">
        <color auto="1"/>
      </top>
      <bottom style="hair">
        <color auto="1"/>
      </bottom>
      <diagonal/>
    </border>
    <border>
      <left/>
      <right style="thin">
        <color indexed="64"/>
      </right>
      <top/>
      <bottom/>
      <diagonal/>
    </border>
    <border>
      <left style="thin">
        <color indexed="64"/>
      </left>
      <right style="thin">
        <color indexed="64"/>
      </right>
      <top style="thin">
        <color indexed="64"/>
      </top>
      <bottom style="double">
        <color indexed="64"/>
      </bottom>
      <diagonal/>
    </border>
    <border>
      <left style="thin">
        <color indexed="64"/>
      </left>
      <right style="thin">
        <color indexed="64"/>
      </right>
      <top/>
      <bottom style="double">
        <color indexed="64"/>
      </bottom>
      <diagonal/>
    </border>
    <border>
      <left style="thin">
        <color indexed="64"/>
      </left>
      <right/>
      <top/>
      <bottom style="double">
        <color indexed="64"/>
      </bottom>
      <diagonal/>
    </border>
    <border>
      <left/>
      <right style="thin">
        <color indexed="64"/>
      </right>
      <top/>
      <bottom style="double">
        <color indexed="64"/>
      </bottom>
      <diagonal/>
    </border>
    <border>
      <left style="thin">
        <color indexed="64"/>
      </left>
      <right/>
      <top style="thin">
        <color indexed="64"/>
      </top>
      <bottom style="double">
        <color indexed="64"/>
      </bottom>
      <diagonal/>
    </border>
    <border>
      <left/>
      <right style="thin">
        <color indexed="64"/>
      </right>
      <top style="thin">
        <color indexed="64"/>
      </top>
      <bottom style="double">
        <color indexed="64"/>
      </bottom>
      <diagonal/>
    </border>
    <border>
      <left style="thin">
        <color indexed="64"/>
      </left>
      <right style="thin">
        <color indexed="64"/>
      </right>
      <top style="double">
        <color indexed="64"/>
      </top>
      <bottom style="double">
        <color indexed="64"/>
      </bottom>
      <diagonal/>
    </border>
    <border>
      <left style="thin">
        <color indexed="64"/>
      </left>
      <right style="thin">
        <color indexed="64"/>
      </right>
      <top/>
      <bottom/>
      <diagonal/>
    </border>
    <border>
      <left style="thin">
        <color indexed="64"/>
      </left>
      <right/>
      <top style="double">
        <color indexed="64"/>
      </top>
      <bottom style="double">
        <color indexed="64"/>
      </bottom>
      <diagonal/>
    </border>
    <border>
      <left/>
      <right style="thin">
        <color indexed="64"/>
      </right>
      <top style="double">
        <color indexed="64"/>
      </top>
      <bottom style="double">
        <color indexed="64"/>
      </bottom>
      <diagonal/>
    </border>
    <border>
      <left/>
      <right/>
      <top/>
      <bottom style="double">
        <color indexed="64"/>
      </bottom>
      <diagonal/>
    </border>
    <border>
      <left style="thin">
        <color indexed="64"/>
      </left>
      <right/>
      <top style="thin">
        <color indexed="64"/>
      </top>
      <bottom style="hair">
        <color indexed="64"/>
      </bottom>
      <diagonal/>
    </border>
    <border>
      <left/>
      <right/>
      <top style="thin">
        <color indexed="64"/>
      </top>
      <bottom style="hair">
        <color indexed="64"/>
      </bottom>
      <diagonal/>
    </border>
    <border>
      <left/>
      <right style="thin">
        <color indexed="64"/>
      </right>
      <top style="thin">
        <color indexed="64"/>
      </top>
      <bottom style="hair">
        <color indexed="64"/>
      </bottom>
      <diagonal/>
    </border>
    <border>
      <left style="thin">
        <color indexed="64"/>
      </left>
      <right/>
      <top style="hair">
        <color indexed="64"/>
      </top>
      <bottom style="hair">
        <color indexed="64"/>
      </bottom>
      <diagonal/>
    </border>
    <border>
      <left/>
      <right style="thin">
        <color indexed="64"/>
      </right>
      <top style="hair">
        <color indexed="64"/>
      </top>
      <bottom style="hair">
        <color indexed="64"/>
      </bottom>
      <diagonal/>
    </border>
    <border>
      <left style="thin">
        <color indexed="64"/>
      </left>
      <right/>
      <top style="hair">
        <color indexed="64"/>
      </top>
      <bottom style="thin">
        <color indexed="64"/>
      </bottom>
      <diagonal/>
    </border>
    <border>
      <left/>
      <right/>
      <top style="hair">
        <color indexed="64"/>
      </top>
      <bottom style="thin">
        <color indexed="64"/>
      </bottom>
      <diagonal/>
    </border>
    <border>
      <left/>
      <right style="thin">
        <color indexed="64"/>
      </right>
      <top style="hair">
        <color indexed="64"/>
      </top>
      <bottom style="thin">
        <color indexed="64"/>
      </bottom>
      <diagonal/>
    </border>
    <border>
      <left style="thin">
        <color indexed="64"/>
      </left>
      <right/>
      <top/>
      <bottom style="hair">
        <color auto="1"/>
      </bottom>
      <diagonal/>
    </border>
    <border>
      <left/>
      <right/>
      <top style="double">
        <color indexed="64"/>
      </top>
      <bottom/>
      <diagonal/>
    </border>
    <border>
      <left style="thin">
        <color indexed="64"/>
      </left>
      <right/>
      <top style="double">
        <color indexed="64"/>
      </top>
      <bottom/>
      <diagonal/>
    </border>
    <border>
      <left/>
      <right style="thin">
        <color indexed="64"/>
      </right>
      <top style="double">
        <color indexed="64"/>
      </top>
      <bottom/>
      <diagonal/>
    </border>
    <border>
      <left style="thin">
        <color indexed="64"/>
      </left>
      <right/>
      <top style="double">
        <color indexed="64"/>
      </top>
      <bottom style="thin">
        <color indexed="64"/>
      </bottom>
      <diagonal/>
    </border>
    <border>
      <left/>
      <right style="thin">
        <color indexed="64"/>
      </right>
      <top style="double">
        <color indexed="64"/>
      </top>
      <bottom style="thin">
        <color indexed="64"/>
      </bottom>
      <diagonal/>
    </border>
    <border>
      <left style="thin">
        <color indexed="64"/>
      </left>
      <right style="thin">
        <color indexed="64"/>
      </right>
      <top style="double">
        <color indexed="64"/>
      </top>
      <bottom style="thin">
        <color indexed="64"/>
      </bottom>
      <diagonal/>
    </border>
    <border>
      <left/>
      <right/>
      <top style="double">
        <color indexed="64"/>
      </top>
      <bottom style="thin">
        <color indexed="64"/>
      </bottom>
      <diagonal/>
    </border>
    <border>
      <left/>
      <right style="thin">
        <color indexed="64"/>
      </right>
      <top/>
      <bottom style="thick">
        <color indexed="64"/>
      </bottom>
      <diagonal/>
    </border>
    <border>
      <left/>
      <right/>
      <top/>
      <bottom style="thick">
        <color auto="1"/>
      </bottom>
      <diagonal/>
    </border>
    <border>
      <left style="thin">
        <color indexed="64"/>
      </left>
      <right/>
      <top/>
      <bottom style="thick">
        <color indexed="64"/>
      </bottom>
      <diagonal/>
    </border>
    <border>
      <left/>
      <right style="thin">
        <color indexed="64"/>
      </right>
      <top style="thick">
        <color indexed="64"/>
      </top>
      <bottom/>
      <diagonal/>
    </border>
    <border>
      <left/>
      <right/>
      <top style="thick">
        <color indexed="64"/>
      </top>
      <bottom/>
      <diagonal/>
    </border>
    <border>
      <left style="thin">
        <color indexed="64"/>
      </left>
      <right/>
      <top style="thick">
        <color indexed="64"/>
      </top>
      <bottom/>
      <diagonal/>
    </border>
    <border>
      <left/>
      <right style="thin">
        <color indexed="64"/>
      </right>
      <top style="hair">
        <color indexed="64"/>
      </top>
      <bottom/>
      <diagonal/>
    </border>
    <border>
      <left/>
      <right/>
      <top style="hair">
        <color auto="1"/>
      </top>
      <bottom/>
      <diagonal/>
    </border>
    <border>
      <left/>
      <right/>
      <top style="thin">
        <color indexed="64"/>
      </top>
      <bottom style="double">
        <color indexed="64"/>
      </bottom>
      <diagonal/>
    </border>
  </borders>
  <cellStyleXfs count="6">
    <xf numFmtId="0" fontId="0" fillId="0" borderId="0"/>
    <xf numFmtId="164" fontId="1" fillId="0" borderId="0" applyFont="0" applyFill="0" applyBorder="0" applyAlignment="0" applyProtection="0"/>
    <xf numFmtId="0" fontId="1" fillId="0" borderId="0"/>
    <xf numFmtId="0" fontId="24" fillId="0" borderId="0"/>
    <xf numFmtId="169" fontId="1" fillId="0" borderId="0" applyFont="0" applyFill="0" applyBorder="0" applyAlignment="0" applyProtection="0"/>
    <xf numFmtId="0" fontId="65" fillId="0" borderId="0"/>
  </cellStyleXfs>
  <cellXfs count="769">
    <xf numFmtId="0" fontId="0" fillId="0" borderId="0" xfId="0"/>
    <xf numFmtId="0" fontId="0" fillId="0" borderId="0" xfId="0" applyAlignment="1">
      <alignment vertical="center"/>
    </xf>
    <xf numFmtId="0" fontId="0" fillId="0" borderId="0" xfId="0" applyAlignment="1">
      <alignment horizontal="center" vertical="center"/>
    </xf>
    <xf numFmtId="0" fontId="2" fillId="0" borderId="0" xfId="0" applyFont="1" applyAlignment="1">
      <alignment horizontal="center" vertical="center"/>
    </xf>
    <xf numFmtId="0" fontId="6" fillId="0" borderId="0" xfId="0" applyFont="1" applyAlignment="1">
      <alignment vertical="center"/>
    </xf>
    <xf numFmtId="0" fontId="6" fillId="0" borderId="14" xfId="0" applyFont="1" applyBorder="1" applyAlignment="1">
      <alignment vertical="center"/>
    </xf>
    <xf numFmtId="0" fontId="6" fillId="0" borderId="15" xfId="0" applyFont="1" applyBorder="1" applyAlignment="1">
      <alignment vertical="center"/>
    </xf>
    <xf numFmtId="0" fontId="6" fillId="0" borderId="0" xfId="0" applyFont="1" applyAlignment="1">
      <alignment horizontal="center" vertical="top"/>
    </xf>
    <xf numFmtId="0" fontId="2" fillId="0" borderId="0" xfId="0" applyFont="1" applyAlignment="1">
      <alignment vertical="center"/>
    </xf>
    <xf numFmtId="0" fontId="8" fillId="0" borderId="0" xfId="0" applyFont="1" applyAlignment="1">
      <alignment horizontal="center" vertical="center"/>
    </xf>
    <xf numFmtId="0" fontId="0" fillId="0" borderId="13" xfId="0" applyBorder="1" applyAlignment="1">
      <alignment vertical="center"/>
    </xf>
    <xf numFmtId="0" fontId="3" fillId="0" borderId="0" xfId="0" applyFont="1" applyAlignment="1">
      <alignment vertical="center"/>
    </xf>
    <xf numFmtId="0" fontId="4" fillId="0" borderId="0" xfId="0" applyFont="1" applyAlignment="1">
      <alignment vertical="center"/>
    </xf>
    <xf numFmtId="0" fontId="4" fillId="0" borderId="0" xfId="0" applyFont="1" applyAlignment="1">
      <alignment horizontal="center" vertical="center"/>
    </xf>
    <xf numFmtId="0" fontId="3" fillId="0" borderId="0" xfId="0" applyFont="1" applyAlignment="1">
      <alignment horizontal="center" vertical="center"/>
    </xf>
    <xf numFmtId="0" fontId="4" fillId="0" borderId="1" xfId="0" applyFont="1" applyBorder="1" applyAlignment="1">
      <alignment horizontal="center" vertical="center"/>
    </xf>
    <xf numFmtId="0" fontId="6" fillId="0" borderId="0" xfId="0" applyFont="1" applyAlignment="1">
      <alignment vertical="top"/>
    </xf>
    <xf numFmtId="0" fontId="0" fillId="0" borderId="8" xfId="0" applyBorder="1" applyAlignment="1">
      <alignment horizontal="center" vertical="center"/>
    </xf>
    <xf numFmtId="0" fontId="0" fillId="0" borderId="16" xfId="0" applyBorder="1" applyAlignment="1">
      <alignment vertical="center"/>
    </xf>
    <xf numFmtId="0" fontId="6" fillId="0" borderId="13" xfId="0" applyFont="1" applyBorder="1" applyAlignment="1">
      <alignment vertical="center"/>
    </xf>
    <xf numFmtId="0" fontId="6" fillId="0" borderId="16" xfId="0" applyFont="1" applyBorder="1" applyAlignment="1">
      <alignment vertical="center"/>
    </xf>
    <xf numFmtId="0" fontId="6" fillId="0" borderId="16" xfId="0" applyFont="1" applyBorder="1" applyAlignment="1">
      <alignment vertical="top"/>
    </xf>
    <xf numFmtId="0" fontId="5" fillId="0" borderId="0" xfId="0" applyFont="1" applyAlignment="1">
      <alignment vertical="center"/>
    </xf>
    <xf numFmtId="0" fontId="8" fillId="0" borderId="16" xfId="0" applyFont="1" applyBorder="1" applyAlignment="1">
      <alignment horizontal="center" vertical="center"/>
    </xf>
    <xf numFmtId="0" fontId="3" fillId="0" borderId="1" xfId="0" applyFont="1" applyBorder="1" applyAlignment="1">
      <alignment horizontal="center" vertical="center"/>
    </xf>
    <xf numFmtId="0" fontId="6" fillId="0" borderId="0" xfId="0" applyFont="1" applyAlignment="1">
      <alignment horizontal="center" vertical="center"/>
    </xf>
    <xf numFmtId="0" fontId="13" fillId="0" borderId="0" xfId="0" applyFont="1" applyAlignment="1">
      <alignment vertical="center"/>
    </xf>
    <xf numFmtId="0" fontId="9" fillId="3" borderId="1" xfId="0" applyFont="1" applyFill="1" applyBorder="1" applyAlignment="1">
      <alignment horizontal="center" vertical="center"/>
    </xf>
    <xf numFmtId="0" fontId="13" fillId="0" borderId="0" xfId="0" applyFont="1" applyAlignment="1">
      <alignment horizontal="center" vertical="top"/>
    </xf>
    <xf numFmtId="0" fontId="13" fillId="0" borderId="0" xfId="0" applyFont="1" applyAlignment="1">
      <alignment horizontal="left" vertical="top"/>
    </xf>
    <xf numFmtId="0" fontId="17" fillId="0" borderId="0" xfId="0" applyFont="1" applyAlignment="1">
      <alignment vertical="center"/>
    </xf>
    <xf numFmtId="0" fontId="17" fillId="0" borderId="1" xfId="0" applyFont="1" applyBorder="1" applyAlignment="1">
      <alignment horizontal="center" vertical="center"/>
    </xf>
    <xf numFmtId="0" fontId="3" fillId="0" borderId="3" xfId="0" applyFont="1" applyBorder="1" applyAlignment="1">
      <alignment horizontal="center" vertical="center"/>
    </xf>
    <xf numFmtId="0" fontId="3" fillId="0" borderId="2" xfId="0" applyFont="1" applyBorder="1" applyAlignment="1">
      <alignment horizontal="center" vertical="center"/>
    </xf>
    <xf numFmtId="0" fontId="3" fillId="0" borderId="4" xfId="0" applyFont="1" applyBorder="1" applyAlignment="1">
      <alignment horizontal="center" vertical="center"/>
    </xf>
    <xf numFmtId="0" fontId="13" fillId="0" borderId="13" xfId="0" applyFont="1" applyBorder="1" applyAlignment="1">
      <alignment horizontal="center" vertical="top"/>
    </xf>
    <xf numFmtId="0" fontId="6" fillId="4" borderId="18" xfId="0" applyFont="1" applyFill="1" applyBorder="1" applyAlignment="1">
      <alignment horizontal="center" vertical="center"/>
    </xf>
    <xf numFmtId="0" fontId="4" fillId="0" borderId="6" xfId="0" applyFont="1" applyBorder="1" applyAlignment="1">
      <alignment horizontal="center" vertical="center"/>
    </xf>
    <xf numFmtId="0" fontId="9" fillId="2" borderId="1" xfId="0" applyFont="1" applyFill="1" applyBorder="1" applyAlignment="1">
      <alignment horizontal="center" vertical="top"/>
    </xf>
    <xf numFmtId="0" fontId="6" fillId="4" borderId="1" xfId="0" applyFont="1" applyFill="1" applyBorder="1" applyAlignment="1">
      <alignment horizontal="center" vertical="center" wrapText="1"/>
    </xf>
    <xf numFmtId="0" fontId="6" fillId="4" borderId="19" xfId="0" applyFont="1" applyFill="1" applyBorder="1" applyAlignment="1">
      <alignment horizontal="center" vertical="center" wrapText="1"/>
    </xf>
    <xf numFmtId="0" fontId="6" fillId="4" borderId="18" xfId="0" applyFont="1" applyFill="1" applyBorder="1" applyAlignment="1">
      <alignment horizontal="center" vertical="center" wrapText="1"/>
    </xf>
    <xf numFmtId="0" fontId="5" fillId="0" borderId="14" xfId="0" applyFont="1" applyBorder="1" applyAlignment="1">
      <alignment horizontal="center" vertical="center"/>
    </xf>
    <xf numFmtId="0" fontId="5" fillId="0" borderId="15" xfId="0" applyFont="1" applyBorder="1" applyAlignment="1">
      <alignment horizontal="center" vertical="center"/>
    </xf>
    <xf numFmtId="0" fontId="3" fillId="0" borderId="27" xfId="0" applyFont="1" applyBorder="1" applyAlignment="1">
      <alignment horizontal="left" vertical="center"/>
    </xf>
    <xf numFmtId="0" fontId="13" fillId="0" borderId="27" xfId="0" applyFont="1" applyBorder="1" applyAlignment="1">
      <alignment horizontal="left" vertical="top"/>
    </xf>
    <xf numFmtId="0" fontId="13" fillId="0" borderId="27" xfId="0" applyFont="1" applyBorder="1" applyAlignment="1">
      <alignment horizontal="center" vertical="top"/>
    </xf>
    <xf numFmtId="0" fontId="13" fillId="0" borderId="27" xfId="0" applyFont="1" applyBorder="1" applyAlignment="1">
      <alignment vertical="center"/>
    </xf>
    <xf numFmtId="0" fontId="10" fillId="0" borderId="13" xfId="0" applyFont="1" applyBorder="1" applyAlignment="1">
      <alignment vertical="center"/>
    </xf>
    <xf numFmtId="0" fontId="5" fillId="0" borderId="36" xfId="0" applyFont="1" applyBorder="1" applyAlignment="1">
      <alignment vertical="center"/>
    </xf>
    <xf numFmtId="0" fontId="5" fillId="0" borderId="31" xfId="0" applyFont="1" applyBorder="1" applyAlignment="1">
      <alignment vertical="center"/>
    </xf>
    <xf numFmtId="0" fontId="7" fillId="0" borderId="13" xfId="0" applyFont="1" applyBorder="1" applyAlignment="1">
      <alignment vertical="center"/>
    </xf>
    <xf numFmtId="0" fontId="5" fillId="0" borderId="13" xfId="0" applyFont="1" applyBorder="1" applyAlignment="1">
      <alignment vertical="center"/>
    </xf>
    <xf numFmtId="0" fontId="4" fillId="0" borderId="16" xfId="0" applyFont="1" applyBorder="1" applyAlignment="1">
      <alignment vertical="center"/>
    </xf>
    <xf numFmtId="0" fontId="15" fillId="0" borderId="13" xfId="0" applyFont="1" applyBorder="1"/>
    <xf numFmtId="0" fontId="13" fillId="0" borderId="16" xfId="0" applyFont="1" applyBorder="1" applyAlignment="1">
      <alignment vertical="center"/>
    </xf>
    <xf numFmtId="0" fontId="17" fillId="0" borderId="16" xfId="0" applyFont="1" applyBorder="1" applyAlignment="1">
      <alignment vertical="center"/>
    </xf>
    <xf numFmtId="0" fontId="3" fillId="0" borderId="16" xfId="0" applyFont="1" applyBorder="1" applyAlignment="1">
      <alignment vertical="center"/>
    </xf>
    <xf numFmtId="0" fontId="6" fillId="0" borderId="16" xfId="0" applyFont="1" applyBorder="1" applyAlignment="1">
      <alignment horizontal="center" vertical="center"/>
    </xf>
    <xf numFmtId="0" fontId="3" fillId="0" borderId="19" xfId="0" applyFont="1" applyBorder="1" applyAlignment="1">
      <alignment horizontal="center" vertical="center"/>
    </xf>
    <xf numFmtId="0" fontId="13" fillId="0" borderId="20" xfId="0" applyFont="1" applyBorder="1" applyAlignment="1">
      <alignment vertical="center"/>
    </xf>
    <xf numFmtId="0" fontId="4" fillId="0" borderId="0" xfId="0" applyFont="1" applyAlignment="1">
      <alignment horizontal="left" vertical="top"/>
    </xf>
    <xf numFmtId="0" fontId="4" fillId="0" borderId="0" xfId="0" applyFont="1" applyAlignment="1">
      <alignment horizontal="center" vertical="top"/>
    </xf>
    <xf numFmtId="0" fontId="4" fillId="0" borderId="13" xfId="0" applyFont="1" applyBorder="1" applyAlignment="1">
      <alignment horizontal="center" vertical="top"/>
    </xf>
    <xf numFmtId="0" fontId="6" fillId="3" borderId="1" xfId="0" applyFont="1" applyFill="1" applyBorder="1" applyAlignment="1">
      <alignment horizontal="center" vertical="center"/>
    </xf>
    <xf numFmtId="0" fontId="0" fillId="0" borderId="28" xfId="0" applyBorder="1" applyAlignment="1">
      <alignment vertical="center"/>
    </xf>
    <xf numFmtId="0" fontId="0" fillId="0" borderId="29" xfId="0" applyBorder="1" applyAlignment="1">
      <alignment vertical="center"/>
    </xf>
    <xf numFmtId="0" fontId="0" fillId="0" borderId="30" xfId="0" applyBorder="1" applyAlignment="1">
      <alignment vertical="center"/>
    </xf>
    <xf numFmtId="0" fontId="0" fillId="0" borderId="31" xfId="0" applyBorder="1" applyAlignment="1">
      <alignment vertical="center"/>
    </xf>
    <xf numFmtId="0" fontId="0" fillId="0" borderId="15" xfId="0" applyBorder="1" applyAlignment="1">
      <alignment vertical="center"/>
    </xf>
    <xf numFmtId="0" fontId="0" fillId="0" borderId="32" xfId="0" applyBorder="1" applyAlignment="1">
      <alignment vertical="center"/>
    </xf>
    <xf numFmtId="0" fontId="0" fillId="0" borderId="33" xfId="0" applyBorder="1" applyAlignment="1">
      <alignment vertical="center"/>
    </xf>
    <xf numFmtId="0" fontId="0" fillId="0" borderId="34" xfId="0" applyBorder="1" applyAlignment="1">
      <alignment vertical="center"/>
    </xf>
    <xf numFmtId="0" fontId="0" fillId="0" borderId="35" xfId="0" applyBorder="1" applyAlignment="1">
      <alignment vertical="center"/>
    </xf>
    <xf numFmtId="0" fontId="2" fillId="0" borderId="7" xfId="0" applyFont="1" applyBorder="1" applyAlignment="1">
      <alignment vertical="center"/>
    </xf>
    <xf numFmtId="0" fontId="0" fillId="0" borderId="8" xfId="0" applyBorder="1" applyAlignment="1">
      <alignment vertical="center"/>
    </xf>
    <xf numFmtId="0" fontId="8" fillId="0" borderId="9" xfId="0" applyFont="1" applyBorder="1" applyAlignment="1">
      <alignment horizontal="right" vertical="center"/>
    </xf>
    <xf numFmtId="0" fontId="3" fillId="0" borderId="3" xfId="0" applyFont="1" applyBorder="1" applyAlignment="1">
      <alignment vertical="center"/>
    </xf>
    <xf numFmtId="0" fontId="3" fillId="0" borderId="4" xfId="0" applyFont="1" applyBorder="1" applyAlignment="1">
      <alignment vertical="center"/>
    </xf>
    <xf numFmtId="0" fontId="3" fillId="0" borderId="4" xfId="0" applyFont="1" applyBorder="1" applyAlignment="1">
      <alignment horizontal="left" vertical="center"/>
    </xf>
    <xf numFmtId="0" fontId="3" fillId="0" borderId="2" xfId="0" applyFont="1" applyBorder="1" applyAlignment="1">
      <alignment horizontal="left" vertical="center"/>
    </xf>
    <xf numFmtId="0" fontId="22" fillId="0" borderId="2" xfId="0" applyFont="1" applyBorder="1" applyAlignment="1">
      <alignment vertical="center"/>
    </xf>
    <xf numFmtId="0" fontId="22" fillId="0" borderId="4" xfId="0" applyFont="1" applyBorder="1" applyAlignment="1">
      <alignment vertical="center"/>
    </xf>
    <xf numFmtId="166" fontId="3" fillId="0" borderId="2" xfId="0" applyNumberFormat="1" applyFont="1" applyBorder="1" applyAlignment="1">
      <alignment horizontal="left" vertical="center"/>
    </xf>
    <xf numFmtId="0" fontId="22" fillId="0" borderId="6" xfId="0" quotePrefix="1" applyFont="1" applyBorder="1" applyAlignment="1">
      <alignment horizontal="center" vertical="center"/>
    </xf>
    <xf numFmtId="20" fontId="4" fillId="0" borderId="1" xfId="0" applyNumberFormat="1" applyFont="1" applyBorder="1" applyAlignment="1">
      <alignment horizontal="center" vertical="center"/>
    </xf>
    <xf numFmtId="20" fontId="4" fillId="0" borderId="3" xfId="0" applyNumberFormat="1" applyFont="1" applyBorder="1" applyAlignment="1">
      <alignment horizontal="center" vertical="center"/>
    </xf>
    <xf numFmtId="0" fontId="4" fillId="0" borderId="24" xfId="0" applyFont="1" applyBorder="1" applyAlignment="1">
      <alignment horizontal="center" vertical="center"/>
    </xf>
    <xf numFmtId="20" fontId="4" fillId="0" borderId="13" xfId="0" applyNumberFormat="1" applyFont="1" applyBorder="1" applyAlignment="1">
      <alignment horizontal="center" vertical="center"/>
    </xf>
    <xf numFmtId="20" fontId="4" fillId="0" borderId="24" xfId="0" applyNumberFormat="1" applyFont="1" applyBorder="1" applyAlignment="1">
      <alignment horizontal="center" vertical="center"/>
    </xf>
    <xf numFmtId="0" fontId="22" fillId="0" borderId="3" xfId="0" applyFont="1" applyBorder="1" applyAlignment="1">
      <alignment vertical="center"/>
    </xf>
    <xf numFmtId="165" fontId="22" fillId="0" borderId="2" xfId="0" applyNumberFormat="1" applyFont="1" applyBorder="1" applyAlignment="1">
      <alignment horizontal="center" vertical="center"/>
    </xf>
    <xf numFmtId="165" fontId="22" fillId="0" borderId="3" xfId="0" applyNumberFormat="1" applyFont="1" applyBorder="1" applyAlignment="1">
      <alignment horizontal="center" vertical="center"/>
    </xf>
    <xf numFmtId="0" fontId="5" fillId="0" borderId="15" xfId="0" applyFont="1" applyBorder="1" applyAlignment="1">
      <alignment horizontal="left" vertical="center"/>
    </xf>
    <xf numFmtId="0" fontId="5" fillId="0" borderId="14" xfId="0" applyFont="1" applyBorder="1" applyAlignment="1">
      <alignment horizontal="left" vertical="center"/>
    </xf>
    <xf numFmtId="0" fontId="0" fillId="0" borderId="1" xfId="0" applyBorder="1" applyAlignment="1">
      <alignment horizontal="center" vertical="center"/>
    </xf>
    <xf numFmtId="167" fontId="0" fillId="0" borderId="1" xfId="0" applyNumberFormat="1" applyBorder="1" applyAlignment="1">
      <alignment horizontal="center" vertical="center"/>
    </xf>
    <xf numFmtId="167" fontId="1" fillId="0" borderId="1" xfId="2" applyNumberFormat="1" applyBorder="1" applyAlignment="1">
      <alignment horizontal="center" vertical="center"/>
    </xf>
    <xf numFmtId="0" fontId="0" fillId="0" borderId="6" xfId="0" applyBorder="1" applyAlignment="1">
      <alignment horizontal="center" vertical="center"/>
    </xf>
    <xf numFmtId="167" fontId="0" fillId="0" borderId="6" xfId="0" applyNumberFormat="1" applyBorder="1" applyAlignment="1">
      <alignment horizontal="center" vertical="center"/>
    </xf>
    <xf numFmtId="167" fontId="1" fillId="0" borderId="6" xfId="2" applyNumberFormat="1" applyBorder="1" applyAlignment="1">
      <alignment horizontal="center" vertical="center"/>
    </xf>
    <xf numFmtId="0" fontId="21" fillId="0" borderId="0" xfId="0" applyFont="1" applyAlignment="1">
      <alignment vertical="center"/>
    </xf>
    <xf numFmtId="16" fontId="21" fillId="0" borderId="0" xfId="0" applyNumberFormat="1" applyFont="1" applyAlignment="1">
      <alignment vertical="center"/>
    </xf>
    <xf numFmtId="16" fontId="21" fillId="0" borderId="44" xfId="0" applyNumberFormat="1" applyFont="1" applyBorder="1" applyAlignment="1">
      <alignment horizontal="left" vertical="center"/>
    </xf>
    <xf numFmtId="16" fontId="4" fillId="0" borderId="45" xfId="0" applyNumberFormat="1" applyFont="1" applyBorder="1" applyAlignment="1">
      <alignment horizontal="left" vertical="center"/>
    </xf>
    <xf numFmtId="0" fontId="21" fillId="0" borderId="45" xfId="0" applyFont="1" applyBorder="1" applyAlignment="1">
      <alignment vertical="center"/>
    </xf>
    <xf numFmtId="168" fontId="5" fillId="0" borderId="45" xfId="0" applyNumberFormat="1" applyFont="1" applyBorder="1" applyAlignment="1">
      <alignment horizontal="center" vertical="center"/>
    </xf>
    <xf numFmtId="0" fontId="5" fillId="0" borderId="45" xfId="0" applyFont="1" applyBorder="1" applyAlignment="1">
      <alignment horizontal="center" vertical="center"/>
    </xf>
    <xf numFmtId="0" fontId="5" fillId="0" borderId="45" xfId="0" applyFont="1" applyBorder="1" applyAlignment="1">
      <alignment horizontal="left" vertical="center"/>
    </xf>
    <xf numFmtId="0" fontId="5" fillId="0" borderId="46" xfId="0" applyFont="1" applyBorder="1" applyAlignment="1">
      <alignment horizontal="left" vertical="center"/>
    </xf>
    <xf numFmtId="0" fontId="21" fillId="0" borderId="0" xfId="0" applyFont="1" applyAlignment="1">
      <alignment horizontal="center" vertical="center"/>
    </xf>
    <xf numFmtId="168" fontId="21" fillId="0" borderId="0" xfId="4" applyNumberFormat="1" applyFont="1" applyFill="1" applyBorder="1" applyAlignment="1">
      <alignment vertical="center"/>
    </xf>
    <xf numFmtId="0" fontId="21" fillId="0" borderId="16" xfId="0" applyFont="1" applyBorder="1" applyAlignment="1">
      <alignment vertical="center"/>
    </xf>
    <xf numFmtId="168" fontId="21" fillId="0" borderId="0" xfId="4" applyNumberFormat="1" applyFont="1" applyBorder="1" applyAlignment="1">
      <alignment horizontal="center" vertical="center"/>
    </xf>
    <xf numFmtId="0" fontId="21" fillId="0" borderId="0" xfId="0" applyFont="1" applyAlignment="1">
      <alignment horizontal="center" vertical="center" wrapText="1"/>
    </xf>
    <xf numFmtId="168" fontId="28" fillId="0" borderId="1" xfId="4" applyNumberFormat="1" applyFont="1" applyFill="1" applyBorder="1" applyAlignment="1">
      <alignment horizontal="center" vertical="center"/>
    </xf>
    <xf numFmtId="0" fontId="28" fillId="0" borderId="1" xfId="0" applyFont="1" applyBorder="1" applyAlignment="1">
      <alignment horizontal="center" vertical="center"/>
    </xf>
    <xf numFmtId="0" fontId="28" fillId="0" borderId="1" xfId="0" applyFont="1" applyBorder="1" applyAlignment="1">
      <alignment horizontal="center" vertical="center" wrapText="1"/>
    </xf>
    <xf numFmtId="0" fontId="21" fillId="0" borderId="13" xfId="0" applyFont="1" applyBorder="1" applyAlignment="1">
      <alignment horizontal="center" vertical="center"/>
    </xf>
    <xf numFmtId="168" fontId="21" fillId="0" borderId="13" xfId="4" applyNumberFormat="1" applyFont="1" applyFill="1" applyBorder="1" applyAlignment="1">
      <alignment vertical="center"/>
    </xf>
    <xf numFmtId="168" fontId="21" fillId="0" borderId="0" xfId="4" applyNumberFormat="1" applyFont="1" applyFill="1" applyBorder="1" applyAlignment="1">
      <alignment horizontal="center" vertical="center"/>
    </xf>
    <xf numFmtId="0" fontId="29" fillId="0" borderId="0" xfId="0" applyFont="1" applyAlignment="1">
      <alignment horizontal="center" vertical="center" wrapText="1"/>
    </xf>
    <xf numFmtId="170" fontId="21" fillId="0" borderId="0" xfId="0" applyNumberFormat="1" applyFont="1" applyAlignment="1">
      <alignment horizontal="center" vertical="center"/>
    </xf>
    <xf numFmtId="168" fontId="5" fillId="0" borderId="16" xfId="4" applyNumberFormat="1" applyFont="1" applyFill="1" applyBorder="1" applyAlignment="1">
      <alignment vertical="center"/>
    </xf>
    <xf numFmtId="168" fontId="5" fillId="0" borderId="0" xfId="4" applyNumberFormat="1" applyFont="1" applyFill="1" applyBorder="1" applyAlignment="1">
      <alignment vertical="center"/>
    </xf>
    <xf numFmtId="0" fontId="28" fillId="0" borderId="42" xfId="0" applyFont="1" applyBorder="1" applyAlignment="1">
      <alignment horizontal="center" vertical="center"/>
    </xf>
    <xf numFmtId="0" fontId="21" fillId="0" borderId="0" xfId="0" applyFont="1" applyAlignment="1">
      <alignment vertical="top"/>
    </xf>
    <xf numFmtId="0" fontId="21" fillId="0" borderId="13" xfId="0" applyFont="1" applyBorder="1" applyAlignment="1">
      <alignment vertical="center"/>
    </xf>
    <xf numFmtId="0" fontId="21" fillId="5" borderId="9" xfId="0" applyFont="1" applyFill="1" applyBorder="1" applyAlignment="1">
      <alignment vertical="center"/>
    </xf>
    <xf numFmtId="0" fontId="21" fillId="5" borderId="8" xfId="0" applyFont="1" applyFill="1" applyBorder="1" applyAlignment="1">
      <alignment vertical="center"/>
    </xf>
    <xf numFmtId="168" fontId="5" fillId="5" borderId="2" xfId="0" applyNumberFormat="1" applyFont="1" applyFill="1" applyBorder="1" applyAlignment="1">
      <alignment horizontal="center" vertical="center"/>
    </xf>
    <xf numFmtId="0" fontId="5" fillId="5" borderId="2" xfId="0" applyFont="1" applyFill="1" applyBorder="1" applyAlignment="1">
      <alignment horizontal="center" vertical="center"/>
    </xf>
    <xf numFmtId="0" fontId="5" fillId="5" borderId="2" xfId="0" applyFont="1" applyFill="1" applyBorder="1" applyAlignment="1">
      <alignment horizontal="left" vertical="center"/>
    </xf>
    <xf numFmtId="0" fontId="23" fillId="5" borderId="3" xfId="0" applyFont="1" applyFill="1" applyBorder="1" applyAlignment="1">
      <alignment horizontal="left" vertical="center"/>
    </xf>
    <xf numFmtId="0" fontId="21" fillId="0" borderId="16" xfId="0" applyFont="1" applyBorder="1" applyAlignment="1">
      <alignment horizontal="left" vertical="center"/>
    </xf>
    <xf numFmtId="0" fontId="21" fillId="0" borderId="0" xfId="0" applyFont="1" applyAlignment="1">
      <alignment horizontal="left" vertical="center"/>
    </xf>
    <xf numFmtId="171" fontId="5" fillId="0" borderId="0" xfId="0" applyNumberFormat="1" applyFont="1" applyAlignment="1">
      <alignment horizontal="center" vertical="center"/>
    </xf>
    <xf numFmtId="0" fontId="5" fillId="0" borderId="0" xfId="0" applyFont="1" applyAlignment="1">
      <alignment horizontal="left" vertical="center"/>
    </xf>
    <xf numFmtId="0" fontId="5" fillId="0" borderId="13" xfId="0" applyFont="1" applyBorder="1" applyAlignment="1">
      <alignment horizontal="left" vertical="center"/>
    </xf>
    <xf numFmtId="168" fontId="5" fillId="0" borderId="0" xfId="0" applyNumberFormat="1" applyFont="1" applyAlignment="1">
      <alignment horizontal="left" vertical="center"/>
    </xf>
    <xf numFmtId="168" fontId="31" fillId="0" borderId="4" xfId="0" applyNumberFormat="1" applyFont="1" applyBorder="1" applyAlignment="1">
      <alignment vertical="center"/>
    </xf>
    <xf numFmtId="168" fontId="31" fillId="0" borderId="3" xfId="0" applyNumberFormat="1" applyFont="1" applyBorder="1" applyAlignment="1">
      <alignment vertical="center"/>
    </xf>
    <xf numFmtId="168" fontId="5" fillId="0" borderId="0" xfId="0" applyNumberFormat="1" applyFont="1" applyAlignment="1">
      <alignment vertical="center"/>
    </xf>
    <xf numFmtId="0" fontId="5" fillId="0" borderId="16" xfId="0" applyFont="1" applyBorder="1" applyAlignment="1">
      <alignment vertical="center"/>
    </xf>
    <xf numFmtId="168" fontId="31" fillId="0" borderId="41" xfId="0" applyNumberFormat="1" applyFont="1" applyBorder="1" applyAlignment="1">
      <alignment vertical="center"/>
    </xf>
    <xf numFmtId="0" fontId="5" fillId="0" borderId="40" xfId="0" applyFont="1" applyBorder="1" applyAlignment="1">
      <alignment vertical="center"/>
    </xf>
    <xf numFmtId="168" fontId="28" fillId="0" borderId="20" xfId="4" applyNumberFormat="1" applyFont="1" applyBorder="1" applyAlignment="1">
      <alignment horizontal="center" vertical="center"/>
    </xf>
    <xf numFmtId="168" fontId="28" fillId="0" borderId="19" xfId="4" applyNumberFormat="1" applyFont="1" applyBorder="1" applyAlignment="1">
      <alignment horizontal="center" vertical="center"/>
    </xf>
    <xf numFmtId="168" fontId="28" fillId="0" borderId="1" xfId="4" applyNumberFormat="1" applyFont="1" applyBorder="1" applyAlignment="1">
      <alignment vertical="center"/>
    </xf>
    <xf numFmtId="168" fontId="28" fillId="0" borderId="18" xfId="4" applyNumberFormat="1" applyFont="1" applyBorder="1" applyAlignment="1">
      <alignment vertical="center"/>
    </xf>
    <xf numFmtId="0" fontId="21" fillId="0" borderId="6" xfId="0" applyFont="1" applyBorder="1" applyAlignment="1">
      <alignment horizontal="center" vertical="center"/>
    </xf>
    <xf numFmtId="168" fontId="28" fillId="0" borderId="1" xfId="4" applyNumberFormat="1" applyFont="1" applyFill="1" applyBorder="1" applyAlignment="1">
      <alignment vertical="center"/>
    </xf>
    <xf numFmtId="0" fontId="21" fillId="0" borderId="1" xfId="0" applyFont="1" applyBorder="1" applyAlignment="1">
      <alignment horizontal="center" vertical="center"/>
    </xf>
    <xf numFmtId="168" fontId="28" fillId="0" borderId="3" xfId="4" applyNumberFormat="1" applyFont="1" applyBorder="1" applyAlignment="1">
      <alignment vertical="center"/>
    </xf>
    <xf numFmtId="168" fontId="28" fillId="0" borderId="4" xfId="4" applyNumberFormat="1" applyFont="1" applyBorder="1" applyAlignment="1">
      <alignment horizontal="center" vertical="center"/>
    </xf>
    <xf numFmtId="168" fontId="28" fillId="0" borderId="3" xfId="4" applyNumberFormat="1" applyFont="1" applyBorder="1" applyAlignment="1">
      <alignment horizontal="center" vertical="center"/>
    </xf>
    <xf numFmtId="168" fontId="28" fillId="0" borderId="11" xfId="4" applyNumberFormat="1" applyFont="1" applyBorder="1" applyAlignment="1">
      <alignment horizontal="center" vertical="center"/>
    </xf>
    <xf numFmtId="168" fontId="28" fillId="0" borderId="11" xfId="4" applyNumberFormat="1" applyFont="1" applyBorder="1" applyAlignment="1">
      <alignment vertical="center"/>
    </xf>
    <xf numFmtId="0" fontId="21" fillId="0" borderId="11" xfId="0" applyFont="1" applyBorder="1" applyAlignment="1">
      <alignment vertical="center"/>
    </xf>
    <xf numFmtId="0" fontId="21" fillId="0" borderId="10" xfId="0" applyFont="1" applyBorder="1" applyAlignment="1">
      <alignment horizontal="center" vertical="center"/>
    </xf>
    <xf numFmtId="168" fontId="31" fillId="0" borderId="4" xfId="4" applyNumberFormat="1" applyFont="1" applyBorder="1" applyAlignment="1">
      <alignment horizontal="center" vertical="center"/>
    </xf>
    <xf numFmtId="0" fontId="33" fillId="0" borderId="13" xfId="0" quotePrefix="1" applyFont="1" applyBorder="1" applyAlignment="1">
      <alignment horizontal="left" vertical="center"/>
    </xf>
    <xf numFmtId="0" fontId="34" fillId="0" borderId="13" xfId="0" applyFont="1" applyBorder="1" applyAlignment="1">
      <alignment horizontal="left" vertical="center"/>
    </xf>
    <xf numFmtId="0" fontId="21" fillId="8" borderId="0" xfId="0" applyFont="1" applyFill="1" applyAlignment="1">
      <alignment horizontal="center" vertical="center"/>
    </xf>
    <xf numFmtId="0" fontId="5" fillId="8" borderId="0" xfId="0" applyFont="1" applyFill="1" applyAlignment="1">
      <alignment horizontal="left" vertical="center"/>
    </xf>
    <xf numFmtId="0" fontId="23" fillId="8" borderId="13" xfId="0" applyFont="1" applyFill="1" applyBorder="1" applyAlignment="1">
      <alignment horizontal="left" vertical="center"/>
    </xf>
    <xf numFmtId="0" fontId="5" fillId="0" borderId="1" xfId="0" applyFont="1" applyBorder="1" applyAlignment="1">
      <alignment horizontal="center" vertical="center"/>
    </xf>
    <xf numFmtId="171" fontId="36" fillId="0" borderId="0" xfId="0" applyNumberFormat="1" applyFont="1" applyAlignment="1">
      <alignment horizontal="center" vertical="center"/>
    </xf>
    <xf numFmtId="0" fontId="5" fillId="6" borderId="1" xfId="0" applyFont="1" applyFill="1" applyBorder="1" applyAlignment="1">
      <alignment horizontal="center" vertical="center"/>
    </xf>
    <xf numFmtId="0" fontId="7" fillId="0" borderId="16" xfId="0" applyFont="1" applyBorder="1" applyAlignment="1">
      <alignment horizontal="center" vertical="center"/>
    </xf>
    <xf numFmtId="0" fontId="7" fillId="0" borderId="0" xfId="0" applyFont="1" applyAlignment="1">
      <alignment horizontal="center" vertical="center"/>
    </xf>
    <xf numFmtId="171" fontId="7" fillId="0" borderId="0" xfId="0" applyNumberFormat="1" applyFont="1" applyAlignment="1">
      <alignment horizontal="center" vertical="center"/>
    </xf>
    <xf numFmtId="0" fontId="23" fillId="0" borderId="10" xfId="0" applyFont="1" applyBorder="1" applyAlignment="1">
      <alignment horizontal="left" vertical="center"/>
    </xf>
    <xf numFmtId="168" fontId="31" fillId="0" borderId="6" xfId="4" applyNumberFormat="1" applyFont="1" applyBorder="1" applyAlignment="1">
      <alignment vertical="center"/>
    </xf>
    <xf numFmtId="168" fontId="28" fillId="0" borderId="1" xfId="4" applyNumberFormat="1" applyFont="1" applyBorder="1" applyAlignment="1">
      <alignment horizontal="center" vertical="center"/>
    </xf>
    <xf numFmtId="20" fontId="21" fillId="0" borderId="0" xfId="0" applyNumberFormat="1" applyFont="1" applyAlignment="1">
      <alignment vertical="center"/>
    </xf>
    <xf numFmtId="0" fontId="5" fillId="0" borderId="11" xfId="0" applyFont="1" applyBorder="1" applyAlignment="1">
      <alignment vertical="center"/>
    </xf>
    <xf numFmtId="0" fontId="5" fillId="0" borderId="11" xfId="0" applyFont="1" applyBorder="1" applyAlignment="1">
      <alignment horizontal="right" vertical="center"/>
    </xf>
    <xf numFmtId="0" fontId="5" fillId="0" borderId="10" xfId="0" applyFont="1" applyBorder="1" applyAlignment="1">
      <alignment vertical="center"/>
    </xf>
    <xf numFmtId="0" fontId="21" fillId="0" borderId="8" xfId="0" applyFont="1" applyBorder="1" applyAlignment="1">
      <alignment horizontal="center" vertical="center"/>
    </xf>
    <xf numFmtId="0" fontId="5" fillId="0" borderId="8" xfId="0" applyFont="1" applyBorder="1" applyAlignment="1">
      <alignment horizontal="left" vertical="center"/>
    </xf>
    <xf numFmtId="0" fontId="5" fillId="0" borderId="7" xfId="0" applyFont="1" applyBorder="1" applyAlignment="1">
      <alignment horizontal="left" vertical="center"/>
    </xf>
    <xf numFmtId="168" fontId="37" fillId="2" borderId="1" xfId="4" applyNumberFormat="1" applyFont="1" applyFill="1" applyBorder="1" applyAlignment="1">
      <alignment horizontal="center" vertical="center"/>
    </xf>
    <xf numFmtId="168" fontId="37" fillId="2" borderId="3" xfId="4" applyNumberFormat="1" applyFont="1" applyFill="1" applyBorder="1" applyAlignment="1">
      <alignment horizontal="center" vertical="center"/>
    </xf>
    <xf numFmtId="0" fontId="5" fillId="2" borderId="4" xfId="0" applyFont="1" applyFill="1" applyBorder="1" applyAlignment="1">
      <alignment vertical="center"/>
    </xf>
    <xf numFmtId="0" fontId="5" fillId="2" borderId="2" xfId="0" applyFont="1" applyFill="1" applyBorder="1" applyAlignment="1">
      <alignment vertical="center"/>
    </xf>
    <xf numFmtId="0" fontId="5" fillId="2" borderId="3" xfId="0" applyFont="1" applyFill="1" applyBorder="1" applyAlignment="1">
      <alignment vertical="center"/>
    </xf>
    <xf numFmtId="0" fontId="38" fillId="3" borderId="1" xfId="0" applyFont="1" applyFill="1" applyBorder="1" applyAlignment="1">
      <alignment horizontal="center" vertical="center"/>
    </xf>
    <xf numFmtId="0" fontId="38" fillId="3" borderId="3" xfId="0" applyFont="1" applyFill="1" applyBorder="1" applyAlignment="1">
      <alignment horizontal="center" vertical="center"/>
    </xf>
    <xf numFmtId="0" fontId="38" fillId="3" borderId="4" xfId="0" applyFont="1" applyFill="1" applyBorder="1" applyAlignment="1">
      <alignment vertical="center"/>
    </xf>
    <xf numFmtId="0" fontId="38" fillId="3" borderId="2" xfId="0" applyFont="1" applyFill="1" applyBorder="1" applyAlignment="1">
      <alignment vertical="center"/>
    </xf>
    <xf numFmtId="0" fontId="38" fillId="3" borderId="3" xfId="0" applyFont="1" applyFill="1" applyBorder="1" applyAlignment="1">
      <alignment vertical="center"/>
    </xf>
    <xf numFmtId="0" fontId="37" fillId="0" borderId="13" xfId="0" applyFont="1" applyBorder="1"/>
    <xf numFmtId="0" fontId="0" fillId="0" borderId="44" xfId="0" applyBorder="1" applyAlignment="1">
      <alignment vertical="center"/>
    </xf>
    <xf numFmtId="0" fontId="0" fillId="0" borderId="45" xfId="0" applyBorder="1" applyAlignment="1">
      <alignment vertical="center"/>
    </xf>
    <xf numFmtId="0" fontId="0" fillId="0" borderId="45" xfId="0" applyBorder="1" applyAlignment="1">
      <alignment horizontal="center" vertical="center"/>
    </xf>
    <xf numFmtId="0" fontId="23" fillId="0" borderId="46" xfId="0" applyFont="1" applyBorder="1" applyAlignment="1">
      <alignment vertical="center"/>
    </xf>
    <xf numFmtId="0" fontId="23" fillId="0" borderId="13" xfId="0" applyFont="1" applyBorder="1" applyAlignment="1">
      <alignment vertical="center"/>
    </xf>
    <xf numFmtId="0" fontId="0" fillId="0" borderId="9" xfId="0" applyBorder="1" applyAlignment="1">
      <alignment vertical="center"/>
    </xf>
    <xf numFmtId="0" fontId="23" fillId="0" borderId="7" xfId="0" applyFont="1" applyBorder="1" applyAlignment="1">
      <alignment vertical="center"/>
    </xf>
    <xf numFmtId="0" fontId="0" fillId="0" borderId="5" xfId="0" applyBorder="1" applyAlignment="1">
      <alignment horizontal="center" vertical="center"/>
    </xf>
    <xf numFmtId="0" fontId="3" fillId="0" borderId="50" xfId="0" applyFont="1" applyBorder="1" applyAlignment="1">
      <alignment vertical="center"/>
    </xf>
    <xf numFmtId="0" fontId="3" fillId="0" borderId="51" xfId="0" applyFont="1" applyBorder="1" applyAlignment="1">
      <alignment vertical="center"/>
    </xf>
    <xf numFmtId="0" fontId="3" fillId="0" borderId="32" xfId="0" applyFont="1" applyBorder="1" applyAlignment="1">
      <alignment vertical="center"/>
    </xf>
    <xf numFmtId="0" fontId="3" fillId="0" borderId="15" xfId="0" applyFont="1" applyBorder="1" applyAlignment="1">
      <alignment vertical="center"/>
    </xf>
    <xf numFmtId="0" fontId="3" fillId="0" borderId="30" xfId="0" applyFont="1" applyBorder="1" applyAlignment="1">
      <alignment vertical="center"/>
    </xf>
    <xf numFmtId="0" fontId="3" fillId="0" borderId="29" xfId="0" applyFont="1" applyBorder="1" applyAlignment="1">
      <alignment vertical="center"/>
    </xf>
    <xf numFmtId="0" fontId="8" fillId="0" borderId="4" xfId="0" applyFont="1" applyBorder="1" applyAlignment="1">
      <alignment horizontal="right" vertical="center"/>
    </xf>
    <xf numFmtId="0" fontId="2" fillId="0" borderId="2" xfId="0" applyFont="1" applyBorder="1" applyAlignment="1">
      <alignment vertical="center"/>
    </xf>
    <xf numFmtId="0" fontId="2" fillId="0" borderId="3" xfId="0" applyFont="1" applyBorder="1" applyAlignment="1">
      <alignment vertical="center"/>
    </xf>
    <xf numFmtId="0" fontId="40" fillId="0" borderId="0" xfId="0" applyFont="1" applyAlignment="1">
      <alignment horizontal="center" vertical="center"/>
    </xf>
    <xf numFmtId="0" fontId="4" fillId="0" borderId="45" xfId="0" applyFont="1" applyBorder="1" applyAlignment="1">
      <alignment vertical="center"/>
    </xf>
    <xf numFmtId="0" fontId="4" fillId="0" borderId="45" xfId="0" applyFont="1" applyBorder="1" applyAlignment="1">
      <alignment horizontal="center" vertical="center"/>
    </xf>
    <xf numFmtId="0" fontId="2" fillId="0" borderId="1" xfId="2" applyFont="1" applyBorder="1" applyAlignment="1">
      <alignment horizontal="center" vertical="center"/>
    </xf>
    <xf numFmtId="0" fontId="41" fillId="0" borderId="0" xfId="0" applyFont="1" applyAlignment="1">
      <alignment vertical="center"/>
    </xf>
    <xf numFmtId="16" fontId="42" fillId="0" borderId="20" xfId="0" applyNumberFormat="1" applyFont="1" applyBorder="1" applyAlignment="1">
      <alignment horizontal="left" vertical="center"/>
    </xf>
    <xf numFmtId="16" fontId="42" fillId="0" borderId="27" xfId="0" applyNumberFormat="1" applyFont="1" applyBorder="1" applyAlignment="1">
      <alignment horizontal="left" vertical="center"/>
    </xf>
    <xf numFmtId="0" fontId="41" fillId="0" borderId="27" xfId="0" applyFont="1" applyBorder="1" applyAlignment="1">
      <alignment vertical="center"/>
    </xf>
    <xf numFmtId="0" fontId="41" fillId="0" borderId="27" xfId="0" applyFont="1" applyBorder="1" applyAlignment="1">
      <alignment horizontal="center" vertical="center"/>
    </xf>
    <xf numFmtId="0" fontId="41" fillId="0" borderId="27" xfId="0" applyFont="1" applyBorder="1" applyAlignment="1">
      <alignment horizontal="left" vertical="center"/>
    </xf>
    <xf numFmtId="0" fontId="41" fillId="0" borderId="19" xfId="0" applyFont="1" applyBorder="1" applyAlignment="1">
      <alignment vertical="center"/>
    </xf>
    <xf numFmtId="0" fontId="42" fillId="0" borderId="16" xfId="0" applyFont="1" applyBorder="1" applyAlignment="1">
      <alignment horizontal="left" vertical="center"/>
    </xf>
    <xf numFmtId="0" fontId="42" fillId="0" borderId="0" xfId="0" applyFont="1" applyAlignment="1">
      <alignment horizontal="left" vertical="center"/>
    </xf>
    <xf numFmtId="0" fontId="41" fillId="0" borderId="0" xfId="0" applyFont="1" applyAlignment="1">
      <alignment horizontal="center" vertical="center"/>
    </xf>
    <xf numFmtId="0" fontId="43" fillId="0" borderId="0" xfId="0" quotePrefix="1" applyFont="1" applyAlignment="1">
      <alignment vertical="center" wrapText="1"/>
    </xf>
    <xf numFmtId="0" fontId="41" fillId="0" borderId="13" xfId="0" applyFont="1" applyBorder="1" applyAlignment="1">
      <alignment vertical="center"/>
    </xf>
    <xf numFmtId="0" fontId="42" fillId="0" borderId="16" xfId="0" applyFont="1" applyBorder="1" applyAlignment="1">
      <alignment horizontal="center" vertical="center"/>
    </xf>
    <xf numFmtId="0" fontId="45" fillId="0" borderId="0" xfId="0" quotePrefix="1" applyFont="1" applyAlignment="1">
      <alignment vertical="center" wrapText="1"/>
    </xf>
    <xf numFmtId="0" fontId="41" fillId="0" borderId="16" xfId="0" applyFont="1" applyBorder="1" applyAlignment="1">
      <alignment vertical="center"/>
    </xf>
    <xf numFmtId="0" fontId="46" fillId="0" borderId="0" xfId="0" applyFont="1" applyAlignment="1">
      <alignment vertical="center"/>
    </xf>
    <xf numFmtId="0" fontId="46" fillId="0" borderId="16" xfId="0" applyFont="1" applyBorder="1" applyAlignment="1">
      <alignment vertical="center"/>
    </xf>
    <xf numFmtId="0" fontId="46" fillId="0" borderId="0" xfId="0" applyFont="1" applyAlignment="1">
      <alignment horizontal="center" vertical="center"/>
    </xf>
    <xf numFmtId="0" fontId="46" fillId="0" borderId="13" xfId="0" applyFont="1" applyBorder="1" applyAlignment="1">
      <alignment vertical="center"/>
    </xf>
    <xf numFmtId="0" fontId="50" fillId="0" borderId="0" xfId="0" applyFont="1" applyAlignment="1">
      <alignment horizontal="center" vertical="center"/>
    </xf>
    <xf numFmtId="0" fontId="51" fillId="0" borderId="16" xfId="0" applyFont="1" applyBorder="1" applyAlignment="1">
      <alignment vertical="center"/>
    </xf>
    <xf numFmtId="0" fontId="43" fillId="0" borderId="16" xfId="0" applyFont="1" applyBorder="1" applyAlignment="1">
      <alignment vertical="center"/>
    </xf>
    <xf numFmtId="171" fontId="55" fillId="0" borderId="1" xfId="0" applyNumberFormat="1" applyFont="1" applyBorder="1" applyAlignment="1">
      <alignment vertical="center" wrapText="1"/>
    </xf>
    <xf numFmtId="0" fontId="54" fillId="9" borderId="1" xfId="0" applyFont="1" applyFill="1" applyBorder="1" applyAlignment="1">
      <alignment vertical="center" wrapText="1"/>
    </xf>
    <xf numFmtId="0" fontId="54" fillId="0" borderId="1" xfId="0" applyFont="1" applyBorder="1" applyAlignment="1">
      <alignment horizontal="center" vertical="center" wrapText="1"/>
    </xf>
    <xf numFmtId="0" fontId="54" fillId="0" borderId="4" xfId="0" applyFont="1" applyBorder="1" applyAlignment="1">
      <alignment vertical="center"/>
    </xf>
    <xf numFmtId="0" fontId="54" fillId="0" borderId="2" xfId="0" applyFont="1" applyBorder="1" applyAlignment="1">
      <alignment vertical="center"/>
    </xf>
    <xf numFmtId="0" fontId="54" fillId="0" borderId="3" xfId="0" applyFont="1" applyBorder="1" applyAlignment="1">
      <alignment vertical="center"/>
    </xf>
    <xf numFmtId="0" fontId="43" fillId="7" borderId="5" xfId="0" applyFont="1" applyFill="1" applyBorder="1" applyAlignment="1">
      <alignment horizontal="center" vertical="top" wrapText="1"/>
    </xf>
    <xf numFmtId="0" fontId="54" fillId="7" borderId="12" xfId="0" applyFont="1" applyFill="1" applyBorder="1" applyAlignment="1">
      <alignment vertical="top" wrapText="1"/>
    </xf>
    <xf numFmtId="0" fontId="54" fillId="7" borderId="11" xfId="0" applyFont="1" applyFill="1" applyBorder="1" applyAlignment="1">
      <alignment vertical="top" wrapText="1"/>
    </xf>
    <xf numFmtId="0" fontId="54" fillId="7" borderId="10" xfId="0" applyFont="1" applyFill="1" applyBorder="1" applyAlignment="1">
      <alignment vertical="top" wrapText="1"/>
    </xf>
    <xf numFmtId="0" fontId="45" fillId="7" borderId="12" xfId="0" applyFont="1" applyFill="1" applyBorder="1" applyAlignment="1">
      <alignment vertical="top" wrapText="1"/>
    </xf>
    <xf numFmtId="0" fontId="45" fillId="7" borderId="10" xfId="0" applyFont="1" applyFill="1" applyBorder="1" applyAlignment="1">
      <alignment vertical="top" wrapText="1"/>
    </xf>
    <xf numFmtId="0" fontId="51" fillId="7" borderId="12" xfId="0" applyFont="1" applyFill="1" applyBorder="1" applyAlignment="1">
      <alignment vertical="top" wrapText="1"/>
    </xf>
    <xf numFmtId="0" fontId="51" fillId="7" borderId="11" xfId="0" applyFont="1" applyFill="1" applyBorder="1" applyAlignment="1">
      <alignment vertical="top" wrapText="1"/>
    </xf>
    <xf numFmtId="0" fontId="51" fillId="7" borderId="10" xfId="0" applyFont="1" applyFill="1" applyBorder="1" applyAlignment="1">
      <alignment vertical="top" wrapText="1"/>
    </xf>
    <xf numFmtId="0" fontId="54" fillId="7" borderId="16" xfId="0" applyFont="1" applyFill="1" applyBorder="1" applyAlignment="1">
      <alignment vertical="top" wrapText="1"/>
    </xf>
    <xf numFmtId="0" fontId="54" fillId="7" borderId="0" xfId="0" applyFont="1" applyFill="1" applyAlignment="1">
      <alignment vertical="top" wrapText="1"/>
    </xf>
    <xf numFmtId="0" fontId="54" fillId="7" borderId="13" xfId="0" applyFont="1" applyFill="1" applyBorder="1" applyAlignment="1">
      <alignment vertical="top" wrapText="1"/>
    </xf>
    <xf numFmtId="0" fontId="45" fillId="7" borderId="16" xfId="0" applyFont="1" applyFill="1" applyBorder="1" applyAlignment="1">
      <alignment vertical="top" wrapText="1"/>
    </xf>
    <xf numFmtId="0" fontId="45" fillId="7" borderId="13" xfId="0" applyFont="1" applyFill="1" applyBorder="1" applyAlignment="1">
      <alignment vertical="top" wrapText="1"/>
    </xf>
    <xf numFmtId="172" fontId="54" fillId="7" borderId="16" xfId="0" applyNumberFormat="1" applyFont="1" applyFill="1" applyBorder="1" applyAlignment="1">
      <alignment horizontal="left" vertical="top" wrapText="1"/>
    </xf>
    <xf numFmtId="172" fontId="54" fillId="7" borderId="13" xfId="0" applyNumberFormat="1" applyFont="1" applyFill="1" applyBorder="1" applyAlignment="1">
      <alignment horizontal="right" vertical="top" wrapText="1"/>
    </xf>
    <xf numFmtId="0" fontId="51" fillId="7" borderId="16" xfId="0" applyFont="1" applyFill="1" applyBorder="1" applyAlignment="1">
      <alignment vertical="top" wrapText="1"/>
    </xf>
    <xf numFmtId="0" fontId="51" fillId="7" borderId="0" xfId="0" applyFont="1" applyFill="1" applyAlignment="1">
      <alignment vertical="top" wrapText="1"/>
    </xf>
    <xf numFmtId="0" fontId="51" fillId="7" borderId="13" xfId="0" applyFont="1" applyFill="1" applyBorder="1" applyAlignment="1">
      <alignment vertical="top" wrapText="1"/>
    </xf>
    <xf numFmtId="0" fontId="49" fillId="0" borderId="0" xfId="0" applyFont="1" applyAlignment="1">
      <alignment vertical="center"/>
    </xf>
    <xf numFmtId="0" fontId="49" fillId="0" borderId="0" xfId="0" applyFont="1" applyAlignment="1">
      <alignment horizontal="left" vertical="center"/>
    </xf>
    <xf numFmtId="0" fontId="45" fillId="0" borderId="16" xfId="0" applyFont="1" applyBorder="1" applyAlignment="1">
      <alignment horizontal="center" vertical="center"/>
    </xf>
    <xf numFmtId="0" fontId="45" fillId="0" borderId="0" xfId="0" applyFont="1" applyAlignment="1">
      <alignment vertical="center"/>
    </xf>
    <xf numFmtId="170" fontId="56" fillId="0" borderId="2" xfId="0" applyNumberFormat="1" applyFont="1" applyBorder="1" applyAlignment="1">
      <alignment horizontal="center" vertical="center"/>
    </xf>
    <xf numFmtId="174" fontId="56" fillId="0" borderId="3" xfId="0" applyNumberFormat="1" applyFont="1" applyBorder="1" applyAlignment="1">
      <alignment horizontal="center" vertical="center"/>
    </xf>
    <xf numFmtId="0" fontId="53" fillId="0" borderId="1" xfId="0" applyFont="1" applyBorder="1" applyAlignment="1">
      <alignment horizontal="center" vertical="center"/>
    </xf>
    <xf numFmtId="170" fontId="56" fillId="0" borderId="8" xfId="0" applyNumberFormat="1" applyFont="1" applyBorder="1" applyAlignment="1">
      <alignment horizontal="center" vertical="center"/>
    </xf>
    <xf numFmtId="0" fontId="43" fillId="0" borderId="0" xfId="0" applyFont="1" applyAlignment="1">
      <alignment horizontal="center" vertical="top"/>
    </xf>
    <xf numFmtId="0" fontId="45" fillId="0" borderId="0" xfId="0" applyFont="1" applyAlignment="1">
      <alignment vertical="center" wrapText="1"/>
    </xf>
    <xf numFmtId="0" fontId="51" fillId="7" borderId="1" xfId="0" applyFont="1" applyFill="1" applyBorder="1" applyAlignment="1">
      <alignment horizontal="center" vertical="top"/>
    </xf>
    <xf numFmtId="0" fontId="62" fillId="0" borderId="13" xfId="0" applyFont="1" applyBorder="1" applyAlignment="1">
      <alignment vertical="center"/>
    </xf>
    <xf numFmtId="0" fontId="62" fillId="0" borderId="0" xfId="0" applyFont="1" applyAlignment="1">
      <alignment vertical="center"/>
    </xf>
    <xf numFmtId="0" fontId="62" fillId="0" borderId="16" xfId="0" applyFont="1" applyBorder="1" applyAlignment="1">
      <alignment vertical="center"/>
    </xf>
    <xf numFmtId="0" fontId="63" fillId="0" borderId="0" xfId="0" applyFont="1" applyAlignment="1">
      <alignment vertical="center"/>
    </xf>
    <xf numFmtId="0" fontId="62" fillId="0" borderId="15" xfId="0" applyFont="1" applyBorder="1"/>
    <xf numFmtId="0" fontId="52" fillId="0" borderId="14" xfId="0" applyFont="1" applyBorder="1"/>
    <xf numFmtId="0" fontId="62" fillId="0" borderId="31" xfId="0" applyFont="1" applyBorder="1"/>
    <xf numFmtId="0" fontId="62" fillId="0" borderId="14" xfId="0" applyFont="1" applyBorder="1"/>
    <xf numFmtId="0" fontId="62" fillId="0" borderId="13" xfId="0" applyFont="1" applyBorder="1"/>
    <xf numFmtId="0" fontId="45" fillId="0" borderId="16" xfId="0" applyFont="1" applyBorder="1" applyAlignment="1">
      <alignment vertical="center"/>
    </xf>
    <xf numFmtId="0" fontId="51" fillId="0" borderId="0" xfId="0" applyFont="1"/>
    <xf numFmtId="0" fontId="51" fillId="0" borderId="13" xfId="0" applyFont="1" applyBorder="1"/>
    <xf numFmtId="0" fontId="51" fillId="0" borderId="8" xfId="0" applyFont="1" applyBorder="1"/>
    <xf numFmtId="0" fontId="3" fillId="0" borderId="35" xfId="0" applyFont="1" applyBorder="1" applyAlignment="1">
      <alignment vertical="center"/>
    </xf>
    <xf numFmtId="0" fontId="3" fillId="0" borderId="34" xfId="0" applyFont="1" applyBorder="1" applyAlignment="1">
      <alignment vertical="center"/>
    </xf>
    <xf numFmtId="0" fontId="3" fillId="0" borderId="33" xfId="0" applyFont="1" applyBorder="1" applyAlignment="1">
      <alignment vertical="center"/>
    </xf>
    <xf numFmtId="0" fontId="3" fillId="0" borderId="31" xfId="0" applyFont="1" applyBorder="1" applyAlignment="1">
      <alignment vertical="center"/>
    </xf>
    <xf numFmtId="0" fontId="3" fillId="0" borderId="28" xfId="0" applyFont="1" applyBorder="1" applyAlignment="1">
      <alignment vertical="center"/>
    </xf>
    <xf numFmtId="168" fontId="31" fillId="0" borderId="4" xfId="0" applyNumberFormat="1" applyFont="1" applyBorder="1" applyAlignment="1">
      <alignment horizontal="left" vertical="center"/>
    </xf>
    <xf numFmtId="0" fontId="5" fillId="7" borderId="5" xfId="0" applyFont="1" applyFill="1" applyBorder="1" applyAlignment="1">
      <alignment horizontal="center" vertical="center"/>
    </xf>
    <xf numFmtId="0" fontId="28" fillId="0" borderId="3" xfId="0" applyFont="1" applyBorder="1" applyAlignment="1">
      <alignment vertical="center"/>
    </xf>
    <xf numFmtId="0" fontId="28" fillId="0" borderId="2" xfId="0" applyFont="1" applyBorder="1" applyAlignment="1">
      <alignment vertical="center"/>
    </xf>
    <xf numFmtId="0" fontId="28" fillId="0" borderId="4" xfId="0" applyFont="1" applyBorder="1" applyAlignment="1">
      <alignment vertical="center"/>
    </xf>
    <xf numFmtId="0" fontId="28" fillId="0" borderId="21" xfId="0" applyFont="1" applyBorder="1" applyAlignment="1">
      <alignment vertical="center"/>
    </xf>
    <xf numFmtId="0" fontId="28" fillId="0" borderId="52" xfId="0" applyFont="1" applyBorder="1" applyAlignment="1">
      <alignment vertical="center"/>
    </xf>
    <xf numFmtId="0" fontId="28" fillId="0" borderId="22" xfId="0" applyFont="1" applyBorder="1" applyAlignment="1">
      <alignment vertical="center"/>
    </xf>
    <xf numFmtId="0" fontId="21" fillId="0" borderId="7" xfId="0" applyFont="1" applyBorder="1" applyAlignment="1">
      <alignment horizontal="center" vertical="center"/>
    </xf>
    <xf numFmtId="0" fontId="21" fillId="0" borderId="8" xfId="0" applyFont="1" applyBorder="1" applyAlignment="1">
      <alignment vertical="center"/>
    </xf>
    <xf numFmtId="168" fontId="28" fillId="0" borderId="8" xfId="4" applyNumberFormat="1" applyFont="1" applyBorder="1" applyAlignment="1">
      <alignment vertical="center"/>
    </xf>
    <xf numFmtId="168" fontId="28" fillId="0" borderId="8" xfId="4" applyNumberFormat="1" applyFont="1" applyBorder="1" applyAlignment="1">
      <alignment horizontal="center" vertical="center"/>
    </xf>
    <xf numFmtId="168" fontId="28" fillId="0" borderId="1" xfId="4" applyNumberFormat="1" applyFont="1" applyFill="1" applyBorder="1" applyAlignment="1">
      <alignment horizontal="left" vertical="center"/>
    </xf>
    <xf numFmtId="0" fontId="4" fillId="0" borderId="13" xfId="0" applyFont="1" applyBorder="1" applyAlignment="1">
      <alignment horizontal="center" vertical="center"/>
    </xf>
    <xf numFmtId="170" fontId="4" fillId="0" borderId="0" xfId="0" applyNumberFormat="1" applyFont="1" applyAlignment="1">
      <alignment horizontal="center" vertical="center"/>
    </xf>
    <xf numFmtId="0" fontId="4" fillId="0" borderId="0" xfId="0" applyFont="1" applyAlignment="1">
      <alignment horizontal="center" vertical="center" wrapText="1"/>
    </xf>
    <xf numFmtId="0" fontId="0" fillId="0" borderId="0" xfId="0" applyAlignment="1">
      <alignment horizontal="center" vertical="center" wrapText="1"/>
    </xf>
    <xf numFmtId="168" fontId="4" fillId="0" borderId="0" xfId="4" applyNumberFormat="1" applyFont="1" applyBorder="1" applyAlignment="1">
      <alignment horizontal="center" vertical="center"/>
    </xf>
    <xf numFmtId="0" fontId="4" fillId="0" borderId="0" xfId="0" applyFont="1" applyAlignment="1">
      <alignment horizontal="left" vertical="center"/>
    </xf>
    <xf numFmtId="168" fontId="4" fillId="0" borderId="0" xfId="4" applyNumberFormat="1" applyFont="1" applyFill="1" applyBorder="1" applyAlignment="1">
      <alignment vertical="center"/>
    </xf>
    <xf numFmtId="16" fontId="54" fillId="9" borderId="1" xfId="0" applyNumberFormat="1" applyFont="1" applyFill="1" applyBorder="1" applyAlignment="1">
      <alignment horizontal="center" vertical="center" wrapText="1"/>
    </xf>
    <xf numFmtId="173" fontId="55" fillId="0" borderId="1" xfId="0" applyNumberFormat="1" applyFont="1" applyBorder="1" applyAlignment="1">
      <alignment vertical="center" wrapText="1"/>
    </xf>
    <xf numFmtId="0" fontId="2" fillId="0" borderId="2" xfId="0" applyFont="1" applyBorder="1" applyAlignment="1">
      <alignment horizontal="center" vertical="center"/>
    </xf>
    <xf numFmtId="0" fontId="5" fillId="0" borderId="11" xfId="0" applyFont="1" applyBorder="1" applyAlignment="1">
      <alignment horizontal="left" vertical="center"/>
    </xf>
    <xf numFmtId="0" fontId="5" fillId="0" borderId="13" xfId="0" applyFont="1" applyBorder="1" applyAlignment="1">
      <alignment horizontal="center" vertical="center"/>
    </xf>
    <xf numFmtId="0" fontId="5" fillId="0" borderId="0" xfId="0" applyFont="1" applyAlignment="1">
      <alignment horizontal="center" vertical="center"/>
    </xf>
    <xf numFmtId="0" fontId="5" fillId="0" borderId="16" xfId="0" applyFont="1" applyBorder="1" applyAlignment="1">
      <alignment horizontal="center" vertical="center"/>
    </xf>
    <xf numFmtId="0" fontId="5" fillId="7" borderId="1" xfId="0" applyFont="1" applyFill="1" applyBorder="1" applyAlignment="1">
      <alignment horizontal="center" vertical="center"/>
    </xf>
    <xf numFmtId="0" fontId="5" fillId="6" borderId="4" xfId="0" applyFont="1" applyFill="1" applyBorder="1" applyAlignment="1">
      <alignment horizontal="center" vertical="center"/>
    </xf>
    <xf numFmtId="168" fontId="32" fillId="0" borderId="3" xfId="4" applyNumberFormat="1" applyFont="1" applyBorder="1" applyAlignment="1">
      <alignment horizontal="center" vertical="center"/>
    </xf>
    <xf numFmtId="168" fontId="32" fillId="0" borderId="4" xfId="4" applyNumberFormat="1" applyFont="1" applyBorder="1" applyAlignment="1">
      <alignment horizontal="center" vertical="center"/>
    </xf>
    <xf numFmtId="0" fontId="5" fillId="7" borderId="4" xfId="0" applyFont="1" applyFill="1" applyBorder="1" applyAlignment="1">
      <alignment horizontal="center" vertical="center"/>
    </xf>
    <xf numFmtId="0" fontId="21" fillId="0" borderId="3" xfId="0" applyFont="1" applyBorder="1" applyAlignment="1">
      <alignment vertical="center"/>
    </xf>
    <xf numFmtId="0" fontId="21" fillId="0" borderId="2" xfId="0" applyFont="1" applyBorder="1" applyAlignment="1">
      <alignment vertical="center"/>
    </xf>
    <xf numFmtId="0" fontId="21" fillId="0" borderId="4" xfId="0" applyFont="1" applyBorder="1" applyAlignment="1">
      <alignment vertical="center"/>
    </xf>
    <xf numFmtId="0" fontId="2" fillId="0" borderId="1" xfId="0" applyFont="1" applyBorder="1" applyAlignment="1">
      <alignment horizontal="center" vertical="center"/>
    </xf>
    <xf numFmtId="0" fontId="51" fillId="7" borderId="13" xfId="0" applyFont="1" applyFill="1" applyBorder="1" applyAlignment="1">
      <alignment horizontal="center" vertical="top" wrapText="1"/>
    </xf>
    <xf numFmtId="0" fontId="51" fillId="7" borderId="0" xfId="0" applyFont="1" applyFill="1" applyAlignment="1">
      <alignment horizontal="center" vertical="top" wrapText="1"/>
    </xf>
    <xf numFmtId="0" fontId="51" fillId="7" borderId="16" xfId="0" applyFont="1" applyFill="1" applyBorder="1" applyAlignment="1">
      <alignment horizontal="center" vertical="top" wrapText="1"/>
    </xf>
    <xf numFmtId="0" fontId="44" fillId="9" borderId="1" xfId="0" applyFont="1" applyFill="1" applyBorder="1" applyAlignment="1">
      <alignment horizontal="center"/>
    </xf>
    <xf numFmtId="0" fontId="57" fillId="9" borderId="3" xfId="0" quotePrefix="1" applyFont="1" applyFill="1" applyBorder="1" applyAlignment="1">
      <alignment horizontal="center" vertical="center" wrapText="1"/>
    </xf>
    <xf numFmtId="0" fontId="57" fillId="9" borderId="2" xfId="0" applyFont="1" applyFill="1" applyBorder="1" applyAlignment="1">
      <alignment horizontal="center" vertical="center" wrapText="1"/>
    </xf>
    <xf numFmtId="0" fontId="57" fillId="9" borderId="4" xfId="0" applyFont="1" applyFill="1" applyBorder="1" applyAlignment="1">
      <alignment horizontal="center" vertical="center" wrapText="1"/>
    </xf>
    <xf numFmtId="0" fontId="54" fillId="9" borderId="1" xfId="0" applyFont="1" applyFill="1" applyBorder="1" applyAlignment="1">
      <alignment horizontal="center" vertical="center" wrapText="1"/>
    </xf>
    <xf numFmtId="0" fontId="51" fillId="7" borderId="1" xfId="0" applyFont="1" applyFill="1" applyBorder="1" applyAlignment="1">
      <alignment horizontal="center" vertical="top" wrapText="1"/>
    </xf>
    <xf numFmtId="0" fontId="43" fillId="7" borderId="1" xfId="0" applyFont="1" applyFill="1" applyBorder="1" applyAlignment="1">
      <alignment horizontal="center" vertical="top" wrapText="1"/>
    </xf>
    <xf numFmtId="0" fontId="44" fillId="9" borderId="1" xfId="0" applyFont="1" applyFill="1" applyBorder="1" applyAlignment="1">
      <alignment horizontal="center"/>
    </xf>
    <xf numFmtId="0" fontId="44" fillId="9" borderId="24" xfId="0" applyFont="1" applyFill="1" applyBorder="1" applyAlignment="1"/>
    <xf numFmtId="0" fontId="44" fillId="9" borderId="6" xfId="0" applyFont="1" applyFill="1" applyBorder="1" applyAlignment="1"/>
    <xf numFmtId="0" fontId="44" fillId="9" borderId="13" xfId="0" applyFont="1" applyFill="1" applyBorder="1" applyAlignment="1"/>
    <xf numFmtId="0" fontId="44" fillId="9" borderId="16" xfId="0" applyFont="1" applyFill="1" applyBorder="1" applyAlignment="1"/>
    <xf numFmtId="0" fontId="44" fillId="9" borderId="10" xfId="0" applyFont="1" applyFill="1" applyBorder="1" applyAlignment="1"/>
    <xf numFmtId="0" fontId="44" fillId="9" borderId="12" xfId="0" applyFont="1" applyFill="1" applyBorder="1" applyAlignment="1"/>
    <xf numFmtId="0" fontId="6" fillId="4" borderId="17" xfId="0" applyFont="1" applyFill="1" applyBorder="1" applyAlignment="1">
      <alignment horizontal="center" vertical="center"/>
    </xf>
    <xf numFmtId="0" fontId="26" fillId="0" borderId="6" xfId="0" applyFont="1" applyBorder="1" applyAlignment="1">
      <alignment horizontal="center" vertical="center"/>
    </xf>
    <xf numFmtId="0" fontId="25" fillId="0" borderId="1" xfId="0" applyFont="1" applyBorder="1" applyAlignment="1">
      <alignment horizontal="center" vertical="center"/>
    </xf>
    <xf numFmtId="0" fontId="6" fillId="4" borderId="5" xfId="0" applyFont="1" applyFill="1" applyBorder="1" applyAlignment="1">
      <alignment horizontal="center" vertical="center"/>
    </xf>
    <xf numFmtId="0" fontId="6" fillId="4" borderId="18" xfId="0" applyFont="1" applyFill="1" applyBorder="1" applyAlignment="1">
      <alignment horizontal="center" vertical="center"/>
    </xf>
    <xf numFmtId="0" fontId="15" fillId="2" borderId="3" xfId="0" applyFont="1" applyFill="1" applyBorder="1" applyAlignment="1">
      <alignment vertical="center"/>
    </xf>
    <xf numFmtId="0" fontId="15" fillId="2" borderId="2" xfId="0" applyFont="1" applyFill="1" applyBorder="1" applyAlignment="1">
      <alignment vertical="center"/>
    </xf>
    <xf numFmtId="0" fontId="15" fillId="2" borderId="4" xfId="0" applyFont="1" applyFill="1" applyBorder="1" applyAlignment="1">
      <alignment vertical="center"/>
    </xf>
    <xf numFmtId="0" fontId="4" fillId="0" borderId="1" xfId="0" applyFont="1" applyBorder="1" applyAlignment="1">
      <alignment vertical="center"/>
    </xf>
    <xf numFmtId="0" fontId="22" fillId="0" borderId="6" xfId="0" applyFont="1" applyBorder="1" applyAlignment="1">
      <alignment horizontal="left" vertical="center"/>
    </xf>
    <xf numFmtId="0" fontId="12" fillId="0" borderId="7" xfId="0" applyFont="1" applyBorder="1"/>
    <xf numFmtId="0" fontId="12" fillId="0" borderId="8" xfId="0" applyFont="1" applyBorder="1"/>
    <xf numFmtId="0" fontId="12" fillId="0" borderId="9" xfId="0" applyFont="1" applyBorder="1"/>
    <xf numFmtId="0" fontId="9" fillId="3" borderId="3" xfId="0" applyFont="1" applyFill="1" applyBorder="1" applyAlignment="1">
      <alignment horizontal="center" vertical="center"/>
    </xf>
    <xf numFmtId="0" fontId="9" fillId="3" borderId="2" xfId="0" applyFont="1" applyFill="1" applyBorder="1" applyAlignment="1">
      <alignment horizontal="center" vertical="center"/>
    </xf>
    <xf numFmtId="0" fontId="9" fillId="3" borderId="4" xfId="0" applyFont="1" applyFill="1" applyBorder="1" applyAlignment="1">
      <alignment horizontal="center" vertical="center"/>
    </xf>
    <xf numFmtId="0" fontId="6" fillId="4" borderId="7" xfId="0" applyFont="1" applyFill="1" applyBorder="1" applyAlignment="1">
      <alignment horizontal="center" vertical="center"/>
    </xf>
    <xf numFmtId="0" fontId="6" fillId="4" borderId="8" xfId="0" applyFont="1" applyFill="1" applyBorder="1" applyAlignment="1">
      <alignment horizontal="center" vertical="center"/>
    </xf>
    <xf numFmtId="0" fontId="6" fillId="4" borderId="9" xfId="0" applyFont="1" applyFill="1" applyBorder="1" applyAlignment="1">
      <alignment horizontal="center" vertical="center"/>
    </xf>
    <xf numFmtId="0" fontId="6" fillId="4" borderId="19" xfId="0" applyFont="1" applyFill="1" applyBorder="1" applyAlignment="1">
      <alignment horizontal="center" vertical="center"/>
    </xf>
    <xf numFmtId="0" fontId="6" fillId="4" borderId="27" xfId="0" applyFont="1" applyFill="1" applyBorder="1" applyAlignment="1">
      <alignment horizontal="center" vertical="center"/>
    </xf>
    <xf numFmtId="0" fontId="6" fillId="4" borderId="20" xfId="0" applyFont="1" applyFill="1" applyBorder="1" applyAlignment="1">
      <alignment horizontal="center" vertical="center"/>
    </xf>
    <xf numFmtId="0" fontId="4" fillId="2" borderId="3" xfId="0" applyFont="1" applyFill="1" applyBorder="1" applyAlignment="1">
      <alignment horizontal="center" vertical="center"/>
    </xf>
    <xf numFmtId="0" fontId="4" fillId="2" borderId="4" xfId="0" applyFont="1" applyFill="1" applyBorder="1" applyAlignment="1">
      <alignment horizontal="center" vertical="center"/>
    </xf>
    <xf numFmtId="0" fontId="20" fillId="3" borderId="1" xfId="0" applyFont="1" applyFill="1" applyBorder="1" applyAlignment="1">
      <alignment horizontal="center" vertical="center"/>
    </xf>
    <xf numFmtId="165" fontId="22" fillId="5" borderId="1" xfId="0" applyNumberFormat="1" applyFont="1" applyFill="1" applyBorder="1" applyAlignment="1">
      <alignment horizontal="center" vertical="center"/>
    </xf>
    <xf numFmtId="165" fontId="22" fillId="0" borderId="1" xfId="0" applyNumberFormat="1" applyFont="1" applyBorder="1" applyAlignment="1">
      <alignment horizontal="center" vertical="center"/>
    </xf>
    <xf numFmtId="0" fontId="22" fillId="0" borderId="1" xfId="0" applyFont="1" applyBorder="1" applyAlignment="1">
      <alignment horizontal="center" vertical="center"/>
    </xf>
    <xf numFmtId="0" fontId="4" fillId="0" borderId="3" xfId="0" applyFont="1" applyBorder="1" applyAlignment="1">
      <alignment vertical="center"/>
    </xf>
    <xf numFmtId="0" fontId="4" fillId="0" borderId="2" xfId="0" applyFont="1" applyBorder="1" applyAlignment="1">
      <alignment vertical="center"/>
    </xf>
    <xf numFmtId="0" fontId="4" fillId="0" borderId="4" xfId="0" applyFont="1" applyBorder="1" applyAlignment="1">
      <alignment vertical="center"/>
    </xf>
    <xf numFmtId="0" fontId="6" fillId="3" borderId="3" xfId="0" applyFont="1" applyFill="1" applyBorder="1" applyAlignment="1">
      <alignment horizontal="center" vertical="center"/>
    </xf>
    <xf numFmtId="0" fontId="6" fillId="3" borderId="2" xfId="0" applyFont="1" applyFill="1" applyBorder="1" applyAlignment="1">
      <alignment horizontal="center" vertical="center"/>
    </xf>
    <xf numFmtId="0" fontId="6" fillId="3" borderId="4" xfId="0" applyFont="1" applyFill="1" applyBorder="1" applyAlignment="1">
      <alignment horizontal="center" vertical="center"/>
    </xf>
    <xf numFmtId="0" fontId="4" fillId="0" borderId="3" xfId="0" applyFont="1" applyBorder="1" applyAlignment="1">
      <alignment horizontal="center" vertical="center"/>
    </xf>
    <xf numFmtId="0" fontId="4" fillId="0" borderId="2" xfId="0" applyFont="1" applyBorder="1" applyAlignment="1">
      <alignment horizontal="center" vertical="center"/>
    </xf>
    <xf numFmtId="0" fontId="20" fillId="3" borderId="38" xfId="0" applyFont="1" applyFill="1" applyBorder="1" applyAlignment="1">
      <alignment horizontal="center" vertical="center"/>
    </xf>
    <xf numFmtId="0" fontId="20" fillId="3" borderId="37" xfId="0" applyFont="1" applyFill="1" applyBorder="1" applyAlignment="1">
      <alignment horizontal="center" vertical="center"/>
    </xf>
    <xf numFmtId="0" fontId="20" fillId="3" borderId="39" xfId="0" applyFont="1" applyFill="1" applyBorder="1" applyAlignment="1">
      <alignment horizontal="center" vertical="center"/>
    </xf>
    <xf numFmtId="0" fontId="9" fillId="2" borderId="3" xfId="0" applyFont="1" applyFill="1" applyBorder="1" applyAlignment="1">
      <alignment horizontal="center" vertical="top"/>
    </xf>
    <xf numFmtId="0" fontId="9" fillId="2" borderId="2" xfId="0" applyFont="1" applyFill="1" applyBorder="1" applyAlignment="1">
      <alignment horizontal="center" vertical="top"/>
    </xf>
    <xf numFmtId="0" fontId="9" fillId="2" borderId="4" xfId="0" applyFont="1" applyFill="1" applyBorder="1" applyAlignment="1">
      <alignment horizontal="center" vertical="top"/>
    </xf>
    <xf numFmtId="0" fontId="9" fillId="3" borderId="1" xfId="0" applyFont="1" applyFill="1" applyBorder="1" applyAlignment="1">
      <alignment horizontal="center" vertical="top"/>
    </xf>
    <xf numFmtId="0" fontId="9" fillId="3" borderId="1" xfId="0" applyFont="1" applyFill="1" applyBorder="1" applyAlignment="1">
      <alignment horizontal="center" vertical="center"/>
    </xf>
    <xf numFmtId="0" fontId="15" fillId="2" borderId="1" xfId="0" applyFont="1" applyFill="1" applyBorder="1" applyAlignment="1">
      <alignment horizontal="left" vertical="center"/>
    </xf>
    <xf numFmtId="0" fontId="9" fillId="2" borderId="1" xfId="0" applyFont="1" applyFill="1" applyBorder="1" applyAlignment="1">
      <alignment horizontal="left" vertical="top"/>
    </xf>
    <xf numFmtId="0" fontId="15" fillId="2" borderId="1" xfId="0" applyFont="1" applyFill="1" applyBorder="1" applyAlignment="1">
      <alignment horizontal="left" vertical="top"/>
    </xf>
    <xf numFmtId="0" fontId="4" fillId="0" borderId="1" xfId="0" applyFont="1" applyBorder="1" applyAlignment="1">
      <alignment horizontal="left" vertical="center"/>
    </xf>
    <xf numFmtId="0" fontId="15" fillId="2" borderId="1" xfId="0" applyFont="1" applyFill="1" applyBorder="1" applyAlignment="1">
      <alignment horizontal="center" vertical="center" wrapText="1"/>
    </xf>
    <xf numFmtId="0" fontId="14" fillId="2" borderId="3" xfId="0" applyFont="1" applyFill="1" applyBorder="1" applyAlignment="1">
      <alignment horizontal="center" vertical="top" wrapText="1"/>
    </xf>
    <xf numFmtId="0" fontId="14" fillId="2" borderId="2" xfId="0" applyFont="1" applyFill="1" applyBorder="1" applyAlignment="1">
      <alignment horizontal="center" vertical="top" wrapText="1"/>
    </xf>
    <xf numFmtId="0" fontId="14" fillId="2" borderId="4" xfId="0" applyFont="1" applyFill="1" applyBorder="1" applyAlignment="1">
      <alignment horizontal="center" vertical="top" wrapText="1"/>
    </xf>
    <xf numFmtId="0" fontId="2" fillId="0" borderId="3" xfId="0" applyFont="1" applyBorder="1" applyAlignment="1">
      <alignment horizontal="center" vertical="center"/>
    </xf>
    <xf numFmtId="0" fontId="2" fillId="0" borderId="2" xfId="0" applyFont="1" applyBorder="1" applyAlignment="1">
      <alignment horizontal="center" vertical="center"/>
    </xf>
    <xf numFmtId="0" fontId="2" fillId="0" borderId="4" xfId="0" applyFont="1" applyBorder="1" applyAlignment="1">
      <alignment horizontal="center" vertical="center"/>
    </xf>
    <xf numFmtId="0" fontId="14" fillId="2" borderId="1" xfId="0" applyFont="1" applyFill="1" applyBorder="1" applyAlignment="1">
      <alignment horizontal="center" vertical="top" wrapText="1"/>
    </xf>
    <xf numFmtId="0" fontId="9" fillId="2" borderId="1" xfId="0" applyFont="1" applyFill="1" applyBorder="1" applyAlignment="1">
      <alignment horizontal="center" vertical="top"/>
    </xf>
    <xf numFmtId="0" fontId="15" fillId="4" borderId="1" xfId="0" applyFont="1" applyFill="1" applyBorder="1" applyAlignment="1">
      <alignment horizontal="center" vertical="center"/>
    </xf>
    <xf numFmtId="0" fontId="23" fillId="0" borderId="13" xfId="0" applyFont="1" applyBorder="1" applyAlignment="1">
      <alignment horizontal="center" vertical="center"/>
    </xf>
    <xf numFmtId="0" fontId="23" fillId="0" borderId="0" xfId="0" applyFont="1" applyAlignment="1">
      <alignment horizontal="center" vertical="center"/>
    </xf>
    <xf numFmtId="0" fontId="23" fillId="0" borderId="16" xfId="0" applyFont="1" applyBorder="1" applyAlignment="1">
      <alignment horizontal="center" vertical="center"/>
    </xf>
    <xf numFmtId="0" fontId="3" fillId="0" borderId="3" xfId="0" applyFont="1" applyBorder="1" applyAlignment="1">
      <alignment horizontal="center" vertical="center"/>
    </xf>
    <xf numFmtId="0" fontId="3" fillId="0" borderId="4" xfId="0" applyFont="1" applyBorder="1" applyAlignment="1">
      <alignment horizontal="center" vertical="center"/>
    </xf>
    <xf numFmtId="0" fontId="3" fillId="0" borderId="5" xfId="0" applyFont="1" applyBorder="1" applyAlignment="1">
      <alignment horizontal="center" vertical="top"/>
    </xf>
    <xf numFmtId="0" fontId="3" fillId="0" borderId="24" xfId="0" applyFont="1" applyBorder="1" applyAlignment="1">
      <alignment horizontal="center" vertical="top"/>
    </xf>
    <xf numFmtId="0" fontId="3" fillId="0" borderId="6" xfId="0" applyFont="1" applyBorder="1" applyAlignment="1">
      <alignment horizontal="center" vertical="top"/>
    </xf>
    <xf numFmtId="0" fontId="17" fillId="0" borderId="7" xfId="0" applyFont="1" applyBorder="1" applyAlignment="1">
      <alignment horizontal="left" vertical="top" wrapText="1"/>
    </xf>
    <xf numFmtId="0" fontId="17" fillId="0" borderId="9" xfId="0" applyFont="1" applyBorder="1" applyAlignment="1">
      <alignment horizontal="left" vertical="top"/>
    </xf>
    <xf numFmtId="0" fontId="17" fillId="0" borderId="13" xfId="0" applyFont="1" applyBorder="1" applyAlignment="1">
      <alignment horizontal="left" vertical="top"/>
    </xf>
    <xf numFmtId="0" fontId="17" fillId="0" borderId="16" xfId="0" applyFont="1" applyBorder="1" applyAlignment="1">
      <alignment horizontal="left" vertical="top"/>
    </xf>
    <xf numFmtId="0" fontId="17" fillId="0" borderId="10" xfId="0" applyFont="1" applyBorder="1" applyAlignment="1">
      <alignment horizontal="left" vertical="top"/>
    </xf>
    <xf numFmtId="0" fontId="17" fillId="0" borderId="12" xfId="0" applyFont="1" applyBorder="1" applyAlignment="1">
      <alignment horizontal="left" vertical="top"/>
    </xf>
    <xf numFmtId="0" fontId="17" fillId="0" borderId="3" xfId="0" applyFont="1" applyBorder="1" applyAlignment="1">
      <alignment horizontal="center" vertical="center"/>
    </xf>
    <xf numFmtId="0" fontId="17" fillId="0" borderId="4" xfId="0" applyFont="1" applyBorder="1" applyAlignment="1">
      <alignment horizontal="center" vertical="center"/>
    </xf>
    <xf numFmtId="0" fontId="17" fillId="0" borderId="2" xfId="0" applyFont="1" applyBorder="1" applyAlignment="1">
      <alignment horizontal="center" vertical="center"/>
    </xf>
    <xf numFmtId="16" fontId="3" fillId="0" borderId="3" xfId="0" applyNumberFormat="1" applyFont="1" applyBorder="1" applyAlignment="1">
      <alignment horizontal="center" vertical="center"/>
    </xf>
    <xf numFmtId="0" fontId="3" fillId="0" borderId="2" xfId="0" applyFont="1" applyBorder="1" applyAlignment="1">
      <alignment horizontal="center" vertical="center"/>
    </xf>
    <xf numFmtId="0" fontId="18" fillId="0" borderId="7" xfId="0" applyFont="1" applyBorder="1" applyAlignment="1">
      <alignment horizontal="left" vertical="top" wrapText="1"/>
    </xf>
    <xf numFmtId="0" fontId="18" fillId="0" borderId="8" xfId="0" applyFont="1" applyBorder="1" applyAlignment="1">
      <alignment horizontal="left" vertical="top"/>
    </xf>
    <xf numFmtId="0" fontId="18" fillId="0" borderId="9" xfId="0" applyFont="1" applyBorder="1" applyAlignment="1">
      <alignment horizontal="left" vertical="top"/>
    </xf>
    <xf numFmtId="0" fontId="18" fillId="0" borderId="13" xfId="0" applyFont="1" applyBorder="1" applyAlignment="1">
      <alignment horizontal="left" vertical="top"/>
    </xf>
    <xf numFmtId="0" fontId="18" fillId="0" borderId="0" xfId="0" applyFont="1" applyAlignment="1">
      <alignment horizontal="left" vertical="top"/>
    </xf>
    <xf numFmtId="0" fontId="18" fillId="0" borderId="16" xfId="0" applyFont="1" applyBorder="1" applyAlignment="1">
      <alignment horizontal="left" vertical="top"/>
    </xf>
    <xf numFmtId="0" fontId="18" fillId="0" borderId="10" xfId="0" applyFont="1" applyBorder="1" applyAlignment="1">
      <alignment horizontal="left" vertical="top"/>
    </xf>
    <xf numFmtId="0" fontId="18" fillId="0" borderId="11" xfId="0" applyFont="1" applyBorder="1" applyAlignment="1">
      <alignment horizontal="left" vertical="top"/>
    </xf>
    <xf numFmtId="0" fontId="18" fillId="0" borderId="12" xfId="0" applyFont="1" applyBorder="1" applyAlignment="1">
      <alignment horizontal="left" vertical="top"/>
    </xf>
    <xf numFmtId="0" fontId="3" fillId="0" borderId="10" xfId="0" applyFont="1" applyBorder="1" applyAlignment="1">
      <alignment horizontal="center"/>
    </xf>
    <xf numFmtId="0" fontId="3" fillId="0" borderId="11" xfId="0" applyFont="1" applyBorder="1" applyAlignment="1">
      <alignment horizontal="center"/>
    </xf>
    <xf numFmtId="0" fontId="3" fillId="0" borderId="12" xfId="0" applyFont="1" applyBorder="1" applyAlignment="1">
      <alignment horizontal="center"/>
    </xf>
    <xf numFmtId="0" fontId="22" fillId="0" borderId="6" xfId="0" applyFont="1" applyBorder="1" applyAlignment="1">
      <alignment vertical="center" wrapText="1"/>
    </xf>
    <xf numFmtId="0" fontId="14" fillId="2" borderId="3" xfId="0" applyFont="1" applyFill="1" applyBorder="1" applyAlignment="1">
      <alignment horizontal="center" vertical="top"/>
    </xf>
    <xf numFmtId="0" fontId="14" fillId="2" borderId="2" xfId="0" applyFont="1" applyFill="1" applyBorder="1" applyAlignment="1">
      <alignment horizontal="center" vertical="top"/>
    </xf>
    <xf numFmtId="0" fontId="14" fillId="2" borderId="4" xfId="0" applyFont="1" applyFill="1" applyBorder="1" applyAlignment="1">
      <alignment horizontal="center" vertical="top"/>
    </xf>
    <xf numFmtId="0" fontId="9" fillId="2" borderId="1" xfId="0" applyFont="1" applyFill="1" applyBorder="1" applyAlignment="1">
      <alignment horizontal="left" vertical="top" wrapText="1"/>
    </xf>
    <xf numFmtId="0" fontId="14" fillId="2" borderId="1" xfId="0" applyFont="1" applyFill="1" applyBorder="1" applyAlignment="1">
      <alignment horizontal="center" vertical="top"/>
    </xf>
    <xf numFmtId="0" fontId="5" fillId="0" borderId="38" xfId="0" applyFont="1" applyBorder="1" applyAlignment="1">
      <alignment horizontal="left" vertical="center"/>
    </xf>
    <xf numFmtId="0" fontId="5" fillId="0" borderId="37" xfId="0" applyFont="1" applyBorder="1" applyAlignment="1">
      <alignment horizontal="left" vertical="center"/>
    </xf>
    <xf numFmtId="0" fontId="5" fillId="0" borderId="10" xfId="0" applyFont="1" applyBorder="1" applyAlignment="1">
      <alignment horizontal="left" vertical="center"/>
    </xf>
    <xf numFmtId="0" fontId="5" fillId="0" borderId="11" xfId="0" applyFont="1" applyBorder="1" applyAlignment="1">
      <alignment horizontal="left" vertical="center"/>
    </xf>
    <xf numFmtId="0" fontId="22" fillId="0" borderId="3" xfId="0" applyFont="1" applyBorder="1" applyAlignment="1">
      <alignment horizontal="center" vertical="center"/>
    </xf>
    <xf numFmtId="0" fontId="22" fillId="0" borderId="4" xfId="0" applyFont="1" applyBorder="1" applyAlignment="1">
      <alignment horizontal="center" vertical="center"/>
    </xf>
    <xf numFmtId="0" fontId="22" fillId="0" borderId="3" xfId="0" quotePrefix="1" applyFont="1" applyBorder="1" applyAlignment="1">
      <alignment horizontal="center" vertical="center"/>
    </xf>
    <xf numFmtId="0" fontId="6" fillId="4" borderId="7" xfId="0" applyFont="1" applyFill="1" applyBorder="1" applyAlignment="1">
      <alignment horizontal="center" vertical="center" wrapText="1"/>
    </xf>
    <xf numFmtId="0" fontId="6" fillId="4" borderId="9" xfId="0" applyFont="1" applyFill="1" applyBorder="1" applyAlignment="1">
      <alignment horizontal="center" vertical="center" wrapText="1"/>
    </xf>
    <xf numFmtId="0" fontId="6" fillId="4" borderId="19" xfId="0" applyFont="1" applyFill="1" applyBorder="1" applyAlignment="1">
      <alignment horizontal="center" vertical="center" wrapText="1"/>
    </xf>
    <xf numFmtId="0" fontId="6" fillId="4" borderId="20" xfId="0" applyFont="1" applyFill="1" applyBorder="1" applyAlignment="1">
      <alignment horizontal="center" vertical="center" wrapText="1"/>
    </xf>
    <xf numFmtId="0" fontId="22" fillId="0" borderId="10" xfId="0" applyFont="1" applyBorder="1" applyAlignment="1">
      <alignment horizontal="center" vertical="center"/>
    </xf>
    <xf numFmtId="0" fontId="22" fillId="0" borderId="12" xfId="0" applyFont="1" applyBorder="1" applyAlignment="1">
      <alignment horizontal="center" vertical="center"/>
    </xf>
    <xf numFmtId="0" fontId="6" fillId="4" borderId="3" xfId="0" applyFont="1" applyFill="1" applyBorder="1" applyAlignment="1">
      <alignment horizontal="center" vertical="center" wrapText="1"/>
    </xf>
    <xf numFmtId="0" fontId="6" fillId="4" borderId="2" xfId="0" applyFont="1" applyFill="1" applyBorder="1" applyAlignment="1">
      <alignment horizontal="center" vertical="center" wrapText="1"/>
    </xf>
    <xf numFmtId="0" fontId="6" fillId="4" borderId="4" xfId="0" applyFont="1" applyFill="1" applyBorder="1" applyAlignment="1">
      <alignment horizontal="center" vertical="center" wrapText="1"/>
    </xf>
    <xf numFmtId="167" fontId="4" fillId="0" borderId="38" xfId="0" applyNumberFormat="1" applyFont="1" applyBorder="1" applyAlignment="1">
      <alignment horizontal="center" vertical="center"/>
    </xf>
    <xf numFmtId="167" fontId="4" fillId="0" borderId="39" xfId="0" applyNumberFormat="1" applyFont="1" applyBorder="1" applyAlignment="1">
      <alignment horizontal="center" vertical="center"/>
    </xf>
    <xf numFmtId="0" fontId="6" fillId="4" borderId="5" xfId="0" applyFont="1" applyFill="1" applyBorder="1" applyAlignment="1">
      <alignment horizontal="center" vertical="center" wrapText="1"/>
    </xf>
    <xf numFmtId="0" fontId="6" fillId="4" borderId="18" xfId="0" applyFont="1" applyFill="1" applyBorder="1" applyAlignment="1">
      <alignment horizontal="center" vertical="center" wrapText="1"/>
    </xf>
    <xf numFmtId="0" fontId="6" fillId="4" borderId="21" xfId="0" applyFont="1" applyFill="1" applyBorder="1" applyAlignment="1">
      <alignment horizontal="center" vertical="center" wrapText="1"/>
    </xf>
    <xf numFmtId="0" fontId="6" fillId="4" borderId="22" xfId="0" applyFont="1" applyFill="1" applyBorder="1" applyAlignment="1">
      <alignment horizontal="center" vertical="center" wrapText="1"/>
    </xf>
    <xf numFmtId="20" fontId="4" fillId="0" borderId="13" xfId="0" applyNumberFormat="1" applyFont="1" applyBorder="1" applyAlignment="1">
      <alignment horizontal="center" vertical="center"/>
    </xf>
    <xf numFmtId="20" fontId="4" fillId="0" borderId="16" xfId="0" applyNumberFormat="1" applyFont="1" applyBorder="1" applyAlignment="1">
      <alignment horizontal="center" vertical="center"/>
    </xf>
    <xf numFmtId="20" fontId="22" fillId="0" borderId="10" xfId="0" applyNumberFormat="1" applyFont="1" applyBorder="1" applyAlignment="1">
      <alignment horizontal="center" vertical="center"/>
    </xf>
    <xf numFmtId="20" fontId="22" fillId="0" borderId="12" xfId="0" applyNumberFormat="1" applyFont="1" applyBorder="1" applyAlignment="1">
      <alignment horizontal="center" vertical="center"/>
    </xf>
    <xf numFmtId="20" fontId="4" fillId="0" borderId="3" xfId="0" applyNumberFormat="1" applyFont="1" applyBorder="1" applyAlignment="1">
      <alignment horizontal="center" vertical="center"/>
    </xf>
    <xf numFmtId="20" fontId="4" fillId="0" borderId="4" xfId="0" applyNumberFormat="1" applyFont="1" applyBorder="1" applyAlignment="1">
      <alignment horizontal="center" vertical="center"/>
    </xf>
    <xf numFmtId="0" fontId="4" fillId="0" borderId="4" xfId="0" applyFont="1" applyBorder="1" applyAlignment="1">
      <alignment horizontal="center" vertical="center"/>
    </xf>
    <xf numFmtId="0" fontId="22" fillId="0" borderId="6" xfId="0" applyFont="1" applyBorder="1" applyAlignment="1">
      <alignment horizontal="center" vertical="center"/>
    </xf>
    <xf numFmtId="0" fontId="6" fillId="4" borderId="1" xfId="0" applyFont="1" applyFill="1" applyBorder="1" applyAlignment="1">
      <alignment horizontal="center" vertical="center" wrapText="1"/>
    </xf>
    <xf numFmtId="0" fontId="6" fillId="4" borderId="17" xfId="0" applyFont="1" applyFill="1" applyBorder="1" applyAlignment="1">
      <alignment horizontal="center" vertical="center" wrapText="1"/>
    </xf>
    <xf numFmtId="167" fontId="4" fillId="0" borderId="3" xfId="0" applyNumberFormat="1" applyFont="1" applyBorder="1" applyAlignment="1">
      <alignment horizontal="center" vertical="center"/>
    </xf>
    <xf numFmtId="167" fontId="4" fillId="0" borderId="4" xfId="0" applyNumberFormat="1" applyFont="1" applyBorder="1" applyAlignment="1">
      <alignment horizontal="center" vertical="center"/>
    </xf>
    <xf numFmtId="0" fontId="6" fillId="4" borderId="23" xfId="0" applyFont="1" applyFill="1" applyBorder="1" applyAlignment="1">
      <alignment horizontal="center" vertical="center"/>
    </xf>
    <xf numFmtId="0" fontId="5" fillId="0" borderId="7" xfId="0" applyFont="1" applyBorder="1" applyAlignment="1">
      <alignment horizontal="center" vertical="center"/>
    </xf>
    <xf numFmtId="0" fontId="5" fillId="0" borderId="8" xfId="0" applyFont="1" applyBorder="1" applyAlignment="1">
      <alignment horizontal="center" vertical="center"/>
    </xf>
    <xf numFmtId="0" fontId="5" fillId="0" borderId="9" xfId="0" applyFont="1" applyBorder="1" applyAlignment="1">
      <alignment horizontal="center" vertical="center"/>
    </xf>
    <xf numFmtId="0" fontId="5" fillId="0" borderId="13" xfId="0" applyFont="1" applyBorder="1" applyAlignment="1">
      <alignment horizontal="center" vertical="center"/>
    </xf>
    <xf numFmtId="0" fontId="5" fillId="0" borderId="0" xfId="0" applyFont="1" applyAlignment="1">
      <alignment horizontal="center" vertical="center"/>
    </xf>
    <xf numFmtId="0" fontId="5" fillId="0" borderId="16" xfId="0" applyFont="1" applyBorder="1" applyAlignment="1">
      <alignment horizontal="center" vertical="center"/>
    </xf>
    <xf numFmtId="0" fontId="5" fillId="0" borderId="10" xfId="0" applyFont="1" applyBorder="1" applyAlignment="1">
      <alignment horizontal="center" vertical="center"/>
    </xf>
    <xf numFmtId="0" fontId="5" fillId="0" borderId="11" xfId="0" applyFont="1" applyBorder="1" applyAlignment="1">
      <alignment horizontal="center" vertical="center"/>
    </xf>
    <xf numFmtId="0" fontId="5" fillId="0" borderId="12" xfId="0" applyFont="1" applyBorder="1" applyAlignment="1">
      <alignment horizontal="center" vertical="center"/>
    </xf>
    <xf numFmtId="0" fontId="6" fillId="4" borderId="21" xfId="0" applyFont="1" applyFill="1" applyBorder="1" applyAlignment="1">
      <alignment horizontal="center" vertical="center"/>
    </xf>
    <xf numFmtId="0" fontId="6" fillId="4" borderId="22" xfId="0" applyFont="1" applyFill="1" applyBorder="1" applyAlignment="1">
      <alignment horizontal="center" vertical="center"/>
    </xf>
    <xf numFmtId="0" fontId="6" fillId="4" borderId="3" xfId="0" applyFont="1" applyFill="1" applyBorder="1" applyAlignment="1">
      <alignment horizontal="center" vertical="center"/>
    </xf>
    <xf numFmtId="0" fontId="6" fillId="4" borderId="2" xfId="0" applyFont="1" applyFill="1" applyBorder="1" applyAlignment="1">
      <alignment horizontal="center" vertical="center"/>
    </xf>
    <xf numFmtId="0" fontId="6" fillId="4" borderId="4" xfId="0" applyFont="1" applyFill="1" applyBorder="1" applyAlignment="1">
      <alignment horizontal="center" vertical="center"/>
    </xf>
    <xf numFmtId="0" fontId="4" fillId="0" borderId="16" xfId="0" applyFont="1" applyBorder="1" applyAlignment="1">
      <alignment horizontal="center" vertical="center"/>
    </xf>
    <xf numFmtId="0" fontId="11" fillId="0" borderId="7" xfId="0" applyFont="1" applyBorder="1" applyAlignment="1">
      <alignment horizontal="center" vertical="center"/>
    </xf>
    <xf numFmtId="0" fontId="11" fillId="0" borderId="8" xfId="0" applyFont="1" applyBorder="1" applyAlignment="1">
      <alignment horizontal="center" vertical="center"/>
    </xf>
    <xf numFmtId="0" fontId="11" fillId="0" borderId="9" xfId="0" applyFont="1" applyBorder="1" applyAlignment="1">
      <alignment horizontal="center" vertical="center"/>
    </xf>
    <xf numFmtId="0" fontId="11" fillId="0" borderId="13" xfId="0" applyFont="1" applyBorder="1" applyAlignment="1">
      <alignment horizontal="center" vertical="center"/>
    </xf>
    <xf numFmtId="0" fontId="11" fillId="0" borderId="0" xfId="0" applyFont="1" applyAlignment="1">
      <alignment horizontal="center" vertical="center"/>
    </xf>
    <xf numFmtId="0" fontId="11" fillId="0" borderId="16" xfId="0" applyFont="1" applyBorder="1" applyAlignment="1">
      <alignment horizontal="center" vertical="center"/>
    </xf>
    <xf numFmtId="0" fontId="11" fillId="0" borderId="10" xfId="0" applyFont="1" applyBorder="1" applyAlignment="1">
      <alignment horizontal="center" vertical="center"/>
    </xf>
    <xf numFmtId="0" fontId="11" fillId="0" borderId="11" xfId="0" applyFont="1" applyBorder="1" applyAlignment="1">
      <alignment horizontal="center" vertical="center"/>
    </xf>
    <xf numFmtId="0" fontId="11" fillId="0" borderId="12" xfId="0" applyFont="1" applyBorder="1" applyAlignment="1">
      <alignment horizontal="center" vertical="center"/>
    </xf>
    <xf numFmtId="0" fontId="6" fillId="4" borderId="25" xfId="0" applyFont="1" applyFill="1" applyBorder="1" applyAlignment="1">
      <alignment horizontal="center" vertical="center"/>
    </xf>
    <xf numFmtId="0" fontId="6" fillId="4" borderId="26" xfId="0" applyFont="1" applyFill="1" applyBorder="1" applyAlignment="1">
      <alignment horizontal="center" vertical="center"/>
    </xf>
    <xf numFmtId="0" fontId="6" fillId="4" borderId="8" xfId="0" applyFont="1" applyFill="1" applyBorder="1" applyAlignment="1">
      <alignment horizontal="center" vertical="center" wrapText="1"/>
    </xf>
    <xf numFmtId="0" fontId="4" fillId="0" borderId="38" xfId="0" applyFont="1" applyBorder="1" applyAlignment="1">
      <alignment horizontal="center" vertical="center"/>
    </xf>
    <xf numFmtId="0" fontId="4" fillId="0" borderId="39" xfId="0" applyFont="1" applyBorder="1" applyAlignment="1">
      <alignment horizontal="center" vertical="center"/>
    </xf>
    <xf numFmtId="0" fontId="0" fillId="0" borderId="3" xfId="0" applyBorder="1" applyAlignment="1">
      <alignment horizontal="center" vertical="center"/>
    </xf>
    <xf numFmtId="0" fontId="0" fillId="0" borderId="4" xfId="0" applyBorder="1" applyAlignment="1">
      <alignment horizontal="center" vertical="center"/>
    </xf>
    <xf numFmtId="0" fontId="6" fillId="0" borderId="0" xfId="0" applyFont="1" applyAlignment="1">
      <alignment horizontal="center" vertical="top"/>
    </xf>
    <xf numFmtId="165" fontId="4" fillId="0" borderId="3" xfId="0" applyNumberFormat="1" applyFont="1" applyBorder="1" applyAlignment="1">
      <alignment horizontal="center" vertical="center"/>
    </xf>
    <xf numFmtId="165" fontId="4" fillId="0" borderId="4" xfId="0" applyNumberFormat="1" applyFont="1" applyBorder="1" applyAlignment="1">
      <alignment horizontal="center" vertical="center"/>
    </xf>
    <xf numFmtId="165" fontId="4" fillId="0" borderId="13" xfId="0" applyNumberFormat="1" applyFont="1" applyBorder="1" applyAlignment="1">
      <alignment horizontal="center" vertical="center"/>
    </xf>
    <xf numFmtId="165" fontId="4" fillId="0" borderId="16" xfId="0" applyNumberFormat="1" applyFont="1" applyBorder="1" applyAlignment="1">
      <alignment horizontal="center" vertical="center"/>
    </xf>
    <xf numFmtId="0" fontId="0" fillId="0" borderId="1" xfId="0" applyBorder="1" applyAlignment="1">
      <alignment horizontal="center" vertical="center" wrapText="1"/>
    </xf>
    <xf numFmtId="0" fontId="2" fillId="0" borderId="1" xfId="0" applyFont="1" applyBorder="1" applyAlignment="1">
      <alignment horizontal="center" vertical="center"/>
    </xf>
    <xf numFmtId="1" fontId="28" fillId="0" borderId="1" xfId="0" applyNumberFormat="1" applyFont="1" applyBorder="1" applyAlignment="1">
      <alignment horizontal="left" vertical="center"/>
    </xf>
    <xf numFmtId="0" fontId="27" fillId="0" borderId="13" xfId="0" applyFont="1" applyBorder="1" applyAlignment="1">
      <alignment horizontal="left" vertical="top" wrapText="1"/>
    </xf>
    <xf numFmtId="0" fontId="27" fillId="0" borderId="0" xfId="0" applyFont="1" applyAlignment="1">
      <alignment horizontal="left" vertical="top"/>
    </xf>
    <xf numFmtId="0" fontId="27" fillId="0" borderId="16" xfId="0" applyFont="1" applyBorder="1" applyAlignment="1">
      <alignment horizontal="left" vertical="top"/>
    </xf>
    <xf numFmtId="0" fontId="27" fillId="0" borderId="13" xfId="0" applyFont="1" applyBorder="1" applyAlignment="1">
      <alignment horizontal="left" vertical="top"/>
    </xf>
    <xf numFmtId="0" fontId="27" fillId="0" borderId="10" xfId="0" applyFont="1" applyBorder="1" applyAlignment="1">
      <alignment horizontal="left" vertical="top"/>
    </xf>
    <xf numFmtId="0" fontId="27" fillId="0" borderId="11" xfId="0" applyFont="1" applyBorder="1" applyAlignment="1">
      <alignment horizontal="left" vertical="top"/>
    </xf>
    <xf numFmtId="0" fontId="27" fillId="0" borderId="12" xfId="0" applyFont="1" applyBorder="1" applyAlignment="1">
      <alignment horizontal="left" vertical="top"/>
    </xf>
    <xf numFmtId="0" fontId="0" fillId="0" borderId="13" xfId="0" applyBorder="1" applyAlignment="1">
      <alignment horizontal="center" vertical="center"/>
    </xf>
    <xf numFmtId="0" fontId="0" fillId="0" borderId="10" xfId="0" applyBorder="1" applyAlignment="1">
      <alignment horizontal="center" vertical="center"/>
    </xf>
    <xf numFmtId="0" fontId="0" fillId="0" borderId="7" xfId="0" applyBorder="1" applyAlignment="1">
      <alignment horizontal="left" vertical="top" wrapText="1"/>
    </xf>
    <xf numFmtId="0" fontId="0" fillId="0" borderId="8" xfId="0" applyBorder="1" applyAlignment="1">
      <alignment horizontal="left" vertical="top" wrapText="1"/>
    </xf>
    <xf numFmtId="0" fontId="0" fillId="0" borderId="13" xfId="0" applyBorder="1" applyAlignment="1">
      <alignment horizontal="left" vertical="top" wrapText="1"/>
    </xf>
    <xf numFmtId="0" fontId="0" fillId="0" borderId="0" xfId="0" applyAlignment="1">
      <alignment horizontal="left" vertical="top" wrapText="1"/>
    </xf>
    <xf numFmtId="0" fontId="0" fillId="0" borderId="10" xfId="0" applyBorder="1" applyAlignment="1">
      <alignment horizontal="left" vertical="top" wrapText="1"/>
    </xf>
    <xf numFmtId="0" fontId="0" fillId="0" borderId="11" xfId="0" applyBorder="1" applyAlignment="1">
      <alignment horizontal="left" vertical="top" wrapText="1"/>
    </xf>
    <xf numFmtId="170" fontId="6" fillId="6" borderId="5" xfId="0" applyNumberFormat="1" applyFont="1" applyFill="1" applyBorder="1" applyAlignment="1">
      <alignment horizontal="center" vertical="center"/>
    </xf>
    <xf numFmtId="170" fontId="6" fillId="6" borderId="6" xfId="0" applyNumberFormat="1" applyFont="1" applyFill="1" applyBorder="1" applyAlignment="1">
      <alignment horizontal="center" vertical="center"/>
    </xf>
    <xf numFmtId="0" fontId="6" fillId="6" borderId="7" xfId="0" applyFont="1" applyFill="1" applyBorder="1" applyAlignment="1">
      <alignment horizontal="center" vertical="center" wrapText="1"/>
    </xf>
    <xf numFmtId="0" fontId="6" fillId="6" borderId="10" xfId="0" applyFont="1" applyFill="1" applyBorder="1" applyAlignment="1">
      <alignment horizontal="center" vertical="center" wrapText="1"/>
    </xf>
    <xf numFmtId="0" fontId="6" fillId="6" borderId="1" xfId="0" applyFont="1" applyFill="1" applyBorder="1" applyAlignment="1">
      <alignment horizontal="center" vertical="center" wrapText="1"/>
    </xf>
    <xf numFmtId="0" fontId="28" fillId="0" borderId="5" xfId="0" applyFont="1" applyBorder="1" applyAlignment="1">
      <alignment horizontal="center" vertical="center"/>
    </xf>
    <xf numFmtId="0" fontId="28" fillId="0" borderId="6" xfId="0" applyFont="1" applyBorder="1" applyAlignment="1">
      <alignment horizontal="center" vertical="center"/>
    </xf>
    <xf numFmtId="168" fontId="28" fillId="0" borderId="5" xfId="4" applyNumberFormat="1" applyFont="1" applyFill="1" applyBorder="1" applyAlignment="1">
      <alignment horizontal="center" vertical="center"/>
    </xf>
    <xf numFmtId="168" fontId="28" fillId="0" borderId="6" xfId="4" applyNumberFormat="1" applyFont="1" applyFill="1" applyBorder="1" applyAlignment="1">
      <alignment horizontal="center" vertical="center"/>
    </xf>
    <xf numFmtId="170" fontId="6" fillId="6" borderId="7" xfId="0" applyNumberFormat="1" applyFont="1" applyFill="1" applyBorder="1" applyAlignment="1">
      <alignment horizontal="center" vertical="center"/>
    </xf>
    <xf numFmtId="170" fontId="6" fillId="6" borderId="9" xfId="0" applyNumberFormat="1" applyFont="1" applyFill="1" applyBorder="1" applyAlignment="1">
      <alignment horizontal="center" vertical="center"/>
    </xf>
    <xf numFmtId="170" fontId="6" fillId="6" borderId="10" xfId="0" applyNumberFormat="1" applyFont="1" applyFill="1" applyBorder="1" applyAlignment="1">
      <alignment horizontal="center" vertical="center"/>
    </xf>
    <xf numFmtId="170" fontId="6" fillId="6" borderId="12" xfId="0" applyNumberFormat="1" applyFont="1" applyFill="1" applyBorder="1" applyAlignment="1">
      <alignment horizontal="center" vertical="center"/>
    </xf>
    <xf numFmtId="0" fontId="5" fillId="7" borderId="7" xfId="0" applyFont="1" applyFill="1" applyBorder="1" applyAlignment="1">
      <alignment horizontal="center" vertical="top"/>
    </xf>
    <xf numFmtId="0" fontId="5" fillId="7" borderId="9" xfId="0" applyFont="1" applyFill="1" applyBorder="1" applyAlignment="1">
      <alignment horizontal="center" vertical="top"/>
    </xf>
    <xf numFmtId="0" fontId="5" fillId="7" borderId="19" xfId="0" applyFont="1" applyFill="1" applyBorder="1" applyAlignment="1">
      <alignment horizontal="center" vertical="top"/>
    </xf>
    <xf numFmtId="0" fontId="5" fillId="7" borderId="20" xfId="0" applyFont="1" applyFill="1" applyBorder="1" applyAlignment="1">
      <alignment horizontal="center" vertical="top"/>
    </xf>
    <xf numFmtId="0" fontId="5" fillId="0" borderId="0" xfId="0" applyFont="1" applyAlignment="1">
      <alignment horizontal="center" vertical="top"/>
    </xf>
    <xf numFmtId="0" fontId="5" fillId="0" borderId="16" xfId="0" applyFont="1" applyBorder="1" applyAlignment="1">
      <alignment horizontal="center" vertical="top"/>
    </xf>
    <xf numFmtId="0" fontId="5" fillId="7" borderId="21" xfId="0" applyFont="1" applyFill="1" applyBorder="1" applyAlignment="1">
      <alignment horizontal="center" vertical="top"/>
    </xf>
    <xf numFmtId="0" fontId="5" fillId="7" borderId="22" xfId="0" applyFont="1" applyFill="1" applyBorder="1" applyAlignment="1">
      <alignment horizontal="center" vertical="top"/>
    </xf>
    <xf numFmtId="170" fontId="28" fillId="0" borderId="40" xfId="0" applyNumberFormat="1" applyFont="1" applyBorder="1" applyAlignment="1">
      <alignment horizontal="center" vertical="center"/>
    </xf>
    <xf numFmtId="170" fontId="28" fillId="0" borderId="41" xfId="0" applyNumberFormat="1" applyFont="1" applyBorder="1" applyAlignment="1">
      <alignment horizontal="center" vertical="center"/>
    </xf>
    <xf numFmtId="0" fontId="30" fillId="0" borderId="42" xfId="0" applyFont="1" applyBorder="1" applyAlignment="1">
      <alignment horizontal="center" vertical="center" wrapText="1"/>
    </xf>
    <xf numFmtId="0" fontId="22" fillId="0" borderId="42" xfId="0" applyFont="1" applyBorder="1" applyAlignment="1">
      <alignment horizontal="center" vertical="center" wrapText="1"/>
    </xf>
    <xf numFmtId="0" fontId="28" fillId="0" borderId="43" xfId="0" applyFont="1" applyBorder="1" applyAlignment="1">
      <alignment horizontal="center" vertical="center" wrapText="1"/>
    </xf>
    <xf numFmtId="168" fontId="28" fillId="0" borderId="40" xfId="4" applyNumberFormat="1" applyFont="1" applyBorder="1" applyAlignment="1">
      <alignment horizontal="center" vertical="center"/>
    </xf>
    <xf numFmtId="168" fontId="28" fillId="0" borderId="41" xfId="4" applyNumberFormat="1" applyFont="1" applyBorder="1" applyAlignment="1">
      <alignment horizontal="center" vertical="center"/>
    </xf>
    <xf numFmtId="0" fontId="21" fillId="0" borderId="19" xfId="0" applyFont="1" applyBorder="1" applyAlignment="1">
      <alignment vertical="center"/>
    </xf>
    <xf numFmtId="0" fontId="21" fillId="0" borderId="27" xfId="0" applyFont="1" applyBorder="1" applyAlignment="1">
      <alignment vertical="center"/>
    </xf>
    <xf numFmtId="0" fontId="21" fillId="0" borderId="20" xfId="0" applyFont="1" applyBorder="1" applyAlignment="1">
      <alignment vertical="center"/>
    </xf>
    <xf numFmtId="0" fontId="5" fillId="0" borderId="40" xfId="0" applyFont="1" applyBorder="1" applyAlignment="1">
      <alignment horizontal="left" vertical="center"/>
    </xf>
    <xf numFmtId="0" fontId="5" fillId="0" borderId="43" xfId="0" applyFont="1" applyBorder="1" applyAlignment="1">
      <alignment horizontal="left" vertical="center"/>
    </xf>
    <xf numFmtId="0" fontId="5" fillId="0" borderId="41" xfId="0" applyFont="1" applyBorder="1" applyAlignment="1">
      <alignment horizontal="left" vertical="center"/>
    </xf>
    <xf numFmtId="0" fontId="5" fillId="7" borderId="5" xfId="0" applyFont="1" applyFill="1" applyBorder="1" applyAlignment="1">
      <alignment horizontal="center" vertical="top"/>
    </xf>
    <xf numFmtId="0" fontId="5" fillId="7" borderId="18" xfId="0" applyFont="1" applyFill="1" applyBorder="1" applyAlignment="1">
      <alignment horizontal="center" vertical="top"/>
    </xf>
    <xf numFmtId="0" fontId="5" fillId="7" borderId="3" xfId="0" applyFont="1" applyFill="1" applyBorder="1" applyAlignment="1">
      <alignment horizontal="center" vertical="top"/>
    </xf>
    <xf numFmtId="0" fontId="5" fillId="7" borderId="2" xfId="0" applyFont="1" applyFill="1" applyBorder="1" applyAlignment="1">
      <alignment horizontal="center" vertical="top"/>
    </xf>
    <xf numFmtId="0" fontId="5" fillId="7" borderId="4" xfId="0" applyFont="1" applyFill="1" applyBorder="1" applyAlignment="1">
      <alignment horizontal="center" vertical="top"/>
    </xf>
    <xf numFmtId="0" fontId="5" fillId="7" borderId="8" xfId="0" applyFont="1" applyFill="1" applyBorder="1" applyAlignment="1">
      <alignment horizontal="center" vertical="top"/>
    </xf>
    <xf numFmtId="0" fontId="5" fillId="7" borderId="27" xfId="0" applyFont="1" applyFill="1" applyBorder="1" applyAlignment="1">
      <alignment horizontal="center" vertical="top"/>
    </xf>
    <xf numFmtId="0" fontId="5" fillId="7" borderId="3" xfId="0" applyFont="1" applyFill="1" applyBorder="1" applyAlignment="1">
      <alignment horizontal="center" vertical="center"/>
    </xf>
    <xf numFmtId="0" fontId="5" fillId="7" borderId="2" xfId="0" applyFont="1" applyFill="1" applyBorder="1" applyAlignment="1">
      <alignment horizontal="center" vertical="center"/>
    </xf>
    <xf numFmtId="0" fontId="5" fillId="7" borderId="4" xfId="0" applyFont="1" applyFill="1" applyBorder="1" applyAlignment="1">
      <alignment horizontal="center" vertical="center"/>
    </xf>
    <xf numFmtId="0" fontId="5" fillId="7" borderId="3" xfId="0" applyFont="1" applyFill="1" applyBorder="1" applyAlignment="1">
      <alignment horizontal="center" vertical="center" wrapText="1"/>
    </xf>
    <xf numFmtId="0" fontId="5" fillId="7" borderId="4" xfId="0" applyFont="1" applyFill="1" applyBorder="1" applyAlignment="1">
      <alignment horizontal="center" vertical="center" wrapText="1"/>
    </xf>
    <xf numFmtId="0" fontId="21" fillId="0" borderId="3" xfId="0" applyFont="1" applyBorder="1" applyAlignment="1">
      <alignment vertical="center"/>
    </xf>
    <xf numFmtId="0" fontId="21" fillId="0" borderId="2" xfId="0" applyFont="1" applyBorder="1" applyAlignment="1">
      <alignment vertical="center"/>
    </xf>
    <xf numFmtId="0" fontId="21" fillId="0" borderId="4" xfId="0" applyFont="1" applyBorder="1" applyAlignment="1">
      <alignment vertical="center"/>
    </xf>
    <xf numFmtId="0" fontId="21" fillId="0" borderId="1" xfId="0" applyFont="1" applyBorder="1" applyAlignment="1">
      <alignment vertical="center"/>
    </xf>
    <xf numFmtId="168" fontId="32" fillId="0" borderId="3" xfId="4" applyNumberFormat="1" applyFont="1" applyBorder="1" applyAlignment="1">
      <alignment horizontal="center" vertical="center"/>
    </xf>
    <xf numFmtId="168" fontId="32" fillId="0" borderId="4" xfId="4" applyNumberFormat="1" applyFont="1" applyBorder="1" applyAlignment="1">
      <alignment horizontal="center" vertical="center"/>
    </xf>
    <xf numFmtId="0" fontId="5" fillId="0" borderId="3" xfId="0" applyFont="1" applyBorder="1" applyAlignment="1">
      <alignment horizontal="left" vertical="center"/>
    </xf>
    <xf numFmtId="0" fontId="5" fillId="0" borderId="4" xfId="0" applyFont="1" applyBorder="1" applyAlignment="1">
      <alignment horizontal="left" vertical="center"/>
    </xf>
    <xf numFmtId="0" fontId="4" fillId="0" borderId="1" xfId="0" applyFont="1" applyBorder="1" applyAlignment="1">
      <alignment horizontal="center" vertical="center"/>
    </xf>
    <xf numFmtId="0" fontId="5" fillId="0" borderId="40" xfId="0" applyFont="1" applyBorder="1" applyAlignment="1">
      <alignment horizontal="center" vertical="center"/>
    </xf>
    <xf numFmtId="0" fontId="5" fillId="0" borderId="43" xfId="0" applyFont="1" applyBorder="1" applyAlignment="1">
      <alignment horizontal="center" vertical="center"/>
    </xf>
    <xf numFmtId="0" fontId="5" fillId="0" borderId="41" xfId="0" applyFont="1" applyBorder="1" applyAlignment="1">
      <alignment horizontal="center" vertical="center"/>
    </xf>
    <xf numFmtId="0" fontId="23" fillId="5" borderId="49" xfId="0" applyFont="1" applyFill="1" applyBorder="1" applyAlignment="1">
      <alignment horizontal="left" vertical="center" wrapText="1"/>
    </xf>
    <xf numFmtId="0" fontId="23" fillId="5" borderId="48" xfId="0" applyFont="1" applyFill="1" applyBorder="1" applyAlignment="1">
      <alignment horizontal="left" vertical="center" wrapText="1"/>
    </xf>
    <xf numFmtId="0" fontId="23" fillId="5" borderId="47" xfId="0" applyFont="1" applyFill="1" applyBorder="1" applyAlignment="1">
      <alignment horizontal="left" vertical="center" wrapText="1"/>
    </xf>
    <xf numFmtId="0" fontId="23" fillId="5" borderId="13" xfId="0" applyFont="1" applyFill="1" applyBorder="1" applyAlignment="1">
      <alignment horizontal="left" vertical="center" wrapText="1"/>
    </xf>
    <xf numFmtId="0" fontId="23" fillId="5" borderId="0" xfId="0" applyFont="1" applyFill="1" applyAlignment="1">
      <alignment horizontal="left" vertical="center" wrapText="1"/>
    </xf>
    <xf numFmtId="0" fontId="23" fillId="5" borderId="16" xfId="0" applyFont="1" applyFill="1" applyBorder="1" applyAlignment="1">
      <alignment horizontal="left" vertical="center" wrapText="1"/>
    </xf>
    <xf numFmtId="0" fontId="5" fillId="7" borderId="1" xfId="0" applyFont="1" applyFill="1" applyBorder="1" applyAlignment="1">
      <alignment horizontal="center" vertical="center"/>
    </xf>
    <xf numFmtId="168" fontId="21" fillId="0" borderId="5" xfId="0" applyNumberFormat="1" applyFont="1" applyBorder="1" applyAlignment="1">
      <alignment horizontal="center" vertical="center"/>
    </xf>
    <xf numFmtId="168" fontId="21" fillId="0" borderId="6" xfId="0" applyNumberFormat="1" applyFont="1" applyBorder="1" applyAlignment="1">
      <alignment horizontal="center" vertical="center"/>
    </xf>
    <xf numFmtId="168" fontId="5" fillId="0" borderId="5" xfId="0" applyNumberFormat="1" applyFont="1" applyBorder="1" applyAlignment="1">
      <alignment horizontal="center" vertical="center"/>
    </xf>
    <xf numFmtId="168" fontId="5" fillId="0" borderId="6" xfId="0" applyNumberFormat="1" applyFont="1" applyBorder="1" applyAlignment="1">
      <alignment horizontal="center" vertical="center"/>
    </xf>
    <xf numFmtId="172" fontId="21" fillId="0" borderId="1" xfId="0" applyNumberFormat="1" applyFont="1" applyBorder="1" applyAlignment="1">
      <alignment horizontal="left" vertical="center"/>
    </xf>
    <xf numFmtId="0" fontId="5" fillId="0" borderId="6" xfId="0" applyFont="1" applyBorder="1" applyAlignment="1">
      <alignment horizontal="center" vertical="center"/>
    </xf>
    <xf numFmtId="168" fontId="28" fillId="0" borderId="3" xfId="0" applyNumberFormat="1" applyFont="1" applyBorder="1" applyAlignment="1">
      <alignment horizontal="center" vertical="center"/>
    </xf>
    <xf numFmtId="168" fontId="28" fillId="0" borderId="2" xfId="0" applyNumberFormat="1" applyFont="1" applyBorder="1" applyAlignment="1">
      <alignment horizontal="center" vertical="center"/>
    </xf>
    <xf numFmtId="168" fontId="28" fillId="0" borderId="4" xfId="0" applyNumberFormat="1" applyFont="1" applyBorder="1" applyAlignment="1">
      <alignment horizontal="center" vertical="center"/>
    </xf>
    <xf numFmtId="0" fontId="5" fillId="6" borderId="3" xfId="0" applyFont="1" applyFill="1" applyBorder="1" applyAlignment="1">
      <alignment horizontal="center" vertical="center"/>
    </xf>
    <xf numFmtId="0" fontId="5" fillId="6" borderId="2" xfId="0" applyFont="1" applyFill="1" applyBorder="1" applyAlignment="1">
      <alignment horizontal="center" vertical="center"/>
    </xf>
    <xf numFmtId="0" fontId="5" fillId="6" borderId="4" xfId="0" applyFont="1" applyFill="1" applyBorder="1" applyAlignment="1">
      <alignment horizontal="center" vertical="center"/>
    </xf>
    <xf numFmtId="0" fontId="39" fillId="0" borderId="7" xfId="0" applyFont="1" applyBorder="1" applyAlignment="1">
      <alignment horizontal="center" vertical="center"/>
    </xf>
    <xf numFmtId="0" fontId="39" fillId="0" borderId="8" xfId="0" applyFont="1" applyBorder="1" applyAlignment="1">
      <alignment horizontal="center" vertical="center"/>
    </xf>
    <xf numFmtId="0" fontId="39" fillId="0" borderId="9" xfId="0" applyFont="1" applyBorder="1" applyAlignment="1">
      <alignment horizontal="center" vertical="center"/>
    </xf>
    <xf numFmtId="0" fontId="39" fillId="0" borderId="13" xfId="0" applyFont="1" applyBorder="1" applyAlignment="1">
      <alignment horizontal="center" vertical="center"/>
    </xf>
    <xf numFmtId="0" fontId="39" fillId="0" borderId="0" xfId="0" applyFont="1" applyAlignment="1">
      <alignment horizontal="center" vertical="center"/>
    </xf>
    <xf numFmtId="0" fontId="39" fillId="0" borderId="16" xfId="0" applyFont="1" applyBorder="1" applyAlignment="1">
      <alignment horizontal="center" vertical="center"/>
    </xf>
    <xf numFmtId="0" fontId="23" fillId="5" borderId="49" xfId="0" applyFont="1" applyFill="1" applyBorder="1" applyAlignment="1">
      <alignment horizontal="left" vertical="center"/>
    </xf>
    <xf numFmtId="0" fontId="23" fillId="5" borderId="48" xfId="0" applyFont="1" applyFill="1" applyBorder="1" applyAlignment="1">
      <alignment horizontal="left" vertical="center"/>
    </xf>
    <xf numFmtId="0" fontId="6" fillId="0" borderId="0" xfId="0" applyFont="1" applyAlignment="1">
      <alignment horizontal="center" vertical="center"/>
    </xf>
    <xf numFmtId="0" fontId="6" fillId="0" borderId="16" xfId="0" applyFont="1" applyBorder="1" applyAlignment="1">
      <alignment horizontal="center" vertical="center"/>
    </xf>
    <xf numFmtId="0" fontId="2" fillId="0" borderId="3" xfId="2" applyFont="1" applyBorder="1" applyAlignment="1">
      <alignment horizontal="center" vertical="center"/>
    </xf>
    <xf numFmtId="0" fontId="2" fillId="0" borderId="2" xfId="2" applyFont="1" applyBorder="1" applyAlignment="1">
      <alignment horizontal="center" vertical="center"/>
    </xf>
    <xf numFmtId="0" fontId="2" fillId="0" borderId="4" xfId="2" applyFont="1" applyBorder="1" applyAlignment="1">
      <alignment horizontal="center" vertical="center"/>
    </xf>
    <xf numFmtId="0" fontId="44" fillId="9" borderId="5" xfId="0" applyFont="1" applyFill="1" applyBorder="1" applyAlignment="1">
      <alignment horizontal="center"/>
    </xf>
    <xf numFmtId="0" fontId="44" fillId="9" borderId="6" xfId="0" applyFont="1" applyFill="1" applyBorder="1" applyAlignment="1">
      <alignment horizontal="center"/>
    </xf>
    <xf numFmtId="0" fontId="44" fillId="9" borderId="7" xfId="0" applyFont="1" applyFill="1" applyBorder="1" applyAlignment="1">
      <alignment horizontal="center"/>
    </xf>
    <xf numFmtId="0" fontId="44" fillId="9" borderId="9" xfId="0" applyFont="1" applyFill="1" applyBorder="1" applyAlignment="1">
      <alignment horizontal="center"/>
    </xf>
    <xf numFmtId="0" fontId="44" fillId="9" borderId="10" xfId="0" applyFont="1" applyFill="1" applyBorder="1" applyAlignment="1">
      <alignment horizontal="center"/>
    </xf>
    <xf numFmtId="0" fontId="44" fillId="9" borderId="12" xfId="0" applyFont="1" applyFill="1" applyBorder="1" applyAlignment="1">
      <alignment horizontal="center"/>
    </xf>
    <xf numFmtId="0" fontId="1" fillId="0" borderId="3" xfId="2" applyBorder="1" applyAlignment="1">
      <alignment horizontal="center" vertical="center"/>
    </xf>
    <xf numFmtId="0" fontId="1" fillId="0" borderId="2" xfId="2" applyBorder="1" applyAlignment="1">
      <alignment horizontal="center" vertical="center"/>
    </xf>
    <xf numFmtId="0" fontId="1" fillId="0" borderId="4" xfId="2" applyBorder="1" applyAlignment="1">
      <alignment horizontal="center" vertical="center"/>
    </xf>
    <xf numFmtId="167" fontId="0" fillId="0" borderId="3" xfId="0" applyNumberFormat="1" applyBorder="1" applyAlignment="1">
      <alignment horizontal="center" vertical="center"/>
    </xf>
    <xf numFmtId="167" fontId="0" fillId="0" borderId="2" xfId="0" applyNumberFormat="1" applyBorder="1" applyAlignment="1">
      <alignment horizontal="center" vertical="center"/>
    </xf>
    <xf numFmtId="167" fontId="0" fillId="0" borderId="4" xfId="0" applyNumberFormat="1" applyBorder="1" applyAlignment="1">
      <alignment horizontal="center" vertical="center"/>
    </xf>
    <xf numFmtId="0" fontId="47" fillId="0" borderId="7" xfId="0" quotePrefix="1" applyFont="1" applyBorder="1" applyAlignment="1">
      <alignment horizontal="left" vertical="center" wrapText="1"/>
    </xf>
    <xf numFmtId="0" fontId="45" fillId="0" borderId="8" xfId="0" quotePrefix="1" applyFont="1" applyBorder="1" applyAlignment="1">
      <alignment horizontal="left" vertical="center" wrapText="1"/>
    </xf>
    <xf numFmtId="0" fontId="45" fillId="0" borderId="9" xfId="0" quotePrefix="1" applyFont="1" applyBorder="1" applyAlignment="1">
      <alignment horizontal="left" vertical="center" wrapText="1"/>
    </xf>
    <xf numFmtId="0" fontId="45" fillId="0" borderId="13" xfId="0" quotePrefix="1" applyFont="1" applyBorder="1" applyAlignment="1">
      <alignment horizontal="left" vertical="center" wrapText="1"/>
    </xf>
    <xf numFmtId="0" fontId="45" fillId="0" borderId="0" xfId="0" quotePrefix="1" applyFont="1" applyAlignment="1">
      <alignment horizontal="left" vertical="center" wrapText="1"/>
    </xf>
    <xf numFmtId="0" fontId="45" fillId="0" borderId="16" xfId="0" quotePrefix="1" applyFont="1" applyBorder="1" applyAlignment="1">
      <alignment horizontal="left" vertical="center" wrapText="1"/>
    </xf>
    <xf numFmtId="0" fontId="45" fillId="0" borderId="10" xfId="0" quotePrefix="1" applyFont="1" applyBorder="1" applyAlignment="1">
      <alignment horizontal="left" vertical="center" wrapText="1"/>
    </xf>
    <xf numFmtId="0" fontId="45" fillId="0" borderId="11" xfId="0" quotePrefix="1" applyFont="1" applyBorder="1" applyAlignment="1">
      <alignment horizontal="left" vertical="center" wrapText="1"/>
    </xf>
    <xf numFmtId="0" fontId="45" fillId="0" borderId="12" xfId="0" quotePrefix="1" applyFont="1" applyBorder="1" applyAlignment="1">
      <alignment horizontal="left" vertical="center" wrapText="1"/>
    </xf>
    <xf numFmtId="0" fontId="45" fillId="7" borderId="7" xfId="0" applyFont="1" applyFill="1" applyBorder="1" applyAlignment="1">
      <alignment horizontal="center" vertical="center" wrapText="1"/>
    </xf>
    <xf numFmtId="0" fontId="45" fillId="7" borderId="8" xfId="0" applyFont="1" applyFill="1" applyBorder="1" applyAlignment="1">
      <alignment horizontal="center" vertical="center" wrapText="1"/>
    </xf>
    <xf numFmtId="0" fontId="45" fillId="7" borderId="9" xfId="0" applyFont="1" applyFill="1" applyBorder="1" applyAlignment="1">
      <alignment horizontal="center" vertical="center" wrapText="1"/>
    </xf>
    <xf numFmtId="0" fontId="45" fillId="7" borderId="13" xfId="0" applyFont="1" applyFill="1" applyBorder="1" applyAlignment="1">
      <alignment horizontal="center" vertical="center" wrapText="1"/>
    </xf>
    <xf numFmtId="0" fontId="45" fillId="7" borderId="0" xfId="0" applyFont="1" applyFill="1" applyAlignment="1">
      <alignment horizontal="center" vertical="center" wrapText="1"/>
    </xf>
    <xf numFmtId="0" fontId="45" fillId="7" borderId="16" xfId="0" applyFont="1" applyFill="1" applyBorder="1" applyAlignment="1">
      <alignment horizontal="center" vertical="center" wrapText="1"/>
    </xf>
    <xf numFmtId="0" fontId="45" fillId="7" borderId="10" xfId="0" applyFont="1" applyFill="1" applyBorder="1" applyAlignment="1">
      <alignment horizontal="center" vertical="center" wrapText="1"/>
    </xf>
    <xf numFmtId="0" fontId="45" fillId="7" borderId="11" xfId="0" applyFont="1" applyFill="1" applyBorder="1" applyAlignment="1">
      <alignment horizontal="center" vertical="center" wrapText="1"/>
    </xf>
    <xf numFmtId="0" fontId="45" fillId="7" borderId="12" xfId="0" applyFont="1" applyFill="1" applyBorder="1" applyAlignment="1">
      <alignment horizontal="center" vertical="center" wrapText="1"/>
    </xf>
    <xf numFmtId="0" fontId="44" fillId="9" borderId="8" xfId="0" applyFont="1" applyFill="1" applyBorder="1" applyAlignment="1">
      <alignment horizontal="center"/>
    </xf>
    <xf numFmtId="0" fontId="44" fillId="9" borderId="13" xfId="0" applyFont="1" applyFill="1" applyBorder="1" applyAlignment="1">
      <alignment horizontal="center"/>
    </xf>
    <xf numFmtId="0" fontId="44" fillId="9" borderId="0" xfId="0" applyFont="1" applyFill="1" applyAlignment="1">
      <alignment horizontal="center"/>
    </xf>
    <xf numFmtId="0" fontId="44" fillId="9" borderId="16" xfId="0" applyFont="1" applyFill="1" applyBorder="1" applyAlignment="1">
      <alignment horizontal="center"/>
    </xf>
    <xf numFmtId="0" fontId="44" fillId="9" borderId="11" xfId="0" applyFont="1" applyFill="1" applyBorder="1" applyAlignment="1">
      <alignment horizontal="center"/>
    </xf>
    <xf numFmtId="0" fontId="0" fillId="0" borderId="16" xfId="0" applyBorder="1" applyAlignment="1">
      <alignment horizontal="center" vertical="center"/>
    </xf>
    <xf numFmtId="0" fontId="0" fillId="0" borderId="12" xfId="0" applyBorder="1" applyAlignment="1">
      <alignment horizontal="center" vertical="center"/>
    </xf>
    <xf numFmtId="0" fontId="0" fillId="0" borderId="0" xfId="0" applyAlignment="1">
      <alignment horizontal="left" vertical="top"/>
    </xf>
    <xf numFmtId="0" fontId="0" fillId="0" borderId="16" xfId="0" applyBorder="1" applyAlignment="1">
      <alignment horizontal="left" vertical="top"/>
    </xf>
    <xf numFmtId="0" fontId="0" fillId="0" borderId="13" xfId="0" applyBorder="1" applyAlignment="1">
      <alignment horizontal="left" vertical="top"/>
    </xf>
    <xf numFmtId="0" fontId="0" fillId="0" borderId="10" xfId="0" applyBorder="1" applyAlignment="1">
      <alignment horizontal="left" vertical="top"/>
    </xf>
    <xf numFmtId="0" fontId="0" fillId="0" borderId="11" xfId="0" applyBorder="1" applyAlignment="1">
      <alignment horizontal="left" vertical="top"/>
    </xf>
    <xf numFmtId="0" fontId="0" fillId="0" borderId="12" xfId="0" applyBorder="1" applyAlignment="1">
      <alignment horizontal="left" vertical="top"/>
    </xf>
    <xf numFmtId="0" fontId="1" fillId="0" borderId="10" xfId="2" applyBorder="1" applyAlignment="1">
      <alignment horizontal="center" vertical="center"/>
    </xf>
    <xf numFmtId="0" fontId="1" fillId="0" borderId="11" xfId="2" applyBorder="1" applyAlignment="1">
      <alignment horizontal="center" vertical="center"/>
    </xf>
    <xf numFmtId="0" fontId="1" fillId="0" borderId="12" xfId="2" applyBorder="1" applyAlignment="1">
      <alignment horizontal="center" vertical="center"/>
    </xf>
    <xf numFmtId="167" fontId="0" fillId="0" borderId="40" xfId="0" applyNumberFormat="1" applyBorder="1" applyAlignment="1">
      <alignment horizontal="center" vertical="center"/>
    </xf>
    <xf numFmtId="167" fontId="0" fillId="0" borderId="43" xfId="0" applyNumberFormat="1" applyBorder="1" applyAlignment="1">
      <alignment horizontal="center" vertical="center"/>
    </xf>
    <xf numFmtId="167" fontId="0" fillId="0" borderId="41" xfId="0" applyNumberFormat="1" applyBorder="1" applyAlignment="1">
      <alignment horizontal="center" vertical="center"/>
    </xf>
    <xf numFmtId="0" fontId="53" fillId="0" borderId="6" xfId="0" applyFont="1" applyBorder="1" applyAlignment="1">
      <alignment horizontal="left" vertical="center" wrapText="1"/>
    </xf>
    <xf numFmtId="171" fontId="53" fillId="0" borderId="6" xfId="0" applyNumberFormat="1" applyFont="1" applyBorder="1" applyAlignment="1">
      <alignment horizontal="center" vertical="center" wrapText="1"/>
    </xf>
    <xf numFmtId="0" fontId="52" fillId="0" borderId="1" xfId="0" applyFont="1" applyBorder="1" applyAlignment="1">
      <alignment horizontal="left" vertical="center" wrapText="1"/>
    </xf>
    <xf numFmtId="171" fontId="52" fillId="0" borderId="1" xfId="0" applyNumberFormat="1" applyFont="1" applyBorder="1" applyAlignment="1">
      <alignment horizontal="center" vertical="center" wrapText="1"/>
    </xf>
    <xf numFmtId="171" fontId="56" fillId="0" borderId="3" xfId="0" applyNumberFormat="1" applyFont="1" applyBorder="1" applyAlignment="1">
      <alignment horizontal="center" vertical="center" wrapText="1"/>
    </xf>
    <xf numFmtId="171" fontId="56" fillId="0" borderId="4" xfId="0" applyNumberFormat="1" applyFont="1" applyBorder="1" applyAlignment="1">
      <alignment horizontal="center" vertical="center" wrapText="1"/>
    </xf>
    <xf numFmtId="0" fontId="54" fillId="9" borderId="3" xfId="0" applyFont="1" applyFill="1" applyBorder="1" applyAlignment="1">
      <alignment horizontal="center" vertical="center" wrapText="1"/>
    </xf>
    <xf numFmtId="0" fontId="54" fillId="9" borderId="2" xfId="0" applyFont="1" applyFill="1" applyBorder="1" applyAlignment="1">
      <alignment horizontal="center" vertical="center" wrapText="1"/>
    </xf>
    <xf numFmtId="0" fontId="54" fillId="9" borderId="4" xfId="0" applyFont="1" applyFill="1" applyBorder="1" applyAlignment="1">
      <alignment horizontal="center" vertical="center" wrapText="1"/>
    </xf>
    <xf numFmtId="0" fontId="57" fillId="9" borderId="3" xfId="0" quotePrefix="1" applyFont="1" applyFill="1" applyBorder="1" applyAlignment="1">
      <alignment horizontal="center" vertical="center" wrapText="1"/>
    </xf>
    <xf numFmtId="0" fontId="57" fillId="9" borderId="2" xfId="0" applyFont="1" applyFill="1" applyBorder="1" applyAlignment="1">
      <alignment horizontal="center" vertical="center" wrapText="1"/>
    </xf>
    <xf numFmtId="0" fontId="57" fillId="9" borderId="4" xfId="0" applyFont="1" applyFill="1" applyBorder="1" applyAlignment="1">
      <alignment horizontal="center" vertical="center" wrapText="1"/>
    </xf>
    <xf numFmtId="0" fontId="54" fillId="9" borderId="1" xfId="0" applyFont="1" applyFill="1" applyBorder="1" applyAlignment="1">
      <alignment horizontal="center" vertical="center" wrapText="1"/>
    </xf>
    <xf numFmtId="0" fontId="58" fillId="7" borderId="10" xfId="0" applyFont="1" applyFill="1" applyBorder="1" applyAlignment="1">
      <alignment horizontal="center" vertical="top" wrapText="1"/>
    </xf>
    <xf numFmtId="0" fontId="58" fillId="7" borderId="12" xfId="0" applyFont="1" applyFill="1" applyBorder="1" applyAlignment="1">
      <alignment horizontal="center" vertical="top" wrapText="1"/>
    </xf>
    <xf numFmtId="0" fontId="51" fillId="7" borderId="3" xfId="0" applyFont="1" applyFill="1" applyBorder="1" applyAlignment="1">
      <alignment horizontal="center" vertical="top"/>
    </xf>
    <xf numFmtId="0" fontId="51" fillId="7" borderId="2" xfId="0" applyFont="1" applyFill="1" applyBorder="1" applyAlignment="1">
      <alignment horizontal="center" vertical="top"/>
    </xf>
    <xf numFmtId="0" fontId="51" fillId="7" borderId="4" xfId="0" applyFont="1" applyFill="1" applyBorder="1" applyAlignment="1">
      <alignment horizontal="center" vertical="top"/>
    </xf>
    <xf numFmtId="0" fontId="51" fillId="7" borderId="3" xfId="0" applyFont="1" applyFill="1" applyBorder="1" applyAlignment="1">
      <alignment horizontal="center" vertical="top" wrapText="1"/>
    </xf>
    <xf numFmtId="0" fontId="51" fillId="7" borderId="2" xfId="0" applyFont="1" applyFill="1" applyBorder="1" applyAlignment="1">
      <alignment horizontal="center" vertical="top" wrapText="1"/>
    </xf>
    <xf numFmtId="0" fontId="51" fillId="7" borderId="4" xfId="0" applyFont="1" applyFill="1" applyBorder="1" applyAlignment="1">
      <alignment horizontal="center" vertical="top" wrapText="1"/>
    </xf>
    <xf numFmtId="0" fontId="43" fillId="7" borderId="7" xfId="0" applyFont="1" applyFill="1" applyBorder="1" applyAlignment="1">
      <alignment horizontal="center" vertical="top" wrapText="1"/>
    </xf>
    <xf numFmtId="0" fontId="43" fillId="7" borderId="9" xfId="0" applyFont="1" applyFill="1" applyBorder="1" applyAlignment="1">
      <alignment horizontal="center" vertical="top" wrapText="1"/>
    </xf>
    <xf numFmtId="0" fontId="43" fillId="7" borderId="1" xfId="0" applyFont="1" applyFill="1" applyBorder="1" applyAlignment="1">
      <alignment horizontal="center" vertical="top" wrapText="1"/>
    </xf>
    <xf numFmtId="0" fontId="59" fillId="0" borderId="13" xfId="0" applyFont="1" applyBorder="1" applyAlignment="1">
      <alignment horizontal="left" vertical="top"/>
    </xf>
    <xf numFmtId="0" fontId="59" fillId="0" borderId="0" xfId="0" applyFont="1" applyAlignment="1">
      <alignment horizontal="left" vertical="top"/>
    </xf>
    <xf numFmtId="0" fontId="59" fillId="0" borderId="16" xfId="0" applyFont="1" applyBorder="1" applyAlignment="1">
      <alignment horizontal="left" vertical="top"/>
    </xf>
    <xf numFmtId="0" fontId="59" fillId="0" borderId="10" xfId="0" applyFont="1" applyBorder="1" applyAlignment="1">
      <alignment horizontal="left" vertical="top"/>
    </xf>
    <xf numFmtId="0" fontId="59" fillId="0" borderId="11" xfId="0" applyFont="1" applyBorder="1" applyAlignment="1">
      <alignment horizontal="left" vertical="top"/>
    </xf>
    <xf numFmtId="0" fontId="59" fillId="0" borderId="12" xfId="0" applyFont="1" applyBorder="1" applyAlignment="1">
      <alignment horizontal="left" vertical="top"/>
    </xf>
    <xf numFmtId="0" fontId="51" fillId="7" borderId="7" xfId="0" applyFont="1" applyFill="1" applyBorder="1" applyAlignment="1">
      <alignment horizontal="center" vertical="top" wrapText="1"/>
    </xf>
    <xf numFmtId="0" fontId="51" fillId="7" borderId="8" xfId="0" applyFont="1" applyFill="1" applyBorder="1" applyAlignment="1">
      <alignment horizontal="center" vertical="top" wrapText="1"/>
    </xf>
    <xf numFmtId="0" fontId="51" fillId="7" borderId="9" xfId="0" applyFont="1" applyFill="1" applyBorder="1" applyAlignment="1">
      <alignment horizontal="center" vertical="top" wrapText="1"/>
    </xf>
    <xf numFmtId="0" fontId="51" fillId="7" borderId="13" xfId="0" applyFont="1" applyFill="1" applyBorder="1" applyAlignment="1">
      <alignment horizontal="center" vertical="top" wrapText="1"/>
    </xf>
    <xf numFmtId="0" fontId="51" fillId="7" borderId="0" xfId="0" applyFont="1" applyFill="1" applyAlignment="1">
      <alignment horizontal="center" vertical="top" wrapText="1"/>
    </xf>
    <xf numFmtId="0" fontId="51" fillId="7" borderId="16" xfId="0" applyFont="1" applyFill="1" applyBorder="1" applyAlignment="1">
      <alignment horizontal="center" vertical="top" wrapText="1"/>
    </xf>
    <xf numFmtId="0" fontId="51" fillId="7" borderId="1" xfId="0" applyFont="1" applyFill="1" applyBorder="1" applyAlignment="1">
      <alignment horizontal="center" vertical="top" wrapText="1"/>
    </xf>
    <xf numFmtId="0" fontId="45" fillId="7" borderId="7" xfId="0" applyFont="1" applyFill="1" applyBorder="1" applyAlignment="1">
      <alignment horizontal="center" vertical="top" wrapText="1"/>
    </xf>
    <xf numFmtId="0" fontId="45" fillId="7" borderId="9" xfId="0" applyFont="1" applyFill="1" applyBorder="1" applyAlignment="1">
      <alignment horizontal="center" vertical="top" wrapText="1"/>
    </xf>
    <xf numFmtId="0" fontId="45" fillId="7" borderId="13" xfId="0" applyFont="1" applyFill="1" applyBorder="1" applyAlignment="1">
      <alignment horizontal="center" vertical="top" wrapText="1"/>
    </xf>
    <xf numFmtId="0" fontId="45" fillId="7" borderId="16" xfId="0" applyFont="1" applyFill="1" applyBorder="1" applyAlignment="1">
      <alignment horizontal="center" vertical="top" wrapText="1"/>
    </xf>
    <xf numFmtId="0" fontId="66" fillId="7" borderId="7" xfId="0" applyFont="1" applyFill="1" applyBorder="1" applyAlignment="1">
      <alignment horizontal="center" vertical="center" wrapText="1"/>
    </xf>
    <xf numFmtId="0" fontId="66" fillId="7" borderId="8" xfId="0" applyFont="1" applyFill="1" applyBorder="1" applyAlignment="1">
      <alignment horizontal="center" vertical="center" wrapText="1"/>
    </xf>
    <xf numFmtId="0" fontId="66" fillId="7" borderId="9" xfId="0" applyFont="1" applyFill="1" applyBorder="1" applyAlignment="1">
      <alignment horizontal="center" vertical="center" wrapText="1"/>
    </xf>
    <xf numFmtId="0" fontId="66" fillId="7" borderId="13" xfId="0" applyFont="1" applyFill="1" applyBorder="1" applyAlignment="1">
      <alignment horizontal="center" vertical="center" wrapText="1"/>
    </xf>
    <xf numFmtId="0" fontId="66" fillId="7" borderId="0" xfId="0" applyFont="1" applyFill="1" applyAlignment="1">
      <alignment horizontal="center" vertical="center" wrapText="1"/>
    </xf>
    <xf numFmtId="0" fontId="66" fillId="7" borderId="16" xfId="0" applyFont="1" applyFill="1" applyBorder="1" applyAlignment="1">
      <alignment horizontal="center" vertical="center" wrapText="1"/>
    </xf>
    <xf numFmtId="0" fontId="49" fillId="7" borderId="13" xfId="0" applyFont="1" applyFill="1" applyBorder="1" applyAlignment="1">
      <alignment horizontal="center" vertical="top" wrapText="1"/>
    </xf>
    <xf numFmtId="0" fontId="49" fillId="7" borderId="16" xfId="0" applyFont="1" applyFill="1" applyBorder="1" applyAlignment="1">
      <alignment horizontal="center" vertical="top" wrapText="1"/>
    </xf>
    <xf numFmtId="172" fontId="58" fillId="7" borderId="13" xfId="0" applyNumberFormat="1" applyFont="1" applyFill="1" applyBorder="1" applyAlignment="1">
      <alignment horizontal="center" vertical="top" wrapText="1"/>
    </xf>
    <xf numFmtId="172" fontId="58" fillId="7" borderId="16" xfId="0" applyNumberFormat="1" applyFont="1" applyFill="1" applyBorder="1" applyAlignment="1">
      <alignment horizontal="center" vertical="top" wrapText="1"/>
    </xf>
    <xf numFmtId="0" fontId="53" fillId="0" borderId="7" xfId="0" applyFont="1" applyBorder="1" applyAlignment="1">
      <alignment horizontal="center" vertical="center"/>
    </xf>
    <xf numFmtId="0" fontId="53" fillId="0" borderId="9" xfId="0" applyFont="1" applyBorder="1" applyAlignment="1">
      <alignment horizontal="center" vertical="center"/>
    </xf>
    <xf numFmtId="0" fontId="53" fillId="0" borderId="7" xfId="0" applyFont="1" applyBorder="1" applyAlignment="1">
      <alignment horizontal="left" vertical="center" wrapText="1"/>
    </xf>
    <xf numFmtId="0" fontId="53" fillId="0" borderId="8" xfId="0" applyFont="1" applyBorder="1" applyAlignment="1">
      <alignment horizontal="left" vertical="center" wrapText="1"/>
    </xf>
    <xf numFmtId="0" fontId="53" fillId="0" borderId="9" xfId="0" applyFont="1" applyBorder="1" applyAlignment="1">
      <alignment horizontal="left" vertical="center" wrapText="1"/>
    </xf>
    <xf numFmtId="0" fontId="44" fillId="9" borderId="1" xfId="0" applyFont="1" applyFill="1" applyBorder="1" applyAlignment="1">
      <alignment horizontal="center"/>
    </xf>
    <xf numFmtId="0" fontId="60" fillId="0" borderId="2" xfId="0" applyFont="1" applyBorder="1" applyAlignment="1">
      <alignment horizontal="center" vertical="center"/>
    </xf>
    <xf numFmtId="0" fontId="53" fillId="0" borderId="3" xfId="0" applyFont="1" applyBorder="1" applyAlignment="1">
      <alignment horizontal="center" vertical="center"/>
    </xf>
    <xf numFmtId="0" fontId="53" fillId="0" borderId="4" xfId="0" applyFont="1" applyBorder="1" applyAlignment="1">
      <alignment horizontal="center" vertical="center"/>
    </xf>
    <xf numFmtId="0" fontId="53" fillId="0" borderId="3" xfId="0" applyFont="1" applyBorder="1" applyAlignment="1">
      <alignment horizontal="left" vertical="center" wrapText="1"/>
    </xf>
    <xf numFmtId="0" fontId="53" fillId="0" borderId="2" xfId="0" applyFont="1" applyBorder="1" applyAlignment="1">
      <alignment horizontal="left" vertical="center" wrapText="1"/>
    </xf>
    <xf numFmtId="0" fontId="53" fillId="0" borderId="4" xfId="0" applyFont="1" applyBorder="1" applyAlignment="1">
      <alignment horizontal="left" vertical="center" wrapText="1"/>
    </xf>
    <xf numFmtId="0" fontId="60" fillId="0" borderId="8" xfId="0" applyFont="1" applyBorder="1" applyAlignment="1">
      <alignment horizontal="center" vertical="center"/>
    </xf>
    <xf numFmtId="0" fontId="43" fillId="0" borderId="16" xfId="0" applyFont="1" applyBorder="1" applyAlignment="1">
      <alignment horizontal="center" vertical="center" wrapText="1"/>
    </xf>
    <xf numFmtId="0" fontId="61" fillId="7" borderId="5" xfId="0" applyFont="1" applyFill="1" applyBorder="1" applyAlignment="1">
      <alignment horizontal="center" vertical="top" wrapText="1"/>
    </xf>
    <xf numFmtId="0" fontId="61" fillId="7" borderId="24" xfId="0" applyFont="1" applyFill="1" applyBorder="1" applyAlignment="1">
      <alignment horizontal="center" vertical="top" wrapText="1"/>
    </xf>
    <xf numFmtId="0" fontId="61" fillId="7" borderId="6" xfId="0" applyFont="1" applyFill="1" applyBorder="1" applyAlignment="1">
      <alignment horizontal="center" vertical="top" wrapText="1"/>
    </xf>
    <xf numFmtId="0" fontId="45" fillId="7" borderId="5" xfId="0" applyFont="1" applyFill="1" applyBorder="1" applyAlignment="1">
      <alignment horizontal="center" vertical="top"/>
    </xf>
    <xf numFmtId="0" fontId="45" fillId="7" borderId="24" xfId="0" applyFont="1" applyFill="1" applyBorder="1" applyAlignment="1">
      <alignment horizontal="center" vertical="top"/>
    </xf>
    <xf numFmtId="0" fontId="45" fillId="7" borderId="6" xfId="0" applyFont="1" applyFill="1" applyBorder="1" applyAlignment="1">
      <alignment horizontal="center" vertical="top"/>
    </xf>
    <xf numFmtId="0" fontId="45" fillId="7" borderId="7" xfId="0" applyFont="1" applyFill="1" applyBorder="1" applyAlignment="1">
      <alignment horizontal="center" vertical="top"/>
    </xf>
    <xf numFmtId="0" fontId="45" fillId="7" borderId="9" xfId="0" applyFont="1" applyFill="1" applyBorder="1" applyAlignment="1">
      <alignment horizontal="center" vertical="top"/>
    </xf>
    <xf numFmtId="0" fontId="45" fillId="7" borderId="13" xfId="0" applyFont="1" applyFill="1" applyBorder="1" applyAlignment="1">
      <alignment horizontal="center" vertical="top"/>
    </xf>
    <xf numFmtId="0" fontId="45" fillId="7" borderId="16" xfId="0" applyFont="1" applyFill="1" applyBorder="1" applyAlignment="1">
      <alignment horizontal="center" vertical="top"/>
    </xf>
    <xf numFmtId="0" fontId="45" fillId="7" borderId="10" xfId="0" applyFont="1" applyFill="1" applyBorder="1" applyAlignment="1">
      <alignment horizontal="center" vertical="top"/>
    </xf>
    <xf numFmtId="0" fontId="45" fillId="7" borderId="12" xfId="0" applyFont="1" applyFill="1" applyBorder="1" applyAlignment="1">
      <alignment horizontal="center" vertical="top"/>
    </xf>
    <xf numFmtId="0" fontId="51" fillId="7" borderId="5" xfId="0" applyFont="1" applyFill="1" applyBorder="1" applyAlignment="1">
      <alignment horizontal="center" vertical="top" wrapText="1"/>
    </xf>
    <xf numFmtId="0" fontId="51" fillId="7" borderId="24" xfId="0" applyFont="1" applyFill="1" applyBorder="1" applyAlignment="1">
      <alignment horizontal="center" vertical="top" wrapText="1"/>
    </xf>
    <xf numFmtId="0" fontId="51" fillId="7" borderId="6" xfId="0" applyFont="1" applyFill="1" applyBorder="1" applyAlignment="1">
      <alignment horizontal="center" vertical="top" wrapText="1"/>
    </xf>
    <xf numFmtId="0" fontId="51" fillId="7" borderId="10" xfId="0" applyFont="1" applyFill="1" applyBorder="1" applyAlignment="1">
      <alignment horizontal="center" vertical="top" wrapText="1"/>
    </xf>
    <xf numFmtId="0" fontId="51" fillId="7" borderId="11" xfId="0" applyFont="1" applyFill="1" applyBorder="1" applyAlignment="1">
      <alignment horizontal="center" vertical="top" wrapText="1"/>
    </xf>
    <xf numFmtId="0" fontId="51" fillId="7" borderId="12" xfId="0" applyFont="1" applyFill="1" applyBorder="1" applyAlignment="1">
      <alignment horizontal="center" vertical="top" wrapText="1"/>
    </xf>
    <xf numFmtId="0" fontId="45" fillId="7" borderId="10" xfId="0" applyFont="1" applyFill="1" applyBorder="1" applyAlignment="1">
      <alignment horizontal="center" vertical="top" wrapText="1"/>
    </xf>
    <xf numFmtId="0" fontId="45" fillId="7" borderId="12" xfId="0" applyFont="1" applyFill="1" applyBorder="1" applyAlignment="1">
      <alignment horizontal="center" vertical="top" wrapText="1"/>
    </xf>
    <xf numFmtId="0" fontId="51" fillId="7" borderId="7" xfId="0" applyFont="1" applyFill="1" applyBorder="1" applyAlignment="1">
      <alignment horizontal="center" vertical="top"/>
    </xf>
    <xf numFmtId="0" fontId="51" fillId="7" borderId="9" xfId="0" applyFont="1" applyFill="1" applyBorder="1" applyAlignment="1">
      <alignment horizontal="center" vertical="top"/>
    </xf>
    <xf numFmtId="0" fontId="51" fillId="7" borderId="13" xfId="0" applyFont="1" applyFill="1" applyBorder="1" applyAlignment="1">
      <alignment horizontal="center" vertical="top"/>
    </xf>
    <xf numFmtId="0" fontId="51" fillId="7" borderId="16" xfId="0" applyFont="1" applyFill="1" applyBorder="1" applyAlignment="1">
      <alignment horizontal="center" vertical="top"/>
    </xf>
    <xf numFmtId="0" fontId="51" fillId="7" borderId="10" xfId="0" applyFont="1" applyFill="1" applyBorder="1" applyAlignment="1">
      <alignment horizontal="center" vertical="top"/>
    </xf>
    <xf numFmtId="0" fontId="51" fillId="7" borderId="12" xfId="0" applyFont="1" applyFill="1" applyBorder="1" applyAlignment="1">
      <alignment horizontal="center" vertical="top"/>
    </xf>
    <xf numFmtId="0" fontId="51" fillId="7" borderId="8" xfId="0" applyFont="1" applyFill="1" applyBorder="1" applyAlignment="1">
      <alignment horizontal="center" vertical="top"/>
    </xf>
    <xf numFmtId="0" fontId="51" fillId="7" borderId="0" xfId="0" applyFont="1" applyFill="1" applyAlignment="1">
      <alignment horizontal="center" vertical="top"/>
    </xf>
    <xf numFmtId="0" fontId="51" fillId="7" borderId="11" xfId="0" applyFont="1" applyFill="1" applyBorder="1" applyAlignment="1">
      <alignment horizontal="center" vertical="top"/>
    </xf>
    <xf numFmtId="0" fontId="64" fillId="0" borderId="7" xfId="0" applyFont="1" applyBorder="1" applyAlignment="1">
      <alignment horizontal="center" vertical="center"/>
    </xf>
    <xf numFmtId="0" fontId="64" fillId="0" borderId="8" xfId="0" applyFont="1" applyBorder="1" applyAlignment="1">
      <alignment horizontal="center" vertical="center"/>
    </xf>
    <xf numFmtId="0" fontId="64" fillId="0" borderId="9" xfId="0" applyFont="1" applyBorder="1" applyAlignment="1">
      <alignment horizontal="center" vertical="center"/>
    </xf>
    <xf numFmtId="0" fontId="64" fillId="0" borderId="13" xfId="0" applyFont="1" applyBorder="1" applyAlignment="1">
      <alignment horizontal="center" vertical="center"/>
    </xf>
    <xf numFmtId="0" fontId="64" fillId="0" borderId="0" xfId="0" applyFont="1" applyAlignment="1">
      <alignment horizontal="center" vertical="center"/>
    </xf>
    <xf numFmtId="0" fontId="64" fillId="0" borderId="16" xfId="0" applyFont="1" applyBorder="1" applyAlignment="1">
      <alignment horizontal="center" vertical="center"/>
    </xf>
    <xf numFmtId="0" fontId="64" fillId="0" borderId="10" xfId="0" applyFont="1" applyBorder="1" applyAlignment="1">
      <alignment horizontal="center" vertical="center"/>
    </xf>
    <xf numFmtId="0" fontId="64" fillId="0" borderId="11" xfId="0" applyFont="1" applyBorder="1" applyAlignment="1">
      <alignment horizontal="center" vertical="center"/>
    </xf>
    <xf numFmtId="0" fontId="64" fillId="0" borderId="12" xfId="0" applyFont="1" applyBorder="1" applyAlignment="1">
      <alignment horizontal="center" vertical="center"/>
    </xf>
  </cellXfs>
  <cellStyles count="6">
    <cellStyle name="Comma [0] 2" xfId="1" xr:uid="{00000000-0005-0000-0000-000001000000}"/>
    <cellStyle name="Comma 2" xfId="4" xr:uid="{BDEF76FE-722D-423C-8D76-0ED2A1573986}"/>
    <cellStyle name="Normal" xfId="0" builtinId="0"/>
    <cellStyle name="Normal 2" xfId="2" xr:uid="{00000000-0005-0000-0000-000003000000}"/>
    <cellStyle name="Normal 3" xfId="5" xr:uid="{63BA8AEE-F5E3-490B-BDF7-172E3218D923}"/>
    <cellStyle name="Normal 4" xfId="3" xr:uid="{513369DC-F1FF-46B2-BD56-B0BD05164D31}"/>
  </cellStyles>
  <dxfs count="0"/>
  <tableStyles count="0" defaultTableStyle="TableStyleMedium2" defaultPivotStyle="PivotStyleLight16"/>
  <colors>
    <mruColors>
      <color rgb="FF0000CC"/>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5.xml"/><Relationship Id="rId13" Type="http://schemas.openxmlformats.org/officeDocument/2006/relationships/externalLink" Target="externalLinks/externalLink10.xml"/><Relationship Id="rId18" Type="http://schemas.openxmlformats.org/officeDocument/2006/relationships/externalLink" Target="externalLinks/externalLink15.xml"/><Relationship Id="rId26" Type="http://schemas.openxmlformats.org/officeDocument/2006/relationships/externalLink" Target="externalLinks/externalLink23.xml"/><Relationship Id="rId3" Type="http://schemas.openxmlformats.org/officeDocument/2006/relationships/worksheet" Target="worksheets/sheet3.xml"/><Relationship Id="rId21" Type="http://schemas.openxmlformats.org/officeDocument/2006/relationships/externalLink" Target="externalLinks/externalLink18.xml"/><Relationship Id="rId7" Type="http://schemas.openxmlformats.org/officeDocument/2006/relationships/externalLink" Target="externalLinks/externalLink4.xml"/><Relationship Id="rId12" Type="http://schemas.openxmlformats.org/officeDocument/2006/relationships/externalLink" Target="externalLinks/externalLink9.xml"/><Relationship Id="rId17" Type="http://schemas.openxmlformats.org/officeDocument/2006/relationships/externalLink" Target="externalLinks/externalLink14.xml"/><Relationship Id="rId25" Type="http://schemas.openxmlformats.org/officeDocument/2006/relationships/externalLink" Target="externalLinks/externalLink22.xml"/><Relationship Id="rId2" Type="http://schemas.openxmlformats.org/officeDocument/2006/relationships/worksheet" Target="worksheets/sheet2.xml"/><Relationship Id="rId16" Type="http://schemas.openxmlformats.org/officeDocument/2006/relationships/externalLink" Target="externalLinks/externalLink13.xml"/><Relationship Id="rId20" Type="http://schemas.openxmlformats.org/officeDocument/2006/relationships/externalLink" Target="externalLinks/externalLink17.xml"/><Relationship Id="rId29"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externalLink" Target="externalLinks/externalLink3.xml"/><Relationship Id="rId11" Type="http://schemas.openxmlformats.org/officeDocument/2006/relationships/externalLink" Target="externalLinks/externalLink8.xml"/><Relationship Id="rId24" Type="http://schemas.openxmlformats.org/officeDocument/2006/relationships/externalLink" Target="externalLinks/externalLink21.xml"/><Relationship Id="rId32" Type="http://schemas.openxmlformats.org/officeDocument/2006/relationships/calcChain" Target="calcChain.xml"/><Relationship Id="rId5" Type="http://schemas.openxmlformats.org/officeDocument/2006/relationships/externalLink" Target="externalLinks/externalLink2.xml"/><Relationship Id="rId15" Type="http://schemas.openxmlformats.org/officeDocument/2006/relationships/externalLink" Target="externalLinks/externalLink12.xml"/><Relationship Id="rId23" Type="http://schemas.openxmlformats.org/officeDocument/2006/relationships/externalLink" Target="externalLinks/externalLink20.xml"/><Relationship Id="rId28" Type="http://schemas.openxmlformats.org/officeDocument/2006/relationships/externalLink" Target="externalLinks/externalLink25.xml"/><Relationship Id="rId10" Type="http://schemas.openxmlformats.org/officeDocument/2006/relationships/externalLink" Target="externalLinks/externalLink7.xml"/><Relationship Id="rId19" Type="http://schemas.openxmlformats.org/officeDocument/2006/relationships/externalLink" Target="externalLinks/externalLink16.xml"/><Relationship Id="rId31" Type="http://schemas.openxmlformats.org/officeDocument/2006/relationships/sharedStrings" Target="sharedStrings.xml"/><Relationship Id="rId4" Type="http://schemas.openxmlformats.org/officeDocument/2006/relationships/externalLink" Target="externalLinks/externalLink1.xml"/><Relationship Id="rId9" Type="http://schemas.openxmlformats.org/officeDocument/2006/relationships/externalLink" Target="externalLinks/externalLink6.xml"/><Relationship Id="rId14" Type="http://schemas.openxmlformats.org/officeDocument/2006/relationships/externalLink" Target="externalLinks/externalLink11.xml"/><Relationship Id="rId22" Type="http://schemas.openxmlformats.org/officeDocument/2006/relationships/externalLink" Target="externalLinks/externalLink19.xml"/><Relationship Id="rId27" Type="http://schemas.openxmlformats.org/officeDocument/2006/relationships/externalLink" Target="externalLinks/externalLink24.xml"/><Relationship Id="rId30"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1.jpeg"/></Relationships>
</file>

<file path=xl/drawings/_rels/drawing3.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oneCellAnchor>
    <xdr:from>
      <xdr:col>6</xdr:col>
      <xdr:colOff>126999</xdr:colOff>
      <xdr:row>77</xdr:row>
      <xdr:rowOff>126999</xdr:rowOff>
    </xdr:from>
    <xdr:ext cx="825501" cy="878417"/>
    <xdr:pic>
      <xdr:nvPicPr>
        <xdr:cNvPr id="2" name="Picture 1">
          <a:extLst>
            <a:ext uri="{FF2B5EF4-FFF2-40B4-BE49-F238E27FC236}">
              <a16:creationId xmlns:a16="http://schemas.microsoft.com/office/drawing/2014/main" id="{2B7AC711-866A-49F3-8135-14E353C25530}"/>
            </a:ext>
          </a:extLst>
        </xdr:cNvPr>
        <xdr:cNvPicPr preferRelativeResize="0">
          <a:picLocks noChangeArrowheads="1"/>
        </xdr:cNvPicPr>
      </xdr:nvPicPr>
      <xdr:blipFill>
        <a:blip xmlns:r="http://schemas.openxmlformats.org/officeDocument/2006/relationships" r:embed="rId1"/>
        <a:srcRect/>
        <a:stretch>
          <a:fillRect/>
        </a:stretch>
      </xdr:blipFill>
      <xdr:spPr bwMode="auto">
        <a:xfrm>
          <a:off x="3784599" y="14795499"/>
          <a:ext cx="825501" cy="878417"/>
        </a:xfrm>
        <a:prstGeom prst="rect">
          <a:avLst/>
        </a:prstGeom>
        <a:noFill/>
        <a:ln w="9525">
          <a:noFill/>
          <a:miter lim="800000"/>
          <a:headEnd/>
          <a:tailEnd/>
        </a:ln>
      </xdr:spPr>
    </xdr:pic>
    <xdr:clientData/>
  </xdr:oneCellAnchor>
</xdr:wsDr>
</file>

<file path=xl/drawings/drawing2.xml><?xml version="1.0" encoding="utf-8"?>
<xdr:wsDr xmlns:xdr="http://schemas.openxmlformats.org/drawingml/2006/spreadsheetDrawing" xmlns:a="http://schemas.openxmlformats.org/drawingml/2006/main">
  <xdr:oneCellAnchor>
    <xdr:from>
      <xdr:col>5</xdr:col>
      <xdr:colOff>102099</xdr:colOff>
      <xdr:row>86</xdr:row>
      <xdr:rowOff>135717</xdr:rowOff>
    </xdr:from>
    <xdr:ext cx="825501" cy="878417"/>
    <xdr:pic>
      <xdr:nvPicPr>
        <xdr:cNvPr id="2" name="Picture 1">
          <a:extLst>
            <a:ext uri="{FF2B5EF4-FFF2-40B4-BE49-F238E27FC236}">
              <a16:creationId xmlns:a16="http://schemas.microsoft.com/office/drawing/2014/main" id="{CBFF13A1-85C3-43A0-9512-5448C221663C}"/>
            </a:ext>
          </a:extLst>
        </xdr:cNvPr>
        <xdr:cNvPicPr preferRelativeResize="0">
          <a:picLocks noChangeArrowheads="1"/>
        </xdr:cNvPicPr>
      </xdr:nvPicPr>
      <xdr:blipFill>
        <a:blip xmlns:r="http://schemas.openxmlformats.org/officeDocument/2006/relationships" r:embed="rId1"/>
        <a:srcRect/>
        <a:stretch>
          <a:fillRect/>
        </a:stretch>
      </xdr:blipFill>
      <xdr:spPr bwMode="auto">
        <a:xfrm>
          <a:off x="4407399" y="20824017"/>
          <a:ext cx="825501" cy="878417"/>
        </a:xfrm>
        <a:prstGeom prst="rect">
          <a:avLst/>
        </a:prstGeom>
        <a:noFill/>
        <a:ln w="9525">
          <a:noFill/>
          <a:miter lim="800000"/>
          <a:headEnd/>
          <a:tailEnd/>
        </a:ln>
      </xdr:spPr>
    </xdr:pic>
    <xdr:clientData/>
  </xdr:oneCellAnchor>
</xdr:wsDr>
</file>

<file path=xl/drawings/drawing3.xml><?xml version="1.0" encoding="utf-8"?>
<xdr:wsDr xmlns:xdr="http://schemas.openxmlformats.org/drawingml/2006/spreadsheetDrawing" xmlns:a="http://schemas.openxmlformats.org/drawingml/2006/main">
  <xdr:twoCellAnchor editAs="oneCell">
    <xdr:from>
      <xdr:col>6</xdr:col>
      <xdr:colOff>109803</xdr:colOff>
      <xdr:row>54</xdr:row>
      <xdr:rowOff>14552</xdr:rowOff>
    </xdr:from>
    <xdr:to>
      <xdr:col>7</xdr:col>
      <xdr:colOff>234157</xdr:colOff>
      <xdr:row>57</xdr:row>
      <xdr:rowOff>142875</xdr:rowOff>
    </xdr:to>
    <xdr:pic>
      <xdr:nvPicPr>
        <xdr:cNvPr id="2" name="Picture 1">
          <a:extLst>
            <a:ext uri="{FF2B5EF4-FFF2-40B4-BE49-F238E27FC236}">
              <a16:creationId xmlns:a16="http://schemas.microsoft.com/office/drawing/2014/main" id="{89100204-3A98-4E48-85CF-A3F3BE145990}"/>
            </a:ext>
          </a:extLst>
        </xdr:cNvPr>
        <xdr:cNvPicPr preferRelativeResize="0">
          <a:picLocks noChangeArrowheads="1"/>
        </xdr:cNvPicPr>
      </xdr:nvPicPr>
      <xdr:blipFill>
        <a:blip xmlns:r="http://schemas.openxmlformats.org/officeDocument/2006/relationships" r:embed="rId1"/>
        <a:srcRect/>
        <a:stretch>
          <a:fillRect/>
        </a:stretch>
      </xdr:blipFill>
      <xdr:spPr bwMode="auto">
        <a:xfrm>
          <a:off x="3462603" y="20483777"/>
          <a:ext cx="829204" cy="871273"/>
        </a:xfrm>
        <a:prstGeom prst="rect">
          <a:avLst/>
        </a:prstGeom>
        <a:noFill/>
        <a:ln w="9525">
          <a:noFill/>
          <a:miter lim="800000"/>
          <a:headEnd/>
          <a:tailEnd/>
        </a:ln>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Pasi-19\NEW%20BUSINESS%20PLAN\Revised%20%234\PEMI%20S-PLAN-D%202005%201%20~%20%206%20R3rev7.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A:\WIP3.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10.62.126.145\Documents%20and%20Settings\nys-05\Desktop\SWCT%20big%20sub%208%20sa%201-4%20rhd.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B9619004\gmapdoc\Doc\&#36939;&#29992;\05&#27177;&#38480;\&#26989;&#21209;&#21029;&#27177;&#38480;&#35373;&#23450;&#34920;\&#27177;&#38480;&#35373;&#23450;&#34920;-WF.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A:\WINDOWS\TEMP\aldir0\061W&#65398;&#65394;&#65404;&#65389;\061W&#65398;&#65394;&#65404;&#65389;.XLS" TargetMode="External"/></Relationships>
</file>

<file path=xl/externalLinks/_rels/externalLink6.xml.rels><?xml version="1.0" encoding="UTF-8" standalone="yes"?>
<Relationships xmlns="http://schemas.openxmlformats.org/package/2006/relationships"><Relationship Id="rId1" Type="http://schemas.microsoft.com/office/2006/relationships/xlExternalLinkPath/xlPathMissing" Target="RecoveredExternalLink3"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10.62.124.218\File%20Sharing\726&#12539;728&#20986;&#22259;&#31649;&#29702;\726&#36554;&#20001;&#37096;&#21697;&#20986;&#22259;&#31649;&#29702;\726MISSION.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Pasi-19\NEW%20BUSINESS%20PLAN\Revised%20%234\S-PLAN%20JAI%20ok2.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Tapcws3147\c\My%20Documents\SUB%20ASSY\702.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Sw519022\KAIGAI\Documents%20and%20Settings\K.OOSUKA\&#12487;&#12473;&#12463;&#12488;&#12483;&#12503;\&#20445;&#23432;EIP&#12498;&#12450;&#12522;&#12531;&#12464;&#26368;&#32066;\&#26087;4261\&#12304;E-group&#12305;\&#9632;%20BMW%20&#9632;\&#12304;MOLD%20DR&#12305;\E63\E60\&#12501;&#12521;&#12483;&#12464;&#12471;&#12483;&#12503;.xls"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Users/juan-p/Documents/Fin%20Acc/BP%20Term%2075/Charge%2075/PEMI_Charge+setting+report+for+P75(sample)_&#35500;&#26126;&#36861;&#21152;Ver2%20230115.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file:///\\Tapc.pe.pc.71\c\PRO.%20DESIGN\NAPA\PART-SER\702.xls"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file:///\\Ksg1ws1034\keiri1\Documents%20and%20Settings\ssn9pc1152\My%20Documents\&#24525;&#30000;&#12398;&#12362;&#20181;&#20107;\&#12381;&#12398;&#20182;\&#23455;&#35336;\&#23455;&#35336;&#19978;1.2003.xls"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file:///\\pasi-120\DATA\DATA\My%20Document\Budget\MAPS%202012\HYPERION%202012\SALES%20Term72\PASI%20USD\PASI%20USD%20MROA_(HS9)STF_Sales_Report_ver10.0.3%20Rev%20MH+USD+PI.xls"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file:///\\Xk20000\xk2&#20849;&#26377;&#12501;&#12457;\PT&#12288;ECS&#31649;&#29702;\VF38_&#37327;&#29987;&#28310;&#20633;&#20381;&#38972;&#26360;.xls"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Users/HTA/AppData/Local/Microsoft/Windows/Temporary%20Internet%20Files/Content.Outlook/VQ0BS4J0/&#12467;&#12500;&#12540;1512_YHV_Monthly_Report_%20(5).xls"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file:///\\Sw519022\KAIGAI\Documents%20and%20Settings\K.OOSUKA\&#12487;&#12473;&#12463;&#12488;&#12483;&#12503;\&#20445;&#23432;EIP&#12498;&#12450;&#12522;&#12531;&#12464;&#26368;&#32066;\&#26087;4261\&#12304;S-group&#12305;\&#38283;&#30330;&#12469;&#12452;&#12474;\&#26376;&#22577;\Follow_0004.xls"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file:///\\&#35373;&#65300;&#65400;&#65438;&#65433;&#65392;&#65420;&#65439;\DESIGN_4\WINDOWS\TEMP\aldir0\061W&#65398;&#65394;&#65404;&#65389;\061W&#65398;&#65394;&#65404;&#65389;.XLS"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file:///\\Prod_adm-05\DATA%20TRO\DOCUME~1\hadi-h\LOCALS~1\Temp\Laporan%20stock%20control\usage%20report%20by%20carline\Laporan%20stock%20control\Pemi%20B_1\5411.3%20Rincian%20Sparepart%20-%20Sp.%20Aplicator.xls"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Users/HTA/AppData/Local/Microsoft/Windows/Temporary%20Internet%20Files/Content.Outlook/VQ0BS4J0/SUAI%20&#20998;&#26512;&#12484;&#12540;&#12523;A%2075th_ver1%203%20(3).xlsm"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TOS%20Files/@YKK%20AP/SHARED/Inbox/Admin/BORGChat/Inbox/Anonymous/@HERFIN/Documents%20and%20Settings/Catherine/My%20Documents/ACCOUNTS/APR-SEPT'01/APR-SEPT'01/Account%201/Account/Sep00-9.xls"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file:///\\Prod_adm-05\DATA%20TRO\DOCUME~1\hadi-h\LOCALS~1\Temp\Laporan%20stock%20control\usage%20report%20by%20carline\Laporan%20stock%20control\Pemi%20B_1\Laporan%20stock%20control\Pemi%20B_1\5411.4.1%20Rincian%20Sparepart%20-%20Sp.%20Mesin%20B1.xls"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file:///\\Sw519022\KAIGAI\Documents%20and%20Settings\K.OOSUKA\&#12487;&#12473;&#12463;&#12488;&#12483;&#12503;\&#20445;&#23432;EIP&#12498;&#12450;&#12522;&#12531;&#12464;&#26368;&#32066;\&#26087;4261\KEEP%20FILE\&#65423;&#65416;&#65392;&#65404;&#65438;&#65426;&#65437;&#65412;&#22577;&#21578;\00&#19979;&#65423;&#65416;&#65392;&#65404;&#65438;&#65426;&#65437;&#65412;&#22577;&#21578;\&#12501;&#12521;&#12483;&#12464;&#12471;&#12483;&#12503;.xls"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file:///\\KIH1PC3190\&#20849;&#26377;\gijyutu1\&#31532;&#65297;&#25216;&#34899;&#37096;\&#29983;&#28310;\&#20234;&#34276;\&#65305;&#26376;&#65298;&#65302;&#26085;&#23550;&#24540;.xls"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1.%20ADMINISTRASI/3.%20BUDGET%20SECTION/1.%20BUDGET/7.%20BUDGET%20TERM%2084/10.%20PERJALANAN%20DINAS/1.%20PD%20SAI-JAI%2029%20-%2031%20Juli%202024_PIY%20&amp;%20GWS/24.07.29-31%20Juli%202024%20Tim%20NYS%20&amp;%20PRD%20ke%20SAI%20-%20JAI%20from%20GA.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YC target profit request"/>
      <sheetName val="PEMI  investment"/>
      <sheetName val="export asumption"/>
      <sheetName val="domestic asumption"/>
      <sheetName val="note"/>
      <sheetName val="check file"/>
      <sheetName val="S-PLAN"/>
      <sheetName val="GRAPH"/>
      <sheetName val="ass"/>
      <sheetName val="tb"/>
      <sheetName val="tb1"/>
      <sheetName val="B1"/>
      <sheetName val="B2"/>
      <sheetName val="PL"/>
      <sheetName val="BS"/>
      <sheetName val="Report"/>
      <sheetName val="S-PLAN (3)"/>
      <sheetName val="S-PLAN (4)"/>
      <sheetName val="S-PLAN (5)"/>
      <sheetName val="S-PLAN (6)"/>
      <sheetName val="S-PLAN (7)"/>
      <sheetName val="ACCOUNT"/>
      <sheetName val="MYZK02"/>
      <sheetName val="AtoA(Germany)"/>
      <sheetName val="MAT-IN"/>
      <sheetName val="投資ﾌｫﾛｰ"/>
      <sheetName val="00年9月"/>
      <sheetName val="LIST"/>
      <sheetName val="MASTER"/>
      <sheetName val="MASTER  LIST"/>
      <sheetName val="data"/>
      <sheetName val="Sheet1"/>
      <sheetName val="Sheet2"/>
      <sheetName val="YC_target_profit_request"/>
      <sheetName val="PEMI__investment"/>
      <sheetName val="export_asumption"/>
      <sheetName val="domestic_asumption"/>
      <sheetName val="check_file"/>
      <sheetName val="S-PLAN_(3)"/>
      <sheetName val="S-PLAN_(4)"/>
      <sheetName val="S-PLAN_(5)"/>
      <sheetName val="S-PLAN_(6)"/>
      <sheetName val="S-PLAN_(7)"/>
      <sheetName val="MASTER__LIST"/>
      <sheetName val="MTRX96"/>
      <sheetName val="為替レート"/>
      <sheetName val="ﾀﾘﾌ"/>
      <sheetName val="吊上げパ_20_"/>
      <sheetName val="YC_target_profit_request1"/>
      <sheetName val="PEMI__investment1"/>
      <sheetName val="export_asumption1"/>
      <sheetName val="domestic_asumption1"/>
      <sheetName val="check_file1"/>
      <sheetName val="S-PLAN_(3)1"/>
      <sheetName val="S-PLAN_(4)1"/>
      <sheetName val="S-PLAN_(5)1"/>
      <sheetName val="S-PLAN_(6)1"/>
      <sheetName val="S-PLAN_(7)1"/>
      <sheetName val="MASTER__LIST1"/>
      <sheetName val="YC_target_profit_request2"/>
      <sheetName val="PEMI__investment2"/>
      <sheetName val="export_asumption2"/>
      <sheetName val="domestic_asumption2"/>
      <sheetName val="check_file2"/>
      <sheetName val="S-PLAN_(3)2"/>
      <sheetName val="S-PLAN_(4)2"/>
      <sheetName val="S-PLAN_(5)2"/>
      <sheetName val="S-PLAN_(6)2"/>
      <sheetName val="S-PLAN_(7)2"/>
      <sheetName val="MASTER__LIST2"/>
      <sheetName val="1"/>
      <sheetName val="PEMI S-PLAN-D 2005 1 ~  6 R3rev"/>
      <sheetName val="Sheet4"/>
    </sheetNames>
    <sheetDataSet>
      <sheetData sheetId="0" refreshError="1"/>
      <sheetData sheetId="1" refreshError="1"/>
      <sheetData sheetId="2" refreshError="1"/>
      <sheetData sheetId="3" refreshError="1"/>
      <sheetData sheetId="4" refreshError="1"/>
      <sheetData sheetId="5" refreshError="1"/>
      <sheetData sheetId="6" refreshError="1">
        <row r="1">
          <cell r="A1" t="str">
            <v>&lt;&lt; Sales &amp; Manufacture Plan &gt;&gt;</v>
          </cell>
        </row>
        <row r="582">
          <cell r="I582">
            <v>145460.71085714351</v>
          </cell>
          <cell r="J582">
            <v>-197133.9576999998</v>
          </cell>
          <cell r="K582">
            <v>569114.10757069895</v>
          </cell>
          <cell r="L582">
            <v>34618.086485486128</v>
          </cell>
          <cell r="M582">
            <v>83838.105213806615</v>
          </cell>
          <cell r="N582">
            <v>-24545.66182428872</v>
          </cell>
          <cell r="O582">
            <v>-76375.518838141201</v>
          </cell>
          <cell r="P582">
            <v>-18871.942167578731</v>
          </cell>
        </row>
        <row r="1293">
          <cell r="I1293" t="str">
            <v>04/7-14</v>
          </cell>
          <cell r="J1293" t="str">
            <v>04/12</v>
          </cell>
          <cell r="K1293" t="str">
            <v>05/1</v>
          </cell>
          <cell r="L1293" t="str">
            <v>05/2</v>
          </cell>
          <cell r="M1293" t="str">
            <v>05/3</v>
          </cell>
          <cell r="N1293" t="str">
            <v>05/4</v>
          </cell>
          <cell r="O1293" t="str">
            <v>05/5</v>
          </cell>
          <cell r="P1293" t="str">
            <v>05/6</v>
          </cell>
        </row>
        <row r="1306">
          <cell r="I1306">
            <v>0</v>
          </cell>
          <cell r="J1306">
            <v>0</v>
          </cell>
          <cell r="K1306">
            <v>0</v>
          </cell>
          <cell r="L1306">
            <v>0</v>
          </cell>
          <cell r="M1306">
            <v>0</v>
          </cell>
          <cell r="N1306">
            <v>0</v>
          </cell>
          <cell r="O1306">
            <v>0</v>
          </cell>
          <cell r="P1306">
            <v>0</v>
          </cell>
        </row>
      </sheetData>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refreshError="1"/>
      <sheetData sheetId="71" refreshError="1"/>
      <sheetData sheetId="72"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T-IN"/>
      <sheetName val="MOTO"/>
      <sheetName val="DATA"/>
      <sheetName val="CANCEL"/>
      <sheetName val="MACHINE"/>
      <sheetName val="CUSTOMER"/>
      <sheetName val="JE"/>
      <sheetName val="12月活動計画（技術部）"/>
      <sheetName val="ELWB"/>
      <sheetName val="QCD"/>
      <sheetName val="図面台帳"/>
      <sheetName val="生涯利益計画ｼｰﾄ"/>
      <sheetName val="119"/>
      <sheetName val="Action Plan_Roadmap"/>
      <sheetName val="ﾀﾘﾌ"/>
      <sheetName val="ISS-ASS"/>
      <sheetName val="TLH-W-C"/>
      <sheetName val="Sheet1"/>
      <sheetName val="Reference"/>
      <sheetName val="COT (Thai)"/>
      <sheetName val="13load"/>
      <sheetName val="dongia (2)"/>
      <sheetName val="giathanh1"/>
      <sheetName val="#REF"/>
      <sheetName val="lam-moi"/>
      <sheetName val="THPDMoi  (2)"/>
      <sheetName val="t-h HA THE"/>
      <sheetName val="chitiet"/>
      <sheetName val="gvl"/>
      <sheetName val="DON GIA"/>
      <sheetName val="gtrinh"/>
      <sheetName val="thao-go"/>
      <sheetName val="CHITIET VL-NC"/>
      <sheetName val="CHITIET VL-NC-TT -1p"/>
      <sheetName val="VC"/>
      <sheetName val="TH XL"/>
      <sheetName val="Tiepdia"/>
      <sheetName val="CHITIET VL-NC-TT-3p"/>
      <sheetName val="Bia TQT"/>
      <sheetName val="TONGKE-HT"/>
      <sheetName val="TDTKP"/>
      <sheetName val="TDTKP1"/>
      <sheetName val="TONGKE3p "/>
      <sheetName val="KPVC-BD "/>
      <sheetName val="VCV-BE-TONG"/>
      <sheetName val="TNHCHINH"/>
      <sheetName val="Summonth MP"/>
      <sheetName val="Summonth SC"/>
      <sheetName val="投資･工数推移"/>
      <sheetName val="WIP3"/>
      <sheetName val="96totcstsum"/>
      <sheetName val="pull-downリスト"/>
      <sheetName val="System Name_ห้ามลบแต่เพิ่มได้"/>
      <sheetName val="周达成率"/>
      <sheetName val="ﾃｰﾌﾞﾙ"/>
      <sheetName val="CASH FLOW"/>
      <sheetName val="Price"/>
      <sheetName val="BCM01"/>
      <sheetName val="定義"/>
      <sheetName val="new"/>
      <sheetName val="プルダウン項目"/>
      <sheetName val="M"/>
      <sheetName val="UK allocations"/>
      <sheetName val="プルダウン"/>
      <sheetName val="選択リスト"/>
      <sheetName val="【参考①】入力について"/>
      <sheetName val="_x0000__x0000__x0000__x0000__x0000_Ý];g_x0000_"/>
      <sheetName val=""/>
      <sheetName val="差替え版J フォーマット"/>
      <sheetName val="メーカー別受注工数シェア"/>
      <sheetName val="ตัวเลือก"/>
      <sheetName val="Pull-down menu"/>
      <sheetName val="ﾄﾞﾛｯﾌﾟﾀﾞｳﾝﾘｽﾄ"/>
      <sheetName val="05F"/>
      <sheetName val="05FH"/>
      <sheetName val="06F"/>
      <sheetName val="02F"/>
      <sheetName val="01F"/>
      <sheetName val="Data."/>
      <sheetName val="Sheet"/>
      <sheetName val="製造部細目"/>
      <sheetName val="車種区分　"/>
      <sheetName val="code"/>
      <sheetName val="List_1"/>
      <sheetName val="班部番別"/>
      <sheetName val="MODEL&amp;LINE"/>
      <sheetName val="USD"/>
      <sheetName val="XLS Avg Rev"/>
      <sheetName val="Table-Ratio"/>
      <sheetName val="便利ボタン"/>
      <sheetName val="P5"/>
      <sheetName val="LINE"/>
      <sheetName val="_x0000__x0000__x0000__x0000__x0"/>
      <sheetName val="下拉选项（中文）"/>
      <sheetName val="Sheet2"/>
      <sheetName val="P4試験結果"/>
      <sheetName val="List"/>
      <sheetName val="Action_Plan_Roadmap"/>
      <sheetName val="COT_(Thai)"/>
      <sheetName val="dongia_(2)"/>
      <sheetName val="THPDMoi__(2)"/>
      <sheetName val="t-h_HA_THE"/>
      <sheetName val="DON_GIA"/>
      <sheetName val="CHITIET_VL-NC"/>
      <sheetName val="CHITIET_VL-NC-TT_-1p"/>
      <sheetName val="TH_XL"/>
      <sheetName val="CHITIET_VL-NC-TT-3p"/>
      <sheetName val="Bia_TQT"/>
      <sheetName val="TONGKE3p_"/>
      <sheetName val="KPVC-BD_"/>
      <sheetName val="Summonth_MP"/>
      <sheetName val="Summonth_SC"/>
      <sheetName val="System_Name_ห้ามลบแต่เพิ่มได้"/>
      <sheetName val="CASH_FLOW"/>
      <sheetName val="UK_allocations"/>
      <sheetName val="差替え版J_フォーマット"/>
      <sheetName val="Pull-down_menu"/>
      <sheetName val="Data_"/>
      <sheetName val="ENG油洩れ"/>
      <sheetName val="日産ｺﾓﾝR"/>
      <sheetName val="Pull-down items (Eng)"/>
      <sheetName val="部署"/>
      <sheetName val="JUM"/>
      <sheetName val="入力一覧"/>
      <sheetName val="MPL 技連"/>
      <sheetName val="342E BLOCK"/>
      <sheetName val="選択肢"/>
      <sheetName val="種別"/>
      <sheetName val="科目"/>
      <sheetName val="チーム"/>
      <sheetName val="直課レベル"/>
      <sheetName val="改善テーマ"/>
      <sheetName val="月次寄与"/>
      <sheetName val="中分類"/>
      <sheetName val="大分類"/>
      <sheetName val="小分類"/>
      <sheetName val="改善分野"/>
      <sheetName val="ムダ大項目"/>
      <sheetName val="ムダ項目"/>
      <sheetName val="事業所"/>
      <sheetName val="Drop Down Menu"/>
      <sheetName val="使用機器"/>
      <sheetName val="????"/>
      <sheetName val="ＶＡ"/>
      <sheetName val="TOTAL_MC (2)"/>
      <sheetName val="MASTER ASSET TYPE"/>
      <sheetName val="MASTER DATE (MM-YYYY)"/>
      <sheetName val="MASTER PRODUCT &amp; CAR LINE"/>
      <sheetName val="一览"/>
      <sheetName val="Feuil1"/>
      <sheetName val="Feuil2"/>
      <sheetName val="Feuil3"/>
      <sheetName val="Sheet3"/>
      <sheetName val="業務内容一覧"/>
      <sheetName val="業務区分"/>
      <sheetName val="投資ﾌｫﾛｰ"/>
      <sheetName val="電子見積(05.11.8)"/>
      <sheetName val="科目の説明"/>
      <sheetName val="案内"/>
      <sheetName val="申請書"/>
      <sheetName val="77期計画"/>
      <sheetName val="申請書TOTAL"/>
      <sheetName val="77期実績"/>
      <sheetName val="管理統制費明細"/>
      <sheetName val="記入例"/>
      <sheetName val="業務区分と分類表"/>
      <sheetName val="車会集約"/>
      <sheetName val="09load"/>
      <sheetName val="選択タブ"/>
      <sheetName val="(～19C部品単価未定一覧"/>
      <sheetName val="海外日当・宿泊等テーブル"/>
      <sheetName val="Team"/>
      <sheetName val="メーカー等"/>
      <sheetName val="管理会計標準部member"/>
      <sheetName val="触らないで！"/>
      <sheetName val="品種（業種）"/>
      <sheetName val="メーカ"/>
      <sheetName val="車種"/>
      <sheetName val="Custom4"/>
      <sheetName val="(作業名一覧)ドロップダウンリスト"/>
      <sheetName val="【一览】"/>
      <sheetName val="正味とﾑﾀﾞ定義"/>
      <sheetName val=" Apli-11 "/>
      <sheetName val="项目"/>
      <sheetName val="XLS_Avg_Rev"/>
      <sheetName val="MGA-05-03"/>
      <sheetName val="(～20A部品単価未定一覧"/>
      <sheetName val="報告№②ー１"/>
      <sheetName val="計算DATA"/>
      <sheetName val="事務所引越見積書"/>
      <sheetName val="____"/>
      <sheetName val="_RemoteViewSysMain"/>
      <sheetName val="Description"/>
      <sheetName val="Sheet1 (3)"/>
      <sheetName val="报表"/>
      <sheetName val="自制套管"/>
      <sheetName val="現状と課題"/>
      <sheetName val="IMV"/>
      <sheetName val="利益概要"/>
      <sheetName val="(～20C部品単価未定一覧"/>
      <sheetName val="リスト"/>
      <sheetName val="×理由分類"/>
      <sheetName val="推移"/>
      <sheetName val="単位"/>
      <sheetName val="PN Status"/>
      <sheetName val="分類表"/>
      <sheetName val="(～21A部品単価未定一覧"/>
      <sheetName val="(～21B部品単価未定一覧"/>
      <sheetName val="原材料マスタ"/>
      <sheetName val="まとめ"/>
      <sheetName val="Action_Plan_Roadmap1"/>
      <sheetName val="COT_(Thai)1"/>
      <sheetName val="dongia_(2)1"/>
      <sheetName val="THPDMoi__(2)1"/>
      <sheetName val="t-h_HA_THE1"/>
      <sheetName val="DON_GIA1"/>
      <sheetName val="CHITIET_VL-NC1"/>
      <sheetName val="CHITIET_VL-NC-TT_-1p1"/>
      <sheetName val="TH_XL1"/>
      <sheetName val="CHITIET_VL-NC-TT-3p1"/>
      <sheetName val="Bia_TQT1"/>
      <sheetName val="TONGKE3p_1"/>
      <sheetName val="KPVC-BD_1"/>
      <sheetName val="Summonth_MP1"/>
      <sheetName val="Summonth_SC1"/>
      <sheetName val="System_Name_ห้ามลบแต่เพิ่มได้1"/>
      <sheetName val="CASH_FLOW1"/>
      <sheetName val="UK_allocations1"/>
      <sheetName val="差替え版J_フォーマット1"/>
      <sheetName val="Pull-down_menu1"/>
      <sheetName val="Data_1"/>
      <sheetName val="XLS_Avg_Rev1"/>
      <sheetName val="Pull-down_items_(Eng)"/>
      <sheetName val="MPL_技連"/>
      <sheetName val="342E_BLOCK"/>
      <sheetName val="Drop_Down_Menu"/>
      <sheetName val="TOTAL_MC_(2)"/>
      <sheetName val="MASTER_ASSET_TYPE"/>
      <sheetName val="MASTER_DATE_(MM-YYYY)"/>
      <sheetName val="MASTER_PRODUCT_&amp;_CAR_LINE"/>
      <sheetName val="電子見積(05_11_8)"/>
      <sheetName val="_Apli-11_"/>
      <sheetName val="Sheet1_(3)"/>
      <sheetName val="区分表"/>
      <sheetName val="静ﾊﾟﾀﾝ分析"/>
      <sheetName val="両端回路"/>
      <sheetName val="片端データ"/>
      <sheetName val="SOFTWARE"/>
      <sheetName val="_x0"/>
      <sheetName val="db"/>
      <sheetName val="S-PLAN"/>
      <sheetName val="仕掛け"/>
      <sheetName val="原単位改善区分"/>
      <sheetName val="コード"/>
      <sheetName val="費目リスト"/>
      <sheetName val="〔別表〕区分"/>
      <sheetName val="Action_Plan_Roadmap2"/>
      <sheetName val="COT_(Thai)2"/>
      <sheetName val="dongia_(2)2"/>
      <sheetName val="THPDMoi__(2)2"/>
      <sheetName val="t-h_HA_THE2"/>
      <sheetName val="DON_GIA2"/>
      <sheetName val="CHITIET_VL-NC2"/>
      <sheetName val="CHITIET_VL-NC-TT_-1p2"/>
      <sheetName val="TH_XL2"/>
      <sheetName val="CHITIET_VL-NC-TT-3p2"/>
      <sheetName val="Bia_TQT2"/>
      <sheetName val="TONGKE3p_2"/>
      <sheetName val="KPVC-BD_2"/>
      <sheetName val="Summonth_MP2"/>
      <sheetName val="Summonth_SC2"/>
      <sheetName val="System_Name_ห้ามลบแต่เพิ่มได้2"/>
      <sheetName val="CASH_FLOW2"/>
      <sheetName val="UK_allocations2"/>
      <sheetName val="差替え版J_フォーマット2"/>
      <sheetName val="Data_2"/>
      <sheetName val="Pull-down_menu2"/>
      <sheetName val="XLS_Avg_Rev2"/>
      <sheetName val="Pull-down_items_(Eng)1"/>
      <sheetName val="MPL_技連1"/>
      <sheetName val="342E_BLOCK1"/>
      <sheetName val="Drop_Down_Menu1"/>
      <sheetName val="TOTAL_MC_(2)1"/>
      <sheetName val="MASTER_ASSET_TYPE1"/>
      <sheetName val="MASTER_DATE_(MM-YYYY)1"/>
      <sheetName val="MASTER_PRODUCT_&amp;_CAR_LINE1"/>
      <sheetName val="電子見積(05_11_8)1"/>
      <sheetName val="_Apli-11_1"/>
      <sheetName val="Sheet1_(3)1"/>
      <sheetName val="PN_Status"/>
      <sheetName val="原始数据"/>
      <sheetName val="series pricing"/>
      <sheetName val="Agadir Dyn 5"/>
      <sheetName val="Agadir Dyn 1"/>
      <sheetName val="Agadir Dyn 2"/>
      <sheetName val="Agadir Dyn 3"/>
      <sheetName val="Agadir Dyn 4"/>
      <sheetName val="Agadir Dyn 6"/>
      <sheetName val="Agadir TU5 Stat 7 "/>
      <sheetName val="Ý_;g"/>
      <sheetName val="Action_Plan_Roadmap3"/>
      <sheetName val="COT_(Thai)3"/>
      <sheetName val="dongia_(2)3"/>
      <sheetName val="THPDMoi__(2)3"/>
      <sheetName val="t-h_HA_THE3"/>
      <sheetName val="DON_GIA3"/>
      <sheetName val="CHITIET_VL-NC3"/>
      <sheetName val="CHITIET_VL-NC-TT_-1p3"/>
      <sheetName val="TH_XL3"/>
      <sheetName val="CHITIET_VL-NC-TT-3p3"/>
      <sheetName val="Bia_TQT3"/>
      <sheetName val="TONGKE3p_3"/>
      <sheetName val="KPVC-BD_3"/>
      <sheetName val="Summonth_MP3"/>
      <sheetName val="Summonth_SC3"/>
      <sheetName val="System_Name_ห้ามลบแต่เพิ่มได้3"/>
      <sheetName val="CASH_FLOW3"/>
      <sheetName val="UK_allocations3"/>
      <sheetName val="差替え版J_フォーマット3"/>
      <sheetName val="Pull-down_menu3"/>
      <sheetName val="Data_3"/>
      <sheetName val="XLS_Avg_Rev3"/>
      <sheetName val="Pull-down_items_(Eng)2"/>
      <sheetName val="MPL_技連2"/>
      <sheetName val="342E_BLOCK2"/>
      <sheetName val="Drop_Down_Menu2"/>
      <sheetName val="TOTAL_MC_(2)2"/>
      <sheetName val="MASTER_ASSET_TYPE2"/>
      <sheetName val="MASTER_DATE_(MM-YYYY)2"/>
      <sheetName val="MASTER_PRODUCT_&amp;_CAR_LINE2"/>
      <sheetName val="電子見積(05_11_8)2"/>
      <sheetName val="_Apli-11_2"/>
      <sheetName val="Sheet1_(3)2"/>
      <sheetName val="PN_Status1"/>
      <sheetName val="series_pricing"/>
      <sheetName val="process"/>
      <sheetName val="pull down"/>
      <sheetName val="ﾌﾟﾛﾄ_P772分解5号機"/>
      <sheetName val="ANLKL"/>
      <sheetName val="費目"/>
      <sheetName val="Action_Plan_Roadmap4"/>
      <sheetName val="COT_(Thai)4"/>
      <sheetName val="dongia_(2)4"/>
      <sheetName val="THPDMoi__(2)4"/>
      <sheetName val="t-h_HA_THE4"/>
      <sheetName val="DON_GIA4"/>
      <sheetName val="CHITIET_VL-NC4"/>
      <sheetName val="CHITIET_VL-NC-TT_-1p4"/>
      <sheetName val="TH_XL4"/>
      <sheetName val="CHITIET_VL-NC-TT-3p4"/>
      <sheetName val="Bia_TQT4"/>
      <sheetName val="TONGKE3p_4"/>
      <sheetName val="KPVC-BD_4"/>
      <sheetName val="Summonth_MP4"/>
      <sheetName val="Summonth_SC4"/>
      <sheetName val="System_Name_ห้ามลบแต่เพิ่มได้4"/>
      <sheetName val="CASH_FLOW4"/>
      <sheetName val="UK_allocations4"/>
      <sheetName val="差替え版J_フォーマット4"/>
      <sheetName val="Data_4"/>
      <sheetName val="Pull-down_menu4"/>
      <sheetName val="XLS_Avg_Rev4"/>
      <sheetName val="Pull-down_items_(Eng)3"/>
      <sheetName val="MPL_技連3"/>
      <sheetName val="342E_BLOCK3"/>
      <sheetName val="Drop_Down_Menu3"/>
      <sheetName val="TOTAL_MC_(2)3"/>
      <sheetName val="MASTER_ASSET_TYPE3"/>
      <sheetName val="MASTER_DATE_(MM-YYYY)3"/>
      <sheetName val="MASTER_PRODUCT_&amp;_CAR_LINE3"/>
      <sheetName val="電子見積(05_11_8)3"/>
      <sheetName val="_Apli-11_3"/>
      <sheetName val="Sheet1_(3)3"/>
      <sheetName val="PN_Status2"/>
      <sheetName val="series_pricing1"/>
      <sheetName val="Agadir_Dyn_5"/>
      <sheetName val="Agadir_Dyn_1"/>
      <sheetName val="Agadir_Dyn_2"/>
      <sheetName val="Agadir_Dyn_3"/>
      <sheetName val="Agadir_Dyn_4"/>
      <sheetName val="Agadir_Dyn_6"/>
      <sheetName val="Agadir_TU5_Stat_7_"/>
      <sheetName val="Action_Plan_Roadmap5"/>
      <sheetName val="COT_(Thai)5"/>
      <sheetName val="dongia_(2)5"/>
      <sheetName val="THPDMoi__(2)5"/>
      <sheetName val="t-h_HA_THE5"/>
      <sheetName val="DON_GIA5"/>
      <sheetName val="CHITIET_VL-NC5"/>
      <sheetName val="CHITIET_VL-NC-TT_-1p5"/>
      <sheetName val="TH_XL5"/>
      <sheetName val="CHITIET_VL-NC-TT-3p5"/>
      <sheetName val="Bia_TQT5"/>
      <sheetName val="TONGKE3p_5"/>
      <sheetName val="KPVC-BD_5"/>
      <sheetName val="Summonth_MP5"/>
      <sheetName val="Summonth_SC5"/>
      <sheetName val="System_Name_ห้ามลบแต่เพิ่มได้5"/>
      <sheetName val="CASH_FLOW5"/>
      <sheetName val="UK_allocations5"/>
      <sheetName val="差替え版J_フォーマット5"/>
      <sheetName val="Pull-down_menu5"/>
      <sheetName val="Data_5"/>
      <sheetName val="XLS_Avg_Rev5"/>
      <sheetName val="Pull-down_items_(Eng)4"/>
      <sheetName val="MPL_技連4"/>
      <sheetName val="342E_BLOCK4"/>
      <sheetName val="Drop_Down_Menu4"/>
      <sheetName val="MASTER_ASSET_TYPE4"/>
      <sheetName val="MASTER_DATE_(MM-YYYY)4"/>
      <sheetName val="MASTER_PRODUCT_&amp;_CAR_LINE4"/>
      <sheetName val="TOTAL_MC_(2)4"/>
      <sheetName val="電子見積(05_11_8)4"/>
      <sheetName val="_Apli-11_4"/>
      <sheetName val="Sheet1_(3)4"/>
      <sheetName val="PN_Status3"/>
      <sheetName val="series_pricing2"/>
      <sheetName val="Agadir_Dyn_51"/>
      <sheetName val="Agadir_Dyn_11"/>
      <sheetName val="Agadir_Dyn_21"/>
      <sheetName val="Agadir_Dyn_31"/>
      <sheetName val="Agadir_Dyn_41"/>
      <sheetName val="Agadir_Dyn_61"/>
      <sheetName val="Agadir_TU5_Stat_7_1"/>
      <sheetName val="pull_down"/>
      <sheetName val="Chiet tinh dz35"/>
      <sheetName val="ラベル"/>
      <sheetName val="Unit"/>
      <sheetName val="Affiliate"/>
      <sheetName val="Hourly Rate"/>
      <sheetName val="_x005f_x0000__x005f_x0000__x005f_x0000__x005f_x0000__x0"/>
    </sheetNames>
    <sheetDataSet>
      <sheetData sheetId="0" refreshError="1"/>
      <sheetData sheetId="1" refreshError="1"/>
      <sheetData sheetId="2"/>
      <sheetData sheetId="3"/>
      <sheetData sheetId="4"/>
      <sheetData sheetId="5"/>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sheetData sheetId="150"/>
      <sheetData sheetId="15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refreshError="1"/>
      <sheetData sheetId="336" refreshError="1"/>
      <sheetData sheetId="337" refreshError="1"/>
      <sheetData sheetId="338" refreshError="1"/>
      <sheetData sheetId="339" refreshError="1"/>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refreshError="1"/>
      <sheetData sheetId="426" refreshError="1"/>
      <sheetData sheetId="427" refreshError="1"/>
      <sheetData sheetId="428"/>
      <sheetData sheetId="429" refreshError="1"/>
      <sheetData sheetId="430"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A-1.1"/>
      <sheetName val="SA 1.2"/>
      <sheetName val="SA-2.1"/>
      <sheetName val="SA-2.2"/>
      <sheetName val="SA-3.1"/>
      <sheetName val="SA-3.2."/>
      <sheetName val="SA-4.2."/>
      <sheetName val="SA-4.1"/>
      <sheetName val="sa 5.1"/>
      <sheetName val="SA 5.2."/>
      <sheetName val="sa 6.1"/>
      <sheetName val="SA 6.2."/>
      <sheetName val="SA 7.2"/>
      <sheetName val="SA 7.1"/>
      <sheetName val="SA 8SP  (2)"/>
      <sheetName val="#REF"/>
    </sheetNames>
    <sheetDataSet>
      <sheetData sheetId="0"/>
      <sheetData sheetId="1" refreshError="1"/>
      <sheetData sheetId="2" refreshError="1"/>
      <sheetData sheetId="3" refreshError="1"/>
      <sheetData sheetId="4" refreshError="1"/>
      <sheetData sheetId="5" refreshError="1"/>
      <sheetData sheetId="6" refreshError="1"/>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ＷＦ権限プロファイル"/>
      <sheetName val="Profile"/>
      <sheetName val="SUPER"/>
      <sheetName val="ADMIN"/>
      <sheetName val="USER"/>
      <sheetName val="権限管理(WF)"/>
      <sheetName val="権限管理(IMG)"/>
      <sheetName val="アーカイブ照会権限"/>
      <sheetName val="ﾕｰｻﾞ区分"/>
      <sheetName val="権限管理詳細(IMG)"/>
      <sheetName val="権限管理詳細(WF)"/>
      <sheetName val="権限ﾌﾟﾛﾌｧｲﾙ"/>
      <sheetName val="WFその他トランザクションコードチェックシート"/>
    </sheetNames>
    <sheetDataSet>
      <sheetData sheetId="0" refreshError="1">
        <row r="3">
          <cell r="B3" t="str">
            <v>ZBZ#WF_ADMIN</v>
          </cell>
          <cell r="C3" t="str">
            <v>ワークフロー:管理ユーザ</v>
          </cell>
          <cell r="E3" t="str">
            <v>ABAP/4 によるファイルシステムアクセス</v>
          </cell>
          <cell r="F3" t="str">
            <v>&amp;_SAP_ALL</v>
          </cell>
        </row>
        <row r="4">
          <cell r="E4" t="str">
            <v>ABAP/4 プログラムからの OLE 呼出</v>
          </cell>
          <cell r="F4" t="str">
            <v>&amp;_SAP_ALL</v>
          </cell>
        </row>
        <row r="5">
          <cell r="E5" t="str">
            <v>ABAP/4 ワークベンチ</v>
          </cell>
          <cell r="F5" t="str">
            <v>S_OBJT_READ</v>
          </cell>
        </row>
        <row r="6">
          <cell r="E6" t="str">
            <v>ABAP/4: プログラム実行チェック</v>
          </cell>
          <cell r="F6" t="str">
            <v>S_WF_DIAG</v>
          </cell>
        </row>
        <row r="7">
          <cell r="F7" t="str">
            <v>S_WF_INF_OA</v>
          </cell>
        </row>
        <row r="8">
          <cell r="F8" t="str">
            <v>S_WF_INF_WIA</v>
          </cell>
        </row>
        <row r="9">
          <cell r="E9" t="str">
            <v>CC コントロールセンタ: システム管理</v>
          </cell>
          <cell r="F9" t="str">
            <v>&amp;_SAP_ALL</v>
          </cell>
        </row>
        <row r="10">
          <cell r="E10" t="str">
            <v>HR: 人事計画権限</v>
          </cell>
          <cell r="F10" t="str">
            <v>P_PLOG_WF_DI</v>
          </cell>
        </row>
        <row r="11">
          <cell r="E11" t="str">
            <v>SAP オフィス: SAP オフィスユーザの機能</v>
          </cell>
          <cell r="F11" t="str">
            <v>S_OC_ADM</v>
          </cell>
        </row>
        <row r="12">
          <cell r="E12" t="str">
            <v>SAPOffice: 伝票付活動に対する権限</v>
          </cell>
          <cell r="F12" t="str">
            <v>S_OC_ALL</v>
          </cell>
        </row>
        <row r="13">
          <cell r="E13" t="str">
            <v>SAPoffice: オフィスユーザ権限</v>
          </cell>
          <cell r="F13" t="str">
            <v>S_OC_USER</v>
          </cell>
        </row>
        <row r="14">
          <cell r="E14" t="str">
            <v>WFEDI: S_IDOCMONI - IDoc 監視へのアクセス</v>
          </cell>
          <cell r="F14" t="str">
            <v>S_IDOC_SHOW</v>
          </cell>
        </row>
        <row r="15">
          <cell r="E15" t="str">
            <v>アーカイブリンク: 文書アクセス権限</v>
          </cell>
          <cell r="F15" t="str">
            <v>ZBZB#WF_ADM</v>
          </cell>
        </row>
        <row r="16">
          <cell r="E16" t="str">
            <v>アーカイブリンク: 文書アクセス権限</v>
          </cell>
          <cell r="F16" t="str">
            <v>ZBZB#WF_IMAG</v>
          </cell>
        </row>
        <row r="17">
          <cell r="F17" t="str">
            <v>ZBZB#WF_USER</v>
          </cell>
        </row>
        <row r="18">
          <cell r="E18" t="str">
            <v>システム管理機能</v>
          </cell>
          <cell r="F18" t="str">
            <v>ZBZB#USER</v>
          </cell>
        </row>
        <row r="19">
          <cell r="E19" t="str">
            <v>スプール: アクション</v>
          </cell>
          <cell r="F19" t="str">
            <v>ZBZB#USER</v>
          </cell>
        </row>
        <row r="20">
          <cell r="E20" t="str">
            <v>スプール: 装置権限</v>
          </cell>
          <cell r="F20" t="str">
            <v>S_SACHBEARB</v>
          </cell>
        </row>
        <row r="21">
          <cell r="E21" t="str">
            <v>トランザクション開始の権限チェック</v>
          </cell>
          <cell r="F21" t="str">
            <v>ZBZB#WF_ADM</v>
          </cell>
        </row>
        <row r="22">
          <cell r="E22" t="str">
            <v>トランザクション開始の権限チェック</v>
          </cell>
          <cell r="F22" t="str">
            <v>ZBZB#WF_USER</v>
          </cell>
        </row>
        <row r="23">
          <cell r="E23" t="str">
            <v>バッチインプット権限</v>
          </cell>
          <cell r="F23" t="str">
            <v>S_SACHBEARB</v>
          </cell>
        </row>
        <row r="24">
          <cell r="E24" t="str">
            <v>バッチ処理: バッチジョブの操作</v>
          </cell>
          <cell r="F24" t="str">
            <v>ZBZB#BATCH</v>
          </cell>
        </row>
        <row r="25">
          <cell r="E25" t="str">
            <v>バッチ処理: バッチ管理者</v>
          </cell>
          <cell r="F25" t="str">
            <v>S_BTCH_ADM</v>
          </cell>
        </row>
        <row r="26">
          <cell r="E26" t="str">
            <v>ファイルアクセス権限</v>
          </cell>
          <cell r="F26" t="str">
            <v>&amp;_SAP_ALL</v>
          </cell>
        </row>
        <row r="27">
          <cell r="E27" t="str">
            <v>ワークフロー: 作業項目の処理</v>
          </cell>
          <cell r="F27" t="str">
            <v>S_WFWI_CHAGT</v>
          </cell>
        </row>
        <row r="28">
          <cell r="E28" t="str">
            <v>ワークフロー: 作業項目の処理</v>
          </cell>
          <cell r="F28" t="str">
            <v>S_WFWI_CHDDL</v>
          </cell>
        </row>
        <row r="29">
          <cell r="F29" t="str">
            <v>S_WFWI_CHLAN</v>
          </cell>
        </row>
        <row r="30">
          <cell r="F30" t="str">
            <v>S_WFWI_CHPRI</v>
          </cell>
        </row>
        <row r="31">
          <cell r="F31" t="str">
            <v>S_WFWI_CHTXT</v>
          </cell>
        </row>
        <row r="32">
          <cell r="F32" t="str">
            <v>S_WFWI_EXECU</v>
          </cell>
        </row>
        <row r="33">
          <cell r="F33" t="str">
            <v>S_WFWI_RSBMT</v>
          </cell>
        </row>
        <row r="34">
          <cell r="F34" t="str">
            <v>ZBZB#USER</v>
          </cell>
        </row>
        <row r="35">
          <cell r="E35" t="str">
            <v>ワークフロー: 統合受信ボックスでのビュー処理</v>
          </cell>
          <cell r="F35" t="str">
            <v>S_WFLVIEWALL</v>
          </cell>
        </row>
        <row r="36">
          <cell r="E36" t="str">
            <v>送信用の権限オブジェクト</v>
          </cell>
          <cell r="F36" t="str">
            <v>&amp;_SAP_ALL</v>
          </cell>
        </row>
        <row r="37">
          <cell r="E37" t="str">
            <v>標準テキスト</v>
          </cell>
          <cell r="F37" t="str">
            <v>S_SACHBEARB</v>
          </cell>
        </row>
        <row r="38">
          <cell r="E38" t="str">
            <v>論理 OS コマンドの実行権限</v>
          </cell>
          <cell r="F38" t="str">
            <v>&amp;_SAP_ALL</v>
          </cell>
        </row>
        <row r="39">
          <cell r="B39" t="str">
            <v>ZBZ#WF_SUPER</v>
          </cell>
          <cell r="C39" t="str">
            <v>ワークフロー:スーパーユーザ</v>
          </cell>
          <cell r="E39" t="str">
            <v>ABAP/4 によるファイルシステムアクセス</v>
          </cell>
          <cell r="F39" t="str">
            <v>&amp;_SAP_ALL</v>
          </cell>
        </row>
        <row r="40">
          <cell r="E40" t="str">
            <v>ABAP/4 プログラムからの OLE 呼出</v>
          </cell>
          <cell r="F40" t="str">
            <v>&amp;_SAP_ALL</v>
          </cell>
        </row>
        <row r="41">
          <cell r="E41" t="str">
            <v>ABAP/4 ワークベンチ</v>
          </cell>
          <cell r="F41" t="str">
            <v>S_OBJT_READ</v>
          </cell>
        </row>
        <row r="42">
          <cell r="E42" t="str">
            <v>ABAP/4: プログラム実行チェック</v>
          </cell>
          <cell r="F42" t="str">
            <v>S_WF_DIAG</v>
          </cell>
        </row>
        <row r="43">
          <cell r="B43" t="str">
            <v>ZBZ#WF_SUPER</v>
          </cell>
          <cell r="C43" t="str">
            <v>ワークフロー:スーパーユーザ</v>
          </cell>
          <cell r="E43" t="str">
            <v>ABAP/4 によるファイルシステムアクセス</v>
          </cell>
          <cell r="F43" t="str">
            <v>S_WF_INF_OA</v>
          </cell>
        </row>
        <row r="44">
          <cell r="E44" t="str">
            <v>ABAP/4 プログラムからの OLE 呼出</v>
          </cell>
          <cell r="F44" t="str">
            <v>S_WF_INF_WIA</v>
          </cell>
        </row>
        <row r="45">
          <cell r="E45" t="str">
            <v>CC コントロールセンタ: システム管理</v>
          </cell>
          <cell r="F45" t="str">
            <v>&amp;_SAP_ALL</v>
          </cell>
        </row>
        <row r="46">
          <cell r="E46" t="str">
            <v>HR: トランザクションコード権限</v>
          </cell>
          <cell r="F46" t="str">
            <v>P_TCODE_WF</v>
          </cell>
        </row>
        <row r="47">
          <cell r="E47" t="str">
            <v>HR: 人事計画権限</v>
          </cell>
          <cell r="F47" t="str">
            <v>P_PLOG_WF_CH</v>
          </cell>
        </row>
        <row r="48">
          <cell r="E48" t="str">
            <v>SAP オフィス: SAP オフィスユーザの機能</v>
          </cell>
          <cell r="F48" t="str">
            <v>S_OC_ADM</v>
          </cell>
        </row>
        <row r="49">
          <cell r="E49" t="str">
            <v>SAPOffice: 伝票付活動に対する権限</v>
          </cell>
          <cell r="F49" t="str">
            <v>S_OC_ALL</v>
          </cell>
        </row>
        <row r="50">
          <cell r="E50" t="str">
            <v>SAPoffice: オフィスユーザ権限</v>
          </cell>
          <cell r="F50" t="str">
            <v>S_OC_USER</v>
          </cell>
        </row>
        <row r="51">
          <cell r="E51" t="str">
            <v>WFEDI: S_IDOCMONI - IDoc 監視へのアクセス</v>
          </cell>
          <cell r="F51" t="str">
            <v>S_IDOC_SHOW</v>
          </cell>
        </row>
        <row r="52">
          <cell r="E52" t="str">
            <v>アーカイブリンク: 文書アクセス権限</v>
          </cell>
          <cell r="F52" t="str">
            <v>ZBZB#WF_ADM</v>
          </cell>
        </row>
        <row r="53">
          <cell r="E53" t="str">
            <v>SAPOffice: 伝票付活動に対する権限</v>
          </cell>
          <cell r="F53" t="str">
            <v>ZBZB#WF_IMAG</v>
          </cell>
        </row>
        <row r="54">
          <cell r="E54" t="str">
            <v>SAPoffice: オフィスユーザ権限</v>
          </cell>
          <cell r="F54" t="str">
            <v>ZBZB#WF_USER</v>
          </cell>
        </row>
        <row r="55">
          <cell r="E55" t="str">
            <v>システム管理機能</v>
          </cell>
          <cell r="F55" t="str">
            <v>ZBZB#USER</v>
          </cell>
        </row>
        <row r="56">
          <cell r="E56" t="str">
            <v>スプール: アクション</v>
          </cell>
          <cell r="F56" t="str">
            <v>ZBZB#USER</v>
          </cell>
        </row>
        <row r="57">
          <cell r="E57" t="str">
            <v>スプール: 装置権限</v>
          </cell>
          <cell r="F57" t="str">
            <v>S_SACHBEARB</v>
          </cell>
        </row>
        <row r="58">
          <cell r="E58" t="str">
            <v>テーブル更新 (SM31 等の標準ツールによる)</v>
          </cell>
          <cell r="F58" t="str">
            <v>ZBLA#TAB_01</v>
          </cell>
        </row>
        <row r="59">
          <cell r="E59" t="str">
            <v>トランザクション開始の権限チェック</v>
          </cell>
          <cell r="F59" t="str">
            <v>ZBZB#WF_ADM</v>
          </cell>
        </row>
        <row r="60">
          <cell r="E60" t="str">
            <v>システム管理機能</v>
          </cell>
          <cell r="F60" t="str">
            <v>ZBZB#WF_USER</v>
          </cell>
        </row>
        <row r="61">
          <cell r="E61" t="str">
            <v>バッチインプット権限</v>
          </cell>
          <cell r="F61" t="str">
            <v>S_SACHBEARB</v>
          </cell>
        </row>
        <row r="62">
          <cell r="E62" t="str">
            <v>バッチ処理: バッチジョブの操作</v>
          </cell>
          <cell r="F62" t="str">
            <v>ZBZB#BATCH</v>
          </cell>
        </row>
        <row r="63">
          <cell r="E63" t="str">
            <v>バッチ処理: バッチ管理者</v>
          </cell>
          <cell r="F63" t="str">
            <v>S_BTCH_ADM</v>
          </cell>
        </row>
        <row r="64">
          <cell r="E64" t="str">
            <v>ファイルアクセス権限</v>
          </cell>
          <cell r="F64" t="str">
            <v>&amp;_SAP_ALL</v>
          </cell>
        </row>
        <row r="65">
          <cell r="E65" t="str">
            <v>ワークフロー: 作業項目の処理</v>
          </cell>
          <cell r="F65" t="str">
            <v>S_WFWI_CHAGT</v>
          </cell>
        </row>
        <row r="66">
          <cell r="E66" t="str">
            <v>バッチインプット権限</v>
          </cell>
          <cell r="F66" t="str">
            <v>S_WFWI_CHDDL</v>
          </cell>
        </row>
        <row r="67">
          <cell r="E67" t="str">
            <v>バッチ処理: バッチジョブの操作</v>
          </cell>
          <cell r="F67" t="str">
            <v>S_WFWI_CHLAN</v>
          </cell>
        </row>
        <row r="68">
          <cell r="E68" t="str">
            <v>バッチ処理: バッチ管理者</v>
          </cell>
          <cell r="F68" t="str">
            <v>S_WFWI_CHPRI</v>
          </cell>
        </row>
        <row r="69">
          <cell r="E69" t="str">
            <v>ファイルアクセス権限</v>
          </cell>
          <cell r="F69" t="str">
            <v>S_WFWI_CHTXT</v>
          </cell>
        </row>
        <row r="70">
          <cell r="E70" t="str">
            <v>ワークフロー: 作業項目の処理</v>
          </cell>
          <cell r="F70" t="str">
            <v>S_WFWI_EXECU</v>
          </cell>
        </row>
        <row r="71">
          <cell r="F71" t="str">
            <v>S_WFWI_RSBMT</v>
          </cell>
        </row>
        <row r="72">
          <cell r="F72" t="str">
            <v>ZBZB#USER</v>
          </cell>
        </row>
        <row r="73">
          <cell r="E73" t="str">
            <v>ワークフロー: 統合受信ボックスでのビュー処理</v>
          </cell>
          <cell r="F73" t="str">
            <v>S_WFLVIEWALL</v>
          </cell>
        </row>
        <row r="74">
          <cell r="E74" t="str">
            <v>送信用の権限オブジェクト</v>
          </cell>
          <cell r="F74" t="str">
            <v>&amp;_SAP_ALL</v>
          </cell>
        </row>
        <row r="75">
          <cell r="E75" t="str">
            <v>標準テキスト</v>
          </cell>
          <cell r="F75" t="str">
            <v>S_SACHBEARB</v>
          </cell>
        </row>
        <row r="76">
          <cell r="E76" t="str">
            <v>論理 OS コマンドの実行権限</v>
          </cell>
          <cell r="F76" t="str">
            <v>&amp;_SAP_ALL</v>
          </cell>
        </row>
        <row r="77">
          <cell r="B77" t="str">
            <v>ZBZ#WF_USER</v>
          </cell>
          <cell r="C77" t="str">
            <v>ワークフロー:一般ユーザ</v>
          </cell>
          <cell r="E77" t="str">
            <v>ABAP/4 によるファイルシステムアクセス</v>
          </cell>
          <cell r="F77" t="str">
            <v>&amp;_SAP_ALL</v>
          </cell>
        </row>
        <row r="78">
          <cell r="E78" t="str">
            <v>ABAP/4 ワークベンチ</v>
          </cell>
          <cell r="F78" t="str">
            <v>S_OBJT_READ</v>
          </cell>
        </row>
        <row r="79">
          <cell r="E79" t="str">
            <v>ABAP/4: プログラム実行チェック</v>
          </cell>
          <cell r="F79" t="str">
            <v>S_WF_DIAG</v>
          </cell>
        </row>
        <row r="80">
          <cell r="E80" t="str">
            <v>標準テキスト</v>
          </cell>
          <cell r="F80" t="str">
            <v>S_WF_INF_OA</v>
          </cell>
        </row>
        <row r="81">
          <cell r="E81" t="str">
            <v>論理 OS コマンドの実行権限</v>
          </cell>
          <cell r="F81" t="str">
            <v>S_WF_INF_WIA</v>
          </cell>
        </row>
        <row r="82">
          <cell r="E82" t="str">
            <v>CC コントロールセンタ: システム管理</v>
          </cell>
          <cell r="F82" t="str">
            <v>&amp;_SAP_ALL</v>
          </cell>
        </row>
        <row r="83">
          <cell r="E83" t="str">
            <v>HR: 人事計画権限</v>
          </cell>
          <cell r="F83" t="str">
            <v>P_PLOG_WF_DI</v>
          </cell>
        </row>
        <row r="84">
          <cell r="B84" t="str">
            <v>ZBZ#WF_USER</v>
          </cell>
          <cell r="C84" t="str">
            <v>ワークフロー:一般ユーザ</v>
          </cell>
          <cell r="E84" t="str">
            <v>SAP オフィス: SAP オフィスユーザの機能</v>
          </cell>
          <cell r="F84" t="str">
            <v>S_OC_ADM</v>
          </cell>
        </row>
        <row r="85">
          <cell r="E85" t="str">
            <v>SAPOffice: 伝票付活動に対する権限</v>
          </cell>
          <cell r="F85" t="str">
            <v>S_OC_ALL</v>
          </cell>
        </row>
        <row r="86">
          <cell r="E86" t="str">
            <v>SAPoffice: オフィスユーザ権限</v>
          </cell>
          <cell r="F86" t="str">
            <v>S_OC_USER</v>
          </cell>
        </row>
        <row r="87">
          <cell r="E87" t="str">
            <v>WFEDI: S_IDOCMONI - IDoc 監視へのアクセス</v>
          </cell>
          <cell r="F87" t="str">
            <v>S_IDOC_SHOW</v>
          </cell>
        </row>
        <row r="88">
          <cell r="E88" t="str">
            <v>アーカイブリンク: 文書アクセス権限</v>
          </cell>
          <cell r="F88" t="str">
            <v>ZBZB#WF_IMAG</v>
          </cell>
        </row>
        <row r="89">
          <cell r="E89" t="str">
            <v>CC コントロールセンタ: システム管理</v>
          </cell>
          <cell r="F89" t="str">
            <v>ZBZB#WF_USER</v>
          </cell>
        </row>
        <row r="90">
          <cell r="E90" t="str">
            <v>システム管理機能</v>
          </cell>
          <cell r="F90" t="str">
            <v>ZBZB#USER</v>
          </cell>
        </row>
        <row r="91">
          <cell r="E91" t="str">
            <v>スプール: アクション</v>
          </cell>
          <cell r="F91" t="str">
            <v>ZBZB#USER</v>
          </cell>
        </row>
        <row r="92">
          <cell r="E92" t="str">
            <v>スプール: 装置権限</v>
          </cell>
          <cell r="F92" t="str">
            <v>S_SACHBEARB</v>
          </cell>
        </row>
        <row r="93">
          <cell r="E93" t="str">
            <v>トランザクション開始の権限チェック</v>
          </cell>
          <cell r="F93" t="str">
            <v>ZBZB#WF_USER</v>
          </cell>
        </row>
        <row r="94">
          <cell r="E94" t="str">
            <v>バッチインプット権限</v>
          </cell>
          <cell r="F94" t="str">
            <v>S_SACHBEARB</v>
          </cell>
        </row>
        <row r="95">
          <cell r="E95" t="str">
            <v>バッチ処理: バッチジョブの操作</v>
          </cell>
          <cell r="F95" t="str">
            <v>ZBZB#BATCH</v>
          </cell>
        </row>
        <row r="96">
          <cell r="E96" t="str">
            <v>バッチ処理: バッチ管理者</v>
          </cell>
          <cell r="F96" t="str">
            <v>S_BTCH_ADM</v>
          </cell>
        </row>
        <row r="97">
          <cell r="E97" t="str">
            <v>ファイルアクセス権限</v>
          </cell>
          <cell r="F97" t="str">
            <v>&amp;_SAP_ALL</v>
          </cell>
        </row>
        <row r="98">
          <cell r="E98" t="str">
            <v>ワークフロー: 作業項目の処理</v>
          </cell>
          <cell r="F98" t="str">
            <v>ZBZB#USER</v>
          </cell>
        </row>
        <row r="99">
          <cell r="E99" t="str">
            <v>ワークフロー: 統合受信ボックスでのビュー処理</v>
          </cell>
          <cell r="F99" t="str">
            <v>S_WFLVIEWALL</v>
          </cell>
        </row>
        <row r="100">
          <cell r="E100" t="str">
            <v>送信用の権限オブジェクト</v>
          </cell>
          <cell r="F100" t="str">
            <v>&amp;_SAP_ALL</v>
          </cell>
        </row>
        <row r="101">
          <cell r="E101" t="str">
            <v>標準テキスト</v>
          </cell>
          <cell r="F101" t="str">
            <v>S_SACHBEARB</v>
          </cell>
        </row>
        <row r="102">
          <cell r="E102" t="str">
            <v>論理 OS コマンドの実行権限</v>
          </cell>
          <cell r="F102" t="str">
            <v>&amp;_SAP_ALL</v>
          </cell>
        </row>
        <row r="103">
          <cell r="B103" t="str">
            <v>ZWX#BASIS</v>
          </cell>
          <cell r="C103" t="str">
            <v>ベーシス共通 権限プロファイル</v>
          </cell>
          <cell r="E103" t="str">
            <v>ABAP/4 によるファイルシステムアクセス</v>
          </cell>
          <cell r="F103" t="str">
            <v>&amp;_SAP_ALL</v>
          </cell>
        </row>
        <row r="104">
          <cell r="E104" t="str">
            <v>ABAP/4 ワークベンチ</v>
          </cell>
          <cell r="F104" t="str">
            <v>S_OBJT_READ</v>
          </cell>
        </row>
        <row r="105">
          <cell r="E105" t="str">
            <v>CC コントロールセンタ: システム管理</v>
          </cell>
          <cell r="F105" t="str">
            <v>&amp;_SAP_ALL</v>
          </cell>
        </row>
        <row r="106">
          <cell r="E106" t="str">
            <v>システム管理機能</v>
          </cell>
          <cell r="F106" t="str">
            <v>ZBZB#USER</v>
          </cell>
        </row>
        <row r="107">
          <cell r="E107" t="str">
            <v>スプール: アクション</v>
          </cell>
          <cell r="F107" t="str">
            <v>ZBZB#USER</v>
          </cell>
        </row>
        <row r="108">
          <cell r="E108" t="str">
            <v>スプール: 装置権限</v>
          </cell>
          <cell r="F108" t="str">
            <v>S_SACHBEARB</v>
          </cell>
        </row>
        <row r="109">
          <cell r="E109" t="str">
            <v>トランザクション開始の権限チェック</v>
          </cell>
          <cell r="F109" t="str">
            <v>ZWXA#BASIS</v>
          </cell>
        </row>
        <row r="110">
          <cell r="E110" t="str">
            <v>バッチインプット権限</v>
          </cell>
          <cell r="F110" t="str">
            <v>S_SACHBEARB</v>
          </cell>
        </row>
        <row r="111">
          <cell r="E111" t="str">
            <v>バッチ処理: バッチジョブの操作</v>
          </cell>
          <cell r="F111" t="str">
            <v>ZBZB#BATCH</v>
          </cell>
        </row>
        <row r="112">
          <cell r="E112" t="str">
            <v>バッチ処理: バッチ管理者</v>
          </cell>
          <cell r="F112" t="str">
            <v>S_BTCH_ADM</v>
          </cell>
        </row>
        <row r="113">
          <cell r="E113" t="str">
            <v>ファイルアクセス権限</v>
          </cell>
          <cell r="F113" t="str">
            <v>&amp;_SAP_ALL</v>
          </cell>
        </row>
        <row r="114">
          <cell r="E114" t="str">
            <v>論理 OS コマンドの実行権限</v>
          </cell>
          <cell r="F114" t="str">
            <v>&amp;_SAP_ALL</v>
          </cell>
        </row>
        <row r="115">
          <cell r="B115" t="str">
            <v>ZBZ#USR_LOCK</v>
          </cell>
          <cell r="C115" t="str">
            <v>ユーザロック解除権限</v>
          </cell>
          <cell r="E115" t="str">
            <v>トランザクション開始の権限チェック</v>
          </cell>
          <cell r="F115" t="str">
            <v>ZBZA#USR_LOK</v>
          </cell>
        </row>
        <row r="116">
          <cell r="E116" t="str">
            <v>ユーザマスタ管理: ユーザグループ</v>
          </cell>
          <cell r="F116" t="str">
            <v>S_USER_SAP</v>
          </cell>
        </row>
      </sheetData>
      <sheetData sheetId="1"/>
      <sheetData sheetId="2"/>
      <sheetData sheetId="3"/>
      <sheetData sheetId="4"/>
      <sheetData sheetId="5"/>
      <sheetData sheetId="6"/>
      <sheetData sheetId="7"/>
      <sheetData sheetId="8"/>
      <sheetData sheetId="9"/>
      <sheetData sheetId="10"/>
      <sheetData sheetId="11"/>
      <sheetData sheetId="12"/>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原単位表"/>
      <sheetName val="[061Wｶｲｼｭ.XLSꁝ덮㐁ཤ表"/>
      <sheetName val="内機"/>
      <sheetName val="Table"/>
      <sheetName val="TH&amp;B2e&amp;EGN"/>
      <sheetName val="原単位表C最終報告資"/>
      <sheetName val="工数集計"/>
      <sheetName val="原単位表ﾌﾄﾒ."/>
      <sheetName val="CMF"/>
      <sheetName val="MOTO"/>
      <sheetName val="MPL 技連"/>
      <sheetName val="342E BLOCK"/>
      <sheetName val="W_LBOOK"/>
      <sheetName val="MASTER"/>
      <sheetName val="Sales"/>
      <sheetName val="部署別利用頻度0401"/>
      <sheetName val="フォーム2"/>
      <sheetName val="第１紙原紙"/>
      <sheetName val="第１紙原紙KGC"/>
      <sheetName val="第２紙原紙"/>
      <sheetName val="第３紙原紙"/>
      <sheetName val="第４紙ビット"/>
      <sheetName val="第５紙ビット"/>
      <sheetName val="フォーム1"/>
      <sheetName val="表紙"/>
      <sheetName val="ＣＡＭＹ　ＭⅢ"/>
      <sheetName val="パラメータ"/>
      <sheetName val="#0"/>
      <sheetName val="価格一覧表"/>
      <sheetName val="ＳＱＬ"/>
      <sheetName val="T_ＣＡＤ情報"/>
      <sheetName val="T_ORG"/>
      <sheetName val="T_チューブ所要量"/>
      <sheetName val="T_見積実績"/>
      <sheetName val="T_見積品番"/>
      <sheetName val="T_原価"/>
      <sheetName val="T_工数"/>
      <sheetName val="T_賃率"/>
      <sheetName val="T_賃率係数"/>
      <sheetName val="T_銅ベース"/>
      <sheetName val="T_電線所要量"/>
      <sheetName val="T_部品管理"/>
      <sheetName val="T_部品所要量"/>
      <sheetName val="定量化結果"/>
      <sheetName val="一覧１"/>
      <sheetName val="画面チューブ"/>
      <sheetName val="画面チューブ計"/>
      <sheetName val="画面加工"/>
      <sheetName val="画面総括"/>
      <sheetName val="画面電線"/>
      <sheetName val="画面電線計"/>
      <sheetName val="画面部品"/>
      <sheetName val="画面部品計"/>
      <sheetName val="画面要求"/>
      <sheetName val="基本枠"/>
      <sheetName val="ﾃﾞｰﾀﾍﾞｰｽ"/>
      <sheetName val="設計通知書原紙"/>
      <sheetName val="061Wｶｲｼｭ"/>
      <sheetName val="元データ"/>
      <sheetName val="_061Wｶｲｼｭ.XLSꁝ덮㐁ཤ表"/>
      <sheetName val="車両ｽﾍﾟｯｸ表"/>
      <sheetName val="1"/>
      <sheetName val="総合B"/>
      <sheetName val="静ﾊﾟﾀﾝ分析"/>
      <sheetName val="HPS Slit Coil (Centralia)"/>
      <sheetName val="段ﾎﾞｰﾙ箱図番･荷姿ｺｰﾄﾞ"/>
      <sheetName val="生涯利益計画ｼｰﾄ"/>
      <sheetName val="Sheet1"/>
      <sheetName val="FRT"/>
      <sheetName val="15A"/>
      <sheetName val="094W原紙 "/>
      <sheetName val="県別ﾏﾙﾁ"/>
      <sheetName val="Top22(GBP)"/>
      <sheetName val="Installation"/>
      <sheetName val="全品番DETAILS-LOT"/>
      <sheetName val="生産コード一覧"/>
      <sheetName val="HYO"/>
      <sheetName val="list"/>
      <sheetName val="システム記号リスト"/>
      <sheetName val="第２紙"/>
      <sheetName val="ヘルプ"/>
      <sheetName val="0P-1"/>
      <sheetName val="PL"/>
      <sheetName val="Color"/>
      <sheetName val="FLETES"/>
      <sheetName val="資繰"/>
      <sheetName val="各種設定"/>
      <sheetName val="選択項目"/>
      <sheetName val="３月ＫＤ"/>
      <sheetName val="工数海外比率"/>
      <sheetName val="labcodes"/>
      <sheetName val="Mth"/>
      <sheetName val="Qtr"/>
      <sheetName val="カメラ"/>
      <sheetName val="Ladder Report (2)"/>
      <sheetName val="14. Staff Benefits"/>
      <sheetName val="WIRE"/>
      <sheetName val="MM利益・原価企画方針書ｶｸ１"/>
      <sheetName val="ﾊﾟｲﾌﾟ"/>
      <sheetName val="他材料費"/>
      <sheetName val="熱延鋼板"/>
      <sheetName val="冷延鋼板"/>
      <sheetName val="差異詳細(インクルード)"/>
      <sheetName val="差異詳細(bm)"/>
      <sheetName val="差異詳細(jb2)"/>
      <sheetName val="差異詳細(jh)"/>
      <sheetName val="差異詳細(ji)"/>
      <sheetName val="差異詳細(jx)"/>
      <sheetName val="原紙"/>
      <sheetName val="ﾀﾞｲｵｰﾄﾞ変更"/>
      <sheetName val="ŽÔ—¼Ž¿—Êˆê——"/>
      <sheetName val="合格率"/>
      <sheetName val="设备分析资料表2"/>
      <sheetName val="Referent information"/>
      <sheetName val="①評価項目_メーカー"/>
      <sheetName val="ﾀﾘﾌ"/>
      <sheetName val="3???????"/>
      <sheetName val="ＭⅢ"/>
      <sheetName val="Req"/>
      <sheetName val="A"/>
      <sheetName val="PRENSAS 1"/>
      <sheetName val="???????"/>
      <sheetName val="SWS投資基準_計算"/>
      <sheetName val="094_APP別"/>
      <sheetName val="74上"/>
      <sheetName val="DATA"/>
      <sheetName val="原単位表ﾌﾄﾒ_"/>
      <sheetName val="金属スライド"/>
      <sheetName val="Ka"/>
      <sheetName val="[061Wｶｲｼｭ_XLSꁝ덮㐁ཤ表"/>
      <sheetName val="MPL_技連"/>
      <sheetName val="342E_BLOCK"/>
      <sheetName val="①ﾌﾟﾙﾀﾞｳﾝﾘｽﾄ"/>
      <sheetName val="タブ用"/>
      <sheetName val="前提1-综合"/>
      <sheetName val="QC APPROVE SHEET"/>
      <sheetName val="W_TEXT"/>
      <sheetName val="7110"/>
      <sheetName val="Sheet2"/>
      <sheetName val="ATR KMH's"/>
      <sheetName val="ヘッダ"/>
      <sheetName val="A-100전제"/>
      <sheetName val="データ"/>
      <sheetName val="売上総益ﾃﾞｰﾀ"/>
      <sheetName val="2001USA Sales"/>
      <sheetName val="Lists"/>
      <sheetName val="SV5 Margins"/>
      <sheetName val="Format"/>
      <sheetName val="T_GetCar_Type_Code"/>
      <sheetName val="T_GetCustomer_Cd"/>
      <sheetName val="T_GetModel_No"/>
      <sheetName val="T_GetPProduct_No"/>
      <sheetName val="T_GetProduct_Line_Cd"/>
      <sheetName val="T_GetProduct_Site_Cd"/>
      <sheetName val="Tabela"/>
      <sheetName val="納品書"/>
      <sheetName val="ﾕｰｻﾞｰ設定"/>
      <sheetName val="3_______"/>
      <sheetName val="_______"/>
      <sheetName val="部品構成82111"/>
      <sheetName val="DASH用係数"/>
      <sheetName val="Summonth MP"/>
      <sheetName val="Summonth SC"/>
      <sheetName val="Monthly"/>
      <sheetName val="800T Follow-up Data"/>
      <sheetName val="国"/>
      <sheetName val="海"/>
      <sheetName val="Price list"/>
      <sheetName val="リスト類"/>
      <sheetName val="?????"/>
      <sheetName val="Material Price"/>
      <sheetName val="※ﾌﾟﾙﾀﾞｳﾝ用"/>
      <sheetName val="#REF"/>
      <sheetName val="Optional per Versione"/>
      <sheetName val="b`lx@lV"/>
      <sheetName val="Jan26-Feb22PT"/>
      <sheetName val="Cust"/>
      <sheetName val="MAT-IN"/>
      <sheetName val="検証確認シート"/>
      <sheetName val="Hide-rev-lists"/>
      <sheetName val="config_00"/>
      <sheetName val="月次概況"/>
      <sheetName val="3ｹ月機能"/>
      <sheetName val="CmpLes"/>
      <sheetName val="選択肢"/>
      <sheetName val="内売@設定資料0630"/>
      <sheetName val="入力イメージ"/>
      <sheetName val="79期 計画（最終△1）"/>
      <sheetName val="管理統制費 "/>
      <sheetName val="矢崎購入"/>
      <sheetName val="内-榛原"/>
      <sheetName val="追加1"/>
      <sheetName val="追加2"/>
      <sheetName val="品番情報"/>
      <sheetName val="選択用リスト、承認枠"/>
      <sheetName val="計画アイテム"/>
      <sheetName val="原単位表ﾌﾄﾒ_1"/>
      <sheetName val="HPS_Slit_Coil_(Centralia)"/>
      <sheetName val="_061Wｶｲｼｭ_XLSꁝ덮㐁ཤ表"/>
      <sheetName val="094W原紙_"/>
      <sheetName val="Ladder_Report_(2)"/>
      <sheetName val="14__Staff_Benefits"/>
      <sheetName val="Referent_information"/>
      <sheetName val="QC_APPROVE_SHEET"/>
      <sheetName val="PRENSAS_1"/>
      <sheetName val="不良項目"/>
      <sheetName val="Fixed Assets"/>
      <sheetName val="図面台帳"/>
      <sheetName val="config_03"/>
      <sheetName val="RMB86"/>
      <sheetName val="ｺｽﾄ比較 (総括)"/>
      <sheetName val="MMCCommonFixRate"/>
      <sheetName val="ProductionFixed"/>
      <sheetName val="Read me first"/>
      <sheetName val="ESM ver2"/>
      <sheetName val="【更新禁止】入力制御"/>
      <sheetName val="【更新禁止】マスタ制御"/>
      <sheetName val="[061Wｶｲｼｭ_XLSꁝ덮㐁ཤ表1"/>
      <sheetName val="MPL_技連1"/>
      <sheetName val="342E_BLOCK1"/>
      <sheetName val="ATR_KMH's"/>
      <sheetName val="SV5_Margins"/>
      <sheetName val="2001USA_Sales"/>
      <sheetName val="800T_Follow-up_Data"/>
      <sheetName val="_RemoteViewSysMain"/>
      <sheetName val="Description"/>
      <sheetName val="_____"/>
      <sheetName val="Basic information"/>
      <sheetName val="Price_list"/>
      <sheetName val="frm1"/>
      <sheetName val="T_排他"/>
      <sheetName val="T_事計品番"/>
      <sheetName val="T_事計品番読込"/>
      <sheetName val="Defect Item Master"/>
      <sheetName val="Sheet3"/>
      <sheetName val="ﾘｽﾄ"/>
      <sheetName val="T_GetMas_Hinban"/>
      <sheetName val="N(02a)"/>
      <sheetName val="T_GetOperating_Schedule"/>
      <sheetName val="pki"/>
      <sheetName val="person"/>
      <sheetName val="T_Car_Type_Code"/>
      <sheetName val="T_Haibun_Kbn"/>
      <sheetName val="T_Product_Site_Cd"/>
      <sheetName val="C"/>
      <sheetName val="Summary"/>
      <sheetName val="NWEA1180"/>
      <sheetName val="リスト"/>
      <sheetName val="压探针用治具其他"/>
      <sheetName val="尼龙带"/>
      <sheetName val="枠冶具"/>
      <sheetName val="金日FJK0508"/>
      <sheetName val="金日SDM-S0504"/>
      <sheetName val="出荷実績"/>
      <sheetName val="ﾃﾝﾌﾟﾚｰﾄ"/>
      <sheetName val="組立図板"/>
      <sheetName val="計算DATA"/>
      <sheetName val="集計結果詳細"/>
      <sheetName val="クエリ5"/>
      <sheetName val="５月購入実績"/>
      <sheetName val="BC01_Mpplan2"/>
      <sheetName val="frm2-1"/>
      <sheetName val="frm2-2"/>
      <sheetName val="frm3"/>
      <sheetName val="JUEVES 31"/>
      <sheetName val="MIERCOLES2"/>
      <sheetName val="VIERNES2"/>
      <sheetName val="JUEVES2"/>
      <sheetName val="LUNES2"/>
      <sheetName val="MARTES 29"/>
      <sheetName val="LUNES3"/>
      <sheetName val="MARTES3"/>
      <sheetName val="MIERCOLES3"/>
      <sheetName val="JUEVES3"/>
      <sheetName val="VIERNES3"/>
      <sheetName val="SEMANA"/>
      <sheetName val="MIERCOLES 30"/>
      <sheetName val="LUNES28"/>
      <sheetName val="MARTES2"/>
      <sheetName val="車種別損益表"/>
      <sheetName val="生産日報"/>
      <sheetName val="ｸﾘｱﾗﾝｽ算出(112-107)"/>
      <sheetName val="图2~3"/>
      <sheetName val="検証1"/>
      <sheetName val="検証489 "/>
      <sheetName val="初期03"/>
      <sheetName val="北米3in1"/>
      <sheetName val="北米標準ｺﾝﾋﾞ"/>
      <sheetName val="COVER明細"/>
      <sheetName val="週示0610"/>
      <sheetName val="Sheet22"/>
      <sheetName val="400L"/>
      <sheetName val="最新基準単価 "/>
      <sheetName val="金日HZR0505"/>
      <sheetName val="TB"/>
      <sheetName val="値引き効果額品番登録・照会"/>
      <sheetName val="J21KPL"/>
      <sheetName val="スコアカード (2)"/>
      <sheetName val="原単位表ﾌﾄﾒ_2"/>
      <sheetName val="_061Wｶｲｼｭ_XLSꁝ덮㐁ཤ表1"/>
      <sheetName val="HPS_Slit_Coil_(Centralia)1"/>
      <sheetName val="094W原紙_1"/>
      <sheetName val="14__Staff_Benefits1"/>
      <sheetName val="Ladder_Report_(2)1"/>
      <sheetName val="Referent_information1"/>
      <sheetName val="PRENSAS_11"/>
      <sheetName val="QC_APPROVE_SHEET1"/>
      <sheetName val="Material_Price"/>
      <sheetName val="Optional_per_Versione"/>
      <sheetName val="Basic_information"/>
      <sheetName val="Defect_Item_Master"/>
      <sheetName val="[061Wｶｲｼｭ_XLSꁝ덮㐁ཤ表2"/>
      <sheetName val="MPL_技連2"/>
      <sheetName val="342E_BLOCK2"/>
      <sheetName val="ATR_KMH's1"/>
      <sheetName val="SV5_Margins1"/>
      <sheetName val="2001USA_Sales1"/>
      <sheetName val="800T_Follow-up_Data1"/>
      <sheetName val="Canada"/>
      <sheetName val="分析"/>
      <sheetName val="TEMPLATE"/>
      <sheetName val="１．InfoCube (YKCH0010)案１"/>
      <sheetName val="１．InfoCube (YKCH0010) 案２"/>
      <sheetName val="ｺｽﾄ比較_(総括)"/>
      <sheetName val="説明資料1"/>
      <sheetName val="通常申請ﾌｫｰﾏｯﾄ"/>
      <sheetName val="説明資料3"/>
      <sheetName val="余剰データ"/>
      <sheetName val="Air申請"/>
      <sheetName val=" D2"/>
      <sheetName val="frm5"/>
      <sheetName val="Price_list1"/>
      <sheetName val="Summonth_MP"/>
      <sheetName val="Summonth_SC"/>
      <sheetName val="採否比較金額"/>
      <sheetName val="評価比較件数"/>
      <sheetName val="アルミ防食コスト試算"/>
      <sheetName val="引継data（内製）"/>
      <sheetName val="Unit req list QIP-Dan"/>
      <sheetName val="Production PLAN"/>
      <sheetName val="ASSY PLAN-ACTUAL"/>
      <sheetName val="Box-Bag-Opp"/>
      <sheetName val="Check Po"/>
      <sheetName val="sec."/>
      <sheetName val="Urgent plan"/>
      <sheetName val="Adjust CVR"/>
      <sheetName val="Time line"/>
      <sheetName val="CVR_14-May"/>
      <sheetName val="Plan repair part _CVR"/>
      <sheetName val="x Database"/>
      <sheetName val="Macro1"/>
      <sheetName val="1-2.グラフ"/>
      <sheetName val="4-1.グラフ 19まで完成版"/>
      <sheetName val="_061Wｶｲｼｭ_XLSꁝ덮㐁ཤ表2"/>
      <sheetName val="外観検査員の調査 (金森)"/>
      <sheetName val="AlbPrint"/>
      <sheetName val="条件表"/>
      <sheetName val="CONTRACT NOTE"/>
      <sheetName val="検索･参照"/>
      <sheetName val="Production Database 399"/>
      <sheetName val="3.４Ｒ損益"/>
      <sheetName val="MIA2"/>
      <sheetName val="141-1"/>
      <sheetName val="SH_ENTITY"/>
      <sheetName val="SH_GROUP"/>
      <sheetName val="SH_ICP"/>
      <sheetName val="SH_PROFILE"/>
      <sheetName val="SH_PRODUCTS"/>
      <sheetName val="MYZK02"/>
      <sheetName val="1.実行"/>
      <sheetName val="2.原単位"/>
      <sheetName val="3.マスター"/>
      <sheetName val="4.Format"/>
      <sheetName val="5.構成分析シート"/>
      <sheetName val="8211116K00_00000"/>
      <sheetName val="8211116K10_00000"/>
      <sheetName val="8211116K20_00000"/>
      <sheetName val="8211116K30_00000"/>
      <sheetName val="8214116G60_00000"/>
      <sheetName val="8214116G70_00000"/>
      <sheetName val="8214116G80_00000"/>
      <sheetName val="8216116D90_00000"/>
      <sheetName val="8216116E00_00000"/>
      <sheetName val="141"/>
      <sheetName val="選択リスト"/>
      <sheetName val="ARA37"/>
      <sheetName val="長計対比"/>
      <sheetName val="BPCS Table"/>
      <sheetName val="Current Yr Int Sales"/>
      <sheetName val="RK1"/>
      <sheetName val="当月報告書"/>
      <sheetName val="ﾍﾞｰｽﾃﾞｰﾀ"/>
      <sheetName val="累計"/>
      <sheetName val="3発"/>
      <sheetName val="介護 月次報告"/>
      <sheetName val="農業 月次報告"/>
      <sheetName val="まとめ"/>
      <sheetName val="整合後2021,12,24"/>
      <sheetName val="構想"/>
      <sheetName val="回路　表示用 "/>
      <sheetName val="回路　まとめ"/>
      <sheetName val="回路　750"/>
      <sheetName val="情報"/>
      <sheetName val="人工 "/>
      <sheetName val="設備"/>
      <sheetName val="人・設備能力"/>
      <sheetName val="㎡あたり工数、能率 (2)"/>
      <sheetName val="前工程旧レイアウト "/>
      <sheetName val="前工程新レイアウト"/>
      <sheetName val="134　レイアウト"/>
      <sheetName val="135レイアウト"/>
      <sheetName val="人工"/>
      <sheetName val="積上　10PL（サーミスタ端子挿入）T2"/>
      <sheetName val="積上　10PL（サーミスタ組立）T2 "/>
      <sheetName val="積上　10PL（コンベアー組立）T2 "/>
      <sheetName val="積上　10PL（VS端子挿入）T2 "/>
      <sheetName val="積上　10PL（導通検査）T2"/>
      <sheetName val="積上　10PL（サーミスタブサブ）U2"/>
      <sheetName val="積上　10PL（コンベアー組立導通検査）U2"/>
      <sheetName val="積上　10PL（VS端子挿入）U2 134"/>
      <sheetName val="積上　10PL（ファイナル検査）U2"/>
      <sheetName val="㎡あたり工数、能率"/>
      <sheetName val="生産構想図作り方流れ"/>
      <sheetName val="電線"/>
      <sheetName val="チューブ"/>
      <sheetName val="部品"/>
      <sheetName val="副資材"/>
      <sheetName val="新スケジュール"/>
      <sheetName val="99年度原単位"/>
      <sheetName val="ｺｽﾄ比較_(総括)1"/>
      <sheetName val="Read_me_first"/>
      <sheetName val="ESM_ver2"/>
      <sheetName val="JUEVES_31"/>
      <sheetName val="MARTES_29"/>
      <sheetName val="MIERCOLES_30"/>
      <sheetName val="検証489_"/>
      <sheetName val="Fixed_Assets"/>
      <sheetName val="79期_計画（最終△1）"/>
      <sheetName val="管理統制費_"/>
      <sheetName val="Price range IT"/>
      <sheetName val="2"/>
      <sheetName val="QA"/>
      <sheetName val="main"/>
      <sheetName val="amp_spr"/>
      <sheetName val="C214 9306#25"/>
      <sheetName val="wms20.03.06"/>
      <sheetName val="StdHrs07.02.06"/>
      <sheetName val="Yaris 316W 23.03.2006"/>
      <sheetName val="301N見積検討"/>
      <sheetName val="従推"/>
      <sheetName val="ESTABLISH"/>
      <sheetName val="検索条件メイク"/>
      <sheetName val="印刷不要)P3受注量元データ"/>
      <sheetName val="インプット品番"/>
      <sheetName val="詳細情報"/>
      <sheetName val="集計用"/>
      <sheetName val="解析まとめ"/>
      <sheetName val="sheet17"/>
      <sheetName val="Sheet 0"/>
      <sheetName val="Dictionary"/>
      <sheetName val="Sheet 4 VTL"/>
      <sheetName val="Links"/>
      <sheetName val="KonSSPL"/>
      <sheetName val="月次データ"/>
      <sheetName val="khung ten TD"/>
      <sheetName val="SH_CARLINE"/>
      <sheetName val="SH_MAKER"/>
      <sheetName val="入力(正)"/>
      <sheetName val="q_for_r_04_20_in_source"/>
      <sheetName val="094W原紙_2"/>
      <sheetName val="[061Wｶｲｼｭ_XLSꁝ덮㐁ཤ表3"/>
      <sheetName val="原単位表ﾌﾄﾒ_3"/>
      <sheetName val="MPL_技連3"/>
      <sheetName val="342E_BLOCK3"/>
      <sheetName val="HPS_Slit_Coil_(Centralia)2"/>
      <sheetName val="Ladder_Report_(2)2"/>
      <sheetName val="14__Staff_Benefits2"/>
      <sheetName val="Referent_information2"/>
      <sheetName val="PRENSAS_12"/>
      <sheetName val="QC_APPROVE_SHEET2"/>
      <sheetName val="ATR_KMH's2"/>
      <sheetName val="2001USA_Sales2"/>
      <sheetName val="SV5_Margins2"/>
      <sheetName val="800T_Follow-up_Data2"/>
      <sheetName val="Material_Price1"/>
      <sheetName val="Optional_per_Versione1"/>
      <sheetName val="Basic_information1"/>
      <sheetName val="Defect_Item_Master1"/>
      <sheetName val="最新基準単価_"/>
      <sheetName val="スコアカード_(2)"/>
      <sheetName val="介護_月次報告"/>
      <sheetName val="農業_月次報告"/>
      <sheetName val="_D2"/>
      <sheetName val="JAN21"/>
      <sheetName val="??????"/>
      <sheetName val="deta"/>
      <sheetName val="MBM and IIM"/>
      <sheetName val="データシート"/>
      <sheetName val="_061Wｶｲｼｭ_XLSꁝ덮㐁ཤ表3"/>
      <sheetName val="Price_list2"/>
      <sheetName val="Summonth_MP1"/>
      <sheetName val="Summonth_SC1"/>
      <sheetName val="Unit_req_list_QIP-Dan"/>
      <sheetName val="Production_PLAN"/>
      <sheetName val="ASSY_PLAN-ACTUAL"/>
      <sheetName val="Check_Po"/>
      <sheetName val="sec_"/>
      <sheetName val="Urgent_plan"/>
      <sheetName val="Adjust_CVR"/>
      <sheetName val="Time_line"/>
      <sheetName val="Plan_repair_part__CVR"/>
      <sheetName val="x_Database"/>
      <sheetName val="外観検査員の調査_(金森)"/>
      <sheetName val="1-2_グラフ"/>
      <sheetName val="4-1_グラフ_19まで完成版"/>
      <sheetName val="投資ﾌｫﾛｰ"/>
      <sheetName val="395WW売価見積"/>
      <sheetName val="集計"/>
      <sheetName val="Laendercodes"/>
      <sheetName val="comment"/>
      <sheetName val="JY134J"/>
      <sheetName val="国外所得"/>
      <sheetName val="Royalty-2004"/>
      <sheetName val="AVRV_MSSM"/>
      <sheetName val="590P追加"/>
      <sheetName val="T_銅ベースDrp"/>
      <sheetName val="ロス率"/>
      <sheetName val="45"/>
      <sheetName val="bs is"/>
      <sheetName val="admin exp."/>
      <sheetName val="132下実施期GAP"/>
      <sheetName val="99 bud"/>
      <sheetName val="Result of PL"/>
      <sheetName val="様式Ｊ"/>
      <sheetName val="作業能率未達成改善"/>
      <sheetName val="Car Types"/>
      <sheetName val="Prior Mo"/>
      <sheetName val="Preturi"/>
      <sheetName val="CSM Qtr"/>
      <sheetName val="第１紙原紙海電第４"/>
      <sheetName val="Features"/>
    </sheetNames>
    <sheetDataSet>
      <sheetData sheetId="0"/>
      <sheetData sheetId="1"/>
      <sheetData sheetId="2" refreshError="1"/>
      <sheetData sheetId="3" refreshError="1"/>
      <sheetData sheetId="4"/>
      <sheetData sheetId="5" refreshError="1"/>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sheetData sheetId="127" refreshError="1"/>
      <sheetData sheetId="128" refreshError="1"/>
      <sheetData sheetId="129"/>
      <sheetData sheetId="130"/>
      <sheetData sheetId="13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sheetData sheetId="150" refreshError="1"/>
      <sheetData sheetId="151" refreshError="1"/>
      <sheetData sheetId="152"/>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sheetData sheetId="188"/>
      <sheetData sheetId="189"/>
      <sheetData sheetId="190"/>
      <sheetData sheetId="191"/>
      <sheetData sheetId="192"/>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sheetData sheetId="218"/>
      <sheetData sheetId="219"/>
      <sheetData sheetId="220"/>
      <sheetData sheetId="221"/>
      <sheetData sheetId="222"/>
      <sheetData sheetId="223"/>
      <sheetData sheetId="224" refreshError="1"/>
      <sheetData sheetId="225" refreshError="1"/>
      <sheetData sheetId="226" refreshError="1"/>
      <sheetData sheetId="227" refreshError="1"/>
      <sheetData sheetId="228"/>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refreshError="1"/>
      <sheetData sheetId="319" refreshError="1"/>
      <sheetData sheetId="320" refreshError="1"/>
      <sheetData sheetId="321" refreshError="1"/>
      <sheetData sheetId="322" refreshError="1"/>
      <sheetData sheetId="323"/>
      <sheetData sheetId="324"/>
      <sheetData sheetId="325"/>
      <sheetData sheetId="326"/>
      <sheetData sheetId="327"/>
      <sheetData sheetId="328"/>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sheetData sheetId="340"/>
      <sheetData sheetId="341"/>
      <sheetData sheetId="342"/>
      <sheetData sheetId="343"/>
      <sheetData sheetId="344"/>
      <sheetData sheetId="345"/>
      <sheetData sheetId="346"/>
      <sheetData sheetId="347"/>
      <sheetData sheetId="348"/>
      <sheetData sheetId="349"/>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sheetData sheetId="365" refreshError="1"/>
      <sheetData sheetId="366" refreshError="1"/>
      <sheetData sheetId="367" refreshError="1"/>
      <sheetData sheetId="368" refreshError="1"/>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refreshError="1"/>
      <sheetData sheetId="384" refreshError="1"/>
      <sheetData sheetId="385" refreshError="1"/>
      <sheetData sheetId="386" refreshError="1"/>
      <sheetData sheetId="387" refreshError="1"/>
      <sheetData sheetId="388" refreshError="1"/>
      <sheetData sheetId="389" refreshError="1"/>
      <sheetData sheetId="390"/>
      <sheetData sheetId="391"/>
      <sheetData sheetId="392"/>
      <sheetData sheetId="393"/>
      <sheetData sheetId="394"/>
      <sheetData sheetId="395"/>
      <sheetData sheetId="396" refreshError="1"/>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refreshError="1"/>
      <sheetData sheetId="494" refreshError="1"/>
      <sheetData sheetId="495" refreshError="1"/>
      <sheetData sheetId="496" refreshError="1"/>
      <sheetData sheetId="497" refreshError="1"/>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PTOBAT"/>
      <sheetName val="Sheet3"/>
      <sheetName val="WAGE96"/>
      <sheetName val="DATA"/>
      <sheetName val="Sheet4"/>
      <sheetName val="DBASE"/>
      <sheetName val="PPH21"/>
      <sheetName val="REKAP.2"/>
      <sheetName val="REKAP.1"/>
      <sheetName val="Sheet1"/>
      <sheetName val="Sheet2"/>
      <sheetName val="A1"/>
      <sheetName val="A3"/>
      <sheetName val="KARY"/>
      <sheetName val="Sheet22"/>
      <sheetName val="Sheet28"/>
      <sheetName val="SUMMARY MAN POWER"/>
      <sheetName val="ABSENSI"/>
      <sheetName val="ALL MP"/>
      <sheetName val="AKAN RESIGN"/>
      <sheetName val="RESIGN"/>
      <sheetName val="TK +2 HARI (2)"/>
      <sheetName val="SUMMARY MP JF"/>
      <sheetName val="ABSENSI-JF"/>
      <sheetName val="RESIGN-JF"/>
      <sheetName val="MP -JF"/>
      <sheetName val="PRM"/>
      <sheetName val="MH AUG"/>
      <sheetName val="SAMI 201107"/>
      <sheetName val="ﾌｫｰﾏｯﾄ用DB"/>
    </sheetNames>
    <sheetDataSet>
      <sheetData sheetId="0"/>
      <sheetData sheetId="1"/>
      <sheetData sheetId="2"/>
      <sheetData sheetId="3"/>
      <sheetData sheetId="4">
        <row r="2">
          <cell r="B2" t="str">
            <v>NIK</v>
          </cell>
        </row>
      </sheetData>
      <sheetData sheetId="5"/>
      <sheetData sheetId="6"/>
      <sheetData sheetId="7"/>
      <sheetData sheetId="8"/>
      <sheetData sheetId="9"/>
      <sheetData sheetId="10"/>
      <sheetData sheetId="11"/>
      <sheetData sheetId="12"/>
      <sheetData sheetId="13"/>
      <sheetData sheetId="14"/>
      <sheetData sheetId="15"/>
      <sheetData sheetId="16"/>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_MISSION"/>
      <sheetName val="Sheet5"/>
      <sheetName val="未納部品"/>
      <sheetName val="A_K1納入状況"/>
      <sheetName val="A_K2納入状況"/>
      <sheetName val="協力企業一覧"/>
    </sheetNames>
    <sheetDataSet>
      <sheetData sheetId="0">
        <row r="1">
          <cell r="T1" t="str">
            <v>BOOK</v>
          </cell>
          <cell r="U1" t="str">
            <v>YEAR</v>
          </cell>
          <cell r="V1" t="str">
            <v>UPC</v>
          </cell>
          <cell r="W1" t="str">
            <v>A_FNA</v>
          </cell>
          <cell r="X1" t="str">
            <v>D_UPC</v>
          </cell>
          <cell r="Y1" t="str">
            <v>FNA</v>
          </cell>
          <cell r="Z1" t="str">
            <v>SEQ</v>
          </cell>
          <cell r="AA1" t="str">
            <v>P QTY</v>
          </cell>
          <cell r="AB1" t="str">
            <v>DES</v>
          </cell>
          <cell r="AC1" t="str">
            <v>KD</v>
          </cell>
          <cell r="AD1" t="str">
            <v>PRO</v>
          </cell>
          <cell r="AE1" t="str">
            <v>START</v>
          </cell>
          <cell r="AF1" t="str">
            <v>STR_DATE</v>
          </cell>
          <cell r="AG1" t="str">
            <v>STOP</v>
          </cell>
          <cell r="AH1" t="str">
            <v>STP_DATE</v>
          </cell>
          <cell r="AI1" t="str">
            <v>VL1</v>
          </cell>
          <cell r="AJ1" t="str">
            <v>UL1</v>
          </cell>
          <cell r="AK1" t="str">
            <v>VL2</v>
          </cell>
          <cell r="AL1" t="str">
            <v>UL2</v>
          </cell>
          <cell r="AM1" t="str">
            <v>DEPT2</v>
          </cell>
          <cell r="AN1" t="str">
            <v>VL3</v>
          </cell>
          <cell r="AO1" t="str">
            <v>UL3</v>
          </cell>
          <cell r="AP1" t="str">
            <v>DEPT3</v>
          </cell>
          <cell r="AQ1" t="str">
            <v>VL4</v>
          </cell>
          <cell r="AR1" t="str">
            <v>UL4</v>
          </cell>
          <cell r="AS1" t="str">
            <v>DEPT4</v>
          </cell>
          <cell r="AT1" t="str">
            <v>SK</v>
          </cell>
          <cell r="AU1" t="str">
            <v>KT</v>
          </cell>
          <cell r="AV1" t="str">
            <v>ZAI_1</v>
          </cell>
          <cell r="AW1" t="str">
            <v>ZAI_2</v>
          </cell>
          <cell r="AX1" t="str">
            <v>MAKER 2</v>
          </cell>
          <cell r="AY1" t="str">
            <v>ZAI 3</v>
          </cell>
          <cell r="AZ1" t="str">
            <v>MAKER 3</v>
          </cell>
          <cell r="BA1" t="str">
            <v>ZAI 4</v>
          </cell>
          <cell r="BB1" t="str">
            <v>MAKER 4</v>
          </cell>
          <cell r="BC1" t="str">
            <v>ZAI 5</v>
          </cell>
          <cell r="BD1" t="str">
            <v>MAKER 5</v>
          </cell>
          <cell r="BE1" t="str">
            <v>NR</v>
          </cell>
          <cell r="BF1" t="str">
            <v>U_CODE</v>
          </cell>
          <cell r="BG1" t="str">
            <v>ECS</v>
          </cell>
          <cell r="BH1" t="str">
            <v>R BK</v>
          </cell>
          <cell r="BI1" t="str">
            <v>R YR</v>
          </cell>
        </row>
        <row r="2">
          <cell r="T2" t="str">
            <v>5Q</v>
          </cell>
          <cell r="U2" t="str">
            <v>040</v>
          </cell>
          <cell r="V2" t="str">
            <v xml:space="preserve"> 7B 1A</v>
          </cell>
          <cell r="W2" t="str">
            <v>U7235</v>
          </cell>
          <cell r="Y2" t="str">
            <v>U7235E</v>
          </cell>
          <cell r="Z2" t="str">
            <v>AAB</v>
          </cell>
          <cell r="AB2" t="str">
            <v>T</v>
          </cell>
          <cell r="AD2" t="str">
            <v>*</v>
          </cell>
          <cell r="AE2" t="str">
            <v>2J653</v>
          </cell>
          <cell r="AF2" t="str">
            <v>021223</v>
          </cell>
          <cell r="AI2" t="str">
            <v>*</v>
          </cell>
          <cell r="AJ2" t="str">
            <v>T</v>
          </cell>
          <cell r="AT2" t="str">
            <v>A</v>
          </cell>
          <cell r="AU2" t="str">
            <v>0</v>
          </cell>
          <cell r="AV2" t="str">
            <v>3</v>
          </cell>
          <cell r="BE2" t="str">
            <v>4</v>
          </cell>
          <cell r="BF2" t="str">
            <v>0002</v>
          </cell>
          <cell r="BG2" t="str">
            <v>NCH03</v>
          </cell>
          <cell r="BH2" t="str">
            <v>2X</v>
          </cell>
          <cell r="BI2" t="str">
            <v>015</v>
          </cell>
        </row>
        <row r="3">
          <cell r="T3" t="str">
            <v>5Q</v>
          </cell>
          <cell r="U3" t="str">
            <v>040</v>
          </cell>
          <cell r="V3" t="str">
            <v xml:space="preserve"> 7B 1A</v>
          </cell>
          <cell r="W3" t="str">
            <v>U7100</v>
          </cell>
          <cell r="Y3" t="str">
            <v>U7100E</v>
          </cell>
          <cell r="Z3" t="str">
            <v>AAC</v>
          </cell>
          <cell r="AB3" t="str">
            <v>T</v>
          </cell>
          <cell r="AD3" t="str">
            <v>*</v>
          </cell>
          <cell r="AE3" t="str">
            <v>2J653</v>
          </cell>
          <cell r="AF3" t="str">
            <v>021223</v>
          </cell>
          <cell r="AI3" t="str">
            <v>*</v>
          </cell>
          <cell r="AJ3" t="str">
            <v>T</v>
          </cell>
          <cell r="AT3" t="str">
            <v>A</v>
          </cell>
          <cell r="AU3" t="str">
            <v>0</v>
          </cell>
          <cell r="AV3" t="str">
            <v>3</v>
          </cell>
          <cell r="BE3" t="str">
            <v>4</v>
          </cell>
          <cell r="BF3" t="str">
            <v>0005</v>
          </cell>
          <cell r="BG3" t="str">
            <v>NAU49</v>
          </cell>
          <cell r="BH3" t="str">
            <v>2P</v>
          </cell>
          <cell r="BI3" t="str">
            <v>030</v>
          </cell>
        </row>
        <row r="4">
          <cell r="T4" t="str">
            <v>5Q</v>
          </cell>
          <cell r="U4" t="str">
            <v>040</v>
          </cell>
          <cell r="V4" t="str">
            <v xml:space="preserve"> 5D</v>
          </cell>
          <cell r="W4" t="str">
            <v>U5165</v>
          </cell>
          <cell r="Y4" t="str">
            <v>U5165E</v>
          </cell>
          <cell r="Z4" t="str">
            <v>AAF</v>
          </cell>
          <cell r="AB4" t="str">
            <v>T</v>
          </cell>
          <cell r="AD4" t="str">
            <v>*</v>
          </cell>
          <cell r="AE4" t="str">
            <v>2J653</v>
          </cell>
          <cell r="AF4" t="str">
            <v>021223</v>
          </cell>
          <cell r="AI4" t="str">
            <v>*</v>
          </cell>
          <cell r="AJ4" t="str">
            <v>T</v>
          </cell>
          <cell r="AT4" t="str">
            <v>A</v>
          </cell>
          <cell r="AU4" t="str">
            <v>0</v>
          </cell>
          <cell r="AV4" t="str">
            <v>3</v>
          </cell>
          <cell r="BE4" t="str">
            <v>A</v>
          </cell>
          <cell r="BF4" t="str">
            <v>0003</v>
          </cell>
          <cell r="BG4" t="str">
            <v>2H814</v>
          </cell>
          <cell r="BH4" t="str">
            <v>5B</v>
          </cell>
          <cell r="BI4" t="str">
            <v>020</v>
          </cell>
        </row>
        <row r="5">
          <cell r="T5" t="str">
            <v>5Q</v>
          </cell>
          <cell r="U5" t="str">
            <v>040</v>
          </cell>
          <cell r="V5" t="str">
            <v xml:space="preserve"> 7B 1A</v>
          </cell>
          <cell r="W5" t="str">
            <v>U0722</v>
          </cell>
          <cell r="Y5" t="str">
            <v>U0722E</v>
          </cell>
          <cell r="Z5" t="str">
            <v>AAE</v>
          </cell>
          <cell r="AB5" t="str">
            <v>T</v>
          </cell>
          <cell r="AD5" t="str">
            <v>*</v>
          </cell>
          <cell r="AE5" t="str">
            <v>2J653</v>
          </cell>
          <cell r="AF5" t="str">
            <v>021223</v>
          </cell>
          <cell r="AI5" t="str">
            <v>*</v>
          </cell>
          <cell r="AJ5" t="str">
            <v>T</v>
          </cell>
          <cell r="BE5" t="str">
            <v>M</v>
          </cell>
          <cell r="BF5" t="str">
            <v>0001</v>
          </cell>
        </row>
        <row r="6">
          <cell r="T6" t="str">
            <v>5Q</v>
          </cell>
          <cell r="U6" t="str">
            <v>040</v>
          </cell>
          <cell r="V6" t="str">
            <v xml:space="preserve"> 7B 3A</v>
          </cell>
          <cell r="W6" t="str">
            <v>U0107</v>
          </cell>
          <cell r="Y6" t="str">
            <v>U0107E</v>
          </cell>
          <cell r="Z6" t="str">
            <v>AAA</v>
          </cell>
          <cell r="AB6" t="str">
            <v>U</v>
          </cell>
          <cell r="AD6" t="str">
            <v>*</v>
          </cell>
          <cell r="AE6" t="str">
            <v>2J653</v>
          </cell>
          <cell r="AF6" t="str">
            <v>021223</v>
          </cell>
          <cell r="AI6" t="str">
            <v>*</v>
          </cell>
          <cell r="AJ6" t="str">
            <v>T</v>
          </cell>
          <cell r="AT6" t="str">
            <v>A</v>
          </cell>
          <cell r="AU6" t="str">
            <v>0</v>
          </cell>
          <cell r="AV6" t="str">
            <v>3</v>
          </cell>
          <cell r="BF6" t="str">
            <v>0002</v>
          </cell>
          <cell r="BG6" t="str">
            <v>Z5809</v>
          </cell>
          <cell r="BH6" t="str">
            <v>E7</v>
          </cell>
        </row>
        <row r="7">
          <cell r="T7" t="str">
            <v>5Q</v>
          </cell>
          <cell r="U7" t="str">
            <v>040</v>
          </cell>
          <cell r="V7" t="str">
            <v>14H</v>
          </cell>
          <cell r="W7" t="str">
            <v>U4360</v>
          </cell>
          <cell r="Y7" t="str">
            <v>U4360E</v>
          </cell>
          <cell r="Z7" t="str">
            <v>AAA</v>
          </cell>
          <cell r="AB7" t="str">
            <v>T</v>
          </cell>
          <cell r="AD7" t="str">
            <v>*</v>
          </cell>
          <cell r="AE7" t="str">
            <v>2J653</v>
          </cell>
          <cell r="AF7" t="str">
            <v>021223</v>
          </cell>
          <cell r="AI7" t="str">
            <v>*</v>
          </cell>
          <cell r="AJ7" t="str">
            <v>T</v>
          </cell>
          <cell r="AT7" t="str">
            <v>A</v>
          </cell>
          <cell r="AU7" t="str">
            <v>0</v>
          </cell>
          <cell r="AV7" t="str">
            <v>3</v>
          </cell>
          <cell r="BE7" t="str">
            <v>1</v>
          </cell>
          <cell r="BF7" t="str">
            <v>0027</v>
          </cell>
          <cell r="BG7" t="str">
            <v>Z5761</v>
          </cell>
          <cell r="BH7" t="str">
            <v>P8</v>
          </cell>
          <cell r="BI7" t="str">
            <v>885</v>
          </cell>
        </row>
        <row r="8">
          <cell r="T8" t="str">
            <v>5Q</v>
          </cell>
          <cell r="U8" t="str">
            <v>040</v>
          </cell>
          <cell r="V8" t="str">
            <v>12E</v>
          </cell>
          <cell r="W8" t="str">
            <v>U0550</v>
          </cell>
          <cell r="Y8" t="str">
            <v>U0550E</v>
          </cell>
          <cell r="Z8" t="str">
            <v>AAD</v>
          </cell>
          <cell r="AB8" t="str">
            <v>T</v>
          </cell>
          <cell r="AD8" t="str">
            <v>*</v>
          </cell>
          <cell r="AE8" t="str">
            <v>2J653</v>
          </cell>
          <cell r="AF8" t="str">
            <v>021223</v>
          </cell>
          <cell r="AI8" t="str">
            <v>*</v>
          </cell>
          <cell r="AJ8" t="str">
            <v>T</v>
          </cell>
          <cell r="AT8" t="str">
            <v>A</v>
          </cell>
          <cell r="AU8" t="str">
            <v>0</v>
          </cell>
          <cell r="AV8" t="str">
            <v>3</v>
          </cell>
          <cell r="BE8" t="str">
            <v>ｻ</v>
          </cell>
          <cell r="BF8" t="str">
            <v>0005</v>
          </cell>
          <cell r="BG8" t="str">
            <v>2H811</v>
          </cell>
          <cell r="BH8" t="str">
            <v>Q2</v>
          </cell>
          <cell r="BI8" t="str">
            <v>030</v>
          </cell>
        </row>
        <row r="9">
          <cell r="T9" t="str">
            <v>5Q</v>
          </cell>
          <cell r="U9" t="str">
            <v>040</v>
          </cell>
          <cell r="V9" t="str">
            <v xml:space="preserve"> 7A</v>
          </cell>
          <cell r="W9" t="str">
            <v>U6200</v>
          </cell>
          <cell r="Y9" t="str">
            <v>U6200E</v>
          </cell>
          <cell r="Z9" t="str">
            <v>AAC</v>
          </cell>
          <cell r="AB9" t="str">
            <v>U</v>
          </cell>
          <cell r="AD9" t="str">
            <v>*</v>
          </cell>
          <cell r="AE9" t="str">
            <v>2J653</v>
          </cell>
          <cell r="AF9" t="str">
            <v>021223</v>
          </cell>
          <cell r="AI9" t="str">
            <v>*</v>
          </cell>
          <cell r="AJ9" t="str">
            <v>T</v>
          </cell>
          <cell r="AT9" t="str">
            <v>A</v>
          </cell>
          <cell r="AU9" t="str">
            <v>0</v>
          </cell>
          <cell r="AV9" t="str">
            <v>3</v>
          </cell>
          <cell r="BE9" t="str">
            <v>J</v>
          </cell>
          <cell r="BF9" t="str">
            <v>0002</v>
          </cell>
          <cell r="BG9" t="str">
            <v>2H811</v>
          </cell>
          <cell r="BH9" t="str">
            <v>Q2</v>
          </cell>
          <cell r="BI9" t="str">
            <v>030</v>
          </cell>
        </row>
        <row r="10">
          <cell r="T10" t="str">
            <v>5Q</v>
          </cell>
          <cell r="U10" t="str">
            <v>040</v>
          </cell>
          <cell r="V10" t="str">
            <v xml:space="preserve"> 7B 1A</v>
          </cell>
          <cell r="W10" t="str">
            <v>U7205</v>
          </cell>
          <cell r="Y10" t="str">
            <v>U7205E</v>
          </cell>
          <cell r="Z10" t="str">
            <v>AAC</v>
          </cell>
          <cell r="AB10" t="str">
            <v>T</v>
          </cell>
          <cell r="AD10" t="str">
            <v>*</v>
          </cell>
          <cell r="AE10" t="str">
            <v>2J653</v>
          </cell>
          <cell r="AF10" t="str">
            <v>021223</v>
          </cell>
          <cell r="AI10" t="str">
            <v>*</v>
          </cell>
          <cell r="AJ10" t="str">
            <v>T</v>
          </cell>
          <cell r="AT10" t="str">
            <v>A</v>
          </cell>
          <cell r="AU10" t="str">
            <v>0</v>
          </cell>
          <cell r="AV10" t="str">
            <v>3</v>
          </cell>
          <cell r="BE10" t="str">
            <v>ｻ</v>
          </cell>
          <cell r="BF10" t="str">
            <v>0034</v>
          </cell>
          <cell r="BG10" t="str">
            <v>2H811</v>
          </cell>
          <cell r="BH10" t="str">
            <v>Q2</v>
          </cell>
          <cell r="BI10" t="str">
            <v>030</v>
          </cell>
        </row>
        <row r="11">
          <cell r="T11" t="str">
            <v>5Q</v>
          </cell>
          <cell r="U11" t="str">
            <v>040</v>
          </cell>
          <cell r="V11" t="str">
            <v xml:space="preserve"> 7B 3A</v>
          </cell>
          <cell r="W11" t="str">
            <v>U0107</v>
          </cell>
          <cell r="Y11" t="str">
            <v>U0107E</v>
          </cell>
          <cell r="Z11" t="str">
            <v>AAB</v>
          </cell>
          <cell r="AB11" t="str">
            <v>U</v>
          </cell>
          <cell r="AD11" t="str">
            <v>*</v>
          </cell>
          <cell r="AE11" t="str">
            <v>2J653</v>
          </cell>
          <cell r="AF11" t="str">
            <v>021223</v>
          </cell>
          <cell r="AI11" t="str">
            <v>*</v>
          </cell>
          <cell r="AJ11" t="str">
            <v>T</v>
          </cell>
          <cell r="AT11" t="str">
            <v>A</v>
          </cell>
          <cell r="AU11" t="str">
            <v>0</v>
          </cell>
          <cell r="AV11" t="str">
            <v>3</v>
          </cell>
          <cell r="BF11" t="str">
            <v>0002</v>
          </cell>
          <cell r="BG11" t="str">
            <v>JK751</v>
          </cell>
          <cell r="BH11" t="str">
            <v>A4</v>
          </cell>
          <cell r="BI11" t="str">
            <v>945</v>
          </cell>
        </row>
        <row r="12">
          <cell r="T12" t="str">
            <v>5Q</v>
          </cell>
          <cell r="U12" t="str">
            <v>040</v>
          </cell>
          <cell r="V12" t="str">
            <v xml:space="preserve"> 7B 3A</v>
          </cell>
          <cell r="W12" t="str">
            <v>U1350</v>
          </cell>
          <cell r="Y12" t="str">
            <v>U1350E</v>
          </cell>
          <cell r="Z12" t="str">
            <v>AAB</v>
          </cell>
          <cell r="AB12" t="str">
            <v>U</v>
          </cell>
          <cell r="AD12" t="str">
            <v>*</v>
          </cell>
          <cell r="AE12" t="str">
            <v>2J653</v>
          </cell>
          <cell r="AF12" t="str">
            <v>021223</v>
          </cell>
          <cell r="AI12" t="str">
            <v>*</v>
          </cell>
          <cell r="AJ12" t="str">
            <v>T</v>
          </cell>
          <cell r="AT12" t="str">
            <v>A</v>
          </cell>
          <cell r="AU12" t="str">
            <v>0</v>
          </cell>
          <cell r="AV12" t="str">
            <v>3</v>
          </cell>
          <cell r="BF12" t="str">
            <v>0002</v>
          </cell>
          <cell r="BG12" t="str">
            <v>2J559</v>
          </cell>
          <cell r="BH12" t="str">
            <v>B6</v>
          </cell>
          <cell r="BI12" t="str">
            <v>970</v>
          </cell>
        </row>
        <row r="13">
          <cell r="T13" t="str">
            <v>5Q</v>
          </cell>
          <cell r="U13" t="str">
            <v>040</v>
          </cell>
          <cell r="V13" t="str">
            <v xml:space="preserve"> 7B 3D</v>
          </cell>
          <cell r="W13" t="str">
            <v>U1200</v>
          </cell>
          <cell r="Y13" t="str">
            <v>U1200E</v>
          </cell>
          <cell r="Z13" t="str">
            <v>AAA</v>
          </cell>
          <cell r="AB13" t="str">
            <v>U</v>
          </cell>
          <cell r="AD13" t="str">
            <v>*</v>
          </cell>
          <cell r="AE13" t="str">
            <v>2J653</v>
          </cell>
          <cell r="AF13" t="str">
            <v>021223</v>
          </cell>
          <cell r="AI13" t="str">
            <v>*</v>
          </cell>
          <cell r="AJ13" t="str">
            <v>T</v>
          </cell>
          <cell r="AT13" t="str">
            <v>A</v>
          </cell>
          <cell r="AU13" t="str">
            <v>0</v>
          </cell>
          <cell r="AV13" t="str">
            <v>3</v>
          </cell>
          <cell r="BF13" t="str">
            <v>0002</v>
          </cell>
          <cell r="BG13" t="str">
            <v>9W347</v>
          </cell>
          <cell r="BH13" t="str">
            <v>AW</v>
          </cell>
          <cell r="BI13" t="str">
            <v>950</v>
          </cell>
        </row>
        <row r="14">
          <cell r="T14" t="str">
            <v>5Q</v>
          </cell>
          <cell r="U14" t="str">
            <v>040</v>
          </cell>
          <cell r="V14" t="str">
            <v xml:space="preserve"> 7B 3C</v>
          </cell>
          <cell r="W14" t="str">
            <v>U1500</v>
          </cell>
          <cell r="Y14" t="str">
            <v>U1500E</v>
          </cell>
          <cell r="Z14" t="str">
            <v>AAA</v>
          </cell>
          <cell r="AB14" t="str">
            <v>U</v>
          </cell>
          <cell r="AD14" t="str">
            <v>*</v>
          </cell>
          <cell r="AE14" t="str">
            <v>2J653</v>
          </cell>
          <cell r="AF14" t="str">
            <v>021223</v>
          </cell>
          <cell r="AI14" t="str">
            <v>*</v>
          </cell>
          <cell r="AJ14" t="str">
            <v>T</v>
          </cell>
          <cell r="AT14" t="str">
            <v>A</v>
          </cell>
          <cell r="AU14" t="str">
            <v>0</v>
          </cell>
          <cell r="AV14" t="str">
            <v>3</v>
          </cell>
          <cell r="BF14" t="str">
            <v>0002</v>
          </cell>
          <cell r="BG14" t="str">
            <v>2N722</v>
          </cell>
          <cell r="BH14" t="str">
            <v>3X</v>
          </cell>
          <cell r="BI14" t="str">
            <v>950</v>
          </cell>
        </row>
        <row r="15">
          <cell r="T15" t="str">
            <v>5Q</v>
          </cell>
          <cell r="U15" t="str">
            <v>040</v>
          </cell>
          <cell r="V15" t="str">
            <v xml:space="preserve"> 7B 3C</v>
          </cell>
          <cell r="W15" t="str">
            <v>U1100</v>
          </cell>
          <cell r="Y15" t="str">
            <v>U1100E</v>
          </cell>
          <cell r="Z15" t="str">
            <v>AAA</v>
          </cell>
          <cell r="AB15" t="str">
            <v>U</v>
          </cell>
          <cell r="AD15" t="str">
            <v>*</v>
          </cell>
          <cell r="AE15" t="str">
            <v>2J653</v>
          </cell>
          <cell r="AF15" t="str">
            <v>021223</v>
          </cell>
          <cell r="AI15" t="str">
            <v>*</v>
          </cell>
          <cell r="AJ15" t="str">
            <v>T</v>
          </cell>
          <cell r="AT15" t="str">
            <v>A</v>
          </cell>
          <cell r="AU15" t="str">
            <v>0</v>
          </cell>
          <cell r="AV15" t="str">
            <v>3</v>
          </cell>
          <cell r="BF15" t="str">
            <v>0002</v>
          </cell>
          <cell r="BG15" t="str">
            <v>Z6146</v>
          </cell>
          <cell r="BH15" t="str">
            <v>B9</v>
          </cell>
          <cell r="BI15" t="str">
            <v>910</v>
          </cell>
        </row>
        <row r="16">
          <cell r="T16" t="str">
            <v>5Q</v>
          </cell>
          <cell r="U16" t="str">
            <v>040</v>
          </cell>
          <cell r="V16" t="str">
            <v xml:space="preserve"> 7B 1B1</v>
          </cell>
          <cell r="W16" t="str">
            <v>U1100</v>
          </cell>
          <cell r="Y16" t="str">
            <v>U1100E</v>
          </cell>
          <cell r="Z16" t="str">
            <v>AAB</v>
          </cell>
          <cell r="AB16" t="str">
            <v>T</v>
          </cell>
          <cell r="AD16" t="str">
            <v>*</v>
          </cell>
          <cell r="AE16" t="str">
            <v>2J653</v>
          </cell>
          <cell r="AF16" t="str">
            <v>021223</v>
          </cell>
          <cell r="AI16" t="str">
            <v>*</v>
          </cell>
          <cell r="AJ16" t="str">
            <v>T</v>
          </cell>
          <cell r="BE16" t="str">
            <v>M</v>
          </cell>
          <cell r="BF16" t="str">
            <v>0004</v>
          </cell>
        </row>
        <row r="17">
          <cell r="T17" t="str">
            <v>5Q</v>
          </cell>
          <cell r="U17" t="str">
            <v>040</v>
          </cell>
          <cell r="V17" t="str">
            <v>14H</v>
          </cell>
          <cell r="W17" t="str">
            <v>U4370</v>
          </cell>
          <cell r="Y17" t="str">
            <v>U4370E</v>
          </cell>
          <cell r="Z17" t="str">
            <v>AAA</v>
          </cell>
          <cell r="AB17" t="str">
            <v>T</v>
          </cell>
          <cell r="AD17" t="str">
            <v>*</v>
          </cell>
          <cell r="AE17" t="str">
            <v>2J653</v>
          </cell>
          <cell r="AF17" t="str">
            <v>021223</v>
          </cell>
          <cell r="AI17" t="str">
            <v>*</v>
          </cell>
          <cell r="AJ17" t="str">
            <v>T</v>
          </cell>
          <cell r="AT17" t="str">
            <v>A</v>
          </cell>
          <cell r="AU17" t="str">
            <v>0</v>
          </cell>
          <cell r="AV17" t="str">
            <v>3</v>
          </cell>
          <cell r="BE17" t="str">
            <v>1</v>
          </cell>
          <cell r="BF17" t="str">
            <v>0027</v>
          </cell>
          <cell r="BG17" t="str">
            <v>KOBAI</v>
          </cell>
          <cell r="BH17" t="str">
            <v>P8</v>
          </cell>
          <cell r="BI17" t="str">
            <v>850</v>
          </cell>
        </row>
        <row r="18">
          <cell r="T18" t="str">
            <v>5Q</v>
          </cell>
          <cell r="U18" t="str">
            <v>040</v>
          </cell>
          <cell r="V18" t="str">
            <v xml:space="preserve"> 7A</v>
          </cell>
          <cell r="W18" t="str">
            <v>U6160</v>
          </cell>
          <cell r="Y18" t="str">
            <v>U6160E</v>
          </cell>
          <cell r="Z18" t="str">
            <v>AAB</v>
          </cell>
          <cell r="AB18" t="str">
            <v>U</v>
          </cell>
          <cell r="AD18" t="str">
            <v>*</v>
          </cell>
          <cell r="AE18" t="str">
            <v>2J653</v>
          </cell>
          <cell r="AF18" t="str">
            <v>021223</v>
          </cell>
          <cell r="AI18" t="str">
            <v>*</v>
          </cell>
          <cell r="AJ18" t="str">
            <v>T</v>
          </cell>
          <cell r="AT18" t="str">
            <v>A</v>
          </cell>
          <cell r="AU18" t="str">
            <v>0</v>
          </cell>
          <cell r="AV18" t="str">
            <v>3</v>
          </cell>
          <cell r="BE18" t="str">
            <v>ｱ</v>
          </cell>
          <cell r="BF18" t="str">
            <v>0055</v>
          </cell>
          <cell r="BG18" t="str">
            <v>NAR93</v>
          </cell>
          <cell r="BH18" t="str">
            <v>B4</v>
          </cell>
          <cell r="BI18" t="str">
            <v>010</v>
          </cell>
        </row>
        <row r="19">
          <cell r="T19" t="str">
            <v>5Q</v>
          </cell>
          <cell r="U19" t="str">
            <v>040</v>
          </cell>
          <cell r="V19" t="str">
            <v xml:space="preserve"> 7B 1B1</v>
          </cell>
          <cell r="W19" t="str">
            <v>U1200</v>
          </cell>
          <cell r="Y19" t="str">
            <v>U1200E</v>
          </cell>
          <cell r="Z19" t="str">
            <v>AAB</v>
          </cell>
          <cell r="AB19" t="str">
            <v>T</v>
          </cell>
          <cell r="AD19" t="str">
            <v>*</v>
          </cell>
          <cell r="AE19" t="str">
            <v>2J653</v>
          </cell>
          <cell r="AF19" t="str">
            <v>021223</v>
          </cell>
          <cell r="AI19" t="str">
            <v>*</v>
          </cell>
          <cell r="AJ19" t="str">
            <v>T</v>
          </cell>
          <cell r="BE19" t="str">
            <v>M</v>
          </cell>
          <cell r="BF19" t="str">
            <v>0004</v>
          </cell>
        </row>
        <row r="20">
          <cell r="T20" t="str">
            <v>5Q</v>
          </cell>
          <cell r="U20" t="str">
            <v>040</v>
          </cell>
          <cell r="V20" t="str">
            <v xml:space="preserve"> 7B 1C</v>
          </cell>
          <cell r="W20" t="str">
            <v>U6700</v>
          </cell>
          <cell r="Y20" t="str">
            <v>U6700E</v>
          </cell>
          <cell r="Z20" t="str">
            <v>AAB</v>
          </cell>
          <cell r="AB20" t="str">
            <v>T</v>
          </cell>
          <cell r="AD20" t="str">
            <v>*</v>
          </cell>
          <cell r="AE20" t="str">
            <v>2J653</v>
          </cell>
          <cell r="AF20" t="str">
            <v>021223</v>
          </cell>
          <cell r="AI20" t="str">
            <v>*</v>
          </cell>
          <cell r="AJ20" t="str">
            <v>T</v>
          </cell>
          <cell r="BE20" t="str">
            <v>M</v>
          </cell>
          <cell r="BF20" t="str">
            <v>0008</v>
          </cell>
        </row>
        <row r="21">
          <cell r="T21" t="str">
            <v>5Q</v>
          </cell>
          <cell r="U21" t="str">
            <v>040</v>
          </cell>
          <cell r="V21" t="str">
            <v xml:space="preserve"> 7B 1D</v>
          </cell>
          <cell r="W21" t="str">
            <v>U7310</v>
          </cell>
          <cell r="Y21" t="str">
            <v>U7310E</v>
          </cell>
          <cell r="Z21" t="str">
            <v>AAA</v>
          </cell>
          <cell r="AB21" t="str">
            <v>T</v>
          </cell>
          <cell r="AD21" t="str">
            <v>*</v>
          </cell>
          <cell r="AE21" t="str">
            <v>2J653</v>
          </cell>
          <cell r="AF21" t="str">
            <v>021223</v>
          </cell>
          <cell r="AI21" t="str">
            <v>*</v>
          </cell>
          <cell r="AJ21" t="str">
            <v>T</v>
          </cell>
          <cell r="AT21" t="str">
            <v>A</v>
          </cell>
          <cell r="AU21" t="str">
            <v>0</v>
          </cell>
          <cell r="AV21" t="str">
            <v>3</v>
          </cell>
          <cell r="BF21" t="str">
            <v>0001</v>
          </cell>
          <cell r="BG21" t="str">
            <v>KOBAI</v>
          </cell>
        </row>
        <row r="22">
          <cell r="T22" t="str">
            <v>5Q</v>
          </cell>
          <cell r="U22" t="str">
            <v>040</v>
          </cell>
          <cell r="V22" t="str">
            <v xml:space="preserve"> 7B 1B1</v>
          </cell>
          <cell r="W22" t="str">
            <v>U0700</v>
          </cell>
          <cell r="Y22" t="str">
            <v>U0700E</v>
          </cell>
          <cell r="Z22" t="str">
            <v>AAA</v>
          </cell>
          <cell r="AB22" t="str">
            <v>T</v>
          </cell>
          <cell r="AD22" t="str">
            <v>*</v>
          </cell>
          <cell r="AE22" t="str">
            <v>2J653</v>
          </cell>
          <cell r="AF22" t="str">
            <v>021223</v>
          </cell>
          <cell r="AI22" t="str">
            <v>*</v>
          </cell>
          <cell r="AJ22" t="str">
            <v>T</v>
          </cell>
          <cell r="AT22" t="str">
            <v>A</v>
          </cell>
          <cell r="AU22" t="str">
            <v>0</v>
          </cell>
          <cell r="AV22" t="str">
            <v>3</v>
          </cell>
          <cell r="BF22" t="str">
            <v>0004</v>
          </cell>
          <cell r="BG22" t="str">
            <v>KOUBA</v>
          </cell>
        </row>
        <row r="23">
          <cell r="T23" t="str">
            <v>5Q</v>
          </cell>
          <cell r="U23" t="str">
            <v>040</v>
          </cell>
          <cell r="V23" t="str">
            <v xml:space="preserve"> 7B 6</v>
          </cell>
          <cell r="W23" t="str">
            <v>U0320</v>
          </cell>
          <cell r="Y23" t="str">
            <v>U0320E</v>
          </cell>
          <cell r="Z23" t="str">
            <v>AAA</v>
          </cell>
          <cell r="AB23" t="str">
            <v>U</v>
          </cell>
          <cell r="AD23" t="str">
            <v>*</v>
          </cell>
          <cell r="AE23" t="str">
            <v>2J653</v>
          </cell>
          <cell r="AF23" t="str">
            <v>021223</v>
          </cell>
          <cell r="AI23" t="str">
            <v>*</v>
          </cell>
          <cell r="AJ23" t="str">
            <v>T</v>
          </cell>
          <cell r="AT23" t="str">
            <v>A</v>
          </cell>
          <cell r="AU23" t="str">
            <v>0</v>
          </cell>
          <cell r="AV23" t="str">
            <v>3</v>
          </cell>
          <cell r="BE23" t="str">
            <v>5</v>
          </cell>
          <cell r="BF23" t="str">
            <v>0002</v>
          </cell>
          <cell r="BG23" t="str">
            <v>KOUBA</v>
          </cell>
        </row>
        <row r="24">
          <cell r="T24" t="str">
            <v>5Q</v>
          </cell>
          <cell r="U24" t="str">
            <v>040</v>
          </cell>
          <cell r="V24" t="str">
            <v xml:space="preserve"> 7B 6</v>
          </cell>
          <cell r="W24" t="str">
            <v>U0500</v>
          </cell>
          <cell r="Y24" t="str">
            <v>U0500E</v>
          </cell>
          <cell r="Z24" t="str">
            <v>AAB</v>
          </cell>
          <cell r="AB24" t="str">
            <v>U</v>
          </cell>
          <cell r="AD24" t="str">
            <v>*</v>
          </cell>
          <cell r="AE24" t="str">
            <v>2J653</v>
          </cell>
          <cell r="AF24" t="str">
            <v>021223</v>
          </cell>
          <cell r="AI24" t="str">
            <v>*</v>
          </cell>
          <cell r="AJ24" t="str">
            <v>T</v>
          </cell>
          <cell r="AT24" t="str">
            <v>A</v>
          </cell>
          <cell r="AU24" t="str">
            <v>0</v>
          </cell>
          <cell r="AV24" t="str">
            <v>3</v>
          </cell>
          <cell r="BF24" t="str">
            <v>0002</v>
          </cell>
          <cell r="BG24" t="str">
            <v>2A165</v>
          </cell>
          <cell r="BH24" t="str">
            <v>AN</v>
          </cell>
          <cell r="BI24" t="str">
            <v>950</v>
          </cell>
        </row>
        <row r="25">
          <cell r="T25" t="str">
            <v>5Q</v>
          </cell>
          <cell r="U25" t="str">
            <v>040</v>
          </cell>
          <cell r="V25" t="str">
            <v xml:space="preserve"> 7B 1B1</v>
          </cell>
          <cell r="W25" t="str">
            <v>U0600</v>
          </cell>
          <cell r="Y25" t="str">
            <v>U0600E</v>
          </cell>
          <cell r="Z25" t="str">
            <v>AAA</v>
          </cell>
          <cell r="AB25" t="str">
            <v>T</v>
          </cell>
          <cell r="AD25" t="str">
            <v>*</v>
          </cell>
          <cell r="AE25" t="str">
            <v>2J653</v>
          </cell>
          <cell r="AF25" t="str">
            <v>021223</v>
          </cell>
          <cell r="AI25" t="str">
            <v>*</v>
          </cell>
          <cell r="AJ25" t="str">
            <v>T</v>
          </cell>
          <cell r="AT25" t="str">
            <v>A</v>
          </cell>
          <cell r="AU25" t="str">
            <v>0</v>
          </cell>
          <cell r="AV25" t="str">
            <v>3</v>
          </cell>
          <cell r="BF25" t="str">
            <v>0004</v>
          </cell>
          <cell r="BG25" t="str">
            <v>9J178</v>
          </cell>
          <cell r="BH25" t="str">
            <v>M1</v>
          </cell>
        </row>
        <row r="26">
          <cell r="T26" t="str">
            <v>5Q</v>
          </cell>
          <cell r="U26" t="str">
            <v>040</v>
          </cell>
          <cell r="V26" t="str">
            <v xml:space="preserve"> 7B 1B1</v>
          </cell>
          <cell r="W26" t="str">
            <v>U0250</v>
          </cell>
          <cell r="Y26" t="str">
            <v>U0250E</v>
          </cell>
          <cell r="Z26" t="str">
            <v>AAA</v>
          </cell>
          <cell r="AB26" t="str">
            <v>T</v>
          </cell>
          <cell r="AD26" t="str">
            <v>*</v>
          </cell>
          <cell r="AE26" t="str">
            <v>2J653</v>
          </cell>
          <cell r="AF26" t="str">
            <v>021223</v>
          </cell>
          <cell r="AI26" t="str">
            <v>*</v>
          </cell>
          <cell r="AJ26" t="str">
            <v>T</v>
          </cell>
          <cell r="AT26" t="str">
            <v>A</v>
          </cell>
          <cell r="AU26" t="str">
            <v>0</v>
          </cell>
          <cell r="AV26" t="str">
            <v>3</v>
          </cell>
          <cell r="BE26" t="str">
            <v>ﾙ</v>
          </cell>
          <cell r="BF26" t="str">
            <v>0004</v>
          </cell>
          <cell r="BG26" t="str">
            <v>S1059</v>
          </cell>
          <cell r="BH26" t="str">
            <v>5R</v>
          </cell>
          <cell r="BI26" t="str">
            <v>020</v>
          </cell>
        </row>
        <row r="27">
          <cell r="T27" t="str">
            <v>5Q</v>
          </cell>
          <cell r="U27" t="str">
            <v>040</v>
          </cell>
          <cell r="V27" t="str">
            <v xml:space="preserve"> 7B 1B1</v>
          </cell>
          <cell r="W27" t="str">
            <v>U1300</v>
          </cell>
          <cell r="Y27" t="str">
            <v>U1300E</v>
          </cell>
          <cell r="Z27" t="str">
            <v>AAB</v>
          </cell>
          <cell r="AB27" t="str">
            <v>T</v>
          </cell>
          <cell r="AD27" t="str">
            <v>*</v>
          </cell>
          <cell r="AE27" t="str">
            <v>2J653</v>
          </cell>
          <cell r="AF27" t="str">
            <v>021223</v>
          </cell>
          <cell r="AI27" t="str">
            <v>*</v>
          </cell>
          <cell r="AJ27" t="str">
            <v>T</v>
          </cell>
          <cell r="AT27" t="str">
            <v>A</v>
          </cell>
          <cell r="AU27" t="str">
            <v>0</v>
          </cell>
          <cell r="AV27" t="str">
            <v>3</v>
          </cell>
          <cell r="BE27" t="str">
            <v>ﾙ</v>
          </cell>
          <cell r="BF27" t="str">
            <v>0004</v>
          </cell>
          <cell r="BG27" t="str">
            <v>S1059</v>
          </cell>
          <cell r="BH27" t="str">
            <v>5R</v>
          </cell>
          <cell r="BI27" t="str">
            <v>020</v>
          </cell>
        </row>
        <row r="28">
          <cell r="T28" t="str">
            <v>5Q</v>
          </cell>
          <cell r="U28" t="str">
            <v>040</v>
          </cell>
          <cell r="V28" t="str">
            <v xml:space="preserve"> 7B 1A</v>
          </cell>
          <cell r="W28" t="str">
            <v>U7230</v>
          </cell>
          <cell r="Y28" t="str">
            <v>U7230E</v>
          </cell>
          <cell r="Z28" t="str">
            <v>AAA</v>
          </cell>
          <cell r="AB28" t="str">
            <v>T</v>
          </cell>
          <cell r="AD28" t="str">
            <v>*</v>
          </cell>
          <cell r="AE28" t="str">
            <v>2J653</v>
          </cell>
          <cell r="AF28" t="str">
            <v>021223</v>
          </cell>
          <cell r="AI28" t="str">
            <v>*</v>
          </cell>
          <cell r="AJ28" t="str">
            <v>T</v>
          </cell>
          <cell r="AT28" t="str">
            <v>A</v>
          </cell>
          <cell r="AU28" t="str">
            <v>0</v>
          </cell>
          <cell r="AV28" t="str">
            <v>3</v>
          </cell>
          <cell r="BE28" t="str">
            <v>9</v>
          </cell>
          <cell r="BF28" t="str">
            <v>0002</v>
          </cell>
          <cell r="BG28" t="str">
            <v>9R041</v>
          </cell>
          <cell r="BH28" t="str">
            <v>E1</v>
          </cell>
        </row>
        <row r="29">
          <cell r="T29" t="str">
            <v>5Q</v>
          </cell>
          <cell r="U29" t="str">
            <v>040</v>
          </cell>
          <cell r="V29" t="str">
            <v xml:space="preserve"> 7B 3C</v>
          </cell>
          <cell r="W29" t="str">
            <v>U1000</v>
          </cell>
          <cell r="X29" t="str">
            <v xml:space="preserve"> 7B 3C</v>
          </cell>
          <cell r="Y29" t="str">
            <v>U1910Y</v>
          </cell>
          <cell r="Z29" t="str">
            <v>AAH</v>
          </cell>
          <cell r="AB29" t="str">
            <v>U</v>
          </cell>
          <cell r="AD29" t="str">
            <v>*</v>
          </cell>
          <cell r="AE29" t="str">
            <v>JBN49</v>
          </cell>
          <cell r="AF29" t="str">
            <v>020701</v>
          </cell>
          <cell r="AI29" t="str">
            <v>*</v>
          </cell>
          <cell r="AJ29" t="str">
            <v>T</v>
          </cell>
          <cell r="AT29" t="str">
            <v>A</v>
          </cell>
          <cell r="AU29" t="str">
            <v>0</v>
          </cell>
          <cell r="AV29" t="str">
            <v>3</v>
          </cell>
          <cell r="BF29" t="str">
            <v>0002</v>
          </cell>
          <cell r="BG29" t="str">
            <v>2P013</v>
          </cell>
          <cell r="BH29" t="str">
            <v>L6</v>
          </cell>
        </row>
        <row r="30">
          <cell r="T30" t="str">
            <v>5Q</v>
          </cell>
          <cell r="U30" t="str">
            <v>040</v>
          </cell>
          <cell r="V30" t="str">
            <v xml:space="preserve"> 7B 1A</v>
          </cell>
          <cell r="W30" t="str">
            <v>U7200</v>
          </cell>
          <cell r="X30" t="str">
            <v xml:space="preserve"> 7B 1A</v>
          </cell>
          <cell r="Y30" t="str">
            <v>U7225Y</v>
          </cell>
          <cell r="Z30" t="str">
            <v>AAC</v>
          </cell>
          <cell r="AB30" t="str">
            <v>T</v>
          </cell>
          <cell r="AD30" t="str">
            <v>*</v>
          </cell>
          <cell r="AE30" t="str">
            <v>JAS96</v>
          </cell>
          <cell r="AF30" t="str">
            <v>010917</v>
          </cell>
          <cell r="AI30" t="str">
            <v>*</v>
          </cell>
          <cell r="AJ30" t="str">
            <v>T</v>
          </cell>
          <cell r="AT30" t="str">
            <v>A</v>
          </cell>
          <cell r="AU30" t="str">
            <v>0</v>
          </cell>
          <cell r="AV30" t="str">
            <v>3</v>
          </cell>
          <cell r="BF30" t="str">
            <v>0034</v>
          </cell>
          <cell r="BG30" t="str">
            <v>2N444</v>
          </cell>
          <cell r="BH30" t="str">
            <v>E9</v>
          </cell>
        </row>
        <row r="31">
          <cell r="T31" t="str">
            <v>5Q</v>
          </cell>
          <cell r="U31" t="str">
            <v>040</v>
          </cell>
          <cell r="V31" t="str">
            <v xml:space="preserve"> 7B 1A</v>
          </cell>
          <cell r="W31" t="str">
            <v>U7200</v>
          </cell>
          <cell r="X31" t="str">
            <v xml:space="preserve"> 7B 1A</v>
          </cell>
          <cell r="Y31" t="str">
            <v>U7220Y</v>
          </cell>
          <cell r="Z31" t="str">
            <v>AAC</v>
          </cell>
          <cell r="AB31" t="str">
            <v>T</v>
          </cell>
          <cell r="AD31" t="str">
            <v>*</v>
          </cell>
          <cell r="AE31" t="str">
            <v>JAS96</v>
          </cell>
          <cell r="AF31" t="str">
            <v>010917</v>
          </cell>
          <cell r="AI31" t="str">
            <v>*</v>
          </cell>
          <cell r="AJ31" t="str">
            <v>T</v>
          </cell>
          <cell r="AT31" t="str">
            <v>A</v>
          </cell>
          <cell r="AU31" t="str">
            <v>0</v>
          </cell>
          <cell r="AV31" t="str">
            <v>3</v>
          </cell>
          <cell r="BF31" t="str">
            <v>0034</v>
          </cell>
          <cell r="BG31" t="str">
            <v>2N444</v>
          </cell>
          <cell r="BH31" t="str">
            <v>E9</v>
          </cell>
        </row>
        <row r="32">
          <cell r="T32" t="str">
            <v>5Q</v>
          </cell>
          <cell r="U32" t="str">
            <v>040</v>
          </cell>
          <cell r="V32" t="str">
            <v xml:space="preserve"> 7B 1D</v>
          </cell>
          <cell r="W32" t="str">
            <v>U7370</v>
          </cell>
          <cell r="Y32" t="str">
            <v>U7370E</v>
          </cell>
          <cell r="Z32" t="str">
            <v>AAA</v>
          </cell>
          <cell r="AB32" t="str">
            <v>T</v>
          </cell>
          <cell r="AD32" t="str">
            <v>*</v>
          </cell>
          <cell r="AE32" t="str">
            <v>2J653</v>
          </cell>
          <cell r="AF32" t="str">
            <v>021223</v>
          </cell>
          <cell r="AI32" t="str">
            <v>*</v>
          </cell>
          <cell r="AJ32" t="str">
            <v>T</v>
          </cell>
          <cell r="AT32" t="str">
            <v>A</v>
          </cell>
          <cell r="AU32" t="str">
            <v>0</v>
          </cell>
          <cell r="AV32" t="str">
            <v>3</v>
          </cell>
          <cell r="BE32" t="str">
            <v>ﾙ</v>
          </cell>
          <cell r="BF32" t="str">
            <v>0005</v>
          </cell>
          <cell r="BG32" t="str">
            <v>2J618</v>
          </cell>
          <cell r="BH32" t="str">
            <v>5P</v>
          </cell>
          <cell r="BI32" t="str">
            <v>020</v>
          </cell>
        </row>
        <row r="33">
          <cell r="T33" t="str">
            <v>5Q</v>
          </cell>
          <cell r="U33" t="str">
            <v>040</v>
          </cell>
          <cell r="V33" t="str">
            <v xml:space="preserve"> 7B 1A</v>
          </cell>
          <cell r="W33" t="str">
            <v>U0482</v>
          </cell>
          <cell r="Y33" t="str">
            <v>U0482E</v>
          </cell>
          <cell r="Z33" t="str">
            <v>AAA</v>
          </cell>
          <cell r="AB33" t="str">
            <v>T</v>
          </cell>
          <cell r="AD33" t="str">
            <v>*</v>
          </cell>
          <cell r="AE33" t="str">
            <v>2J653</v>
          </cell>
          <cell r="AF33" t="str">
            <v>021223</v>
          </cell>
          <cell r="AI33" t="str">
            <v>*</v>
          </cell>
          <cell r="AJ33" t="str">
            <v>T</v>
          </cell>
          <cell r="AT33" t="str">
            <v>A</v>
          </cell>
          <cell r="AU33" t="str">
            <v>0</v>
          </cell>
          <cell r="AV33" t="str">
            <v>3</v>
          </cell>
          <cell r="BE33" t="str">
            <v>1</v>
          </cell>
          <cell r="BF33" t="str">
            <v>0005</v>
          </cell>
          <cell r="BG33" t="str">
            <v>Z6158</v>
          </cell>
          <cell r="BH33" t="str">
            <v>5B</v>
          </cell>
          <cell r="BI33" t="str">
            <v>920</v>
          </cell>
        </row>
        <row r="34">
          <cell r="T34" t="str">
            <v>5Q</v>
          </cell>
          <cell r="U34" t="str">
            <v>040</v>
          </cell>
          <cell r="V34" t="str">
            <v xml:space="preserve"> 7B 1C</v>
          </cell>
          <cell r="W34" t="str">
            <v>U6100</v>
          </cell>
          <cell r="Y34" t="str">
            <v>U6100E</v>
          </cell>
          <cell r="Z34" t="str">
            <v>AAA</v>
          </cell>
          <cell r="AB34" t="str">
            <v>T</v>
          </cell>
          <cell r="AD34" t="str">
            <v>*</v>
          </cell>
          <cell r="AE34" t="str">
            <v>2J653</v>
          </cell>
          <cell r="AF34" t="str">
            <v>021223</v>
          </cell>
          <cell r="AI34" t="str">
            <v>*</v>
          </cell>
          <cell r="AJ34" t="str">
            <v>T</v>
          </cell>
          <cell r="AT34" t="str">
            <v>A</v>
          </cell>
          <cell r="AU34" t="str">
            <v>0</v>
          </cell>
          <cell r="AV34" t="str">
            <v>3</v>
          </cell>
          <cell r="BE34" t="str">
            <v>ﾙ</v>
          </cell>
          <cell r="BF34" t="str">
            <v>0008</v>
          </cell>
          <cell r="BG34" t="str">
            <v>2J618</v>
          </cell>
          <cell r="BH34" t="str">
            <v>5P</v>
          </cell>
          <cell r="BI34" t="str">
            <v>020</v>
          </cell>
        </row>
        <row r="35">
          <cell r="T35" t="str">
            <v>5Q</v>
          </cell>
          <cell r="U35" t="str">
            <v>040</v>
          </cell>
          <cell r="V35" t="str">
            <v xml:space="preserve"> 7A</v>
          </cell>
          <cell r="W35" t="str">
            <v>U6350</v>
          </cell>
          <cell r="Y35" t="str">
            <v>U6350E</v>
          </cell>
          <cell r="Z35" t="str">
            <v>AAC</v>
          </cell>
          <cell r="AB35" t="str">
            <v>T</v>
          </cell>
          <cell r="AD35" t="str">
            <v>*</v>
          </cell>
          <cell r="AE35" t="str">
            <v>2J653</v>
          </cell>
          <cell r="AF35" t="str">
            <v>021223</v>
          </cell>
          <cell r="AI35" t="str">
            <v>*</v>
          </cell>
          <cell r="AJ35" t="str">
            <v>T</v>
          </cell>
          <cell r="AT35" t="str">
            <v>A</v>
          </cell>
          <cell r="AU35" t="str">
            <v>0</v>
          </cell>
          <cell r="AV35" t="str">
            <v>3</v>
          </cell>
          <cell r="BE35" t="str">
            <v>E</v>
          </cell>
          <cell r="BF35" t="str">
            <v>0005</v>
          </cell>
          <cell r="BG35" t="str">
            <v>NH226</v>
          </cell>
          <cell r="BH35" t="str">
            <v>H8</v>
          </cell>
        </row>
        <row r="36">
          <cell r="T36" t="str">
            <v>5Q</v>
          </cell>
          <cell r="U36" t="str">
            <v>040</v>
          </cell>
          <cell r="V36" t="str">
            <v xml:space="preserve"> 5D</v>
          </cell>
          <cell r="W36" t="str">
            <v>U5050</v>
          </cell>
          <cell r="Y36" t="str">
            <v>U5050E</v>
          </cell>
          <cell r="Z36" t="str">
            <v>AAA</v>
          </cell>
          <cell r="AB36" t="str">
            <v>F</v>
          </cell>
          <cell r="AD36" t="str">
            <v>*</v>
          </cell>
          <cell r="AE36" t="str">
            <v>2J653</v>
          </cell>
          <cell r="AF36" t="str">
            <v>021223</v>
          </cell>
          <cell r="AI36" t="str">
            <v>*</v>
          </cell>
          <cell r="AJ36" t="str">
            <v>T</v>
          </cell>
          <cell r="AT36" t="str">
            <v>A</v>
          </cell>
          <cell r="AU36" t="str">
            <v>0</v>
          </cell>
          <cell r="AV36" t="str">
            <v>3</v>
          </cell>
          <cell r="BF36" t="str">
            <v>0003</v>
          </cell>
          <cell r="BG36" t="str">
            <v>JR388</v>
          </cell>
          <cell r="BH36" t="str">
            <v>M2</v>
          </cell>
        </row>
        <row r="37">
          <cell r="T37" t="str">
            <v>5Q</v>
          </cell>
          <cell r="U37" t="str">
            <v>040</v>
          </cell>
          <cell r="V37" t="str">
            <v xml:space="preserve"> 7B 1A</v>
          </cell>
          <cell r="W37" t="str">
            <v>U0760</v>
          </cell>
          <cell r="Y37" t="str">
            <v>U0760E</v>
          </cell>
          <cell r="Z37" t="str">
            <v>AAA</v>
          </cell>
          <cell r="AB37" t="str">
            <v>T</v>
          </cell>
          <cell r="AD37" t="str">
            <v>*</v>
          </cell>
          <cell r="AE37" t="str">
            <v>2J653</v>
          </cell>
          <cell r="AF37" t="str">
            <v>021223</v>
          </cell>
          <cell r="AI37" t="str">
            <v>*</v>
          </cell>
          <cell r="AJ37" t="str">
            <v>T</v>
          </cell>
          <cell r="AT37" t="str">
            <v>A</v>
          </cell>
          <cell r="AU37" t="str">
            <v>0</v>
          </cell>
          <cell r="AV37" t="str">
            <v>3</v>
          </cell>
          <cell r="BE37" t="str">
            <v>5</v>
          </cell>
          <cell r="BF37" t="str">
            <v>0001</v>
          </cell>
          <cell r="BG37" t="str">
            <v>T5884</v>
          </cell>
          <cell r="BH37" t="str">
            <v>5A</v>
          </cell>
          <cell r="BI37" t="str">
            <v>830</v>
          </cell>
        </row>
        <row r="38">
          <cell r="T38" t="str">
            <v>5Q</v>
          </cell>
          <cell r="U38" t="str">
            <v>040</v>
          </cell>
          <cell r="V38" t="str">
            <v xml:space="preserve"> 7B 1A</v>
          </cell>
          <cell r="W38" t="str">
            <v>U0085</v>
          </cell>
          <cell r="X38" t="str">
            <v xml:space="preserve"> 7B 1A</v>
          </cell>
          <cell r="Y38" t="str">
            <v>U0250Y</v>
          </cell>
          <cell r="Z38" t="str">
            <v>AAC</v>
          </cell>
          <cell r="AB38" t="str">
            <v>T</v>
          </cell>
          <cell r="AD38" t="str">
            <v>*</v>
          </cell>
          <cell r="AE38" t="str">
            <v>S0974</v>
          </cell>
          <cell r="AF38" t="str">
            <v>001127</v>
          </cell>
          <cell r="AI38" t="str">
            <v>*</v>
          </cell>
          <cell r="AJ38" t="str">
            <v>T</v>
          </cell>
          <cell r="AT38" t="str">
            <v>A</v>
          </cell>
          <cell r="AU38" t="str">
            <v>0</v>
          </cell>
          <cell r="AV38" t="str">
            <v>3</v>
          </cell>
          <cell r="BE38" t="str">
            <v>5</v>
          </cell>
          <cell r="BF38" t="str">
            <v>0004</v>
          </cell>
          <cell r="BG38" t="str">
            <v>Z6201</v>
          </cell>
          <cell r="BH38" t="str">
            <v>5B</v>
          </cell>
          <cell r="BI38" t="str">
            <v>920</v>
          </cell>
        </row>
        <row r="39">
          <cell r="T39" t="str">
            <v>5Q</v>
          </cell>
          <cell r="U39" t="str">
            <v>040</v>
          </cell>
          <cell r="V39" t="str">
            <v xml:space="preserve"> 5D</v>
          </cell>
          <cell r="W39" t="str">
            <v>U5050</v>
          </cell>
          <cell r="Y39" t="str">
            <v>U5050E</v>
          </cell>
          <cell r="Z39" t="str">
            <v>AAB</v>
          </cell>
          <cell r="AB39" t="str">
            <v>F</v>
          </cell>
          <cell r="AD39" t="str">
            <v>*</v>
          </cell>
          <cell r="AE39" t="str">
            <v>2J653</v>
          </cell>
          <cell r="AF39" t="str">
            <v>021223</v>
          </cell>
          <cell r="AI39" t="str">
            <v>*</v>
          </cell>
          <cell r="AJ39" t="str">
            <v>T</v>
          </cell>
          <cell r="AT39" t="str">
            <v>A</v>
          </cell>
          <cell r="AU39" t="str">
            <v>0</v>
          </cell>
          <cell r="AV39" t="str">
            <v>3</v>
          </cell>
          <cell r="BE39" t="str">
            <v>R</v>
          </cell>
          <cell r="BF39" t="str">
            <v>0038</v>
          </cell>
          <cell r="BG39" t="str">
            <v>JAY68</v>
          </cell>
          <cell r="BH39" t="str">
            <v>5Q</v>
          </cell>
          <cell r="BI39" t="str">
            <v>020</v>
          </cell>
        </row>
        <row r="40">
          <cell r="T40" t="str">
            <v>5Q</v>
          </cell>
          <cell r="U40" t="str">
            <v>040</v>
          </cell>
          <cell r="V40" t="str">
            <v xml:space="preserve"> 7B 1A</v>
          </cell>
          <cell r="W40" t="str">
            <v>U0085</v>
          </cell>
          <cell r="X40" t="str">
            <v xml:space="preserve"> 7B 1A</v>
          </cell>
          <cell r="Y40" t="str">
            <v>U0100Y</v>
          </cell>
          <cell r="Z40" t="str">
            <v>AAF</v>
          </cell>
          <cell r="AB40" t="str">
            <v>T</v>
          </cell>
          <cell r="AD40" t="str">
            <v>*</v>
          </cell>
          <cell r="AE40" t="str">
            <v>S1604</v>
          </cell>
          <cell r="AF40" t="str">
            <v>011022</v>
          </cell>
          <cell r="AI40" t="str">
            <v>*</v>
          </cell>
          <cell r="AJ40" t="str">
            <v>T</v>
          </cell>
          <cell r="AT40" t="str">
            <v>G</v>
          </cell>
          <cell r="AU40" t="str">
            <v>5</v>
          </cell>
          <cell r="AV40" t="str">
            <v>7</v>
          </cell>
          <cell r="BE40" t="str">
            <v>ﾙ</v>
          </cell>
          <cell r="BF40" t="str">
            <v>0004</v>
          </cell>
          <cell r="BG40" t="str">
            <v>S1604</v>
          </cell>
        </row>
        <row r="41">
          <cell r="T41" t="str">
            <v>5Q</v>
          </cell>
          <cell r="U41" t="str">
            <v>040</v>
          </cell>
          <cell r="V41" t="str">
            <v xml:space="preserve"> 7B 1A</v>
          </cell>
          <cell r="W41" t="str">
            <v>U0620</v>
          </cell>
          <cell r="X41" t="str">
            <v xml:space="preserve"> 7B 1A</v>
          </cell>
          <cell r="Y41" t="str">
            <v>U0650Y</v>
          </cell>
          <cell r="Z41" t="str">
            <v>AAG</v>
          </cell>
          <cell r="AB41" t="str">
            <v>T</v>
          </cell>
          <cell r="AD41" t="str">
            <v>X</v>
          </cell>
          <cell r="AE41" t="str">
            <v>Z6398</v>
          </cell>
          <cell r="AF41" t="str">
            <v>011029</v>
          </cell>
          <cell r="AI41" t="str">
            <v>*</v>
          </cell>
          <cell r="AJ41" t="str">
            <v>T</v>
          </cell>
          <cell r="AT41" t="str">
            <v>A</v>
          </cell>
          <cell r="AU41" t="str">
            <v>0</v>
          </cell>
          <cell r="AV41" t="str">
            <v>3</v>
          </cell>
          <cell r="BE41" t="str">
            <v>ﾙ</v>
          </cell>
          <cell r="BF41" t="str">
            <v>0057</v>
          </cell>
          <cell r="BG41" t="str">
            <v>Z6398</v>
          </cell>
        </row>
        <row r="42">
          <cell r="T42" t="str">
            <v>5Q</v>
          </cell>
          <cell r="U42" t="str">
            <v>040</v>
          </cell>
          <cell r="V42" t="str">
            <v xml:space="preserve"> 7B 1D</v>
          </cell>
          <cell r="W42" t="str">
            <v>U7120</v>
          </cell>
          <cell r="X42" t="str">
            <v xml:space="preserve"> 7B 1D</v>
          </cell>
          <cell r="Y42" t="str">
            <v>U6300Y</v>
          </cell>
          <cell r="Z42" t="str">
            <v>AAC</v>
          </cell>
          <cell r="AB42" t="str">
            <v>T</v>
          </cell>
          <cell r="AD42" t="str">
            <v>*</v>
          </cell>
          <cell r="AE42" t="str">
            <v>Z6396</v>
          </cell>
          <cell r="AF42" t="str">
            <v>011022</v>
          </cell>
          <cell r="AI42" t="str">
            <v>*</v>
          </cell>
          <cell r="AJ42" t="str">
            <v>T</v>
          </cell>
          <cell r="AT42" t="str">
            <v>A</v>
          </cell>
          <cell r="AU42" t="str">
            <v>0</v>
          </cell>
          <cell r="AV42" t="str">
            <v>3</v>
          </cell>
          <cell r="BE42" t="str">
            <v>ﾙ</v>
          </cell>
          <cell r="BF42" t="str">
            <v>0005</v>
          </cell>
          <cell r="BG42" t="str">
            <v>Z6396</v>
          </cell>
        </row>
        <row r="43">
          <cell r="T43" t="str">
            <v>5Q</v>
          </cell>
          <cell r="U43" t="str">
            <v>040</v>
          </cell>
          <cell r="V43" t="str">
            <v xml:space="preserve"> 7B 1D</v>
          </cell>
          <cell r="W43" t="str">
            <v>U7100</v>
          </cell>
          <cell r="Y43" t="str">
            <v>U7100E</v>
          </cell>
          <cell r="Z43" t="str">
            <v>AAA</v>
          </cell>
          <cell r="AB43" t="str">
            <v>T</v>
          </cell>
          <cell r="AD43" t="str">
            <v>*</v>
          </cell>
          <cell r="AE43" t="str">
            <v>2J653</v>
          </cell>
          <cell r="AF43" t="str">
            <v>021223</v>
          </cell>
          <cell r="AI43" t="str">
            <v>*</v>
          </cell>
          <cell r="AJ43" t="str">
            <v>T</v>
          </cell>
          <cell r="AT43" t="str">
            <v>H</v>
          </cell>
          <cell r="AU43" t="str">
            <v>5</v>
          </cell>
          <cell r="AV43" t="str">
            <v>8</v>
          </cell>
          <cell r="BE43" t="str">
            <v>ﾙ</v>
          </cell>
          <cell r="BF43" t="str">
            <v>0011</v>
          </cell>
          <cell r="BG43" t="str">
            <v>V PLA</v>
          </cell>
        </row>
        <row r="44">
          <cell r="T44" t="str">
            <v>5Q</v>
          </cell>
          <cell r="U44" t="str">
            <v>040</v>
          </cell>
          <cell r="V44" t="str">
            <v xml:space="preserve"> 7B 1D</v>
          </cell>
          <cell r="W44" t="str">
            <v>U7110</v>
          </cell>
          <cell r="Y44" t="str">
            <v>U7110E</v>
          </cell>
          <cell r="Z44" t="str">
            <v>AAD</v>
          </cell>
          <cell r="AB44" t="str">
            <v>T</v>
          </cell>
          <cell r="AD44" t="str">
            <v>*</v>
          </cell>
          <cell r="AE44" t="str">
            <v>2J653</v>
          </cell>
          <cell r="AF44" t="str">
            <v>021223</v>
          </cell>
          <cell r="AI44" t="str">
            <v>*</v>
          </cell>
          <cell r="AJ44" t="str">
            <v>T</v>
          </cell>
          <cell r="AT44" t="str">
            <v>2</v>
          </cell>
          <cell r="AU44" t="str">
            <v>0</v>
          </cell>
          <cell r="AV44" t="str">
            <v>7</v>
          </cell>
          <cell r="BE44" t="str">
            <v>ﾙ</v>
          </cell>
          <cell r="BF44" t="str">
            <v>0013</v>
          </cell>
          <cell r="BG44" t="str">
            <v>Z6400</v>
          </cell>
          <cell r="BH44" t="str">
            <v>5Q</v>
          </cell>
          <cell r="BI44" t="str">
            <v>020</v>
          </cell>
        </row>
        <row r="45">
          <cell r="T45" t="str">
            <v>5Q</v>
          </cell>
          <cell r="U45" t="str">
            <v>040</v>
          </cell>
          <cell r="V45" t="str">
            <v xml:space="preserve"> 7B 1D</v>
          </cell>
          <cell r="W45" t="str">
            <v>U7110</v>
          </cell>
          <cell r="Y45" t="str">
            <v>U7110E</v>
          </cell>
          <cell r="Z45" t="str">
            <v>AAE</v>
          </cell>
          <cell r="AB45" t="str">
            <v>T</v>
          </cell>
          <cell r="AD45" t="str">
            <v>*</v>
          </cell>
          <cell r="AE45" t="str">
            <v>2J653</v>
          </cell>
          <cell r="AF45" t="str">
            <v>021223</v>
          </cell>
          <cell r="AI45" t="str">
            <v>*</v>
          </cell>
          <cell r="AJ45" t="str">
            <v>T</v>
          </cell>
          <cell r="AT45" t="str">
            <v>2</v>
          </cell>
          <cell r="AU45" t="str">
            <v>0</v>
          </cell>
          <cell r="AV45" t="str">
            <v>7</v>
          </cell>
          <cell r="BE45" t="str">
            <v>ﾙ</v>
          </cell>
          <cell r="BF45" t="str">
            <v>0014</v>
          </cell>
          <cell r="BG45" t="str">
            <v>Z6400</v>
          </cell>
          <cell r="BH45" t="str">
            <v>5Q</v>
          </cell>
          <cell r="BI45" t="str">
            <v>020</v>
          </cell>
        </row>
        <row r="46">
          <cell r="T46" t="str">
            <v>5Q</v>
          </cell>
          <cell r="U46" t="str">
            <v>040</v>
          </cell>
          <cell r="V46" t="str">
            <v xml:space="preserve"> 7B 1D</v>
          </cell>
          <cell r="W46" t="str">
            <v>U7130</v>
          </cell>
          <cell r="Y46" t="str">
            <v>U7130E</v>
          </cell>
          <cell r="Z46" t="str">
            <v>AAD</v>
          </cell>
          <cell r="AB46" t="str">
            <v>T</v>
          </cell>
          <cell r="AD46" t="str">
            <v>*</v>
          </cell>
          <cell r="AE46" t="str">
            <v>2J653</v>
          </cell>
          <cell r="AF46" t="str">
            <v>021223</v>
          </cell>
          <cell r="AI46" t="str">
            <v>*</v>
          </cell>
          <cell r="AJ46" t="str">
            <v>T</v>
          </cell>
          <cell r="AT46" t="str">
            <v>2</v>
          </cell>
          <cell r="AU46" t="str">
            <v>0</v>
          </cell>
          <cell r="AV46" t="str">
            <v>7</v>
          </cell>
          <cell r="BE46" t="str">
            <v>ﾙ</v>
          </cell>
          <cell r="BF46" t="str">
            <v>0044</v>
          </cell>
          <cell r="BG46" t="str">
            <v>Z6326</v>
          </cell>
          <cell r="BH46" t="str">
            <v>5Q</v>
          </cell>
          <cell r="BI46" t="str">
            <v>020</v>
          </cell>
        </row>
        <row r="47">
          <cell r="T47" t="str">
            <v>5Q</v>
          </cell>
          <cell r="U47" t="str">
            <v>040</v>
          </cell>
          <cell r="V47" t="str">
            <v xml:space="preserve"> 7B 1D</v>
          </cell>
          <cell r="W47" t="str">
            <v>U7170</v>
          </cell>
          <cell r="Y47" t="str">
            <v>U7170E</v>
          </cell>
          <cell r="Z47" t="str">
            <v>AAB</v>
          </cell>
          <cell r="AB47" t="str">
            <v>T</v>
          </cell>
          <cell r="AD47" t="str">
            <v>*</v>
          </cell>
          <cell r="AE47" t="str">
            <v>2J653</v>
          </cell>
          <cell r="AF47" t="str">
            <v>021223</v>
          </cell>
          <cell r="AI47" t="str">
            <v>*</v>
          </cell>
          <cell r="AJ47" t="str">
            <v>T</v>
          </cell>
          <cell r="AT47" t="str">
            <v>2</v>
          </cell>
          <cell r="AU47" t="str">
            <v>0</v>
          </cell>
          <cell r="AV47" t="str">
            <v>7</v>
          </cell>
          <cell r="BE47" t="str">
            <v>ﾙ</v>
          </cell>
          <cell r="BF47" t="str">
            <v>0045</v>
          </cell>
          <cell r="BG47" t="str">
            <v>2J619</v>
          </cell>
          <cell r="BH47" t="str">
            <v>5Q</v>
          </cell>
          <cell r="BI47" t="str">
            <v>020</v>
          </cell>
        </row>
        <row r="48">
          <cell r="T48" t="str">
            <v>5Q</v>
          </cell>
          <cell r="U48" t="str">
            <v>040</v>
          </cell>
          <cell r="V48" t="str">
            <v xml:space="preserve"> 7B 1D</v>
          </cell>
          <cell r="W48" t="str">
            <v>U7190</v>
          </cell>
          <cell r="Y48" t="str">
            <v>U7190E</v>
          </cell>
          <cell r="Z48" t="str">
            <v>AAB</v>
          </cell>
          <cell r="AB48" t="str">
            <v>T</v>
          </cell>
          <cell r="AD48" t="str">
            <v>*</v>
          </cell>
          <cell r="AE48" t="str">
            <v>2J653</v>
          </cell>
          <cell r="AF48" t="str">
            <v>021223</v>
          </cell>
          <cell r="AI48" t="str">
            <v>*</v>
          </cell>
          <cell r="AJ48" t="str">
            <v>T</v>
          </cell>
          <cell r="AT48" t="str">
            <v>2</v>
          </cell>
          <cell r="AU48" t="str">
            <v>0</v>
          </cell>
          <cell r="AV48" t="str">
            <v>7</v>
          </cell>
          <cell r="BE48" t="str">
            <v>ﾙ</v>
          </cell>
          <cell r="BF48" t="str">
            <v>0045</v>
          </cell>
          <cell r="BG48" t="str">
            <v>2J619</v>
          </cell>
          <cell r="BH48" t="str">
            <v>5Q</v>
          </cell>
          <cell r="BI48" t="str">
            <v>020</v>
          </cell>
        </row>
        <row r="49">
          <cell r="T49" t="str">
            <v>5Q</v>
          </cell>
          <cell r="U49" t="str">
            <v>040</v>
          </cell>
          <cell r="V49" t="str">
            <v xml:space="preserve"> 7B 1D</v>
          </cell>
          <cell r="W49" t="str">
            <v>U7420</v>
          </cell>
          <cell r="Y49" t="str">
            <v>U7420E</v>
          </cell>
          <cell r="Z49" t="str">
            <v>AAB</v>
          </cell>
          <cell r="AB49" t="str">
            <v>T</v>
          </cell>
          <cell r="AD49" t="str">
            <v>*</v>
          </cell>
          <cell r="AE49" t="str">
            <v>2J653</v>
          </cell>
          <cell r="AF49" t="str">
            <v>021223</v>
          </cell>
          <cell r="AI49" t="str">
            <v>*</v>
          </cell>
          <cell r="AJ49" t="str">
            <v>T</v>
          </cell>
          <cell r="AT49" t="str">
            <v>2</v>
          </cell>
          <cell r="AU49" t="str">
            <v>0</v>
          </cell>
          <cell r="AV49" t="str">
            <v>7</v>
          </cell>
          <cell r="BE49" t="str">
            <v>ﾙ</v>
          </cell>
          <cell r="BF49" t="str">
            <v>0048</v>
          </cell>
          <cell r="BG49" t="str">
            <v>2J619</v>
          </cell>
          <cell r="BH49" t="str">
            <v>5Q</v>
          </cell>
          <cell r="BI49" t="str">
            <v>020</v>
          </cell>
        </row>
        <row r="50">
          <cell r="T50" t="str">
            <v>5Q</v>
          </cell>
          <cell r="U50" t="str">
            <v>040</v>
          </cell>
          <cell r="V50" t="str">
            <v xml:space="preserve"> 7B 1D</v>
          </cell>
          <cell r="W50" t="str">
            <v>U7100</v>
          </cell>
          <cell r="X50" t="str">
            <v xml:space="preserve"> 7B 1D</v>
          </cell>
          <cell r="Y50" t="str">
            <v>U0452Y</v>
          </cell>
          <cell r="Z50" t="str">
            <v>AAA</v>
          </cell>
          <cell r="AB50" t="str">
            <v>T</v>
          </cell>
          <cell r="AD50" t="str">
            <v>*</v>
          </cell>
          <cell r="AE50" t="str">
            <v>2J619</v>
          </cell>
          <cell r="AF50" t="str">
            <v>000809</v>
          </cell>
          <cell r="AI50" t="str">
            <v>*</v>
          </cell>
          <cell r="AJ50" t="str">
            <v>T</v>
          </cell>
          <cell r="AT50" t="str">
            <v>H</v>
          </cell>
          <cell r="AU50" t="str">
            <v>5</v>
          </cell>
          <cell r="AV50" t="str">
            <v>8</v>
          </cell>
          <cell r="BE50" t="str">
            <v>1</v>
          </cell>
          <cell r="BF50" t="str">
            <v>0011</v>
          </cell>
          <cell r="BG50" t="str">
            <v>V PLA</v>
          </cell>
        </row>
        <row r="51">
          <cell r="T51" t="str">
            <v>5Q</v>
          </cell>
          <cell r="U51" t="str">
            <v>040</v>
          </cell>
          <cell r="V51" t="str">
            <v xml:space="preserve"> 7B 1D</v>
          </cell>
          <cell r="W51" t="str">
            <v>U7110</v>
          </cell>
          <cell r="X51" t="str">
            <v xml:space="preserve"> 7B 1D</v>
          </cell>
          <cell r="Y51" t="str">
            <v>U0470Y</v>
          </cell>
          <cell r="Z51" t="str">
            <v>AAF</v>
          </cell>
          <cell r="AB51" t="str">
            <v>T</v>
          </cell>
          <cell r="AD51" t="str">
            <v>*</v>
          </cell>
          <cell r="AE51" t="str">
            <v>Z6400</v>
          </cell>
          <cell r="AF51" t="str">
            <v>011022</v>
          </cell>
          <cell r="AI51" t="str">
            <v>*</v>
          </cell>
          <cell r="AJ51" t="str">
            <v>T</v>
          </cell>
          <cell r="AT51" t="str">
            <v>H</v>
          </cell>
          <cell r="AU51" t="str">
            <v>5</v>
          </cell>
          <cell r="AV51" t="str">
            <v>8</v>
          </cell>
          <cell r="BE51" t="str">
            <v>ﾙ</v>
          </cell>
          <cell r="BF51" t="str">
            <v>0013</v>
          </cell>
          <cell r="BG51" t="str">
            <v>Z6328</v>
          </cell>
        </row>
        <row r="52">
          <cell r="T52" t="str">
            <v>5Q</v>
          </cell>
          <cell r="U52" t="str">
            <v>040</v>
          </cell>
          <cell r="V52" t="str">
            <v xml:space="preserve"> 7B 1D</v>
          </cell>
          <cell r="W52" t="str">
            <v>U7110</v>
          </cell>
          <cell r="X52" t="str">
            <v xml:space="preserve"> 7B 1D</v>
          </cell>
          <cell r="Y52" t="str">
            <v>U0470Y</v>
          </cell>
          <cell r="Z52" t="str">
            <v>AAG</v>
          </cell>
          <cell r="AB52" t="str">
            <v>T</v>
          </cell>
          <cell r="AD52" t="str">
            <v>*</v>
          </cell>
          <cell r="AE52" t="str">
            <v>Z6400</v>
          </cell>
          <cell r="AF52" t="str">
            <v>011022</v>
          </cell>
          <cell r="AI52" t="str">
            <v>*</v>
          </cell>
          <cell r="AJ52" t="str">
            <v>T</v>
          </cell>
          <cell r="AT52" t="str">
            <v>H</v>
          </cell>
          <cell r="AU52" t="str">
            <v>5</v>
          </cell>
          <cell r="AV52" t="str">
            <v>8</v>
          </cell>
          <cell r="BE52" t="str">
            <v>ﾙ</v>
          </cell>
          <cell r="BF52" t="str">
            <v>0014</v>
          </cell>
          <cell r="BG52" t="str">
            <v>Z6328</v>
          </cell>
        </row>
        <row r="53">
          <cell r="T53" t="str">
            <v>5Q</v>
          </cell>
          <cell r="U53" t="str">
            <v>040</v>
          </cell>
          <cell r="V53" t="str">
            <v xml:space="preserve"> 7B 1D</v>
          </cell>
          <cell r="W53" t="str">
            <v>U7130</v>
          </cell>
          <cell r="X53" t="str">
            <v xml:space="preserve"> 7B 1D</v>
          </cell>
          <cell r="Y53" t="str">
            <v>U0520Y</v>
          </cell>
          <cell r="Z53" t="str">
            <v>AAD</v>
          </cell>
          <cell r="AB53" t="str">
            <v>T</v>
          </cell>
          <cell r="AD53" t="str">
            <v>*</v>
          </cell>
          <cell r="AE53" t="str">
            <v>Z6326</v>
          </cell>
          <cell r="AF53" t="str">
            <v>001127</v>
          </cell>
          <cell r="AI53" t="str">
            <v>*</v>
          </cell>
          <cell r="AJ53" t="str">
            <v>T</v>
          </cell>
          <cell r="AT53" t="str">
            <v>B</v>
          </cell>
          <cell r="AU53" t="str">
            <v>5</v>
          </cell>
          <cell r="AV53" t="str">
            <v>3</v>
          </cell>
          <cell r="BE53" t="str">
            <v>ﾙ</v>
          </cell>
          <cell r="BF53" t="str">
            <v>0044</v>
          </cell>
          <cell r="BG53" t="str">
            <v>2J619</v>
          </cell>
        </row>
        <row r="54">
          <cell r="T54" t="str">
            <v>5Q</v>
          </cell>
          <cell r="U54" t="str">
            <v>040</v>
          </cell>
          <cell r="V54" t="str">
            <v xml:space="preserve"> 7B 1D</v>
          </cell>
          <cell r="W54" t="str">
            <v>U7170</v>
          </cell>
          <cell r="X54" t="str">
            <v xml:space="preserve"> 7B 1D</v>
          </cell>
          <cell r="Y54" t="str">
            <v>U0660Y</v>
          </cell>
          <cell r="Z54" t="str">
            <v>AAB</v>
          </cell>
          <cell r="AB54" t="str">
            <v>T</v>
          </cell>
          <cell r="AD54" t="str">
            <v>*</v>
          </cell>
          <cell r="AE54" t="str">
            <v>2J619</v>
          </cell>
          <cell r="AF54" t="str">
            <v>000809</v>
          </cell>
          <cell r="AI54" t="str">
            <v>*</v>
          </cell>
          <cell r="AJ54" t="str">
            <v>T</v>
          </cell>
          <cell r="AT54" t="str">
            <v>B</v>
          </cell>
          <cell r="AU54" t="str">
            <v>5</v>
          </cell>
          <cell r="AV54" t="str">
            <v>3</v>
          </cell>
          <cell r="BE54" t="str">
            <v>ﾙ</v>
          </cell>
          <cell r="BF54" t="str">
            <v>0045</v>
          </cell>
          <cell r="BG54" t="str">
            <v>2J619</v>
          </cell>
        </row>
        <row r="55">
          <cell r="T55" t="str">
            <v>5Q</v>
          </cell>
          <cell r="U55" t="str">
            <v>040</v>
          </cell>
          <cell r="V55" t="str">
            <v xml:space="preserve"> 7B 1D</v>
          </cell>
          <cell r="W55" t="str">
            <v>U7190</v>
          </cell>
          <cell r="X55" t="str">
            <v xml:space="preserve"> 7B 1D</v>
          </cell>
          <cell r="Y55" t="str">
            <v>U0820Y</v>
          </cell>
          <cell r="Z55" t="str">
            <v>AAC</v>
          </cell>
          <cell r="AB55" t="str">
            <v>T</v>
          </cell>
          <cell r="AD55" t="str">
            <v>*</v>
          </cell>
          <cell r="AE55" t="str">
            <v>S1392</v>
          </cell>
          <cell r="AF55" t="str">
            <v>010611</v>
          </cell>
          <cell r="AI55" t="str">
            <v>*</v>
          </cell>
          <cell r="AJ55" t="str">
            <v>T</v>
          </cell>
          <cell r="AT55" t="str">
            <v>B</v>
          </cell>
          <cell r="AU55" t="str">
            <v>5</v>
          </cell>
          <cell r="AV55" t="str">
            <v>3</v>
          </cell>
          <cell r="BE55" t="str">
            <v>ﾙ</v>
          </cell>
          <cell r="BF55" t="str">
            <v>0045</v>
          </cell>
          <cell r="BG55" t="str">
            <v>S1392</v>
          </cell>
        </row>
        <row r="56">
          <cell r="T56" t="str">
            <v>5Q</v>
          </cell>
          <cell r="U56" t="str">
            <v>040</v>
          </cell>
          <cell r="V56" t="str">
            <v xml:space="preserve"> 7B 1D</v>
          </cell>
          <cell r="W56" t="str">
            <v>U7270</v>
          </cell>
          <cell r="Y56" t="str">
            <v>U7270E</v>
          </cell>
          <cell r="Z56" t="str">
            <v>AAA</v>
          </cell>
          <cell r="AB56" t="str">
            <v>T</v>
          </cell>
          <cell r="AD56" t="str">
            <v>*</v>
          </cell>
          <cell r="AE56" t="str">
            <v>2J653</v>
          </cell>
          <cell r="AF56" t="str">
            <v>021223</v>
          </cell>
          <cell r="AI56" t="str">
            <v>*</v>
          </cell>
          <cell r="AJ56" t="str">
            <v>T</v>
          </cell>
          <cell r="AT56" t="str">
            <v>B</v>
          </cell>
          <cell r="AU56" t="str">
            <v>5</v>
          </cell>
          <cell r="AV56" t="str">
            <v>3</v>
          </cell>
          <cell r="BE56" t="str">
            <v>1</v>
          </cell>
          <cell r="BF56" t="str">
            <v>0018</v>
          </cell>
          <cell r="BG56" t="str">
            <v>V PLA</v>
          </cell>
        </row>
        <row r="57">
          <cell r="T57" t="str">
            <v>5Q</v>
          </cell>
          <cell r="U57" t="str">
            <v>040</v>
          </cell>
          <cell r="V57" t="str">
            <v xml:space="preserve"> 7B 1D</v>
          </cell>
          <cell r="W57" t="str">
            <v>U7320</v>
          </cell>
          <cell r="X57" t="str">
            <v xml:space="preserve"> 7B 1D</v>
          </cell>
          <cell r="Y57" t="str">
            <v>U1484Y</v>
          </cell>
          <cell r="Z57" t="str">
            <v>AAJ</v>
          </cell>
          <cell r="AB57" t="str">
            <v>T</v>
          </cell>
          <cell r="AD57" t="str">
            <v>*</v>
          </cell>
          <cell r="AE57" t="str">
            <v>Z6337</v>
          </cell>
          <cell r="AF57" t="str">
            <v>001211</v>
          </cell>
          <cell r="AI57" t="str">
            <v>*</v>
          </cell>
          <cell r="AJ57" t="str">
            <v>T</v>
          </cell>
          <cell r="AT57" t="str">
            <v>H</v>
          </cell>
          <cell r="AU57" t="str">
            <v>5</v>
          </cell>
          <cell r="AV57" t="str">
            <v>8</v>
          </cell>
          <cell r="BE57" t="str">
            <v>ﾙ</v>
          </cell>
          <cell r="BF57" t="str">
            <v>0020</v>
          </cell>
          <cell r="BG57" t="str">
            <v>Z6337</v>
          </cell>
        </row>
        <row r="58">
          <cell r="T58" t="str">
            <v>5Q</v>
          </cell>
          <cell r="U58" t="str">
            <v>040</v>
          </cell>
          <cell r="V58" t="str">
            <v xml:space="preserve"> 7B 1D</v>
          </cell>
          <cell r="W58" t="str">
            <v>U7420</v>
          </cell>
          <cell r="X58" t="str">
            <v xml:space="preserve"> 7B 1D</v>
          </cell>
          <cell r="Y58" t="str">
            <v>U1584Y</v>
          </cell>
          <cell r="Z58" t="str">
            <v>AAB</v>
          </cell>
          <cell r="AB58" t="str">
            <v>T</v>
          </cell>
          <cell r="AD58" t="str">
            <v>*</v>
          </cell>
          <cell r="AE58" t="str">
            <v>2J619</v>
          </cell>
          <cell r="AF58" t="str">
            <v>000809</v>
          </cell>
          <cell r="AI58" t="str">
            <v>*</v>
          </cell>
          <cell r="AJ58" t="str">
            <v>T</v>
          </cell>
          <cell r="AT58" t="str">
            <v>B</v>
          </cell>
          <cell r="AU58" t="str">
            <v>5</v>
          </cell>
          <cell r="AV58" t="str">
            <v>3</v>
          </cell>
          <cell r="BE58" t="str">
            <v>ﾙ</v>
          </cell>
          <cell r="BF58" t="str">
            <v>0048</v>
          </cell>
          <cell r="BG58" t="str">
            <v>2J619</v>
          </cell>
        </row>
        <row r="59">
          <cell r="T59" t="str">
            <v>5Q</v>
          </cell>
          <cell r="U59" t="str">
            <v>040</v>
          </cell>
          <cell r="V59" t="str">
            <v xml:space="preserve"> 7B 1D</v>
          </cell>
          <cell r="W59" t="str">
            <v>U7470</v>
          </cell>
          <cell r="Y59" t="str">
            <v>U7470E</v>
          </cell>
          <cell r="Z59" t="str">
            <v>AAB</v>
          </cell>
          <cell r="AB59" t="str">
            <v>T</v>
          </cell>
          <cell r="AD59" t="str">
            <v>*</v>
          </cell>
          <cell r="AE59" t="str">
            <v>2J653</v>
          </cell>
          <cell r="AF59" t="str">
            <v>021223</v>
          </cell>
          <cell r="AI59" t="str">
            <v>*</v>
          </cell>
          <cell r="AJ59" t="str">
            <v>T</v>
          </cell>
          <cell r="AT59" t="str">
            <v>B</v>
          </cell>
          <cell r="AU59" t="str">
            <v>5</v>
          </cell>
          <cell r="AV59" t="str">
            <v>3</v>
          </cell>
          <cell r="BF59" t="str">
            <v>0005</v>
          </cell>
          <cell r="BG59" t="str">
            <v>S1392</v>
          </cell>
          <cell r="BH59" t="str">
            <v>5Q</v>
          </cell>
          <cell r="BI59" t="str">
            <v>020</v>
          </cell>
        </row>
        <row r="60">
          <cell r="T60" t="str">
            <v>5Q</v>
          </cell>
          <cell r="U60" t="str">
            <v>040</v>
          </cell>
          <cell r="V60" t="str">
            <v xml:space="preserve"> 7B 1D</v>
          </cell>
          <cell r="W60" t="str">
            <v>U7120</v>
          </cell>
          <cell r="X60" t="str">
            <v xml:space="preserve"> 7B 1D</v>
          </cell>
          <cell r="Y60" t="str">
            <v>U6350Y</v>
          </cell>
          <cell r="Z60" t="str">
            <v>AAB</v>
          </cell>
          <cell r="AB60" t="str">
            <v>T</v>
          </cell>
          <cell r="AD60" t="str">
            <v>*</v>
          </cell>
          <cell r="AE60" t="str">
            <v>Z6360</v>
          </cell>
          <cell r="AF60" t="str">
            <v>010521</v>
          </cell>
          <cell r="AI60" t="str">
            <v>*</v>
          </cell>
          <cell r="AJ60" t="str">
            <v>T</v>
          </cell>
          <cell r="AT60" t="str">
            <v>B</v>
          </cell>
          <cell r="AU60" t="str">
            <v>5</v>
          </cell>
          <cell r="AV60" t="str">
            <v>3</v>
          </cell>
          <cell r="BE60" t="str">
            <v>ﾙ</v>
          </cell>
          <cell r="BF60" t="str">
            <v>0005</v>
          </cell>
          <cell r="BG60" t="str">
            <v>Z6360</v>
          </cell>
        </row>
        <row r="61">
          <cell r="T61" t="str">
            <v>5Q</v>
          </cell>
          <cell r="U61" t="str">
            <v>040</v>
          </cell>
          <cell r="V61" t="str">
            <v xml:space="preserve"> 7B 1D</v>
          </cell>
          <cell r="W61" t="str">
            <v>U7070</v>
          </cell>
          <cell r="X61" t="str">
            <v xml:space="preserve"> 7B 1D</v>
          </cell>
          <cell r="Y61" t="str">
            <v>U6360Y</v>
          </cell>
          <cell r="Z61" t="str">
            <v>AAA</v>
          </cell>
          <cell r="AB61" t="str">
            <v>T</v>
          </cell>
          <cell r="AD61" t="str">
            <v>X</v>
          </cell>
          <cell r="AE61" t="str">
            <v>2J619</v>
          </cell>
          <cell r="AF61" t="str">
            <v>000809</v>
          </cell>
          <cell r="AI61" t="str">
            <v>*</v>
          </cell>
          <cell r="AJ61" t="str">
            <v>T</v>
          </cell>
          <cell r="AT61" t="str">
            <v>B</v>
          </cell>
          <cell r="AU61" t="str">
            <v>6</v>
          </cell>
          <cell r="AV61" t="str">
            <v>3</v>
          </cell>
          <cell r="BE61" t="str">
            <v>1</v>
          </cell>
          <cell r="BF61" t="str">
            <v>0005</v>
          </cell>
          <cell r="BG61" t="str">
            <v>V PLA</v>
          </cell>
        </row>
        <row r="62">
          <cell r="T62" t="str">
            <v>5Q</v>
          </cell>
          <cell r="U62" t="str">
            <v>040</v>
          </cell>
          <cell r="V62" t="str">
            <v xml:space="preserve"> 7B 1D</v>
          </cell>
          <cell r="W62" t="str">
            <v>U7070</v>
          </cell>
          <cell r="X62" t="str">
            <v xml:space="preserve"> 7B 1D</v>
          </cell>
          <cell r="Y62" t="str">
            <v>U6310Y</v>
          </cell>
          <cell r="Z62" t="str">
            <v>AAC</v>
          </cell>
          <cell r="AB62" t="str">
            <v>T</v>
          </cell>
          <cell r="AD62" t="str">
            <v>X</v>
          </cell>
          <cell r="AE62" t="str">
            <v>Z6383</v>
          </cell>
          <cell r="AF62" t="str">
            <v>010820</v>
          </cell>
          <cell r="AI62" t="str">
            <v>*</v>
          </cell>
          <cell r="AJ62" t="str">
            <v>T</v>
          </cell>
          <cell r="AT62" t="str">
            <v>A</v>
          </cell>
          <cell r="AU62" t="str">
            <v>0</v>
          </cell>
          <cell r="AV62" t="str">
            <v>3</v>
          </cell>
          <cell r="BE62" t="str">
            <v>ﾙ</v>
          </cell>
          <cell r="BF62" t="str">
            <v>0005</v>
          </cell>
          <cell r="BG62" t="str">
            <v>Z6383</v>
          </cell>
        </row>
        <row r="63">
          <cell r="T63" t="str">
            <v>5Q</v>
          </cell>
          <cell r="U63" t="str">
            <v>040</v>
          </cell>
          <cell r="V63" t="str">
            <v xml:space="preserve"> 7B 1D</v>
          </cell>
          <cell r="W63" t="str">
            <v>U7440</v>
          </cell>
          <cell r="X63" t="str">
            <v xml:space="preserve"> 7B 1D</v>
          </cell>
          <cell r="Y63" t="str">
            <v>U6320Y</v>
          </cell>
          <cell r="Z63" t="str">
            <v>AAC</v>
          </cell>
          <cell r="AB63" t="str">
            <v>T</v>
          </cell>
          <cell r="AD63" t="str">
            <v>*</v>
          </cell>
          <cell r="AE63" t="str">
            <v>Z6325</v>
          </cell>
          <cell r="AF63" t="str">
            <v>001127</v>
          </cell>
          <cell r="AI63" t="str">
            <v>*</v>
          </cell>
          <cell r="AJ63" t="str">
            <v>T</v>
          </cell>
          <cell r="AT63" t="str">
            <v>A</v>
          </cell>
          <cell r="AU63" t="str">
            <v>0</v>
          </cell>
          <cell r="AV63" t="str">
            <v>3</v>
          </cell>
          <cell r="BE63" t="str">
            <v>ﾙ</v>
          </cell>
          <cell r="BF63" t="str">
            <v>0008</v>
          </cell>
          <cell r="BG63" t="str">
            <v>Z6325</v>
          </cell>
        </row>
        <row r="64">
          <cell r="T64" t="str">
            <v>5Q</v>
          </cell>
          <cell r="U64" t="str">
            <v>040</v>
          </cell>
          <cell r="V64" t="str">
            <v xml:space="preserve"> 7B 1D</v>
          </cell>
          <cell r="W64" t="str">
            <v>U7140</v>
          </cell>
          <cell r="Y64" t="str">
            <v>U7140E</v>
          </cell>
          <cell r="Z64" t="str">
            <v>AAC</v>
          </cell>
          <cell r="AB64" t="str">
            <v>T</v>
          </cell>
          <cell r="AD64" t="str">
            <v>*</v>
          </cell>
          <cell r="AE64" t="str">
            <v>2J653</v>
          </cell>
          <cell r="AF64" t="str">
            <v>021223</v>
          </cell>
          <cell r="AI64" t="str">
            <v>*</v>
          </cell>
          <cell r="AJ64" t="str">
            <v>T</v>
          </cell>
          <cell r="AT64" t="str">
            <v>A</v>
          </cell>
          <cell r="AU64" t="str">
            <v>0</v>
          </cell>
          <cell r="AV64" t="str">
            <v>3</v>
          </cell>
          <cell r="BE64" t="str">
            <v>ﾙ</v>
          </cell>
          <cell r="BF64" t="str">
            <v>0005</v>
          </cell>
          <cell r="BG64" t="str">
            <v>Z6360</v>
          </cell>
          <cell r="BH64" t="str">
            <v>5Q</v>
          </cell>
          <cell r="BI64" t="str">
            <v>020</v>
          </cell>
        </row>
        <row r="65">
          <cell r="T65" t="str">
            <v>5Q</v>
          </cell>
          <cell r="U65" t="str">
            <v>040</v>
          </cell>
          <cell r="V65" t="str">
            <v xml:space="preserve"> 7B 1D</v>
          </cell>
          <cell r="W65" t="str">
            <v>U7090</v>
          </cell>
          <cell r="Y65" t="str">
            <v>U7090E</v>
          </cell>
          <cell r="Z65" t="str">
            <v>AAB</v>
          </cell>
          <cell r="AB65" t="str">
            <v>T</v>
          </cell>
          <cell r="AD65" t="str">
            <v>*</v>
          </cell>
          <cell r="AE65" t="str">
            <v>2J653</v>
          </cell>
          <cell r="AF65" t="str">
            <v>021223</v>
          </cell>
          <cell r="AI65" t="str">
            <v>*</v>
          </cell>
          <cell r="AJ65" t="str">
            <v>T</v>
          </cell>
          <cell r="AT65" t="str">
            <v>A</v>
          </cell>
          <cell r="AU65" t="str">
            <v>0</v>
          </cell>
          <cell r="AV65" t="str">
            <v>3</v>
          </cell>
          <cell r="BE65" t="str">
            <v>ﾙ</v>
          </cell>
          <cell r="BF65" t="str">
            <v>0005</v>
          </cell>
          <cell r="BG65" t="str">
            <v>JZ698</v>
          </cell>
          <cell r="BH65" t="str">
            <v>5P</v>
          </cell>
          <cell r="BI65" t="str">
            <v>020</v>
          </cell>
        </row>
        <row r="66">
          <cell r="T66" t="str">
            <v>5Q</v>
          </cell>
          <cell r="U66" t="str">
            <v>040</v>
          </cell>
          <cell r="V66" t="str">
            <v xml:space="preserve"> 7B 1D</v>
          </cell>
          <cell r="W66" t="str">
            <v>U7150</v>
          </cell>
          <cell r="Y66" t="str">
            <v>U7150E</v>
          </cell>
          <cell r="Z66" t="str">
            <v>AAB</v>
          </cell>
          <cell r="AB66" t="str">
            <v>T</v>
          </cell>
          <cell r="AD66" t="str">
            <v>*</v>
          </cell>
          <cell r="AE66" t="str">
            <v>2J653</v>
          </cell>
          <cell r="AF66" t="str">
            <v>021223</v>
          </cell>
          <cell r="AI66" t="str">
            <v>*</v>
          </cell>
          <cell r="AJ66" t="str">
            <v>T</v>
          </cell>
          <cell r="AT66" t="str">
            <v>A</v>
          </cell>
          <cell r="AU66" t="str">
            <v>0</v>
          </cell>
          <cell r="AV66" t="str">
            <v>3</v>
          </cell>
          <cell r="BE66" t="str">
            <v>ﾙ</v>
          </cell>
          <cell r="BF66" t="str">
            <v>0005</v>
          </cell>
          <cell r="BG66" t="str">
            <v>Z6321</v>
          </cell>
          <cell r="BH66" t="str">
            <v>5Q</v>
          </cell>
          <cell r="BI66" t="str">
            <v>020</v>
          </cell>
        </row>
        <row r="67">
          <cell r="T67" t="str">
            <v>5Q</v>
          </cell>
          <cell r="U67" t="str">
            <v>040</v>
          </cell>
          <cell r="V67" t="str">
            <v xml:space="preserve"> 7B 1D</v>
          </cell>
          <cell r="W67" t="str">
            <v>U7160</v>
          </cell>
          <cell r="Y67" t="str">
            <v>U7160E</v>
          </cell>
          <cell r="Z67" t="str">
            <v>AAB</v>
          </cell>
          <cell r="AB67" t="str">
            <v>T</v>
          </cell>
          <cell r="AD67" t="str">
            <v>*</v>
          </cell>
          <cell r="AE67" t="str">
            <v>2J653</v>
          </cell>
          <cell r="AF67" t="str">
            <v>021223</v>
          </cell>
          <cell r="AI67" t="str">
            <v>*</v>
          </cell>
          <cell r="AJ67" t="str">
            <v>T</v>
          </cell>
          <cell r="AT67" t="str">
            <v>A</v>
          </cell>
          <cell r="AU67" t="str">
            <v>0</v>
          </cell>
          <cell r="AV67" t="str">
            <v>3</v>
          </cell>
          <cell r="BE67" t="str">
            <v>ﾙ</v>
          </cell>
          <cell r="BF67" t="str">
            <v>0005</v>
          </cell>
          <cell r="BG67" t="str">
            <v>Z6321</v>
          </cell>
          <cell r="BH67" t="str">
            <v>5Q</v>
          </cell>
          <cell r="BI67" t="str">
            <v>020</v>
          </cell>
        </row>
        <row r="68">
          <cell r="T68" t="str">
            <v>5Q</v>
          </cell>
          <cell r="U68" t="str">
            <v>040</v>
          </cell>
          <cell r="V68" t="str">
            <v xml:space="preserve"> 7B 1D</v>
          </cell>
          <cell r="W68" t="str">
            <v>U7070</v>
          </cell>
          <cell r="X68" t="str">
            <v xml:space="preserve"> 7B 1D</v>
          </cell>
          <cell r="Y68" t="str">
            <v>U6400Y</v>
          </cell>
          <cell r="Z68" t="str">
            <v>AAB</v>
          </cell>
          <cell r="AB68" t="str">
            <v>T</v>
          </cell>
          <cell r="AD68" t="str">
            <v>X</v>
          </cell>
          <cell r="AE68" t="str">
            <v>Z6360</v>
          </cell>
          <cell r="AF68" t="str">
            <v>010521</v>
          </cell>
          <cell r="AI68" t="str">
            <v>*</v>
          </cell>
          <cell r="AJ68" t="str">
            <v>T</v>
          </cell>
          <cell r="AT68" t="str">
            <v>A</v>
          </cell>
          <cell r="AU68" t="str">
            <v>0</v>
          </cell>
          <cell r="AV68" t="str">
            <v>3</v>
          </cell>
          <cell r="BE68" t="str">
            <v>ﾙ</v>
          </cell>
          <cell r="BF68" t="str">
            <v>0005</v>
          </cell>
          <cell r="BG68" t="str">
            <v>Z6360</v>
          </cell>
        </row>
        <row r="69">
          <cell r="T69" t="str">
            <v>5Q</v>
          </cell>
          <cell r="U69" t="str">
            <v>040</v>
          </cell>
          <cell r="V69" t="str">
            <v xml:space="preserve"> 7B 1A</v>
          </cell>
          <cell r="W69" t="str">
            <v>U0257</v>
          </cell>
          <cell r="Y69" t="str">
            <v>U0257E</v>
          </cell>
          <cell r="Z69" t="str">
            <v>AAC</v>
          </cell>
          <cell r="AB69" t="str">
            <v>T</v>
          </cell>
          <cell r="AD69" t="str">
            <v>*</v>
          </cell>
          <cell r="AE69" t="str">
            <v>2J653</v>
          </cell>
          <cell r="AF69" t="str">
            <v>021223</v>
          </cell>
          <cell r="AI69" t="str">
            <v>*</v>
          </cell>
          <cell r="AJ69" t="str">
            <v>T</v>
          </cell>
          <cell r="AT69" t="str">
            <v>A</v>
          </cell>
          <cell r="AU69" t="str">
            <v>0</v>
          </cell>
          <cell r="AV69" t="str">
            <v>3</v>
          </cell>
          <cell r="BE69" t="str">
            <v>ﾙ</v>
          </cell>
          <cell r="BF69" t="str">
            <v>0005</v>
          </cell>
          <cell r="BG69" t="str">
            <v>Z6384</v>
          </cell>
          <cell r="BH69" t="str">
            <v>5Q</v>
          </cell>
          <cell r="BI69" t="str">
            <v>020</v>
          </cell>
        </row>
        <row r="70">
          <cell r="T70" t="str">
            <v>5Q</v>
          </cell>
          <cell r="U70" t="str">
            <v>040</v>
          </cell>
          <cell r="V70" t="str">
            <v xml:space="preserve"> 7A</v>
          </cell>
          <cell r="W70" t="str">
            <v>U1667</v>
          </cell>
          <cell r="Y70" t="str">
            <v>U1667E</v>
          </cell>
          <cell r="Z70" t="str">
            <v>AAC</v>
          </cell>
          <cell r="AB70" t="str">
            <v>T</v>
          </cell>
          <cell r="AD70" t="str">
            <v>*</v>
          </cell>
          <cell r="AE70" t="str">
            <v>2J653</v>
          </cell>
          <cell r="AF70" t="str">
            <v>021223</v>
          </cell>
          <cell r="AI70" t="str">
            <v>*</v>
          </cell>
          <cell r="AJ70" t="str">
            <v>T</v>
          </cell>
          <cell r="AT70" t="str">
            <v>A</v>
          </cell>
          <cell r="AU70" t="str">
            <v>0</v>
          </cell>
          <cell r="AV70" t="str">
            <v>3</v>
          </cell>
          <cell r="BE70" t="str">
            <v>B</v>
          </cell>
          <cell r="BF70" t="str">
            <v>0005</v>
          </cell>
          <cell r="BG70" t="str">
            <v>Z6364</v>
          </cell>
          <cell r="BH70" t="str">
            <v>5P</v>
          </cell>
          <cell r="BI70" t="str">
            <v>020</v>
          </cell>
        </row>
        <row r="71">
          <cell r="T71" t="str">
            <v>5Q</v>
          </cell>
          <cell r="U71" t="str">
            <v>040</v>
          </cell>
          <cell r="V71" t="str">
            <v xml:space="preserve"> 7B 1C</v>
          </cell>
          <cell r="W71" t="str">
            <v>U4000</v>
          </cell>
          <cell r="Y71" t="str">
            <v>U4000E</v>
          </cell>
          <cell r="Z71" t="str">
            <v>AAC</v>
          </cell>
          <cell r="AB71" t="str">
            <v>T</v>
          </cell>
          <cell r="AD71" t="str">
            <v>*</v>
          </cell>
          <cell r="AE71" t="str">
            <v>2J653</v>
          </cell>
          <cell r="AF71" t="str">
            <v>021223</v>
          </cell>
          <cell r="AI71" t="str">
            <v>*</v>
          </cell>
          <cell r="AJ71" t="str">
            <v>T</v>
          </cell>
          <cell r="AT71" t="str">
            <v>A</v>
          </cell>
          <cell r="AU71" t="str">
            <v>0</v>
          </cell>
          <cell r="AV71" t="str">
            <v>3</v>
          </cell>
          <cell r="BE71" t="str">
            <v>ﾙ</v>
          </cell>
          <cell r="BF71" t="str">
            <v>0005</v>
          </cell>
          <cell r="BG71" t="str">
            <v>JAC62</v>
          </cell>
          <cell r="BH71" t="str">
            <v>5Q</v>
          </cell>
          <cell r="BI71" t="str">
            <v>020</v>
          </cell>
        </row>
        <row r="72">
          <cell r="T72" t="str">
            <v>5Q</v>
          </cell>
          <cell r="U72" t="str">
            <v>040</v>
          </cell>
          <cell r="V72" t="str">
            <v xml:space="preserve"> 7B 1C</v>
          </cell>
          <cell r="W72" t="str">
            <v>U4300</v>
          </cell>
          <cell r="Y72" t="str">
            <v>U4300E</v>
          </cell>
          <cell r="Z72" t="str">
            <v>AAB</v>
          </cell>
          <cell r="AB72" t="str">
            <v>T</v>
          </cell>
          <cell r="AD72" t="str">
            <v>*</v>
          </cell>
          <cell r="AE72" t="str">
            <v>2J653</v>
          </cell>
          <cell r="AF72" t="str">
            <v>021223</v>
          </cell>
          <cell r="AI72" t="str">
            <v>*</v>
          </cell>
          <cell r="AJ72" t="str">
            <v>T</v>
          </cell>
          <cell r="AT72" t="str">
            <v>B</v>
          </cell>
          <cell r="AU72" t="str">
            <v>5</v>
          </cell>
          <cell r="AV72" t="str">
            <v>3</v>
          </cell>
          <cell r="BE72" t="str">
            <v>ﾙ</v>
          </cell>
          <cell r="BF72" t="str">
            <v>0005</v>
          </cell>
          <cell r="BG72" t="str">
            <v>Z6402</v>
          </cell>
          <cell r="BH72" t="str">
            <v>5Q</v>
          </cell>
          <cell r="BI72" t="str">
            <v>020</v>
          </cell>
        </row>
        <row r="73">
          <cell r="T73" t="str">
            <v>5Q</v>
          </cell>
          <cell r="U73" t="str">
            <v>040</v>
          </cell>
          <cell r="V73" t="str">
            <v xml:space="preserve"> 7B 1A</v>
          </cell>
          <cell r="W73" t="str">
            <v>U0085</v>
          </cell>
          <cell r="X73" t="str">
            <v xml:space="preserve"> 7B 1A</v>
          </cell>
          <cell r="Y73" t="str">
            <v>U0113Y</v>
          </cell>
          <cell r="Z73" t="str">
            <v>AAD</v>
          </cell>
          <cell r="AB73" t="str">
            <v>T</v>
          </cell>
          <cell r="AD73" t="str">
            <v>*</v>
          </cell>
          <cell r="AE73" t="str">
            <v>Z6354</v>
          </cell>
          <cell r="AF73" t="str">
            <v>010423</v>
          </cell>
          <cell r="AI73" t="str">
            <v>*</v>
          </cell>
          <cell r="AJ73" t="str">
            <v>T</v>
          </cell>
          <cell r="AT73" t="str">
            <v>A</v>
          </cell>
          <cell r="AU73" t="str">
            <v>0</v>
          </cell>
          <cell r="AV73" t="str">
            <v>3</v>
          </cell>
          <cell r="BE73" t="str">
            <v>ﾙ</v>
          </cell>
          <cell r="BF73" t="str">
            <v>0004</v>
          </cell>
          <cell r="BG73" t="str">
            <v>Z6354</v>
          </cell>
        </row>
        <row r="74">
          <cell r="T74" t="str">
            <v>5Q</v>
          </cell>
          <cell r="U74" t="str">
            <v>040</v>
          </cell>
          <cell r="V74" t="str">
            <v xml:space="preserve"> 7B 1C</v>
          </cell>
          <cell r="W74" t="str">
            <v>U5500</v>
          </cell>
          <cell r="Y74" t="str">
            <v>U5500E</v>
          </cell>
          <cell r="Z74" t="str">
            <v>AAB</v>
          </cell>
          <cell r="AB74" t="str">
            <v>T</v>
          </cell>
          <cell r="AD74" t="str">
            <v>*</v>
          </cell>
          <cell r="AE74" t="str">
            <v>2J653</v>
          </cell>
          <cell r="AF74" t="str">
            <v>021223</v>
          </cell>
          <cell r="AI74" t="str">
            <v>*</v>
          </cell>
          <cell r="AJ74" t="str">
            <v>T</v>
          </cell>
          <cell r="AT74" t="str">
            <v>A</v>
          </cell>
          <cell r="AU74" t="str">
            <v>0</v>
          </cell>
          <cell r="AV74" t="str">
            <v>3</v>
          </cell>
          <cell r="BE74" t="str">
            <v>B</v>
          </cell>
          <cell r="BF74" t="str">
            <v>0005</v>
          </cell>
          <cell r="BG74" t="str">
            <v>Z6366</v>
          </cell>
          <cell r="BH74" t="str">
            <v>5P</v>
          </cell>
          <cell r="BI74" t="str">
            <v>020</v>
          </cell>
        </row>
        <row r="75">
          <cell r="T75" t="str">
            <v>5Q</v>
          </cell>
          <cell r="U75" t="str">
            <v>040</v>
          </cell>
          <cell r="V75" t="str">
            <v xml:space="preserve"> 7B 1C</v>
          </cell>
          <cell r="W75" t="str">
            <v>U5000</v>
          </cell>
          <cell r="Y75" t="str">
            <v>U5000E</v>
          </cell>
          <cell r="Z75" t="str">
            <v>AAC</v>
          </cell>
          <cell r="AB75" t="str">
            <v>T</v>
          </cell>
          <cell r="AD75" t="str">
            <v>*</v>
          </cell>
          <cell r="AE75" t="str">
            <v>2J653</v>
          </cell>
          <cell r="AF75" t="str">
            <v>021223</v>
          </cell>
          <cell r="AI75" t="str">
            <v>*</v>
          </cell>
          <cell r="AJ75" t="str">
            <v>T</v>
          </cell>
          <cell r="AT75" t="str">
            <v>A</v>
          </cell>
          <cell r="AU75" t="str">
            <v>0</v>
          </cell>
          <cell r="AV75" t="str">
            <v>3</v>
          </cell>
          <cell r="BE75" t="str">
            <v>B</v>
          </cell>
          <cell r="BF75" t="str">
            <v>0005</v>
          </cell>
          <cell r="BG75" t="str">
            <v>Z6366</v>
          </cell>
          <cell r="BH75" t="str">
            <v>5Q</v>
          </cell>
          <cell r="BI75" t="str">
            <v>020</v>
          </cell>
        </row>
        <row r="76">
          <cell r="T76" t="str">
            <v>5Q</v>
          </cell>
          <cell r="U76" t="str">
            <v>040</v>
          </cell>
          <cell r="V76" t="str">
            <v xml:space="preserve"> 7B 1C</v>
          </cell>
          <cell r="W76" t="str">
            <v>U5100</v>
          </cell>
          <cell r="Y76" t="str">
            <v>U5100E</v>
          </cell>
          <cell r="Z76" t="str">
            <v>AAB</v>
          </cell>
          <cell r="AB76" t="str">
            <v>T</v>
          </cell>
          <cell r="AD76" t="str">
            <v>*</v>
          </cell>
          <cell r="AE76" t="str">
            <v>2J653</v>
          </cell>
          <cell r="AF76" t="str">
            <v>021223</v>
          </cell>
          <cell r="AI76" t="str">
            <v>*</v>
          </cell>
          <cell r="AJ76" t="str">
            <v>T</v>
          </cell>
          <cell r="AT76" t="str">
            <v>A</v>
          </cell>
          <cell r="AU76" t="str">
            <v>0</v>
          </cell>
          <cell r="AV76" t="str">
            <v>3</v>
          </cell>
          <cell r="BE76" t="str">
            <v>B</v>
          </cell>
          <cell r="BF76" t="str">
            <v>0005</v>
          </cell>
          <cell r="BG76" t="str">
            <v>Z6366</v>
          </cell>
          <cell r="BH76" t="str">
            <v>5Q</v>
          </cell>
          <cell r="BI76" t="str">
            <v>020</v>
          </cell>
        </row>
        <row r="77">
          <cell r="T77" t="str">
            <v>5Q</v>
          </cell>
          <cell r="U77" t="str">
            <v>040</v>
          </cell>
          <cell r="V77" t="str">
            <v xml:space="preserve"> 7B 1C</v>
          </cell>
          <cell r="W77" t="str">
            <v>U5300</v>
          </cell>
          <cell r="Y77" t="str">
            <v>U5300E</v>
          </cell>
          <cell r="Z77" t="str">
            <v>AAA</v>
          </cell>
          <cell r="AB77" t="str">
            <v>T</v>
          </cell>
          <cell r="AD77" t="str">
            <v>*</v>
          </cell>
          <cell r="AE77" t="str">
            <v>2J653</v>
          </cell>
          <cell r="AF77" t="str">
            <v>021223</v>
          </cell>
          <cell r="AI77" t="str">
            <v>*</v>
          </cell>
          <cell r="AJ77" t="str">
            <v>T</v>
          </cell>
          <cell r="AT77" t="str">
            <v>A</v>
          </cell>
          <cell r="AU77" t="str">
            <v>0</v>
          </cell>
          <cell r="AV77" t="str">
            <v>3</v>
          </cell>
          <cell r="BE77" t="str">
            <v>ﾙ</v>
          </cell>
          <cell r="BF77" t="str">
            <v>0008</v>
          </cell>
        </row>
        <row r="78">
          <cell r="T78" t="str">
            <v>5Q</v>
          </cell>
          <cell r="U78" t="str">
            <v>040</v>
          </cell>
          <cell r="V78" t="str">
            <v xml:space="preserve"> 7B 1C</v>
          </cell>
          <cell r="W78" t="str">
            <v>U6200</v>
          </cell>
          <cell r="Y78" t="str">
            <v>U6200E</v>
          </cell>
          <cell r="Z78" t="str">
            <v>AAA</v>
          </cell>
          <cell r="AB78" t="str">
            <v>T</v>
          </cell>
          <cell r="AD78" t="str">
            <v>*</v>
          </cell>
          <cell r="AE78" t="str">
            <v>2J653</v>
          </cell>
          <cell r="AF78" t="str">
            <v>021223</v>
          </cell>
          <cell r="AI78" t="str">
            <v>*</v>
          </cell>
          <cell r="AJ78" t="str">
            <v>T</v>
          </cell>
          <cell r="AT78" t="str">
            <v>A</v>
          </cell>
          <cell r="AU78" t="str">
            <v>0</v>
          </cell>
          <cell r="AV78" t="str">
            <v>3</v>
          </cell>
          <cell r="BE78" t="str">
            <v>ﾙ</v>
          </cell>
          <cell r="BF78" t="str">
            <v>0008</v>
          </cell>
        </row>
        <row r="79">
          <cell r="T79" t="str">
            <v>5Q</v>
          </cell>
          <cell r="U79" t="str">
            <v>040</v>
          </cell>
          <cell r="V79" t="str">
            <v xml:space="preserve"> 7A</v>
          </cell>
          <cell r="W79" t="str">
            <v>U1345</v>
          </cell>
          <cell r="X79" t="str">
            <v xml:space="preserve"> 7A</v>
          </cell>
          <cell r="Y79" t="str">
            <v>U2960Y</v>
          </cell>
          <cell r="Z79" t="str">
            <v>AAL</v>
          </cell>
          <cell r="AB79" t="str">
            <v>T</v>
          </cell>
          <cell r="AD79" t="str">
            <v>*</v>
          </cell>
          <cell r="AE79" t="str">
            <v>2J653</v>
          </cell>
          <cell r="AF79" t="str">
            <v>021223</v>
          </cell>
          <cell r="AI79" t="str">
            <v>*</v>
          </cell>
          <cell r="AJ79" t="str">
            <v>T</v>
          </cell>
          <cell r="AT79" t="str">
            <v>A</v>
          </cell>
          <cell r="AU79" t="str">
            <v>0</v>
          </cell>
          <cell r="AV79" t="str">
            <v>3</v>
          </cell>
          <cell r="BE79" t="str">
            <v>ﾙ</v>
          </cell>
          <cell r="BF79" t="str">
            <v>0055</v>
          </cell>
          <cell r="BG79" t="str">
            <v>KOUBA</v>
          </cell>
        </row>
        <row r="80">
          <cell r="T80" t="str">
            <v>5Q</v>
          </cell>
          <cell r="U80" t="str">
            <v>040</v>
          </cell>
          <cell r="V80" t="str">
            <v xml:space="preserve"> 7B 1C</v>
          </cell>
          <cell r="W80" t="str">
            <v>U6500</v>
          </cell>
          <cell r="Y80" t="str">
            <v>U6500E</v>
          </cell>
          <cell r="Z80" t="str">
            <v>AAA</v>
          </cell>
          <cell r="AB80" t="str">
            <v>T</v>
          </cell>
          <cell r="AD80" t="str">
            <v>*</v>
          </cell>
          <cell r="AE80" t="str">
            <v>2J653</v>
          </cell>
          <cell r="AF80" t="str">
            <v>021223</v>
          </cell>
          <cell r="AI80" t="str">
            <v>*</v>
          </cell>
          <cell r="AJ80" t="str">
            <v>T</v>
          </cell>
          <cell r="AT80" t="str">
            <v>A</v>
          </cell>
          <cell r="AU80" t="str">
            <v>0</v>
          </cell>
          <cell r="AV80" t="str">
            <v>3</v>
          </cell>
          <cell r="BF80" t="str">
            <v>0008</v>
          </cell>
        </row>
        <row r="81">
          <cell r="T81" t="str">
            <v>5Q</v>
          </cell>
          <cell r="U81" t="str">
            <v>040</v>
          </cell>
          <cell r="V81" t="str">
            <v xml:space="preserve"> 7B 1C</v>
          </cell>
          <cell r="W81" t="str">
            <v>U6600</v>
          </cell>
          <cell r="Y81" t="str">
            <v>U6600E</v>
          </cell>
          <cell r="Z81" t="str">
            <v>AAB</v>
          </cell>
          <cell r="AB81" t="str">
            <v>T</v>
          </cell>
          <cell r="AD81" t="str">
            <v>*</v>
          </cell>
          <cell r="AE81" t="str">
            <v>2J653</v>
          </cell>
          <cell r="AF81" t="str">
            <v>021223</v>
          </cell>
          <cell r="AI81" t="str">
            <v>*</v>
          </cell>
          <cell r="AJ81" t="str">
            <v>T</v>
          </cell>
          <cell r="AT81" t="str">
            <v>A</v>
          </cell>
          <cell r="AU81" t="str">
            <v>0</v>
          </cell>
          <cell r="AV81" t="str">
            <v>3</v>
          </cell>
          <cell r="BE81" t="str">
            <v>ﾙ</v>
          </cell>
          <cell r="BF81" t="str">
            <v>0008</v>
          </cell>
          <cell r="BG81" t="str">
            <v>JZ870</v>
          </cell>
          <cell r="BH81" t="str">
            <v>5P</v>
          </cell>
          <cell r="BI81" t="str">
            <v>020</v>
          </cell>
        </row>
        <row r="82">
          <cell r="T82" t="str">
            <v>5Q</v>
          </cell>
          <cell r="U82" t="str">
            <v>040</v>
          </cell>
          <cell r="V82" t="str">
            <v xml:space="preserve"> 5D</v>
          </cell>
          <cell r="W82" t="str">
            <v>U5160</v>
          </cell>
          <cell r="Y82" t="str">
            <v>U5160E</v>
          </cell>
          <cell r="Z82" t="str">
            <v>AAC</v>
          </cell>
          <cell r="AB82" t="str">
            <v>F</v>
          </cell>
          <cell r="AD82" t="str">
            <v>*</v>
          </cell>
          <cell r="AE82" t="str">
            <v>2J653</v>
          </cell>
          <cell r="AF82" t="str">
            <v>021223</v>
          </cell>
          <cell r="AI82" t="str">
            <v>*</v>
          </cell>
          <cell r="AJ82" t="str">
            <v>T</v>
          </cell>
          <cell r="AT82" t="str">
            <v>A</v>
          </cell>
          <cell r="AU82" t="str">
            <v>0</v>
          </cell>
          <cell r="AV82" t="str">
            <v>3</v>
          </cell>
          <cell r="BE82" t="str">
            <v>ｲ</v>
          </cell>
          <cell r="BF82" t="str">
            <v>0051</v>
          </cell>
          <cell r="BG82" t="str">
            <v>7J395</v>
          </cell>
          <cell r="BH82" t="str">
            <v>5Q</v>
          </cell>
          <cell r="BI82" t="str">
            <v>020</v>
          </cell>
        </row>
        <row r="83">
          <cell r="T83" t="str">
            <v>5Q</v>
          </cell>
          <cell r="U83" t="str">
            <v>040</v>
          </cell>
          <cell r="V83" t="str">
            <v xml:space="preserve"> 5D</v>
          </cell>
          <cell r="W83" t="str">
            <v>U5160</v>
          </cell>
          <cell r="Y83" t="str">
            <v>U5160E</v>
          </cell>
          <cell r="Z83" t="str">
            <v>AAB</v>
          </cell>
          <cell r="AB83" t="str">
            <v>F</v>
          </cell>
          <cell r="AD83" t="str">
            <v>*</v>
          </cell>
          <cell r="AE83" t="str">
            <v>2J653</v>
          </cell>
          <cell r="AF83" t="str">
            <v>021223</v>
          </cell>
          <cell r="AI83" t="str">
            <v>*</v>
          </cell>
          <cell r="AJ83" t="str">
            <v>T</v>
          </cell>
          <cell r="AT83" t="str">
            <v>A</v>
          </cell>
          <cell r="AU83" t="str">
            <v>0</v>
          </cell>
          <cell r="AV83" t="str">
            <v>3</v>
          </cell>
          <cell r="BE83" t="str">
            <v>I</v>
          </cell>
          <cell r="BF83" t="str">
            <v>0038</v>
          </cell>
          <cell r="BG83" t="str">
            <v>JAY68</v>
          </cell>
          <cell r="BH83" t="str">
            <v>5Q</v>
          </cell>
          <cell r="BI83" t="str">
            <v>020</v>
          </cell>
        </row>
        <row r="84">
          <cell r="T84" t="str">
            <v>5Q</v>
          </cell>
          <cell r="U84" t="str">
            <v>040</v>
          </cell>
          <cell r="V84" t="str">
            <v xml:space="preserve"> 7B 3C</v>
          </cell>
          <cell r="W84" t="str">
            <v>U1000</v>
          </cell>
          <cell r="X84" t="str">
            <v xml:space="preserve"> 7B 3C</v>
          </cell>
          <cell r="Y84" t="str">
            <v>U1850Y</v>
          </cell>
          <cell r="Z84" t="str">
            <v>AAH</v>
          </cell>
          <cell r="AB84" t="str">
            <v>U</v>
          </cell>
          <cell r="AD84" t="str">
            <v>*</v>
          </cell>
          <cell r="AE84" t="str">
            <v>JBN49</v>
          </cell>
          <cell r="AF84" t="str">
            <v>020701</v>
          </cell>
          <cell r="AI84" t="str">
            <v>*</v>
          </cell>
          <cell r="AJ84" t="str">
            <v>T</v>
          </cell>
          <cell r="AT84" t="str">
            <v>A</v>
          </cell>
          <cell r="AU84" t="str">
            <v>0</v>
          </cell>
          <cell r="AV84" t="str">
            <v>3</v>
          </cell>
          <cell r="BE84" t="str">
            <v>ﾙ</v>
          </cell>
          <cell r="BF84" t="str">
            <v>0002</v>
          </cell>
          <cell r="BG84" t="str">
            <v>2J618</v>
          </cell>
        </row>
        <row r="85">
          <cell r="T85" t="str">
            <v>5Q</v>
          </cell>
          <cell r="U85" t="str">
            <v>040</v>
          </cell>
          <cell r="V85" t="str">
            <v xml:space="preserve"> 7B 1A</v>
          </cell>
          <cell r="W85" t="str">
            <v>U0085</v>
          </cell>
          <cell r="Y85" t="str">
            <v>U0085E</v>
          </cell>
          <cell r="Z85" t="str">
            <v>AAB</v>
          </cell>
          <cell r="AB85" t="str">
            <v>T</v>
          </cell>
          <cell r="AD85" t="str">
            <v>*</v>
          </cell>
          <cell r="AE85" t="str">
            <v>2J653</v>
          </cell>
          <cell r="AF85" t="str">
            <v>021223</v>
          </cell>
          <cell r="AI85" t="str">
            <v>*</v>
          </cell>
          <cell r="AJ85" t="str">
            <v>T</v>
          </cell>
          <cell r="AT85" t="str">
            <v>3</v>
          </cell>
          <cell r="AU85" t="str">
            <v>0</v>
          </cell>
          <cell r="AV85" t="str">
            <v>7</v>
          </cell>
          <cell r="BE85" t="str">
            <v>ﾙ</v>
          </cell>
          <cell r="BF85" t="str">
            <v>0004</v>
          </cell>
          <cell r="BG85" t="str">
            <v>S0974</v>
          </cell>
        </row>
        <row r="86">
          <cell r="T86" t="str">
            <v>5Q</v>
          </cell>
          <cell r="U86" t="str">
            <v>040</v>
          </cell>
          <cell r="V86" t="str">
            <v xml:space="preserve"> 7B 1A</v>
          </cell>
          <cell r="W86" t="str">
            <v>U0200</v>
          </cell>
          <cell r="Y86" t="str">
            <v>U0200E</v>
          </cell>
          <cell r="Z86" t="str">
            <v>AAG</v>
          </cell>
          <cell r="AB86" t="str">
            <v>T</v>
          </cell>
          <cell r="AD86" t="str">
            <v>*</v>
          </cell>
          <cell r="AE86" t="str">
            <v>2J653</v>
          </cell>
          <cell r="AF86" t="str">
            <v>021223</v>
          </cell>
          <cell r="AI86" t="str">
            <v>*</v>
          </cell>
          <cell r="AJ86" t="str">
            <v>T</v>
          </cell>
          <cell r="AT86" t="str">
            <v>G</v>
          </cell>
          <cell r="AU86" t="str">
            <v>5</v>
          </cell>
          <cell r="AV86" t="str">
            <v>7</v>
          </cell>
          <cell r="BE86" t="str">
            <v>E</v>
          </cell>
          <cell r="BF86" t="str">
            <v>0056</v>
          </cell>
          <cell r="BG86" t="str">
            <v>Z6456</v>
          </cell>
          <cell r="BH86" t="str">
            <v>5Q</v>
          </cell>
          <cell r="BI86" t="str">
            <v>020</v>
          </cell>
        </row>
        <row r="87">
          <cell r="T87" t="str">
            <v>5Q</v>
          </cell>
          <cell r="U87" t="str">
            <v>040</v>
          </cell>
          <cell r="V87" t="str">
            <v xml:space="preserve"> 7B 1A</v>
          </cell>
          <cell r="W87" t="str">
            <v>U4555</v>
          </cell>
          <cell r="Y87" t="str">
            <v>U4555E</v>
          </cell>
          <cell r="Z87" t="str">
            <v>AAB</v>
          </cell>
          <cell r="AB87" t="str">
            <v>T</v>
          </cell>
          <cell r="AD87" t="str">
            <v>*</v>
          </cell>
          <cell r="AE87" t="str">
            <v>2J653</v>
          </cell>
          <cell r="AF87" t="str">
            <v>021223</v>
          </cell>
          <cell r="AI87" t="str">
            <v>*</v>
          </cell>
          <cell r="AJ87" t="str">
            <v>T</v>
          </cell>
          <cell r="AT87" t="str">
            <v>A</v>
          </cell>
          <cell r="AU87" t="str">
            <v>0</v>
          </cell>
          <cell r="AV87" t="str">
            <v>3</v>
          </cell>
          <cell r="BE87" t="str">
            <v>ﾙ</v>
          </cell>
          <cell r="BF87" t="str">
            <v>0028</v>
          </cell>
        </row>
        <row r="88">
          <cell r="T88" t="str">
            <v>5Q</v>
          </cell>
          <cell r="U88" t="str">
            <v>040</v>
          </cell>
          <cell r="V88" t="str">
            <v xml:space="preserve"> 7B 1A</v>
          </cell>
          <cell r="W88" t="str">
            <v>U7000</v>
          </cell>
          <cell r="Y88" t="str">
            <v>U7000E</v>
          </cell>
          <cell r="Z88" t="str">
            <v>AAA</v>
          </cell>
          <cell r="AB88" t="str">
            <v>T</v>
          </cell>
          <cell r="AD88" t="str">
            <v>*</v>
          </cell>
          <cell r="AE88" t="str">
            <v>2J653</v>
          </cell>
          <cell r="AF88" t="str">
            <v>021223</v>
          </cell>
          <cell r="AI88" t="str">
            <v>*</v>
          </cell>
          <cell r="AJ88" t="str">
            <v>T</v>
          </cell>
          <cell r="AT88" t="str">
            <v>A</v>
          </cell>
          <cell r="AU88" t="str">
            <v>0</v>
          </cell>
          <cell r="AV88" t="str">
            <v>3</v>
          </cell>
          <cell r="BE88" t="str">
            <v>ﾙ</v>
          </cell>
          <cell r="BF88" t="str">
            <v>0005</v>
          </cell>
        </row>
        <row r="89">
          <cell r="T89" t="str">
            <v>5Q</v>
          </cell>
          <cell r="U89" t="str">
            <v>040</v>
          </cell>
          <cell r="V89" t="str">
            <v xml:space="preserve"> 7B 1D</v>
          </cell>
          <cell r="W89" t="str">
            <v>U7100</v>
          </cell>
          <cell r="Y89" t="str">
            <v>U7100E</v>
          </cell>
          <cell r="Z89" t="str">
            <v>AAC</v>
          </cell>
          <cell r="AB89" t="str">
            <v>T</v>
          </cell>
          <cell r="AD89" t="str">
            <v>*</v>
          </cell>
          <cell r="AE89" t="str">
            <v>2J653</v>
          </cell>
          <cell r="AF89" t="str">
            <v>021223</v>
          </cell>
          <cell r="AI89" t="str">
            <v>*</v>
          </cell>
          <cell r="AJ89" t="str">
            <v>T</v>
          </cell>
          <cell r="AT89" t="str">
            <v>H</v>
          </cell>
          <cell r="AU89" t="str">
            <v>5</v>
          </cell>
          <cell r="AV89" t="str">
            <v>8</v>
          </cell>
          <cell r="BE89" t="str">
            <v>ﾙ</v>
          </cell>
          <cell r="BF89" t="str">
            <v>0042</v>
          </cell>
          <cell r="BG89" t="str">
            <v>V PLA</v>
          </cell>
        </row>
        <row r="90">
          <cell r="T90" t="str">
            <v>5Q</v>
          </cell>
          <cell r="U90" t="str">
            <v>040</v>
          </cell>
          <cell r="V90" t="str">
            <v xml:space="preserve"> 7B 1D</v>
          </cell>
          <cell r="W90" t="str">
            <v>U7100</v>
          </cell>
          <cell r="X90" t="str">
            <v xml:space="preserve"> 7B 1D</v>
          </cell>
          <cell r="Y90" t="str">
            <v>U0452Y</v>
          </cell>
          <cell r="Z90" t="str">
            <v>AAC</v>
          </cell>
          <cell r="AB90" t="str">
            <v>T</v>
          </cell>
          <cell r="AD90" t="str">
            <v>*</v>
          </cell>
          <cell r="AE90" t="str">
            <v>2J619</v>
          </cell>
          <cell r="AF90" t="str">
            <v>000809</v>
          </cell>
          <cell r="AI90" t="str">
            <v>*</v>
          </cell>
          <cell r="AJ90" t="str">
            <v>T</v>
          </cell>
          <cell r="AT90" t="str">
            <v>H</v>
          </cell>
          <cell r="AU90" t="str">
            <v>5</v>
          </cell>
          <cell r="AV90" t="str">
            <v>8</v>
          </cell>
          <cell r="BE90" t="str">
            <v>1</v>
          </cell>
          <cell r="BF90" t="str">
            <v>0042</v>
          </cell>
          <cell r="BG90" t="str">
            <v>V PLA</v>
          </cell>
        </row>
        <row r="91">
          <cell r="T91" t="str">
            <v>5Q</v>
          </cell>
          <cell r="U91" t="str">
            <v>040</v>
          </cell>
          <cell r="V91" t="str">
            <v xml:space="preserve"> 7B 1D</v>
          </cell>
          <cell r="W91" t="str">
            <v>U7110</v>
          </cell>
          <cell r="Y91" t="str">
            <v>U7110E</v>
          </cell>
          <cell r="Z91" t="str">
            <v>AAG</v>
          </cell>
          <cell r="AB91" t="str">
            <v>T</v>
          </cell>
          <cell r="AD91" t="str">
            <v>*</v>
          </cell>
          <cell r="AE91" t="str">
            <v>2J653</v>
          </cell>
          <cell r="AF91" t="str">
            <v>021223</v>
          </cell>
          <cell r="AI91" t="str">
            <v>*</v>
          </cell>
          <cell r="AJ91" t="str">
            <v>T</v>
          </cell>
          <cell r="AT91" t="str">
            <v>2</v>
          </cell>
          <cell r="AU91" t="str">
            <v>0</v>
          </cell>
          <cell r="AV91" t="str">
            <v>7</v>
          </cell>
          <cell r="BE91" t="str">
            <v>ﾙ</v>
          </cell>
          <cell r="BF91" t="str">
            <v>0043</v>
          </cell>
          <cell r="BG91" t="str">
            <v>Z6400</v>
          </cell>
          <cell r="BH91" t="str">
            <v>5Q</v>
          </cell>
          <cell r="BI91" t="str">
            <v>020</v>
          </cell>
        </row>
        <row r="92">
          <cell r="T92" t="str">
            <v>5Q</v>
          </cell>
          <cell r="U92" t="str">
            <v>040</v>
          </cell>
          <cell r="V92" t="str">
            <v xml:space="preserve"> 7B 1D</v>
          </cell>
          <cell r="W92" t="str">
            <v>U7110</v>
          </cell>
          <cell r="X92" t="str">
            <v xml:space="preserve"> 7B 1D</v>
          </cell>
          <cell r="Y92" t="str">
            <v>U0470Y</v>
          </cell>
          <cell r="Z92" t="str">
            <v>AAJ</v>
          </cell>
          <cell r="AB92" t="str">
            <v>T</v>
          </cell>
          <cell r="AD92" t="str">
            <v>*</v>
          </cell>
          <cell r="AE92" t="str">
            <v>Z6400</v>
          </cell>
          <cell r="AF92" t="str">
            <v>011022</v>
          </cell>
          <cell r="AI92" t="str">
            <v>*</v>
          </cell>
          <cell r="AJ92" t="str">
            <v>T</v>
          </cell>
          <cell r="AT92" t="str">
            <v>H</v>
          </cell>
          <cell r="AU92" t="str">
            <v>5</v>
          </cell>
          <cell r="AV92" t="str">
            <v>8</v>
          </cell>
          <cell r="BE92" t="str">
            <v>ﾙ</v>
          </cell>
          <cell r="BF92" t="str">
            <v>0043</v>
          </cell>
          <cell r="BG92" t="str">
            <v>2J619</v>
          </cell>
        </row>
        <row r="93">
          <cell r="T93" t="str">
            <v>5Q</v>
          </cell>
          <cell r="U93" t="str">
            <v>040</v>
          </cell>
          <cell r="V93" t="str">
            <v xml:space="preserve"> 7B 1D</v>
          </cell>
          <cell r="W93" t="str">
            <v>U7130</v>
          </cell>
          <cell r="Y93" t="str">
            <v>U7130E</v>
          </cell>
          <cell r="Z93" t="str">
            <v>AAB</v>
          </cell>
          <cell r="AB93" t="str">
            <v>T</v>
          </cell>
          <cell r="AD93" t="str">
            <v>*</v>
          </cell>
          <cell r="AE93" t="str">
            <v>2J653</v>
          </cell>
          <cell r="AF93" t="str">
            <v>021223</v>
          </cell>
          <cell r="AI93" t="str">
            <v>*</v>
          </cell>
          <cell r="AJ93" t="str">
            <v>T</v>
          </cell>
          <cell r="AT93" t="str">
            <v>2</v>
          </cell>
          <cell r="AU93" t="str">
            <v>0</v>
          </cell>
          <cell r="AV93" t="str">
            <v>7</v>
          </cell>
          <cell r="BE93" t="str">
            <v>ﾙ</v>
          </cell>
          <cell r="BF93" t="str">
            <v>0015</v>
          </cell>
          <cell r="BG93" t="str">
            <v>2J619</v>
          </cell>
          <cell r="BH93" t="str">
            <v>5Q</v>
          </cell>
          <cell r="BI93" t="str">
            <v>020</v>
          </cell>
        </row>
        <row r="94">
          <cell r="T94" t="str">
            <v>5Q</v>
          </cell>
          <cell r="U94" t="str">
            <v>040</v>
          </cell>
          <cell r="V94" t="str">
            <v xml:space="preserve"> 7B 1D</v>
          </cell>
          <cell r="W94" t="str">
            <v>U7130</v>
          </cell>
          <cell r="X94" t="str">
            <v xml:space="preserve"> 7B 1D</v>
          </cell>
          <cell r="Y94" t="str">
            <v>U0520Y</v>
          </cell>
          <cell r="Z94" t="str">
            <v>AAB</v>
          </cell>
          <cell r="AB94" t="str">
            <v>T</v>
          </cell>
          <cell r="AD94" t="str">
            <v>*</v>
          </cell>
          <cell r="AE94" t="str">
            <v>2J619</v>
          </cell>
          <cell r="AF94" t="str">
            <v>000809</v>
          </cell>
          <cell r="AI94" t="str">
            <v>*</v>
          </cell>
          <cell r="AJ94" t="str">
            <v>T</v>
          </cell>
          <cell r="AT94" t="str">
            <v>B</v>
          </cell>
          <cell r="AU94" t="str">
            <v>5</v>
          </cell>
          <cell r="AV94" t="str">
            <v>3</v>
          </cell>
          <cell r="BE94" t="str">
            <v>ﾙ</v>
          </cell>
          <cell r="BF94" t="str">
            <v>0015</v>
          </cell>
          <cell r="BG94" t="str">
            <v>2J619</v>
          </cell>
        </row>
        <row r="95">
          <cell r="T95" t="str">
            <v>5Q</v>
          </cell>
          <cell r="U95" t="str">
            <v>040</v>
          </cell>
          <cell r="V95" t="str">
            <v xml:space="preserve"> 7B 1D</v>
          </cell>
          <cell r="W95" t="str">
            <v>U7270</v>
          </cell>
          <cell r="Y95" t="str">
            <v>U7270E</v>
          </cell>
          <cell r="Z95" t="str">
            <v>AAC</v>
          </cell>
          <cell r="AB95" t="str">
            <v>T</v>
          </cell>
          <cell r="AD95" t="str">
            <v>*</v>
          </cell>
          <cell r="AE95" t="str">
            <v>2J653</v>
          </cell>
          <cell r="AF95" t="str">
            <v>021223</v>
          </cell>
          <cell r="AI95" t="str">
            <v>*</v>
          </cell>
          <cell r="AJ95" t="str">
            <v>T</v>
          </cell>
          <cell r="AT95" t="str">
            <v>B</v>
          </cell>
          <cell r="AU95" t="str">
            <v>5</v>
          </cell>
          <cell r="AV95" t="str">
            <v>3</v>
          </cell>
          <cell r="BE95" t="str">
            <v>ﾙ</v>
          </cell>
          <cell r="BF95" t="str">
            <v>0046</v>
          </cell>
          <cell r="BG95" t="str">
            <v>V PLA</v>
          </cell>
        </row>
        <row r="96">
          <cell r="T96" t="str">
            <v>5Q</v>
          </cell>
          <cell r="U96" t="str">
            <v>040</v>
          </cell>
          <cell r="V96" t="str">
            <v xml:space="preserve"> 7B 1D</v>
          </cell>
          <cell r="W96" t="str">
            <v>U7320</v>
          </cell>
          <cell r="Y96" t="str">
            <v>U7320E</v>
          </cell>
          <cell r="Z96" t="str">
            <v>AAA</v>
          </cell>
          <cell r="AB96" t="str">
            <v>T</v>
          </cell>
          <cell r="AD96" t="str">
            <v>*</v>
          </cell>
          <cell r="AE96" t="str">
            <v>2J653</v>
          </cell>
          <cell r="AF96" t="str">
            <v>021223</v>
          </cell>
          <cell r="AI96" t="str">
            <v>*</v>
          </cell>
          <cell r="AJ96" t="str">
            <v>T</v>
          </cell>
          <cell r="AT96" t="str">
            <v>2</v>
          </cell>
          <cell r="AU96" t="str">
            <v>0</v>
          </cell>
          <cell r="AV96" t="str">
            <v>7</v>
          </cell>
          <cell r="BE96" t="str">
            <v>ﾙ</v>
          </cell>
          <cell r="BF96" t="str">
            <v>0020</v>
          </cell>
          <cell r="BG96" t="str">
            <v>2J619</v>
          </cell>
          <cell r="BH96" t="str">
            <v>5Q</v>
          </cell>
          <cell r="BI96" t="str">
            <v>020</v>
          </cell>
        </row>
        <row r="97">
          <cell r="T97" t="str">
            <v>5Q</v>
          </cell>
          <cell r="U97" t="str">
            <v>040</v>
          </cell>
          <cell r="V97" t="str">
            <v xml:space="preserve"> 7B 1D</v>
          </cell>
          <cell r="W97" t="str">
            <v>U7320</v>
          </cell>
          <cell r="Y97" t="str">
            <v>U7320E</v>
          </cell>
          <cell r="Z97" t="str">
            <v>AAB</v>
          </cell>
          <cell r="AB97" t="str">
            <v>T</v>
          </cell>
          <cell r="AD97" t="str">
            <v>*</v>
          </cell>
          <cell r="AE97" t="str">
            <v>2J653</v>
          </cell>
          <cell r="AF97" t="str">
            <v>021223</v>
          </cell>
          <cell r="AI97" t="str">
            <v>*</v>
          </cell>
          <cell r="AJ97" t="str">
            <v>T</v>
          </cell>
          <cell r="AT97" t="str">
            <v>2</v>
          </cell>
          <cell r="AU97" t="str">
            <v>0</v>
          </cell>
          <cell r="AV97" t="str">
            <v>7</v>
          </cell>
          <cell r="BE97" t="str">
            <v>ﾙ</v>
          </cell>
          <cell r="BF97" t="str">
            <v>0023</v>
          </cell>
          <cell r="BG97" t="str">
            <v>2J619</v>
          </cell>
          <cell r="BH97" t="str">
            <v>5Q</v>
          </cell>
          <cell r="BI97" t="str">
            <v>020</v>
          </cell>
        </row>
        <row r="98">
          <cell r="T98" t="str">
            <v>5Q</v>
          </cell>
          <cell r="U98" t="str">
            <v>040</v>
          </cell>
          <cell r="V98" t="str">
            <v xml:space="preserve"> 7B 1D</v>
          </cell>
          <cell r="W98" t="str">
            <v>U7320</v>
          </cell>
          <cell r="X98" t="str">
            <v xml:space="preserve"> 7B 1D</v>
          </cell>
          <cell r="Y98" t="str">
            <v>U1581Y</v>
          </cell>
          <cell r="Z98" t="str">
            <v>AAA</v>
          </cell>
          <cell r="AB98" t="str">
            <v>T</v>
          </cell>
          <cell r="AD98" t="str">
            <v>*</v>
          </cell>
          <cell r="AE98" t="str">
            <v>2J619</v>
          </cell>
          <cell r="AF98" t="str">
            <v>000809</v>
          </cell>
          <cell r="AI98" t="str">
            <v>*</v>
          </cell>
          <cell r="AJ98" t="str">
            <v>T</v>
          </cell>
          <cell r="AT98" t="str">
            <v>H</v>
          </cell>
          <cell r="AU98" t="str">
            <v>5</v>
          </cell>
          <cell r="AV98" t="str">
            <v>3</v>
          </cell>
          <cell r="BE98" t="str">
            <v>1</v>
          </cell>
          <cell r="BF98" t="str">
            <v>0020</v>
          </cell>
          <cell r="BG98" t="str">
            <v>KOUBA</v>
          </cell>
        </row>
        <row r="99">
          <cell r="T99" t="str">
            <v>5Q</v>
          </cell>
          <cell r="U99" t="str">
            <v>040</v>
          </cell>
          <cell r="V99" t="str">
            <v xml:space="preserve"> 7B 1D</v>
          </cell>
          <cell r="W99" t="str">
            <v>U7320</v>
          </cell>
          <cell r="X99" t="str">
            <v xml:space="preserve"> 7B 1D</v>
          </cell>
          <cell r="Y99" t="str">
            <v>U1583Y</v>
          </cell>
          <cell r="Z99" t="str">
            <v>AAG</v>
          </cell>
          <cell r="AB99" t="str">
            <v>T</v>
          </cell>
          <cell r="AD99" t="str">
            <v>*</v>
          </cell>
          <cell r="AE99" t="str">
            <v>Z6336</v>
          </cell>
          <cell r="AF99" t="str">
            <v>001211</v>
          </cell>
          <cell r="AI99" t="str">
            <v>*</v>
          </cell>
          <cell r="AJ99" t="str">
            <v>T</v>
          </cell>
          <cell r="AT99" t="str">
            <v>H</v>
          </cell>
          <cell r="AU99" t="str">
            <v>5</v>
          </cell>
          <cell r="AV99" t="str">
            <v>8</v>
          </cell>
          <cell r="BE99" t="str">
            <v>1</v>
          </cell>
          <cell r="BF99" t="str">
            <v>0021</v>
          </cell>
          <cell r="BG99" t="str">
            <v>V PLA</v>
          </cell>
        </row>
        <row r="100">
          <cell r="T100" t="str">
            <v>5Q</v>
          </cell>
          <cell r="U100" t="str">
            <v>040</v>
          </cell>
          <cell r="V100" t="str">
            <v xml:space="preserve"> 7B 1D</v>
          </cell>
          <cell r="W100" t="str">
            <v>U7320</v>
          </cell>
          <cell r="X100" t="str">
            <v xml:space="preserve"> 7B 1D</v>
          </cell>
          <cell r="Y100" t="str">
            <v>U1581Y</v>
          </cell>
          <cell r="Z100" t="str">
            <v>AAC</v>
          </cell>
          <cell r="AB100" t="str">
            <v>T</v>
          </cell>
          <cell r="AD100" t="str">
            <v>*</v>
          </cell>
          <cell r="AE100" t="str">
            <v>2J619</v>
          </cell>
          <cell r="AF100" t="str">
            <v>000809</v>
          </cell>
          <cell r="AI100" t="str">
            <v>*</v>
          </cell>
          <cell r="AJ100" t="str">
            <v>T</v>
          </cell>
          <cell r="AT100" t="str">
            <v>H</v>
          </cell>
          <cell r="AU100" t="str">
            <v>5</v>
          </cell>
          <cell r="AV100" t="str">
            <v>3</v>
          </cell>
          <cell r="BE100" t="str">
            <v>1</v>
          </cell>
          <cell r="BF100" t="str">
            <v>0021</v>
          </cell>
          <cell r="BG100" t="str">
            <v>KOUBA</v>
          </cell>
        </row>
        <row r="101">
          <cell r="T101" t="str">
            <v>5Q</v>
          </cell>
          <cell r="U101" t="str">
            <v>040</v>
          </cell>
          <cell r="V101" t="str">
            <v xml:space="preserve"> 7B 1D</v>
          </cell>
          <cell r="W101" t="str">
            <v>U7320</v>
          </cell>
          <cell r="X101" t="str">
            <v xml:space="preserve"> 7B 1D</v>
          </cell>
          <cell r="Y101" t="str">
            <v>U1583Y</v>
          </cell>
          <cell r="Z101" t="str">
            <v>AAE</v>
          </cell>
          <cell r="AB101" t="str">
            <v>T</v>
          </cell>
          <cell r="AD101" t="str">
            <v>*</v>
          </cell>
          <cell r="AE101" t="str">
            <v>Z6336</v>
          </cell>
          <cell r="AF101" t="str">
            <v>001211</v>
          </cell>
          <cell r="AI101" t="str">
            <v>*</v>
          </cell>
          <cell r="AJ101" t="str">
            <v>T</v>
          </cell>
          <cell r="AT101" t="str">
            <v>H</v>
          </cell>
          <cell r="AU101" t="str">
            <v>5</v>
          </cell>
          <cell r="AV101" t="str">
            <v>8</v>
          </cell>
          <cell r="BE101" t="str">
            <v>1</v>
          </cell>
          <cell r="BF101" t="str">
            <v>0020</v>
          </cell>
          <cell r="BG101" t="str">
            <v>V PLA</v>
          </cell>
        </row>
        <row r="102">
          <cell r="T102" t="str">
            <v>5Q</v>
          </cell>
          <cell r="U102" t="str">
            <v>040</v>
          </cell>
          <cell r="V102" t="str">
            <v xml:space="preserve"> 7B 1D</v>
          </cell>
          <cell r="W102" t="str">
            <v>U7320</v>
          </cell>
          <cell r="X102" t="str">
            <v xml:space="preserve"> 7B 1D</v>
          </cell>
          <cell r="Y102" t="str">
            <v>U1583Y</v>
          </cell>
          <cell r="Z102" t="str">
            <v>AAF</v>
          </cell>
          <cell r="AB102" t="str">
            <v>T</v>
          </cell>
          <cell r="AD102" t="str">
            <v>*</v>
          </cell>
          <cell r="AE102" t="str">
            <v>Z6336</v>
          </cell>
          <cell r="AF102" t="str">
            <v>001211</v>
          </cell>
          <cell r="AI102" t="str">
            <v>*</v>
          </cell>
          <cell r="AJ102" t="str">
            <v>T</v>
          </cell>
          <cell r="AT102" t="str">
            <v>H</v>
          </cell>
          <cell r="AU102" t="str">
            <v>5</v>
          </cell>
          <cell r="AV102" t="str">
            <v>8</v>
          </cell>
          <cell r="BE102" t="str">
            <v>1</v>
          </cell>
          <cell r="BF102" t="str">
            <v>0023</v>
          </cell>
          <cell r="BG102" t="str">
            <v>V PLA</v>
          </cell>
        </row>
        <row r="103">
          <cell r="T103" t="str">
            <v>5Q</v>
          </cell>
          <cell r="U103" t="str">
            <v>040</v>
          </cell>
          <cell r="V103" t="str">
            <v xml:space="preserve"> 7B 1D</v>
          </cell>
          <cell r="W103" t="str">
            <v>U7480</v>
          </cell>
          <cell r="Y103" t="str">
            <v>U7480E</v>
          </cell>
          <cell r="Z103" t="str">
            <v>AAA</v>
          </cell>
          <cell r="AB103" t="str">
            <v>T</v>
          </cell>
          <cell r="AD103" t="str">
            <v>*</v>
          </cell>
          <cell r="AE103" t="str">
            <v>2J653</v>
          </cell>
          <cell r="AF103" t="str">
            <v>021223</v>
          </cell>
          <cell r="AI103" t="str">
            <v>*</v>
          </cell>
          <cell r="AJ103" t="str">
            <v>T</v>
          </cell>
          <cell r="AT103" t="str">
            <v>A</v>
          </cell>
          <cell r="AU103" t="str">
            <v>0</v>
          </cell>
          <cell r="AV103" t="str">
            <v>3</v>
          </cell>
          <cell r="BE103" t="str">
            <v>ﾙ</v>
          </cell>
          <cell r="BF103" t="str">
            <v>0005</v>
          </cell>
        </row>
        <row r="104">
          <cell r="T104" t="str">
            <v>5Q</v>
          </cell>
          <cell r="U104" t="str">
            <v>040</v>
          </cell>
          <cell r="V104" t="str">
            <v xml:space="preserve"> 7B 1D</v>
          </cell>
          <cell r="W104" t="str">
            <v>U7510</v>
          </cell>
          <cell r="Y104" t="str">
            <v>U7510E</v>
          </cell>
          <cell r="Z104" t="str">
            <v>AAA</v>
          </cell>
          <cell r="AB104" t="str">
            <v>T</v>
          </cell>
          <cell r="AD104" t="str">
            <v>*</v>
          </cell>
          <cell r="AE104" t="str">
            <v>2J653</v>
          </cell>
          <cell r="AF104" t="str">
            <v>021223</v>
          </cell>
          <cell r="AI104" t="str">
            <v>*</v>
          </cell>
          <cell r="AJ104" t="str">
            <v>T</v>
          </cell>
          <cell r="AT104" t="str">
            <v>A</v>
          </cell>
          <cell r="AU104" t="str">
            <v>0</v>
          </cell>
          <cell r="AV104" t="str">
            <v>3</v>
          </cell>
          <cell r="BE104" t="str">
            <v>ﾙ</v>
          </cell>
          <cell r="BF104" t="str">
            <v>0005</v>
          </cell>
          <cell r="BG104" t="str">
            <v>2J619</v>
          </cell>
          <cell r="BH104" t="str">
            <v>5Q</v>
          </cell>
          <cell r="BI104" t="str">
            <v>020</v>
          </cell>
        </row>
        <row r="105">
          <cell r="T105" t="str">
            <v>5Q</v>
          </cell>
          <cell r="U105" t="str">
            <v>040</v>
          </cell>
          <cell r="V105" t="str">
            <v xml:space="preserve"> 7B 1D</v>
          </cell>
          <cell r="W105" t="str">
            <v>U7510</v>
          </cell>
          <cell r="Y105" t="str">
            <v>U7510E</v>
          </cell>
          <cell r="Z105" t="str">
            <v>AAB</v>
          </cell>
          <cell r="AB105" t="str">
            <v>T</v>
          </cell>
          <cell r="AD105" t="str">
            <v>*</v>
          </cell>
          <cell r="AE105" t="str">
            <v>2J653</v>
          </cell>
          <cell r="AF105" t="str">
            <v>021223</v>
          </cell>
          <cell r="AI105" t="str">
            <v>*</v>
          </cell>
          <cell r="AJ105" t="str">
            <v>T</v>
          </cell>
          <cell r="AT105" t="str">
            <v>A</v>
          </cell>
          <cell r="AU105" t="str">
            <v>0</v>
          </cell>
          <cell r="AV105" t="str">
            <v>3</v>
          </cell>
          <cell r="BE105" t="str">
            <v>ﾙ</v>
          </cell>
          <cell r="BF105" t="str">
            <v>0005</v>
          </cell>
          <cell r="BG105" t="str">
            <v>2J619</v>
          </cell>
          <cell r="BH105" t="str">
            <v>5Q</v>
          </cell>
          <cell r="BI105" t="str">
            <v>020</v>
          </cell>
        </row>
        <row r="106">
          <cell r="T106" t="str">
            <v>5Q</v>
          </cell>
          <cell r="U106" t="str">
            <v>040</v>
          </cell>
          <cell r="V106" t="str">
            <v xml:space="preserve"> 7B 1D</v>
          </cell>
          <cell r="W106" t="str">
            <v>U7510</v>
          </cell>
          <cell r="Y106" t="str">
            <v>U7510E</v>
          </cell>
          <cell r="Z106" t="str">
            <v>AAC</v>
          </cell>
          <cell r="AB106" t="str">
            <v>T</v>
          </cell>
          <cell r="AD106" t="str">
            <v>*</v>
          </cell>
          <cell r="AE106" t="str">
            <v>2J653</v>
          </cell>
          <cell r="AF106" t="str">
            <v>021223</v>
          </cell>
          <cell r="AI106" t="str">
            <v>*</v>
          </cell>
          <cell r="AJ106" t="str">
            <v>T</v>
          </cell>
          <cell r="AT106" t="str">
            <v>A</v>
          </cell>
          <cell r="AU106" t="str">
            <v>0</v>
          </cell>
          <cell r="AV106" t="str">
            <v>3</v>
          </cell>
          <cell r="BE106" t="str">
            <v>ﾙ</v>
          </cell>
          <cell r="BF106" t="str">
            <v>0005</v>
          </cell>
          <cell r="BG106" t="str">
            <v>2J619</v>
          </cell>
          <cell r="BH106" t="str">
            <v>5Q</v>
          </cell>
          <cell r="BI106" t="str">
            <v>020</v>
          </cell>
        </row>
        <row r="107">
          <cell r="T107" t="str">
            <v>5Q</v>
          </cell>
          <cell r="U107" t="str">
            <v>040</v>
          </cell>
          <cell r="V107" t="str">
            <v xml:space="preserve"> 7B 1D</v>
          </cell>
          <cell r="W107" t="str">
            <v>U7510</v>
          </cell>
          <cell r="Y107" t="str">
            <v>U7510E</v>
          </cell>
          <cell r="Z107" t="str">
            <v>AAD</v>
          </cell>
          <cell r="AB107" t="str">
            <v>T</v>
          </cell>
          <cell r="AD107" t="str">
            <v>*</v>
          </cell>
          <cell r="AE107" t="str">
            <v>2J653</v>
          </cell>
          <cell r="AF107" t="str">
            <v>021223</v>
          </cell>
          <cell r="AI107" t="str">
            <v>*</v>
          </cell>
          <cell r="AJ107" t="str">
            <v>T</v>
          </cell>
          <cell r="AT107" t="str">
            <v>A</v>
          </cell>
          <cell r="AU107" t="str">
            <v>0</v>
          </cell>
          <cell r="AV107" t="str">
            <v>3</v>
          </cell>
          <cell r="BE107" t="str">
            <v>ﾙ</v>
          </cell>
          <cell r="BF107" t="str">
            <v>0005</v>
          </cell>
          <cell r="BG107" t="str">
            <v>2J619</v>
          </cell>
          <cell r="BH107" t="str">
            <v>5Q</v>
          </cell>
          <cell r="BI107" t="str">
            <v>020</v>
          </cell>
        </row>
        <row r="108">
          <cell r="T108" t="str">
            <v>5Q</v>
          </cell>
          <cell r="U108" t="str">
            <v>040</v>
          </cell>
          <cell r="V108" t="str">
            <v xml:space="preserve"> 7B 1D</v>
          </cell>
          <cell r="W108" t="str">
            <v>U7510</v>
          </cell>
          <cell r="Y108" t="str">
            <v>U7510E</v>
          </cell>
          <cell r="Z108" t="str">
            <v>AAE</v>
          </cell>
          <cell r="AB108" t="str">
            <v>T</v>
          </cell>
          <cell r="AD108" t="str">
            <v>*</v>
          </cell>
          <cell r="AE108" t="str">
            <v>2J653</v>
          </cell>
          <cell r="AF108" t="str">
            <v>021223</v>
          </cell>
          <cell r="AI108" t="str">
            <v>*</v>
          </cell>
          <cell r="AJ108" t="str">
            <v>T</v>
          </cell>
          <cell r="AT108" t="str">
            <v>A</v>
          </cell>
          <cell r="AU108" t="str">
            <v>0</v>
          </cell>
          <cell r="AV108" t="str">
            <v>3</v>
          </cell>
          <cell r="BE108" t="str">
            <v>ﾙ</v>
          </cell>
          <cell r="BF108" t="str">
            <v>0005</v>
          </cell>
          <cell r="BG108" t="str">
            <v>2J619</v>
          </cell>
          <cell r="BH108" t="str">
            <v>5Q</v>
          </cell>
          <cell r="BI108" t="str">
            <v>020</v>
          </cell>
        </row>
        <row r="109">
          <cell r="T109" t="str">
            <v>5Q</v>
          </cell>
          <cell r="U109" t="str">
            <v>040</v>
          </cell>
          <cell r="V109" t="str">
            <v xml:space="preserve"> 7B 1D</v>
          </cell>
          <cell r="W109" t="str">
            <v>U7510</v>
          </cell>
          <cell r="Y109" t="str">
            <v>U7510E</v>
          </cell>
          <cell r="Z109" t="str">
            <v>AAF</v>
          </cell>
          <cell r="AB109" t="str">
            <v>T</v>
          </cell>
          <cell r="AD109" t="str">
            <v>*</v>
          </cell>
          <cell r="AE109" t="str">
            <v>2J653</v>
          </cell>
          <cell r="AF109" t="str">
            <v>021223</v>
          </cell>
          <cell r="AI109" t="str">
            <v>*</v>
          </cell>
          <cell r="AJ109" t="str">
            <v>T</v>
          </cell>
          <cell r="AT109" t="str">
            <v>A</v>
          </cell>
          <cell r="AU109" t="str">
            <v>0</v>
          </cell>
          <cell r="AV109" t="str">
            <v>3</v>
          </cell>
          <cell r="BE109" t="str">
            <v>ﾙ</v>
          </cell>
          <cell r="BF109" t="str">
            <v>0005</v>
          </cell>
          <cell r="BG109" t="str">
            <v>2J619</v>
          </cell>
          <cell r="BH109" t="str">
            <v>5Q</v>
          </cell>
          <cell r="BI109" t="str">
            <v>020</v>
          </cell>
        </row>
        <row r="110">
          <cell r="T110" t="str">
            <v>5Q</v>
          </cell>
          <cell r="U110" t="str">
            <v>040</v>
          </cell>
          <cell r="V110" t="str">
            <v xml:space="preserve"> 7B 1D</v>
          </cell>
          <cell r="W110" t="str">
            <v>U7510</v>
          </cell>
          <cell r="Y110" t="str">
            <v>U7510E</v>
          </cell>
          <cell r="Z110" t="str">
            <v>AAG</v>
          </cell>
          <cell r="AB110" t="str">
            <v>T</v>
          </cell>
          <cell r="AD110" t="str">
            <v>*</v>
          </cell>
          <cell r="AE110" t="str">
            <v>2J653</v>
          </cell>
          <cell r="AF110" t="str">
            <v>021223</v>
          </cell>
          <cell r="AI110" t="str">
            <v>*</v>
          </cell>
          <cell r="AJ110" t="str">
            <v>T</v>
          </cell>
          <cell r="AT110" t="str">
            <v>A</v>
          </cell>
          <cell r="AU110" t="str">
            <v>0</v>
          </cell>
          <cell r="AV110" t="str">
            <v>3</v>
          </cell>
          <cell r="BE110" t="str">
            <v>ﾙ</v>
          </cell>
          <cell r="BF110" t="str">
            <v>0005</v>
          </cell>
          <cell r="BG110" t="str">
            <v>2J619</v>
          </cell>
          <cell r="BH110" t="str">
            <v>5Q</v>
          </cell>
          <cell r="BI110" t="str">
            <v>020</v>
          </cell>
        </row>
        <row r="111">
          <cell r="T111" t="str">
            <v>5Q</v>
          </cell>
          <cell r="U111" t="str">
            <v>040</v>
          </cell>
          <cell r="V111" t="str">
            <v xml:space="preserve"> 7B 1D</v>
          </cell>
          <cell r="W111" t="str">
            <v>U7510</v>
          </cell>
          <cell r="Y111" t="str">
            <v>U7510E</v>
          </cell>
          <cell r="Z111" t="str">
            <v>AAH</v>
          </cell>
          <cell r="AB111" t="str">
            <v>T</v>
          </cell>
          <cell r="AD111" t="str">
            <v>*</v>
          </cell>
          <cell r="AE111" t="str">
            <v>2J653</v>
          </cell>
          <cell r="AF111" t="str">
            <v>021223</v>
          </cell>
          <cell r="AI111" t="str">
            <v>*</v>
          </cell>
          <cell r="AJ111" t="str">
            <v>T</v>
          </cell>
          <cell r="AT111" t="str">
            <v>A</v>
          </cell>
          <cell r="AU111" t="str">
            <v>0</v>
          </cell>
          <cell r="AV111" t="str">
            <v>3</v>
          </cell>
          <cell r="BE111" t="str">
            <v>ﾙ</v>
          </cell>
          <cell r="BF111" t="str">
            <v>0005</v>
          </cell>
          <cell r="BG111" t="str">
            <v>2J619</v>
          </cell>
          <cell r="BH111" t="str">
            <v>5Q</v>
          </cell>
          <cell r="BI111" t="str">
            <v>020</v>
          </cell>
        </row>
        <row r="112">
          <cell r="T112" t="str">
            <v>5Q</v>
          </cell>
          <cell r="U112" t="str">
            <v>040</v>
          </cell>
          <cell r="V112" t="str">
            <v xml:space="preserve"> 7B 1D</v>
          </cell>
          <cell r="W112" t="str">
            <v>U7510</v>
          </cell>
          <cell r="Y112" t="str">
            <v>U7510E</v>
          </cell>
          <cell r="Z112" t="str">
            <v>AAJ</v>
          </cell>
          <cell r="AB112" t="str">
            <v>T</v>
          </cell>
          <cell r="AD112" t="str">
            <v>*</v>
          </cell>
          <cell r="AE112" t="str">
            <v>2J653</v>
          </cell>
          <cell r="AF112" t="str">
            <v>021223</v>
          </cell>
          <cell r="AI112" t="str">
            <v>*</v>
          </cell>
          <cell r="AJ112" t="str">
            <v>T</v>
          </cell>
          <cell r="AT112" t="str">
            <v>A</v>
          </cell>
          <cell r="AU112" t="str">
            <v>0</v>
          </cell>
          <cell r="AV112" t="str">
            <v>3</v>
          </cell>
          <cell r="BE112" t="str">
            <v>ﾙ</v>
          </cell>
          <cell r="BF112" t="str">
            <v>0005</v>
          </cell>
          <cell r="BG112" t="str">
            <v>2J619</v>
          </cell>
          <cell r="BH112" t="str">
            <v>5Q</v>
          </cell>
          <cell r="BI112" t="str">
            <v>020</v>
          </cell>
        </row>
        <row r="113">
          <cell r="T113" t="str">
            <v>5Q</v>
          </cell>
          <cell r="U113" t="str">
            <v>040</v>
          </cell>
          <cell r="V113" t="str">
            <v xml:space="preserve"> 7B 1D</v>
          </cell>
          <cell r="W113" t="str">
            <v>U7510</v>
          </cell>
          <cell r="Y113" t="str">
            <v>U7510E</v>
          </cell>
          <cell r="Z113" t="str">
            <v>AAK</v>
          </cell>
          <cell r="AB113" t="str">
            <v>T</v>
          </cell>
          <cell r="AD113" t="str">
            <v>*</v>
          </cell>
          <cell r="AE113" t="str">
            <v>2J653</v>
          </cell>
          <cell r="AF113" t="str">
            <v>021223</v>
          </cell>
          <cell r="AI113" t="str">
            <v>*</v>
          </cell>
          <cell r="AJ113" t="str">
            <v>T</v>
          </cell>
          <cell r="AT113" t="str">
            <v>A</v>
          </cell>
          <cell r="AU113" t="str">
            <v>0</v>
          </cell>
          <cell r="AV113" t="str">
            <v>3</v>
          </cell>
          <cell r="BE113" t="str">
            <v>ﾙ</v>
          </cell>
          <cell r="BF113" t="str">
            <v>0005</v>
          </cell>
          <cell r="BG113" t="str">
            <v>2J619</v>
          </cell>
          <cell r="BH113" t="str">
            <v>5Q</v>
          </cell>
          <cell r="BI113" t="str">
            <v>020</v>
          </cell>
        </row>
        <row r="114">
          <cell r="T114" t="str">
            <v>5Q</v>
          </cell>
          <cell r="U114" t="str">
            <v>040</v>
          </cell>
          <cell r="V114" t="str">
            <v xml:space="preserve"> 7B 1D</v>
          </cell>
          <cell r="W114" t="str">
            <v>U7350</v>
          </cell>
          <cell r="Y114" t="str">
            <v>U7350E</v>
          </cell>
          <cell r="Z114" t="str">
            <v>AAB</v>
          </cell>
          <cell r="AB114" t="str">
            <v>T</v>
          </cell>
          <cell r="AD114" t="str">
            <v>*</v>
          </cell>
          <cell r="AE114" t="str">
            <v>2J653</v>
          </cell>
          <cell r="AF114" t="str">
            <v>021223</v>
          </cell>
          <cell r="AI114" t="str">
            <v>*</v>
          </cell>
          <cell r="AJ114" t="str">
            <v>T</v>
          </cell>
          <cell r="AT114" t="str">
            <v>A</v>
          </cell>
          <cell r="AU114" t="str">
            <v>0</v>
          </cell>
          <cell r="AV114" t="str">
            <v>3</v>
          </cell>
          <cell r="BE114" t="str">
            <v>1</v>
          </cell>
          <cell r="BF114" t="str">
            <v>0005</v>
          </cell>
          <cell r="BG114" t="str">
            <v>JAC35</v>
          </cell>
          <cell r="BH114" t="str">
            <v>5Q</v>
          </cell>
          <cell r="BI114" t="str">
            <v>020</v>
          </cell>
        </row>
        <row r="115">
          <cell r="T115" t="str">
            <v>5Q</v>
          </cell>
          <cell r="U115" t="str">
            <v>040</v>
          </cell>
          <cell r="V115" t="str">
            <v xml:space="preserve"> 7B 1D</v>
          </cell>
          <cell r="W115" t="str">
            <v>U7000</v>
          </cell>
          <cell r="Y115" t="str">
            <v>U7000E</v>
          </cell>
          <cell r="Z115" t="str">
            <v>AAF</v>
          </cell>
          <cell r="AB115" t="str">
            <v>T</v>
          </cell>
          <cell r="AD115" t="str">
            <v>*</v>
          </cell>
          <cell r="AE115" t="str">
            <v>2J653</v>
          </cell>
          <cell r="AF115" t="str">
            <v>021223</v>
          </cell>
          <cell r="AI115" t="str">
            <v>*</v>
          </cell>
          <cell r="AJ115" t="str">
            <v>T</v>
          </cell>
          <cell r="AT115" t="str">
            <v>2</v>
          </cell>
          <cell r="AU115" t="str">
            <v>0</v>
          </cell>
          <cell r="AV115" t="str">
            <v>7</v>
          </cell>
          <cell r="BE115" t="str">
            <v>ﾙ</v>
          </cell>
          <cell r="BF115" t="str">
            <v>0040</v>
          </cell>
          <cell r="BG115" t="str">
            <v>Z6330</v>
          </cell>
          <cell r="BH115" t="str">
            <v>5Q</v>
          </cell>
          <cell r="BI115" t="str">
            <v>020</v>
          </cell>
        </row>
        <row r="116">
          <cell r="T116" t="str">
            <v>5Q</v>
          </cell>
          <cell r="U116" t="str">
            <v>040</v>
          </cell>
          <cell r="V116" t="str">
            <v xml:space="preserve"> 7B 1D</v>
          </cell>
          <cell r="W116" t="str">
            <v>U7000</v>
          </cell>
          <cell r="X116" t="str">
            <v xml:space="preserve"> 7B 1D</v>
          </cell>
          <cell r="Y116" t="str">
            <v>U0140Y</v>
          </cell>
          <cell r="Z116" t="str">
            <v>AAF</v>
          </cell>
          <cell r="AB116" t="str">
            <v>T</v>
          </cell>
          <cell r="AD116" t="str">
            <v>*</v>
          </cell>
          <cell r="AE116" t="str">
            <v>Z6330</v>
          </cell>
          <cell r="AF116" t="str">
            <v>001218</v>
          </cell>
          <cell r="AI116" t="str">
            <v>*</v>
          </cell>
          <cell r="AJ116" t="str">
            <v>T</v>
          </cell>
          <cell r="AT116" t="str">
            <v>B</v>
          </cell>
          <cell r="AU116" t="str">
            <v>5</v>
          </cell>
          <cell r="AV116" t="str">
            <v>3</v>
          </cell>
          <cell r="BE116" t="str">
            <v>ﾙ</v>
          </cell>
          <cell r="BF116" t="str">
            <v>0040</v>
          </cell>
          <cell r="BG116" t="str">
            <v>Z6330</v>
          </cell>
        </row>
        <row r="117">
          <cell r="T117" t="str">
            <v>5Q</v>
          </cell>
          <cell r="U117" t="str">
            <v>040</v>
          </cell>
          <cell r="V117" t="str">
            <v xml:space="preserve"> 7B 1D</v>
          </cell>
          <cell r="W117" t="str">
            <v>U7070</v>
          </cell>
          <cell r="X117" t="str">
            <v xml:space="preserve"> 7B 1D</v>
          </cell>
          <cell r="Y117" t="str">
            <v>U6500Y</v>
          </cell>
          <cell r="Z117" t="str">
            <v>AAA</v>
          </cell>
          <cell r="AB117" t="str">
            <v>T</v>
          </cell>
          <cell r="AD117" t="str">
            <v>X</v>
          </cell>
          <cell r="AE117" t="str">
            <v>2J619</v>
          </cell>
          <cell r="AF117" t="str">
            <v>000809</v>
          </cell>
          <cell r="AI117" t="str">
            <v>*</v>
          </cell>
          <cell r="AJ117" t="str">
            <v>T</v>
          </cell>
          <cell r="AT117" t="str">
            <v>A</v>
          </cell>
          <cell r="AU117" t="str">
            <v>0</v>
          </cell>
          <cell r="AV117" t="str">
            <v>3</v>
          </cell>
          <cell r="BE117" t="str">
            <v>ﾙ</v>
          </cell>
          <cell r="BF117" t="str">
            <v>0005</v>
          </cell>
        </row>
        <row r="118">
          <cell r="T118" t="str">
            <v>5Q</v>
          </cell>
          <cell r="U118" t="str">
            <v>040</v>
          </cell>
          <cell r="V118" t="str">
            <v xml:space="preserve"> 7B 1D</v>
          </cell>
          <cell r="W118" t="str">
            <v>U7240</v>
          </cell>
          <cell r="Y118" t="str">
            <v>U7240E</v>
          </cell>
          <cell r="Z118" t="str">
            <v>AAA</v>
          </cell>
          <cell r="AB118" t="str">
            <v>T</v>
          </cell>
          <cell r="AD118" t="str">
            <v>*</v>
          </cell>
          <cell r="AE118" t="str">
            <v>2J653</v>
          </cell>
          <cell r="AF118" t="str">
            <v>021223</v>
          </cell>
          <cell r="AI118" t="str">
            <v>*</v>
          </cell>
          <cell r="AJ118" t="str">
            <v>T</v>
          </cell>
          <cell r="AT118" t="str">
            <v>A</v>
          </cell>
          <cell r="AU118" t="str">
            <v>0</v>
          </cell>
          <cell r="AV118" t="str">
            <v>3</v>
          </cell>
          <cell r="BE118" t="str">
            <v>ﾙ</v>
          </cell>
          <cell r="BF118" t="str">
            <v>0005</v>
          </cell>
          <cell r="BG118" t="str">
            <v>KOUBA</v>
          </cell>
        </row>
        <row r="119">
          <cell r="T119" t="str">
            <v>5Q</v>
          </cell>
          <cell r="U119" t="str">
            <v>040</v>
          </cell>
          <cell r="V119" t="str">
            <v xml:space="preserve"> 7B 1D</v>
          </cell>
          <cell r="W119" t="str">
            <v>U7020</v>
          </cell>
          <cell r="Y119" t="str">
            <v>U7020E</v>
          </cell>
          <cell r="Z119" t="str">
            <v>AAB</v>
          </cell>
          <cell r="AB119" t="str">
            <v>T</v>
          </cell>
          <cell r="AD119" t="str">
            <v>*</v>
          </cell>
          <cell r="AE119" t="str">
            <v>2J653</v>
          </cell>
          <cell r="AF119" t="str">
            <v>021223</v>
          </cell>
          <cell r="AI119" t="str">
            <v>*</v>
          </cell>
          <cell r="AJ119" t="str">
            <v>T</v>
          </cell>
          <cell r="AT119" t="str">
            <v>A</v>
          </cell>
          <cell r="AU119" t="str">
            <v>0</v>
          </cell>
          <cell r="AV119" t="str">
            <v>3</v>
          </cell>
          <cell r="BE119" t="str">
            <v>E</v>
          </cell>
          <cell r="BF119" t="str">
            <v>0005</v>
          </cell>
          <cell r="BG119" t="str">
            <v>Z6352</v>
          </cell>
          <cell r="BH119" t="str">
            <v>5Q</v>
          </cell>
          <cell r="BI119" t="str">
            <v>020</v>
          </cell>
        </row>
        <row r="120">
          <cell r="T120" t="str">
            <v>5Q</v>
          </cell>
          <cell r="U120" t="str">
            <v>040</v>
          </cell>
          <cell r="V120" t="str">
            <v xml:space="preserve"> 7B 1D</v>
          </cell>
          <cell r="W120" t="str">
            <v>U7050</v>
          </cell>
          <cell r="Y120" t="str">
            <v>U7050E</v>
          </cell>
          <cell r="Z120" t="str">
            <v>AAB</v>
          </cell>
          <cell r="AB120" t="str">
            <v>T</v>
          </cell>
          <cell r="AD120" t="str">
            <v>*</v>
          </cell>
          <cell r="AE120" t="str">
            <v>2J653</v>
          </cell>
          <cell r="AF120" t="str">
            <v>021223</v>
          </cell>
          <cell r="AI120" t="str">
            <v>*</v>
          </cell>
          <cell r="AJ120" t="str">
            <v>T</v>
          </cell>
          <cell r="AT120" t="str">
            <v>A</v>
          </cell>
          <cell r="AU120" t="str">
            <v>0</v>
          </cell>
          <cell r="AV120" t="str">
            <v>3</v>
          </cell>
          <cell r="BE120" t="str">
            <v>ﾙ</v>
          </cell>
          <cell r="BF120" t="str">
            <v>0005</v>
          </cell>
          <cell r="BG120" t="str">
            <v>Z6330</v>
          </cell>
          <cell r="BH120" t="str">
            <v>5Q</v>
          </cell>
          <cell r="BI120" t="str">
            <v>020</v>
          </cell>
        </row>
        <row r="121">
          <cell r="T121" t="str">
            <v>5Q</v>
          </cell>
          <cell r="U121" t="str">
            <v>040</v>
          </cell>
          <cell r="V121" t="str">
            <v xml:space="preserve"> 7B 1D</v>
          </cell>
          <cell r="W121" t="str">
            <v>U7250</v>
          </cell>
          <cell r="Y121" t="str">
            <v>U7250E</v>
          </cell>
          <cell r="Z121" t="str">
            <v>AAA</v>
          </cell>
          <cell r="AB121" t="str">
            <v>T</v>
          </cell>
          <cell r="AD121" t="str">
            <v>*</v>
          </cell>
          <cell r="AE121" t="str">
            <v>2J653</v>
          </cell>
          <cell r="AF121" t="str">
            <v>021223</v>
          </cell>
          <cell r="AI121" t="str">
            <v>*</v>
          </cell>
          <cell r="AJ121" t="str">
            <v>T</v>
          </cell>
          <cell r="AT121" t="str">
            <v>A</v>
          </cell>
          <cell r="AU121" t="str">
            <v>0</v>
          </cell>
          <cell r="AV121" t="str">
            <v>3</v>
          </cell>
          <cell r="BE121" t="str">
            <v>ﾙ</v>
          </cell>
          <cell r="BF121" t="str">
            <v>0005</v>
          </cell>
        </row>
        <row r="122">
          <cell r="T122" t="str">
            <v>5Q</v>
          </cell>
          <cell r="U122" t="str">
            <v>040</v>
          </cell>
          <cell r="V122" t="str">
            <v xml:space="preserve"> 7B 1D</v>
          </cell>
          <cell r="W122" t="str">
            <v>U7340</v>
          </cell>
          <cell r="Y122" t="str">
            <v>U7340E</v>
          </cell>
          <cell r="Z122" t="str">
            <v>AAA</v>
          </cell>
          <cell r="AB122" t="str">
            <v>T</v>
          </cell>
          <cell r="AD122" t="str">
            <v>*</v>
          </cell>
          <cell r="AE122" t="str">
            <v>2J653</v>
          </cell>
          <cell r="AF122" t="str">
            <v>021223</v>
          </cell>
          <cell r="AI122" t="str">
            <v>*</v>
          </cell>
          <cell r="AJ122" t="str">
            <v>T</v>
          </cell>
          <cell r="AT122" t="str">
            <v>A</v>
          </cell>
          <cell r="AU122" t="str">
            <v>0</v>
          </cell>
          <cell r="AV122" t="str">
            <v>3</v>
          </cell>
          <cell r="BF122" t="str">
            <v>0005</v>
          </cell>
        </row>
        <row r="123">
          <cell r="T123" t="str">
            <v>5Q</v>
          </cell>
          <cell r="U123" t="str">
            <v>040</v>
          </cell>
          <cell r="V123" t="str">
            <v xml:space="preserve"> 7B 1A</v>
          </cell>
          <cell r="W123" t="str">
            <v>U0620</v>
          </cell>
          <cell r="X123" t="str">
            <v xml:space="preserve"> 7B 1A</v>
          </cell>
          <cell r="Y123" t="str">
            <v>U0653Y</v>
          </cell>
          <cell r="Z123" t="str">
            <v>AAC</v>
          </cell>
          <cell r="AB123" t="str">
            <v>T</v>
          </cell>
          <cell r="AD123" t="str">
            <v>X</v>
          </cell>
          <cell r="AE123" t="str">
            <v>2J619</v>
          </cell>
          <cell r="AF123" t="str">
            <v>000809</v>
          </cell>
          <cell r="AI123" t="str">
            <v>*</v>
          </cell>
          <cell r="AJ123" t="str">
            <v>T</v>
          </cell>
          <cell r="AT123" t="str">
            <v>A</v>
          </cell>
          <cell r="AU123" t="str">
            <v>0</v>
          </cell>
          <cell r="AV123" t="str">
            <v>3</v>
          </cell>
          <cell r="BF123" t="str">
            <v>0057</v>
          </cell>
        </row>
        <row r="124">
          <cell r="T124" t="str">
            <v>5Q</v>
          </cell>
          <cell r="U124" t="str">
            <v>040</v>
          </cell>
          <cell r="V124" t="str">
            <v xml:space="preserve"> 7B 1D</v>
          </cell>
          <cell r="W124" t="str">
            <v>U7210</v>
          </cell>
          <cell r="Y124" t="str">
            <v>U7210E</v>
          </cell>
          <cell r="Z124" t="str">
            <v>AAA</v>
          </cell>
          <cell r="AB124" t="str">
            <v>T</v>
          </cell>
          <cell r="AD124" t="str">
            <v>*</v>
          </cell>
          <cell r="AE124" t="str">
            <v>2J653</v>
          </cell>
          <cell r="AF124" t="str">
            <v>021223</v>
          </cell>
          <cell r="AI124" t="str">
            <v>*</v>
          </cell>
          <cell r="AJ124" t="str">
            <v>T</v>
          </cell>
          <cell r="AT124" t="str">
            <v>A</v>
          </cell>
          <cell r="AU124" t="str">
            <v>0</v>
          </cell>
          <cell r="AV124" t="str">
            <v>3</v>
          </cell>
          <cell r="BE124" t="str">
            <v>ﾙ</v>
          </cell>
          <cell r="BF124" t="str">
            <v>0005</v>
          </cell>
        </row>
        <row r="125">
          <cell r="T125" t="str">
            <v>5Q</v>
          </cell>
          <cell r="U125" t="str">
            <v>040</v>
          </cell>
          <cell r="V125" t="str">
            <v xml:space="preserve"> 7B 1D</v>
          </cell>
          <cell r="W125" t="str">
            <v>U7200</v>
          </cell>
          <cell r="Y125" t="str">
            <v>U7200E</v>
          </cell>
          <cell r="Z125" t="str">
            <v>AAA</v>
          </cell>
          <cell r="AB125" t="str">
            <v>T</v>
          </cell>
          <cell r="AD125" t="str">
            <v>*</v>
          </cell>
          <cell r="AE125" t="str">
            <v>2J653</v>
          </cell>
          <cell r="AF125" t="str">
            <v>021223</v>
          </cell>
          <cell r="AI125" t="str">
            <v>*</v>
          </cell>
          <cell r="AJ125" t="str">
            <v>T</v>
          </cell>
          <cell r="AT125" t="str">
            <v>A</v>
          </cell>
          <cell r="AU125" t="str">
            <v>0</v>
          </cell>
          <cell r="AV125" t="str">
            <v>3</v>
          </cell>
          <cell r="BF125" t="str">
            <v>0005</v>
          </cell>
        </row>
        <row r="126">
          <cell r="T126" t="str">
            <v>5Q</v>
          </cell>
          <cell r="U126" t="str">
            <v>040</v>
          </cell>
          <cell r="V126" t="str">
            <v xml:space="preserve"> 7B 1D</v>
          </cell>
          <cell r="W126" t="str">
            <v>U7430</v>
          </cell>
          <cell r="Y126" t="str">
            <v>U7430E</v>
          </cell>
          <cell r="Z126" t="str">
            <v>AAB</v>
          </cell>
          <cell r="AB126" t="str">
            <v>T</v>
          </cell>
          <cell r="AD126" t="str">
            <v>*</v>
          </cell>
          <cell r="AE126" t="str">
            <v>2J653</v>
          </cell>
          <cell r="AF126" t="str">
            <v>021223</v>
          </cell>
          <cell r="AI126" t="str">
            <v>*</v>
          </cell>
          <cell r="AJ126" t="str">
            <v>T</v>
          </cell>
          <cell r="AT126" t="str">
            <v>A</v>
          </cell>
          <cell r="AU126" t="str">
            <v>0</v>
          </cell>
          <cell r="AV126" t="str">
            <v>3</v>
          </cell>
          <cell r="BE126" t="str">
            <v>ﾙ</v>
          </cell>
          <cell r="BF126" t="str">
            <v>0008</v>
          </cell>
        </row>
        <row r="127">
          <cell r="T127" t="str">
            <v>5Q</v>
          </cell>
          <cell r="U127" t="str">
            <v>040</v>
          </cell>
          <cell r="V127" t="str">
            <v xml:space="preserve"> 7B 1D</v>
          </cell>
          <cell r="W127" t="str">
            <v>U7490</v>
          </cell>
          <cell r="Y127" t="str">
            <v>U7490E</v>
          </cell>
          <cell r="Z127" t="str">
            <v>AAA</v>
          </cell>
          <cell r="AB127" t="str">
            <v>T</v>
          </cell>
          <cell r="AD127" t="str">
            <v>*</v>
          </cell>
          <cell r="AE127" t="str">
            <v>2J653</v>
          </cell>
          <cell r="AF127" t="str">
            <v>021223</v>
          </cell>
          <cell r="AI127" t="str">
            <v>*</v>
          </cell>
          <cell r="AJ127" t="str">
            <v>T</v>
          </cell>
          <cell r="AT127" t="str">
            <v>A</v>
          </cell>
          <cell r="AU127" t="str">
            <v>0</v>
          </cell>
          <cell r="AV127" t="str">
            <v>3</v>
          </cell>
          <cell r="BE127" t="str">
            <v>ﾙ</v>
          </cell>
          <cell r="BF127" t="str">
            <v>0005</v>
          </cell>
        </row>
        <row r="128">
          <cell r="T128" t="str">
            <v>5Q</v>
          </cell>
          <cell r="U128" t="str">
            <v>040</v>
          </cell>
          <cell r="V128" t="str">
            <v xml:space="preserve"> 7B 1D</v>
          </cell>
          <cell r="W128" t="str">
            <v>U7065</v>
          </cell>
          <cell r="Y128" t="str">
            <v>U7065E</v>
          </cell>
          <cell r="Z128" t="str">
            <v>AAC</v>
          </cell>
          <cell r="AB128" t="str">
            <v>T</v>
          </cell>
          <cell r="AD128" t="str">
            <v>*</v>
          </cell>
          <cell r="AE128" t="str">
            <v>2J653</v>
          </cell>
          <cell r="AF128" t="str">
            <v>021223</v>
          </cell>
          <cell r="AI128" t="str">
            <v>*</v>
          </cell>
          <cell r="AJ128" t="str">
            <v>T</v>
          </cell>
          <cell r="AT128" t="str">
            <v>H</v>
          </cell>
          <cell r="AU128" t="str">
            <v>5</v>
          </cell>
          <cell r="AV128" t="str">
            <v>8</v>
          </cell>
          <cell r="BE128" t="str">
            <v>ﾙ</v>
          </cell>
          <cell r="BF128" t="str">
            <v>0001</v>
          </cell>
          <cell r="BG128" t="str">
            <v>S1272</v>
          </cell>
          <cell r="BH128" t="str">
            <v>5Q</v>
          </cell>
          <cell r="BI128" t="str">
            <v>020</v>
          </cell>
        </row>
        <row r="129">
          <cell r="T129" t="str">
            <v>5Q</v>
          </cell>
          <cell r="U129" t="str">
            <v>040</v>
          </cell>
          <cell r="V129" t="str">
            <v xml:space="preserve"> 7B 1D</v>
          </cell>
          <cell r="W129" t="str">
            <v>U7220</v>
          </cell>
          <cell r="Y129" t="str">
            <v>U7220E</v>
          </cell>
          <cell r="Z129" t="str">
            <v>AAC</v>
          </cell>
          <cell r="AB129" t="str">
            <v>T</v>
          </cell>
          <cell r="AD129" t="str">
            <v>*</v>
          </cell>
          <cell r="AE129" t="str">
            <v>2J653</v>
          </cell>
          <cell r="AF129" t="str">
            <v>021223</v>
          </cell>
          <cell r="AI129" t="str">
            <v>*</v>
          </cell>
          <cell r="AJ129" t="str">
            <v>T</v>
          </cell>
          <cell r="AT129" t="str">
            <v>A</v>
          </cell>
          <cell r="AU129" t="str">
            <v>0</v>
          </cell>
          <cell r="AV129" t="str">
            <v>3</v>
          </cell>
          <cell r="BE129" t="str">
            <v>ﾙ</v>
          </cell>
          <cell r="BF129" t="str">
            <v>0005</v>
          </cell>
          <cell r="BG129" t="str">
            <v>Z6427</v>
          </cell>
          <cell r="BH129" t="str">
            <v>5P</v>
          </cell>
          <cell r="BI129" t="str">
            <v>020</v>
          </cell>
        </row>
        <row r="130">
          <cell r="T130" t="str">
            <v>5Q</v>
          </cell>
          <cell r="U130" t="str">
            <v>040</v>
          </cell>
          <cell r="V130" t="str">
            <v xml:space="preserve"> 7B 1D</v>
          </cell>
          <cell r="W130" t="str">
            <v>U7410</v>
          </cell>
          <cell r="Y130" t="str">
            <v>U7410E</v>
          </cell>
          <cell r="Z130" t="str">
            <v>AAB</v>
          </cell>
          <cell r="AB130" t="str">
            <v>T</v>
          </cell>
          <cell r="AD130" t="str">
            <v>*</v>
          </cell>
          <cell r="AE130" t="str">
            <v>2J653</v>
          </cell>
          <cell r="AF130" t="str">
            <v>021223</v>
          </cell>
          <cell r="AI130" t="str">
            <v>*</v>
          </cell>
          <cell r="AJ130" t="str">
            <v>T</v>
          </cell>
          <cell r="AT130" t="str">
            <v>A</v>
          </cell>
          <cell r="AU130" t="str">
            <v>0</v>
          </cell>
          <cell r="AV130" t="str">
            <v>3</v>
          </cell>
          <cell r="BE130" t="str">
            <v>B</v>
          </cell>
          <cell r="BF130" t="str">
            <v>0008</v>
          </cell>
          <cell r="BG130" t="str">
            <v>KOBAI</v>
          </cell>
        </row>
        <row r="131">
          <cell r="T131" t="str">
            <v>5Q</v>
          </cell>
          <cell r="U131" t="str">
            <v>040</v>
          </cell>
          <cell r="V131" t="str">
            <v xml:space="preserve"> 7B 1D</v>
          </cell>
          <cell r="W131" t="str">
            <v>U7400</v>
          </cell>
          <cell r="Y131" t="str">
            <v>U7400E</v>
          </cell>
          <cell r="Z131" t="str">
            <v>AAA</v>
          </cell>
          <cell r="AB131" t="str">
            <v>T</v>
          </cell>
          <cell r="AD131" t="str">
            <v>*</v>
          </cell>
          <cell r="AE131" t="str">
            <v>2J653</v>
          </cell>
          <cell r="AF131" t="str">
            <v>021223</v>
          </cell>
          <cell r="AI131" t="str">
            <v>*</v>
          </cell>
          <cell r="AJ131" t="str">
            <v>T</v>
          </cell>
          <cell r="AT131" t="str">
            <v>A</v>
          </cell>
          <cell r="AU131" t="str">
            <v>0</v>
          </cell>
          <cell r="AV131" t="str">
            <v>3</v>
          </cell>
          <cell r="BF131" t="str">
            <v>0008</v>
          </cell>
        </row>
        <row r="132">
          <cell r="T132" t="str">
            <v>5Q</v>
          </cell>
          <cell r="U132" t="str">
            <v>040</v>
          </cell>
          <cell r="V132" t="str">
            <v xml:space="preserve"> 7B 1D</v>
          </cell>
          <cell r="W132" t="str">
            <v>U7100</v>
          </cell>
          <cell r="X132" t="str">
            <v xml:space="preserve"> 7B 1D</v>
          </cell>
          <cell r="Y132" t="str">
            <v>U2040Y</v>
          </cell>
          <cell r="Z132" t="str">
            <v>AAA</v>
          </cell>
          <cell r="AB132" t="str">
            <v>T</v>
          </cell>
          <cell r="AD132" t="str">
            <v>*</v>
          </cell>
          <cell r="AE132" t="str">
            <v>2J619</v>
          </cell>
          <cell r="AF132" t="str">
            <v>000809</v>
          </cell>
          <cell r="AI132" t="str">
            <v>*</v>
          </cell>
          <cell r="AJ132" t="str">
            <v>T</v>
          </cell>
          <cell r="AT132" t="str">
            <v>A</v>
          </cell>
          <cell r="AU132" t="str">
            <v>0</v>
          </cell>
          <cell r="AV132" t="str">
            <v>3</v>
          </cell>
          <cell r="BE132" t="str">
            <v>ﾙ</v>
          </cell>
          <cell r="BF132" t="str">
            <v>0011</v>
          </cell>
        </row>
        <row r="133">
          <cell r="T133" t="str">
            <v>5Q</v>
          </cell>
          <cell r="U133" t="str">
            <v>040</v>
          </cell>
          <cell r="V133" t="str">
            <v xml:space="preserve"> 7B 1D</v>
          </cell>
          <cell r="W133" t="str">
            <v>U7130</v>
          </cell>
          <cell r="X133" t="str">
            <v xml:space="preserve"> 7B 1D</v>
          </cell>
          <cell r="Y133" t="str">
            <v>U0530Y</v>
          </cell>
          <cell r="Z133" t="str">
            <v>AAE</v>
          </cell>
          <cell r="AB133" t="str">
            <v>T</v>
          </cell>
          <cell r="AD133" t="str">
            <v>*</v>
          </cell>
          <cell r="AE133" t="str">
            <v>Z6418</v>
          </cell>
          <cell r="AF133" t="str">
            <v>011217</v>
          </cell>
          <cell r="AI133" t="str">
            <v>*</v>
          </cell>
          <cell r="AJ133" t="str">
            <v>T</v>
          </cell>
          <cell r="AT133" t="str">
            <v>A</v>
          </cell>
          <cell r="AU133" t="str">
            <v>0</v>
          </cell>
          <cell r="AV133" t="str">
            <v>3</v>
          </cell>
          <cell r="BE133" t="str">
            <v>ﾙ</v>
          </cell>
          <cell r="BF133" t="str">
            <v>0015</v>
          </cell>
          <cell r="BG133" t="str">
            <v>Z6418</v>
          </cell>
        </row>
        <row r="134">
          <cell r="T134" t="str">
            <v>5Q</v>
          </cell>
          <cell r="U134" t="str">
            <v>040</v>
          </cell>
          <cell r="V134" t="str">
            <v xml:space="preserve"> 7B 1D</v>
          </cell>
          <cell r="W134" t="str">
            <v>U7110</v>
          </cell>
          <cell r="X134" t="str">
            <v xml:space="preserve"> 7B 1D</v>
          </cell>
          <cell r="Y134" t="str">
            <v>U0480Y</v>
          </cell>
          <cell r="Z134" t="str">
            <v>AAG</v>
          </cell>
          <cell r="AB134" t="str">
            <v>T</v>
          </cell>
          <cell r="AD134" t="str">
            <v>*</v>
          </cell>
          <cell r="AE134" t="str">
            <v>Z6400</v>
          </cell>
          <cell r="AF134" t="str">
            <v>011022</v>
          </cell>
          <cell r="AI134" t="str">
            <v>*</v>
          </cell>
          <cell r="AJ134" t="str">
            <v>T</v>
          </cell>
          <cell r="AT134" t="str">
            <v>A</v>
          </cell>
          <cell r="AU134" t="str">
            <v>0</v>
          </cell>
          <cell r="AV134" t="str">
            <v>3</v>
          </cell>
          <cell r="BE134" t="str">
            <v>ﾙ</v>
          </cell>
          <cell r="BF134" t="str">
            <v>0013</v>
          </cell>
          <cell r="BG134" t="str">
            <v>Z6400</v>
          </cell>
        </row>
        <row r="135">
          <cell r="T135" t="str">
            <v>5Q</v>
          </cell>
          <cell r="U135" t="str">
            <v>040</v>
          </cell>
          <cell r="V135" t="str">
            <v xml:space="preserve"> 7B 1D</v>
          </cell>
          <cell r="W135" t="str">
            <v>U7320</v>
          </cell>
          <cell r="Y135" t="str">
            <v>U7320E</v>
          </cell>
          <cell r="Z135" t="str">
            <v>AAC</v>
          </cell>
          <cell r="AB135" t="str">
            <v>T</v>
          </cell>
          <cell r="AD135" t="str">
            <v>*</v>
          </cell>
          <cell r="AE135" t="str">
            <v>2J653</v>
          </cell>
          <cell r="AF135" t="str">
            <v>021223</v>
          </cell>
          <cell r="AI135" t="str">
            <v>*</v>
          </cell>
          <cell r="AJ135" t="str">
            <v>T</v>
          </cell>
          <cell r="AT135" t="str">
            <v>2</v>
          </cell>
          <cell r="AU135" t="str">
            <v>0</v>
          </cell>
          <cell r="AV135" t="str">
            <v>7</v>
          </cell>
          <cell r="BE135" t="str">
            <v>ﾙ</v>
          </cell>
          <cell r="BF135" t="str">
            <v>0021</v>
          </cell>
          <cell r="BG135" t="str">
            <v>2J619</v>
          </cell>
          <cell r="BH135" t="str">
            <v>5Q</v>
          </cell>
          <cell r="BI135" t="str">
            <v>020</v>
          </cell>
        </row>
        <row r="136">
          <cell r="T136" t="str">
            <v>5Q</v>
          </cell>
          <cell r="U136" t="str">
            <v>040</v>
          </cell>
          <cell r="V136" t="str">
            <v xml:space="preserve"> 7B 1D</v>
          </cell>
          <cell r="W136" t="str">
            <v>U7320</v>
          </cell>
          <cell r="Y136" t="str">
            <v>U7320E</v>
          </cell>
          <cell r="Z136" t="str">
            <v>AAD</v>
          </cell>
          <cell r="AB136" t="str">
            <v>T</v>
          </cell>
          <cell r="AD136" t="str">
            <v>*</v>
          </cell>
          <cell r="AE136" t="str">
            <v>2J653</v>
          </cell>
          <cell r="AF136" t="str">
            <v>021223</v>
          </cell>
          <cell r="AI136" t="str">
            <v>*</v>
          </cell>
          <cell r="AJ136" t="str">
            <v>T</v>
          </cell>
          <cell r="AT136" t="str">
            <v>2</v>
          </cell>
          <cell r="AU136" t="str">
            <v>0</v>
          </cell>
          <cell r="AV136" t="str">
            <v>7</v>
          </cell>
          <cell r="BE136" t="str">
            <v>ﾙ</v>
          </cell>
          <cell r="BF136" t="str">
            <v>0022</v>
          </cell>
          <cell r="BG136" t="str">
            <v>2J619</v>
          </cell>
          <cell r="BH136" t="str">
            <v>5Q</v>
          </cell>
          <cell r="BI136" t="str">
            <v>020</v>
          </cell>
        </row>
        <row r="137">
          <cell r="T137" t="str">
            <v>5Q</v>
          </cell>
          <cell r="U137" t="str">
            <v>040</v>
          </cell>
          <cell r="V137" t="str">
            <v xml:space="preserve"> 7B 1D</v>
          </cell>
          <cell r="W137" t="str">
            <v>U7000</v>
          </cell>
          <cell r="Y137" t="str">
            <v>U7000E</v>
          </cell>
          <cell r="Z137" t="str">
            <v>AAG</v>
          </cell>
          <cell r="AB137" t="str">
            <v>T</v>
          </cell>
          <cell r="AD137" t="str">
            <v>*</v>
          </cell>
          <cell r="AE137" t="str">
            <v>2J653</v>
          </cell>
          <cell r="AF137" t="str">
            <v>021223</v>
          </cell>
          <cell r="AI137" t="str">
            <v>*</v>
          </cell>
          <cell r="AJ137" t="str">
            <v>T</v>
          </cell>
          <cell r="AT137" t="str">
            <v>2</v>
          </cell>
          <cell r="AU137" t="str">
            <v>0</v>
          </cell>
          <cell r="AV137" t="str">
            <v>7</v>
          </cell>
          <cell r="BE137" t="str">
            <v>ﾙ</v>
          </cell>
          <cell r="BF137" t="str">
            <v>0041</v>
          </cell>
          <cell r="BG137" t="str">
            <v>Z6330</v>
          </cell>
          <cell r="BH137" t="str">
            <v>5Q</v>
          </cell>
          <cell r="BI137" t="str">
            <v>020</v>
          </cell>
        </row>
        <row r="138">
          <cell r="T138" t="str">
            <v>5Q</v>
          </cell>
          <cell r="U138" t="str">
            <v>040</v>
          </cell>
          <cell r="V138" t="str">
            <v xml:space="preserve"> 7B 1D</v>
          </cell>
          <cell r="W138" t="str">
            <v>U7000</v>
          </cell>
          <cell r="X138" t="str">
            <v xml:space="preserve"> 7B 1D</v>
          </cell>
          <cell r="Y138" t="str">
            <v>U0140Y</v>
          </cell>
          <cell r="Z138" t="str">
            <v>AAG</v>
          </cell>
          <cell r="AB138" t="str">
            <v>T</v>
          </cell>
          <cell r="AD138" t="str">
            <v>*</v>
          </cell>
          <cell r="AE138" t="str">
            <v>Z6330</v>
          </cell>
          <cell r="AF138" t="str">
            <v>001218</v>
          </cell>
          <cell r="AI138" t="str">
            <v>*</v>
          </cell>
          <cell r="AJ138" t="str">
            <v>T</v>
          </cell>
          <cell r="AT138" t="str">
            <v>B</v>
          </cell>
          <cell r="AU138" t="str">
            <v>5</v>
          </cell>
          <cell r="AV138" t="str">
            <v>3</v>
          </cell>
          <cell r="BE138" t="str">
            <v>ﾙ</v>
          </cell>
          <cell r="BF138" t="str">
            <v>0041</v>
          </cell>
          <cell r="BG138" t="str">
            <v>Z6330</v>
          </cell>
        </row>
        <row r="139">
          <cell r="T139" t="str">
            <v>5Q</v>
          </cell>
          <cell r="U139" t="str">
            <v>040</v>
          </cell>
          <cell r="V139" t="str">
            <v xml:space="preserve"> 7B 1A</v>
          </cell>
          <cell r="W139" t="str">
            <v>U0085</v>
          </cell>
          <cell r="X139" t="str">
            <v xml:space="preserve"> 7B 1A</v>
          </cell>
          <cell r="Y139" t="str">
            <v>U0111Y</v>
          </cell>
          <cell r="Z139" t="str">
            <v>AAC</v>
          </cell>
          <cell r="AB139" t="str">
            <v>T</v>
          </cell>
          <cell r="AD139" t="str">
            <v>*</v>
          </cell>
          <cell r="AE139" t="str">
            <v>S0974</v>
          </cell>
          <cell r="AF139" t="str">
            <v>001127</v>
          </cell>
          <cell r="AI139" t="str">
            <v>*</v>
          </cell>
          <cell r="AJ139" t="str">
            <v>T</v>
          </cell>
          <cell r="AT139" t="str">
            <v>A</v>
          </cell>
          <cell r="AU139" t="str">
            <v>0</v>
          </cell>
          <cell r="AV139" t="str">
            <v>3</v>
          </cell>
          <cell r="BE139" t="str">
            <v>ﾙ</v>
          </cell>
          <cell r="BF139" t="str">
            <v>0004</v>
          </cell>
        </row>
        <row r="140">
          <cell r="T140" t="str">
            <v>5Q</v>
          </cell>
          <cell r="U140" t="str">
            <v>040</v>
          </cell>
          <cell r="V140" t="str">
            <v xml:space="preserve"> 7B 1A</v>
          </cell>
          <cell r="W140" t="str">
            <v>U0620</v>
          </cell>
          <cell r="X140" t="str">
            <v xml:space="preserve"> 7B 1A</v>
          </cell>
          <cell r="Y140" t="str">
            <v>U0670Y</v>
          </cell>
          <cell r="Z140" t="str">
            <v>AAE</v>
          </cell>
          <cell r="AB140" t="str">
            <v>T</v>
          </cell>
          <cell r="AD140" t="str">
            <v>X</v>
          </cell>
          <cell r="AE140" t="str">
            <v>Z6370</v>
          </cell>
          <cell r="AF140" t="str">
            <v>010806</v>
          </cell>
          <cell r="AI140" t="str">
            <v>*</v>
          </cell>
          <cell r="AJ140" t="str">
            <v>T</v>
          </cell>
          <cell r="AT140" t="str">
            <v>A</v>
          </cell>
          <cell r="AU140" t="str">
            <v>0</v>
          </cell>
          <cell r="AV140" t="str">
            <v>3</v>
          </cell>
          <cell r="BF140" t="str">
            <v>0057</v>
          </cell>
          <cell r="BG140" t="str">
            <v>Z6370</v>
          </cell>
        </row>
        <row r="141">
          <cell r="T141" t="str">
            <v>5Q</v>
          </cell>
          <cell r="U141" t="str">
            <v>040</v>
          </cell>
          <cell r="V141" t="str">
            <v xml:space="preserve"> 7B 1D</v>
          </cell>
          <cell r="W141" t="str">
            <v>U7290</v>
          </cell>
          <cell r="Y141" t="str">
            <v>U7290E</v>
          </cell>
          <cell r="Z141" t="str">
            <v>AAB</v>
          </cell>
          <cell r="AB141" t="str">
            <v>T</v>
          </cell>
          <cell r="AD141" t="str">
            <v>*</v>
          </cell>
          <cell r="AE141" t="str">
            <v>2J653</v>
          </cell>
          <cell r="AF141" t="str">
            <v>021223</v>
          </cell>
          <cell r="AI141" t="str">
            <v>*</v>
          </cell>
          <cell r="AJ141" t="str">
            <v>T</v>
          </cell>
          <cell r="AT141" t="str">
            <v>H</v>
          </cell>
          <cell r="AU141" t="str">
            <v>5</v>
          </cell>
          <cell r="AV141" t="str">
            <v>3</v>
          </cell>
          <cell r="BE141" t="str">
            <v>1</v>
          </cell>
          <cell r="BF141" t="str">
            <v>0032</v>
          </cell>
          <cell r="BG141" t="str">
            <v>KOBAI</v>
          </cell>
        </row>
        <row r="142">
          <cell r="T142" t="str">
            <v>5Q</v>
          </cell>
          <cell r="U142" t="str">
            <v>040</v>
          </cell>
          <cell r="V142" t="str">
            <v xml:space="preserve"> 7B 3C</v>
          </cell>
          <cell r="W142" t="str">
            <v>U1000</v>
          </cell>
          <cell r="X142" t="str">
            <v xml:space="preserve"> 7B 3C</v>
          </cell>
          <cell r="Y142" t="str">
            <v>U1890Y</v>
          </cell>
          <cell r="Z142" t="str">
            <v>AAH</v>
          </cell>
          <cell r="AB142" t="str">
            <v>U</v>
          </cell>
          <cell r="AD142" t="str">
            <v>*</v>
          </cell>
          <cell r="AE142" t="str">
            <v>JBN49</v>
          </cell>
          <cell r="AF142" t="str">
            <v>020701</v>
          </cell>
          <cell r="AI142" t="str">
            <v>*</v>
          </cell>
          <cell r="AJ142" t="str">
            <v>T</v>
          </cell>
          <cell r="AT142" t="str">
            <v>A</v>
          </cell>
          <cell r="AU142" t="str">
            <v>0</v>
          </cell>
          <cell r="AV142" t="str">
            <v>3</v>
          </cell>
          <cell r="BE142" t="str">
            <v>ﾙ</v>
          </cell>
          <cell r="BF142" t="str">
            <v>0002</v>
          </cell>
          <cell r="BG142" t="str">
            <v>S1269</v>
          </cell>
        </row>
        <row r="143">
          <cell r="T143" t="str">
            <v>5Q</v>
          </cell>
          <cell r="U143" t="str">
            <v>040</v>
          </cell>
          <cell r="V143" t="str">
            <v xml:space="preserve"> 7B 3C</v>
          </cell>
          <cell r="W143" t="str">
            <v>U1000</v>
          </cell>
          <cell r="X143" t="str">
            <v xml:space="preserve"> 7B 3C</v>
          </cell>
          <cell r="Y143" t="str">
            <v>U1900Y</v>
          </cell>
          <cell r="Z143" t="str">
            <v>AAH</v>
          </cell>
          <cell r="AB143" t="str">
            <v>U</v>
          </cell>
          <cell r="AD143" t="str">
            <v>*</v>
          </cell>
          <cell r="AE143" t="str">
            <v>JBN49</v>
          </cell>
          <cell r="AF143" t="str">
            <v>020701</v>
          </cell>
          <cell r="AI143" t="str">
            <v>*</v>
          </cell>
          <cell r="AJ143" t="str">
            <v>T</v>
          </cell>
          <cell r="AT143" t="str">
            <v>A</v>
          </cell>
          <cell r="AU143" t="str">
            <v>0</v>
          </cell>
          <cell r="AV143" t="str">
            <v>3</v>
          </cell>
          <cell r="BE143" t="str">
            <v>ﾙ</v>
          </cell>
          <cell r="BF143" t="str">
            <v>0002</v>
          </cell>
          <cell r="BG143" t="str">
            <v>S1269</v>
          </cell>
        </row>
        <row r="144">
          <cell r="T144" t="str">
            <v>5Q</v>
          </cell>
          <cell r="U144" t="str">
            <v>040</v>
          </cell>
          <cell r="V144" t="str">
            <v xml:space="preserve"> 7B 1D</v>
          </cell>
          <cell r="W144" t="str">
            <v>U7040</v>
          </cell>
          <cell r="Y144" t="str">
            <v>U7040E</v>
          </cell>
          <cell r="Z144" t="str">
            <v>AAA</v>
          </cell>
          <cell r="AB144" t="str">
            <v>T</v>
          </cell>
          <cell r="AD144" t="str">
            <v>*</v>
          </cell>
          <cell r="AE144" t="str">
            <v>2J653</v>
          </cell>
          <cell r="AF144" t="str">
            <v>021223</v>
          </cell>
          <cell r="AI144" t="str">
            <v>*</v>
          </cell>
          <cell r="AJ144" t="str">
            <v>T</v>
          </cell>
          <cell r="AT144" t="str">
            <v>A</v>
          </cell>
          <cell r="AU144" t="str">
            <v>0</v>
          </cell>
          <cell r="AV144" t="str">
            <v>3</v>
          </cell>
          <cell r="BE144" t="str">
            <v>ﾙ</v>
          </cell>
          <cell r="BF144" t="str">
            <v>0005</v>
          </cell>
        </row>
        <row r="145">
          <cell r="T145" t="str">
            <v>5Q</v>
          </cell>
          <cell r="U145" t="str">
            <v>040</v>
          </cell>
          <cell r="V145" t="str">
            <v xml:space="preserve"> 7B 3C</v>
          </cell>
          <cell r="W145" t="str">
            <v>U1000</v>
          </cell>
          <cell r="X145" t="str">
            <v xml:space="preserve"> 7B 3C</v>
          </cell>
          <cell r="Y145" t="str">
            <v>U1750Y</v>
          </cell>
          <cell r="Z145" t="str">
            <v>AAH</v>
          </cell>
          <cell r="AB145" t="str">
            <v>U</v>
          </cell>
          <cell r="AD145" t="str">
            <v>*</v>
          </cell>
          <cell r="AE145" t="str">
            <v>JBN49</v>
          </cell>
          <cell r="AF145" t="str">
            <v>020701</v>
          </cell>
          <cell r="AI145" t="str">
            <v>*</v>
          </cell>
          <cell r="AJ145" t="str">
            <v>T</v>
          </cell>
          <cell r="AT145" t="str">
            <v>A</v>
          </cell>
          <cell r="AU145" t="str">
            <v>0</v>
          </cell>
          <cell r="AV145" t="str">
            <v>3</v>
          </cell>
          <cell r="BE145" t="str">
            <v>ﾙ</v>
          </cell>
          <cell r="BF145" t="str">
            <v>0002</v>
          </cell>
          <cell r="BG145" t="str">
            <v>2J618</v>
          </cell>
        </row>
        <row r="146">
          <cell r="T146" t="str">
            <v>5Q</v>
          </cell>
          <cell r="U146" t="str">
            <v>040</v>
          </cell>
          <cell r="V146" t="str">
            <v xml:space="preserve"> 7B 3D</v>
          </cell>
          <cell r="W146" t="str">
            <v>U1100</v>
          </cell>
          <cell r="Y146" t="str">
            <v>U1100E</v>
          </cell>
          <cell r="Z146" t="str">
            <v>AAA</v>
          </cell>
          <cell r="AB146" t="str">
            <v>U</v>
          </cell>
          <cell r="AD146" t="str">
            <v>*</v>
          </cell>
          <cell r="AE146" t="str">
            <v>2J653</v>
          </cell>
          <cell r="AF146" t="str">
            <v>021223</v>
          </cell>
          <cell r="AI146" t="str">
            <v>*</v>
          </cell>
          <cell r="AJ146" t="str">
            <v>T</v>
          </cell>
          <cell r="AT146" t="str">
            <v>A</v>
          </cell>
          <cell r="AU146" t="str">
            <v>0</v>
          </cell>
          <cell r="AV146" t="str">
            <v>3</v>
          </cell>
          <cell r="BE146" t="str">
            <v>ﾙ</v>
          </cell>
          <cell r="BF146" t="str">
            <v>0002</v>
          </cell>
          <cell r="BG146" t="str">
            <v>2J618</v>
          </cell>
          <cell r="BH146" t="str">
            <v>5P</v>
          </cell>
          <cell r="BI146" t="str">
            <v>020</v>
          </cell>
        </row>
        <row r="147">
          <cell r="T147" t="str">
            <v>5Q</v>
          </cell>
          <cell r="U147" t="str">
            <v>040</v>
          </cell>
          <cell r="V147" t="str">
            <v xml:space="preserve"> 7B 3C</v>
          </cell>
          <cell r="W147" t="str">
            <v>U1150</v>
          </cell>
          <cell r="Y147" t="str">
            <v>U1150E</v>
          </cell>
          <cell r="Z147" t="str">
            <v>AAB</v>
          </cell>
          <cell r="AB147" t="str">
            <v>U</v>
          </cell>
          <cell r="AD147" t="str">
            <v>*</v>
          </cell>
          <cell r="AE147" t="str">
            <v>2J653</v>
          </cell>
          <cell r="AF147" t="str">
            <v>021223</v>
          </cell>
          <cell r="AI147" t="str">
            <v>*</v>
          </cell>
          <cell r="AJ147" t="str">
            <v>T</v>
          </cell>
          <cell r="AT147" t="str">
            <v>A</v>
          </cell>
          <cell r="AU147" t="str">
            <v>0</v>
          </cell>
          <cell r="AV147" t="str">
            <v>3</v>
          </cell>
          <cell r="BE147" t="str">
            <v>ﾙ</v>
          </cell>
          <cell r="BF147" t="str">
            <v>0002</v>
          </cell>
          <cell r="BG147" t="str">
            <v>S1318</v>
          </cell>
          <cell r="BH147" t="str">
            <v>5P</v>
          </cell>
          <cell r="BI147" t="str">
            <v>020</v>
          </cell>
        </row>
        <row r="148">
          <cell r="T148" t="str">
            <v>5Q</v>
          </cell>
          <cell r="U148" t="str">
            <v>040</v>
          </cell>
          <cell r="V148" t="str">
            <v xml:space="preserve"> 7B 3C</v>
          </cell>
          <cell r="W148" t="str">
            <v>U1250</v>
          </cell>
          <cell r="Y148" t="str">
            <v>U1250E</v>
          </cell>
          <cell r="Z148" t="str">
            <v>AAA</v>
          </cell>
          <cell r="AB148" t="str">
            <v>U</v>
          </cell>
          <cell r="AD148" t="str">
            <v>*</v>
          </cell>
          <cell r="AE148" t="str">
            <v>2J653</v>
          </cell>
          <cell r="AF148" t="str">
            <v>021223</v>
          </cell>
          <cell r="AI148" t="str">
            <v>*</v>
          </cell>
          <cell r="AJ148" t="str">
            <v>T</v>
          </cell>
          <cell r="AT148" t="str">
            <v>A</v>
          </cell>
          <cell r="AU148" t="str">
            <v>0</v>
          </cell>
          <cell r="AV148" t="str">
            <v>3</v>
          </cell>
          <cell r="BE148" t="str">
            <v>1</v>
          </cell>
          <cell r="BF148" t="str">
            <v>0002</v>
          </cell>
          <cell r="BG148" t="str">
            <v>KOBAI</v>
          </cell>
        </row>
        <row r="149">
          <cell r="T149" t="str">
            <v>5Q</v>
          </cell>
          <cell r="U149" t="str">
            <v>040</v>
          </cell>
          <cell r="V149" t="str">
            <v xml:space="preserve"> 7B 1D</v>
          </cell>
          <cell r="W149" t="str">
            <v>U7260</v>
          </cell>
          <cell r="Y149" t="str">
            <v>U7260E</v>
          </cell>
          <cell r="Z149" t="str">
            <v>AAA</v>
          </cell>
          <cell r="AB149" t="str">
            <v>T</v>
          </cell>
          <cell r="AD149" t="str">
            <v>*</v>
          </cell>
          <cell r="AE149" t="str">
            <v>2J653</v>
          </cell>
          <cell r="AF149" t="str">
            <v>021223</v>
          </cell>
          <cell r="AI149" t="str">
            <v>*</v>
          </cell>
          <cell r="AJ149" t="str">
            <v>T</v>
          </cell>
          <cell r="AT149" t="str">
            <v>A</v>
          </cell>
          <cell r="AU149" t="str">
            <v>0</v>
          </cell>
          <cell r="AV149" t="str">
            <v>3</v>
          </cell>
          <cell r="BF149" t="str">
            <v>0005</v>
          </cell>
        </row>
        <row r="150">
          <cell r="T150" t="str">
            <v>5Q</v>
          </cell>
          <cell r="U150" t="str">
            <v>040</v>
          </cell>
          <cell r="V150" t="str">
            <v xml:space="preserve"> 7B 1D</v>
          </cell>
          <cell r="W150" t="str">
            <v>U7390</v>
          </cell>
          <cell r="Y150" t="str">
            <v>U7390E</v>
          </cell>
          <cell r="Z150" t="str">
            <v>AAA</v>
          </cell>
          <cell r="AB150" t="str">
            <v>T</v>
          </cell>
          <cell r="AD150" t="str">
            <v>*</v>
          </cell>
          <cell r="AE150" t="str">
            <v>2J653</v>
          </cell>
          <cell r="AF150" t="str">
            <v>021223</v>
          </cell>
          <cell r="AI150" t="str">
            <v>*</v>
          </cell>
          <cell r="AJ150" t="str">
            <v>T</v>
          </cell>
          <cell r="AT150" t="str">
            <v>A</v>
          </cell>
          <cell r="AU150" t="str">
            <v>0</v>
          </cell>
          <cell r="AV150" t="str">
            <v>3</v>
          </cell>
          <cell r="BE150" t="str">
            <v>ﾙ</v>
          </cell>
          <cell r="BF150" t="str">
            <v>0005</v>
          </cell>
          <cell r="BG150" t="str">
            <v>2J619</v>
          </cell>
          <cell r="BH150" t="str">
            <v>5Q</v>
          </cell>
          <cell r="BI150" t="str">
            <v>020</v>
          </cell>
        </row>
        <row r="151">
          <cell r="T151" t="str">
            <v>5Q</v>
          </cell>
          <cell r="U151" t="str">
            <v>040</v>
          </cell>
          <cell r="V151" t="str">
            <v xml:space="preserve"> 7B 1D</v>
          </cell>
          <cell r="W151" t="str">
            <v>U7390</v>
          </cell>
          <cell r="Y151" t="str">
            <v>U7390E</v>
          </cell>
          <cell r="Z151" t="str">
            <v>AAB</v>
          </cell>
          <cell r="AB151" t="str">
            <v>T</v>
          </cell>
          <cell r="AD151" t="str">
            <v>*</v>
          </cell>
          <cell r="AE151" t="str">
            <v>2J653</v>
          </cell>
          <cell r="AF151" t="str">
            <v>021223</v>
          </cell>
          <cell r="AI151" t="str">
            <v>*</v>
          </cell>
          <cell r="AJ151" t="str">
            <v>T</v>
          </cell>
          <cell r="AT151" t="str">
            <v>A</v>
          </cell>
          <cell r="AU151" t="str">
            <v>0</v>
          </cell>
          <cell r="AV151" t="str">
            <v>3</v>
          </cell>
          <cell r="BE151" t="str">
            <v>ﾙ</v>
          </cell>
          <cell r="BF151" t="str">
            <v>0005</v>
          </cell>
          <cell r="BG151" t="str">
            <v>2J619</v>
          </cell>
          <cell r="BH151" t="str">
            <v>5Q</v>
          </cell>
          <cell r="BI151" t="str">
            <v>020</v>
          </cell>
        </row>
        <row r="152">
          <cell r="T152" t="str">
            <v>5Q</v>
          </cell>
          <cell r="U152" t="str">
            <v>040</v>
          </cell>
          <cell r="V152" t="str">
            <v xml:space="preserve"> 7B 1D</v>
          </cell>
          <cell r="W152" t="str">
            <v>U7390</v>
          </cell>
          <cell r="Y152" t="str">
            <v>U7390E</v>
          </cell>
          <cell r="Z152" t="str">
            <v>AAC</v>
          </cell>
          <cell r="AB152" t="str">
            <v>T</v>
          </cell>
          <cell r="AD152" t="str">
            <v>*</v>
          </cell>
          <cell r="AE152" t="str">
            <v>2J653</v>
          </cell>
          <cell r="AF152" t="str">
            <v>021223</v>
          </cell>
          <cell r="AI152" t="str">
            <v>*</v>
          </cell>
          <cell r="AJ152" t="str">
            <v>T</v>
          </cell>
          <cell r="AT152" t="str">
            <v>A</v>
          </cell>
          <cell r="AU152" t="str">
            <v>0</v>
          </cell>
          <cell r="AV152" t="str">
            <v>3</v>
          </cell>
          <cell r="BE152" t="str">
            <v>ﾙ</v>
          </cell>
          <cell r="BF152" t="str">
            <v>0005</v>
          </cell>
          <cell r="BG152" t="str">
            <v>2J619</v>
          </cell>
          <cell r="BH152" t="str">
            <v>5Q</v>
          </cell>
          <cell r="BI152" t="str">
            <v>020</v>
          </cell>
        </row>
        <row r="153">
          <cell r="T153" t="str">
            <v>5Q</v>
          </cell>
          <cell r="U153" t="str">
            <v>040</v>
          </cell>
          <cell r="V153" t="str">
            <v xml:space="preserve"> 7B 1D</v>
          </cell>
          <cell r="W153" t="str">
            <v>U7230</v>
          </cell>
          <cell r="Y153" t="str">
            <v>U7230E</v>
          </cell>
          <cell r="Z153" t="str">
            <v>AAB</v>
          </cell>
          <cell r="AB153" t="str">
            <v>T</v>
          </cell>
          <cell r="AD153" t="str">
            <v>*</v>
          </cell>
          <cell r="AE153" t="str">
            <v>2J653</v>
          </cell>
          <cell r="AF153" t="str">
            <v>021223</v>
          </cell>
          <cell r="AI153" t="str">
            <v>*</v>
          </cell>
          <cell r="AJ153" t="str">
            <v>T</v>
          </cell>
          <cell r="AT153" t="str">
            <v>A</v>
          </cell>
          <cell r="AU153" t="str">
            <v>0</v>
          </cell>
          <cell r="AV153" t="str">
            <v>3</v>
          </cell>
          <cell r="BE153" t="str">
            <v>ﾙ</v>
          </cell>
          <cell r="BF153" t="str">
            <v>0005</v>
          </cell>
          <cell r="BG153" t="str">
            <v>2J618</v>
          </cell>
          <cell r="BH153" t="str">
            <v>5P</v>
          </cell>
          <cell r="BI153" t="str">
            <v>020</v>
          </cell>
        </row>
        <row r="154">
          <cell r="T154" t="str">
            <v>5Q</v>
          </cell>
          <cell r="U154" t="str">
            <v>040</v>
          </cell>
          <cell r="V154" t="str">
            <v xml:space="preserve"> 7B 3C</v>
          </cell>
          <cell r="W154" t="str">
            <v>U1350</v>
          </cell>
          <cell r="Y154" t="str">
            <v>U1350E</v>
          </cell>
          <cell r="Z154" t="str">
            <v>AAA</v>
          </cell>
          <cell r="AB154" t="str">
            <v>U</v>
          </cell>
          <cell r="AD154" t="str">
            <v>*</v>
          </cell>
          <cell r="AE154" t="str">
            <v>2J653</v>
          </cell>
          <cell r="AF154" t="str">
            <v>021223</v>
          </cell>
          <cell r="AI154" t="str">
            <v>*</v>
          </cell>
          <cell r="AJ154" t="str">
            <v>T</v>
          </cell>
          <cell r="AT154" t="str">
            <v>A</v>
          </cell>
          <cell r="AU154" t="str">
            <v>0</v>
          </cell>
          <cell r="AV154" t="str">
            <v>3</v>
          </cell>
          <cell r="BE154" t="str">
            <v>ﾙ</v>
          </cell>
          <cell r="BF154" t="str">
            <v>0002</v>
          </cell>
          <cell r="BG154" t="str">
            <v>2J618</v>
          </cell>
          <cell r="BH154" t="str">
            <v>5P</v>
          </cell>
          <cell r="BI154" t="str">
            <v>020</v>
          </cell>
        </row>
        <row r="155">
          <cell r="T155" t="str">
            <v>5Q</v>
          </cell>
          <cell r="U155" t="str">
            <v>040</v>
          </cell>
          <cell r="V155" t="str">
            <v xml:space="preserve"> 7B 3C</v>
          </cell>
          <cell r="W155" t="str">
            <v>U1200</v>
          </cell>
          <cell r="Y155" t="str">
            <v>U1200E</v>
          </cell>
          <cell r="Z155" t="str">
            <v>AAA</v>
          </cell>
          <cell r="AB155" t="str">
            <v>U</v>
          </cell>
          <cell r="AD155" t="str">
            <v>*</v>
          </cell>
          <cell r="AE155" t="str">
            <v>2J653</v>
          </cell>
          <cell r="AF155" t="str">
            <v>021223</v>
          </cell>
          <cell r="AI155" t="str">
            <v>*</v>
          </cell>
          <cell r="AJ155" t="str">
            <v>T</v>
          </cell>
          <cell r="AT155" t="str">
            <v>A</v>
          </cell>
          <cell r="AU155" t="str">
            <v>0</v>
          </cell>
          <cell r="AV155" t="str">
            <v>3</v>
          </cell>
          <cell r="BE155" t="str">
            <v>ﾙ</v>
          </cell>
          <cell r="BF155" t="str">
            <v>0002</v>
          </cell>
          <cell r="BG155" t="str">
            <v>2J618</v>
          </cell>
          <cell r="BH155" t="str">
            <v>5P</v>
          </cell>
          <cell r="BI155" t="str">
            <v>020</v>
          </cell>
        </row>
        <row r="156">
          <cell r="T156" t="str">
            <v>5Q</v>
          </cell>
          <cell r="U156" t="str">
            <v>040</v>
          </cell>
          <cell r="V156" t="str">
            <v xml:space="preserve"> 7B 3C</v>
          </cell>
          <cell r="W156" t="str">
            <v>U1400</v>
          </cell>
          <cell r="Y156" t="str">
            <v>U1400E</v>
          </cell>
          <cell r="Z156" t="str">
            <v>AAA</v>
          </cell>
          <cell r="AB156" t="str">
            <v>U</v>
          </cell>
          <cell r="AD156" t="str">
            <v>*</v>
          </cell>
          <cell r="AE156" t="str">
            <v>2J653</v>
          </cell>
          <cell r="AF156" t="str">
            <v>021223</v>
          </cell>
          <cell r="AI156" t="str">
            <v>*</v>
          </cell>
          <cell r="AJ156" t="str">
            <v>T</v>
          </cell>
          <cell r="AT156" t="str">
            <v>A</v>
          </cell>
          <cell r="AU156" t="str">
            <v>0</v>
          </cell>
          <cell r="AV156" t="str">
            <v>3</v>
          </cell>
          <cell r="BE156" t="str">
            <v>ﾙ</v>
          </cell>
          <cell r="BF156" t="str">
            <v>0002</v>
          </cell>
          <cell r="BG156" t="str">
            <v>2J618</v>
          </cell>
          <cell r="BH156" t="str">
            <v>5P</v>
          </cell>
          <cell r="BI156" t="str">
            <v>020</v>
          </cell>
        </row>
        <row r="157">
          <cell r="T157" t="str">
            <v>5Q</v>
          </cell>
          <cell r="U157" t="str">
            <v>040</v>
          </cell>
          <cell r="V157" t="str">
            <v xml:space="preserve"> 7B 3C</v>
          </cell>
          <cell r="W157" t="str">
            <v>U1450</v>
          </cell>
          <cell r="Y157" t="str">
            <v>U1450E</v>
          </cell>
          <cell r="Z157" t="str">
            <v>AAA</v>
          </cell>
          <cell r="AB157" t="str">
            <v>U</v>
          </cell>
          <cell r="AD157" t="str">
            <v>*</v>
          </cell>
          <cell r="AE157" t="str">
            <v>2J653</v>
          </cell>
          <cell r="AF157" t="str">
            <v>021223</v>
          </cell>
          <cell r="AI157" t="str">
            <v>*</v>
          </cell>
          <cell r="AJ157" t="str">
            <v>T</v>
          </cell>
          <cell r="AT157" t="str">
            <v>A</v>
          </cell>
          <cell r="AU157" t="str">
            <v>0</v>
          </cell>
          <cell r="AV157" t="str">
            <v>3</v>
          </cell>
          <cell r="BE157" t="str">
            <v>ﾙ</v>
          </cell>
          <cell r="BF157" t="str">
            <v>0002</v>
          </cell>
          <cell r="BG157" t="str">
            <v>2J618</v>
          </cell>
          <cell r="BH157" t="str">
            <v>5P</v>
          </cell>
          <cell r="BI157" t="str">
            <v>020</v>
          </cell>
        </row>
        <row r="158">
          <cell r="T158" t="str">
            <v>5Q</v>
          </cell>
          <cell r="U158" t="str">
            <v>040</v>
          </cell>
          <cell r="V158" t="str">
            <v xml:space="preserve"> 7B 1D</v>
          </cell>
          <cell r="W158" t="str">
            <v>U7380</v>
          </cell>
          <cell r="Y158" t="str">
            <v>U7380E</v>
          </cell>
          <cell r="Z158" t="str">
            <v>AAA</v>
          </cell>
          <cell r="AB158" t="str">
            <v>T</v>
          </cell>
          <cell r="AD158" t="str">
            <v>*</v>
          </cell>
          <cell r="AE158" t="str">
            <v>2J653</v>
          </cell>
          <cell r="AF158" t="str">
            <v>021223</v>
          </cell>
          <cell r="AI158" t="str">
            <v>*</v>
          </cell>
          <cell r="AJ158" t="str">
            <v>T</v>
          </cell>
          <cell r="AT158" t="str">
            <v>A</v>
          </cell>
          <cell r="AU158" t="str">
            <v>0</v>
          </cell>
          <cell r="AV158" t="str">
            <v>3</v>
          </cell>
          <cell r="BE158" t="str">
            <v>ﾙ</v>
          </cell>
          <cell r="BF158" t="str">
            <v>0005</v>
          </cell>
          <cell r="BG158" t="str">
            <v>2J618</v>
          </cell>
          <cell r="BH158" t="str">
            <v>5P</v>
          </cell>
          <cell r="BI158" t="str">
            <v>020</v>
          </cell>
        </row>
        <row r="159">
          <cell r="T159" t="str">
            <v>5Q</v>
          </cell>
          <cell r="U159" t="str">
            <v>040</v>
          </cell>
          <cell r="V159" t="str">
            <v xml:space="preserve"> 7B 1D</v>
          </cell>
          <cell r="W159" t="str">
            <v>U7010</v>
          </cell>
          <cell r="Y159" t="str">
            <v>U7010E</v>
          </cell>
          <cell r="Z159" t="str">
            <v>AAB</v>
          </cell>
          <cell r="AB159" t="str">
            <v>U</v>
          </cell>
          <cell r="AD159" t="str">
            <v>*</v>
          </cell>
          <cell r="AE159" t="str">
            <v>2J653</v>
          </cell>
          <cell r="AF159" t="str">
            <v>021223</v>
          </cell>
          <cell r="AI159" t="str">
            <v>*</v>
          </cell>
          <cell r="AJ159" t="str">
            <v>T</v>
          </cell>
          <cell r="AT159" t="str">
            <v>A</v>
          </cell>
          <cell r="AU159" t="str">
            <v>0</v>
          </cell>
          <cell r="AV159" t="str">
            <v>3</v>
          </cell>
          <cell r="BE159" t="str">
            <v>ﾙ</v>
          </cell>
          <cell r="BF159" t="str">
            <v>0002</v>
          </cell>
          <cell r="BG159" t="str">
            <v>KOUBA</v>
          </cell>
        </row>
        <row r="160">
          <cell r="T160" t="str">
            <v>5Q</v>
          </cell>
          <cell r="U160" t="str">
            <v>040</v>
          </cell>
          <cell r="V160" t="str">
            <v xml:space="preserve"> 7B 1A</v>
          </cell>
          <cell r="W160" t="str">
            <v>U0620</v>
          </cell>
          <cell r="X160" t="str">
            <v xml:space="preserve"> 7B 1A</v>
          </cell>
          <cell r="Y160" t="str">
            <v>U0650Y</v>
          </cell>
          <cell r="Z160" t="str">
            <v>AAH</v>
          </cell>
          <cell r="AB160" t="str">
            <v>T</v>
          </cell>
          <cell r="AD160" t="str">
            <v>X</v>
          </cell>
          <cell r="AE160" t="str">
            <v>Z6398</v>
          </cell>
          <cell r="AF160" t="str">
            <v>011029</v>
          </cell>
          <cell r="AI160" t="str">
            <v>*</v>
          </cell>
          <cell r="AJ160" t="str">
            <v>T</v>
          </cell>
          <cell r="AT160" t="str">
            <v>A</v>
          </cell>
          <cell r="AU160" t="str">
            <v>0</v>
          </cell>
          <cell r="AV160" t="str">
            <v>3</v>
          </cell>
          <cell r="BE160" t="str">
            <v>ﾙ</v>
          </cell>
          <cell r="BF160" t="str">
            <v>0058</v>
          </cell>
          <cell r="BG160" t="str">
            <v>Z6398</v>
          </cell>
        </row>
        <row r="161">
          <cell r="T161" t="str">
            <v>5Q</v>
          </cell>
          <cell r="U161" t="str">
            <v>040</v>
          </cell>
          <cell r="V161" t="str">
            <v xml:space="preserve"> 7B 3D</v>
          </cell>
          <cell r="W161" t="str">
            <v>U1050</v>
          </cell>
          <cell r="Y161" t="str">
            <v>U1050E</v>
          </cell>
          <cell r="Z161" t="str">
            <v>AAA</v>
          </cell>
          <cell r="AB161" t="str">
            <v>U</v>
          </cell>
          <cell r="AD161" t="str">
            <v>*</v>
          </cell>
          <cell r="AE161" t="str">
            <v>2J653</v>
          </cell>
          <cell r="AF161" t="str">
            <v>021223</v>
          </cell>
          <cell r="AI161" t="str">
            <v>*</v>
          </cell>
          <cell r="AJ161" t="str">
            <v>T</v>
          </cell>
          <cell r="AT161" t="str">
            <v>A</v>
          </cell>
          <cell r="AU161" t="str">
            <v>0</v>
          </cell>
          <cell r="AV161" t="str">
            <v>3</v>
          </cell>
          <cell r="BE161" t="str">
            <v>ﾙ</v>
          </cell>
          <cell r="BF161" t="str">
            <v>0002</v>
          </cell>
          <cell r="BG161" t="str">
            <v>2J618</v>
          </cell>
          <cell r="BH161" t="str">
            <v>5P</v>
          </cell>
          <cell r="BI161" t="str">
            <v>020</v>
          </cell>
        </row>
        <row r="162">
          <cell r="T162" t="str">
            <v>5Q</v>
          </cell>
          <cell r="U162" t="str">
            <v>040</v>
          </cell>
          <cell r="V162" t="str">
            <v xml:space="preserve"> 7B 3C</v>
          </cell>
          <cell r="W162" t="str">
            <v>U1050</v>
          </cell>
          <cell r="Y162" t="str">
            <v>U1050E</v>
          </cell>
          <cell r="Z162" t="str">
            <v>AAA</v>
          </cell>
          <cell r="AB162" t="str">
            <v>U</v>
          </cell>
          <cell r="AD162" t="str">
            <v>*</v>
          </cell>
          <cell r="AE162" t="str">
            <v>2J653</v>
          </cell>
          <cell r="AF162" t="str">
            <v>021223</v>
          </cell>
          <cell r="AI162" t="str">
            <v>*</v>
          </cell>
          <cell r="AJ162" t="str">
            <v>T</v>
          </cell>
          <cell r="AT162" t="str">
            <v>A</v>
          </cell>
          <cell r="AU162" t="str">
            <v>0</v>
          </cell>
          <cell r="AV162" t="str">
            <v>3</v>
          </cell>
          <cell r="BE162" t="str">
            <v>ﾙ</v>
          </cell>
          <cell r="BF162" t="str">
            <v>0002</v>
          </cell>
          <cell r="BG162" t="str">
            <v>2J618</v>
          </cell>
          <cell r="BH162" t="str">
            <v>5P</v>
          </cell>
          <cell r="BI162" t="str">
            <v>020</v>
          </cell>
        </row>
        <row r="163">
          <cell r="T163" t="str">
            <v>5Q</v>
          </cell>
          <cell r="U163" t="str">
            <v>040</v>
          </cell>
          <cell r="V163" t="str">
            <v xml:space="preserve"> 7B 3D</v>
          </cell>
          <cell r="W163" t="str">
            <v>U1250</v>
          </cell>
          <cell r="Y163" t="str">
            <v>U1250E</v>
          </cell>
          <cell r="Z163" t="str">
            <v>AAA</v>
          </cell>
          <cell r="AB163" t="str">
            <v>U</v>
          </cell>
          <cell r="AD163" t="str">
            <v>*</v>
          </cell>
          <cell r="AE163" t="str">
            <v>2J653</v>
          </cell>
          <cell r="AF163" t="str">
            <v>021223</v>
          </cell>
          <cell r="AI163" t="str">
            <v>*</v>
          </cell>
          <cell r="AJ163" t="str">
            <v>T</v>
          </cell>
          <cell r="AT163" t="str">
            <v>A</v>
          </cell>
          <cell r="AU163" t="str">
            <v>0</v>
          </cell>
          <cell r="AV163" t="str">
            <v>3</v>
          </cell>
          <cell r="BE163" t="str">
            <v>ﾙ</v>
          </cell>
          <cell r="BF163" t="str">
            <v>0002</v>
          </cell>
          <cell r="BG163" t="str">
            <v>2J618</v>
          </cell>
          <cell r="BH163" t="str">
            <v>5P</v>
          </cell>
          <cell r="BI163" t="str">
            <v>020</v>
          </cell>
        </row>
        <row r="164">
          <cell r="T164" t="str">
            <v>5Q</v>
          </cell>
          <cell r="U164" t="str">
            <v>040</v>
          </cell>
          <cell r="V164" t="str">
            <v xml:space="preserve"> 7B 3D</v>
          </cell>
          <cell r="W164" t="str">
            <v>U1350</v>
          </cell>
          <cell r="Y164" t="str">
            <v>U1350E</v>
          </cell>
          <cell r="Z164" t="str">
            <v>AAA</v>
          </cell>
          <cell r="AB164" t="str">
            <v>U</v>
          </cell>
          <cell r="AD164" t="str">
            <v>*</v>
          </cell>
          <cell r="AE164" t="str">
            <v>2J653</v>
          </cell>
          <cell r="AF164" t="str">
            <v>021223</v>
          </cell>
          <cell r="AI164" t="str">
            <v>*</v>
          </cell>
          <cell r="AJ164" t="str">
            <v>T</v>
          </cell>
          <cell r="AT164" t="str">
            <v>A</v>
          </cell>
          <cell r="AU164" t="str">
            <v>0</v>
          </cell>
          <cell r="AV164" t="str">
            <v>3</v>
          </cell>
          <cell r="BE164" t="str">
            <v>ﾙ</v>
          </cell>
          <cell r="BF164" t="str">
            <v>0002</v>
          </cell>
          <cell r="BG164" t="str">
            <v>2J618</v>
          </cell>
          <cell r="BH164" t="str">
            <v>5P</v>
          </cell>
          <cell r="BI164" t="str">
            <v>020</v>
          </cell>
        </row>
        <row r="165">
          <cell r="T165" t="str">
            <v>5Q</v>
          </cell>
          <cell r="U165" t="str">
            <v>040</v>
          </cell>
          <cell r="V165" t="str">
            <v xml:space="preserve"> 7B 3D</v>
          </cell>
          <cell r="W165" t="str">
            <v>U1150</v>
          </cell>
          <cell r="Y165" t="str">
            <v>U1150E</v>
          </cell>
          <cell r="Z165" t="str">
            <v>AAA</v>
          </cell>
          <cell r="AB165" t="str">
            <v>U</v>
          </cell>
          <cell r="AD165" t="str">
            <v>*</v>
          </cell>
          <cell r="AE165" t="str">
            <v>2J653</v>
          </cell>
          <cell r="AF165" t="str">
            <v>021223</v>
          </cell>
          <cell r="AI165" t="str">
            <v>*</v>
          </cell>
          <cell r="AJ165" t="str">
            <v>T</v>
          </cell>
          <cell r="AT165" t="str">
            <v>A</v>
          </cell>
          <cell r="AU165" t="str">
            <v>0</v>
          </cell>
          <cell r="AV165" t="str">
            <v>3</v>
          </cell>
          <cell r="BE165" t="str">
            <v>ﾙ</v>
          </cell>
          <cell r="BF165" t="str">
            <v>0002</v>
          </cell>
          <cell r="BG165" t="str">
            <v>2J618</v>
          </cell>
          <cell r="BH165" t="str">
            <v>5P</v>
          </cell>
          <cell r="BI165" t="str">
            <v>020</v>
          </cell>
        </row>
        <row r="166">
          <cell r="T166" t="str">
            <v>5Q</v>
          </cell>
          <cell r="U166" t="str">
            <v>040</v>
          </cell>
          <cell r="V166" t="str">
            <v xml:space="preserve"> 7B 3A</v>
          </cell>
          <cell r="W166" t="str">
            <v>U1100</v>
          </cell>
          <cell r="Y166" t="str">
            <v>U1100E</v>
          </cell>
          <cell r="Z166" t="str">
            <v>AAC</v>
          </cell>
          <cell r="AB166" t="str">
            <v>U</v>
          </cell>
          <cell r="AD166" t="str">
            <v>*</v>
          </cell>
          <cell r="AE166" t="str">
            <v>2J653</v>
          </cell>
          <cell r="AF166" t="str">
            <v>021223</v>
          </cell>
          <cell r="AI166" t="str">
            <v>*</v>
          </cell>
          <cell r="AJ166" t="str">
            <v>T</v>
          </cell>
          <cell r="AT166" t="str">
            <v>A</v>
          </cell>
          <cell r="AU166" t="str">
            <v>0</v>
          </cell>
          <cell r="AV166" t="str">
            <v>3</v>
          </cell>
          <cell r="BF166" t="str">
            <v>0002</v>
          </cell>
          <cell r="BG166" t="str">
            <v>S1520</v>
          </cell>
          <cell r="BH166" t="str">
            <v>5P</v>
          </cell>
          <cell r="BI166" t="str">
            <v>020</v>
          </cell>
        </row>
        <row r="167">
          <cell r="T167" t="str">
            <v>5Q</v>
          </cell>
          <cell r="U167" t="str">
            <v>040</v>
          </cell>
          <cell r="V167" t="str">
            <v xml:space="preserve"> 7B 3A</v>
          </cell>
          <cell r="W167" t="str">
            <v>U1250</v>
          </cell>
          <cell r="Y167" t="str">
            <v>U1250E</v>
          </cell>
          <cell r="Z167" t="str">
            <v>AAB</v>
          </cell>
          <cell r="AB167" t="str">
            <v>U</v>
          </cell>
          <cell r="AD167" t="str">
            <v>*</v>
          </cell>
          <cell r="AE167" t="str">
            <v>2J653</v>
          </cell>
          <cell r="AF167" t="str">
            <v>021223</v>
          </cell>
          <cell r="AI167" t="str">
            <v>*</v>
          </cell>
          <cell r="AJ167" t="str">
            <v>T</v>
          </cell>
          <cell r="AT167" t="str">
            <v>A</v>
          </cell>
          <cell r="AU167" t="str">
            <v>0</v>
          </cell>
          <cell r="AV167" t="str">
            <v>3</v>
          </cell>
          <cell r="BE167" t="str">
            <v>ﾙ</v>
          </cell>
          <cell r="BF167" t="str">
            <v>0002</v>
          </cell>
          <cell r="BG167" t="str">
            <v>S1167</v>
          </cell>
          <cell r="BH167" t="str">
            <v>5P</v>
          </cell>
          <cell r="BI167" t="str">
            <v>020</v>
          </cell>
        </row>
        <row r="168">
          <cell r="T168" t="str">
            <v>5Q</v>
          </cell>
          <cell r="U168" t="str">
            <v>040</v>
          </cell>
          <cell r="V168" t="str">
            <v xml:space="preserve"> 7B 3A</v>
          </cell>
          <cell r="W168" t="str">
            <v>U1200</v>
          </cell>
          <cell r="Y168" t="str">
            <v>U1200E</v>
          </cell>
          <cell r="Z168" t="str">
            <v>AAB</v>
          </cell>
          <cell r="AB168" t="str">
            <v>U</v>
          </cell>
          <cell r="AD168" t="str">
            <v>*</v>
          </cell>
          <cell r="AE168" t="str">
            <v>2J653</v>
          </cell>
          <cell r="AF168" t="str">
            <v>021223</v>
          </cell>
          <cell r="AI168" t="str">
            <v>*</v>
          </cell>
          <cell r="AJ168" t="str">
            <v>T</v>
          </cell>
          <cell r="AT168" t="str">
            <v>A</v>
          </cell>
          <cell r="AU168" t="str">
            <v>0</v>
          </cell>
          <cell r="AV168" t="str">
            <v>3</v>
          </cell>
          <cell r="BE168" t="str">
            <v>ﾙ</v>
          </cell>
          <cell r="BF168" t="str">
            <v>0002</v>
          </cell>
          <cell r="BG168" t="str">
            <v>S1167</v>
          </cell>
          <cell r="BH168" t="str">
            <v>5P</v>
          </cell>
          <cell r="BI168" t="str">
            <v>020</v>
          </cell>
        </row>
        <row r="169">
          <cell r="T169" t="str">
            <v>5Q</v>
          </cell>
          <cell r="U169" t="str">
            <v>040</v>
          </cell>
          <cell r="V169" t="str">
            <v xml:space="preserve"> 7B 1D</v>
          </cell>
          <cell r="W169" t="str">
            <v>U7080</v>
          </cell>
          <cell r="Y169" t="str">
            <v>U7080E</v>
          </cell>
          <cell r="Z169" t="str">
            <v>AAA</v>
          </cell>
          <cell r="AB169" t="str">
            <v>T</v>
          </cell>
          <cell r="AD169" t="str">
            <v>*</v>
          </cell>
          <cell r="AE169" t="str">
            <v>2J653</v>
          </cell>
          <cell r="AF169" t="str">
            <v>021223</v>
          </cell>
          <cell r="AI169" t="str">
            <v>*</v>
          </cell>
          <cell r="AJ169" t="str">
            <v>T</v>
          </cell>
          <cell r="AT169" t="str">
            <v>A</v>
          </cell>
          <cell r="AU169" t="str">
            <v>0</v>
          </cell>
          <cell r="AV169" t="str">
            <v>3</v>
          </cell>
          <cell r="BE169" t="str">
            <v>ﾙ</v>
          </cell>
          <cell r="BF169" t="str">
            <v>0005</v>
          </cell>
          <cell r="BG169" t="str">
            <v>2J619</v>
          </cell>
          <cell r="BH169" t="str">
            <v>5Q</v>
          </cell>
          <cell r="BI169" t="str">
            <v>020</v>
          </cell>
        </row>
        <row r="170">
          <cell r="T170" t="str">
            <v>5Q</v>
          </cell>
          <cell r="U170" t="str">
            <v>040</v>
          </cell>
          <cell r="V170" t="str">
            <v xml:space="preserve"> 7B 1D</v>
          </cell>
          <cell r="W170" t="str">
            <v>U7510</v>
          </cell>
          <cell r="Y170" t="str">
            <v>U7510E</v>
          </cell>
          <cell r="Z170" t="str">
            <v>AAL</v>
          </cell>
          <cell r="AB170" t="str">
            <v>T</v>
          </cell>
          <cell r="AD170" t="str">
            <v>*</v>
          </cell>
          <cell r="AE170" t="str">
            <v>2J653</v>
          </cell>
          <cell r="AF170" t="str">
            <v>021223</v>
          </cell>
          <cell r="AI170" t="str">
            <v>*</v>
          </cell>
          <cell r="AJ170" t="str">
            <v>T</v>
          </cell>
          <cell r="AT170" t="str">
            <v>A</v>
          </cell>
          <cell r="AU170" t="str">
            <v>0</v>
          </cell>
          <cell r="AV170" t="str">
            <v>3</v>
          </cell>
          <cell r="BE170" t="str">
            <v>ﾙ</v>
          </cell>
          <cell r="BF170" t="str">
            <v>0005</v>
          </cell>
          <cell r="BG170" t="str">
            <v>2J619</v>
          </cell>
          <cell r="BH170" t="str">
            <v>5Q</v>
          </cell>
          <cell r="BI170" t="str">
            <v>020</v>
          </cell>
        </row>
        <row r="171">
          <cell r="T171" t="str">
            <v>5Q</v>
          </cell>
          <cell r="U171" t="str">
            <v>040</v>
          </cell>
          <cell r="V171" t="str">
            <v xml:space="preserve"> 7B 1C</v>
          </cell>
          <cell r="W171" t="str">
            <v>U4100</v>
          </cell>
          <cell r="Y171" t="str">
            <v>U4100E</v>
          </cell>
          <cell r="Z171" t="str">
            <v>AAB</v>
          </cell>
          <cell r="AB171" t="str">
            <v>T</v>
          </cell>
          <cell r="AD171" t="str">
            <v>*</v>
          </cell>
          <cell r="AE171" t="str">
            <v>2J653</v>
          </cell>
          <cell r="AF171" t="str">
            <v>021223</v>
          </cell>
          <cell r="AI171" t="str">
            <v>*</v>
          </cell>
          <cell r="AJ171" t="str">
            <v>T</v>
          </cell>
          <cell r="AT171" t="str">
            <v>A</v>
          </cell>
          <cell r="AU171" t="str">
            <v>0</v>
          </cell>
          <cell r="AV171" t="str">
            <v>5</v>
          </cell>
          <cell r="BE171" t="str">
            <v>B</v>
          </cell>
          <cell r="BF171" t="str">
            <v>0005</v>
          </cell>
          <cell r="BG171" t="str">
            <v>Z6366</v>
          </cell>
          <cell r="BH171" t="str">
            <v>5Q</v>
          </cell>
          <cell r="BI171" t="str">
            <v>020</v>
          </cell>
        </row>
        <row r="172">
          <cell r="T172" t="str">
            <v>5Q</v>
          </cell>
          <cell r="U172" t="str">
            <v>040</v>
          </cell>
          <cell r="V172" t="str">
            <v xml:space="preserve"> 7B 1C</v>
          </cell>
          <cell r="W172" t="str">
            <v>U4200</v>
          </cell>
          <cell r="Y172" t="str">
            <v>U4200E</v>
          </cell>
          <cell r="Z172" t="str">
            <v>AAC</v>
          </cell>
          <cell r="AB172" t="str">
            <v>T</v>
          </cell>
          <cell r="AD172" t="str">
            <v>*</v>
          </cell>
          <cell r="AE172" t="str">
            <v>2J653</v>
          </cell>
          <cell r="AF172" t="str">
            <v>021223</v>
          </cell>
          <cell r="AI172" t="str">
            <v>*</v>
          </cell>
          <cell r="AJ172" t="str">
            <v>T</v>
          </cell>
          <cell r="AT172" t="str">
            <v>A</v>
          </cell>
          <cell r="AU172" t="str">
            <v>0</v>
          </cell>
          <cell r="AV172" t="str">
            <v>5</v>
          </cell>
          <cell r="BE172" t="str">
            <v>B</v>
          </cell>
          <cell r="BF172" t="str">
            <v>0005</v>
          </cell>
          <cell r="BG172" t="str">
            <v>Z6366</v>
          </cell>
          <cell r="BH172" t="str">
            <v>5Q</v>
          </cell>
          <cell r="BI172" t="str">
            <v>020</v>
          </cell>
        </row>
        <row r="173">
          <cell r="T173" t="str">
            <v>5Q</v>
          </cell>
          <cell r="U173" t="str">
            <v>040</v>
          </cell>
          <cell r="V173" t="str">
            <v xml:space="preserve"> 7B 1D</v>
          </cell>
          <cell r="W173" t="str">
            <v>U7030</v>
          </cell>
          <cell r="Y173" t="str">
            <v>U7030E</v>
          </cell>
          <cell r="Z173" t="str">
            <v>AAA</v>
          </cell>
          <cell r="AB173" t="str">
            <v>T</v>
          </cell>
          <cell r="AD173" t="str">
            <v>*</v>
          </cell>
          <cell r="AE173" t="str">
            <v>2J653</v>
          </cell>
          <cell r="AF173" t="str">
            <v>021223</v>
          </cell>
          <cell r="AI173" t="str">
            <v>*</v>
          </cell>
          <cell r="AJ173" t="str">
            <v>T</v>
          </cell>
          <cell r="AT173" t="str">
            <v>A</v>
          </cell>
          <cell r="AU173" t="str">
            <v>0</v>
          </cell>
          <cell r="AV173" t="str">
            <v>3</v>
          </cell>
          <cell r="BE173" t="str">
            <v>ﾙ</v>
          </cell>
          <cell r="BF173" t="str">
            <v>0005</v>
          </cell>
        </row>
        <row r="174">
          <cell r="T174" t="str">
            <v>5Q</v>
          </cell>
          <cell r="U174" t="str">
            <v>040</v>
          </cell>
          <cell r="V174" t="str">
            <v xml:space="preserve"> 7B 1D</v>
          </cell>
          <cell r="W174" t="str">
            <v>U7460</v>
          </cell>
          <cell r="Y174" t="str">
            <v>U7460E</v>
          </cell>
          <cell r="Z174" t="str">
            <v>AAA</v>
          </cell>
          <cell r="AB174" t="str">
            <v>T</v>
          </cell>
          <cell r="AD174" t="str">
            <v>*</v>
          </cell>
          <cell r="AE174" t="str">
            <v>2J653</v>
          </cell>
          <cell r="AF174" t="str">
            <v>021223</v>
          </cell>
          <cell r="AI174" t="str">
            <v>*</v>
          </cell>
          <cell r="AJ174" t="str">
            <v>T</v>
          </cell>
          <cell r="AT174" t="str">
            <v>A</v>
          </cell>
          <cell r="AU174" t="str">
            <v>0</v>
          </cell>
          <cell r="AV174" t="str">
            <v>3</v>
          </cell>
          <cell r="BE174" t="str">
            <v>ﾙ</v>
          </cell>
          <cell r="BF174" t="str">
            <v>0008</v>
          </cell>
          <cell r="BG174" t="str">
            <v>2J619</v>
          </cell>
          <cell r="BH174" t="str">
            <v>5Q</v>
          </cell>
          <cell r="BI174" t="str">
            <v>020</v>
          </cell>
        </row>
        <row r="175">
          <cell r="T175" t="str">
            <v>5Q</v>
          </cell>
          <cell r="U175" t="str">
            <v>040</v>
          </cell>
          <cell r="V175" t="str">
            <v xml:space="preserve"> 7B 1D</v>
          </cell>
          <cell r="W175" t="str">
            <v>U7460</v>
          </cell>
          <cell r="Y175" t="str">
            <v>U7460E</v>
          </cell>
          <cell r="Z175" t="str">
            <v>AAB</v>
          </cell>
          <cell r="AB175" t="str">
            <v>T</v>
          </cell>
          <cell r="AD175" t="str">
            <v>*</v>
          </cell>
          <cell r="AE175" t="str">
            <v>2J653</v>
          </cell>
          <cell r="AF175" t="str">
            <v>021223</v>
          </cell>
          <cell r="AI175" t="str">
            <v>*</v>
          </cell>
          <cell r="AJ175" t="str">
            <v>T</v>
          </cell>
          <cell r="AT175" t="str">
            <v>A</v>
          </cell>
          <cell r="AU175" t="str">
            <v>0</v>
          </cell>
          <cell r="AV175" t="str">
            <v>3</v>
          </cell>
          <cell r="BE175" t="str">
            <v>ﾙ</v>
          </cell>
          <cell r="BF175" t="str">
            <v>0008</v>
          </cell>
          <cell r="BG175" t="str">
            <v>2J619</v>
          </cell>
          <cell r="BH175" t="str">
            <v>5Q</v>
          </cell>
          <cell r="BI175" t="str">
            <v>020</v>
          </cell>
        </row>
        <row r="176">
          <cell r="T176" t="str">
            <v>5Q</v>
          </cell>
          <cell r="U176" t="str">
            <v>040</v>
          </cell>
          <cell r="V176" t="str">
            <v xml:space="preserve"> 7B 1D</v>
          </cell>
          <cell r="W176" t="str">
            <v>U7460</v>
          </cell>
          <cell r="Y176" t="str">
            <v>U7460E</v>
          </cell>
          <cell r="Z176" t="str">
            <v>AAC</v>
          </cell>
          <cell r="AB176" t="str">
            <v>T</v>
          </cell>
          <cell r="AD176" t="str">
            <v>*</v>
          </cell>
          <cell r="AE176" t="str">
            <v>2J653</v>
          </cell>
          <cell r="AF176" t="str">
            <v>021223</v>
          </cell>
          <cell r="AI176" t="str">
            <v>*</v>
          </cell>
          <cell r="AJ176" t="str">
            <v>T</v>
          </cell>
          <cell r="AT176" t="str">
            <v>A</v>
          </cell>
          <cell r="AU176" t="str">
            <v>0</v>
          </cell>
          <cell r="AV176" t="str">
            <v>3</v>
          </cell>
          <cell r="BE176" t="str">
            <v>ﾙ</v>
          </cell>
          <cell r="BF176" t="str">
            <v>0008</v>
          </cell>
          <cell r="BG176" t="str">
            <v>2J619</v>
          </cell>
          <cell r="BH176" t="str">
            <v>5Q</v>
          </cell>
          <cell r="BI176" t="str">
            <v>020</v>
          </cell>
        </row>
        <row r="177">
          <cell r="T177" t="str">
            <v>5Q</v>
          </cell>
          <cell r="U177" t="str">
            <v>040</v>
          </cell>
          <cell r="V177" t="str">
            <v xml:space="preserve"> 7B 3A</v>
          </cell>
          <cell r="W177" t="str">
            <v>U1150</v>
          </cell>
          <cell r="Y177" t="str">
            <v>U1150E</v>
          </cell>
          <cell r="Z177" t="str">
            <v>AAB</v>
          </cell>
          <cell r="AB177" t="str">
            <v>U</v>
          </cell>
          <cell r="AD177" t="str">
            <v>*</v>
          </cell>
          <cell r="AE177" t="str">
            <v>2J653</v>
          </cell>
          <cell r="AF177" t="str">
            <v>021223</v>
          </cell>
          <cell r="AI177" t="str">
            <v>*</v>
          </cell>
          <cell r="AJ177" t="str">
            <v>T</v>
          </cell>
          <cell r="AT177" t="str">
            <v>A</v>
          </cell>
          <cell r="AU177" t="str">
            <v>0</v>
          </cell>
          <cell r="AV177" t="str">
            <v>3</v>
          </cell>
          <cell r="BE177" t="str">
            <v>ﾙ</v>
          </cell>
          <cell r="BF177" t="str">
            <v>0002</v>
          </cell>
          <cell r="BG177" t="str">
            <v>Z6369</v>
          </cell>
          <cell r="BH177" t="str">
            <v>5P</v>
          </cell>
          <cell r="BI177" t="str">
            <v>020</v>
          </cell>
        </row>
        <row r="178">
          <cell r="T178" t="str">
            <v>5Q</v>
          </cell>
          <cell r="U178" t="str">
            <v>040</v>
          </cell>
          <cell r="V178" t="str">
            <v xml:space="preserve"> 7B 3A</v>
          </cell>
          <cell r="W178" t="str">
            <v>U1300</v>
          </cell>
          <cell r="Y178" t="str">
            <v>U1300E</v>
          </cell>
          <cell r="Z178" t="str">
            <v>AAA</v>
          </cell>
          <cell r="AB178" t="str">
            <v>U</v>
          </cell>
          <cell r="AD178" t="str">
            <v>*</v>
          </cell>
          <cell r="AE178" t="str">
            <v>2J653</v>
          </cell>
          <cell r="AF178" t="str">
            <v>021223</v>
          </cell>
          <cell r="AI178" t="str">
            <v>*</v>
          </cell>
          <cell r="AJ178" t="str">
            <v>T</v>
          </cell>
          <cell r="AT178" t="str">
            <v>A</v>
          </cell>
          <cell r="AU178" t="str">
            <v>0</v>
          </cell>
          <cell r="AV178" t="str">
            <v>3</v>
          </cell>
          <cell r="BE178" t="str">
            <v>ﾙ</v>
          </cell>
          <cell r="BF178" t="str">
            <v>0002</v>
          </cell>
          <cell r="BG178" t="str">
            <v>2J618</v>
          </cell>
          <cell r="BH178" t="str">
            <v>5P</v>
          </cell>
          <cell r="BI178" t="str">
            <v>020</v>
          </cell>
        </row>
        <row r="179">
          <cell r="T179" t="str">
            <v>5Q</v>
          </cell>
          <cell r="U179" t="str">
            <v>040</v>
          </cell>
          <cell r="V179" t="str">
            <v xml:space="preserve"> 7B 3A</v>
          </cell>
          <cell r="W179" t="str">
            <v>U1500</v>
          </cell>
          <cell r="Y179" t="str">
            <v>U1500E</v>
          </cell>
          <cell r="Z179" t="str">
            <v>AAA</v>
          </cell>
          <cell r="AB179" t="str">
            <v>U</v>
          </cell>
          <cell r="AD179" t="str">
            <v>*</v>
          </cell>
          <cell r="AE179" t="str">
            <v>2J653</v>
          </cell>
          <cell r="AF179" t="str">
            <v>021223</v>
          </cell>
          <cell r="AI179" t="str">
            <v>*</v>
          </cell>
          <cell r="AJ179" t="str">
            <v>T</v>
          </cell>
          <cell r="AT179" t="str">
            <v>A</v>
          </cell>
          <cell r="AU179" t="str">
            <v>0</v>
          </cell>
          <cell r="AV179" t="str">
            <v>3</v>
          </cell>
          <cell r="BE179" t="str">
            <v>ﾙ</v>
          </cell>
          <cell r="BF179" t="str">
            <v>0002</v>
          </cell>
          <cell r="BG179" t="str">
            <v>2J618</v>
          </cell>
          <cell r="BH179" t="str">
            <v>5P</v>
          </cell>
          <cell r="BI179" t="str">
            <v>020</v>
          </cell>
        </row>
        <row r="180">
          <cell r="T180" t="str">
            <v>5Q</v>
          </cell>
          <cell r="U180" t="str">
            <v>040</v>
          </cell>
          <cell r="V180" t="str">
            <v xml:space="preserve"> 7B 3A</v>
          </cell>
          <cell r="W180" t="str">
            <v>U1550</v>
          </cell>
          <cell r="Y180" t="str">
            <v>U1550E</v>
          </cell>
          <cell r="Z180" t="str">
            <v>AAA</v>
          </cell>
          <cell r="AB180" t="str">
            <v>U</v>
          </cell>
          <cell r="AD180" t="str">
            <v>*</v>
          </cell>
          <cell r="AE180" t="str">
            <v>2J653</v>
          </cell>
          <cell r="AF180" t="str">
            <v>021223</v>
          </cell>
          <cell r="AI180" t="str">
            <v>*</v>
          </cell>
          <cell r="AJ180" t="str">
            <v>T</v>
          </cell>
          <cell r="AT180" t="str">
            <v>A</v>
          </cell>
          <cell r="AU180" t="str">
            <v>0</v>
          </cell>
          <cell r="AV180" t="str">
            <v>3</v>
          </cell>
          <cell r="BE180" t="str">
            <v>ﾙ</v>
          </cell>
          <cell r="BF180" t="str">
            <v>0002</v>
          </cell>
          <cell r="BG180" t="str">
            <v>2J618</v>
          </cell>
          <cell r="BH180" t="str">
            <v>5P</v>
          </cell>
          <cell r="BI180" t="str">
            <v>020</v>
          </cell>
        </row>
        <row r="181">
          <cell r="T181" t="str">
            <v>5Q</v>
          </cell>
          <cell r="U181" t="str">
            <v>040</v>
          </cell>
          <cell r="V181" t="str">
            <v xml:space="preserve"> 7B 3C</v>
          </cell>
          <cell r="W181" t="str">
            <v>U1000</v>
          </cell>
          <cell r="X181" t="str">
            <v xml:space="preserve"> 7B 3C</v>
          </cell>
          <cell r="Y181" t="str">
            <v>U1780Y</v>
          </cell>
          <cell r="Z181" t="str">
            <v>AAH</v>
          </cell>
          <cell r="AB181" t="str">
            <v>U</v>
          </cell>
          <cell r="AD181" t="str">
            <v>*</v>
          </cell>
          <cell r="AE181" t="str">
            <v>JBN49</v>
          </cell>
          <cell r="AF181" t="str">
            <v>020701</v>
          </cell>
          <cell r="AI181" t="str">
            <v>*</v>
          </cell>
          <cell r="AJ181" t="str">
            <v>T</v>
          </cell>
          <cell r="AT181" t="str">
            <v>A</v>
          </cell>
          <cell r="AU181" t="str">
            <v>0</v>
          </cell>
          <cell r="AV181" t="str">
            <v>3</v>
          </cell>
          <cell r="BE181" t="str">
            <v>ﾙ</v>
          </cell>
          <cell r="BF181" t="str">
            <v>0002</v>
          </cell>
          <cell r="BG181" t="str">
            <v>2J618</v>
          </cell>
        </row>
        <row r="182">
          <cell r="T182" t="str">
            <v>5Q</v>
          </cell>
          <cell r="U182" t="str">
            <v>040</v>
          </cell>
          <cell r="V182" t="str">
            <v xml:space="preserve"> 7B 3C</v>
          </cell>
          <cell r="W182" t="str">
            <v>U1000</v>
          </cell>
          <cell r="X182" t="str">
            <v xml:space="preserve"> 7B 3C</v>
          </cell>
          <cell r="Y182" t="str">
            <v>U1830Y</v>
          </cell>
          <cell r="Z182" t="str">
            <v>AAP</v>
          </cell>
          <cell r="AB182" t="str">
            <v>U</v>
          </cell>
          <cell r="AD182" t="str">
            <v>*</v>
          </cell>
          <cell r="AE182" t="str">
            <v>JBN49</v>
          </cell>
          <cell r="AF182" t="str">
            <v>020701</v>
          </cell>
          <cell r="AI182" t="str">
            <v>*</v>
          </cell>
          <cell r="AJ182" t="str">
            <v>T</v>
          </cell>
          <cell r="AT182" t="str">
            <v>A</v>
          </cell>
          <cell r="AU182" t="str">
            <v>0</v>
          </cell>
          <cell r="AV182" t="str">
            <v>3</v>
          </cell>
          <cell r="BE182" t="str">
            <v>ﾙ</v>
          </cell>
          <cell r="BF182" t="str">
            <v>0002</v>
          </cell>
          <cell r="BG182" t="str">
            <v>S1269</v>
          </cell>
        </row>
        <row r="183">
          <cell r="T183" t="str">
            <v>5Q</v>
          </cell>
          <cell r="U183" t="str">
            <v>040</v>
          </cell>
          <cell r="V183" t="str">
            <v xml:space="preserve"> 7B 3D</v>
          </cell>
          <cell r="W183" t="str">
            <v>U1300</v>
          </cell>
          <cell r="Y183" t="str">
            <v>U1300E</v>
          </cell>
          <cell r="Z183" t="str">
            <v>AAA</v>
          </cell>
          <cell r="AB183" t="str">
            <v>U</v>
          </cell>
          <cell r="AD183" t="str">
            <v>*</v>
          </cell>
          <cell r="AE183" t="str">
            <v>2J653</v>
          </cell>
          <cell r="AF183" t="str">
            <v>021223</v>
          </cell>
          <cell r="AI183" t="str">
            <v>*</v>
          </cell>
          <cell r="AJ183" t="str">
            <v>T</v>
          </cell>
          <cell r="AT183" t="str">
            <v>A</v>
          </cell>
          <cell r="AU183" t="str">
            <v>0</v>
          </cell>
          <cell r="AV183" t="str">
            <v>3</v>
          </cell>
          <cell r="BE183" t="str">
            <v>ﾙ</v>
          </cell>
          <cell r="BF183" t="str">
            <v>0002</v>
          </cell>
          <cell r="BG183" t="str">
            <v>2J618</v>
          </cell>
          <cell r="BH183" t="str">
            <v>5P</v>
          </cell>
          <cell r="BI183" t="str">
            <v>020</v>
          </cell>
        </row>
        <row r="184">
          <cell r="T184" t="str">
            <v>5Q</v>
          </cell>
          <cell r="U184" t="str">
            <v>040</v>
          </cell>
          <cell r="V184" t="str">
            <v xml:space="preserve"> 7B 1D</v>
          </cell>
          <cell r="W184" t="str">
            <v>U7120</v>
          </cell>
          <cell r="Y184" t="str">
            <v>U7120E</v>
          </cell>
          <cell r="Z184" t="str">
            <v>AAA</v>
          </cell>
          <cell r="AB184" t="str">
            <v>T</v>
          </cell>
          <cell r="AD184" t="str">
            <v>*</v>
          </cell>
          <cell r="AE184" t="str">
            <v>2J653</v>
          </cell>
          <cell r="AF184" t="str">
            <v>021223</v>
          </cell>
          <cell r="AI184" t="str">
            <v>*</v>
          </cell>
          <cell r="AJ184" t="str">
            <v>T</v>
          </cell>
          <cell r="AT184" t="str">
            <v>3</v>
          </cell>
          <cell r="AU184" t="str">
            <v>0</v>
          </cell>
          <cell r="AV184" t="str">
            <v>7</v>
          </cell>
          <cell r="BE184" t="str">
            <v>ﾙ</v>
          </cell>
          <cell r="BF184" t="str">
            <v>0005</v>
          </cell>
          <cell r="BG184" t="str">
            <v>Z6327</v>
          </cell>
        </row>
        <row r="185">
          <cell r="T185" t="str">
            <v>5Q</v>
          </cell>
          <cell r="U185" t="str">
            <v>040</v>
          </cell>
          <cell r="V185" t="str">
            <v xml:space="preserve"> 7B 1D</v>
          </cell>
          <cell r="W185" t="str">
            <v>U7440</v>
          </cell>
          <cell r="Y185" t="str">
            <v>U7440E</v>
          </cell>
          <cell r="Z185" t="str">
            <v>AAA</v>
          </cell>
          <cell r="AB185" t="str">
            <v>T</v>
          </cell>
          <cell r="AD185" t="str">
            <v>*</v>
          </cell>
          <cell r="AE185" t="str">
            <v>2J653</v>
          </cell>
          <cell r="AF185" t="str">
            <v>021223</v>
          </cell>
          <cell r="AI185" t="str">
            <v>*</v>
          </cell>
          <cell r="AJ185" t="str">
            <v>T</v>
          </cell>
          <cell r="AT185" t="str">
            <v>3</v>
          </cell>
          <cell r="AU185" t="str">
            <v>0</v>
          </cell>
          <cell r="AV185" t="str">
            <v>7</v>
          </cell>
          <cell r="BE185" t="str">
            <v>ﾙ</v>
          </cell>
          <cell r="BF185" t="str">
            <v>0008</v>
          </cell>
          <cell r="BG185" t="str">
            <v>2S012</v>
          </cell>
          <cell r="BH185" t="str">
            <v>5R</v>
          </cell>
          <cell r="BI185" t="str">
            <v>020</v>
          </cell>
        </row>
        <row r="186">
          <cell r="T186" t="str">
            <v>5Q</v>
          </cell>
          <cell r="U186" t="str">
            <v>040</v>
          </cell>
          <cell r="V186" t="str">
            <v>12E</v>
          </cell>
          <cell r="W186" t="str">
            <v>U0520</v>
          </cell>
          <cell r="Y186" t="str">
            <v>U0520E</v>
          </cell>
          <cell r="Z186" t="str">
            <v>AAC</v>
          </cell>
          <cell r="AB186" t="str">
            <v>T</v>
          </cell>
          <cell r="AD186" t="str">
            <v>*</v>
          </cell>
          <cell r="AE186" t="str">
            <v>2J653</v>
          </cell>
          <cell r="AF186" t="str">
            <v>021223</v>
          </cell>
          <cell r="AI186" t="str">
            <v>*</v>
          </cell>
          <cell r="AJ186" t="str">
            <v>T</v>
          </cell>
          <cell r="AT186" t="str">
            <v>A</v>
          </cell>
          <cell r="AU186" t="str">
            <v>0</v>
          </cell>
          <cell r="AV186" t="str">
            <v>3</v>
          </cell>
          <cell r="BE186" t="str">
            <v>ｲ</v>
          </cell>
          <cell r="BF186" t="str">
            <v>0004</v>
          </cell>
          <cell r="BG186" t="str">
            <v>Z6414</v>
          </cell>
          <cell r="BH186" t="str">
            <v>5P</v>
          </cell>
          <cell r="BI186" t="str">
            <v>020</v>
          </cell>
        </row>
        <row r="187">
          <cell r="T187" t="str">
            <v>5Q</v>
          </cell>
          <cell r="U187" t="str">
            <v>040</v>
          </cell>
          <cell r="V187" t="str">
            <v xml:space="preserve"> 5D</v>
          </cell>
          <cell r="W187" t="str">
            <v>U5160</v>
          </cell>
          <cell r="Y187" t="str">
            <v>U5160E</v>
          </cell>
          <cell r="Z187" t="str">
            <v>AAD</v>
          </cell>
          <cell r="AB187" t="str">
            <v>F</v>
          </cell>
          <cell r="AD187" t="str">
            <v>*</v>
          </cell>
          <cell r="AE187" t="str">
            <v>2J653</v>
          </cell>
          <cell r="AF187" t="str">
            <v>021223</v>
          </cell>
          <cell r="AI187" t="str">
            <v>*</v>
          </cell>
          <cell r="AJ187" t="str">
            <v>T</v>
          </cell>
          <cell r="AT187" t="str">
            <v>A</v>
          </cell>
          <cell r="AU187" t="str">
            <v>0</v>
          </cell>
          <cell r="AV187" t="str">
            <v>3</v>
          </cell>
          <cell r="BE187" t="str">
            <v>ﾙ</v>
          </cell>
          <cell r="BF187" t="str">
            <v>0052</v>
          </cell>
          <cell r="BG187" t="str">
            <v>Z6339</v>
          </cell>
          <cell r="BH187" t="str">
            <v>5R</v>
          </cell>
          <cell r="BI187" t="str">
            <v>020</v>
          </cell>
        </row>
        <row r="188">
          <cell r="T188" t="str">
            <v>5Q</v>
          </cell>
          <cell r="U188" t="str">
            <v>040</v>
          </cell>
          <cell r="V188" t="str">
            <v xml:space="preserve"> 7B 3A</v>
          </cell>
          <cell r="W188" t="str">
            <v>U0140</v>
          </cell>
          <cell r="Y188" t="str">
            <v>U0140E</v>
          </cell>
          <cell r="Z188" t="str">
            <v>AAA</v>
          </cell>
          <cell r="AB188" t="str">
            <v>U</v>
          </cell>
          <cell r="AD188" t="str">
            <v>*</v>
          </cell>
          <cell r="AE188" t="str">
            <v>2J653</v>
          </cell>
          <cell r="AF188" t="str">
            <v>021223</v>
          </cell>
          <cell r="AI188" t="str">
            <v>*</v>
          </cell>
          <cell r="AJ188" t="str">
            <v>T</v>
          </cell>
          <cell r="AT188" t="str">
            <v>A</v>
          </cell>
          <cell r="AU188" t="str">
            <v>0</v>
          </cell>
          <cell r="AV188" t="str">
            <v>3</v>
          </cell>
          <cell r="BF188" t="str">
            <v>0002</v>
          </cell>
          <cell r="BG188" t="str">
            <v>2S016</v>
          </cell>
          <cell r="BH188" t="str">
            <v>AB</v>
          </cell>
          <cell r="BI188" t="str">
            <v>020</v>
          </cell>
        </row>
        <row r="189">
          <cell r="T189" t="str">
            <v>5Q</v>
          </cell>
          <cell r="U189" t="str">
            <v>040</v>
          </cell>
          <cell r="V189" t="str">
            <v xml:space="preserve"> 7B 1D</v>
          </cell>
          <cell r="W189" t="str">
            <v>U7070</v>
          </cell>
          <cell r="X189" t="str">
            <v xml:space="preserve"> 7B 1D</v>
          </cell>
          <cell r="Y189" t="str">
            <v>U6450Y</v>
          </cell>
          <cell r="Z189" t="str">
            <v>AAC</v>
          </cell>
          <cell r="AB189" t="str">
            <v>T</v>
          </cell>
          <cell r="AD189" t="str">
            <v>X</v>
          </cell>
          <cell r="AE189" t="str">
            <v>Z6399</v>
          </cell>
          <cell r="AF189" t="str">
            <v>011022</v>
          </cell>
          <cell r="AI189" t="str">
            <v>*</v>
          </cell>
          <cell r="AJ189" t="str">
            <v>T</v>
          </cell>
          <cell r="AT189" t="str">
            <v>A</v>
          </cell>
          <cell r="AU189" t="str">
            <v>0</v>
          </cell>
          <cell r="AV189" t="str">
            <v>3</v>
          </cell>
          <cell r="BE189" t="str">
            <v>ﾙ</v>
          </cell>
          <cell r="BF189" t="str">
            <v>0005</v>
          </cell>
          <cell r="BG189" t="str">
            <v>Z6399</v>
          </cell>
        </row>
        <row r="190">
          <cell r="T190" t="str">
            <v>5Q</v>
          </cell>
          <cell r="U190" t="str">
            <v>040</v>
          </cell>
          <cell r="V190" t="str">
            <v xml:space="preserve"> 7B 1D</v>
          </cell>
          <cell r="W190" t="str">
            <v>U7510</v>
          </cell>
          <cell r="Y190" t="str">
            <v>U7510E</v>
          </cell>
          <cell r="Z190" t="str">
            <v>AAM</v>
          </cell>
          <cell r="AB190" t="str">
            <v>T</v>
          </cell>
          <cell r="AD190" t="str">
            <v>*</v>
          </cell>
          <cell r="AE190" t="str">
            <v>2J653</v>
          </cell>
          <cell r="AF190" t="str">
            <v>021223</v>
          </cell>
          <cell r="AI190" t="str">
            <v>*</v>
          </cell>
          <cell r="AJ190" t="str">
            <v>T</v>
          </cell>
          <cell r="AT190" t="str">
            <v>A</v>
          </cell>
          <cell r="AU190" t="str">
            <v>0</v>
          </cell>
          <cell r="AV190" t="str">
            <v>3</v>
          </cell>
          <cell r="BE190" t="str">
            <v>ﾙ</v>
          </cell>
          <cell r="BF190" t="str">
            <v>0005</v>
          </cell>
          <cell r="BG190" t="str">
            <v>S0979</v>
          </cell>
          <cell r="BH190" t="str">
            <v>5Q</v>
          </cell>
          <cell r="BI190" t="str">
            <v>020</v>
          </cell>
        </row>
        <row r="191">
          <cell r="T191" t="str">
            <v>5Q</v>
          </cell>
          <cell r="U191" t="str">
            <v>040</v>
          </cell>
          <cell r="V191" t="str">
            <v xml:space="preserve"> 7B 1D</v>
          </cell>
          <cell r="W191" t="str">
            <v>U7510</v>
          </cell>
          <cell r="Y191" t="str">
            <v>U7510E</v>
          </cell>
          <cell r="Z191" t="str">
            <v>AAN</v>
          </cell>
          <cell r="AB191" t="str">
            <v>T</v>
          </cell>
          <cell r="AD191" t="str">
            <v>*</v>
          </cell>
          <cell r="AE191" t="str">
            <v>2J653</v>
          </cell>
          <cell r="AF191" t="str">
            <v>021223</v>
          </cell>
          <cell r="AI191" t="str">
            <v>*</v>
          </cell>
          <cell r="AJ191" t="str">
            <v>T</v>
          </cell>
          <cell r="AT191" t="str">
            <v>A</v>
          </cell>
          <cell r="AU191" t="str">
            <v>0</v>
          </cell>
          <cell r="AV191" t="str">
            <v>3</v>
          </cell>
          <cell r="BE191" t="str">
            <v>ﾙ</v>
          </cell>
          <cell r="BF191" t="str">
            <v>0005</v>
          </cell>
          <cell r="BG191" t="str">
            <v>S0979</v>
          </cell>
          <cell r="BH191" t="str">
            <v>5Q</v>
          </cell>
          <cell r="BI191" t="str">
            <v>020</v>
          </cell>
        </row>
        <row r="192">
          <cell r="T192" t="str">
            <v>5Q</v>
          </cell>
          <cell r="U192" t="str">
            <v>040</v>
          </cell>
          <cell r="V192" t="str">
            <v xml:space="preserve"> 7B 1D</v>
          </cell>
          <cell r="W192" t="str">
            <v>U7510</v>
          </cell>
          <cell r="Y192" t="str">
            <v>U7510E</v>
          </cell>
          <cell r="Z192" t="str">
            <v>AAP</v>
          </cell>
          <cell r="AB192" t="str">
            <v>T</v>
          </cell>
          <cell r="AD192" t="str">
            <v>*</v>
          </cell>
          <cell r="AE192" t="str">
            <v>2J653</v>
          </cell>
          <cell r="AF192" t="str">
            <v>021223</v>
          </cell>
          <cell r="AI192" t="str">
            <v>*</v>
          </cell>
          <cell r="AJ192" t="str">
            <v>T</v>
          </cell>
          <cell r="AT192" t="str">
            <v>A</v>
          </cell>
          <cell r="AU192" t="str">
            <v>0</v>
          </cell>
          <cell r="AV192" t="str">
            <v>3</v>
          </cell>
          <cell r="BE192" t="str">
            <v>ﾙ</v>
          </cell>
          <cell r="BF192" t="str">
            <v>0005</v>
          </cell>
          <cell r="BG192" t="str">
            <v>S0979</v>
          </cell>
          <cell r="BH192" t="str">
            <v>5Q</v>
          </cell>
          <cell r="BI192" t="str">
            <v>020</v>
          </cell>
        </row>
        <row r="193">
          <cell r="T193" t="str">
            <v>5Q</v>
          </cell>
          <cell r="U193" t="str">
            <v>040</v>
          </cell>
          <cell r="V193" t="str">
            <v>14H</v>
          </cell>
          <cell r="W193" t="str">
            <v>U4300</v>
          </cell>
          <cell r="Y193" t="str">
            <v>U4300E</v>
          </cell>
          <cell r="Z193" t="str">
            <v>AAG</v>
          </cell>
          <cell r="AB193" t="str">
            <v>T</v>
          </cell>
          <cell r="AD193" t="str">
            <v>*</v>
          </cell>
          <cell r="AE193" t="str">
            <v>2J653</v>
          </cell>
          <cell r="AF193" t="str">
            <v>021223</v>
          </cell>
          <cell r="AI193" t="str">
            <v>*</v>
          </cell>
          <cell r="AJ193" t="str">
            <v>T</v>
          </cell>
          <cell r="AT193" t="str">
            <v>A</v>
          </cell>
          <cell r="AU193" t="str">
            <v>0</v>
          </cell>
          <cell r="AV193" t="str">
            <v>3</v>
          </cell>
          <cell r="BE193" t="str">
            <v>B</v>
          </cell>
          <cell r="BF193" t="str">
            <v>0049</v>
          </cell>
          <cell r="BG193" t="str">
            <v>JBJ03</v>
          </cell>
          <cell r="BH193" t="str">
            <v>5Q</v>
          </cell>
          <cell r="BI193" t="str">
            <v>020</v>
          </cell>
        </row>
        <row r="194">
          <cell r="T194" t="str">
            <v>5Q</v>
          </cell>
          <cell r="U194" t="str">
            <v>040</v>
          </cell>
          <cell r="V194" t="str">
            <v xml:space="preserve"> 7A</v>
          </cell>
          <cell r="W194" t="str">
            <v>U6300</v>
          </cell>
          <cell r="Y194" t="str">
            <v>U6300E</v>
          </cell>
          <cell r="Z194" t="str">
            <v>AAB</v>
          </cell>
          <cell r="AB194" t="str">
            <v>T</v>
          </cell>
          <cell r="AD194" t="str">
            <v>*</v>
          </cell>
          <cell r="AE194" t="str">
            <v>2J653</v>
          </cell>
          <cell r="AF194" t="str">
            <v>021223</v>
          </cell>
          <cell r="AI194" t="str">
            <v>*</v>
          </cell>
          <cell r="AJ194" t="str">
            <v>T</v>
          </cell>
          <cell r="AT194" t="str">
            <v>A</v>
          </cell>
          <cell r="AU194" t="str">
            <v>0</v>
          </cell>
          <cell r="AV194" t="str">
            <v>3</v>
          </cell>
          <cell r="BE194" t="str">
            <v>ﾙ</v>
          </cell>
          <cell r="BF194" t="str">
            <v>0005</v>
          </cell>
          <cell r="BG194" t="str">
            <v>Z6347</v>
          </cell>
          <cell r="BH194" t="str">
            <v>5P</v>
          </cell>
          <cell r="BI194" t="str">
            <v>020</v>
          </cell>
        </row>
        <row r="195">
          <cell r="T195" t="str">
            <v>5Q</v>
          </cell>
          <cell r="U195" t="str">
            <v>040</v>
          </cell>
          <cell r="V195" t="str">
            <v xml:space="preserve"> 7B 1B1</v>
          </cell>
          <cell r="W195" t="str">
            <v>U0900</v>
          </cell>
          <cell r="Y195" t="str">
            <v>U0900E</v>
          </cell>
          <cell r="Z195" t="str">
            <v>AAB</v>
          </cell>
          <cell r="AB195" t="str">
            <v>T</v>
          </cell>
          <cell r="AD195" t="str">
            <v>*</v>
          </cell>
          <cell r="AE195" t="str">
            <v>2J653</v>
          </cell>
          <cell r="AF195" t="str">
            <v>021223</v>
          </cell>
          <cell r="AI195" t="str">
            <v>*</v>
          </cell>
          <cell r="AJ195" t="str">
            <v>T</v>
          </cell>
          <cell r="AT195" t="str">
            <v>A</v>
          </cell>
          <cell r="AU195" t="str">
            <v>0</v>
          </cell>
          <cell r="AV195" t="str">
            <v>3</v>
          </cell>
          <cell r="BE195" t="str">
            <v>B</v>
          </cell>
          <cell r="BF195" t="str">
            <v>0004</v>
          </cell>
          <cell r="BG195" t="str">
            <v>JAE68</v>
          </cell>
          <cell r="BH195" t="str">
            <v>5Q</v>
          </cell>
          <cell r="BI195" t="str">
            <v>020</v>
          </cell>
        </row>
        <row r="196">
          <cell r="T196" t="str">
            <v>5Q</v>
          </cell>
          <cell r="U196" t="str">
            <v>040</v>
          </cell>
          <cell r="V196" t="str">
            <v xml:space="preserve"> 7B 1B1</v>
          </cell>
          <cell r="W196" t="str">
            <v>U0750</v>
          </cell>
          <cell r="Y196" t="str">
            <v>U0750E</v>
          </cell>
          <cell r="Z196" t="str">
            <v>AAB</v>
          </cell>
          <cell r="AB196" t="str">
            <v>T</v>
          </cell>
          <cell r="AD196" t="str">
            <v>*</v>
          </cell>
          <cell r="AE196" t="str">
            <v>2J653</v>
          </cell>
          <cell r="AF196" t="str">
            <v>021223</v>
          </cell>
          <cell r="AI196" t="str">
            <v>*</v>
          </cell>
          <cell r="AJ196" t="str">
            <v>T</v>
          </cell>
          <cell r="AT196" t="str">
            <v>A</v>
          </cell>
          <cell r="AU196" t="str">
            <v>0</v>
          </cell>
          <cell r="AV196" t="str">
            <v>3</v>
          </cell>
          <cell r="BE196" t="str">
            <v>B</v>
          </cell>
          <cell r="BF196" t="str">
            <v>0004</v>
          </cell>
          <cell r="BG196" t="str">
            <v>JAT76</v>
          </cell>
          <cell r="BH196" t="str">
            <v>5Q</v>
          </cell>
          <cell r="BI196" t="str">
            <v>020</v>
          </cell>
        </row>
        <row r="197">
          <cell r="T197" t="str">
            <v>5Q</v>
          </cell>
          <cell r="U197" t="str">
            <v>040</v>
          </cell>
          <cell r="V197" t="str">
            <v>12E</v>
          </cell>
          <cell r="W197" t="str">
            <v>U0500</v>
          </cell>
          <cell r="Y197" t="str">
            <v>U0500E</v>
          </cell>
          <cell r="Z197" t="str">
            <v>AAE</v>
          </cell>
          <cell r="AB197" t="str">
            <v>U</v>
          </cell>
          <cell r="AD197" t="str">
            <v>*</v>
          </cell>
          <cell r="AE197" t="str">
            <v>2J653</v>
          </cell>
          <cell r="AF197" t="str">
            <v>021223</v>
          </cell>
          <cell r="AI197" t="str">
            <v>*</v>
          </cell>
          <cell r="AJ197" t="str">
            <v>T</v>
          </cell>
          <cell r="AT197" t="str">
            <v>A</v>
          </cell>
          <cell r="AU197" t="str">
            <v>0</v>
          </cell>
          <cell r="AV197" t="str">
            <v>3</v>
          </cell>
          <cell r="BE197" t="str">
            <v>B</v>
          </cell>
          <cell r="BF197" t="str">
            <v>0002</v>
          </cell>
          <cell r="BG197" t="str">
            <v>Z6386</v>
          </cell>
          <cell r="BH197" t="str">
            <v>5P</v>
          </cell>
          <cell r="BI197" t="str">
            <v>020</v>
          </cell>
        </row>
        <row r="198">
          <cell r="T198" t="str">
            <v>5Q</v>
          </cell>
          <cell r="U198" t="str">
            <v>040</v>
          </cell>
          <cell r="V198" t="str">
            <v xml:space="preserve"> 7A</v>
          </cell>
          <cell r="W198" t="str">
            <v>U6000</v>
          </cell>
          <cell r="Y198" t="str">
            <v>U6000E</v>
          </cell>
          <cell r="Z198" t="str">
            <v>AAD</v>
          </cell>
          <cell r="AB198" t="str">
            <v>U</v>
          </cell>
          <cell r="AD198" t="str">
            <v>*</v>
          </cell>
          <cell r="AE198" t="str">
            <v>2J653</v>
          </cell>
          <cell r="AF198" t="str">
            <v>021223</v>
          </cell>
          <cell r="AI198" t="str">
            <v>*</v>
          </cell>
          <cell r="AJ198" t="str">
            <v>T</v>
          </cell>
          <cell r="AT198" t="str">
            <v>A</v>
          </cell>
          <cell r="AU198" t="str">
            <v>0</v>
          </cell>
          <cell r="AV198" t="str">
            <v>3</v>
          </cell>
          <cell r="BE198" t="str">
            <v>B</v>
          </cell>
          <cell r="BF198" t="str">
            <v>0055</v>
          </cell>
          <cell r="BG198" t="str">
            <v>JAN99</v>
          </cell>
          <cell r="BH198" t="str">
            <v>5P</v>
          </cell>
          <cell r="BI198" t="str">
            <v>020</v>
          </cell>
        </row>
        <row r="199">
          <cell r="T199" t="str">
            <v>5Q</v>
          </cell>
          <cell r="U199" t="str">
            <v>040</v>
          </cell>
          <cell r="V199" t="str">
            <v xml:space="preserve"> 7B 3A</v>
          </cell>
          <cell r="W199" t="str">
            <v>U1700</v>
          </cell>
          <cell r="Y199" t="str">
            <v>U1700E</v>
          </cell>
          <cell r="Z199" t="str">
            <v>AAD</v>
          </cell>
          <cell r="AB199" t="str">
            <v>U</v>
          </cell>
          <cell r="AD199" t="str">
            <v>*</v>
          </cell>
          <cell r="AE199" t="str">
            <v>2J653</v>
          </cell>
          <cell r="AF199" t="str">
            <v>021223</v>
          </cell>
          <cell r="AI199" t="str">
            <v>*</v>
          </cell>
          <cell r="AJ199" t="str">
            <v>T</v>
          </cell>
          <cell r="AT199" t="str">
            <v>A</v>
          </cell>
          <cell r="AU199" t="str">
            <v>0</v>
          </cell>
          <cell r="AV199" t="str">
            <v>3</v>
          </cell>
          <cell r="BE199" t="str">
            <v>ﾙ</v>
          </cell>
          <cell r="BF199" t="str">
            <v>0002</v>
          </cell>
          <cell r="BG199" t="str">
            <v>Z6389</v>
          </cell>
          <cell r="BH199" t="str">
            <v>5P</v>
          </cell>
          <cell r="BI199" t="str">
            <v>020</v>
          </cell>
        </row>
        <row r="200">
          <cell r="T200" t="str">
            <v>5Q</v>
          </cell>
          <cell r="U200" t="str">
            <v>040</v>
          </cell>
          <cell r="V200" t="str">
            <v xml:space="preserve"> 7B 3C</v>
          </cell>
          <cell r="W200" t="str">
            <v>U1000</v>
          </cell>
          <cell r="X200" t="str">
            <v xml:space="preserve"> 7B 3C</v>
          </cell>
          <cell r="Y200" t="str">
            <v>U1920Y</v>
          </cell>
          <cell r="Z200" t="str">
            <v>AAJ</v>
          </cell>
          <cell r="AB200" t="str">
            <v>U</v>
          </cell>
          <cell r="AD200" t="str">
            <v>*</v>
          </cell>
          <cell r="AE200" t="str">
            <v>JBN49</v>
          </cell>
          <cell r="AF200" t="str">
            <v>020701</v>
          </cell>
          <cell r="AI200" t="str">
            <v>*</v>
          </cell>
          <cell r="AJ200" t="str">
            <v>T</v>
          </cell>
          <cell r="AT200" t="str">
            <v>A</v>
          </cell>
          <cell r="AU200" t="str">
            <v>0</v>
          </cell>
          <cell r="AV200" t="str">
            <v>3</v>
          </cell>
          <cell r="BE200" t="str">
            <v>ﾙ</v>
          </cell>
          <cell r="BF200" t="str">
            <v>0002</v>
          </cell>
          <cell r="BG200" t="str">
            <v>Z6387</v>
          </cell>
        </row>
        <row r="201">
          <cell r="T201" t="str">
            <v>5Q</v>
          </cell>
          <cell r="U201" t="str">
            <v>040</v>
          </cell>
          <cell r="V201" t="str">
            <v xml:space="preserve"> 7A</v>
          </cell>
          <cell r="W201" t="str">
            <v>U6300</v>
          </cell>
          <cell r="Y201" t="str">
            <v>U6300E</v>
          </cell>
          <cell r="Z201" t="str">
            <v>AAC</v>
          </cell>
          <cell r="AB201" t="str">
            <v>U</v>
          </cell>
          <cell r="AD201" t="str">
            <v>*</v>
          </cell>
          <cell r="AE201" t="str">
            <v>2J653</v>
          </cell>
          <cell r="AF201" t="str">
            <v>021223</v>
          </cell>
          <cell r="AI201" t="str">
            <v>*</v>
          </cell>
          <cell r="AJ201" t="str">
            <v>T</v>
          </cell>
          <cell r="AT201" t="str">
            <v>A</v>
          </cell>
          <cell r="AU201" t="str">
            <v>0</v>
          </cell>
          <cell r="AV201" t="str">
            <v>3</v>
          </cell>
          <cell r="BE201" t="str">
            <v>B</v>
          </cell>
          <cell r="BF201" t="str">
            <v>0002</v>
          </cell>
          <cell r="BG201" t="str">
            <v>JAY70</v>
          </cell>
          <cell r="BH201" t="str">
            <v>5Q</v>
          </cell>
          <cell r="BI201" t="str">
            <v>020</v>
          </cell>
        </row>
        <row r="202">
          <cell r="T202" t="str">
            <v>5Q</v>
          </cell>
          <cell r="U202" t="str">
            <v>040</v>
          </cell>
          <cell r="V202" t="str">
            <v xml:space="preserve"> 7B 1A</v>
          </cell>
          <cell r="W202" t="str">
            <v>U7200</v>
          </cell>
          <cell r="Y202" t="str">
            <v>U7200E</v>
          </cell>
          <cell r="Z202" t="str">
            <v>AAC</v>
          </cell>
          <cell r="AB202" t="str">
            <v>T</v>
          </cell>
          <cell r="AD202" t="str">
            <v>*</v>
          </cell>
          <cell r="AE202" t="str">
            <v>2J653</v>
          </cell>
          <cell r="AF202" t="str">
            <v>021223</v>
          </cell>
          <cell r="AI202" t="str">
            <v>*</v>
          </cell>
          <cell r="AJ202" t="str">
            <v>T</v>
          </cell>
          <cell r="AT202" t="str">
            <v>A</v>
          </cell>
          <cell r="AU202" t="str">
            <v>0</v>
          </cell>
          <cell r="AV202" t="str">
            <v>3</v>
          </cell>
          <cell r="BE202" t="str">
            <v>B</v>
          </cell>
          <cell r="BF202" t="str">
            <v>0034</v>
          </cell>
          <cell r="BG202" t="str">
            <v>JAS96</v>
          </cell>
          <cell r="BH202" t="str">
            <v>5Q</v>
          </cell>
          <cell r="BI202" t="str">
            <v>020</v>
          </cell>
        </row>
        <row r="203">
          <cell r="T203" t="str">
            <v>5Q</v>
          </cell>
          <cell r="U203" t="str">
            <v>040</v>
          </cell>
          <cell r="V203" t="str">
            <v xml:space="preserve"> 7B 1A</v>
          </cell>
          <cell r="W203" t="str">
            <v>U0620</v>
          </cell>
          <cell r="X203" t="str">
            <v xml:space="preserve"> 7B 1A</v>
          </cell>
          <cell r="Y203" t="str">
            <v>U0650Y</v>
          </cell>
          <cell r="Z203" t="str">
            <v>AAJ</v>
          </cell>
          <cell r="AB203" t="str">
            <v>U</v>
          </cell>
          <cell r="AD203" t="str">
            <v>*</v>
          </cell>
          <cell r="AE203" t="str">
            <v>2J653</v>
          </cell>
          <cell r="AF203" t="str">
            <v>021223</v>
          </cell>
          <cell r="AI203" t="str">
            <v>*</v>
          </cell>
          <cell r="AJ203" t="str">
            <v>T</v>
          </cell>
          <cell r="BE203" t="str">
            <v>M</v>
          </cell>
          <cell r="BF203" t="str">
            <v>0060</v>
          </cell>
        </row>
        <row r="204">
          <cell r="T204" t="str">
            <v>5Q</v>
          </cell>
          <cell r="U204" t="str">
            <v>040</v>
          </cell>
          <cell r="V204" t="str">
            <v xml:space="preserve"> 7B 1A</v>
          </cell>
          <cell r="W204" t="str">
            <v>U0620</v>
          </cell>
          <cell r="X204" t="str">
            <v xml:space="preserve"> 7B 1A</v>
          </cell>
          <cell r="Y204" t="str">
            <v>U0650Y</v>
          </cell>
          <cell r="Z204" t="str">
            <v>AAK</v>
          </cell>
          <cell r="AB204" t="str">
            <v>U</v>
          </cell>
          <cell r="AD204" t="str">
            <v>*</v>
          </cell>
          <cell r="AE204" t="str">
            <v>2J653</v>
          </cell>
          <cell r="AF204" t="str">
            <v>021223</v>
          </cell>
          <cell r="AI204" t="str">
            <v>*</v>
          </cell>
          <cell r="AJ204" t="str">
            <v>T</v>
          </cell>
          <cell r="BE204" t="str">
            <v>M</v>
          </cell>
          <cell r="BF204" t="str">
            <v>0061</v>
          </cell>
        </row>
        <row r="205">
          <cell r="T205" t="str">
            <v>5Q</v>
          </cell>
          <cell r="U205" t="str">
            <v>040</v>
          </cell>
          <cell r="V205" t="str">
            <v xml:space="preserve"> 7B 1A</v>
          </cell>
          <cell r="W205" t="str">
            <v>U0620</v>
          </cell>
          <cell r="Y205" t="str">
            <v>U0620E</v>
          </cell>
          <cell r="Z205" t="str">
            <v>AAA</v>
          </cell>
          <cell r="AB205" t="str">
            <v>U</v>
          </cell>
          <cell r="AD205" t="str">
            <v>*</v>
          </cell>
          <cell r="AE205" t="str">
            <v>2J653</v>
          </cell>
          <cell r="AF205" t="str">
            <v>021223</v>
          </cell>
          <cell r="BE205" t="str">
            <v>M</v>
          </cell>
          <cell r="BF205" t="str">
            <v>0060</v>
          </cell>
        </row>
        <row r="206">
          <cell r="T206" t="str">
            <v>5Q</v>
          </cell>
          <cell r="U206" t="str">
            <v>040</v>
          </cell>
          <cell r="V206" t="str">
            <v xml:space="preserve"> 7B 1A</v>
          </cell>
          <cell r="W206" t="str">
            <v>U0620</v>
          </cell>
          <cell r="Y206" t="str">
            <v>U0620E</v>
          </cell>
          <cell r="Z206" t="str">
            <v>AAB</v>
          </cell>
          <cell r="AB206" t="str">
            <v>U</v>
          </cell>
          <cell r="AD206" t="str">
            <v>*</v>
          </cell>
          <cell r="AE206" t="str">
            <v>2J653</v>
          </cell>
          <cell r="AF206" t="str">
            <v>021223</v>
          </cell>
          <cell r="BE206" t="str">
            <v>M</v>
          </cell>
          <cell r="BF206" t="str">
            <v>0061</v>
          </cell>
        </row>
        <row r="207">
          <cell r="T207" t="str">
            <v>5Q</v>
          </cell>
          <cell r="U207" t="str">
            <v>040</v>
          </cell>
          <cell r="V207" t="str">
            <v xml:space="preserve"> 7B 1A</v>
          </cell>
          <cell r="W207" t="str">
            <v>U0200</v>
          </cell>
          <cell r="Y207" t="str">
            <v>U0200E</v>
          </cell>
          <cell r="Z207" t="str">
            <v>AAH</v>
          </cell>
          <cell r="AB207" t="str">
            <v>U</v>
          </cell>
          <cell r="AD207" t="str">
            <v>*</v>
          </cell>
          <cell r="AE207" t="str">
            <v>2J653</v>
          </cell>
          <cell r="AF207" t="str">
            <v>021223</v>
          </cell>
          <cell r="AI207" t="str">
            <v>*</v>
          </cell>
          <cell r="AJ207" t="str">
            <v>T</v>
          </cell>
          <cell r="BE207" t="str">
            <v>M</v>
          </cell>
          <cell r="BF207" t="str">
            <v>0059</v>
          </cell>
        </row>
        <row r="208">
          <cell r="T208" t="str">
            <v>5Q</v>
          </cell>
          <cell r="U208" t="str">
            <v>040</v>
          </cell>
          <cell r="V208" t="str">
            <v xml:space="preserve"> 7B 3A</v>
          </cell>
          <cell r="W208" t="str">
            <v>U1800</v>
          </cell>
          <cell r="Y208" t="str">
            <v>U1800E</v>
          </cell>
          <cell r="Z208" t="str">
            <v>AAB</v>
          </cell>
          <cell r="AB208" t="str">
            <v>U</v>
          </cell>
          <cell r="AD208" t="str">
            <v>*</v>
          </cell>
          <cell r="AE208" t="str">
            <v>2J653</v>
          </cell>
          <cell r="AF208" t="str">
            <v>021223</v>
          </cell>
          <cell r="AI208" t="str">
            <v>*</v>
          </cell>
          <cell r="AJ208" t="str">
            <v>T</v>
          </cell>
          <cell r="AT208" t="str">
            <v>A</v>
          </cell>
          <cell r="AU208" t="str">
            <v>0</v>
          </cell>
          <cell r="AV208" t="str">
            <v>3</v>
          </cell>
          <cell r="BE208" t="str">
            <v>ﾙ</v>
          </cell>
          <cell r="BF208" t="str">
            <v>0002</v>
          </cell>
          <cell r="BG208" t="str">
            <v>Z6372</v>
          </cell>
          <cell r="BH208" t="str">
            <v>5P</v>
          </cell>
          <cell r="BI208" t="str">
            <v>020</v>
          </cell>
        </row>
        <row r="209">
          <cell r="T209" t="str">
            <v>5Q</v>
          </cell>
          <cell r="U209" t="str">
            <v>040</v>
          </cell>
          <cell r="V209" t="str">
            <v xml:space="preserve"> 7B 1D</v>
          </cell>
          <cell r="W209" t="str">
            <v>U7320</v>
          </cell>
          <cell r="X209" t="str">
            <v xml:space="preserve"> 7B 1D</v>
          </cell>
          <cell r="Y209" t="str">
            <v>U1583Y</v>
          </cell>
          <cell r="Z209" t="str">
            <v>AAJ</v>
          </cell>
          <cell r="AB209" t="str">
            <v>T</v>
          </cell>
          <cell r="AD209" t="str">
            <v>*</v>
          </cell>
          <cell r="AE209" t="str">
            <v>JBE85</v>
          </cell>
          <cell r="AF209" t="str">
            <v>020318</v>
          </cell>
          <cell r="AI209" t="str">
            <v>*</v>
          </cell>
          <cell r="AJ209" t="str">
            <v>T</v>
          </cell>
          <cell r="AT209" t="str">
            <v>H</v>
          </cell>
          <cell r="AU209" t="str">
            <v>5</v>
          </cell>
          <cell r="AV209" t="str">
            <v>8</v>
          </cell>
          <cell r="BE209" t="str">
            <v>I</v>
          </cell>
          <cell r="BF209" t="str">
            <v>0047</v>
          </cell>
          <cell r="BG209" t="str">
            <v>V PLA</v>
          </cell>
        </row>
        <row r="210">
          <cell r="T210" t="str">
            <v>5Q</v>
          </cell>
          <cell r="U210" t="str">
            <v>040</v>
          </cell>
          <cell r="V210" t="str">
            <v xml:space="preserve"> 7B 1D</v>
          </cell>
          <cell r="W210" t="str">
            <v>U7290</v>
          </cell>
          <cell r="Y210" t="str">
            <v>U7290E</v>
          </cell>
          <cell r="Z210" t="str">
            <v>AAC</v>
          </cell>
          <cell r="AB210" t="str">
            <v>T</v>
          </cell>
          <cell r="AD210" t="str">
            <v>*</v>
          </cell>
          <cell r="AE210" t="str">
            <v>2J653</v>
          </cell>
          <cell r="AF210" t="str">
            <v>021223</v>
          </cell>
          <cell r="AI210" t="str">
            <v>*</v>
          </cell>
          <cell r="AJ210" t="str">
            <v>T</v>
          </cell>
          <cell r="AT210" t="str">
            <v>B</v>
          </cell>
          <cell r="AU210" t="str">
            <v>5</v>
          </cell>
          <cell r="AV210" t="str">
            <v>3</v>
          </cell>
          <cell r="BE210" t="str">
            <v>1</v>
          </cell>
          <cell r="BF210" t="str">
            <v>0033</v>
          </cell>
          <cell r="BG210" t="str">
            <v>V PLA</v>
          </cell>
        </row>
        <row r="211">
          <cell r="T211" t="str">
            <v>5Q</v>
          </cell>
          <cell r="U211" t="str">
            <v>040</v>
          </cell>
          <cell r="V211" t="str">
            <v>14H</v>
          </cell>
          <cell r="W211" t="str">
            <v>U4380</v>
          </cell>
          <cell r="Y211" t="str">
            <v>U4380E</v>
          </cell>
          <cell r="Z211" t="str">
            <v>AAB</v>
          </cell>
          <cell r="AB211" t="str">
            <v>T</v>
          </cell>
          <cell r="AD211" t="str">
            <v>*</v>
          </cell>
          <cell r="AE211" t="str">
            <v>2J653</v>
          </cell>
          <cell r="AF211" t="str">
            <v>021223</v>
          </cell>
          <cell r="AI211" t="str">
            <v>*</v>
          </cell>
          <cell r="AJ211" t="str">
            <v>T</v>
          </cell>
          <cell r="AT211" t="str">
            <v>A</v>
          </cell>
          <cell r="AU211" t="str">
            <v>0</v>
          </cell>
          <cell r="AV211" t="str">
            <v>3</v>
          </cell>
          <cell r="BE211" t="str">
            <v>B</v>
          </cell>
          <cell r="BF211" t="str">
            <v>0050</v>
          </cell>
          <cell r="BG211" t="str">
            <v>JAZ25</v>
          </cell>
          <cell r="BH211" t="str">
            <v>5Q</v>
          </cell>
          <cell r="BI211" t="str">
            <v>020</v>
          </cell>
        </row>
        <row r="212">
          <cell r="T212" t="str">
            <v>5Q</v>
          </cell>
          <cell r="U212" t="str">
            <v>040</v>
          </cell>
          <cell r="V212" t="str">
            <v xml:space="preserve"> 5D</v>
          </cell>
          <cell r="W212" t="str">
            <v>U6400</v>
          </cell>
          <cell r="Y212" t="str">
            <v>U6400E</v>
          </cell>
          <cell r="Z212" t="str">
            <v>AAD</v>
          </cell>
          <cell r="AB212" t="str">
            <v>T</v>
          </cell>
          <cell r="AD212" t="str">
            <v>*</v>
          </cell>
          <cell r="AE212" t="str">
            <v>2J653</v>
          </cell>
          <cell r="AF212" t="str">
            <v>021223</v>
          </cell>
          <cell r="AI212" t="str">
            <v>*</v>
          </cell>
          <cell r="AJ212" t="str">
            <v>T</v>
          </cell>
          <cell r="AT212" t="str">
            <v>A</v>
          </cell>
          <cell r="AU212" t="str">
            <v>0</v>
          </cell>
          <cell r="AV212" t="str">
            <v>5</v>
          </cell>
          <cell r="BE212" t="str">
            <v>I</v>
          </cell>
          <cell r="BF212" t="str">
            <v>0038</v>
          </cell>
          <cell r="BG212" t="str">
            <v>JAY68</v>
          </cell>
          <cell r="BH212" t="str">
            <v>5Q</v>
          </cell>
          <cell r="BI212" t="str">
            <v>020</v>
          </cell>
        </row>
        <row r="213">
          <cell r="T213" t="str">
            <v>5Q</v>
          </cell>
          <cell r="U213" t="str">
            <v>040</v>
          </cell>
          <cell r="V213" t="str">
            <v xml:space="preserve"> 5D</v>
          </cell>
          <cell r="W213" t="str">
            <v>U6400</v>
          </cell>
          <cell r="X213" t="str">
            <v xml:space="preserve"> 5D</v>
          </cell>
          <cell r="Y213" t="str">
            <v>U6540Y</v>
          </cell>
          <cell r="Z213" t="str">
            <v>AAE</v>
          </cell>
          <cell r="AB213" t="str">
            <v>T</v>
          </cell>
          <cell r="AD213" t="str">
            <v>*</v>
          </cell>
          <cell r="AE213" t="str">
            <v>JBC03</v>
          </cell>
          <cell r="AF213" t="str">
            <v>020121</v>
          </cell>
          <cell r="AI213" t="str">
            <v>*</v>
          </cell>
          <cell r="AJ213" t="str">
            <v>T</v>
          </cell>
          <cell r="AT213" t="str">
            <v>A</v>
          </cell>
          <cell r="AU213" t="str">
            <v>0</v>
          </cell>
          <cell r="AV213" t="str">
            <v>3</v>
          </cell>
          <cell r="BE213" t="str">
            <v>I</v>
          </cell>
          <cell r="BF213" t="str">
            <v>0038</v>
          </cell>
          <cell r="BG213" t="str">
            <v>JBC03</v>
          </cell>
        </row>
        <row r="214">
          <cell r="T214" t="str">
            <v>5Q</v>
          </cell>
          <cell r="U214" t="str">
            <v>040</v>
          </cell>
          <cell r="V214" t="str">
            <v xml:space="preserve"> 7B 6</v>
          </cell>
          <cell r="W214" t="str">
            <v>U0520</v>
          </cell>
          <cell r="Y214" t="str">
            <v>U0520E</v>
          </cell>
          <cell r="Z214" t="str">
            <v>AAA</v>
          </cell>
          <cell r="AB214" t="str">
            <v>U</v>
          </cell>
          <cell r="AD214" t="str">
            <v>*</v>
          </cell>
          <cell r="AE214" t="str">
            <v>2J653</v>
          </cell>
          <cell r="AF214" t="str">
            <v>021223</v>
          </cell>
          <cell r="BE214" t="str">
            <v>M</v>
          </cell>
          <cell r="BF214" t="str">
            <v>0002</v>
          </cell>
        </row>
        <row r="215">
          <cell r="T215" t="str">
            <v>5Q</v>
          </cell>
          <cell r="U215" t="str">
            <v>040</v>
          </cell>
          <cell r="V215" t="str">
            <v xml:space="preserve"> 7B 1D</v>
          </cell>
          <cell r="W215" t="str">
            <v>U7320</v>
          </cell>
          <cell r="Y215" t="str">
            <v>U7320E</v>
          </cell>
          <cell r="Z215" t="str">
            <v>AAE</v>
          </cell>
          <cell r="AB215" t="str">
            <v>T</v>
          </cell>
          <cell r="AD215" t="str">
            <v>*</v>
          </cell>
          <cell r="AE215" t="str">
            <v>2J653</v>
          </cell>
          <cell r="AF215" t="str">
            <v>021223</v>
          </cell>
          <cell r="AI215" t="str">
            <v>*</v>
          </cell>
          <cell r="AJ215" t="str">
            <v>T</v>
          </cell>
          <cell r="AT215" t="str">
            <v>2</v>
          </cell>
          <cell r="AU215" t="str">
            <v>0</v>
          </cell>
          <cell r="AV215" t="str">
            <v>7</v>
          </cell>
          <cell r="BE215" t="str">
            <v>I</v>
          </cell>
          <cell r="BF215" t="str">
            <v>0047</v>
          </cell>
          <cell r="BG215" t="str">
            <v>JBE85</v>
          </cell>
          <cell r="BH215" t="str">
            <v>5Q</v>
          </cell>
          <cell r="BI215" t="str">
            <v>020</v>
          </cell>
        </row>
        <row r="216">
          <cell r="T216" t="str">
            <v>5Q</v>
          </cell>
          <cell r="U216" t="str">
            <v>040</v>
          </cell>
          <cell r="V216" t="str">
            <v xml:space="preserve"> 7B 3C</v>
          </cell>
          <cell r="W216" t="str">
            <v>U1000</v>
          </cell>
          <cell r="Y216" t="str">
            <v>U1000E</v>
          </cell>
          <cell r="Z216" t="str">
            <v>AAH</v>
          </cell>
          <cell r="AB216" t="str">
            <v>U</v>
          </cell>
          <cell r="AD216" t="str">
            <v>*</v>
          </cell>
          <cell r="AE216" t="str">
            <v>2J653</v>
          </cell>
          <cell r="AF216" t="str">
            <v>021223</v>
          </cell>
          <cell r="AI216" t="str">
            <v>*</v>
          </cell>
          <cell r="AJ216" t="str">
            <v>T</v>
          </cell>
          <cell r="AT216" t="str">
            <v>A</v>
          </cell>
          <cell r="AU216" t="str">
            <v>0</v>
          </cell>
          <cell r="AV216" t="str">
            <v>5</v>
          </cell>
          <cell r="BE216" t="str">
            <v>B</v>
          </cell>
          <cell r="BF216" t="str">
            <v>0002</v>
          </cell>
          <cell r="BG216" t="str">
            <v>JBN49</v>
          </cell>
          <cell r="BH216" t="str">
            <v>5Q</v>
          </cell>
          <cell r="BI216" t="str">
            <v>020</v>
          </cell>
        </row>
        <row r="217">
          <cell r="T217" t="str">
            <v>5Q</v>
          </cell>
          <cell r="U217" t="str">
            <v>040</v>
          </cell>
          <cell r="V217" t="str">
            <v xml:space="preserve"> 7B 1D</v>
          </cell>
          <cell r="W217" t="str">
            <v>U7300</v>
          </cell>
          <cell r="Y217" t="str">
            <v>U7300E</v>
          </cell>
          <cell r="Z217" t="str">
            <v>AAB</v>
          </cell>
          <cell r="AB217" t="str">
            <v>T</v>
          </cell>
          <cell r="AD217" t="str">
            <v>*</v>
          </cell>
          <cell r="AE217" t="str">
            <v>2J653</v>
          </cell>
          <cell r="AF217" t="str">
            <v>021223</v>
          </cell>
          <cell r="AI217" t="str">
            <v>*</v>
          </cell>
          <cell r="AJ217" t="str">
            <v>T</v>
          </cell>
          <cell r="BE217" t="str">
            <v>M</v>
          </cell>
          <cell r="BF217" t="str">
            <v>0001</v>
          </cell>
        </row>
        <row r="218">
          <cell r="T218" t="str">
            <v>5Q</v>
          </cell>
          <cell r="U218" t="str">
            <v>040</v>
          </cell>
          <cell r="V218" t="str">
            <v xml:space="preserve"> 7B 1A</v>
          </cell>
          <cell r="W218" t="str">
            <v>U0258</v>
          </cell>
          <cell r="Y218" t="str">
            <v>U0258E</v>
          </cell>
          <cell r="Z218" t="str">
            <v>AAD</v>
          </cell>
          <cell r="AB218" t="str">
            <v>T</v>
          </cell>
          <cell r="AD218" t="str">
            <v>*</v>
          </cell>
          <cell r="AE218" t="str">
            <v>2J653</v>
          </cell>
          <cell r="AF218" t="str">
            <v>021223</v>
          </cell>
          <cell r="AI218" t="str">
            <v>*</v>
          </cell>
          <cell r="AJ218" t="str">
            <v>T</v>
          </cell>
          <cell r="BE218" t="str">
            <v>M</v>
          </cell>
          <cell r="BF218" t="str">
            <v>0005</v>
          </cell>
        </row>
        <row r="219">
          <cell r="T219" t="str">
            <v>5Q</v>
          </cell>
          <cell r="U219" t="str">
            <v>040</v>
          </cell>
          <cell r="V219" t="str">
            <v xml:space="preserve"> 7B 1A</v>
          </cell>
          <cell r="W219" t="str">
            <v>U4570</v>
          </cell>
          <cell r="Y219" t="str">
            <v>U4570E</v>
          </cell>
          <cell r="Z219" t="str">
            <v>AAC</v>
          </cell>
          <cell r="AB219" t="str">
            <v>T</v>
          </cell>
          <cell r="AD219" t="str">
            <v>*</v>
          </cell>
          <cell r="AE219" t="str">
            <v>2J653</v>
          </cell>
          <cell r="AF219" t="str">
            <v>021223</v>
          </cell>
          <cell r="AI219" t="str">
            <v>*</v>
          </cell>
          <cell r="AJ219" t="str">
            <v>T</v>
          </cell>
          <cell r="BE219" t="str">
            <v>M</v>
          </cell>
          <cell r="BF219" t="str">
            <v>0028</v>
          </cell>
        </row>
        <row r="220">
          <cell r="T220" t="str">
            <v>5Q</v>
          </cell>
          <cell r="U220" t="str">
            <v>040</v>
          </cell>
          <cell r="V220" t="str">
            <v xml:space="preserve"> 7B 1C</v>
          </cell>
          <cell r="W220" t="str">
            <v>U6300</v>
          </cell>
          <cell r="Y220" t="str">
            <v>U6300E</v>
          </cell>
          <cell r="Z220" t="str">
            <v>AAB</v>
          </cell>
          <cell r="AB220" t="str">
            <v>T</v>
          </cell>
          <cell r="AD220" t="str">
            <v>*</v>
          </cell>
          <cell r="AE220" t="str">
            <v>2J653</v>
          </cell>
          <cell r="AF220" t="str">
            <v>021223</v>
          </cell>
          <cell r="AI220" t="str">
            <v>*</v>
          </cell>
          <cell r="AJ220" t="str">
            <v>T</v>
          </cell>
          <cell r="BE220" t="str">
            <v>M</v>
          </cell>
          <cell r="BF220" t="str">
            <v>0008</v>
          </cell>
        </row>
        <row r="221">
          <cell r="T221" t="str">
            <v>5Q</v>
          </cell>
          <cell r="U221" t="str">
            <v>040</v>
          </cell>
          <cell r="V221" t="str">
            <v xml:space="preserve"> 7B 1A</v>
          </cell>
          <cell r="W221" t="str">
            <v>U0280</v>
          </cell>
          <cell r="Y221" t="str">
            <v>U0280E</v>
          </cell>
          <cell r="Z221" t="str">
            <v>AAC</v>
          </cell>
          <cell r="AB221" t="str">
            <v>T</v>
          </cell>
          <cell r="AD221" t="str">
            <v>*</v>
          </cell>
          <cell r="AE221" t="str">
            <v>2J653</v>
          </cell>
          <cell r="AF221" t="str">
            <v>021223</v>
          </cell>
          <cell r="AI221" t="str">
            <v>*</v>
          </cell>
          <cell r="AJ221" t="str">
            <v>T</v>
          </cell>
          <cell r="BE221" t="str">
            <v>M</v>
          </cell>
          <cell r="BF221" t="str">
            <v>0005</v>
          </cell>
        </row>
        <row r="222">
          <cell r="T222" t="str">
            <v>5Q</v>
          </cell>
          <cell r="U222" t="str">
            <v>040</v>
          </cell>
          <cell r="V222" t="str">
            <v xml:space="preserve"> 7B 1A</v>
          </cell>
          <cell r="W222" t="str">
            <v>U0740</v>
          </cell>
          <cell r="Y222" t="str">
            <v>U0740E</v>
          </cell>
          <cell r="Z222" t="str">
            <v>AAB</v>
          </cell>
          <cell r="AB222" t="str">
            <v>T</v>
          </cell>
          <cell r="AD222" t="str">
            <v>*</v>
          </cell>
          <cell r="AE222" t="str">
            <v>2J653</v>
          </cell>
          <cell r="AF222" t="str">
            <v>021223</v>
          </cell>
          <cell r="AI222" t="str">
            <v>*</v>
          </cell>
          <cell r="AJ222" t="str">
            <v>T</v>
          </cell>
          <cell r="BE222" t="str">
            <v>M</v>
          </cell>
          <cell r="BF222" t="str">
            <v>0001</v>
          </cell>
        </row>
        <row r="223">
          <cell r="T223" t="str">
            <v>5Q</v>
          </cell>
          <cell r="U223" t="str">
            <v>040</v>
          </cell>
          <cell r="V223" t="str">
            <v xml:space="preserve"> 7B 1C</v>
          </cell>
          <cell r="W223" t="str">
            <v>U6800</v>
          </cell>
          <cell r="Y223" t="str">
            <v>U6800E</v>
          </cell>
          <cell r="Z223" t="str">
            <v>AAB</v>
          </cell>
          <cell r="AB223" t="str">
            <v>T</v>
          </cell>
          <cell r="AD223" t="str">
            <v>*</v>
          </cell>
          <cell r="AE223" t="str">
            <v>2J653</v>
          </cell>
          <cell r="AF223" t="str">
            <v>021223</v>
          </cell>
          <cell r="AI223" t="str">
            <v>*</v>
          </cell>
          <cell r="AJ223" t="str">
            <v>T</v>
          </cell>
          <cell r="BE223" t="str">
            <v>M</v>
          </cell>
          <cell r="BF223" t="str">
            <v>0008</v>
          </cell>
        </row>
        <row r="224">
          <cell r="T224" t="str">
            <v>5Q</v>
          </cell>
          <cell r="U224" t="str">
            <v>040</v>
          </cell>
          <cell r="V224" t="str">
            <v xml:space="preserve"> 7A</v>
          </cell>
          <cell r="W224" t="str">
            <v>U1670</v>
          </cell>
          <cell r="Y224" t="str">
            <v>U1670E</v>
          </cell>
          <cell r="Z224" t="str">
            <v>AAB</v>
          </cell>
          <cell r="AB224" t="str">
            <v>T</v>
          </cell>
          <cell r="AD224" t="str">
            <v>*</v>
          </cell>
          <cell r="AE224" t="str">
            <v>2J653</v>
          </cell>
          <cell r="AF224" t="str">
            <v>021223</v>
          </cell>
          <cell r="AI224" t="str">
            <v>*</v>
          </cell>
          <cell r="AJ224" t="str">
            <v>T</v>
          </cell>
          <cell r="BE224" t="str">
            <v>M</v>
          </cell>
          <cell r="BF224" t="str">
            <v>0056</v>
          </cell>
        </row>
        <row r="225">
          <cell r="T225" t="str">
            <v>5Q</v>
          </cell>
          <cell r="U225" t="str">
            <v>040</v>
          </cell>
          <cell r="V225" t="str">
            <v xml:space="preserve"> 7B 1A</v>
          </cell>
          <cell r="W225" t="str">
            <v>U0722</v>
          </cell>
          <cell r="Y225" t="str">
            <v>U0722E</v>
          </cell>
          <cell r="Z225" t="str">
            <v>AAF</v>
          </cell>
          <cell r="AB225" t="str">
            <v>T</v>
          </cell>
          <cell r="AD225" t="str">
            <v>*</v>
          </cell>
          <cell r="AE225" t="str">
            <v>2J653</v>
          </cell>
          <cell r="AF225" t="str">
            <v>021223</v>
          </cell>
          <cell r="AI225" t="str">
            <v>*</v>
          </cell>
          <cell r="AJ225" t="str">
            <v>T</v>
          </cell>
          <cell r="BE225" t="str">
            <v>M</v>
          </cell>
          <cell r="BF225" t="str">
            <v>0001</v>
          </cell>
        </row>
        <row r="226">
          <cell r="T226" t="str">
            <v>5Q</v>
          </cell>
          <cell r="U226" t="str">
            <v>040</v>
          </cell>
          <cell r="V226" t="str">
            <v xml:space="preserve"> 7A</v>
          </cell>
          <cell r="W226" t="str">
            <v>U1672</v>
          </cell>
          <cell r="Y226" t="str">
            <v>U1672E</v>
          </cell>
          <cell r="Z226" t="str">
            <v>AAC</v>
          </cell>
          <cell r="AB226" t="str">
            <v>T</v>
          </cell>
          <cell r="AD226" t="str">
            <v>*</v>
          </cell>
          <cell r="AE226" t="str">
            <v>2J653</v>
          </cell>
          <cell r="AF226" t="str">
            <v>021223</v>
          </cell>
          <cell r="AI226" t="str">
            <v>*</v>
          </cell>
          <cell r="AJ226" t="str">
            <v>T</v>
          </cell>
          <cell r="BE226" t="str">
            <v>M</v>
          </cell>
          <cell r="BF226" t="str">
            <v>0056</v>
          </cell>
        </row>
        <row r="227">
          <cell r="T227" t="str">
            <v>5Q</v>
          </cell>
          <cell r="U227" t="str">
            <v>040</v>
          </cell>
          <cell r="V227" t="str">
            <v xml:space="preserve"> 7B 1A</v>
          </cell>
          <cell r="W227" t="str">
            <v>U0724</v>
          </cell>
          <cell r="Y227" t="str">
            <v>U0724E</v>
          </cell>
          <cell r="Z227" t="str">
            <v>AAB</v>
          </cell>
          <cell r="AB227" t="str">
            <v>T</v>
          </cell>
          <cell r="AD227" t="str">
            <v>*</v>
          </cell>
          <cell r="AE227" t="str">
            <v>2J653</v>
          </cell>
          <cell r="AF227" t="str">
            <v>021223</v>
          </cell>
          <cell r="AI227" t="str">
            <v>*</v>
          </cell>
          <cell r="AJ227" t="str">
            <v>T</v>
          </cell>
          <cell r="BE227" t="str">
            <v>M</v>
          </cell>
          <cell r="BF227" t="str">
            <v>0001</v>
          </cell>
        </row>
        <row r="228">
          <cell r="T228" t="str">
            <v>5Q</v>
          </cell>
          <cell r="U228" t="str">
            <v>040</v>
          </cell>
          <cell r="V228" t="str">
            <v>12E</v>
          </cell>
          <cell r="W228" t="str">
            <v>U0100</v>
          </cell>
          <cell r="Y228" t="str">
            <v>U0100E</v>
          </cell>
          <cell r="Z228" t="str">
            <v>AAE</v>
          </cell>
          <cell r="AB228" t="str">
            <v>T</v>
          </cell>
          <cell r="AD228" t="str">
            <v>*</v>
          </cell>
          <cell r="AE228" t="str">
            <v>2J653</v>
          </cell>
          <cell r="AF228" t="str">
            <v>021223</v>
          </cell>
          <cell r="AI228" t="str">
            <v>*</v>
          </cell>
          <cell r="AJ228" t="str">
            <v>T</v>
          </cell>
          <cell r="BE228" t="str">
            <v>M</v>
          </cell>
          <cell r="BF228" t="str">
            <v>0005</v>
          </cell>
        </row>
        <row r="229">
          <cell r="T229" t="str">
            <v>5Q</v>
          </cell>
          <cell r="U229" t="str">
            <v>040</v>
          </cell>
          <cell r="V229" t="str">
            <v xml:space="preserve"> 5D</v>
          </cell>
          <cell r="W229" t="str">
            <v>U5074</v>
          </cell>
          <cell r="Y229" t="str">
            <v>U5074E</v>
          </cell>
          <cell r="Z229" t="str">
            <v>AAC</v>
          </cell>
          <cell r="AB229" t="str">
            <v>F</v>
          </cell>
          <cell r="AD229" t="str">
            <v>*</v>
          </cell>
          <cell r="AE229" t="str">
            <v>2J653</v>
          </cell>
          <cell r="AF229" t="str">
            <v>021223</v>
          </cell>
          <cell r="AI229" t="str">
            <v>*</v>
          </cell>
          <cell r="AJ229" t="str">
            <v>T</v>
          </cell>
          <cell r="BE229" t="str">
            <v>M</v>
          </cell>
          <cell r="BF229" t="str">
            <v>0037</v>
          </cell>
        </row>
        <row r="230">
          <cell r="T230" t="str">
            <v>5Q</v>
          </cell>
          <cell r="U230" t="str">
            <v>040</v>
          </cell>
          <cell r="V230" t="str">
            <v xml:space="preserve"> 5D</v>
          </cell>
          <cell r="W230" t="str">
            <v>U5078</v>
          </cell>
          <cell r="Y230" t="str">
            <v>U5078E</v>
          </cell>
          <cell r="Z230" t="str">
            <v>AAE</v>
          </cell>
          <cell r="AB230" t="str">
            <v>T</v>
          </cell>
          <cell r="AD230" t="str">
            <v>*</v>
          </cell>
          <cell r="AE230" t="str">
            <v>2J653</v>
          </cell>
          <cell r="AF230" t="str">
            <v>021223</v>
          </cell>
          <cell r="AI230" t="str">
            <v>*</v>
          </cell>
          <cell r="AJ230" t="str">
            <v>T</v>
          </cell>
          <cell r="BE230" t="str">
            <v>M</v>
          </cell>
          <cell r="BF230" t="str">
            <v>0037</v>
          </cell>
        </row>
        <row r="231">
          <cell r="T231" t="str">
            <v>5Q</v>
          </cell>
          <cell r="U231" t="str">
            <v>040</v>
          </cell>
          <cell r="V231" t="str">
            <v xml:space="preserve"> 5D</v>
          </cell>
          <cell r="W231" t="str">
            <v>U6400</v>
          </cell>
          <cell r="Y231" t="str">
            <v>U6400E</v>
          </cell>
          <cell r="Z231" t="str">
            <v>AAE</v>
          </cell>
          <cell r="AB231" t="str">
            <v>T</v>
          </cell>
          <cell r="AD231" t="str">
            <v>*</v>
          </cell>
          <cell r="AE231" t="str">
            <v>2J653</v>
          </cell>
          <cell r="AF231" t="str">
            <v>021223</v>
          </cell>
          <cell r="AI231" t="str">
            <v>*</v>
          </cell>
          <cell r="AJ231" t="str">
            <v>T</v>
          </cell>
          <cell r="BE231" t="str">
            <v>M</v>
          </cell>
          <cell r="BF231" t="str">
            <v>0003</v>
          </cell>
        </row>
        <row r="232">
          <cell r="T232" t="str">
            <v>5Q</v>
          </cell>
          <cell r="U232" t="str">
            <v>040</v>
          </cell>
          <cell r="V232" t="str">
            <v xml:space="preserve"> 5D</v>
          </cell>
          <cell r="W232" t="str">
            <v>U6400</v>
          </cell>
          <cell r="X232" t="str">
            <v xml:space="preserve"> 5D</v>
          </cell>
          <cell r="Y232" t="str">
            <v>U6540Y</v>
          </cell>
          <cell r="Z232" t="str">
            <v>AAF</v>
          </cell>
          <cell r="AB232" t="str">
            <v>T</v>
          </cell>
          <cell r="AD232" t="str">
            <v>*</v>
          </cell>
          <cell r="AE232" t="str">
            <v>2J653</v>
          </cell>
          <cell r="AF232" t="str">
            <v>021223</v>
          </cell>
          <cell r="AI232" t="str">
            <v>*</v>
          </cell>
          <cell r="AJ232" t="str">
            <v>T</v>
          </cell>
          <cell r="BE232" t="str">
            <v>M</v>
          </cell>
          <cell r="BF232" t="str">
            <v>0003</v>
          </cell>
        </row>
        <row r="233">
          <cell r="T233" t="str">
            <v>5Q</v>
          </cell>
          <cell r="U233" t="str">
            <v>040</v>
          </cell>
          <cell r="V233" t="str">
            <v xml:space="preserve"> 7A</v>
          </cell>
          <cell r="W233" t="str">
            <v>U1345</v>
          </cell>
          <cell r="X233" t="str">
            <v xml:space="preserve"> 7A</v>
          </cell>
          <cell r="Y233" t="str">
            <v>U3190Y</v>
          </cell>
          <cell r="Z233" t="str">
            <v>AAY</v>
          </cell>
          <cell r="AB233" t="str">
            <v>T</v>
          </cell>
          <cell r="AD233" t="str">
            <v>*</v>
          </cell>
          <cell r="AE233" t="str">
            <v>2J653</v>
          </cell>
          <cell r="AF233" t="str">
            <v>021223</v>
          </cell>
          <cell r="AI233" t="str">
            <v>*</v>
          </cell>
          <cell r="AJ233" t="str">
            <v>T</v>
          </cell>
          <cell r="BE233" t="str">
            <v>M</v>
          </cell>
          <cell r="BF233" t="str">
            <v>0035</v>
          </cell>
        </row>
        <row r="234">
          <cell r="T234" t="str">
            <v>5Q</v>
          </cell>
          <cell r="U234" t="str">
            <v>040</v>
          </cell>
          <cell r="V234" t="str">
            <v xml:space="preserve"> 7A</v>
          </cell>
          <cell r="W234" t="str">
            <v>U1345</v>
          </cell>
          <cell r="Y234" t="str">
            <v>U1345E</v>
          </cell>
          <cell r="Z234" t="str">
            <v>AA0</v>
          </cell>
          <cell r="AB234" t="str">
            <v>T</v>
          </cell>
          <cell r="AD234" t="str">
            <v>*</v>
          </cell>
          <cell r="AE234" t="str">
            <v>2J653</v>
          </cell>
          <cell r="AF234" t="str">
            <v>021223</v>
          </cell>
          <cell r="AI234" t="str">
            <v>*</v>
          </cell>
          <cell r="AJ234" t="str">
            <v>T</v>
          </cell>
          <cell r="BE234" t="str">
            <v>M</v>
          </cell>
          <cell r="BF234" t="str">
            <v>0055</v>
          </cell>
        </row>
        <row r="235">
          <cell r="T235" t="str">
            <v>5Q</v>
          </cell>
          <cell r="U235" t="str">
            <v>040</v>
          </cell>
          <cell r="V235" t="str">
            <v xml:space="preserve"> 7A</v>
          </cell>
          <cell r="W235" t="str">
            <v>U1345</v>
          </cell>
          <cell r="Y235" t="str">
            <v>U1345E</v>
          </cell>
          <cell r="Z235" t="str">
            <v>AA1</v>
          </cell>
          <cell r="AB235" t="str">
            <v>T</v>
          </cell>
          <cell r="AD235" t="str">
            <v>*</v>
          </cell>
          <cell r="AE235" t="str">
            <v>2J653</v>
          </cell>
          <cell r="AF235" t="str">
            <v>021223</v>
          </cell>
          <cell r="AI235" t="str">
            <v>*</v>
          </cell>
          <cell r="AJ235" t="str">
            <v>T</v>
          </cell>
          <cell r="BE235" t="str">
            <v>M</v>
          </cell>
          <cell r="BF235" t="str">
            <v>0035</v>
          </cell>
        </row>
        <row r="236">
          <cell r="T236" t="str">
            <v>5Q</v>
          </cell>
          <cell r="U236" t="str">
            <v>040</v>
          </cell>
          <cell r="V236" t="str">
            <v xml:space="preserve"> 7A</v>
          </cell>
          <cell r="W236" t="str">
            <v>U1345</v>
          </cell>
          <cell r="Y236" t="str">
            <v>U1345E</v>
          </cell>
          <cell r="Z236" t="str">
            <v>AA2</v>
          </cell>
          <cell r="AB236" t="str">
            <v>T</v>
          </cell>
          <cell r="AD236" t="str">
            <v>*</v>
          </cell>
          <cell r="AE236" t="str">
            <v>2J653</v>
          </cell>
          <cell r="AF236" t="str">
            <v>021223</v>
          </cell>
          <cell r="AI236" t="str">
            <v>*</v>
          </cell>
          <cell r="AJ236" t="str">
            <v>T</v>
          </cell>
          <cell r="BE236" t="str">
            <v>M</v>
          </cell>
          <cell r="BF236" t="str">
            <v>0036</v>
          </cell>
        </row>
        <row r="237">
          <cell r="T237" t="str">
            <v>5Q</v>
          </cell>
          <cell r="U237" t="str">
            <v>040</v>
          </cell>
          <cell r="V237" t="str">
            <v>14H</v>
          </cell>
          <cell r="W237" t="str">
            <v>U4350</v>
          </cell>
          <cell r="Y237" t="str">
            <v>U4350E</v>
          </cell>
          <cell r="Z237" t="str">
            <v>AAA</v>
          </cell>
          <cell r="AB237" t="str">
            <v>T</v>
          </cell>
          <cell r="AD237" t="str">
            <v>*</v>
          </cell>
          <cell r="AE237" t="str">
            <v>2J653</v>
          </cell>
          <cell r="AF237" t="str">
            <v>021223</v>
          </cell>
          <cell r="AI237" t="str">
            <v>*</v>
          </cell>
          <cell r="AJ237" t="str">
            <v>T</v>
          </cell>
          <cell r="AT237" t="str">
            <v>A</v>
          </cell>
          <cell r="AU237" t="str">
            <v>0</v>
          </cell>
          <cell r="AV237" t="str">
            <v>3</v>
          </cell>
          <cell r="BE237" t="str">
            <v>5</v>
          </cell>
          <cell r="BF237" t="str">
            <v>0027</v>
          </cell>
          <cell r="BG237" t="str">
            <v>2J223</v>
          </cell>
          <cell r="BH237" t="str">
            <v>B4</v>
          </cell>
          <cell r="BI237" t="str">
            <v>845</v>
          </cell>
        </row>
        <row r="238">
          <cell r="T238" t="str">
            <v>5Q</v>
          </cell>
          <cell r="U238" t="str">
            <v>040</v>
          </cell>
          <cell r="V238" t="str">
            <v xml:space="preserve"> 7B 1A</v>
          </cell>
          <cell r="W238" t="str">
            <v>U0253</v>
          </cell>
          <cell r="Y238" t="str">
            <v>U0253E</v>
          </cell>
          <cell r="Z238" t="str">
            <v>AAA</v>
          </cell>
          <cell r="AB238" t="str">
            <v>T</v>
          </cell>
          <cell r="AD238" t="str">
            <v>*</v>
          </cell>
          <cell r="AE238" t="str">
            <v>2J653</v>
          </cell>
          <cell r="AF238" t="str">
            <v>021223</v>
          </cell>
          <cell r="AI238" t="str">
            <v>*</v>
          </cell>
          <cell r="AJ238" t="str">
            <v>T</v>
          </cell>
          <cell r="AT238" t="str">
            <v>A</v>
          </cell>
          <cell r="AU238" t="str">
            <v>0</v>
          </cell>
          <cell r="AV238" t="str">
            <v>3</v>
          </cell>
          <cell r="BF238" t="str">
            <v>0005</v>
          </cell>
          <cell r="BG238" t="str">
            <v>K0BAI</v>
          </cell>
        </row>
        <row r="239">
          <cell r="T239" t="str">
            <v>5Q</v>
          </cell>
          <cell r="U239" t="str">
            <v>040</v>
          </cell>
          <cell r="V239" t="str">
            <v xml:space="preserve"> 7B 1D</v>
          </cell>
          <cell r="W239" t="str">
            <v>U7360</v>
          </cell>
          <cell r="Y239" t="str">
            <v>U7360E</v>
          </cell>
          <cell r="Z239" t="str">
            <v>AAA</v>
          </cell>
          <cell r="AB239" t="str">
            <v>T</v>
          </cell>
          <cell r="AD239" t="str">
            <v>*</v>
          </cell>
          <cell r="AE239" t="str">
            <v>2J653</v>
          </cell>
          <cell r="AF239" t="str">
            <v>021223</v>
          </cell>
          <cell r="AI239" t="str">
            <v>*</v>
          </cell>
          <cell r="AJ239" t="str">
            <v>T</v>
          </cell>
          <cell r="AT239" t="str">
            <v>A</v>
          </cell>
          <cell r="AU239" t="str">
            <v>0</v>
          </cell>
          <cell r="AV239" t="str">
            <v>3</v>
          </cell>
          <cell r="BE239" t="str">
            <v>S</v>
          </cell>
          <cell r="BF239" t="str">
            <v>0005</v>
          </cell>
          <cell r="BG239" t="str">
            <v>2J618</v>
          </cell>
          <cell r="BH239" t="str">
            <v>5P</v>
          </cell>
          <cell r="BI239" t="str">
            <v>020</v>
          </cell>
        </row>
        <row r="240">
          <cell r="T240" t="str">
            <v>5Q</v>
          </cell>
          <cell r="U240" t="str">
            <v>040</v>
          </cell>
          <cell r="V240" t="str">
            <v xml:space="preserve"> 7B 1C</v>
          </cell>
          <cell r="W240" t="str">
            <v>U6000</v>
          </cell>
          <cell r="Y240" t="str">
            <v>U6000E</v>
          </cell>
          <cell r="Z240" t="str">
            <v>AAA</v>
          </cell>
          <cell r="AB240" t="str">
            <v>T</v>
          </cell>
          <cell r="AD240" t="str">
            <v>*</v>
          </cell>
          <cell r="AE240" t="str">
            <v>2J653</v>
          </cell>
          <cell r="AF240" t="str">
            <v>021223</v>
          </cell>
          <cell r="AI240" t="str">
            <v>*</v>
          </cell>
          <cell r="AJ240" t="str">
            <v>T</v>
          </cell>
          <cell r="AT240" t="str">
            <v>A</v>
          </cell>
          <cell r="AU240" t="str">
            <v>0</v>
          </cell>
          <cell r="AV240" t="str">
            <v>3</v>
          </cell>
          <cell r="BF240" t="str">
            <v>0008</v>
          </cell>
          <cell r="BG240" t="str">
            <v>2N420</v>
          </cell>
          <cell r="BH240" t="str">
            <v>I5</v>
          </cell>
          <cell r="BI240" t="str">
            <v>860</v>
          </cell>
        </row>
        <row r="241">
          <cell r="T241" t="str">
            <v>5Q</v>
          </cell>
          <cell r="U241" t="str">
            <v>040</v>
          </cell>
          <cell r="V241" t="str">
            <v xml:space="preserve"> 7B 3C</v>
          </cell>
          <cell r="W241" t="str">
            <v>U1300</v>
          </cell>
          <cell r="Y241" t="str">
            <v>U1300E</v>
          </cell>
          <cell r="Z241" t="str">
            <v>AAA</v>
          </cell>
          <cell r="AB241" t="str">
            <v>U</v>
          </cell>
          <cell r="AD241" t="str">
            <v>*</v>
          </cell>
          <cell r="AE241" t="str">
            <v>2J653</v>
          </cell>
          <cell r="AF241" t="str">
            <v>021223</v>
          </cell>
          <cell r="AI241" t="str">
            <v>*</v>
          </cell>
          <cell r="AJ241" t="str">
            <v>T</v>
          </cell>
          <cell r="AT241" t="str">
            <v>A</v>
          </cell>
          <cell r="AU241" t="str">
            <v>0</v>
          </cell>
          <cell r="AV241" t="str">
            <v>3</v>
          </cell>
          <cell r="BF241" t="str">
            <v>0002</v>
          </cell>
          <cell r="BG241" t="str">
            <v>2H403</v>
          </cell>
          <cell r="BH241" t="str">
            <v>C1</v>
          </cell>
          <cell r="BI241" t="str">
            <v>855</v>
          </cell>
        </row>
        <row r="242">
          <cell r="T242" t="str">
            <v>5Q</v>
          </cell>
          <cell r="U242" t="str">
            <v>040</v>
          </cell>
          <cell r="V242" t="str">
            <v>12E</v>
          </cell>
          <cell r="W242" t="str">
            <v>U0530</v>
          </cell>
          <cell r="Y242" t="str">
            <v>U0530E</v>
          </cell>
          <cell r="Z242" t="str">
            <v>AAD</v>
          </cell>
          <cell r="AB242" t="str">
            <v>T</v>
          </cell>
          <cell r="AD242" t="str">
            <v>*</v>
          </cell>
          <cell r="AE242" t="str">
            <v>2J653</v>
          </cell>
          <cell r="AF242" t="str">
            <v>021223</v>
          </cell>
          <cell r="AI242" t="str">
            <v>*</v>
          </cell>
          <cell r="AJ242" t="str">
            <v>T</v>
          </cell>
          <cell r="AT242" t="str">
            <v>A</v>
          </cell>
          <cell r="AU242" t="str">
            <v>0</v>
          </cell>
          <cell r="AV242" t="str">
            <v>3</v>
          </cell>
          <cell r="BE242" t="str">
            <v>ﾙ</v>
          </cell>
          <cell r="BF242" t="str">
            <v>0004</v>
          </cell>
          <cell r="BG242" t="str">
            <v>Z6416</v>
          </cell>
          <cell r="BH242" t="str">
            <v>5P</v>
          </cell>
          <cell r="BI242" t="str">
            <v>020</v>
          </cell>
        </row>
        <row r="243">
          <cell r="T243" t="str">
            <v>5Q</v>
          </cell>
          <cell r="U243" t="str">
            <v>040</v>
          </cell>
          <cell r="V243" t="str">
            <v xml:space="preserve"> 7B 6</v>
          </cell>
          <cell r="W243" t="str">
            <v>U0330</v>
          </cell>
          <cell r="Y243" t="str">
            <v>U0330E</v>
          </cell>
          <cell r="Z243" t="str">
            <v>AAA</v>
          </cell>
          <cell r="AB243" t="str">
            <v>U</v>
          </cell>
          <cell r="AD243" t="str">
            <v>*</v>
          </cell>
          <cell r="AE243" t="str">
            <v>2J653</v>
          </cell>
          <cell r="AF243" t="str">
            <v>021223</v>
          </cell>
          <cell r="AI243" t="str">
            <v>*</v>
          </cell>
          <cell r="AJ243" t="str">
            <v>T</v>
          </cell>
          <cell r="AT243" t="str">
            <v>A</v>
          </cell>
          <cell r="AU243" t="str">
            <v>0</v>
          </cell>
          <cell r="AV243" t="str">
            <v>3</v>
          </cell>
          <cell r="BE243" t="str">
            <v>1</v>
          </cell>
          <cell r="BF243" t="str">
            <v>0002</v>
          </cell>
          <cell r="BG243" t="str">
            <v>TOUGO</v>
          </cell>
        </row>
        <row r="244">
          <cell r="T244" t="str">
            <v>5Q</v>
          </cell>
          <cell r="U244" t="str">
            <v>040</v>
          </cell>
          <cell r="V244" t="str">
            <v xml:space="preserve"> 7B 3A</v>
          </cell>
          <cell r="W244" t="str">
            <v>U1400</v>
          </cell>
          <cell r="Y244" t="str">
            <v>U1400E</v>
          </cell>
          <cell r="Z244" t="str">
            <v>AAA</v>
          </cell>
          <cell r="AB244" t="str">
            <v>U</v>
          </cell>
          <cell r="AD244" t="str">
            <v>*</v>
          </cell>
          <cell r="AE244" t="str">
            <v>2J653</v>
          </cell>
          <cell r="AF244" t="str">
            <v>021223</v>
          </cell>
          <cell r="AI244" t="str">
            <v>*</v>
          </cell>
          <cell r="AJ244" t="str">
            <v>T</v>
          </cell>
          <cell r="AT244" t="str">
            <v>A</v>
          </cell>
          <cell r="AU244" t="str">
            <v>0</v>
          </cell>
          <cell r="AV244" t="str">
            <v>3</v>
          </cell>
          <cell r="BF244" t="str">
            <v>0002</v>
          </cell>
          <cell r="BG244" t="str">
            <v>0456</v>
          </cell>
        </row>
        <row r="245">
          <cell r="T245" t="str">
            <v>5Q</v>
          </cell>
          <cell r="U245" t="str">
            <v>040</v>
          </cell>
          <cell r="V245" t="str">
            <v xml:space="preserve"> 7B 1B1</v>
          </cell>
          <cell r="W245" t="str">
            <v>U1000</v>
          </cell>
          <cell r="Y245" t="str">
            <v>U1000E</v>
          </cell>
          <cell r="Z245" t="str">
            <v>AAA</v>
          </cell>
          <cell r="AB245" t="str">
            <v>T</v>
          </cell>
          <cell r="AD245" t="str">
            <v>*</v>
          </cell>
          <cell r="AE245" t="str">
            <v>2J653</v>
          </cell>
          <cell r="AF245" t="str">
            <v>021223</v>
          </cell>
          <cell r="AI245" t="str">
            <v>*</v>
          </cell>
          <cell r="AJ245" t="str">
            <v>T</v>
          </cell>
          <cell r="AT245" t="str">
            <v>A</v>
          </cell>
          <cell r="AU245" t="str">
            <v>0</v>
          </cell>
          <cell r="AV245" t="str">
            <v>3</v>
          </cell>
          <cell r="BF245" t="str">
            <v>0004</v>
          </cell>
          <cell r="BG245" t="str">
            <v>9J093</v>
          </cell>
          <cell r="BH245" t="str">
            <v>M1</v>
          </cell>
        </row>
      </sheetData>
      <sheetData sheetId="1"/>
      <sheetData sheetId="2"/>
      <sheetData sheetId="3"/>
      <sheetData sheetId="4"/>
      <sheetData sheetId="5"/>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heet1"/>
      <sheetName val="Inv Wear &amp; Tear BP Revise"/>
      <sheetName val="MYZK02"/>
      <sheetName val="GRAPH"/>
      <sheetName val="Nov TB"/>
      <sheetName val="Asumption"/>
      <sheetName val="Wear &amp; Tear Each Dept-Sect"/>
      <sheetName val="TB SUMARRY"/>
      <sheetName val="Inventory Turn Over"/>
      <sheetName val="Invesment"/>
      <sheetName val="Packing"/>
      <sheetName val="QTY MAZDA PREMACY"/>
      <sheetName val="OTY FUGA"/>
      <sheetName val="QTY QUEST"/>
      <sheetName val="QTY MAXIMA"/>
      <sheetName val="UMH MAZDA PREMACY"/>
      <sheetName val="UMH FUGA"/>
      <sheetName val="UMH QUEST"/>
      <sheetName val="UMH MAXIMA"/>
      <sheetName val="STF"/>
      <sheetName val="GUIDELINE"/>
      <sheetName val="PL"/>
      <sheetName val="BS"/>
      <sheetName val="Data1"/>
      <sheetName val="ACCOUNT"/>
      <sheetName val="094_APP別"/>
      <sheetName val="A"/>
      <sheetName val="00年9月"/>
      <sheetName val="Inv_Wear_&amp;_Tear_BP_Revise"/>
      <sheetName val="Nov_TB"/>
      <sheetName val="Wear_&amp;_Tear_Each_Dept-Sect"/>
      <sheetName val="TB_SUMARRY"/>
      <sheetName val="Inventory_Turn_Over"/>
      <sheetName val="QTY_MAZDA_PREMACY"/>
      <sheetName val="OTY_FUGA"/>
      <sheetName val="QTY_QUEST"/>
      <sheetName val="QTY_MAXIMA"/>
      <sheetName val="UMH_MAZDA_PREMACY"/>
      <sheetName val="UMH_FUGA"/>
      <sheetName val="UMH_QUEST"/>
      <sheetName val="UMH_MAXIMA"/>
      <sheetName val="M010"/>
      <sheetName val="原単位表"/>
      <sheetName val="S-PLAN"/>
      <sheetName val="M020"/>
      <sheetName val="I060"/>
      <sheetName val="M022"/>
      <sheetName val="M013"/>
      <sheetName val="M031"/>
      <sheetName val="M030"/>
      <sheetName val="Inv_Wear_&amp;_Tear_BP_Revise1"/>
      <sheetName val="Nov_TB1"/>
      <sheetName val="Wear_&amp;_Tear_Each_Dept-Sect1"/>
      <sheetName val="TB_SUMARRY1"/>
      <sheetName val="Inventory_Turn_Over1"/>
      <sheetName val="QTY_MAZDA_PREMACY1"/>
      <sheetName val="OTY_FUGA1"/>
      <sheetName val="QTY_QUEST1"/>
      <sheetName val="QTY_MAXIMA1"/>
      <sheetName val="UMH_MAZDA_PREMACY1"/>
      <sheetName val="UMH_FUGA1"/>
      <sheetName val="UMH_QUEST1"/>
      <sheetName val="UMH_MAXIMA1"/>
      <sheetName val="Inv_Wear_&amp;_Tear_BP_Revise2"/>
      <sheetName val="Nov_TB2"/>
      <sheetName val="Wear_&amp;_Tear_Each_Dept-Sect2"/>
      <sheetName val="TB_SUMARRY2"/>
      <sheetName val="Inventory_Turn_Over2"/>
      <sheetName val="QTY_MAZDA_PREMACY2"/>
      <sheetName val="OTY_FUGA2"/>
      <sheetName val="QTY_QUEST2"/>
      <sheetName val="QTY_MAXIMA2"/>
      <sheetName val="UMH_MAZDA_PREMACY2"/>
      <sheetName val="UMH_FUGA2"/>
      <sheetName val="UMH_QUEST2"/>
      <sheetName val="UMH_MAXIMA2"/>
    </sheetNames>
    <sheetDataSet>
      <sheetData sheetId="0" refreshError="1"/>
      <sheetData sheetId="1" refreshError="1"/>
      <sheetData sheetId="2" refreshError="1">
        <row r="1">
          <cell r="A1" t="str">
            <v>&lt;&lt; Sales &amp; Manufacture Plan &gt;&gt;</v>
          </cell>
        </row>
        <row r="75">
          <cell r="K75">
            <v>82444.691860465115</v>
          </cell>
          <cell r="L75">
            <v>468002.62209302327</v>
          </cell>
          <cell r="M75">
            <v>37943.361223359068</v>
          </cell>
          <cell r="N75">
            <v>37058.170831103533</v>
          </cell>
          <cell r="O75">
            <v>80802.5</v>
          </cell>
          <cell r="P75">
            <v>29902.5</v>
          </cell>
        </row>
        <row r="531">
          <cell r="I531">
            <v>565869.07999999996</v>
          </cell>
          <cell r="J531">
            <v>565869.1</v>
          </cell>
          <cell r="K531">
            <v>760549.3698181021</v>
          </cell>
          <cell r="L531">
            <v>705016.13763368898</v>
          </cell>
          <cell r="M531">
            <v>715161.43433637021</v>
          </cell>
          <cell r="N531">
            <v>958056</v>
          </cell>
          <cell r="O531">
            <v>924768</v>
          </cell>
          <cell r="P531">
            <v>901512</v>
          </cell>
        </row>
        <row r="582">
          <cell r="I582">
            <v>261002.5002999999</v>
          </cell>
          <cell r="J582">
            <v>89590.849199999881</v>
          </cell>
          <cell r="K582">
            <v>117840.64468522303</v>
          </cell>
          <cell r="L582">
            <v>-11401.832424787164</v>
          </cell>
          <cell r="M582">
            <v>23446.142576716404</v>
          </cell>
          <cell r="N582">
            <v>233241.92340523814</v>
          </cell>
          <cell r="O582">
            <v>131589.57221660047</v>
          </cell>
          <cell r="P582">
            <v>97146.725423010823</v>
          </cell>
        </row>
        <row r="595">
          <cell r="I595">
            <v>239702.92029999988</v>
          </cell>
          <cell r="J595">
            <v>72688.549199999878</v>
          </cell>
          <cell r="K595">
            <v>102994.04468522302</v>
          </cell>
          <cell r="L595">
            <v>-28312.432424787166</v>
          </cell>
          <cell r="M595">
            <v>-58067.657423283599</v>
          </cell>
          <cell r="N595">
            <v>221868.42340523814</v>
          </cell>
          <cell r="O595">
            <v>119157.87221660049</v>
          </cell>
          <cell r="P595">
            <v>84611.325423010829</v>
          </cell>
        </row>
        <row r="601">
          <cell r="J601">
            <v>72688.549199999878</v>
          </cell>
          <cell r="K601">
            <v>102994.04468522302</v>
          </cell>
          <cell r="L601">
            <v>-28312.432424787166</v>
          </cell>
          <cell r="M601">
            <v>-58067.657423283599</v>
          </cell>
          <cell r="N601">
            <v>221868.42340523814</v>
          </cell>
          <cell r="O601">
            <v>119157.87221660049</v>
          </cell>
          <cell r="P601">
            <v>84611.325423010829</v>
          </cell>
        </row>
        <row r="809">
          <cell r="I809">
            <v>0</v>
          </cell>
          <cell r="J809">
            <v>0</v>
          </cell>
          <cell r="K809">
            <v>0</v>
          </cell>
          <cell r="L809">
            <v>0</v>
          </cell>
          <cell r="M809">
            <v>0</v>
          </cell>
          <cell r="N809">
            <v>0</v>
          </cell>
          <cell r="O809">
            <v>0</v>
          </cell>
          <cell r="P809">
            <v>0</v>
          </cell>
        </row>
        <row r="811">
          <cell r="I811">
            <v>0</v>
          </cell>
          <cell r="J811">
            <v>4.6800000127404928E-2</v>
          </cell>
          <cell r="K811">
            <v>0</v>
          </cell>
          <cell r="L811">
            <v>0</v>
          </cell>
          <cell r="M811">
            <v>0</v>
          </cell>
          <cell r="N811">
            <v>0</v>
          </cell>
          <cell r="O811">
            <v>2.8372534434311092E-2</v>
          </cell>
          <cell r="P811">
            <v>4.4962211861275136E-2</v>
          </cell>
        </row>
        <row r="812">
          <cell r="I812">
            <v>1690781.3399999999</v>
          </cell>
          <cell r="J812">
            <v>1448582.3223999999</v>
          </cell>
          <cell r="K812">
            <v>1533978.8844818978</v>
          </cell>
          <cell r="L812">
            <v>1491607.4064482087</v>
          </cell>
          <cell r="M812">
            <v>1478820.4402118386</v>
          </cell>
          <cell r="N812">
            <v>1547469.2997118384</v>
          </cell>
          <cell r="O812">
            <v>1509978.8486118382</v>
          </cell>
          <cell r="P812">
            <v>1480252.4741118383</v>
          </cell>
        </row>
        <row r="828">
          <cell r="I828">
            <v>14104574.290000001</v>
          </cell>
          <cell r="J828">
            <v>13961010.290000001</v>
          </cell>
          <cell r="K828">
            <v>13898956.481860468</v>
          </cell>
          <cell r="L828">
            <v>14217549.203953488</v>
          </cell>
          <cell r="M828">
            <v>14105687.465176847</v>
          </cell>
          <cell r="N828">
            <v>13992554.43600795</v>
          </cell>
          <cell r="O828">
            <v>13922324.136007952</v>
          </cell>
          <cell r="P828">
            <v>13800882.336007953</v>
          </cell>
        </row>
        <row r="859">
          <cell r="I859">
            <v>7295277.21</v>
          </cell>
          <cell r="J859">
            <v>8416800.2100000009</v>
          </cell>
          <cell r="K859">
            <v>9103423.5136148669</v>
          </cell>
          <cell r="L859">
            <v>9445838.6430848707</v>
          </cell>
          <cell r="M859">
            <v>9410428.7266945392</v>
          </cell>
          <cell r="N859">
            <v>9501976.2507796306</v>
          </cell>
          <cell r="O859">
            <v>9311670.3100000005</v>
          </cell>
          <cell r="P859">
            <v>9345346.6100000013</v>
          </cell>
        </row>
        <row r="879">
          <cell r="I879">
            <v>0</v>
          </cell>
          <cell r="J879">
            <v>0</v>
          </cell>
          <cell r="K879">
            <v>0</v>
          </cell>
          <cell r="L879">
            <v>0</v>
          </cell>
          <cell r="M879">
            <v>0</v>
          </cell>
          <cell r="N879">
            <v>0</v>
          </cell>
          <cell r="O879">
            <v>0</v>
          </cell>
          <cell r="P879">
            <v>0</v>
          </cell>
        </row>
        <row r="1129">
          <cell r="I1129">
            <v>0.33700000000000002</v>
          </cell>
          <cell r="J1129">
            <v>0.161</v>
          </cell>
          <cell r="K1129">
            <v>0.14199999999999999</v>
          </cell>
          <cell r="L1129">
            <v>-1.7000000000000001E-2</v>
          </cell>
          <cell r="M1129">
            <v>3.3000000000000002E-2</v>
          </cell>
          <cell r="N1129">
            <v>0.223</v>
          </cell>
          <cell r="O1129">
            <v>0.14499999999999999</v>
          </cell>
          <cell r="P1129">
            <v>0.109</v>
          </cell>
        </row>
        <row r="1259">
          <cell r="I1259">
            <v>8.8999999999999996E-2</v>
          </cell>
          <cell r="J1259">
            <v>9.6000000000000002E-2</v>
          </cell>
          <cell r="K1259">
            <v>0.10100000000000001</v>
          </cell>
          <cell r="L1259">
            <v>9.8000000000000004E-2</v>
          </cell>
          <cell r="M1259">
            <v>9.5000000000000001E-2</v>
          </cell>
          <cell r="N1259">
            <v>0.107</v>
          </cell>
          <cell r="O1259">
            <v>0.115</v>
          </cell>
          <cell r="P1259">
            <v>0.121</v>
          </cell>
        </row>
        <row r="1293">
          <cell r="I1293" t="str">
            <v>^04/7~11</v>
          </cell>
          <cell r="J1293" t="str">
            <v>04/12</v>
          </cell>
          <cell r="K1293" t="str">
            <v>05/1</v>
          </cell>
          <cell r="L1293" t="str">
            <v>05/2</v>
          </cell>
          <cell r="M1293" t="str">
            <v>05/3</v>
          </cell>
          <cell r="N1293" t="str">
            <v>/5/4</v>
          </cell>
          <cell r="O1293" t="str">
            <v>05/5</v>
          </cell>
          <cell r="P1293" t="str">
            <v>05/6</v>
          </cell>
        </row>
        <row r="1302">
          <cell r="J1302">
            <v>72688.549199999878</v>
          </cell>
          <cell r="K1302">
            <v>102994.04468522302</v>
          </cell>
          <cell r="L1302">
            <v>-28312.432424787166</v>
          </cell>
          <cell r="M1302">
            <v>5932.3425767164008</v>
          </cell>
          <cell r="N1302">
            <v>221868.42340523814</v>
          </cell>
          <cell r="O1302">
            <v>119157.87221660049</v>
          </cell>
          <cell r="P1302">
            <v>84611.325423010829</v>
          </cell>
        </row>
        <row r="1304">
          <cell r="I1304">
            <v>355804.16000000003</v>
          </cell>
          <cell r="J1304">
            <v>166546.27000000002</v>
          </cell>
          <cell r="K1304">
            <v>180746.17</v>
          </cell>
          <cell r="L1304">
            <v>176695.67</v>
          </cell>
          <cell r="M1304">
            <v>177435.57</v>
          </cell>
          <cell r="N1304">
            <v>195152.27000000002</v>
          </cell>
          <cell r="O1304">
            <v>192724.16999999998</v>
          </cell>
          <cell r="P1304">
            <v>191027.87</v>
          </cell>
        </row>
        <row r="1305">
          <cell r="I1305">
            <v>2437112.08</v>
          </cell>
          <cell r="J1305">
            <v>941862.06000000017</v>
          </cell>
          <cell r="K1305">
            <v>669966.99186046526</v>
          </cell>
          <cell r="L1305">
            <v>619640.77209302329</v>
          </cell>
          <cell r="M1305">
            <v>579762.11122335913</v>
          </cell>
          <cell r="N1305">
            <v>425889.73749777029</v>
          </cell>
          <cell r="O1305">
            <v>323700.88333333342</v>
          </cell>
          <cell r="P1305">
            <v>110783.10000000009</v>
          </cell>
        </row>
        <row r="1306">
          <cell r="I1306">
            <v>5145000</v>
          </cell>
          <cell r="J1306">
            <v>5145000</v>
          </cell>
          <cell r="K1306">
            <v>4730500</v>
          </cell>
          <cell r="L1306">
            <v>4730500</v>
          </cell>
          <cell r="M1306">
            <v>4730500</v>
          </cell>
          <cell r="N1306">
            <v>4730500</v>
          </cell>
          <cell r="O1306">
            <v>4730500</v>
          </cell>
          <cell r="P1306">
            <v>4730500</v>
          </cell>
        </row>
        <row r="1307">
          <cell r="I1307">
            <v>0</v>
          </cell>
          <cell r="J1307">
            <v>0</v>
          </cell>
          <cell r="K1307">
            <v>0</v>
          </cell>
          <cell r="L1307">
            <v>0</v>
          </cell>
          <cell r="M1307">
            <v>0</v>
          </cell>
          <cell r="N1307">
            <v>0</v>
          </cell>
          <cell r="O1307">
            <v>0</v>
          </cell>
          <cell r="P1307">
            <v>0</v>
          </cell>
        </row>
        <row r="1308">
          <cell r="I1308">
            <v>312147.55999999994</v>
          </cell>
          <cell r="J1308">
            <v>179993.99</v>
          </cell>
          <cell r="K1308">
            <v>308994.61698181019</v>
          </cell>
          <cell r="L1308">
            <v>261855.58376336889</v>
          </cell>
          <cell r="M1308">
            <v>281448.31343363703</v>
          </cell>
          <cell r="N1308">
            <v>338031.87</v>
          </cell>
          <cell r="O1308">
            <v>367931.97</v>
          </cell>
          <cell r="P1308">
            <v>286441.67</v>
          </cell>
        </row>
      </sheetData>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702"/>
      <sheetName val="ヒストグラム例付T2"/>
      <sheetName val="条件"/>
      <sheetName val="プリモ_S0"/>
      <sheetName val="プリモ_S1"/>
      <sheetName val="プリモ_S2"/>
      <sheetName val="プリモ_S3"/>
      <sheetName val="分关要素"/>
      <sheetName val="CAR 488"/>
      <sheetName val="MGA-05-03"/>
      <sheetName val="EQUIPMENT LOKAL PL"/>
      <sheetName val="PHAN XE SUB LHD)"/>
      <sheetName val="MVNS设变电明"/>
      <sheetName val="装備比較"/>
      <sheetName val="SET PART"/>
      <sheetName val="database1"/>
      <sheetName val="PRE"/>
      <sheetName val="ALL MP"/>
      <sheetName val="Database"/>
      <sheetName val="規則"/>
      <sheetName val="TCTTKH"/>
      <sheetName val="残存ｶｰﾌﾞ"/>
      <sheetName val="Sheet2 (2)"/>
      <sheetName val="DATA SHEET"/>
      <sheetName val="Sheet1"/>
      <sheetName val="checker be+af"/>
      <sheetName val="ตัวเลือก"/>
      <sheetName val="Short Plan "/>
      <sheetName val="????"/>
      <sheetName val="?????"/>
      <sheetName val="CAR_488"/>
      <sheetName val="2TUP"/>
      <sheetName val="unitprice"/>
      <sheetName val="MOTO"/>
      <sheetName val="リスト"/>
      <sheetName val="EQUIPMENT_LOKAL_PL"/>
      <sheetName val="PHAN_XE_SUB_LHD)"/>
      <sheetName val="SET_PART"/>
      <sheetName val="ALL_MP"/>
      <sheetName val="Sheet2_(2)"/>
      <sheetName val="DATA_SHEET"/>
      <sheetName val="checker_be+af"/>
      <sheetName val="Short_Plan_"/>
      <sheetName val="CAR_4881"/>
      <sheetName val="ALL_MP1"/>
      <sheetName val="EQUIPMENT_LOKAL_PL1"/>
      <sheetName val="PHAN_XE_SUB_LHD)1"/>
      <sheetName val="SET_PART1"/>
      <sheetName val="Sheet2_(2)1"/>
      <sheetName val="DATA_SHEET1"/>
      <sheetName val="checker_be+af1"/>
      <sheetName val="Short_Plan_1"/>
      <sheetName val="両端回路"/>
      <sheetName val="片端データ"/>
      <sheetName val="表紙(代表者)"/>
      <sheetName val="assy-current"/>
      <sheetName val="CAR_4882"/>
      <sheetName val="CAR_4883"/>
      <sheetName val="SET_PART2"/>
      <sheetName val="EQUIPMENT_LOKAL_PL2"/>
      <sheetName val="Sheet2_(2)2"/>
      <sheetName val="PHAN_XE_SUB_LHD)2"/>
      <sheetName val="ALL_MP2"/>
      <sheetName val="checker_be+af2"/>
      <sheetName val="Short_Plan_2"/>
      <sheetName val="____"/>
      <sheetName val="_____"/>
      <sheetName val="台数カレンダー元"/>
      <sheetName val="PRตัวเลือก"/>
      <sheetName val=" D2"/>
      <sheetName val="SH_CARLINE"/>
      <sheetName val="SH_ENTITY"/>
      <sheetName val="SH_ICP"/>
      <sheetName val="SH_MAKER"/>
      <sheetName val="SH_PRODUCTS"/>
      <sheetName val="SH_PROFILE"/>
      <sheetName val="Name"/>
      <sheetName val="TBP350A"/>
      <sheetName val="DATA_SHEET2"/>
      <sheetName val="EQUIPMENT_LOKAL_PL3"/>
      <sheetName val="PHAN_XE_SUB_LHD)3"/>
      <sheetName val="SET_PART3"/>
      <sheetName val="ALL_MP3"/>
      <sheetName val="Sheet2_(2)3"/>
      <sheetName val="DATA_SHEET3"/>
      <sheetName val="checker_be+af3"/>
      <sheetName val="Short_Plan_3"/>
      <sheetName val="CAR_4884"/>
      <sheetName val="ALL_MP4"/>
      <sheetName val="EQUIPMENT_LOKAL_PL4"/>
      <sheetName val="PHAN_XE_SUB_LHD)4"/>
      <sheetName val="SET_PART4"/>
      <sheetName val="Sheet2_(2)4"/>
      <sheetName val="DATA_SHEET4"/>
      <sheetName val="checker_be+af4"/>
      <sheetName val="Short_Plan_4"/>
      <sheetName val="DỮ LIỆU"/>
      <sheetName val="Window"/>
      <sheetName val="設備点検基準書"/>
      <sheetName val="点検前"/>
      <sheetName val="シリーズ対応表"/>
      <sheetName val="日常点検表"/>
      <sheetName val="定期点検表"/>
      <sheetName val="日1"/>
      <sheetName val="日2"/>
      <sheetName val="日3"/>
      <sheetName val="日4"/>
      <sheetName val="定1"/>
      <sheetName val="定2"/>
      <sheetName val="定3"/>
      <sheetName val="定4"/>
      <sheetName val="定5"/>
      <sheetName val="定6"/>
      <sheetName val="定7"/>
      <sheetName val="定8"/>
      <sheetName val="定9"/>
      <sheetName val="定10"/>
      <sheetName val="定11"/>
      <sheetName val="定12"/>
      <sheetName val="日常点検表(A3)"/>
      <sheetName val="定期点検表(A3)"/>
      <sheetName val="定期点検表(A3) (2)"/>
      <sheetName val="001"/>
      <sheetName val="002"/>
      <sheetName val="003"/>
      <sheetName val="004"/>
      <sheetName val="005"/>
      <sheetName val="006"/>
      <sheetName val="007"/>
      <sheetName val="008"/>
      <sheetName val="009"/>
      <sheetName val="101"/>
      <sheetName val="102"/>
      <sheetName val="103"/>
      <sheetName val="104"/>
      <sheetName val="105 (1)"/>
      <sheetName val="105 (2)"/>
      <sheetName val="106"/>
      <sheetName val="107"/>
      <sheetName val="108"/>
      <sheetName val="109"/>
      <sheetName val="110 (1)"/>
      <sheetName val="110 (2)"/>
      <sheetName val="110 (3)"/>
      <sheetName val="111"/>
      <sheetName val="YAMA RH NEW (2)"/>
      <sheetName val="WIRE B YU LINK"/>
      <sheetName val="List_Data"/>
      <sheetName val="DL"/>
      <sheetName val="gvl"/>
      <sheetName val="590L-F2"/>
      <sheetName val="Ramp up cost"/>
      <sheetName val="Tables"/>
      <sheetName val="Packaging"/>
      <sheetName val="図面台帳"/>
      <sheetName val="#REF"/>
      <sheetName val="WIRE_B_YU_LINK"/>
      <sheetName val="定期点検表(A3)_(2)"/>
      <sheetName val="105_(1)"/>
      <sheetName val="105_(2)"/>
      <sheetName val="110_(1)"/>
      <sheetName val="110_(2)"/>
      <sheetName val="110_(3)"/>
      <sheetName val="Monthly"/>
      <sheetName val="CH1"/>
      <sheetName val="CH2"/>
      <sheetName val="EX1"/>
      <sheetName val="TE1-2"/>
      <sheetName val="TE3"/>
      <sheetName val="TE4-5"/>
      <sheetName val="CAR_4889"/>
      <sheetName val="EQUIPMENT_LOKAL_PL9"/>
      <sheetName val="PHAN_XE_SUB_LHD)9"/>
      <sheetName val="SET_PART9"/>
      <sheetName val="ALL_MP9"/>
      <sheetName val="Sheet2_(2)9"/>
      <sheetName val="checker_be+af9"/>
      <sheetName val="DATA_SHEET9"/>
      <sheetName val="Short_Plan_9"/>
      <sheetName val="_D23"/>
      <sheetName val="DỮ_LIỆU3"/>
      <sheetName val="YAMA_RH_NEW_(2)"/>
      <sheetName val="CAR_4885"/>
      <sheetName val="ALL_MP5"/>
      <sheetName val="EQUIPMENT_LOKAL_PL5"/>
      <sheetName val="PHAN_XE_SUB_LHD)5"/>
      <sheetName val="SET_PART5"/>
      <sheetName val="Sheet2_(2)5"/>
      <sheetName val="checker_be+af5"/>
      <sheetName val="DATA_SHEET5"/>
      <sheetName val="Short_Plan_5"/>
      <sheetName val="CAR_4886"/>
      <sheetName val="EQUIPMENT_LOKAL_PL6"/>
      <sheetName val="SET_PART6"/>
      <sheetName val="PHAN_XE_SUB_LHD)6"/>
      <sheetName val="ALL_MP6"/>
      <sheetName val="Sheet2_(2)6"/>
      <sheetName val="checker_be+af6"/>
      <sheetName val="Short_Plan_6"/>
      <sheetName val="DATA_SHEET6"/>
      <sheetName val="_D2"/>
      <sheetName val="DỮ_LIỆU"/>
      <sheetName val="CAR_4888"/>
      <sheetName val="EQUIPMENT_LOKAL_PL8"/>
      <sheetName val="SET_PART8"/>
      <sheetName val="PHAN_XE_SUB_LHD)8"/>
      <sheetName val="ALL_MP8"/>
      <sheetName val="Sheet2_(2)8"/>
      <sheetName val="checker_be+af8"/>
      <sheetName val="Short_Plan_8"/>
      <sheetName val="DATA_SHEET8"/>
      <sheetName val="_D22"/>
      <sheetName val="DỮ_LIỆU2"/>
      <sheetName val="CAR_4887"/>
      <sheetName val="EQUIPMENT_LOKAL_PL7"/>
      <sheetName val="SET_PART7"/>
      <sheetName val="PHAN_XE_SUB_LHD)7"/>
      <sheetName val="ALL_MP7"/>
      <sheetName val="Sheet2_(2)7"/>
      <sheetName val="checker_be+af7"/>
      <sheetName val="Short_Plan_7"/>
      <sheetName val="DATA_SHEET7"/>
      <sheetName val="_D21"/>
      <sheetName val="DỮ_LIỆU1"/>
      <sheetName val="WIRE_B_YU_LINK1"/>
      <sheetName val="定期点検表(A3)_(2)1"/>
      <sheetName val="105_(1)1"/>
      <sheetName val="105_(2)1"/>
      <sheetName val="110_(1)1"/>
      <sheetName val="110_(2)1"/>
      <sheetName val="110_(3)1"/>
      <sheetName val="WIRE_B_YU_LINK3"/>
      <sheetName val="定期点検表(A3)_(2)3"/>
      <sheetName val="105_(1)3"/>
      <sheetName val="105_(2)3"/>
      <sheetName val="110_(1)3"/>
      <sheetName val="110_(2)3"/>
      <sheetName val="110_(3)3"/>
      <sheetName val="YAMA_RH_NEW_(2)2"/>
      <sheetName val="WIRE_B_YU_LINK2"/>
      <sheetName val="定期点検表(A3)_(2)2"/>
      <sheetName val="105_(1)2"/>
      <sheetName val="105_(2)2"/>
      <sheetName val="110_(1)2"/>
      <sheetName val="110_(2)2"/>
      <sheetName val="110_(3)2"/>
      <sheetName val="YAMA_RH_NEW_(2)1"/>
      <sheetName val="WIRE_B_YU_LINK4"/>
      <sheetName val="定期点検表(A3)_(2)4"/>
      <sheetName val="105_(1)4"/>
      <sheetName val="105_(2)4"/>
      <sheetName val="110_(1)4"/>
      <sheetName val="110_(2)4"/>
      <sheetName val="110_(3)4"/>
      <sheetName val="YAMA_RH_NEW_(2)3"/>
      <sheetName val="05年"/>
      <sheetName val="REQUEST_TABLE"/>
      <sheetName val="ﾄﾖﾀUNIT"/>
      <sheetName val="Toggle Duplicate Highlighting"/>
      <sheetName val="dongia (2)"/>
      <sheetName val="giathanh1"/>
      <sheetName val="lam-moi"/>
      <sheetName val="THPDMoi  (2)"/>
      <sheetName val="t-h HA THE"/>
      <sheetName val="chitiet"/>
      <sheetName val="DON GIA"/>
      <sheetName val="gtrinh"/>
      <sheetName val="thao-go"/>
      <sheetName val="CHITIET VL-NC"/>
      <sheetName val="CHITIET VL-NC-TT -1p"/>
      <sheetName val="VC"/>
      <sheetName val="TH XL"/>
      <sheetName val="Tiepdia"/>
      <sheetName val="CHITIET VL-NC-TT-3p"/>
      <sheetName val="Bia TQT"/>
      <sheetName val="TONGKE-HT"/>
      <sheetName val="TDTKP"/>
      <sheetName val="TDTKP1"/>
      <sheetName val="TONGKE3p "/>
      <sheetName val="KPVC-BD "/>
      <sheetName val="VCV-BE-TONG"/>
      <sheetName val="TNHCHINH"/>
      <sheetName val="工場名"/>
      <sheetName val="通貨"/>
      <sheetName val="CAR_48810"/>
      <sheetName val="EQUIPMENT_LOKAL_PL10"/>
      <sheetName val="PHAN_XE_SUB_LHD)10"/>
      <sheetName val="SET_PART10"/>
      <sheetName val="ALL_MP10"/>
      <sheetName val="Sheet2_(2)10"/>
      <sheetName val="DATA_SHEET10"/>
      <sheetName val="checker_be+af10"/>
      <sheetName val="Short_Plan_10"/>
      <sheetName val="_D24"/>
      <sheetName val="DỮ_LIỆU4"/>
      <sheetName val="INVOICE"/>
      <sheetName val="CAR_48811"/>
      <sheetName val="EQUIPMENT_LOKAL_PL11"/>
      <sheetName val="PHAN_XE_SUB_LHD)11"/>
      <sheetName val="ALL_MP11"/>
      <sheetName val="SET_PART11"/>
      <sheetName val="Sheet2_(2)11"/>
      <sheetName val="CAR_48812"/>
      <sheetName val="EQUIPMENT_LOKAL_PL12"/>
      <sheetName val="PHAN_XE_SUB_LHD)12"/>
      <sheetName val="ALL_MP12"/>
      <sheetName val="SET_PART12"/>
      <sheetName val="Sheet2_(2)12"/>
      <sheetName val="CAR_48813"/>
      <sheetName val="EQUIPMENT_LOKAL_PL13"/>
      <sheetName val="PHAN_XE_SUB_LHD)13"/>
      <sheetName val="ALL_MP13"/>
      <sheetName val="SET_PART13"/>
      <sheetName val="Sheet2_(2)13"/>
      <sheetName val="CAR_48814"/>
      <sheetName val="EQUIPMENT_LOKAL_PL14"/>
      <sheetName val="PHAN_XE_SUB_LHD)14"/>
      <sheetName val="ALL_MP14"/>
      <sheetName val="SET_PART14"/>
      <sheetName val="Sheet2_(2)14"/>
      <sheetName val="CAR_48819"/>
      <sheetName val="EQUIPMENT_LOKAL_PL19"/>
      <sheetName val="PHAN_XE_SUB_LHD)19"/>
      <sheetName val="ALL_MP19"/>
      <sheetName val="SET_PART19"/>
      <sheetName val="Sheet2_(2)19"/>
      <sheetName val="CAR_48815"/>
      <sheetName val="EQUIPMENT_LOKAL_PL15"/>
      <sheetName val="PHAN_XE_SUB_LHD)15"/>
      <sheetName val="ALL_MP15"/>
      <sheetName val="SET_PART15"/>
      <sheetName val="Sheet2_(2)15"/>
      <sheetName val="CAR_48816"/>
      <sheetName val="EQUIPMENT_LOKAL_PL16"/>
      <sheetName val="PHAN_XE_SUB_LHD)16"/>
      <sheetName val="ALL_MP16"/>
      <sheetName val="SET_PART16"/>
      <sheetName val="Sheet2_(2)16"/>
      <sheetName val="CAR_48817"/>
      <sheetName val="EQUIPMENT_LOKAL_PL17"/>
      <sheetName val="PHAN_XE_SUB_LHD)17"/>
      <sheetName val="ALL_MP17"/>
      <sheetName val="SET_PART17"/>
      <sheetName val="Sheet2_(2)17"/>
      <sheetName val="CAR_48818"/>
      <sheetName val="EQUIPMENT_LOKAL_PL18"/>
      <sheetName val="PHAN_XE_SUB_LHD)18"/>
      <sheetName val="ALL_MP18"/>
      <sheetName val="SET_PART18"/>
      <sheetName val="Sheet2_(2)18"/>
      <sheetName val="CAR_48822"/>
      <sheetName val="EQUIPMENT_LOKAL_PL22"/>
      <sheetName val="PHAN_XE_SUB_LHD)22"/>
      <sheetName val="ALL_MP22"/>
      <sheetName val="SET_PART22"/>
      <sheetName val="Sheet2_(2)22"/>
      <sheetName val="Ramp_up_cost2"/>
      <sheetName val="CAR_48820"/>
      <sheetName val="EQUIPMENT_LOKAL_PL20"/>
      <sheetName val="PHAN_XE_SUB_LHD)20"/>
      <sheetName val="ALL_MP20"/>
      <sheetName val="SET_PART20"/>
      <sheetName val="Sheet2_(2)20"/>
      <sheetName val="Ramp_up_cost"/>
      <sheetName val="CAR_48821"/>
      <sheetName val="EQUIPMENT_LOKAL_PL21"/>
      <sheetName val="PHAN_XE_SUB_LHD)21"/>
      <sheetName val="ALL_MP21"/>
      <sheetName val="SET_PART21"/>
      <sheetName val="Sheet2_(2)21"/>
      <sheetName val="Ramp_up_cost1"/>
      <sheetName val="CAR_48824"/>
      <sheetName val="EQUIPMENT_LOKAL_PL24"/>
      <sheetName val="PHAN_XE_SUB_LHD)24"/>
      <sheetName val="ALL_MP24"/>
      <sheetName val="SET_PART24"/>
      <sheetName val="Sheet2_(2)24"/>
      <sheetName val="Ramp_up_cost4"/>
      <sheetName val="CAR_48823"/>
      <sheetName val="EQUIPMENT_LOKAL_PL23"/>
      <sheetName val="PHAN_XE_SUB_LHD)23"/>
      <sheetName val="ALL_MP23"/>
      <sheetName val="SET_PART23"/>
      <sheetName val="Sheet2_(2)23"/>
      <sheetName val="Ramp_up_cost3"/>
      <sheetName val="CAR_48825"/>
      <sheetName val="EQUIPMENT_LOKAL_PL25"/>
      <sheetName val="PHAN_XE_SUB_LHD)25"/>
      <sheetName val="ALL_MP25"/>
      <sheetName val="SET_PART25"/>
      <sheetName val="Sheet2_(2)25"/>
      <sheetName val="CAR_48831"/>
      <sheetName val="EQUIPMENT_LOKAL_PL31"/>
      <sheetName val="PHAN_XE_SUB_LHD)31"/>
      <sheetName val="ALL_MP31"/>
      <sheetName val="SET_PART31"/>
      <sheetName val="Sheet2_(2)31"/>
      <sheetName val="DATA_SHEET13"/>
      <sheetName val="checker_be+af14"/>
      <sheetName val="Ramp_up_cost10"/>
      <sheetName val="Short_Plan_13"/>
      <sheetName val="WIRE_B_YU_LINK10"/>
      <sheetName val="CAR_48826"/>
      <sheetName val="EQUIPMENT_LOKAL_PL26"/>
      <sheetName val="PHAN_XE_SUB_LHD)26"/>
      <sheetName val="ALL_MP26"/>
      <sheetName val="SET_PART26"/>
      <sheetName val="Sheet2_(2)26"/>
      <sheetName val="Ramp_up_cost5"/>
      <sheetName val="WIRE_B_YU_LINK5"/>
      <sheetName val="CAR_48827"/>
      <sheetName val="EQUIPMENT_LOKAL_PL27"/>
      <sheetName val="PHAN_XE_SUB_LHD)27"/>
      <sheetName val="ALL_MP27"/>
      <sheetName val="SET_PART27"/>
      <sheetName val="Sheet2_(2)27"/>
      <sheetName val="Ramp_up_cost6"/>
      <sheetName val="WIRE_B_YU_LINK6"/>
      <sheetName val="CAR_48828"/>
      <sheetName val="EQUIPMENT_LOKAL_PL28"/>
      <sheetName val="PHAN_XE_SUB_LHD)28"/>
      <sheetName val="ALL_MP28"/>
      <sheetName val="SET_PART28"/>
      <sheetName val="Sheet2_(2)28"/>
      <sheetName val="checker_be+af11"/>
      <sheetName val="Ramp_up_cost7"/>
      <sheetName val="WIRE_B_YU_LINK7"/>
      <sheetName val="CAR_48829"/>
      <sheetName val="EQUIPMENT_LOKAL_PL29"/>
      <sheetName val="PHAN_XE_SUB_LHD)29"/>
      <sheetName val="ALL_MP29"/>
      <sheetName val="SET_PART29"/>
      <sheetName val="Sheet2_(2)29"/>
      <sheetName val="DATA_SHEET11"/>
      <sheetName val="checker_be+af12"/>
      <sheetName val="Ramp_up_cost8"/>
      <sheetName val="Short_Plan_11"/>
      <sheetName val="WIRE_B_YU_LINK8"/>
      <sheetName val="CAR_48830"/>
      <sheetName val="EQUIPMENT_LOKAL_PL30"/>
      <sheetName val="PHAN_XE_SUB_LHD)30"/>
      <sheetName val="ALL_MP30"/>
      <sheetName val="SET_PART30"/>
      <sheetName val="Sheet2_(2)30"/>
      <sheetName val="DATA_SHEET12"/>
      <sheetName val="checker_be+af13"/>
      <sheetName val="Ramp_up_cost9"/>
      <sheetName val="Short_Plan_12"/>
      <sheetName val="WIRE_B_YU_LINK9"/>
      <sheetName val="CAR_48832"/>
      <sheetName val="EQUIPMENT_LOKAL_PL32"/>
      <sheetName val="PHAN_XE_SUB_LHD)32"/>
      <sheetName val="ALL_MP32"/>
      <sheetName val="SET_PART32"/>
      <sheetName val="Sheet2_(2)32"/>
      <sheetName val="DATA_SHEET14"/>
      <sheetName val="checker_be+af15"/>
      <sheetName val="Ramp_up_cost11"/>
      <sheetName val="Short_Plan_14"/>
      <sheetName val="WIRE_B_YU_LINK11"/>
      <sheetName val="CAR_48833"/>
      <sheetName val="EQUIPMENT_LOKAL_PL33"/>
      <sheetName val="PHAN_XE_SUB_LHD)33"/>
      <sheetName val="ALL_MP33"/>
      <sheetName val="SET_PART33"/>
      <sheetName val="Sheet2_(2)33"/>
      <sheetName val="DATA_SHEET15"/>
      <sheetName val="checker_be+af16"/>
      <sheetName val="Ramp_up_cost12"/>
      <sheetName val="Short_Plan_15"/>
      <sheetName val="WIRE_B_YU_LINK12"/>
      <sheetName val="CAR_48834"/>
      <sheetName val="EQUIPMENT_LOKAL_PL34"/>
      <sheetName val="PHAN_XE_SUB_LHD)34"/>
      <sheetName val="ALL_MP34"/>
      <sheetName val="SET_PART34"/>
      <sheetName val="Sheet2_(2)34"/>
      <sheetName val="DATA_SHEET16"/>
      <sheetName val="checker_be+af17"/>
      <sheetName val="Ramp_up_cost13"/>
      <sheetName val="Short_Plan_16"/>
      <sheetName val="WIRE_B_YU_LINK13"/>
      <sheetName val="CAR_48835"/>
      <sheetName val="EQUIPMENT_LOKAL_PL35"/>
      <sheetName val="PHAN_XE_SUB_LHD)35"/>
      <sheetName val="ALL_MP35"/>
      <sheetName val="SET_PART35"/>
      <sheetName val="Sheet2_(2)35"/>
      <sheetName val="DATA_SHEET17"/>
      <sheetName val="checker_be+af18"/>
      <sheetName val="Ramp_up_cost14"/>
      <sheetName val="Short_Plan_17"/>
      <sheetName val="WIRE_B_YU_LINK14"/>
      <sheetName val="CAR_48836"/>
      <sheetName val="EQUIPMENT_LOKAL_PL36"/>
      <sheetName val="PHAN_XE_SUB_LHD)36"/>
      <sheetName val="ALL_MP36"/>
      <sheetName val="SET_PART36"/>
      <sheetName val="Sheet2_(2)36"/>
      <sheetName val="DATA_SHEET18"/>
      <sheetName val="checker_be+af19"/>
      <sheetName val="Ramp_up_cost15"/>
      <sheetName val="Short_Plan_18"/>
      <sheetName val="WIRE_B_YU_LINK15"/>
      <sheetName val="CAR_48837"/>
      <sheetName val="EQUIPMENT_LOKAL_PL37"/>
      <sheetName val="PHAN_XE_SUB_LHD)37"/>
      <sheetName val="ALL_MP37"/>
      <sheetName val="SET_PART37"/>
      <sheetName val="Sheet2_(2)37"/>
      <sheetName val="DATA_SHEET19"/>
      <sheetName val="checker_be+af20"/>
      <sheetName val="Ramp_up_cost16"/>
      <sheetName val="Short_Plan_19"/>
      <sheetName val="WIRE_B_YU_LINK16"/>
      <sheetName val="SPL 4-8-21"/>
      <sheetName val="定期点検表(A3)_(2)5"/>
      <sheetName val="105_(1)5"/>
      <sheetName val="105_(2)5"/>
      <sheetName val="110_(1)5"/>
      <sheetName val="110_(2)5"/>
      <sheetName val="110_(3)5"/>
      <sheetName val="YAMA_RH_NEW_(2)4"/>
      <sheetName val="CAR_48838"/>
      <sheetName val="EQUIPMENT_LOKAL_PL38"/>
      <sheetName val="PHAN_XE_SUB_LHD)38"/>
      <sheetName val="ALL_MP38"/>
      <sheetName val="SET_PART38"/>
      <sheetName val="Sheet2_(2)38"/>
      <sheetName val="DATA_SHEET20"/>
      <sheetName val="checker_be+af21"/>
      <sheetName val="Ramp_up_cost17"/>
      <sheetName val="Short_Plan_20"/>
      <sheetName val="WIRE_B_YU_LINK17"/>
      <sheetName val="CAR_48839"/>
      <sheetName val="EQUIPMENT_LOKAL_PL39"/>
      <sheetName val="PHAN_XE_SUB_LHD)39"/>
      <sheetName val="ALL_MP39"/>
      <sheetName val="SET_PART39"/>
      <sheetName val="Sheet2_(2)39"/>
      <sheetName val="DATA_SHEET21"/>
      <sheetName val="checker_be+af22"/>
      <sheetName val="Ramp_up_cost18"/>
      <sheetName val="Short_Plan_21"/>
      <sheetName val="WIRE_B_YU_LINK18"/>
      <sheetName val="CAR_48841"/>
      <sheetName val="EQUIPMENT_LOKAL_PL41"/>
      <sheetName val="PHAN_XE_SUB_LHD)41"/>
      <sheetName val="ALL_MP41"/>
      <sheetName val="SET_PART41"/>
      <sheetName val="Sheet2_(2)41"/>
      <sheetName val="DATA_SHEET23"/>
      <sheetName val="checker_be+af24"/>
      <sheetName val="Ramp_up_cost20"/>
      <sheetName val="Short_Plan_23"/>
      <sheetName val="WIRE_B_YU_LINK20"/>
      <sheetName val="CAR_48840"/>
      <sheetName val="EQUIPMENT_LOKAL_PL40"/>
      <sheetName val="PHAN_XE_SUB_LHD)40"/>
      <sheetName val="ALL_MP40"/>
      <sheetName val="SET_PART40"/>
      <sheetName val="Sheet2_(2)40"/>
      <sheetName val="DATA_SHEET22"/>
      <sheetName val="checker_be+af23"/>
      <sheetName val="Ramp_up_cost19"/>
      <sheetName val="Short_Plan_22"/>
      <sheetName val="定期点検表(A3)_(2)7"/>
      <sheetName val="105_(1)7"/>
      <sheetName val="105_(2)7"/>
      <sheetName val="110_(1)7"/>
      <sheetName val="110_(2)7"/>
      <sheetName val="110_(3)7"/>
      <sheetName val="_D26"/>
      <sheetName val="DỮ_LIỆU6"/>
      <sheetName val="YAMA_RH_NEW_(2)6"/>
      <sheetName val="定期点検表(A3)_(2)6"/>
      <sheetName val="105_(1)6"/>
      <sheetName val="105_(2)6"/>
      <sheetName val="110_(1)6"/>
      <sheetName val="110_(2)6"/>
      <sheetName val="110_(3)6"/>
      <sheetName val="_D25"/>
      <sheetName val="DỮ_LIỆU5"/>
      <sheetName val="YAMA_RH_NEW_(2)5"/>
      <sheetName val="SPL_4-8-21"/>
      <sheetName val="WIRE_B_YU_LINK19"/>
      <sheetName val="CAR_48843"/>
      <sheetName val="EQUIPMENT_LOKAL_PL43"/>
      <sheetName val="PHAN_XE_SUB_LHD)43"/>
      <sheetName val="ALL_MP43"/>
      <sheetName val="SET_PART43"/>
      <sheetName val="Sheet2_(2)43"/>
      <sheetName val="DATA_SHEET25"/>
      <sheetName val="checker_be+af26"/>
      <sheetName val="Ramp_up_cost22"/>
      <sheetName val="Short_Plan_25"/>
      <sheetName val="WIRE_B_YU_LINK22"/>
      <sheetName val="CAR_48842"/>
      <sheetName val="EQUIPMENT_LOKAL_PL42"/>
      <sheetName val="PHAN_XE_SUB_LHD)42"/>
      <sheetName val="ALL_MP42"/>
      <sheetName val="SET_PART42"/>
      <sheetName val="Sheet2_(2)42"/>
      <sheetName val="DATA_SHEET24"/>
      <sheetName val="checker_be+af25"/>
      <sheetName val="Ramp_up_cost21"/>
      <sheetName val="Short_Plan_24"/>
      <sheetName val="WIRE_B_YU_LINK21"/>
      <sheetName val="CAR_48848"/>
      <sheetName val="EQUIPMENT_LOKAL_PL48"/>
      <sheetName val="PHAN_XE_SUB_LHD)48"/>
      <sheetName val="ALL_MP48"/>
      <sheetName val="SET_PART48"/>
      <sheetName val="Sheet2_(2)48"/>
      <sheetName val="DATA_SHEET30"/>
      <sheetName val="checker_be+af31"/>
      <sheetName val="Ramp_up_cost27"/>
      <sheetName val="Short_Plan_30"/>
      <sheetName val="WIRE_B_YU_LINK27"/>
      <sheetName val="YAMA_RH_NEW_(2)9"/>
      <sheetName val="_D29"/>
      <sheetName val="DỮ_LIỆU9"/>
      <sheetName val="定期点検表(A3)_(2)10"/>
      <sheetName val="105_(1)10"/>
      <sheetName val="105_(2)10"/>
      <sheetName val="110_(1)10"/>
      <sheetName val="110_(2)10"/>
      <sheetName val="110_(3)10"/>
      <sheetName val="CAR_48844"/>
      <sheetName val="EQUIPMENT_LOKAL_PL44"/>
      <sheetName val="PHAN_XE_SUB_LHD)44"/>
      <sheetName val="ALL_MP44"/>
      <sheetName val="SET_PART44"/>
      <sheetName val="Sheet2_(2)44"/>
      <sheetName val="DATA_SHEET26"/>
      <sheetName val="checker_be+af27"/>
      <sheetName val="Ramp_up_cost23"/>
      <sheetName val="Short_Plan_26"/>
      <sheetName val="WIRE_B_YU_LINK23"/>
      <sheetName val="CAR_48845"/>
      <sheetName val="EQUIPMENT_LOKAL_PL45"/>
      <sheetName val="PHAN_XE_SUB_LHD)45"/>
      <sheetName val="ALL_MP45"/>
      <sheetName val="SET_PART45"/>
      <sheetName val="Sheet2_(2)45"/>
      <sheetName val="DATA_SHEET27"/>
      <sheetName val="checker_be+af28"/>
      <sheetName val="Ramp_up_cost24"/>
      <sheetName val="Short_Plan_27"/>
      <sheetName val="WIRE_B_YU_LINK24"/>
      <sheetName val="CAR_48847"/>
      <sheetName val="EQUIPMENT_LOKAL_PL47"/>
      <sheetName val="PHAN_XE_SUB_LHD)47"/>
      <sheetName val="ALL_MP47"/>
      <sheetName val="SET_PART47"/>
      <sheetName val="Sheet2_(2)47"/>
      <sheetName val="DATA_SHEET29"/>
      <sheetName val="checker_be+af30"/>
      <sheetName val="Ramp_up_cost26"/>
      <sheetName val="Short_Plan_29"/>
      <sheetName val="WIRE_B_YU_LINK26"/>
      <sheetName val="YAMA_RH_NEW_(2)8"/>
      <sheetName val="_D28"/>
      <sheetName val="DỮ_LIỆU8"/>
      <sheetName val="定期点検表(A3)_(2)9"/>
      <sheetName val="105_(1)9"/>
      <sheetName val="105_(2)9"/>
      <sheetName val="110_(1)9"/>
      <sheetName val="110_(2)9"/>
      <sheetName val="110_(3)9"/>
      <sheetName val="CAR_48846"/>
      <sheetName val="EQUIPMENT_LOKAL_PL46"/>
      <sheetName val="PHAN_XE_SUB_LHD)46"/>
      <sheetName val="ALL_MP46"/>
      <sheetName val="SET_PART46"/>
      <sheetName val="Sheet2_(2)46"/>
      <sheetName val="DATA_SHEET28"/>
      <sheetName val="checker_be+af29"/>
      <sheetName val="Ramp_up_cost25"/>
      <sheetName val="Short_Plan_28"/>
      <sheetName val="WIRE_B_YU_LINK25"/>
      <sheetName val="YAMA_RH_NEW_(2)7"/>
      <sheetName val="_D27"/>
      <sheetName val="DỮ_LIỆU7"/>
      <sheetName val="定期点検表(A3)_(2)8"/>
      <sheetName val="105_(1)8"/>
      <sheetName val="105_(2)8"/>
      <sheetName val="110_(1)8"/>
      <sheetName val="110_(2)8"/>
      <sheetName val="110_(3)8"/>
      <sheetName val="CAR_48849"/>
      <sheetName val="EQUIPMENT_LOKAL_PL49"/>
      <sheetName val="PHAN_XE_SUB_LHD)49"/>
      <sheetName val="ALL_MP49"/>
      <sheetName val="SET_PART49"/>
      <sheetName val="Sheet2_(2)49"/>
      <sheetName val="DATA_SHEET31"/>
      <sheetName val="checker_be+af32"/>
      <sheetName val="Ramp_up_cost28"/>
      <sheetName val="Short_Plan_31"/>
      <sheetName val="WIRE_B_YU_LINK28"/>
      <sheetName val="YAMA_RH_NEW_(2)10"/>
      <sheetName val="_D210"/>
      <sheetName val="DỮ_LIỆU10"/>
      <sheetName val="定期点検表(A3)_(2)11"/>
      <sheetName val="105_(1)11"/>
      <sheetName val="105_(2)11"/>
      <sheetName val="110_(1)11"/>
      <sheetName val="110_(2)11"/>
      <sheetName val="110_(3)11"/>
      <sheetName val="CAR_48850"/>
      <sheetName val="EQUIPMENT_LOKAL_PL50"/>
      <sheetName val="PHAN_XE_SUB_LHD)50"/>
      <sheetName val="ALL_MP50"/>
      <sheetName val="SET_PART50"/>
      <sheetName val="Sheet2_(2)50"/>
      <sheetName val="DATA_SHEET32"/>
      <sheetName val="checker_be+af33"/>
      <sheetName val="Ramp_up_cost29"/>
      <sheetName val="Short_Plan_32"/>
      <sheetName val="WIRE_B_YU_LINK29"/>
      <sheetName val="YAMA_RH_NEW_(2)11"/>
      <sheetName val="_D211"/>
      <sheetName val="DỮ_LIỆU11"/>
      <sheetName val="定期点検表(A3)_(2)12"/>
      <sheetName val="105_(1)12"/>
      <sheetName val="105_(2)12"/>
      <sheetName val="110_(1)12"/>
      <sheetName val="110_(2)12"/>
      <sheetName val="110_(3)12"/>
      <sheetName val="CAR_48851"/>
      <sheetName val="EQUIPMENT_LOKAL_PL51"/>
      <sheetName val="PHAN_XE_SUB_LHD)51"/>
      <sheetName val="ALL_MP51"/>
      <sheetName val="SET_PART51"/>
      <sheetName val="Sheet2_(2)51"/>
      <sheetName val="DATA_SHEET33"/>
      <sheetName val="checker_be+af34"/>
      <sheetName val="Ramp_up_cost30"/>
      <sheetName val="Short_Plan_33"/>
      <sheetName val="WIRE_B_YU_LINK30"/>
      <sheetName val="YAMA_RH_NEW_(2)12"/>
      <sheetName val="_D212"/>
      <sheetName val="DỮ_LIỆU12"/>
      <sheetName val="定期点検表(A3)_(2)13"/>
      <sheetName val="105_(1)13"/>
      <sheetName val="105_(2)13"/>
      <sheetName val="110_(1)13"/>
      <sheetName val="110_(2)13"/>
      <sheetName val="110_(3)13"/>
      <sheetName val="CAR_48852"/>
      <sheetName val="EQUIPMENT_LOKAL_PL52"/>
      <sheetName val="PHAN_XE_SUB_LHD)52"/>
      <sheetName val="ALL_MP52"/>
      <sheetName val="SET_PART52"/>
      <sheetName val="Sheet2_(2)52"/>
      <sheetName val="DATA_SHEET34"/>
      <sheetName val="checker_be+af35"/>
      <sheetName val="Ramp_up_cost31"/>
      <sheetName val="Short_Plan_34"/>
      <sheetName val="WIRE_B_YU_LINK31"/>
      <sheetName val="YAMA_RH_NEW_(2)13"/>
      <sheetName val="_D213"/>
      <sheetName val="DỮ_LIỆU13"/>
      <sheetName val="定期点検表(A3)_(2)14"/>
      <sheetName val="105_(1)14"/>
      <sheetName val="105_(2)14"/>
      <sheetName val="110_(1)14"/>
      <sheetName val="110_(2)14"/>
      <sheetName val="110_(3)14"/>
      <sheetName val="Toggle_Duplicate_Highlighting"/>
      <sheetName val="dongia_(2)"/>
      <sheetName val="THPDMoi__(2)"/>
      <sheetName val="t-h_HA_THE"/>
      <sheetName val="DON_GIA"/>
      <sheetName val="CHITIET_VL-NC"/>
      <sheetName val="CHITIET_VL-NC-TT_-1p"/>
      <sheetName val="TH_XL"/>
      <sheetName val="CHITIET_VL-NC-TT-3p"/>
      <sheetName val="Bia_TQT"/>
      <sheetName val="TONGKE3p_"/>
      <sheetName val="KPVC-BD_"/>
      <sheetName val="SPL_4-8-211"/>
      <sheetName val="Toggle_Duplicate_Highlighting1"/>
      <sheetName val="dongia_(2)1"/>
      <sheetName val="THPDMoi__(2)1"/>
      <sheetName val="t-h_HA_THE1"/>
      <sheetName val="DON_GIA1"/>
      <sheetName val="CHITIET_VL-NC1"/>
      <sheetName val="CHITIET_VL-NC-TT_-1p1"/>
      <sheetName val="TH_XL1"/>
      <sheetName val="CHITIET_VL-NC-TT-3p1"/>
      <sheetName val="Bia_TQT1"/>
      <sheetName val="TONGKE3p_1"/>
      <sheetName val="KPVC-BD_1"/>
      <sheetName val="SPL_4-8-212"/>
      <sheetName val="Toggle_Duplicate_Highlighting2"/>
      <sheetName val="dongia_(2)2"/>
      <sheetName val="THPDMoi__(2)2"/>
      <sheetName val="t-h_HA_THE2"/>
      <sheetName val="DON_GIA2"/>
      <sheetName val="CHITIET_VL-NC2"/>
      <sheetName val="CHITIET_VL-NC-TT_-1p2"/>
      <sheetName val="TH_XL2"/>
      <sheetName val="CHITIET_VL-NC-TT-3p2"/>
      <sheetName val="Bia_TQT2"/>
      <sheetName val="TONGKE3p_2"/>
      <sheetName val="KPVC-BD_2"/>
      <sheetName val="SPL_4-8-213"/>
      <sheetName val="Toggle_Duplicate_Highlighting3"/>
      <sheetName val="dongia_(2)3"/>
      <sheetName val="THPDMoi__(2)3"/>
      <sheetName val="t-h_HA_THE3"/>
      <sheetName val="DON_GIA3"/>
      <sheetName val="CHITIET_VL-NC3"/>
      <sheetName val="CHITIET_VL-NC-TT_-1p3"/>
      <sheetName val="TH_XL3"/>
      <sheetName val="CHITIET_VL-NC-TT-3p3"/>
      <sheetName val="Bia_TQT3"/>
      <sheetName val="TONGKE3p_3"/>
      <sheetName val="KPVC-BD_3"/>
      <sheetName val="SPL_4-8-214"/>
      <sheetName val="Toggle_Duplicate_Highlighting4"/>
      <sheetName val="dongia_(2)4"/>
      <sheetName val="THPDMoi__(2)4"/>
      <sheetName val="t-h_HA_THE4"/>
      <sheetName val="DON_GIA4"/>
      <sheetName val="CHITIET_VL-NC4"/>
      <sheetName val="CHITIET_VL-NC-TT_-1p4"/>
      <sheetName val="TH_XL4"/>
      <sheetName val="CHITIET_VL-NC-TT-3p4"/>
      <sheetName val="Bia_TQT4"/>
      <sheetName val="TONGKE3p_4"/>
      <sheetName val="KPVC-BD_4"/>
      <sheetName val="ab"/>
      <sheetName val="c.ca"/>
      <sheetName val="c.cb"/>
      <sheetName val="d2a"/>
      <sheetName val="E2"/>
      <sheetName val="T1b"/>
      <sheetName val="M1A"/>
      <sheetName val="T1a"/>
      <sheetName val="サンプルフォーマット"/>
      <sheetName val="3DOT THEO DL BARCODE"/>
      <sheetName val="INVOICES"/>
      <sheetName val="RAW"/>
      <sheetName val="id case MZD (2)"/>
      <sheetName val="CAR_48857"/>
      <sheetName val="EQUIPMENT_LOKAL_PL57"/>
      <sheetName val="PHAN_XE_SUB_LHD)57"/>
      <sheetName val="ALL_MP57"/>
      <sheetName val="SET_PART57"/>
      <sheetName val="Sheet2_(2)57"/>
      <sheetName val="DATA_SHEET39"/>
      <sheetName val="checker_be+af40"/>
      <sheetName val="Short_Plan_39"/>
      <sheetName val="_D218"/>
      <sheetName val="DỮ_LIỆU18"/>
      <sheetName val="YAMA_RH_NEW_(2)18"/>
      <sheetName val="WIRE_B_YU_LINK36"/>
      <sheetName val="定期点検表(A3)_(2)19"/>
      <sheetName val="105_(1)19"/>
      <sheetName val="105_(2)19"/>
      <sheetName val="110_(1)19"/>
      <sheetName val="110_(2)19"/>
      <sheetName val="110_(3)19"/>
      <sheetName val="Ramp_up_cost36"/>
      <sheetName val="c_ca3"/>
      <sheetName val="c_cb3"/>
      <sheetName val="CAR_48856"/>
      <sheetName val="EQUIPMENT_LOKAL_PL56"/>
      <sheetName val="PHAN_XE_SUB_LHD)56"/>
      <sheetName val="SET_PART56"/>
      <sheetName val="ALL_MP56"/>
      <sheetName val="Sheet2_(2)56"/>
      <sheetName val="DATA_SHEET38"/>
      <sheetName val="checker_be+af39"/>
      <sheetName val="Short_Plan_38"/>
      <sheetName val="_D217"/>
      <sheetName val="DỮ_LIỆU17"/>
      <sheetName val="YAMA_RH_NEW_(2)17"/>
      <sheetName val="WIRE_B_YU_LINK35"/>
      <sheetName val="定期点検表(A3)_(2)18"/>
      <sheetName val="105_(1)18"/>
      <sheetName val="105_(2)18"/>
      <sheetName val="110_(1)18"/>
      <sheetName val="110_(2)18"/>
      <sheetName val="110_(3)18"/>
      <sheetName val="Ramp_up_cost35"/>
      <sheetName val="c_ca2"/>
      <sheetName val="c_cb2"/>
      <sheetName val="CAR_48853"/>
      <sheetName val="EQUIPMENT_LOKAL_PL53"/>
      <sheetName val="PHAN_XE_SUB_LHD)53"/>
      <sheetName val="SET_PART53"/>
      <sheetName val="ALL_MP53"/>
      <sheetName val="Sheet2_(2)53"/>
      <sheetName val="DATA_SHEET35"/>
      <sheetName val="checker_be+af36"/>
      <sheetName val="Short_Plan_35"/>
      <sheetName val="_D214"/>
      <sheetName val="DỮ_LIỆU14"/>
      <sheetName val="YAMA_RH_NEW_(2)14"/>
      <sheetName val="WIRE_B_YU_LINK32"/>
      <sheetName val="定期点検表(A3)_(2)15"/>
      <sheetName val="105_(1)15"/>
      <sheetName val="105_(2)15"/>
      <sheetName val="110_(1)15"/>
      <sheetName val="110_(2)15"/>
      <sheetName val="110_(3)15"/>
      <sheetName val="Ramp_up_cost32"/>
      <sheetName val="c_ca"/>
      <sheetName val="c_cb"/>
      <sheetName val="CAR_48854"/>
      <sheetName val="SET_PART54"/>
      <sheetName val="EQUIPMENT_LOKAL_PL54"/>
      <sheetName val="PHAN_XE_SUB_LHD)54"/>
      <sheetName val="ALL_MP54"/>
      <sheetName val="Sheet2_(2)54"/>
      <sheetName val="DATA_SHEET36"/>
      <sheetName val="Short_Plan_36"/>
      <sheetName val="checker_be+af37"/>
      <sheetName val="_D215"/>
      <sheetName val="DỮ_LIỆU15"/>
      <sheetName val="YAMA_RH_NEW_(2)15"/>
      <sheetName val="WIRE_B_YU_LINK33"/>
      <sheetName val="定期点検表(A3)_(2)16"/>
      <sheetName val="105_(1)16"/>
      <sheetName val="105_(2)16"/>
      <sheetName val="110_(1)16"/>
      <sheetName val="110_(2)16"/>
      <sheetName val="110_(3)16"/>
      <sheetName val="Ramp_up_cost33"/>
      <sheetName val="CAR_48855"/>
      <sheetName val="ALL_MP55"/>
      <sheetName val="EQUIPMENT_LOKAL_PL55"/>
      <sheetName val="PHAN_XE_SUB_LHD)55"/>
      <sheetName val="SET_PART55"/>
      <sheetName val="Sheet2_(2)55"/>
      <sheetName val="DATA_SHEET37"/>
      <sheetName val="checker_be+af38"/>
      <sheetName val="Short_Plan_37"/>
      <sheetName val="_D216"/>
      <sheetName val="DỮ_LIỆU16"/>
      <sheetName val="YAMA_RH_NEW_(2)16"/>
      <sheetName val="WIRE_B_YU_LINK34"/>
      <sheetName val="定期点検表(A3)_(2)17"/>
      <sheetName val="105_(1)17"/>
      <sheetName val="105_(2)17"/>
      <sheetName val="110_(1)17"/>
      <sheetName val="110_(2)17"/>
      <sheetName val="110_(3)17"/>
      <sheetName val="Ramp_up_cost34"/>
      <sheetName val="c_ca1"/>
      <sheetName val="c_cb1"/>
      <sheetName val="ctdg"/>
      <sheetName val="CAR_48859"/>
      <sheetName val="SET_PART59"/>
      <sheetName val="EQUIPMENT_LOKAL_PL59"/>
      <sheetName val="Sheet2_(2)59"/>
      <sheetName val="PHAN_XE_SUB_LHD)59"/>
      <sheetName val="ALL_MP59"/>
      <sheetName val="checker_be+af42"/>
      <sheetName val="Short_Plan_41"/>
      <sheetName val="DATA_SHEET41"/>
      <sheetName val="WIRE_B_YU_LINK38"/>
      <sheetName val="定期点検表(A3)_(2)21"/>
      <sheetName val="105_(1)21"/>
      <sheetName val="105_(2)21"/>
      <sheetName val="110_(1)21"/>
      <sheetName val="110_(2)21"/>
      <sheetName val="110_(3)21"/>
      <sheetName val="_D220"/>
      <sheetName val="DỮ_LIỆU20"/>
      <sheetName val="YAMA_RH_NEW_(2)20"/>
      <sheetName val="Ramp_up_cost38"/>
      <sheetName val="SPL_4-8-2111"/>
      <sheetName val="Toggle_Duplicate_Highlighting11"/>
      <sheetName val="dongia_(2)11"/>
      <sheetName val="THPDMoi__(2)11"/>
      <sheetName val="t-h_HA_THE11"/>
      <sheetName val="DON_GIA11"/>
      <sheetName val="CHITIET_VL-NC11"/>
      <sheetName val="CHITIET_VL-NC-TT_-1p11"/>
      <sheetName val="TH_XL11"/>
      <sheetName val="CHITIET_VL-NC-TT-3p11"/>
      <sheetName val="Bia_TQT11"/>
      <sheetName val="TONGKE3p_11"/>
      <sheetName val="KPVC-BD_11"/>
      <sheetName val="c_ca5"/>
      <sheetName val="c_cb5"/>
      <sheetName val="SPL_4-8-215"/>
      <sheetName val="Toggle_Duplicate_Highlighting5"/>
      <sheetName val="dongia_(2)5"/>
      <sheetName val="THPDMoi__(2)5"/>
      <sheetName val="t-h_HA_THE5"/>
      <sheetName val="DON_GIA5"/>
      <sheetName val="CHITIET_VL-NC5"/>
      <sheetName val="CHITIET_VL-NC-TT_-1p5"/>
      <sheetName val="TH_XL5"/>
      <sheetName val="CHITIET_VL-NC-TT-3p5"/>
      <sheetName val="Bia_TQT5"/>
      <sheetName val="TONGKE3p_5"/>
      <sheetName val="KPVC-BD_5"/>
      <sheetName val="SPL_4-8-216"/>
      <sheetName val="Toggle_Duplicate_Highlighting6"/>
      <sheetName val="dongia_(2)6"/>
      <sheetName val="THPDMoi__(2)6"/>
      <sheetName val="t-h_HA_THE6"/>
      <sheetName val="DON_GIA6"/>
      <sheetName val="CHITIET_VL-NC6"/>
      <sheetName val="CHITIET_VL-NC-TT_-1p6"/>
      <sheetName val="TH_XL6"/>
      <sheetName val="CHITIET_VL-NC-TT-3p6"/>
      <sheetName val="Bia_TQT6"/>
      <sheetName val="TONGKE3p_6"/>
      <sheetName val="KPVC-BD_6"/>
      <sheetName val="SPL_4-8-217"/>
      <sheetName val="Toggle_Duplicate_Highlighting7"/>
      <sheetName val="dongia_(2)7"/>
      <sheetName val="THPDMoi__(2)7"/>
      <sheetName val="t-h_HA_THE7"/>
      <sheetName val="DON_GIA7"/>
      <sheetName val="CHITIET_VL-NC7"/>
      <sheetName val="CHITIET_VL-NC-TT_-1p7"/>
      <sheetName val="TH_XL7"/>
      <sheetName val="CHITIET_VL-NC-TT-3p7"/>
      <sheetName val="Bia_TQT7"/>
      <sheetName val="TONGKE3p_7"/>
      <sheetName val="KPVC-BD_7"/>
      <sheetName val="SPL_4-8-218"/>
      <sheetName val="Toggle_Duplicate_Highlighting8"/>
      <sheetName val="dongia_(2)8"/>
      <sheetName val="THPDMoi__(2)8"/>
      <sheetName val="t-h_HA_THE8"/>
      <sheetName val="DON_GIA8"/>
      <sheetName val="CHITIET_VL-NC8"/>
      <sheetName val="CHITIET_VL-NC-TT_-1p8"/>
      <sheetName val="TH_XL8"/>
      <sheetName val="CHITIET_VL-NC-TT-3p8"/>
      <sheetName val="Bia_TQT8"/>
      <sheetName val="TONGKE3p_8"/>
      <sheetName val="KPVC-BD_8"/>
      <sheetName val="SPL_4-8-219"/>
      <sheetName val="Toggle_Duplicate_Highlighting9"/>
      <sheetName val="dongia_(2)9"/>
      <sheetName val="THPDMoi__(2)9"/>
      <sheetName val="t-h_HA_THE9"/>
      <sheetName val="DON_GIA9"/>
      <sheetName val="CHITIET_VL-NC9"/>
      <sheetName val="CHITIET_VL-NC-TT_-1p9"/>
      <sheetName val="TH_XL9"/>
      <sheetName val="CHITIET_VL-NC-TT-3p9"/>
      <sheetName val="Bia_TQT9"/>
      <sheetName val="TONGKE3p_9"/>
      <sheetName val="KPVC-BD_9"/>
      <sheetName val="CAR_48858"/>
      <sheetName val="SET_PART58"/>
      <sheetName val="EQUIPMENT_LOKAL_PL58"/>
      <sheetName val="Sheet2_(2)58"/>
      <sheetName val="PHAN_XE_SUB_LHD)58"/>
      <sheetName val="ALL_MP58"/>
      <sheetName val="checker_be+af41"/>
      <sheetName val="Short_Plan_40"/>
      <sheetName val="DATA_SHEET40"/>
      <sheetName val="WIRE_B_YU_LINK37"/>
      <sheetName val="定期点検表(A3)_(2)20"/>
      <sheetName val="105_(1)20"/>
      <sheetName val="105_(2)20"/>
      <sheetName val="110_(1)20"/>
      <sheetName val="110_(2)20"/>
      <sheetName val="110_(3)20"/>
      <sheetName val="_D219"/>
      <sheetName val="DỮ_LIỆU19"/>
      <sheetName val="YAMA_RH_NEW_(2)19"/>
      <sheetName val="Ramp_up_cost37"/>
      <sheetName val="SPL_4-8-2110"/>
      <sheetName val="Toggle_Duplicate_Highlighting10"/>
      <sheetName val="dongia_(2)10"/>
      <sheetName val="THPDMoi__(2)10"/>
      <sheetName val="t-h_HA_THE10"/>
      <sheetName val="DON_GIA10"/>
      <sheetName val="CHITIET_VL-NC10"/>
      <sheetName val="CHITIET_VL-NC-TT_-1p10"/>
      <sheetName val="TH_XL10"/>
      <sheetName val="CHITIET_VL-NC-TT-3p10"/>
      <sheetName val="Bia_TQT10"/>
      <sheetName val="TONGKE3p_10"/>
      <sheetName val="KPVC-BD_10"/>
      <sheetName val="c_ca4"/>
      <sheetName val="c_cb4"/>
      <sheetName val="CAR_48861"/>
      <sheetName val="SET_PART61"/>
      <sheetName val="EQUIPMENT_LOKAL_PL61"/>
      <sheetName val="Sheet2_(2)61"/>
      <sheetName val="PHAN_XE_SUB_LHD)61"/>
      <sheetName val="ALL_MP61"/>
      <sheetName val="checker_be+af44"/>
      <sheetName val="Short_Plan_43"/>
      <sheetName val="DATA_SHEET43"/>
      <sheetName val="WIRE_B_YU_LINK40"/>
      <sheetName val="定期点検表(A3)_(2)23"/>
      <sheetName val="105_(1)23"/>
      <sheetName val="105_(2)23"/>
      <sheetName val="110_(1)23"/>
      <sheetName val="110_(2)23"/>
      <sheetName val="110_(3)23"/>
      <sheetName val="_D222"/>
      <sheetName val="DỮ_LIỆU22"/>
      <sheetName val="YAMA_RH_NEW_(2)22"/>
      <sheetName val="Ramp_up_cost40"/>
      <sheetName val="SPL_4-8-2113"/>
      <sheetName val="Toggle_Duplicate_Highlighting13"/>
      <sheetName val="dongia_(2)13"/>
      <sheetName val="THPDMoi__(2)13"/>
      <sheetName val="t-h_HA_THE13"/>
      <sheetName val="DON_GIA13"/>
      <sheetName val="CHITIET_VL-NC13"/>
      <sheetName val="CHITIET_VL-NC-TT_-1p13"/>
      <sheetName val="TH_XL13"/>
      <sheetName val="CHITIET_VL-NC-TT-3p13"/>
      <sheetName val="Bia_TQT13"/>
      <sheetName val="TONGKE3p_13"/>
      <sheetName val="KPVC-BD_13"/>
      <sheetName val="c_ca7"/>
      <sheetName val="c_cb7"/>
      <sheetName val="CAR_48860"/>
      <sheetName val="SET_PART60"/>
      <sheetName val="EQUIPMENT_LOKAL_PL60"/>
      <sheetName val="Sheet2_(2)60"/>
      <sheetName val="PHAN_XE_SUB_LHD)60"/>
      <sheetName val="ALL_MP60"/>
      <sheetName val="checker_be+af43"/>
      <sheetName val="Short_Plan_42"/>
      <sheetName val="DATA_SHEET42"/>
      <sheetName val="WIRE_B_YU_LINK39"/>
      <sheetName val="定期点検表(A3)_(2)22"/>
      <sheetName val="105_(1)22"/>
      <sheetName val="105_(2)22"/>
      <sheetName val="110_(1)22"/>
      <sheetName val="110_(2)22"/>
      <sheetName val="110_(3)22"/>
      <sheetName val="_D221"/>
      <sheetName val="DỮ_LIỆU21"/>
      <sheetName val="YAMA_RH_NEW_(2)21"/>
      <sheetName val="Ramp_up_cost39"/>
      <sheetName val="SPL_4-8-2112"/>
      <sheetName val="Toggle_Duplicate_Highlighting12"/>
      <sheetName val="dongia_(2)12"/>
      <sheetName val="THPDMoi__(2)12"/>
      <sheetName val="t-h_HA_THE12"/>
      <sheetName val="DON_GIA12"/>
      <sheetName val="CHITIET_VL-NC12"/>
      <sheetName val="CHITIET_VL-NC-TT_-1p12"/>
      <sheetName val="TH_XL12"/>
      <sheetName val="CHITIET_VL-NC-TT-3p12"/>
      <sheetName val="Bia_TQT12"/>
      <sheetName val="TONGKE3p_12"/>
      <sheetName val="KPVC-BD_12"/>
      <sheetName val="c_ca6"/>
      <sheetName val="c_cb6"/>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refreshError="1"/>
      <sheetData sheetId="97" refreshError="1"/>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sheetData sheetId="157"/>
      <sheetData sheetId="158"/>
      <sheetData sheetId="159"/>
      <sheetData sheetId="160"/>
      <sheetData sheetId="161"/>
      <sheetData sheetId="162"/>
      <sheetData sheetId="163" refreshError="1"/>
      <sheetData sheetId="164" refreshError="1"/>
      <sheetData sheetId="165" refreshError="1"/>
      <sheetData sheetId="166" refreshError="1"/>
      <sheetData sheetId="167" refreshError="1"/>
      <sheetData sheetId="168" refreshError="1"/>
      <sheetData sheetId="169" refreshError="1"/>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sheetData sheetId="285"/>
      <sheetData sheetId="286"/>
      <sheetData sheetId="287"/>
      <sheetData sheetId="288"/>
      <sheetData sheetId="289"/>
      <sheetData sheetId="290"/>
      <sheetData sheetId="291"/>
      <sheetData sheetId="292"/>
      <sheetData sheetId="293"/>
      <sheetData sheetId="294"/>
      <sheetData sheetId="295" refreshError="1"/>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refreshError="1"/>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sheetData sheetId="736"/>
      <sheetData sheetId="737"/>
      <sheetData sheetId="738"/>
      <sheetData sheetId="739"/>
      <sheetData sheetId="740"/>
      <sheetData sheetId="741"/>
      <sheetData sheetId="742"/>
      <sheetData sheetId="743"/>
      <sheetData sheetId="744"/>
      <sheetData sheetId="745"/>
      <sheetData sheetId="746"/>
      <sheetData sheetId="747"/>
      <sheetData sheetId="748"/>
      <sheetData sheetId="749"/>
      <sheetData sheetId="750"/>
      <sheetData sheetId="751"/>
      <sheetData sheetId="752"/>
      <sheetData sheetId="753"/>
      <sheetData sheetId="754"/>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sheetData sheetId="773"/>
      <sheetData sheetId="774"/>
      <sheetData sheetId="775"/>
      <sheetData sheetId="776"/>
      <sheetData sheetId="777"/>
      <sheetData sheetId="778"/>
      <sheetData sheetId="779"/>
      <sheetData sheetId="780"/>
      <sheetData sheetId="781"/>
      <sheetData sheetId="782"/>
      <sheetData sheetId="783"/>
      <sheetData sheetId="784"/>
      <sheetData sheetId="785"/>
      <sheetData sheetId="786"/>
      <sheetData sheetId="787"/>
      <sheetData sheetId="788"/>
      <sheetData sheetId="789"/>
      <sheetData sheetId="790"/>
      <sheetData sheetId="791"/>
      <sheetData sheetId="792"/>
      <sheetData sheetId="793"/>
      <sheetData sheetId="794"/>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sheetData sheetId="828"/>
      <sheetData sheetId="829"/>
      <sheetData sheetId="830"/>
      <sheetData sheetId="831"/>
      <sheetData sheetId="832"/>
      <sheetData sheetId="833"/>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sheetData sheetId="843" refreshError="1"/>
      <sheetData sheetId="844" refreshError="1"/>
      <sheetData sheetId="845" refreshError="1"/>
      <sheetData sheetId="846" refreshError="1"/>
      <sheetData sheetId="847"/>
      <sheetData sheetId="848"/>
      <sheetData sheetId="849"/>
      <sheetData sheetId="850"/>
      <sheetData sheetId="851"/>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 sheetId="869"/>
      <sheetData sheetId="870"/>
      <sheetData sheetId="871"/>
      <sheetData sheetId="872"/>
      <sheetData sheetId="873"/>
      <sheetData sheetId="874"/>
      <sheetData sheetId="875"/>
      <sheetData sheetId="876"/>
      <sheetData sheetId="877"/>
      <sheetData sheetId="878"/>
      <sheetData sheetId="879"/>
      <sheetData sheetId="880"/>
      <sheetData sheetId="881"/>
      <sheetData sheetId="882"/>
      <sheetData sheetId="883"/>
      <sheetData sheetId="884"/>
      <sheetData sheetId="885"/>
      <sheetData sheetId="886"/>
      <sheetData sheetId="887"/>
      <sheetData sheetId="888"/>
      <sheetData sheetId="889"/>
      <sheetData sheetId="890"/>
      <sheetData sheetId="891"/>
      <sheetData sheetId="892"/>
      <sheetData sheetId="893"/>
      <sheetData sheetId="894"/>
      <sheetData sheetId="895"/>
      <sheetData sheetId="896"/>
      <sheetData sheetId="897"/>
      <sheetData sheetId="898"/>
      <sheetData sheetId="899"/>
      <sheetData sheetId="900"/>
      <sheetData sheetId="901"/>
      <sheetData sheetId="902"/>
      <sheetData sheetId="903"/>
      <sheetData sheetId="904"/>
      <sheetData sheetId="905"/>
      <sheetData sheetId="906"/>
      <sheetData sheetId="907"/>
      <sheetData sheetId="908"/>
      <sheetData sheetId="909"/>
      <sheetData sheetId="910"/>
      <sheetData sheetId="911"/>
      <sheetData sheetId="912"/>
      <sheetData sheetId="913"/>
      <sheetData sheetId="914"/>
      <sheetData sheetId="915"/>
      <sheetData sheetId="916"/>
      <sheetData sheetId="917"/>
      <sheetData sheetId="918"/>
      <sheetData sheetId="919"/>
      <sheetData sheetId="920"/>
      <sheetData sheetId="921"/>
      <sheetData sheetId="922"/>
      <sheetData sheetId="923"/>
      <sheetData sheetId="924"/>
      <sheetData sheetId="925"/>
      <sheetData sheetId="926"/>
      <sheetData sheetId="927"/>
      <sheetData sheetId="928"/>
      <sheetData sheetId="929"/>
      <sheetData sheetId="930"/>
      <sheetData sheetId="931"/>
      <sheetData sheetId="932"/>
      <sheetData sheetId="933"/>
      <sheetData sheetId="934"/>
      <sheetData sheetId="935"/>
      <sheetData sheetId="936"/>
      <sheetData sheetId="937"/>
      <sheetData sheetId="938"/>
      <sheetData sheetId="939"/>
      <sheetData sheetId="940"/>
      <sheetData sheetId="941"/>
      <sheetData sheetId="942"/>
      <sheetData sheetId="943"/>
      <sheetData sheetId="944"/>
      <sheetData sheetId="945"/>
      <sheetData sheetId="946"/>
      <sheetData sheetId="947"/>
      <sheetData sheetId="948"/>
      <sheetData sheetId="949"/>
      <sheetData sheetId="950"/>
      <sheetData sheetId="951"/>
      <sheetData sheetId="952"/>
      <sheetData sheetId="953"/>
      <sheetData sheetId="954"/>
      <sheetData sheetId="955" refreshError="1"/>
      <sheetData sheetId="956"/>
      <sheetData sheetId="957"/>
      <sheetData sheetId="958"/>
      <sheetData sheetId="959"/>
      <sheetData sheetId="960"/>
      <sheetData sheetId="961"/>
      <sheetData sheetId="962"/>
      <sheetData sheetId="963"/>
      <sheetData sheetId="964"/>
      <sheetData sheetId="965"/>
      <sheetData sheetId="966"/>
      <sheetData sheetId="967"/>
      <sheetData sheetId="968"/>
      <sheetData sheetId="969"/>
      <sheetData sheetId="970"/>
      <sheetData sheetId="971"/>
      <sheetData sheetId="972"/>
      <sheetData sheetId="973"/>
      <sheetData sheetId="974"/>
      <sheetData sheetId="975"/>
      <sheetData sheetId="976"/>
      <sheetData sheetId="977"/>
      <sheetData sheetId="978"/>
      <sheetData sheetId="979"/>
      <sheetData sheetId="980"/>
      <sheetData sheetId="981"/>
      <sheetData sheetId="982"/>
      <sheetData sheetId="983"/>
      <sheetData sheetId="984"/>
      <sheetData sheetId="985"/>
      <sheetData sheetId="986"/>
      <sheetData sheetId="987"/>
      <sheetData sheetId="988"/>
      <sheetData sheetId="989"/>
      <sheetData sheetId="990"/>
      <sheetData sheetId="991"/>
      <sheetData sheetId="992"/>
      <sheetData sheetId="993"/>
      <sheetData sheetId="994"/>
      <sheetData sheetId="995"/>
      <sheetData sheetId="996"/>
      <sheetData sheetId="997"/>
      <sheetData sheetId="998"/>
      <sheetData sheetId="999"/>
      <sheetData sheetId="1000"/>
      <sheetData sheetId="1001"/>
      <sheetData sheetId="1002"/>
      <sheetData sheetId="1003"/>
      <sheetData sheetId="1004"/>
      <sheetData sheetId="1005"/>
      <sheetData sheetId="1006"/>
      <sheetData sheetId="1007"/>
      <sheetData sheetId="1008"/>
      <sheetData sheetId="1009"/>
      <sheetData sheetId="1010"/>
      <sheetData sheetId="1011"/>
      <sheetData sheetId="1012"/>
      <sheetData sheetId="1013"/>
      <sheetData sheetId="1014"/>
      <sheetData sheetId="1015"/>
      <sheetData sheetId="1016"/>
      <sheetData sheetId="1017"/>
      <sheetData sheetId="1018"/>
      <sheetData sheetId="1019"/>
      <sheetData sheetId="1020"/>
      <sheetData sheetId="1021"/>
      <sheetData sheetId="1022"/>
      <sheetData sheetId="1023"/>
      <sheetData sheetId="1024"/>
      <sheetData sheetId="1025"/>
      <sheetData sheetId="1026"/>
      <sheetData sheetId="1027"/>
      <sheetData sheetId="1028"/>
      <sheetData sheetId="1029"/>
      <sheetData sheetId="1030"/>
      <sheetData sheetId="1031"/>
      <sheetData sheetId="1032"/>
      <sheetData sheetId="1033"/>
      <sheetData sheetId="1034"/>
      <sheetData sheetId="1035"/>
      <sheetData sheetId="1036"/>
      <sheetData sheetId="1037"/>
      <sheetData sheetId="1038"/>
      <sheetData sheetId="1039"/>
      <sheetData sheetId="1040"/>
      <sheetData sheetId="1041"/>
      <sheetData sheetId="1042"/>
      <sheetData sheetId="1043"/>
      <sheetData sheetId="1044"/>
      <sheetData sheetId="1045"/>
      <sheetData sheetId="1046"/>
      <sheetData sheetId="1047"/>
      <sheetData sheetId="1048"/>
      <sheetData sheetId="1049"/>
      <sheetData sheetId="1050"/>
      <sheetData sheetId="1051"/>
      <sheetData sheetId="1052"/>
      <sheetData sheetId="1053"/>
      <sheetData sheetId="1054"/>
      <sheetData sheetId="1055"/>
      <sheetData sheetId="1056"/>
      <sheetData sheetId="1057"/>
      <sheetData sheetId="1058"/>
      <sheetData sheetId="1059"/>
      <sheetData sheetId="1060"/>
      <sheetData sheetId="1061"/>
      <sheetData sheetId="1062"/>
      <sheetData sheetId="1063"/>
      <sheetData sheetId="1064"/>
      <sheetData sheetId="1065"/>
      <sheetData sheetId="1066"/>
      <sheetData sheetId="1067"/>
      <sheetData sheetId="1068"/>
      <sheetData sheetId="1069"/>
      <sheetData sheetId="1070"/>
      <sheetData sheetId="1071"/>
      <sheetData sheetId="1072"/>
      <sheetData sheetId="1073"/>
      <sheetData sheetId="1074"/>
      <sheetData sheetId="1075"/>
      <sheetData sheetId="1076"/>
      <sheetData sheetId="1077"/>
      <sheetData sheetId="1078"/>
      <sheetData sheetId="1079"/>
      <sheetData sheetId="1080"/>
      <sheetData sheetId="1081"/>
      <sheetData sheetId="1082"/>
      <sheetData sheetId="1083"/>
      <sheetData sheetId="1084"/>
      <sheetData sheetId="1085"/>
      <sheetData sheetId="1086"/>
      <sheetData sheetId="1087"/>
      <sheetData sheetId="1088"/>
      <sheetData sheetId="1089"/>
      <sheetData sheetId="1090"/>
      <sheetData sheetId="1091"/>
      <sheetData sheetId="1092"/>
      <sheetData sheetId="1093"/>
      <sheetData sheetId="1094"/>
      <sheetData sheetId="1095"/>
      <sheetData sheetId="1096"/>
      <sheetData sheetId="1097"/>
      <sheetData sheetId="1098"/>
      <sheetData sheetId="1099"/>
      <sheetData sheetId="1100"/>
      <sheetData sheetId="1101"/>
      <sheetData sheetId="1102"/>
      <sheetData sheetId="1103"/>
      <sheetData sheetId="1104"/>
      <sheetData sheetId="1105"/>
      <sheetData sheetId="1106"/>
      <sheetData sheetId="1107"/>
      <sheetData sheetId="1108"/>
      <sheetData sheetId="1109"/>
      <sheetData sheetId="1110"/>
      <sheetData sheetId="1111"/>
      <sheetData sheetId="1112"/>
      <sheetData sheetId="1113"/>
      <sheetData sheetId="1114"/>
      <sheetData sheetId="1115"/>
      <sheetData sheetId="1116"/>
      <sheetData sheetId="1117"/>
      <sheetData sheetId="1118"/>
      <sheetData sheetId="1119"/>
      <sheetData sheetId="1120"/>
      <sheetData sheetId="1121"/>
      <sheetData sheetId="1122"/>
      <sheetData sheetId="1123"/>
      <sheetData sheetId="1124"/>
      <sheetData sheetId="1125"/>
      <sheetData sheetId="1126"/>
      <sheetData sheetId="1127"/>
      <sheetData sheetId="1128"/>
      <sheetData sheetId="1129"/>
      <sheetData sheetId="1130"/>
      <sheetData sheetId="1131"/>
      <sheetData sheetId="1132"/>
      <sheetData sheetId="1133"/>
      <sheetData sheetId="1134"/>
      <sheetData sheetId="1135"/>
      <sheetData sheetId="1136"/>
      <sheetData sheetId="1137"/>
      <sheetData sheetId="1138"/>
      <sheetData sheetId="1139"/>
      <sheetData sheetId="1140"/>
      <sheetData sheetId="1141"/>
      <sheetData sheetId="1142"/>
      <sheetData sheetId="1143"/>
      <sheetData sheetId="1144"/>
      <sheetData sheetId="1145"/>
      <sheetData sheetId="1146"/>
      <sheetData sheetId="1147"/>
      <sheetData sheetId="1148"/>
      <sheetData sheetId="1149"/>
      <sheetData sheetId="1150"/>
      <sheetData sheetId="1151"/>
      <sheetData sheetId="1152"/>
      <sheetData sheetId="1153"/>
      <sheetData sheetId="1154"/>
      <sheetData sheetId="1155"/>
      <sheetData sheetId="1156"/>
      <sheetData sheetId="1157"/>
      <sheetData sheetId="1158"/>
      <sheetData sheetId="1159"/>
      <sheetData sheetId="1160"/>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サイズリスト"/>
      <sheetName val="サイズリスト (2)"/>
      <sheetName val="サイズリスト (3)"/>
      <sheetName val="サイズリスト (4)"/>
      <sheetName val="BMW RF"/>
      <sheetName val="負荷容量"/>
      <sheetName val="Sheet1"/>
      <sheetName val="Sheet2"/>
      <sheetName val="Sheet3"/>
    </sheetNames>
    <sheetDataSet>
      <sheetData sheetId="0"/>
      <sheetData sheetId="1"/>
      <sheetData sheetId="2"/>
      <sheetData sheetId="3"/>
      <sheetData sheetId="4"/>
      <sheetData sheetId="5"/>
      <sheetData sheetId="6"/>
      <sheetData sheetId="7"/>
      <sheetData sheetId="8"/>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finition"/>
      <sheetName val="Muda List (2)"/>
      <sheetName val="muda input"/>
      <sheetName val="Default"/>
      <sheetName val="Input Info P1"/>
      <sheetName val="ConceptB"/>
      <sheetName val="ConceptC"/>
      <sheetName val="Fixed_Asset"/>
      <sheetName val="Rent"/>
      <sheetName val="Other_Cost"/>
      <sheetName val="Nego"/>
      <sheetName val="Criteria"/>
      <sheetName val="System"/>
      <sheetName val="Words"/>
      <sheetName val="MYZK02"/>
      <sheetName val="instruction"/>
      <sheetName val="SAI"/>
      <sheetName val="Lead"/>
      <sheetName val="MASTER"/>
    </sheetNames>
    <sheetDataSet>
      <sheetData sheetId="0"/>
      <sheetData sheetId="1"/>
      <sheetData sheetId="2"/>
      <sheetData sheetId="3"/>
      <sheetData sheetId="4"/>
      <sheetData sheetId="5"/>
      <sheetData sheetId="6">
        <row r="16">
          <cell r="D16" t="str">
            <v>USD</v>
          </cell>
        </row>
      </sheetData>
      <sheetData sheetId="7"/>
      <sheetData sheetId="8"/>
      <sheetData sheetId="9"/>
      <sheetData sheetId="10"/>
      <sheetData sheetId="11"/>
      <sheetData sheetId="12">
        <row r="2">
          <cell r="A2" t="str">
            <v>xx03</v>
          </cell>
        </row>
        <row r="14">
          <cell r="A14" t="str">
            <v>STEP2(7-12)</v>
          </cell>
          <cell r="E14" t="str">
            <v>STEP2</v>
          </cell>
        </row>
        <row r="15">
          <cell r="A15" t="str">
            <v>STEP2(1-6)</v>
          </cell>
          <cell r="E15" t="str">
            <v>STEP4</v>
          </cell>
        </row>
        <row r="16">
          <cell r="A16" t="str">
            <v>STEP4(7-12)</v>
          </cell>
        </row>
        <row r="17">
          <cell r="A17" t="str">
            <v>STEP4(1-6)</v>
          </cell>
        </row>
        <row r="20">
          <cell r="A20" t="str">
            <v>P1::Production Direct</v>
          </cell>
        </row>
        <row r="21">
          <cell r="A21" t="str">
            <v>P2::Production Common</v>
          </cell>
        </row>
        <row r="22">
          <cell r="A22" t="str">
            <v>P3::Production Support</v>
          </cell>
        </row>
        <row r="23">
          <cell r="A23" t="str">
            <v>A1::General&amp;Administration</v>
          </cell>
        </row>
        <row r="24">
          <cell r="A24" t="str">
            <v>H1::Head Office Production Support</v>
          </cell>
        </row>
        <row r="25">
          <cell r="A25" t="str">
            <v>H2::Head Office General&amp;Administration</v>
          </cell>
        </row>
        <row r="28">
          <cell r="A28" t="str">
            <v>FIX::Fixed</v>
          </cell>
        </row>
        <row r="29">
          <cell r="A29" t="str">
            <v>VAR::Variable</v>
          </cell>
        </row>
        <row r="32">
          <cell r="A32" t="str">
            <v>EQP::Equipment</v>
          </cell>
        </row>
        <row r="33">
          <cell r="A33" t="str">
            <v>BLD::Building</v>
          </cell>
        </row>
        <row r="34">
          <cell r="A34" t="str">
            <v>OTH::Other</v>
          </cell>
        </row>
        <row r="37">
          <cell r="A37">
            <v>7</v>
          </cell>
        </row>
        <row r="38">
          <cell r="A38">
            <v>8</v>
          </cell>
        </row>
        <row r="39">
          <cell r="A39">
            <v>9</v>
          </cell>
        </row>
        <row r="40">
          <cell r="A40">
            <v>10</v>
          </cell>
        </row>
        <row r="41">
          <cell r="A41">
            <v>11</v>
          </cell>
        </row>
        <row r="42">
          <cell r="A42">
            <v>12</v>
          </cell>
          <cell r="C42" t="str">
            <v>English</v>
          </cell>
        </row>
        <row r="43">
          <cell r="A43">
            <v>1</v>
          </cell>
          <cell r="C43" t="str">
            <v>Japanese</v>
          </cell>
        </row>
        <row r="44">
          <cell r="A44">
            <v>2</v>
          </cell>
          <cell r="C44" t="str">
            <v>Chinese</v>
          </cell>
        </row>
        <row r="45">
          <cell r="A45">
            <v>3</v>
          </cell>
        </row>
        <row r="46">
          <cell r="A46">
            <v>4</v>
          </cell>
        </row>
        <row r="47">
          <cell r="A47">
            <v>5</v>
          </cell>
        </row>
        <row r="48">
          <cell r="A48">
            <v>6</v>
          </cell>
        </row>
        <row r="52">
          <cell r="C52" t="str">
            <v>RCR027::Insurance expense</v>
          </cell>
        </row>
        <row r="53">
          <cell r="C53" t="str">
            <v>RCR028::Warehouse expense</v>
          </cell>
        </row>
        <row r="54">
          <cell r="C54" t="str">
            <v>RCR029::Taxes &amp; public dues</v>
          </cell>
        </row>
        <row r="55">
          <cell r="C55" t="str">
            <v>RCR030::Other fixed costs</v>
          </cell>
        </row>
        <row r="56">
          <cell r="C56" t="str">
            <v>RCR035::License fee and others</v>
          </cell>
        </row>
        <row r="57">
          <cell r="C57" t="str">
            <v>RCR037::Research and development expense</v>
          </cell>
        </row>
        <row r="58">
          <cell r="C58" t="str">
            <v>RCR038::Wear and tear cost</v>
          </cell>
        </row>
        <row r="59">
          <cell r="C59" t="str">
            <v>RCR039::Repair and maintenance cost</v>
          </cell>
        </row>
        <row r="60">
          <cell r="C60" t="str">
            <v>RCR040::Freight cost</v>
          </cell>
        </row>
        <row r="61">
          <cell r="C61" t="str">
            <v>RCR041::Utility &amp; power expense</v>
          </cell>
        </row>
        <row r="62">
          <cell r="C62" t="str">
            <v>RCR042::Office supplies</v>
          </cell>
        </row>
        <row r="63">
          <cell r="C63" t="str">
            <v>RCR043::Other production costs</v>
          </cell>
        </row>
        <row r="124">
          <cell r="C124" t="str">
            <v>RPL025::Sales expense &amp; commission</v>
          </cell>
        </row>
        <row r="125">
          <cell r="C125" t="str">
            <v>RPL026::Transportation expense</v>
          </cell>
        </row>
        <row r="126">
          <cell r="C126" t="str">
            <v>RPL027::Packing &amp; warehouse expense</v>
          </cell>
        </row>
        <row r="127">
          <cell r="C127" t="str">
            <v>RPL030::Bad debt &amp; Prov. for doubtful accounts</v>
          </cell>
        </row>
        <row r="128">
          <cell r="C128" t="str">
            <v>RPL031::Claim expense &amp; warranty expense</v>
          </cell>
        </row>
        <row r="129">
          <cell r="C129" t="str">
            <v>RPL051::Other fixed expense</v>
          </cell>
        </row>
        <row r="130">
          <cell r="C130" t="str">
            <v>RPL053::Research and development expense</v>
          </cell>
        </row>
        <row r="131">
          <cell r="C131" t="str">
            <v>RPL058::Other G&amp;A expense</v>
          </cell>
        </row>
        <row r="184">
          <cell r="A184" t="str">
            <v>ALL::全体</v>
          </cell>
        </row>
        <row r="185">
          <cell r="A185" t="str">
            <v>SURPLUS::余剰</v>
          </cell>
        </row>
        <row r="186">
          <cell r="A186" t="str">
            <v>(01).EXP YC M011800::Toyota-Japan</v>
          </cell>
        </row>
        <row r="187">
          <cell r="A187" t="str">
            <v>(02).EXP YC M019900::Toyota:Others</v>
          </cell>
        </row>
        <row r="188">
          <cell r="A188" t="str">
            <v>(03).EXP YC M030200::Daihatsu-Japan</v>
          </cell>
        </row>
        <row r="189">
          <cell r="A189" t="str">
            <v>(04).EXP YC M039900::Daihatsu:Others</v>
          </cell>
        </row>
        <row r="190">
          <cell r="A190" t="str">
            <v>(05).EXP YC M100100::Suzuki-Japan</v>
          </cell>
        </row>
        <row r="191">
          <cell r="A191" t="str">
            <v>(06).EXP YC M999900::Others</v>
          </cell>
        </row>
        <row r="192">
          <cell r="A192" t="str">
            <v>(07).EXP YNA M130800::GMA</v>
          </cell>
        </row>
        <row r="193">
          <cell r="A193" t="str">
            <v>(08).EXP YEL M999900::Others</v>
          </cell>
        </row>
        <row r="194">
          <cell r="A194" t="str">
            <v>(09).EXP PNA M039900::Daihatsu:Others</v>
          </cell>
        </row>
        <row r="195">
          <cell r="A195" t="str">
            <v>(10).EXP TAPBF M010900::TMT: Toyota Motor Thailand Co., Ltd.</v>
          </cell>
        </row>
        <row r="196">
          <cell r="A196" t="str">
            <v>(11).DOM JAI M999900::Others</v>
          </cell>
        </row>
        <row r="197">
          <cell r="A197" t="str">
            <v>(12).DOM PASI M010800::TMMIN:PT. Toyota Motor Manuf. Indonesia</v>
          </cell>
        </row>
        <row r="198">
          <cell r="A198" t="str">
            <v>(13).DOM PASI M019900::Toyota:Others</v>
          </cell>
        </row>
        <row r="199">
          <cell r="A199" t="str">
            <v>(14).DOM PASI M020100::HMMI: PT. Hino Indonesia Manufacturing</v>
          </cell>
        </row>
        <row r="200">
          <cell r="A200" t="str">
            <v>(15).DOM PASI M029900::Hino:Others</v>
          </cell>
        </row>
        <row r="201">
          <cell r="A201" t="str">
            <v>(16).DOM PASI M030100::ADM: PT. Astra Daihatsu Motor</v>
          </cell>
        </row>
        <row r="202">
          <cell r="A202" t="str">
            <v>(17).DOM PASI M050100::IAMI: PT. Isuzu Astra Motor Indonesia</v>
          </cell>
        </row>
        <row r="203">
          <cell r="A203" t="str">
            <v>(18).DOM PASI M050600::MII: PT. Mesin Isuzu Indonesia</v>
          </cell>
        </row>
        <row r="204">
          <cell r="A204" t="str">
            <v>(19).DOM PASI M290100::UD Trucks::AMTI: PT. Astra Multi Trucks Indonesia</v>
          </cell>
        </row>
        <row r="205">
          <cell r="A205" t="str">
            <v>(20).DOM PASI M300500::NMI: PT. Nissan Motor Indonesia</v>
          </cell>
        </row>
        <row r="206">
          <cell r="A206" t="str">
            <v>(21).DOM PASI M999900::Others</v>
          </cell>
        </row>
        <row r="207">
          <cell r="A207" t="str">
            <v>(22).DOM PEMI M039900::Daihatsu:Others</v>
          </cell>
        </row>
        <row r="208">
          <cell r="A208" t="str">
            <v>(23).DOM SAI M999900::Others</v>
          </cell>
        </row>
        <row r="209">
          <cell r="A209" t="str">
            <v>(24).DOM SAMI M999900::Others</v>
          </cell>
        </row>
        <row r="210">
          <cell r="A210" t="str">
            <v>(25).DOM SUAI M010800::TMMIN:PT. Toyota Motor Manuf. Indonesia</v>
          </cell>
        </row>
        <row r="211">
          <cell r="A211" t="str">
            <v>(26).DOM SUAI M020100::HMMI: PT. Hino Indonesia Manufacturing</v>
          </cell>
        </row>
        <row r="212">
          <cell r="A212" t="str">
            <v>(27).DOM SUAI M030100::ADM: PT. Astra Daihatsu Motor</v>
          </cell>
        </row>
        <row r="213">
          <cell r="A213" t="str">
            <v>(28).DOM SUAI M079900::Mitsubishi:Others</v>
          </cell>
        </row>
        <row r="218">
          <cell r="A218" t="str">
            <v>ALL</v>
          </cell>
        </row>
        <row r="219">
          <cell r="A219" t="str">
            <v>STEP1</v>
          </cell>
        </row>
        <row r="220">
          <cell r="A220" t="str">
            <v>STEP2</v>
          </cell>
        </row>
        <row r="221">
          <cell r="A221" t="str">
            <v>STEP3</v>
          </cell>
        </row>
        <row r="222">
          <cell r="A222" t="str">
            <v>STEP4</v>
          </cell>
        </row>
        <row r="223">
          <cell r="A223" t="str">
            <v>(01).EXP YC M011800::Toyota-Japan</v>
          </cell>
        </row>
        <row r="224">
          <cell r="A224" t="str">
            <v>(02).EXP YC M019900::Toyota:Others</v>
          </cell>
        </row>
        <row r="225">
          <cell r="A225" t="str">
            <v>(03).EXP YC M030200::Daihatsu-Japan</v>
          </cell>
        </row>
        <row r="226">
          <cell r="A226" t="str">
            <v>(04).EXP YC M039900::Daihatsu:Others</v>
          </cell>
        </row>
        <row r="227">
          <cell r="A227" t="str">
            <v>(05).EXP YC M100100::Suzuki-Japan</v>
          </cell>
        </row>
        <row r="228">
          <cell r="A228" t="str">
            <v>(06).EXP YC M999900::Others</v>
          </cell>
        </row>
        <row r="229">
          <cell r="A229" t="str">
            <v>(07).EXP YNA M130800::GMA</v>
          </cell>
        </row>
        <row r="230">
          <cell r="A230" t="str">
            <v>(08).EXP YEL M999900::Others</v>
          </cell>
        </row>
        <row r="231">
          <cell r="A231" t="str">
            <v>(09).EXP PNA M039900::Daihatsu:Others</v>
          </cell>
        </row>
        <row r="232">
          <cell r="A232" t="str">
            <v>(10).EXP TAPBF M010900::TMT: Toyota Motor Thailand Co., Ltd.</v>
          </cell>
        </row>
        <row r="233">
          <cell r="A233" t="str">
            <v>(11).DOM JAI M999900::Others</v>
          </cell>
        </row>
        <row r="234">
          <cell r="A234" t="str">
            <v>(12).DOM PASI M010800::TMMIN:PT. Toyota Motor Manuf. Indonesia</v>
          </cell>
        </row>
        <row r="235">
          <cell r="A235" t="str">
            <v>(13).DOM PASI M019900::Toyota:Others</v>
          </cell>
        </row>
        <row r="236">
          <cell r="A236" t="str">
            <v>(14).DOM PASI M020100::HMMI: PT. Hino Indonesia Manufacturing</v>
          </cell>
        </row>
        <row r="237">
          <cell r="A237" t="str">
            <v>(15).DOM PASI M029900::Hino:Others</v>
          </cell>
        </row>
        <row r="238">
          <cell r="A238" t="str">
            <v>(16).DOM PASI M030100::ADM: PT. Astra Daihatsu Motor</v>
          </cell>
        </row>
        <row r="239">
          <cell r="A239" t="str">
            <v>(17).DOM PASI M050100::IAMI: PT. Isuzu Astra Motor Indonesia</v>
          </cell>
        </row>
        <row r="240">
          <cell r="A240" t="str">
            <v>(18).DOM PASI M050600::MII: PT. Mesin Isuzu Indonesia</v>
          </cell>
        </row>
        <row r="241">
          <cell r="A241" t="str">
            <v>(19).DOM PASI M290100::UD Trucks::AMTI: PT. Astra Multi Trucks Indonesia</v>
          </cell>
        </row>
        <row r="242">
          <cell r="A242" t="str">
            <v>(20).DOM PASI M300500::NMI: PT. Nissan Motor Indonesia</v>
          </cell>
        </row>
        <row r="243">
          <cell r="A243" t="str">
            <v>(21).DOM PASI M999900::Others</v>
          </cell>
        </row>
        <row r="244">
          <cell r="A244" t="str">
            <v>(22).DOM PEMI M039900::Daihatsu:Others</v>
          </cell>
        </row>
        <row r="245">
          <cell r="A245" t="str">
            <v>(23).DOM SAI M999900::Others</v>
          </cell>
        </row>
        <row r="246">
          <cell r="A246" t="str">
            <v>(24).DOM SAMI M999900::Others</v>
          </cell>
        </row>
        <row r="247">
          <cell r="A247" t="str">
            <v>(25).DOM SUAI M010800::TMMIN:PT. Toyota Motor Manuf. Indonesia</v>
          </cell>
        </row>
        <row r="248">
          <cell r="A248" t="str">
            <v>(26).DOM SUAI M020100::HMMI: PT. Hino Indonesia Manufacturing</v>
          </cell>
        </row>
        <row r="249">
          <cell r="A249" t="str">
            <v>(27).DOM SUAI M030100::ADM: PT. Astra Daihatsu Motor</v>
          </cell>
        </row>
        <row r="250">
          <cell r="A250" t="str">
            <v>(28).DOM SUAI M079900::Mitsubishi:Others</v>
          </cell>
        </row>
        <row r="251">
          <cell r="A251" t="str">
            <v>EXPDOM</v>
          </cell>
        </row>
        <row r="252">
          <cell r="A252" t="str">
            <v>TOTAL</v>
          </cell>
        </row>
        <row r="255">
          <cell r="A255" t="str">
            <v>B</v>
          </cell>
        </row>
        <row r="256">
          <cell r="A256" t="str">
            <v>C</v>
          </cell>
        </row>
      </sheetData>
      <sheetData sheetId="13">
        <row r="2">
          <cell r="E2" t="str">
            <v>Charge Setting Report</v>
          </cell>
        </row>
        <row r="3">
          <cell r="E3" t="str">
            <v>Display Language</v>
          </cell>
        </row>
        <row r="4">
          <cell r="E4" t="str">
            <v>Affiliate</v>
          </cell>
        </row>
        <row r="5">
          <cell r="E5" t="str">
            <v>Benchmark Period</v>
          </cell>
        </row>
        <row r="6">
          <cell r="E6" t="str">
            <v>Period</v>
          </cell>
        </row>
        <row r="7">
          <cell r="E7" t="str">
            <v>Monthly Currency Cd</v>
          </cell>
        </row>
        <row r="8">
          <cell r="E8" t="str">
            <v>ExchangeRt.(ThisTerm)</v>
          </cell>
        </row>
        <row r="9">
          <cell r="E9" t="str">
            <v>1.Prod.MH(H/Month)</v>
          </cell>
        </row>
        <row r="10">
          <cell r="E10" t="str">
            <v>2.In-CompanyProd.MH(H/Month)</v>
          </cell>
        </row>
        <row r="11">
          <cell r="E11" t="str">
            <v>3.Subcon.PreAssyMH(H/Month)</v>
          </cell>
        </row>
        <row r="12">
          <cell r="E12" t="str">
            <v>4.Subcon.FinAssyMH(H/Month)</v>
          </cell>
        </row>
        <row r="14">
          <cell r="E14" t="str">
            <v>5.Product Numbers(Pieces)</v>
          </cell>
        </row>
        <row r="15">
          <cell r="E15" t="str">
            <v>6.Production Area(Sq.m)</v>
          </cell>
        </row>
        <row r="16">
          <cell r="E16" t="str">
            <v>7.Total Headcount(Person)</v>
          </cell>
        </row>
        <row r="23">
          <cell r="E23" t="str">
            <v xml:space="preserve">FIX </v>
          </cell>
        </row>
        <row r="24">
          <cell r="E24" t="str">
            <v xml:space="preserve">VAR </v>
          </cell>
        </row>
        <row r="27">
          <cell r="E27" t="str">
            <v>Production Amount</v>
          </cell>
        </row>
        <row r="28">
          <cell r="E28" t="str">
            <v>Material Cost</v>
          </cell>
        </row>
        <row r="29">
          <cell r="E29" t="str">
            <v>Regular</v>
          </cell>
        </row>
        <row r="30">
          <cell r="E30" t="str">
            <v>Overtime</v>
          </cell>
        </row>
        <row r="31">
          <cell r="E31" t="str">
            <v>Pre-assembly</v>
          </cell>
        </row>
        <row r="32">
          <cell r="E32" t="str">
            <v>Final-assembly</v>
          </cell>
        </row>
        <row r="33">
          <cell r="E33" t="str">
            <v>Equipment</v>
          </cell>
        </row>
        <row r="34">
          <cell r="E34" t="str">
            <v>Building</v>
          </cell>
        </row>
        <row r="35">
          <cell r="E35" t="str">
            <v>Land</v>
          </cell>
        </row>
        <row r="36">
          <cell r="E36" t="str">
            <v>Other</v>
          </cell>
        </row>
        <row r="37">
          <cell r="E37" t="str">
            <v>P1. Production Direct</v>
          </cell>
        </row>
        <row r="38">
          <cell r="E38" t="str">
            <v>P2. Production Common</v>
          </cell>
        </row>
        <row r="39">
          <cell r="E39" t="str">
            <v>P3. Production Support</v>
          </cell>
        </row>
        <row r="40">
          <cell r="E40" t="str">
            <v>A1. General &amp; Administration</v>
          </cell>
        </row>
        <row r="42">
          <cell r="E42" t="str">
            <v>a. Labor Cost Indirect Worker</v>
          </cell>
        </row>
        <row r="43">
          <cell r="E43" t="str">
            <v>a. Labor Cost Production Support Division</v>
          </cell>
        </row>
        <row r="44">
          <cell r="E44" t="str">
            <v>a. Labor Cost General &amp; Admin Division</v>
          </cell>
        </row>
        <row r="45">
          <cell r="E45" t="str">
            <v>a1. Labor Cost Direct Worker</v>
          </cell>
        </row>
        <row r="46">
          <cell r="E46" t="str">
            <v>a2. Labor Cost Indirect Worker</v>
          </cell>
        </row>
        <row r="47">
          <cell r="E47" t="str">
            <v>b. Subcontract Cost</v>
          </cell>
        </row>
        <row r="48">
          <cell r="E48" t="str">
            <v>c. Depreciation Cost</v>
          </cell>
        </row>
        <row r="49">
          <cell r="E49" t="str">
            <v>d. Rent Expense</v>
          </cell>
        </row>
        <row r="50">
          <cell r="E50" t="str">
            <v>e. Other Cost</v>
          </cell>
        </row>
        <row r="51">
          <cell r="E51" t="str">
            <v>f. Royalty</v>
          </cell>
        </row>
        <row r="52">
          <cell r="E52" t="str">
            <v>COCOS Production Cost total</v>
          </cell>
        </row>
        <row r="53">
          <cell r="E53" t="str">
            <v>COCOS General &amp; Administration Cost total</v>
          </cell>
        </row>
        <row r="54">
          <cell r="E54" t="str">
            <v>COCOS Head Office(TAPO) Cost total</v>
          </cell>
        </row>
        <row r="55">
          <cell r="E55" t="str">
            <v>Total Cost (Without Indirect Materials, Packing Cost and Surplus)</v>
          </cell>
        </row>
        <row r="56">
          <cell r="E56" t="str">
            <v>Total Cost with Head Office(TAPO) Cost</v>
          </cell>
        </row>
        <row r="61">
          <cell r="E61" t="str">
            <v>Direct Productivity</v>
          </cell>
        </row>
        <row r="62">
          <cell r="E62" t="str">
            <v>Total Production Efficiency</v>
          </cell>
        </row>
        <row r="63">
          <cell r="E63" t="str">
            <v>Total Efficiency</v>
          </cell>
        </row>
        <row r="66">
          <cell r="E66" t="str">
            <v>Surplus</v>
          </cell>
        </row>
        <row r="67">
          <cell r="E67" t="str">
            <v>Operating Income (Reference)</v>
          </cell>
        </row>
        <row r="73">
          <cell r="E73" t="str">
            <v>CostPush/Rationalization</v>
          </cell>
        </row>
        <row r="74">
          <cell r="E74" t="str">
            <v>CostPush/MudaElimination</v>
          </cell>
        </row>
        <row r="76">
          <cell r="E76" t="str">
            <v>Result</v>
          </cell>
        </row>
        <row r="77">
          <cell r="E77" t="str">
            <v xml:space="preserve">CostPush(+) </v>
          </cell>
        </row>
        <row r="78">
          <cell r="E78" t="str">
            <v>Rationalization(-)</v>
          </cell>
        </row>
        <row r="79">
          <cell r="E79" t="str">
            <v>MudaElimination(-)</v>
          </cell>
        </row>
        <row r="80">
          <cell r="E80" t="str">
            <v>Cost</v>
          </cell>
        </row>
        <row r="81">
          <cell r="E81" t="str">
            <v>Cost/MH</v>
          </cell>
        </row>
        <row r="82">
          <cell r="E82" t="str">
            <v>Ratio</v>
          </cell>
        </row>
        <row r="83">
          <cell r="E83" t="str">
            <v>Extraordinary Factor</v>
          </cell>
        </row>
        <row r="86">
          <cell r="E86" t="str">
            <v>Direct Efficiency</v>
          </cell>
        </row>
        <row r="87">
          <cell r="E87" t="str">
            <v>Performance Ratio</v>
          </cell>
        </row>
        <row r="88">
          <cell r="E88" t="str">
            <v>Adjustment</v>
          </cell>
        </row>
        <row r="89">
          <cell r="E89" t="str">
            <v>Total Cost with Head Office(TAPO) Cost and Adjustment</v>
          </cell>
        </row>
        <row r="90">
          <cell r="E90" t="str">
            <v>(USD/Month)</v>
          </cell>
        </row>
        <row r="91">
          <cell r="E91" t="str">
            <v>(USD/H)</v>
          </cell>
        </row>
        <row r="94">
          <cell r="E94" t="str">
            <v>ExchangeRt.(NextTerm7-12)</v>
          </cell>
        </row>
        <row r="95">
          <cell r="E95" t="str">
            <v>ExchangeRt.(NextTerm1-6)</v>
          </cell>
        </row>
        <row r="96">
          <cell r="E96" t="str">
            <v>STEP1 Vol. applied</v>
          </cell>
        </row>
        <row r="97">
          <cell r="E97" t="str">
            <v>STEP2(7-12) Vol. applied</v>
          </cell>
        </row>
        <row r="98">
          <cell r="E98" t="str">
            <v>STEP2(1-6) Vol. applied</v>
          </cell>
        </row>
        <row r="99">
          <cell r="E99" t="str">
            <v>Operating Days (Day)</v>
          </cell>
        </row>
        <row r="100">
          <cell r="E100" t="str">
            <v>Operating Hours per day (H/Day)</v>
          </cell>
        </row>
        <row r="101">
          <cell r="E101" t="str">
            <v>Monthly Production Man-Hour (H/Month)</v>
          </cell>
        </row>
        <row r="102">
          <cell r="E102" t="str">
            <v>In-company</v>
          </cell>
        </row>
        <row r="103">
          <cell r="E103" t="str">
            <v>Subcon. Pre-Assembly</v>
          </cell>
        </row>
        <row r="104">
          <cell r="E104" t="str">
            <v>Subcon. Fin-Assembly</v>
          </cell>
        </row>
        <row r="105">
          <cell r="E105" t="str">
            <v>Total</v>
          </cell>
        </row>
        <row r="106">
          <cell r="E106" t="str">
            <v>Subcontractor Charge(USD/H)</v>
          </cell>
        </row>
        <row r="107">
          <cell r="E107" t="str">
            <v>Average Wage(USD/Month)</v>
          </cell>
        </row>
        <row r="108">
          <cell r="E108" t="str">
            <v>Overtime Hourly Rate(USD/H)</v>
          </cell>
        </row>
        <row r="109">
          <cell r="E109" t="str">
            <v>Efficiency(%)</v>
          </cell>
        </row>
        <row r="110">
          <cell r="E110" t="str">
            <v>Regular Headcount(Person)</v>
          </cell>
        </row>
        <row r="111">
          <cell r="E111" t="str">
            <v>Overtime Hours(H/Month)</v>
          </cell>
        </row>
        <row r="112">
          <cell r="E112" t="str">
            <v>Memo</v>
          </cell>
        </row>
        <row r="113">
          <cell r="E113" t="str">
            <v>P1.Prod.Direct a1.DirectWorker</v>
          </cell>
        </row>
        <row r="114">
          <cell r="E114" t="str">
            <v>P1.Prod.Direct a2.IndirectWorker</v>
          </cell>
        </row>
        <row r="115">
          <cell r="E115" t="str">
            <v>P2.Prod.Common</v>
          </cell>
        </row>
        <row r="116">
          <cell r="E116" t="str">
            <v>P3.Prod.Support</v>
          </cell>
        </row>
        <row r="117">
          <cell r="E117" t="str">
            <v>A1.General&amp;Admin.</v>
          </cell>
        </row>
        <row r="119">
          <cell r="E119" t="str">
            <v>Legend:</v>
          </cell>
        </row>
        <row r="121">
          <cell r="E121" t="str">
            <v>Total</v>
          </cell>
        </row>
        <row r="122">
          <cell r="E122" t="str">
            <v>PRODUCTION OVERVIEW</v>
          </cell>
        </row>
        <row r="123">
          <cell r="E123" t="str">
            <v>CHARGE DETAILS</v>
          </cell>
        </row>
        <row r="124">
          <cell r="E124" t="str">
            <v>LABOR INFORMATION</v>
          </cell>
        </row>
        <row r="125">
          <cell r="E125" t="str">
            <v>Attendance Hours/Regular Working Hours (%)</v>
          </cell>
        </row>
        <row r="126">
          <cell r="E126" t="str">
            <v>H1. Head Office(TAPO) Production Support</v>
          </cell>
        </row>
        <row r="127">
          <cell r="E127" t="str">
            <v>H2. Head Office(TAPO) General &amp; Administration</v>
          </cell>
        </row>
        <row r="128">
          <cell r="E128" t="str">
            <v>H1.Head Office(TAPO) Production Support</v>
          </cell>
        </row>
        <row r="129">
          <cell r="E129" t="str">
            <v>H2.Head Office(TAPO) General &amp; Administration</v>
          </cell>
        </row>
        <row r="130">
          <cell r="E130" t="str">
            <v>Other Cost Information</v>
          </cell>
        </row>
        <row r="131">
          <cell r="E131" t="str">
            <v>Fixed Asset Information</v>
          </cell>
        </row>
        <row r="132">
          <cell r="E132" t="str">
            <v>Rent Expense Information</v>
          </cell>
        </row>
        <row r="133">
          <cell r="E133" t="str">
            <v>User Input(Mandatory)</v>
          </cell>
        </row>
        <row r="134">
          <cell r="E134" t="str">
            <v>User Input (Recommended)</v>
          </cell>
        </row>
        <row r="135">
          <cell r="E135" t="str">
            <v>Reference</v>
          </cell>
        </row>
        <row r="136">
          <cell r="E136" t="str">
            <v>Indirect Activities by Directs (H/Month)</v>
          </cell>
        </row>
        <row r="137">
          <cell r="E137" t="str">
            <v>STEP/CARMAKER</v>
          </cell>
        </row>
        <row r="154">
          <cell r="E154" t="str">
            <v>Charge confirmation Sheet</v>
          </cell>
        </row>
        <row r="156">
          <cell r="E156" t="str">
            <v>Cost/Man-Hour[USD/H]</v>
          </cell>
        </row>
        <row r="157">
          <cell r="E157" t="str">
            <v>Regular</v>
          </cell>
        </row>
        <row r="158">
          <cell r="E158" t="str">
            <v>Overtime</v>
          </cell>
        </row>
        <row r="159">
          <cell r="E159" t="str">
            <v>FIX/VAR</v>
          </cell>
        </row>
        <row r="160">
          <cell r="E160" t="str">
            <v>FIX</v>
          </cell>
        </row>
        <row r="161">
          <cell r="E161" t="str">
            <v>VAR</v>
          </cell>
        </row>
        <row r="162">
          <cell r="E162" t="str">
            <v>Labor Cost</v>
          </cell>
        </row>
        <row r="163">
          <cell r="E163" t="str">
            <v>Subcontract Cost</v>
          </cell>
        </row>
        <row r="164">
          <cell r="E164" t="str">
            <v>Depreciation Cost</v>
          </cell>
        </row>
        <row r="165">
          <cell r="E165" t="str">
            <v>Rent Expense</v>
          </cell>
        </row>
        <row r="166">
          <cell r="E166" t="str">
            <v>Other Production Cost</v>
          </cell>
        </row>
        <row r="167">
          <cell r="E167" t="str">
            <v>Other General &amp; Administration Cost</v>
          </cell>
        </row>
        <row r="168">
          <cell r="E168" t="str">
            <v>Royalty</v>
          </cell>
        </row>
        <row r="169">
          <cell r="E169" t="str">
            <v>(*):Without Indirect Materials, Packing Cost and Surplus</v>
          </cell>
        </row>
        <row r="170">
          <cell r="E170" t="str">
            <v>Total Cost(*)</v>
          </cell>
        </row>
        <row r="171">
          <cell r="E171" t="str">
            <v>Production Man-Hour [H]</v>
          </cell>
        </row>
        <row r="172">
          <cell r="E172" t="str">
            <v>Concept to Adopt</v>
          </cell>
        </row>
        <row r="173">
          <cell r="E173" t="str">
            <v>Adjustment</v>
          </cell>
        </row>
        <row r="174">
          <cell r="E174" t="str">
            <v>Total cost after Adjustment</v>
          </cell>
        </row>
        <row r="175">
          <cell r="E175" t="str">
            <v>Other Cost</v>
          </cell>
        </row>
        <row r="176">
          <cell r="E176" t="str">
            <v>Term Average</v>
          </cell>
        </row>
        <row r="177">
          <cell r="E177" t="str">
            <v>Criteria</v>
          </cell>
        </row>
        <row r="178">
          <cell r="E178" t="str">
            <v>Factory</v>
          </cell>
        </row>
        <row r="179">
          <cell r="E179" t="str">
            <v>Year/Month</v>
          </cell>
        </row>
        <row r="180">
          <cell r="E180" t="str">
            <v>Last Uploaded Date</v>
          </cell>
        </row>
      </sheetData>
      <sheetData sheetId="14" refreshError="1"/>
      <sheetData sheetId="15" refreshError="1"/>
      <sheetData sheetId="16" refreshError="1"/>
      <sheetData sheetId="17" refreshError="1"/>
      <sheetData sheetId="18"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702"/>
      <sheetName val="ヒストグラム例付T2"/>
      <sheetName val="CH1"/>
      <sheetName val="CH2"/>
      <sheetName val="EX1"/>
      <sheetName val="TE1-2"/>
      <sheetName val="TE3"/>
      <sheetName val="TE4-5"/>
      <sheetName val="Short Plan "/>
      <sheetName val="电明"/>
      <sheetName val="RECALL"/>
      <sheetName val="DATA BASE"/>
      <sheetName val="SN951999"/>
      <sheetName val="INPUT-ATO"/>
      <sheetName val="Master Updated(517)"/>
      <sheetName val="社外ｸﾚｰﾑ報告書（暫定）"/>
      <sheetName val="Max Min"/>
      <sheetName val="共通"/>
      <sheetName val="Europe PU-1"/>
      <sheetName val="05年"/>
      <sheetName val="REQUEST_TABLE"/>
      <sheetName val="表紙(代表者)"/>
      <sheetName val="unitprice"/>
      <sheetName val="社外ｸﾚｰﾑ報告書（案）"/>
      <sheetName val="計算結果"/>
      <sheetName val="Sheet1"/>
      <sheetName val="Entity"/>
      <sheetName val="Scenario"/>
      <sheetName val="前工程の能率実績(NS)"/>
      <sheetName val="Custom2"/>
      <sheetName val="MOTO"/>
      <sheetName val="PROD-TF"/>
      <sheetName val="Drop Downs"/>
      <sheetName val="Affiliate List"/>
      <sheetName val="List_Data"/>
      <sheetName val="Toggle Duplicate Highlighting"/>
      <sheetName val="Xuat"/>
      <sheetName val="DL"/>
      <sheetName val="Quality Update"/>
      <sheetName val="PASTE DU LIEU"/>
      <sheetName val="DAM. CON.  TIGER juni' 07"/>
      <sheetName val="Short_Plan_"/>
      <sheetName val="DATA_BASE"/>
      <sheetName val="Master_Updated(517)"/>
      <sheetName val="Max_Min"/>
      <sheetName val="Europe_PU-1"/>
      <sheetName val="B2 - V0923 "/>
      <sheetName val="gvl"/>
      <sheetName val="基準ｲﾝﾌﾟｯﾄ"/>
      <sheetName val="CF Quote EUR"/>
      <sheetName val="Overview"/>
      <sheetName val="Prices"/>
      <sheetName val="CA_result_LC"/>
      <sheetName val="Legenda"/>
      <sheetName val="R"/>
      <sheetName val="Nov.'02"/>
      <sheetName val="限界利益表(半期別)"/>
      <sheetName val="機種マスタ"/>
      <sheetName val="Short_Plan_1"/>
      <sheetName val="DATA_BASE1"/>
      <sheetName val="Master_Updated(517)1"/>
      <sheetName val="Max_Min1"/>
      <sheetName val="Europe_PU-11"/>
      <sheetName val="DAM__CON___TIGER_juni'_07"/>
      <sheetName val="Nov_'02"/>
      <sheetName val="Drop_Downs"/>
      <sheetName val="Affiliate_List"/>
      <sheetName val="Short_Plan_2"/>
      <sheetName val="DATA_BASE2"/>
      <sheetName val="Master_Updated(517)2"/>
      <sheetName val="Max_Min2"/>
      <sheetName val="Europe_PU-12"/>
      <sheetName val="DAM__CON___TIGER_juni'_071"/>
      <sheetName val="Drop_Downs1"/>
      <sheetName val="Affiliate_List1"/>
      <sheetName val="Nov_'021"/>
      <sheetName val="Toggle_Duplicate_Highlighting"/>
      <sheetName val="Quality_Update"/>
      <sheetName val="PASTE_DU_LIEU"/>
      <sheetName val="B2_-_V0923_"/>
      <sheetName val="Short_Plan_3"/>
      <sheetName val="Sub set RHD taraf-SÜRE."/>
      <sheetName val="AB Mx"/>
      <sheetName val="FL Mx"/>
      <sheetName val="ÖM1 Mx"/>
      <sheetName val="ÖM2 Mx"/>
      <sheetName val="ÖM3 Mx"/>
      <sheetName val="ÖM4 Mx"/>
      <sheetName val="ÖM5 Mx"/>
      <sheetName val="Sheet2"/>
      <sheetName val="ÖM7 Mx"/>
      <sheetName val="ÖM8 Mx"/>
      <sheetName val="ÖM9 Mx"/>
      <sheetName val="ÖM10 Mx"/>
      <sheetName val="ÖM11 Mx"/>
      <sheetName val="ÖM12 Mx"/>
      <sheetName val="ÖM13 Mx"/>
      <sheetName val="ÖM14 LH Mtx"/>
      <sheetName val="ÖM15 Mx"/>
      <sheetName val="İlave İstasyon K100 Family"/>
      <sheetName val="İlave İstasyon K100 Family (2)"/>
      <sheetName val="ÖM4 Mx(yarım)"/>
      <sheetName val="ÖM5 Mx(yarım)"/>
      <sheetName val="ÖM12 Mx (2)"/>
      <sheetName val="ÖM13 Mx (2)"/>
      <sheetName val="wasurenbou data"/>
      <sheetName val="別紙①"/>
      <sheetName val="ctdg"/>
      <sheetName val="c.ca"/>
      <sheetName val="c.cb"/>
      <sheetName val="d2a"/>
      <sheetName val="E2"/>
      <sheetName val="T1b"/>
      <sheetName val="M1A"/>
      <sheetName val="T1a"/>
      <sheetName val="Name"/>
      <sheetName val="CC"/>
      <sheetName val="SALES"/>
      <sheetName val="Data"/>
      <sheetName val="Short_Plan_4"/>
      <sheetName val="MVMS target "/>
      <sheetName val="DATA_BASE3"/>
      <sheetName val="Master_Updated(517)3"/>
      <sheetName val="Max_Min3"/>
      <sheetName val="Europe_PU-13"/>
      <sheetName val="DATA_BASE4"/>
      <sheetName val="Master_Updated(517)4"/>
      <sheetName val="Max_Min4"/>
      <sheetName val="Europe_PU-14"/>
      <sheetName val="detail"/>
      <sheetName val="Short_Plan_5"/>
      <sheetName val="DATA_BASE5"/>
      <sheetName val="Master_Updated(517)5"/>
      <sheetName val="Max_Min5"/>
      <sheetName val="Europe_PU-15"/>
      <sheetName val="Short_Plan_6"/>
      <sheetName val="DATA_BASE6"/>
      <sheetName val="Master_Updated(517)6"/>
      <sheetName val="Max_Min6"/>
      <sheetName val="Europe_PU-16"/>
      <sheetName val="CF_Quote_EUR"/>
      <sheetName val="Sub_set_RHD_taraf-SÜRE_"/>
      <sheetName val="AB_Mx"/>
      <sheetName val="FL_Mx"/>
      <sheetName val="ÖM1_Mx"/>
      <sheetName val="ÖM2_Mx"/>
      <sheetName val="ÖM3_Mx"/>
      <sheetName val="ÖM4_Mx"/>
      <sheetName val="ÖM5_Mx"/>
      <sheetName val="ÖM7_Mx"/>
      <sheetName val="ÖM8_Mx"/>
      <sheetName val="ÖM9_Mx"/>
      <sheetName val="ÖM10_Mx"/>
      <sheetName val="ÖM11_Mx"/>
      <sheetName val="ÖM12_Mx"/>
      <sheetName val="ÖM13_Mx"/>
      <sheetName val="ÖM14_LH_Mtx"/>
      <sheetName val="ÖM15_Mx"/>
      <sheetName val="İlave_İstasyon_K100_Family"/>
      <sheetName val="İlave_İstasyon_K100_Family_(2)"/>
      <sheetName val="ÖM4_Mx(yarım)"/>
      <sheetName val="ÖM5_Mx(yarım)"/>
      <sheetName val="ÖM12_Mx_(2)"/>
      <sheetName val="ÖM13_Mx_(2)"/>
      <sheetName val="wasurenbou_data"/>
      <sheetName val="ORDER PN"/>
      <sheetName val="DAM__CON___TIGER_juni'_072"/>
      <sheetName val="Nov_'022"/>
      <sheetName val="Drop_Downs2"/>
      <sheetName val="Affiliate_List2"/>
      <sheetName val="Toggle_Duplicate_Highlighting1"/>
      <sheetName val="Quality_Update1"/>
      <sheetName val="PASTE_DU_LIEU1"/>
      <sheetName val="B2_-_V0923_1"/>
      <sheetName val="c_ca"/>
      <sheetName val="c_cb"/>
      <sheetName val="DAM__CON___TIGER_juni'_073"/>
      <sheetName val="Drop_Downs3"/>
      <sheetName val="Affiliate_List3"/>
      <sheetName val="Nov_'023"/>
      <sheetName val="Toggle_Duplicate_Highlighting2"/>
      <sheetName val="Quality_Update2"/>
      <sheetName val="PASTE_DU_LIEU2"/>
      <sheetName val="B2_-_V0923_2"/>
      <sheetName val="CF_Quote_EUR1"/>
      <sheetName val="Sub_set_RHD_taraf-SÜRE_1"/>
      <sheetName val="AB_Mx1"/>
      <sheetName val="FL_Mx1"/>
      <sheetName val="ÖM1_Mx1"/>
      <sheetName val="ÖM2_Mx1"/>
      <sheetName val="ÖM3_Mx1"/>
      <sheetName val="ÖM4_Mx1"/>
      <sheetName val="ÖM5_Mx1"/>
      <sheetName val="ÖM7_Mx1"/>
      <sheetName val="ÖM8_Mx1"/>
      <sheetName val="ÖM9_Mx1"/>
      <sheetName val="ÖM10_Mx1"/>
      <sheetName val="ÖM11_Mx1"/>
      <sheetName val="ÖM12_Mx1"/>
      <sheetName val="ÖM13_Mx1"/>
      <sheetName val="ÖM14_LH_Mtx1"/>
      <sheetName val="ÖM15_Mx1"/>
      <sheetName val="İlave_İstasyon_K100_Family1"/>
      <sheetName val="İlave_İstasyon_K100_Family_(2)1"/>
      <sheetName val="ÖM4_Mx(yarım)1"/>
      <sheetName val="ÖM5_Mx(yarım)1"/>
      <sheetName val="ÖM12_Mx_(2)1"/>
      <sheetName val="ÖM13_Mx_(2)1"/>
      <sheetName val="wasurenbou_data1"/>
      <sheetName val="c_ca1"/>
      <sheetName val="c_cb1"/>
      <sheetName val="ORDER_PN"/>
      <sheetName val="MVMS_target_"/>
      <sheetName val="DAM__CON___TIGER_juni'_074"/>
      <sheetName val="Drop_Downs4"/>
      <sheetName val="Affiliate_List4"/>
      <sheetName val="Nov_'024"/>
      <sheetName val="Toggle_Duplicate_Highlighting3"/>
      <sheetName val="Quality_Update3"/>
      <sheetName val="PASTE_DU_LIEU3"/>
      <sheetName val="B2_-_V0923_3"/>
      <sheetName val="CF_Quote_EUR2"/>
      <sheetName val="Sub_set_RHD_taraf-SÜRE_2"/>
      <sheetName val="AB_Mx2"/>
      <sheetName val="FL_Mx2"/>
      <sheetName val="ÖM1_Mx2"/>
      <sheetName val="ÖM2_Mx2"/>
      <sheetName val="ÖM3_Mx2"/>
      <sheetName val="ÖM4_Mx2"/>
      <sheetName val="ÖM5_Mx2"/>
      <sheetName val="ÖM7_Mx2"/>
      <sheetName val="ÖM8_Mx2"/>
      <sheetName val="ÖM9_Mx2"/>
      <sheetName val="ÖM10_Mx2"/>
      <sheetName val="ÖM11_Mx2"/>
      <sheetName val="ÖM12_Mx2"/>
      <sheetName val="ÖM13_Mx2"/>
      <sheetName val="ÖM14_LH_Mtx2"/>
      <sheetName val="ÖM15_Mx2"/>
      <sheetName val="İlave_İstasyon_K100_Family2"/>
      <sheetName val="İlave_İstasyon_K100_Family_(2)2"/>
      <sheetName val="ÖM4_Mx(yarım)2"/>
      <sheetName val="ÖM5_Mx(yarım)2"/>
      <sheetName val="ÖM12_Mx_(2)2"/>
      <sheetName val="ÖM13_Mx_(2)2"/>
      <sheetName val="wasurenbou_data2"/>
      <sheetName val="c_ca2"/>
      <sheetName val="c_cb2"/>
      <sheetName val="ORDER_PN1"/>
      <sheetName val="MVMS_target_1"/>
      <sheetName val="Short_Plan_7"/>
      <sheetName val="DATA_BASE7"/>
      <sheetName val="Master_Updated(517)7"/>
      <sheetName val="Max_Min7"/>
      <sheetName val="Europe_PU-17"/>
      <sheetName val="DAM__CON___TIGER_juni'_075"/>
      <sheetName val="Drop_Downs5"/>
      <sheetName val="Affiliate_List5"/>
      <sheetName val="Nov_'025"/>
      <sheetName val="Toggle_Duplicate_Highlighting4"/>
      <sheetName val="Quality_Update4"/>
      <sheetName val="PASTE_DU_LIEU4"/>
      <sheetName val="B2_-_V0923_4"/>
      <sheetName val="CF_Quote_EUR3"/>
      <sheetName val="Sub_set_RHD_taraf-SÜRE_3"/>
      <sheetName val="AB_Mx3"/>
      <sheetName val="FL_Mx3"/>
      <sheetName val="ÖM1_Mx3"/>
      <sheetName val="ÖM2_Mx3"/>
      <sheetName val="ÖM3_Mx3"/>
      <sheetName val="ÖM4_Mx3"/>
      <sheetName val="ÖM5_Mx3"/>
      <sheetName val="ÖM7_Mx3"/>
      <sheetName val="ÖM8_Mx3"/>
      <sheetName val="ÖM9_Mx3"/>
      <sheetName val="ÖM10_Mx3"/>
      <sheetName val="ÖM11_Mx3"/>
      <sheetName val="ÖM12_Mx3"/>
      <sheetName val="ÖM13_Mx3"/>
      <sheetName val="ÖM14_LH_Mtx3"/>
      <sheetName val="ÖM15_Mx3"/>
      <sheetName val="İlave_İstasyon_K100_Family3"/>
      <sheetName val="İlave_İstasyon_K100_Family_(2)3"/>
      <sheetName val="ÖM4_Mx(yarım)3"/>
      <sheetName val="ÖM5_Mx(yarım)3"/>
      <sheetName val="ÖM12_Mx_(2)3"/>
      <sheetName val="ÖM13_Mx_(2)3"/>
      <sheetName val="wasurenbou_data3"/>
      <sheetName val="c_ca3"/>
      <sheetName val="c_cb3"/>
      <sheetName val="ORDER_PN2"/>
      <sheetName val="MVMS_target_2"/>
      <sheetName val="Short_Plan_8"/>
      <sheetName val="DATA_BASE8"/>
      <sheetName val="Master_Updated(517)8"/>
      <sheetName val="Max_Min8"/>
      <sheetName val="Europe_PU-18"/>
      <sheetName val="DAM__CON___TIGER_juni'_076"/>
      <sheetName val="Nov_'026"/>
      <sheetName val="Drop_Downs6"/>
      <sheetName val="Affiliate_List6"/>
      <sheetName val="Toggle_Duplicate_Highlighting5"/>
      <sheetName val="Quality_Update5"/>
      <sheetName val="PASTE_DU_LIEU5"/>
      <sheetName val="B2_-_V0923_5"/>
      <sheetName val="CF_Quote_EUR4"/>
      <sheetName val="Sub_set_RHD_taraf-SÜRE_4"/>
      <sheetName val="AB_Mx4"/>
      <sheetName val="FL_Mx4"/>
      <sheetName val="ÖM1_Mx4"/>
      <sheetName val="ÖM2_Mx4"/>
      <sheetName val="ÖM3_Mx4"/>
      <sheetName val="ÖM4_Mx4"/>
      <sheetName val="ÖM5_Mx4"/>
      <sheetName val="ÖM7_Mx4"/>
      <sheetName val="ÖM8_Mx4"/>
      <sheetName val="ÖM9_Mx4"/>
      <sheetName val="ÖM10_Mx4"/>
      <sheetName val="ÖM11_Mx4"/>
      <sheetName val="ÖM12_Mx4"/>
      <sheetName val="ÖM13_Mx4"/>
      <sheetName val="ÖM14_LH_Mtx4"/>
      <sheetName val="ÖM15_Mx4"/>
      <sheetName val="İlave_İstasyon_K100_Family4"/>
      <sheetName val="İlave_İstasyon_K100_Family_(2)4"/>
      <sheetName val="ÖM4_Mx(yarım)4"/>
      <sheetName val="ÖM5_Mx(yarım)4"/>
      <sheetName val="ÖM12_Mx_(2)4"/>
      <sheetName val="ÖM13_Mx_(2)4"/>
      <sheetName val="wasurenbou_data4"/>
      <sheetName val="c_ca4"/>
      <sheetName val="c_cb4"/>
      <sheetName val="ORDER_PN3"/>
      <sheetName val="MVMS_target_3"/>
      <sheetName val="Short_Plan_9"/>
      <sheetName val="DATA_BASE9"/>
      <sheetName val="Master_Updated(517)9"/>
      <sheetName val="Max_Min9"/>
      <sheetName val="Europe_PU-19"/>
      <sheetName val="DAM__CON___TIGER_juni'_077"/>
      <sheetName val="Drop_Downs7"/>
      <sheetName val="Affiliate_List7"/>
      <sheetName val="Nov_'027"/>
      <sheetName val="Toggle_Duplicate_Highlighting6"/>
      <sheetName val="Quality_Update6"/>
      <sheetName val="PASTE_DU_LIEU6"/>
      <sheetName val="B2_-_V0923_6"/>
      <sheetName val="CF_Quote_EUR5"/>
      <sheetName val="Sub_set_RHD_taraf-SÜRE_5"/>
      <sheetName val="AB_Mx5"/>
      <sheetName val="FL_Mx5"/>
      <sheetName val="ÖM1_Mx5"/>
      <sheetName val="ÖM2_Mx5"/>
      <sheetName val="ÖM3_Mx5"/>
      <sheetName val="ÖM4_Mx5"/>
      <sheetName val="ÖM5_Mx5"/>
      <sheetName val="ÖM7_Mx5"/>
      <sheetName val="ÖM8_Mx5"/>
      <sheetName val="ÖM9_Mx5"/>
      <sheetName val="ÖM10_Mx5"/>
      <sheetName val="ÖM11_Mx5"/>
      <sheetName val="ÖM12_Mx5"/>
      <sheetName val="ÖM13_Mx5"/>
      <sheetName val="ÖM14_LH_Mtx5"/>
      <sheetName val="ÖM15_Mx5"/>
      <sheetName val="İlave_İstasyon_K100_Family5"/>
      <sheetName val="İlave_İstasyon_K100_Family_(2)5"/>
      <sheetName val="ÖM4_Mx(yarım)5"/>
      <sheetName val="ÖM5_Mx(yarım)5"/>
      <sheetName val="ÖM12_Mx_(2)5"/>
      <sheetName val="ÖM13_Mx_(2)5"/>
      <sheetName val="wasurenbou_data5"/>
      <sheetName val="c_ca5"/>
      <sheetName val="c_cb5"/>
      <sheetName val="ORDER_PN4"/>
      <sheetName val="MVMS_target_4"/>
      <sheetName val="Short_Plan_10"/>
      <sheetName val="DATA_BASE10"/>
      <sheetName val="Master_Updated(517)10"/>
      <sheetName val="Max_Min10"/>
      <sheetName val="Europe_PU-110"/>
      <sheetName val="Short_Plan_11"/>
      <sheetName val="DATA_BASE11"/>
      <sheetName val="Master_Updated(517)11"/>
      <sheetName val="Max_Min11"/>
      <sheetName val="Europe_PU-111"/>
      <sheetName val="DAM__CON___TIGER_juni'_078"/>
      <sheetName val="Drop_Downs8"/>
      <sheetName val="Affiliate_List8"/>
      <sheetName val="Nov_'028"/>
      <sheetName val="Toggle_Duplicate_Highlighting7"/>
      <sheetName val="Quality_Update7"/>
      <sheetName val="PASTE_DU_LIEU7"/>
      <sheetName val="BUYERS"/>
      <sheetName val="Status"/>
      <sheetName val="COMM VAN SR"/>
      <sheetName val="Du_lieu"/>
      <sheetName val="SYA SR"/>
      <sheetName val="DBシート"/>
      <sheetName val="Exchange Rates"/>
      <sheetName val="QuyUoc"/>
      <sheetName val="797T輸入部品リスト"/>
      <sheetName val="1- CHI TIET NGAY THUONG"/>
      <sheetName val="B2_-_V0923_7"/>
      <sheetName val="CF_Quote_EUR6"/>
      <sheetName val="Sub_set_RHD_taraf-SÜRE_6"/>
      <sheetName val="AB_Mx6"/>
      <sheetName val="FL_Mx6"/>
      <sheetName val="ÖM1_Mx6"/>
      <sheetName val="ÖM2_Mx6"/>
      <sheetName val="ÖM3_Mx6"/>
      <sheetName val="ÖM4_Mx6"/>
      <sheetName val="ÖM5_Mx6"/>
      <sheetName val="ÖM7_Mx6"/>
      <sheetName val="ÖM8_Mx6"/>
      <sheetName val="ÖM9_Mx6"/>
      <sheetName val="ÖM10_Mx6"/>
      <sheetName val="ÖM11_Mx6"/>
      <sheetName val="ÖM12_Mx6"/>
      <sheetName val="ÖM13_Mx6"/>
      <sheetName val="ÖM14_LH_Mtx6"/>
      <sheetName val="ÖM15_Mx6"/>
      <sheetName val="İlave_İstasyon_K100_Family6"/>
      <sheetName val="İlave_İstasyon_K100_Family_(2)6"/>
      <sheetName val="ÖM4_Mx(yarım)6"/>
      <sheetName val="ÖM5_Mx(yarım)6"/>
      <sheetName val="ÖM12_Mx_(2)6"/>
      <sheetName val="ÖM13_Mx_(2)6"/>
      <sheetName val="wasurenbou_data6"/>
      <sheetName val="c_ca6"/>
      <sheetName val="c_cb6"/>
      <sheetName val="ORDER_PN5"/>
      <sheetName val="MVMS_target_5"/>
      <sheetName val="Short_Plan_12"/>
      <sheetName val="DATA_BASE12"/>
      <sheetName val="Master_Updated(517)12"/>
      <sheetName val="Max_Min12"/>
      <sheetName val="Europe_PU-112"/>
      <sheetName val="DAM__CON___TIGER_juni'_079"/>
      <sheetName val="Nov_'029"/>
      <sheetName val="Drop_Downs9"/>
      <sheetName val="Affiliate_List9"/>
      <sheetName val="Toggle_Duplicate_Highlighting8"/>
      <sheetName val="Quality_Update8"/>
      <sheetName val="PASTE_DU_LIEU8"/>
      <sheetName val="B2_-_V0923_8"/>
      <sheetName val="CF_Quote_EUR7"/>
      <sheetName val="Sub_set_RHD_taraf-SÜRE_7"/>
      <sheetName val="AB_Mx7"/>
      <sheetName val="FL_Mx7"/>
      <sheetName val="ÖM1_Mx7"/>
      <sheetName val="ÖM2_Mx7"/>
      <sheetName val="ÖM3_Mx7"/>
      <sheetName val="ÖM4_Mx7"/>
      <sheetName val="ÖM5_Mx7"/>
      <sheetName val="ÖM7_Mx7"/>
      <sheetName val="ÖM8_Mx7"/>
      <sheetName val="ÖM9_Mx7"/>
      <sheetName val="ÖM10_Mx7"/>
      <sheetName val="ÖM11_Mx7"/>
      <sheetName val="ÖM12_Mx7"/>
      <sheetName val="ÖM13_Mx7"/>
      <sheetName val="ÖM14_LH_Mtx7"/>
      <sheetName val="ÖM15_Mx7"/>
      <sheetName val="İlave_İstasyon_K100_Family7"/>
      <sheetName val="İlave_İstasyon_K100_Family_(2)7"/>
      <sheetName val="ÖM4_Mx(yarım)7"/>
      <sheetName val="ÖM5_Mx(yarım)7"/>
      <sheetName val="ÖM12_Mx_(2)7"/>
      <sheetName val="ÖM13_Mx_(2)7"/>
      <sheetName val="wasurenbou_data7"/>
      <sheetName val="c_ca7"/>
      <sheetName val="c_cb7"/>
      <sheetName val="ORDER_PN6"/>
      <sheetName val="MVMS_target_6"/>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sheetData sheetId="42"/>
      <sheetData sheetId="43"/>
      <sheetData sheetId="44"/>
      <sheetData sheetId="45"/>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sheetData sheetId="55" refreshError="1"/>
      <sheetData sheetId="56" refreshError="1"/>
      <sheetData sheetId="57" refreshError="1"/>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sheetData sheetId="120" refreshError="1"/>
      <sheetData sheetId="121"/>
      <sheetData sheetId="122"/>
      <sheetData sheetId="123"/>
      <sheetData sheetId="124"/>
      <sheetData sheetId="125"/>
      <sheetData sheetId="126"/>
      <sheetData sheetId="127"/>
      <sheetData sheetId="128"/>
      <sheetData sheetId="129" refreshError="1"/>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refreshError="1"/>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計画（概要）"/>
      <sheetName val="計画（総括）"/>
      <sheetName val="計画（明細）"/>
      <sheetName val="間材計算"/>
      <sheetName val="ﾙｰﾌﾞﾗｲﾄ"/>
      <sheetName val="外注計算"/>
      <sheetName val="雑給計算"/>
      <sheetName val="動力費"/>
      <sheetName val="荷造計算"/>
      <sheetName val="運賃計算"/>
      <sheetName val="倉庫基礎"/>
      <sheetName val="倉庫計算"/>
      <sheetName val="車費計算"/>
      <sheetName val="表紙"/>
      <sheetName val="生 産 部 門"/>
      <sheetName val="Summonth-SC"/>
      <sheetName val="Summonth"/>
      <sheetName val="Sheet3"/>
      <sheetName val="instruction"/>
      <sheetName val="L"/>
      <sheetName val="生_産_部_門"/>
      <sheetName val="リスト"/>
    </sheetNames>
    <sheetDataSet>
      <sheetData sheetId="0" refreshError="1"/>
      <sheetData sheetId="1" refreshError="1"/>
      <sheetData sheetId="2" refreshError="1"/>
      <sheetData sheetId="3" refreshError="1"/>
      <sheetData sheetId="4" refreshError="1"/>
      <sheetData sheetId="5" refreshError="1">
        <row r="5">
          <cell r="E5">
            <v>2221.1999999999998</v>
          </cell>
        </row>
      </sheetData>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sheetData sheetId="21"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_RemoteViewSysMain"/>
      <sheetName val="Sales Report"/>
      <sheetName val="Description"/>
      <sheetName val="Sales_Report"/>
      <sheetName val="Sheet1"/>
    </sheetNames>
    <sheetDataSet>
      <sheetData sheetId="0" refreshError="1">
        <row r="3">
          <cell r="H3" t="str">
            <v>10.0.3</v>
          </cell>
        </row>
      </sheetData>
      <sheetData sheetId="1"/>
      <sheetData sheetId="2" refreshError="1"/>
      <sheetData sheetId="3"/>
      <sheetData sheetId="4"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メーカー検索"/>
      <sheetName val="送付"/>
      <sheetName val="ECRN2A"/>
      <sheetName val="VF38_北島(改)"/>
      <sheetName val="2.3陣UNIT"/>
      <sheetName val="CS（川崎）"/>
      <sheetName val="ECS管理表A"/>
      <sheetName val="配布先"/>
      <sheetName val="ENG  3陣 4陣"/>
      <sheetName val="プレス確認"/>
      <sheetName val="Fax"/>
      <sheetName val="2陣NEESﾚｽ"/>
      <sheetName val="2陣NEES付き"/>
      <sheetName val="協力企業一覧"/>
      <sheetName val="VF38  3陣 車両　TM"/>
      <sheetName val="VF38  4陣 車両　TM"/>
      <sheetName val="VF38＿豊和"/>
      <sheetName val="055豊和リスト"/>
      <sheetName val="VF38  豊和向ENG"/>
      <sheetName val="VF38  豊和向RrA"/>
      <sheetName val="コンベア5"/>
      <sheetName val="6 JUNI 2016 IN LINE "/>
      <sheetName val="_MISSION"/>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自動車部門"/>
      <sheetName val="グラフ"/>
      <sheetName val="Back data"/>
      <sheetName val="LIST"/>
      <sheetName val="為替推移"/>
      <sheetName val="外注計算"/>
      <sheetName val="SH_ENTITY"/>
      <sheetName val="SH_GROUP"/>
      <sheetName val="SH_ICP"/>
      <sheetName val="SH_PROFILE"/>
      <sheetName val="SH_PRODUCTS"/>
      <sheetName val="CVP -Berau"/>
      <sheetName val="CVP -Anggana"/>
      <sheetName val="Notes"/>
      <sheetName val="06上"/>
    </sheetNames>
    <sheetDataSet>
      <sheetData sheetId="0" refreshError="1"/>
      <sheetData sheetId="1" refreshError="1"/>
      <sheetData sheetId="2">
        <row r="47">
          <cell r="F47" t="str">
            <v>1月</v>
          </cell>
        </row>
      </sheetData>
      <sheetData sheetId="3">
        <row r="4">
          <cell r="A4" t="str">
            <v>AAPL</v>
          </cell>
        </row>
        <row r="5">
          <cell r="A5" t="str">
            <v>YTM_Group</v>
          </cell>
        </row>
        <row r="6">
          <cell r="A6" t="str">
            <v>EMI</v>
          </cell>
        </row>
        <row r="7">
          <cell r="A7" t="str">
            <v>TAP</v>
          </cell>
        </row>
        <row r="8">
          <cell r="A8" t="str">
            <v>YCP</v>
          </cell>
        </row>
        <row r="9">
          <cell r="A9" t="str">
            <v>YICAP</v>
          </cell>
        </row>
        <row r="10">
          <cell r="A10" t="str">
            <v>PASI</v>
          </cell>
        </row>
        <row r="11">
          <cell r="A11" t="str">
            <v>PEMI</v>
          </cell>
        </row>
        <row r="12">
          <cell r="A12" t="str">
            <v>SAI</v>
          </cell>
        </row>
        <row r="13">
          <cell r="A13" t="str">
            <v>SAMI</v>
          </cell>
        </row>
        <row r="14">
          <cell r="A14" t="str">
            <v>JAI</v>
          </cell>
        </row>
        <row r="15">
          <cell r="A15" t="str">
            <v>SUAI</v>
          </cell>
        </row>
        <row r="16">
          <cell r="A16" t="str">
            <v>YEV</v>
          </cell>
        </row>
        <row r="17">
          <cell r="A17" t="str">
            <v>YHV</v>
          </cell>
        </row>
        <row r="18">
          <cell r="A18" t="str">
            <v>TYA</v>
          </cell>
        </row>
        <row r="19">
          <cell r="A19" t="str">
            <v>YES</v>
          </cell>
        </row>
        <row r="20">
          <cell r="A20" t="str">
            <v>YTMC</v>
          </cell>
        </row>
        <row r="21">
          <cell r="A21" t="str">
            <v>PET</v>
          </cell>
        </row>
        <row r="22">
          <cell r="A22" t="str">
            <v>TYC</v>
          </cell>
        </row>
        <row r="23">
          <cell r="A23" t="str">
            <v>SYA</v>
          </cell>
        </row>
        <row r="24">
          <cell r="A24" t="str">
            <v>HNY</v>
          </cell>
        </row>
        <row r="25">
          <cell r="A25" t="str">
            <v>ZZY</v>
          </cell>
        </row>
        <row r="26">
          <cell r="A26" t="str">
            <v>TJY</v>
          </cell>
        </row>
        <row r="27">
          <cell r="A27" t="str">
            <v>YYA</v>
          </cell>
        </row>
        <row r="28">
          <cell r="A28" t="str">
            <v>FSY</v>
          </cell>
        </row>
        <row r="29">
          <cell r="A29" t="str">
            <v>HZY</v>
          </cell>
        </row>
        <row r="30">
          <cell r="A30" t="str">
            <v>XGY</v>
          </cell>
        </row>
        <row r="31">
          <cell r="A31" t="str">
            <v>NYH</v>
          </cell>
        </row>
        <row r="32">
          <cell r="A32" t="str">
            <v>CYM</v>
          </cell>
        </row>
        <row r="33">
          <cell r="A33" t="str">
            <v>SHY</v>
          </cell>
        </row>
        <row r="34">
          <cell r="A34" t="str">
            <v>YHK</v>
          </cell>
        </row>
        <row r="35">
          <cell r="A35" t="str">
            <v>YCIC</v>
          </cell>
        </row>
        <row r="36">
          <cell r="A36" t="str">
            <v>TYE</v>
          </cell>
        </row>
        <row r="37">
          <cell r="A37" t="str">
            <v>TMP</v>
          </cell>
        </row>
        <row r="38">
          <cell r="A38" t="str">
            <v>TYL</v>
          </cell>
        </row>
      </sheetData>
      <sheetData sheetId="4">
        <row r="4">
          <cell r="B4" t="str">
            <v>実計</v>
          </cell>
        </row>
      </sheetData>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トピックス"/>
      <sheetName val="E52"/>
      <sheetName val="E46_330_Summer"/>
      <sheetName val="E46_330_AS"/>
      <sheetName val="E46_Thai"/>
      <sheetName val="E53_18_V"/>
      <sheetName val="E65_17_AS"/>
      <sheetName val="E65_18_AS"/>
      <sheetName val="E65_17_ｻﾏｰ"/>
      <sheetName val="E65_18_ｻﾏｰ"/>
      <sheetName val="Ｍ５"/>
      <sheetName val="Ｍ3"/>
      <sheetName val="E46_E_225 HSP"/>
      <sheetName val="E53_18_AS"/>
      <sheetName val="E53 18 AT"/>
      <sheetName val="E53 17 AS"/>
      <sheetName val="E53 17 AT"/>
      <sheetName val="CD132"/>
      <sheetName val="Ford RF"/>
      <sheetName val="Alfa937"/>
      <sheetName val="Skipton"/>
      <sheetName val="Lotus_Monza"/>
      <sheetName val="Opel_RF"/>
      <sheetName val="Opel_ULW"/>
      <sheetName val="GMX245"/>
      <sheetName val="Result"/>
      <sheetName val="LIST"/>
      <sheetName val="商品力向上"/>
      <sheetName val="Master Updated(517)"/>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原単位表"/>
      <sheetName val="TH&amp;B2e&amp;EGN"/>
      <sheetName val="原単位表C最終報告資"/>
      <sheetName val="県別ﾏﾙﾁ"/>
      <sheetName val="MOTO"/>
      <sheetName val="W_LBOOK"/>
      <sheetName val="Sales"/>
      <sheetName val="094W原紙 "/>
      <sheetName val="[061Wｶｲｼｭ.XLSꁝ덮㐁ཤ表"/>
      <sheetName val="061Wｶｲｼｭ"/>
      <sheetName val="Installation"/>
      <sheetName val="原単位表ﾌﾄﾒ."/>
      <sheetName val="CMF"/>
      <sheetName val="MASTER"/>
      <sheetName val="部署別利用頻度0401"/>
      <sheetName val="フォーム2"/>
      <sheetName val="第１紙原紙"/>
      <sheetName val="第１紙原紙KGC"/>
      <sheetName val="第２紙原紙"/>
      <sheetName val="第３紙原紙"/>
      <sheetName val="第４紙ビット"/>
      <sheetName val="第５紙ビット"/>
      <sheetName val="フォーム1"/>
      <sheetName val="表紙"/>
      <sheetName val="ＣＡＭＹ　ＭⅢ"/>
      <sheetName val="パラメータ"/>
      <sheetName val="#0"/>
      <sheetName val="価格一覧表"/>
      <sheetName val="ＳＱＬ"/>
      <sheetName val="T_ＣＡＤ情報"/>
      <sheetName val="T_ORG"/>
      <sheetName val="T_チューブ所要量"/>
      <sheetName val="T_見積実績"/>
      <sheetName val="T_見積品番"/>
      <sheetName val="T_原価"/>
      <sheetName val="T_工数"/>
      <sheetName val="T_賃率"/>
      <sheetName val="T_賃率係数"/>
      <sheetName val="T_銅ベース"/>
      <sheetName val="T_電線所要量"/>
      <sheetName val="T_部品管理"/>
      <sheetName val="T_部品所要量"/>
      <sheetName val="定量化結果"/>
      <sheetName val="一覧１"/>
      <sheetName val="画面チューブ"/>
      <sheetName val="画面チューブ計"/>
      <sheetName val="画面加工"/>
      <sheetName val="画面総括"/>
      <sheetName val="画面電線"/>
      <sheetName val="画面電線計"/>
      <sheetName val="画面部品"/>
      <sheetName val="画面部品計"/>
      <sheetName val="画面要求"/>
      <sheetName val="基本枠"/>
      <sheetName val="ﾃﾞｰﾀﾍﾞｰｽ"/>
      <sheetName val="工数集計"/>
      <sheetName val="設計通知書原紙"/>
      <sheetName val="MPL 技連"/>
      <sheetName val="342E BLOCK"/>
      <sheetName val="1"/>
      <sheetName val="Top22(GBP)"/>
      <sheetName val="全品番DETAILS-LOT"/>
      <sheetName val="生産コード一覧"/>
      <sheetName val="HPS Slit Coil (Centralia)"/>
      <sheetName val="内機"/>
      <sheetName val="Table"/>
      <sheetName val="総合B"/>
      <sheetName val="静ﾊﾟﾀﾝ分析"/>
      <sheetName val="段ﾎﾞｰﾙ箱図番･荷姿ｺｰﾄﾞ"/>
      <sheetName val="生涯利益計画ｼｰﾄ"/>
      <sheetName val="Sheet1"/>
      <sheetName val="FRT"/>
      <sheetName val="_061Wｶｲｼｭ.XLSꁝ덮㐁ཤ表"/>
      <sheetName val="HYO"/>
      <sheetName val="各種設定"/>
      <sheetName val="選択項目"/>
      <sheetName val="第２紙"/>
      <sheetName val="list"/>
      <sheetName val="システム記号リスト"/>
      <sheetName val="PL"/>
      <sheetName val="Color"/>
      <sheetName val="FLETES"/>
      <sheetName val="資繰"/>
      <sheetName val="ヘルプ"/>
      <sheetName val="車両ｽﾍﾟｯｸ表"/>
      <sheetName val="元データ"/>
      <sheetName val="原紙"/>
      <sheetName val="labcodes"/>
      <sheetName val="ﾊﾟｲﾌﾟ"/>
      <sheetName val="他材料費"/>
      <sheetName val="熱延鋼板"/>
      <sheetName val="冷延鋼板"/>
      <sheetName val="WIRE"/>
      <sheetName val="MM利益・原価企画方針書ｶｸ１"/>
      <sheetName val="３月ＫＤ"/>
      <sheetName val="工数海外比率"/>
      <sheetName val="差異詳細(インクルード)"/>
      <sheetName val="差異詳細(bm)"/>
      <sheetName val="差異詳細(jb2)"/>
      <sheetName val="差異詳細(jh)"/>
      <sheetName val="差異詳細(ji)"/>
      <sheetName val="差異詳細(jx)"/>
      <sheetName val="0P-1"/>
      <sheetName val="Mth"/>
      <sheetName val="Qtr"/>
      <sheetName val="Ladder Report (2)"/>
      <sheetName val="14. Staff Benefits"/>
      <sheetName val="カメラ"/>
      <sheetName val="设备分析资料表2"/>
      <sheetName val="15A"/>
      <sheetName val="ﾀﾞｲｵｰﾄﾞ変更"/>
      <sheetName val="ŽÔ—¼Ž¿—Êˆê——"/>
      <sheetName val="合格率"/>
      <sheetName val="Referent information"/>
      <sheetName val="①評価項目_メーカー"/>
      <sheetName val="Ka"/>
      <sheetName val="3???????"/>
      <sheetName val="ＭⅢ"/>
      <sheetName val="Req"/>
      <sheetName val="A"/>
      <sheetName val="PRENSAS 1"/>
      <sheetName val="???????"/>
      <sheetName val="SWS投資基準_計算"/>
      <sheetName val="094_APP別"/>
      <sheetName val="74上"/>
      <sheetName val="DATA"/>
      <sheetName val="原単位表ﾌﾄﾒ_"/>
      <sheetName val="金属スライド"/>
      <sheetName val="Summonth MP"/>
      <sheetName val="Summonth SC"/>
      <sheetName val="前提1-综合"/>
      <sheetName val="QC APPROVE SHEET"/>
      <sheetName val="7110"/>
      <sheetName val="Sheet2"/>
      <sheetName val="ATR KMH's"/>
      <sheetName val="ﾀﾘﾌ"/>
      <sheetName val="W_TEXT"/>
      <sheetName val="ヘッダ"/>
      <sheetName val="A-100전제"/>
      <sheetName val="データ"/>
      <sheetName val="[061Wｶｲｼｭ_XLSꁝ덮㐁ཤ表"/>
      <sheetName val="MPL_技連"/>
      <sheetName val="342E_BLOCK"/>
      <sheetName val="売上総益ﾃﾞｰﾀ"/>
      <sheetName val="2001USA Sales"/>
      <sheetName val="Lists"/>
      <sheetName val="SV5 Margins"/>
      <sheetName val="Format"/>
      <sheetName val="T_GetCar_Type_Code"/>
      <sheetName val="T_GetCustomer_Cd"/>
      <sheetName val="T_GetModel_No"/>
      <sheetName val="T_GetPProduct_No"/>
      <sheetName val="T_GetProduct_Line_Cd"/>
      <sheetName val="T_GetProduct_Site_Cd"/>
      <sheetName val="納品書"/>
      <sheetName val="ﾕｰｻﾞｰ設定"/>
      <sheetName val="Tabela"/>
      <sheetName val="部品構成82111"/>
      <sheetName val="DASH用係数"/>
      <sheetName val="800T Follow-up Data"/>
      <sheetName val="3_______"/>
      <sheetName val="_______"/>
      <sheetName val="国"/>
      <sheetName val="海"/>
      <sheetName val="Material Price"/>
      <sheetName val="Price list"/>
      <sheetName val="※ﾌﾟﾙﾀﾞｳﾝ用"/>
      <sheetName val="リスト類"/>
      <sheetName val="?????"/>
      <sheetName val="#REF"/>
      <sheetName val="Optional per Versione"/>
      <sheetName val="Jan26-Feb22PT"/>
      <sheetName val="Cust"/>
      <sheetName val="b`lx@lV"/>
      <sheetName val="Monthly"/>
      <sheetName val="①ﾌﾟﾙﾀﾞｳﾝﾘｽﾄ"/>
      <sheetName val="タブ用"/>
      <sheetName val="Hide-rev-lists"/>
      <sheetName val="CmpLes"/>
      <sheetName val="選択肢"/>
      <sheetName val="内売@設定資料0630"/>
      <sheetName val="3ｹ月機能"/>
      <sheetName val="図面台帳"/>
      <sheetName val="config_03"/>
      <sheetName val="RMB86"/>
      <sheetName val="ｺｽﾄ比較 (総括)"/>
      <sheetName val="MMCCommonFixRate"/>
      <sheetName val="ProductionFixed"/>
      <sheetName val="Read me first"/>
      <sheetName val="ESM ver2"/>
      <sheetName val="_RemoteViewSysMain"/>
      <sheetName val="Description"/>
      <sheetName val="検証確認シート"/>
      <sheetName val="MAT-IN"/>
      <sheetName val="【更新禁止】入力制御"/>
      <sheetName val="【更新禁止】マスタ制御"/>
      <sheetName val="品番情報"/>
      <sheetName val="選択用リスト、承認枠"/>
      <sheetName val="計画アイテム"/>
      <sheetName val="原単位表ﾌﾄﾒ_1"/>
      <sheetName val="HPS_Slit_Coil_(Centralia)"/>
      <sheetName val="_061Wｶｲｼｭ_XLSꁝ덮㐁ཤ表"/>
      <sheetName val="094W原紙_"/>
      <sheetName val="Ladder_Report_(2)"/>
      <sheetName val="14__Staff_Benefits"/>
      <sheetName val="Referent_information"/>
      <sheetName val="QC_APPROVE_SHEET"/>
      <sheetName val="PRENSAS_1"/>
      <sheetName val="不良項目"/>
      <sheetName val="[061Wｶｲｼｭ_XLSꁝ덮㐁ཤ表1"/>
      <sheetName val="MPL_技連1"/>
      <sheetName val="342E_BLOCK1"/>
      <sheetName val="ATR_KMH's"/>
      <sheetName val="SV5_Margins"/>
      <sheetName val="2001USA_Sales"/>
      <sheetName val="800T_Follow-up_Data"/>
      <sheetName val="_____"/>
      <sheetName val="config_00"/>
      <sheetName val="Basic information"/>
      <sheetName val="Price_list"/>
      <sheetName val="frm1"/>
      <sheetName val="T_排他"/>
      <sheetName val="T_事計品番"/>
      <sheetName val="T_事計品番読込"/>
      <sheetName val="Defect Item Master"/>
      <sheetName val="Sheet3"/>
      <sheetName val="ﾘｽﾄ"/>
      <sheetName val="T_GetMas_Hinban"/>
      <sheetName val="N(02a)"/>
      <sheetName val="T_GetOperating_Schedule"/>
      <sheetName val="pki"/>
      <sheetName val="person"/>
      <sheetName val="T_Car_Type_Code"/>
      <sheetName val="T_Haibun_Kbn"/>
      <sheetName val="T_Product_Site_Cd"/>
      <sheetName val="C"/>
      <sheetName val="Summary"/>
      <sheetName val="NWEA1180"/>
      <sheetName val="リスト"/>
      <sheetName val="压探针用治具其他"/>
      <sheetName val="尼龙带"/>
      <sheetName val="枠冶具"/>
      <sheetName val="金日FJK0508"/>
      <sheetName val="金日SDM-S0504"/>
      <sheetName val="出荷実績"/>
      <sheetName val="ﾃﾝﾌﾟﾚｰﾄ"/>
      <sheetName val="組立図板"/>
      <sheetName val="計算DATA"/>
      <sheetName val="集計結果詳細"/>
      <sheetName val="クエリ5"/>
      <sheetName val="５月購入実績"/>
      <sheetName val="BC01_Mpplan2"/>
      <sheetName val="frm2-1"/>
      <sheetName val="frm2-2"/>
      <sheetName val="frm3"/>
      <sheetName val="JUEVES 31"/>
      <sheetName val="MIERCOLES2"/>
      <sheetName val="VIERNES2"/>
      <sheetName val="JUEVES2"/>
      <sheetName val="LUNES2"/>
      <sheetName val="MARTES 29"/>
      <sheetName val="LUNES3"/>
      <sheetName val="MARTES3"/>
      <sheetName val="MIERCOLES3"/>
      <sheetName val="JUEVES3"/>
      <sheetName val="VIERNES3"/>
      <sheetName val="SEMANA"/>
      <sheetName val="MIERCOLES 30"/>
      <sheetName val="LUNES28"/>
      <sheetName val="MARTES2"/>
      <sheetName val="車種別損益表"/>
      <sheetName val="图2~3"/>
      <sheetName val="検証1"/>
      <sheetName val="検証489 "/>
      <sheetName val="ｺｽﾄ比較_(総括)"/>
      <sheetName val="月次概況"/>
      <sheetName val="MYZK02"/>
      <sheetName val="Basic_Information"/>
      <sheetName val="初期03"/>
      <sheetName val="北米3in1"/>
      <sheetName val="北米標準ｺﾝﾋﾞ"/>
      <sheetName val="週示0610"/>
      <sheetName val="Fixed Assets"/>
      <sheetName val="入力イメージ"/>
      <sheetName val="79期 計画（最終△1）"/>
      <sheetName val="管理統制費 "/>
      <sheetName val="矢崎購入"/>
      <sheetName val="内-榛原"/>
      <sheetName val="追加1"/>
      <sheetName val="追加2"/>
      <sheetName val="ｸﾘｱﾗﾝｽ算出(112-107)"/>
      <sheetName val="COVER明細"/>
      <sheetName val="Sheet22"/>
      <sheetName val="400L"/>
      <sheetName val="最新基準単価 "/>
      <sheetName val="金日HZR0505"/>
      <sheetName val="TB"/>
      <sheetName val="値引き効果額品番登録・照会"/>
      <sheetName val="J21KPL"/>
      <sheetName val="スコアカード (2)"/>
      <sheetName val="原単位表ﾌﾄﾒ_2"/>
      <sheetName val="_061Wｶｲｼｭ_XLSꁝ덮㐁ཤ表1"/>
      <sheetName val="HPS_Slit_Coil_(Centralia)1"/>
      <sheetName val="094W原紙_1"/>
      <sheetName val="14__Staff_Benefits1"/>
      <sheetName val="Ladder_Report_(2)1"/>
      <sheetName val="Referent_information1"/>
      <sheetName val="PRENSAS_11"/>
      <sheetName val="QC_APPROVE_SHEET1"/>
      <sheetName val="Material_Price"/>
      <sheetName val="Optional_per_Versione"/>
      <sheetName val="Defect_Item_Master"/>
      <sheetName val="[061Wｶｲｼｭ_XLSꁝ덮㐁ཤ表2"/>
      <sheetName val="MPL_技連2"/>
      <sheetName val="342E_BLOCK2"/>
      <sheetName val="ATR_KMH's1"/>
      <sheetName val="SV5_Margins1"/>
      <sheetName val="2001USA_Sales1"/>
      <sheetName val="800T_Follow-up_Data1"/>
      <sheetName val="説明資料1"/>
      <sheetName val="通常申請ﾌｫｰﾏｯﾄ"/>
      <sheetName val="説明資料3"/>
      <sheetName val="余剰データ"/>
      <sheetName val="Air申請"/>
      <sheetName val="Canada"/>
      <sheetName val="分析"/>
      <sheetName val="TEMPLATE"/>
      <sheetName val="SH_ENTITY"/>
      <sheetName val="SH_GROUP"/>
      <sheetName val="SH_ICP"/>
      <sheetName val="SH_PROFILE"/>
      <sheetName val="SH_PRODUCTS"/>
      <sheetName val=" D2"/>
      <sheetName val="生産日報"/>
      <sheetName val="frm5"/>
      <sheetName val="当月報告書"/>
      <sheetName val="ﾍﾞｰｽﾃﾞｰﾀ"/>
      <sheetName val="累計"/>
      <sheetName val="3発"/>
      <sheetName val="介護 月次報告"/>
      <sheetName val="農業 月次報告"/>
      <sheetName val="Links"/>
      <sheetName val="KonSSPL"/>
      <sheetName val="Summonth_MP"/>
      <sheetName val="Summonth_SC"/>
      <sheetName val="Price_list1"/>
      <sheetName val="ｺｽﾄ比較_(総括)1"/>
      <sheetName val="Read_me_first"/>
      <sheetName val="ESM_ver2"/>
      <sheetName val="JUEVES_31"/>
      <sheetName val="MARTES_29"/>
      <sheetName val="MIERCOLES_30"/>
      <sheetName val="検証489_"/>
      <sheetName val="Fixed_Assets"/>
      <sheetName val="79期_計画（最終△1）"/>
      <sheetName val="管理統制費_"/>
      <sheetName val="Price range IT"/>
      <sheetName val="まとめ"/>
      <sheetName val="Production PLAN"/>
      <sheetName val="ASSY PLAN-ACTUAL"/>
      <sheetName val="Box-Bag-Opp"/>
      <sheetName val="Check Po"/>
      <sheetName val="sec."/>
      <sheetName val="Urgent plan"/>
      <sheetName val="Adjust CVR"/>
      <sheetName val="Time line"/>
      <sheetName val="CVR_14-May"/>
      <sheetName val="Plan repair part _CVR"/>
      <sheetName val="x Database"/>
      <sheetName val="Unit req list QIP-Dan"/>
      <sheetName val="アルミ防食コスト試算"/>
      <sheetName val="採否比較金額"/>
      <sheetName val="評価比較件数"/>
      <sheetName val="引継data（内製）"/>
      <sheetName val="1-2.グラフ"/>
      <sheetName val="4-1.グラフ 19まで完成版"/>
      <sheetName val="_061Wｶｲｼｭ_XLSꁝ덮㐁ཤ表2"/>
      <sheetName val="CONTRACT NOTE"/>
      <sheetName val="条件表"/>
      <sheetName val="外観検査員の調査 (金森)"/>
      <sheetName val="AlbPrint"/>
      <sheetName val="検索･参照"/>
      <sheetName val="Production Database 399"/>
      <sheetName val="3.４Ｒ損益"/>
      <sheetName val="MIA2"/>
      <sheetName val="141-1"/>
      <sheetName val="Macro1"/>
      <sheetName val="整合後2021,12,24"/>
      <sheetName val="構想"/>
      <sheetName val="回路　表示用 "/>
      <sheetName val="回路　まとめ"/>
      <sheetName val="回路　750"/>
      <sheetName val="情報"/>
      <sheetName val="人工 "/>
      <sheetName val="設備"/>
      <sheetName val="人・設備能力"/>
      <sheetName val="㎡あたり工数、能率 (2)"/>
      <sheetName val="前工程旧レイアウト "/>
      <sheetName val="前工程新レイアウト"/>
      <sheetName val="134　レイアウト"/>
      <sheetName val="135レイアウト"/>
      <sheetName val="人工"/>
      <sheetName val="積上　10PL（サーミスタ端子挿入）T2"/>
      <sheetName val="積上　10PL（サーミスタ組立）T2 "/>
      <sheetName val="積上　10PL（コンベアー組立）T2 "/>
      <sheetName val="積上　10PL（VS端子挿入）T2 "/>
      <sheetName val="積上　10PL（導通検査）T2"/>
      <sheetName val="積上　10PL（サーミスタブサブ）U2"/>
      <sheetName val="積上　10PL（コンベアー組立導通検査）U2"/>
      <sheetName val="積上　10PL（VS端子挿入）U2 134"/>
      <sheetName val="積上　10PL（ファイナル検査）U2"/>
      <sheetName val="㎡あたり工数、能率"/>
      <sheetName val="生産構想図作り方流れ"/>
      <sheetName val="電線"/>
      <sheetName val="チューブ"/>
      <sheetName val="部品"/>
      <sheetName val="副資材"/>
      <sheetName val="新スケジュール"/>
      <sheetName val="99年度原単位"/>
      <sheetName val="長計対比"/>
      <sheetName val="BPCS Table"/>
      <sheetName val="Current Yr Int Sales"/>
      <sheetName val="2"/>
      <sheetName val="QA"/>
      <sheetName val="main"/>
      <sheetName val="khung ten TD"/>
      <sheetName val="SH_CARLINE"/>
      <sheetName val="SH_MAKER"/>
      <sheetName val="1.実行"/>
      <sheetName val="2.原単位"/>
      <sheetName val="3.マスター"/>
      <sheetName val="4.Format"/>
      <sheetName val="5.構成分析シート"/>
      <sheetName val="8211116K00_00000"/>
      <sheetName val="8211116K10_00000"/>
      <sheetName val="8211116K20_00000"/>
      <sheetName val="8211116K30_00000"/>
      <sheetName val="8214116G60_00000"/>
      <sheetName val="8214116G70_00000"/>
      <sheetName val="8214116G80_00000"/>
      <sheetName val="8216116D90_00000"/>
      <sheetName val="8216116E00_00000"/>
      <sheetName val="月次データ"/>
      <sheetName val="選択リスト"/>
      <sheetName val="ARA37"/>
      <sheetName val="１．InfoCube (YKCH0010)案１"/>
      <sheetName val="１．InfoCube (YKCH0010) 案２"/>
      <sheetName val="094W原紙_2"/>
      <sheetName val="[061Wｶｲｼｭ_XLSꁝ덮㐁ཤ表3"/>
      <sheetName val="原単位表ﾌﾄﾒ_3"/>
      <sheetName val="MPL_技連3"/>
      <sheetName val="342E_BLOCK3"/>
      <sheetName val="HPS_Slit_Coil_(Centralia)2"/>
      <sheetName val="Ladder_Report_(2)2"/>
      <sheetName val="14__Staff_Benefits2"/>
      <sheetName val="Referent_information2"/>
      <sheetName val="PRENSAS_12"/>
      <sheetName val="QC_APPROVE_SHEET2"/>
      <sheetName val="ATR_KMH's2"/>
      <sheetName val="2001USA_Sales2"/>
      <sheetName val="SV5_Margins2"/>
      <sheetName val="800T_Follow-up_Data2"/>
      <sheetName val="Material_Price1"/>
      <sheetName val="Optional_per_Versione1"/>
      <sheetName val="Basic_information1"/>
      <sheetName val="Defect_Item_Master1"/>
      <sheetName val="最新基準単価_"/>
      <sheetName val="スコアカード_(2)"/>
      <sheetName val="介護_月次報告"/>
      <sheetName val="農業_月次報告"/>
      <sheetName val="_D2"/>
      <sheetName val="ESTABLISH"/>
      <sheetName val="検索条件メイク"/>
      <sheetName val="141"/>
      <sheetName val="amp_spr"/>
      <sheetName val="集計用"/>
      <sheetName val="deta"/>
      <sheetName val="入力(正)"/>
      <sheetName val="q_for_r_04_20_in_source"/>
      <sheetName val="RK1"/>
      <sheetName val="C214 9306#25"/>
      <sheetName val="wms20.03.06"/>
      <sheetName val="StdHrs07.02.06"/>
      <sheetName val="Yaris 316W 23.03.2006"/>
      <sheetName val="301N見積検討"/>
      <sheetName val="従推"/>
      <sheetName val="印刷不要)P3受注量元データ"/>
      <sheetName val="JAN21"/>
      <sheetName val="??????"/>
      <sheetName val="解析まとめ"/>
      <sheetName val="sheet17"/>
      <sheetName val="Sheet 0"/>
      <sheetName val="Dictionary"/>
      <sheetName val="Sheet 4 VTL"/>
      <sheetName val="TBM"/>
      <sheetName val="DBシート"/>
      <sheetName val="_061Wｶｲｼｭ_XLSꁝ덮㐁ཤ表3"/>
      <sheetName val="Price_list2"/>
      <sheetName val="Summonth_MP1"/>
      <sheetName val="Summonth_SC1"/>
      <sheetName val="Unit_req_list_QIP-Dan"/>
      <sheetName val="Production_PLAN"/>
      <sheetName val="ASSY_PLAN-ACTUAL"/>
      <sheetName val="Check_Po"/>
      <sheetName val="sec_"/>
      <sheetName val="Urgent_plan"/>
      <sheetName val="Adjust_CVR"/>
      <sheetName val="Time_line"/>
      <sheetName val="Plan_repair_part__CVR"/>
      <sheetName val="x_Database"/>
      <sheetName val="外観検査員の調査_(金森)"/>
      <sheetName val="1-2_グラフ"/>
      <sheetName val="4-1_グラフ_19まで完成版"/>
      <sheetName val="comment"/>
      <sheetName val="集計"/>
      <sheetName val="Laendercodes"/>
      <sheetName val="45"/>
      <sheetName val="bs is"/>
      <sheetName val="admin exp."/>
      <sheetName val="Ecos(0+12)"/>
      <sheetName val="MC3(main)"/>
      <sheetName val="MC1"/>
      <sheetName val="インプット品番"/>
      <sheetName val="詳細情報"/>
      <sheetName val="JY134J"/>
      <sheetName val="国外所得"/>
      <sheetName val="Royalty-2004"/>
      <sheetName val="AVRV_MSSM"/>
      <sheetName val="590P追加"/>
      <sheetName val="T_銅ベースDrp"/>
      <sheetName val="ロス率"/>
      <sheetName val="DENSO"/>
      <sheetName val="前提条件"/>
      <sheetName val="投資ﾌｫﾛｰ"/>
      <sheetName val="395WW売価見積"/>
      <sheetName val="Car Types"/>
      <sheetName val="Prior Mo"/>
      <sheetName val="Preturi"/>
      <sheetName val="CSM Qtr"/>
      <sheetName val="Inputs"/>
      <sheetName val="Standard Rates"/>
      <sheetName val="D6PF製品ﾃﾞｰﾀ"/>
      <sheetName val="Result of PL"/>
      <sheetName val="Ａ車型"/>
      <sheetName val="車両質量一覧"/>
      <sheetName val="PRADO 3Dr"/>
      <sheetName val="換算ﾚｰﾄﾏｽﾀｰ"/>
      <sheetName val="S "/>
      <sheetName val="生技"/>
      <sheetName val="New"/>
      <sheetName val="5 year Fcast Summary"/>
      <sheetName val="Labour Times &amp; Location"/>
      <sheetName val="Sub Contract"/>
      <sheetName val="370N_11H"/>
      <sheetName val="第１紙原紙海電第４"/>
      <sheetName val="132下実施期GAP"/>
      <sheetName val="99 bud"/>
      <sheetName val="MBM and IIM"/>
      <sheetName val="データシート"/>
      <sheetName val="様式Ｊ"/>
      <sheetName val="作業能率未達成改善"/>
      <sheetName val="Oseas Off con"/>
      <sheetName val="表紙(代表者)"/>
      <sheetName val="Internal Price List"/>
      <sheetName val="表示項目一覧(詳細シート)"/>
      <sheetName val="積み上げＥＤＰ_チューブ"/>
      <sheetName val="積み上げＥＤＰ_部品"/>
      <sheetName val="積み上げＥＤＰ_電線"/>
      <sheetName val="DataSheet"/>
      <sheetName val="T_部品時点管理"/>
      <sheetName val="T_見積実績抽出"/>
      <sheetName val="T_賃率詳細"/>
      <sheetName val="積み上げＥＤＰ_部品計"/>
      <sheetName val="積み上げＥＤＰ_総括"/>
      <sheetName val="積み上げＥＤＰ_加工"/>
      <sheetName val="積み上げＥＤＰ作成"/>
      <sheetName val="積み上げＥＤＰ_チューブ計"/>
      <sheetName val="積み上げＥＤＰ_電線計"/>
      <sheetName val="T_見積実績CHK"/>
      <sheetName val="T_時点部品単価"/>
      <sheetName val="T_時点部品単価チューブ"/>
      <sheetName val="T_時点電線単価"/>
    </sheetNames>
    <sheetDataSet>
      <sheetData sheetId="0"/>
      <sheetData sheetId="1" refreshError="1"/>
      <sheetData sheetId="2"/>
      <sheetData sheetId="3" refreshError="1"/>
      <sheetData sheetId="4" refreshError="1"/>
      <sheetData sheetId="5"/>
      <sheetData sheetId="6" refreshError="1"/>
      <sheetData sheetId="7" refreshError="1"/>
      <sheetData sheetId="8" refreshError="1"/>
      <sheetData sheetId="9" refreshError="1"/>
      <sheetData sheetId="10" refreshError="1"/>
      <sheetData sheetId="11"/>
      <sheetData sheetId="12" refreshError="1"/>
      <sheetData sheetId="13" refreshError="1"/>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sheetData sheetId="150" refreshError="1"/>
      <sheetData sheetId="151" refreshError="1"/>
      <sheetData sheetId="152"/>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sheetData sheetId="210"/>
      <sheetData sheetId="211"/>
      <sheetData sheetId="212"/>
      <sheetData sheetId="213"/>
      <sheetData sheetId="214"/>
      <sheetData sheetId="215"/>
      <sheetData sheetId="216" refreshError="1"/>
      <sheetData sheetId="217" refreshError="1"/>
      <sheetData sheetId="218" refreshError="1"/>
      <sheetData sheetId="219"/>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sheetData sheetId="275"/>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sheetData sheetId="285"/>
      <sheetData sheetId="286"/>
      <sheetData sheetId="287"/>
      <sheetData sheetId="288"/>
      <sheetData sheetId="289"/>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sheetData sheetId="329" refreshError="1"/>
      <sheetData sheetId="330" refreshError="1"/>
      <sheetData sheetId="331" refreshError="1"/>
      <sheetData sheetId="332" refreshError="1"/>
      <sheetData sheetId="333" refreshError="1"/>
      <sheetData sheetId="334" refreshError="1"/>
      <sheetData sheetId="335"/>
      <sheetData sheetId="336"/>
      <sheetData sheetId="337"/>
      <sheetData sheetId="338"/>
      <sheetData sheetId="339"/>
      <sheetData sheetId="340"/>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sheetData sheetId="359"/>
      <sheetData sheetId="360"/>
      <sheetData sheetId="361"/>
      <sheetData sheetId="362"/>
      <sheetData sheetId="363"/>
      <sheetData sheetId="364"/>
      <sheetData sheetId="365"/>
      <sheetData sheetId="366"/>
      <sheetData sheetId="367"/>
      <sheetData sheetId="368"/>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refreshError="1"/>
      <sheetData sheetId="443" refreshError="1"/>
      <sheetData sheetId="444" refreshError="1"/>
      <sheetData sheetId="445" refreshError="1"/>
      <sheetData sheetId="446" refreshError="1"/>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ap bul"/>
      <sheetName val="Jan rev"/>
      <sheetName val="Feb rev"/>
      <sheetName val="Mar rev"/>
      <sheetName val="April rev"/>
      <sheetName val="Mei rev"/>
      <sheetName val="Juni rev"/>
      <sheetName val="Juni rev (2)"/>
      <sheetName val="Juli rev"/>
      <sheetName val="Aug"/>
      <sheetName val="Sept'04"/>
      <sheetName val="Monthly OUTPUT&amp;DT"/>
      <sheetName val="Sheet1"/>
      <sheetName val="Mar"/>
      <sheetName val="Grafik"/>
      <sheetName val="1.Control Point"/>
      <sheetName val="MR"/>
      <sheetName val="COMBO_BOX"/>
      <sheetName val="S-PLAN"/>
      <sheetName val="KODE"/>
      <sheetName val="SDD"/>
      <sheetName val="2011"/>
      <sheetName val="Att.9"/>
      <sheetName val="前提"/>
      <sheetName val="010828"/>
      <sheetName val="Sheet3"/>
      <sheetName val="Loss Ratio &amp; Amount ($)"/>
      <sheetName val="Rev.Record"/>
      <sheetName val="Lap_bul"/>
      <sheetName val="Jan_rev"/>
      <sheetName val="Feb_rev"/>
      <sheetName val="Mar_rev"/>
      <sheetName val="April_rev"/>
      <sheetName val="Mei_rev"/>
      <sheetName val="Juni_rev"/>
      <sheetName val="Juni_rev_(2)"/>
      <sheetName val="Juli_rev"/>
      <sheetName val="Monthly_OUTPUT&amp;DT"/>
      <sheetName val="1_Control_Point"/>
      <sheetName val="Att_9"/>
      <sheetName val="Loss_Ratio_&amp;_Amount_($)"/>
      <sheetName val="国"/>
      <sheetName val="SUMMARY DOWNTIME"/>
      <sheetName val="PM-J"/>
      <sheetName val="DB FIELD DEFINITION"/>
      <sheetName val="ISS-AS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istribution list"/>
      <sheetName val="list"/>
      <sheetName val="Data"/>
      <sheetName val="Instruction"/>
      <sheetName val="Analysis"/>
      <sheetName val="数値コピー"/>
      <sheetName val="SUAI 分析ツールA 75th_ver1 3 (3)"/>
      <sheetName val="SH_MAKER"/>
      <sheetName val="SH_ENTITY"/>
      <sheetName val="SH_GROUP"/>
      <sheetName val="SH_ICP"/>
      <sheetName val="SH_PROFILE"/>
      <sheetName val="SH_PRODUCTS"/>
      <sheetName val="GL RAW DATA"/>
      <sheetName val="A"/>
    </sheetNames>
    <sheetDataSet>
      <sheetData sheetId="0"/>
      <sheetData sheetId="1">
        <row r="4">
          <cell r="B4" t="str">
            <v>YNA</v>
          </cell>
          <cell r="F4" t="str">
            <v>July</v>
          </cell>
          <cell r="O4" t="str">
            <v>Affiliate Total</v>
          </cell>
          <cell r="R4" t="str">
            <v>PASI</v>
          </cell>
        </row>
        <row r="5">
          <cell r="B5" t="str">
            <v>YARMEX</v>
          </cell>
          <cell r="F5" t="str">
            <v>August</v>
          </cell>
          <cell r="O5" t="str">
            <v>W/H+B/C</v>
          </cell>
          <cell r="R5" t="str">
            <v>YICAP</v>
          </cell>
        </row>
        <row r="6">
          <cell r="B6" t="str">
            <v>AAMSA</v>
          </cell>
          <cell r="F6" t="str">
            <v>September</v>
          </cell>
          <cell r="O6" t="str">
            <v>Meter+Sensor</v>
          </cell>
          <cell r="R6" t="str">
            <v>YCIC</v>
          </cell>
        </row>
        <row r="7">
          <cell r="B7" t="str">
            <v>BAPSA</v>
          </cell>
          <cell r="F7" t="str">
            <v>October</v>
          </cell>
          <cell r="O7" t="str">
            <v>Comp. Total (incl. Adm.)</v>
          </cell>
        </row>
        <row r="8">
          <cell r="B8" t="str">
            <v>ARC_GROUP</v>
          </cell>
          <cell r="F8" t="str">
            <v>November</v>
          </cell>
          <cell r="O8" t="str">
            <v>Comp. Total</v>
          </cell>
        </row>
        <row r="9">
          <cell r="B9" t="str">
            <v>ARC WH Mexico</v>
          </cell>
          <cell r="F9" t="str">
            <v>December</v>
          </cell>
          <cell r="O9" t="str">
            <v>Electronics</v>
          </cell>
        </row>
        <row r="10">
          <cell r="B10" t="str">
            <v>ARC WH Nicaragua</v>
          </cell>
          <cell r="F10" t="str">
            <v>January</v>
          </cell>
          <cell r="O10" t="str">
            <v>J/B,R/B,F/B,others boxes</v>
          </cell>
        </row>
        <row r="11">
          <cell r="B11" t="str">
            <v>ARC WH El Salvador</v>
          </cell>
          <cell r="F11" t="str">
            <v>February</v>
          </cell>
          <cell r="O11" t="str">
            <v>Projected mold products</v>
          </cell>
        </row>
        <row r="12">
          <cell r="B12" t="str">
            <v>ARC WH TOTAL</v>
          </cell>
          <cell r="F12" t="str">
            <v>March</v>
          </cell>
          <cell r="O12" t="str">
            <v>Rubber products</v>
          </cell>
        </row>
        <row r="13">
          <cell r="B13" t="str">
            <v>ARC CB Mexico</v>
          </cell>
          <cell r="F13" t="str">
            <v>April</v>
          </cell>
          <cell r="O13" t="str">
            <v>Protectors</v>
          </cell>
        </row>
        <row r="14">
          <cell r="B14" t="str">
            <v>ARC CB Nicaragua</v>
          </cell>
          <cell r="F14" t="str">
            <v>May</v>
          </cell>
          <cell r="O14" t="str">
            <v>Tapes, Tubes</v>
          </cell>
        </row>
        <row r="15">
          <cell r="B15" t="str">
            <v>ARC CB TOTAL</v>
          </cell>
          <cell r="F15" t="str">
            <v>June</v>
          </cell>
          <cell r="O15" t="str">
            <v>Terminals</v>
          </cell>
        </row>
        <row r="16">
          <cell r="B16" t="str">
            <v>ARC IN Mexico</v>
          </cell>
          <cell r="O16" t="str">
            <v>Wire/Cable</v>
          </cell>
        </row>
        <row r="17">
          <cell r="B17" t="str">
            <v>YMS</v>
          </cell>
          <cell r="O17" t="str">
            <v>Other Component</v>
          </cell>
        </row>
        <row r="18">
          <cell r="B18" t="str">
            <v>YCSA</v>
          </cell>
          <cell r="O18" t="str">
            <v>計装</v>
          </cell>
        </row>
        <row r="19">
          <cell r="B19" t="str">
            <v>YAS</v>
          </cell>
          <cell r="O19" t="str">
            <v>EV Components</v>
          </cell>
        </row>
        <row r="20">
          <cell r="B20" t="str">
            <v>YUY</v>
          </cell>
          <cell r="O20" t="str">
            <v>D&amp;D（自動車）</v>
          </cell>
        </row>
        <row r="21">
          <cell r="B21" t="str">
            <v>YBL_GROUP</v>
          </cell>
          <cell r="O21" t="str">
            <v>生環部門</v>
          </cell>
        </row>
        <row r="22">
          <cell r="B22" t="str">
            <v>YAP-B</v>
          </cell>
          <cell r="O22" t="str">
            <v>Administration</v>
          </cell>
        </row>
        <row r="23">
          <cell r="B23" t="str">
            <v>CCC</v>
          </cell>
        </row>
        <row r="24">
          <cell r="B24" t="str">
            <v>ELCOM Group</v>
          </cell>
        </row>
        <row r="25">
          <cell r="B25" t="str">
            <v>YEL</v>
          </cell>
        </row>
        <row r="26">
          <cell r="B26" t="str">
            <v>YMO</v>
          </cell>
        </row>
        <row r="27">
          <cell r="B27" t="str">
            <v>YMK</v>
          </cell>
        </row>
        <row r="28">
          <cell r="B28" t="str">
            <v>YMM</v>
          </cell>
        </row>
        <row r="29">
          <cell r="B29" t="str">
            <v>YTU</v>
          </cell>
        </row>
        <row r="30">
          <cell r="B30" t="str">
            <v>YOT</v>
          </cell>
        </row>
        <row r="31">
          <cell r="B31" t="str">
            <v>YRL</v>
          </cell>
        </row>
        <row r="32">
          <cell r="B32" t="str">
            <v>YUL</v>
          </cell>
        </row>
        <row r="33">
          <cell r="B33" t="str">
            <v>YWT</v>
          </cell>
        </row>
        <row r="34">
          <cell r="B34" t="str">
            <v>YSE</v>
          </cell>
        </row>
        <row r="35">
          <cell r="B35" t="str">
            <v>YCT</v>
          </cell>
        </row>
        <row r="36">
          <cell r="B36" t="str">
            <v>YBE</v>
          </cell>
        </row>
        <row r="37">
          <cell r="B37" t="str">
            <v>YELI</v>
          </cell>
        </row>
        <row r="38">
          <cell r="B38" t="str">
            <v>YAP-P</v>
          </cell>
        </row>
        <row r="39">
          <cell r="B39" t="str">
            <v>YAP-T</v>
          </cell>
        </row>
        <row r="40">
          <cell r="B40" t="str">
            <v>AAPL</v>
          </cell>
        </row>
        <row r="41">
          <cell r="B41" t="str">
            <v>YTM_Group</v>
          </cell>
        </row>
        <row r="42">
          <cell r="B42" t="str">
            <v>EMI</v>
          </cell>
        </row>
        <row r="43">
          <cell r="B43" t="str">
            <v>TAP</v>
          </cell>
        </row>
        <row r="44">
          <cell r="B44" t="str">
            <v>YCP</v>
          </cell>
        </row>
        <row r="45">
          <cell r="B45" t="str">
            <v>YICAP</v>
          </cell>
        </row>
        <row r="46">
          <cell r="B46" t="str">
            <v>Indonesia_Group</v>
          </cell>
        </row>
        <row r="47">
          <cell r="B47" t="str">
            <v>PASI</v>
          </cell>
        </row>
        <row r="48">
          <cell r="B48" t="str">
            <v>PEMI</v>
          </cell>
        </row>
        <row r="49">
          <cell r="B49" t="str">
            <v>SAI</v>
          </cell>
        </row>
        <row r="50">
          <cell r="B50" t="str">
            <v>SAMI</v>
          </cell>
        </row>
        <row r="51">
          <cell r="B51" t="str">
            <v>JAI</v>
          </cell>
        </row>
        <row r="52">
          <cell r="B52" t="str">
            <v>SUAI</v>
          </cell>
        </row>
        <row r="53">
          <cell r="B53" t="str">
            <v>YEV</v>
          </cell>
        </row>
        <row r="54">
          <cell r="B54" t="str">
            <v>YHV</v>
          </cell>
        </row>
        <row r="55">
          <cell r="B55" t="str">
            <v>YIPL</v>
          </cell>
        </row>
        <row r="56">
          <cell r="B56" t="str">
            <v>YWTI</v>
          </cell>
        </row>
        <row r="57">
          <cell r="B57" t="str">
            <v>ASIA</v>
          </cell>
        </row>
        <row r="58">
          <cell r="B58" t="str">
            <v>YES</v>
          </cell>
        </row>
        <row r="59">
          <cell r="B59" t="str">
            <v>YTMC</v>
          </cell>
        </row>
        <row r="60">
          <cell r="B60" t="str">
            <v>PET</v>
          </cell>
        </row>
        <row r="61">
          <cell r="B61" t="str">
            <v>TYC</v>
          </cell>
        </row>
        <row r="62">
          <cell r="B62" t="str">
            <v>SYA</v>
          </cell>
        </row>
        <row r="63">
          <cell r="B63" t="str">
            <v>HNY</v>
          </cell>
        </row>
        <row r="64">
          <cell r="B64" t="str">
            <v>ZZY</v>
          </cell>
        </row>
        <row r="65">
          <cell r="B65" t="str">
            <v>TJY</v>
          </cell>
        </row>
        <row r="66">
          <cell r="B66" t="str">
            <v>YYA</v>
          </cell>
        </row>
        <row r="67">
          <cell r="B67" t="str">
            <v>FSY</v>
          </cell>
        </row>
        <row r="68">
          <cell r="B68" t="str">
            <v>XGY</v>
          </cell>
        </row>
        <row r="69">
          <cell r="B69" t="str">
            <v>NYH</v>
          </cell>
        </row>
        <row r="70">
          <cell r="B70" t="str">
            <v>HZY</v>
          </cell>
        </row>
        <row r="71">
          <cell r="B71" t="str">
            <v>CYM</v>
          </cell>
        </row>
        <row r="72">
          <cell r="B72" t="str">
            <v>SHY</v>
          </cell>
        </row>
        <row r="73">
          <cell r="B73" t="str">
            <v>YHK</v>
          </cell>
        </row>
        <row r="74">
          <cell r="B74" t="str">
            <v>YCIC</v>
          </cell>
        </row>
        <row r="75">
          <cell r="B75" t="str">
            <v>TYE</v>
          </cell>
        </row>
        <row r="76">
          <cell r="B76" t="str">
            <v>TMP</v>
          </cell>
        </row>
        <row r="77">
          <cell r="B77" t="str">
            <v>CYES</v>
          </cell>
        </row>
        <row r="78">
          <cell r="B78" t="str">
            <v>TYNS</v>
          </cell>
        </row>
        <row r="79">
          <cell r="B79" t="str">
            <v>YESI</v>
          </cell>
        </row>
        <row r="80">
          <cell r="B80" t="str">
            <v>YTCA</v>
          </cell>
        </row>
        <row r="81">
          <cell r="B81" t="str">
            <v>YII</v>
          </cell>
        </row>
        <row r="82">
          <cell r="B82" t="str">
            <v>YMC</v>
          </cell>
        </row>
        <row r="83">
          <cell r="B83" t="str">
            <v>YIC</v>
          </cell>
        </row>
        <row r="84">
          <cell r="B84" t="str">
            <v>TYL</v>
          </cell>
        </row>
        <row r="85">
          <cell r="B85" t="str">
            <v>YGP (USD)</v>
          </cell>
        </row>
        <row r="86">
          <cell r="B86" t="str">
            <v>---OLD---</v>
          </cell>
        </row>
        <row r="87">
          <cell r="B87" t="str">
            <v>YARMEX (USD)</v>
          </cell>
        </row>
        <row r="88">
          <cell r="B88" t="str">
            <v>YUY (UYU)</v>
          </cell>
        </row>
        <row r="89">
          <cell r="B89" t="str">
            <v>YIB</v>
          </cell>
        </row>
        <row r="90">
          <cell r="B90" t="str">
            <v>YIA</v>
          </cell>
        </row>
        <row r="91">
          <cell r="B91" t="str">
            <v>YSP</v>
          </cell>
        </row>
        <row r="92">
          <cell r="B92" t="str">
            <v>SINCOM</v>
          </cell>
        </row>
        <row r="93">
          <cell r="B93" t="str">
            <v>YICAP【old】</v>
          </cell>
        </row>
        <row r="94">
          <cell r="B94" t="str">
            <v>YCIC【old】</v>
          </cell>
        </row>
        <row r="95">
          <cell r="B95" t="str">
            <v>YGP (SGD)</v>
          </cell>
        </row>
        <row r="96">
          <cell r="B96" t="str">
            <v>Indonesia_Group【old】</v>
          </cell>
        </row>
        <row r="97">
          <cell r="B97" t="str">
            <v>PASI【old】</v>
          </cell>
        </row>
        <row r="98">
          <cell r="B98" t="str">
            <v>PEMI【old】</v>
          </cell>
        </row>
        <row r="99">
          <cell r="B99" t="str">
            <v>SAI【old】</v>
          </cell>
        </row>
        <row r="100">
          <cell r="B100" t="str">
            <v>SAMI【old】</v>
          </cell>
        </row>
        <row r="101">
          <cell r="B101" t="str">
            <v>JAI【old】</v>
          </cell>
        </row>
        <row r="102">
          <cell r="B102" t="str">
            <v>YSK</v>
          </cell>
        </row>
        <row r="103">
          <cell r="B103" t="str">
            <v>SYA-Detail</v>
          </cell>
        </row>
        <row r="104">
          <cell r="B104" t="str">
            <v>ZZY-Detail</v>
          </cell>
        </row>
        <row r="105">
          <cell r="B105" t="str">
            <v>YAP-Z</v>
          </cell>
        </row>
        <row r="106">
          <cell r="B106" t="str">
            <v>YES</v>
          </cell>
        </row>
        <row r="107">
          <cell r="B107" t="str">
            <v>ARC WH Mexico【old】</v>
          </cell>
        </row>
        <row r="108">
          <cell r="B108" t="str">
            <v>ARC WH Nicaragua【old】</v>
          </cell>
        </row>
        <row r="109">
          <cell r="B109" t="str">
            <v>ARC WH El Salvador【old】</v>
          </cell>
        </row>
        <row r="110">
          <cell r="B110" t="str">
            <v>ARC WH TOTAL【old】</v>
          </cell>
        </row>
        <row r="111">
          <cell r="B111" t="str">
            <v>ARC CB Mexico【old】</v>
          </cell>
        </row>
        <row r="112">
          <cell r="B112" t="str">
            <v>ARC CB Nicaragua【old】</v>
          </cell>
        </row>
        <row r="113">
          <cell r="B113" t="str">
            <v>ARC CB TOTAL【old】</v>
          </cell>
        </row>
        <row r="114">
          <cell r="B114" t="str">
            <v>ARC IN Mexico【old】</v>
          </cell>
        </row>
      </sheetData>
      <sheetData sheetId="2">
        <row r="2">
          <cell r="B2">
            <v>115</v>
          </cell>
        </row>
      </sheetData>
      <sheetData sheetId="3"/>
      <sheetData sheetId="4"/>
      <sheetData sheetId="5"/>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 CREDITOR"/>
      <sheetName val="DEBTOR"/>
      <sheetName val="TB"/>
      <sheetName val="ENTERTAINMENT"/>
      <sheetName val="STOCK"/>
      <sheetName val="GENERAL"/>
      <sheetName val="TRAVEL"/>
      <sheetName val="DELIVERY"/>
      <sheetName val="DEPOSIT"/>
      <sheetName val="STATEMENT"/>
      <sheetName val="PL"/>
      <sheetName val="MAINT-VEH"/>
      <sheetName val="DIX"/>
      <sheetName val="PROFIT"/>
      <sheetName val="PREPAY"/>
      <sheetName val="BS"/>
      <sheetName val="SIA"/>
      <sheetName val="Sheet1"/>
      <sheetName val="Sheet2"/>
      <sheetName val="Sheet3"/>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apBul"/>
      <sheetName val="Jan"/>
      <sheetName val="Feb "/>
      <sheetName val="Mar"/>
      <sheetName val="April"/>
      <sheetName val="Mei"/>
      <sheetName val="Juni"/>
      <sheetName val="Mar rev"/>
      <sheetName val="Grafik"/>
      <sheetName val="5411.4"/>
      <sheetName val="1.Control Point"/>
      <sheetName val="OT"/>
      <sheetName val="CODE"/>
      <sheetName val="Sheet1"/>
      <sheetName val="KODE"/>
      <sheetName val="01 BSJ monthly"/>
      <sheetName val="Sheet3"/>
      <sheetName val="Supp.List"/>
      <sheetName val="Feb_"/>
      <sheetName val="Mar_rev"/>
      <sheetName val="5411_4"/>
      <sheetName val="1_Control_Point"/>
      <sheetName val="01_BSJ_monthly"/>
      <sheetName val="MOM"/>
      <sheetName val="国"/>
      <sheetName val="___(_)"/>
      <sheetName val="DB FIELD DEFINITION"/>
    </sheetNames>
    <sheetDataSet>
      <sheetData sheetId="0">
        <row r="4">
          <cell r="BO4">
            <v>511962.23845055467</v>
          </cell>
        </row>
      </sheetData>
      <sheetData sheetId="1"/>
      <sheetData sheetId="2"/>
      <sheetData sheetId="3" refreshError="1"/>
      <sheetData sheetId="4">
        <row r="4">
          <cell r="BO4">
            <v>511962.23845055467</v>
          </cell>
        </row>
      </sheetData>
      <sheetData sheetId="5"/>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サイズリスト"/>
      <sheetName val="サイズリスト (2)"/>
      <sheetName val="サイズリスト (3)"/>
      <sheetName val="サイズリスト (4)"/>
      <sheetName val="Sheet1"/>
      <sheetName val="Sheet2"/>
      <sheetName val="Sheet3"/>
      <sheetName val="BMW RF"/>
      <sheetName val="負荷容量"/>
      <sheetName val="Word"/>
      <sheetName val="SH_MAKER"/>
      <sheetName val="Macro1"/>
      <sheetName val="定義"/>
      <sheetName val="Test of detail"/>
      <sheetName val="XREF"/>
      <sheetName val="集計ﾘｽﾄ"/>
      <sheetName val="配分案"/>
      <sheetName val="クエリ10"/>
      <sheetName val="Mar"/>
    </sheetNames>
    <sheetDataSet>
      <sheetData sheetId="0"/>
      <sheetData sheetId="1"/>
      <sheetData sheetId="2"/>
      <sheetData sheetId="3"/>
      <sheetData sheetId="4"/>
      <sheetData sheetId="5"/>
      <sheetData sheetId="6"/>
      <sheetData sheetId="7"/>
      <sheetData sheetId="8"/>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表紙"/>
      <sheetName val="報告№②ー１"/>
      <sheetName val="報告№②－２"/>
      <sheetName val="報告№②－３"/>
      <sheetName val="報告№②－４"/>
      <sheetName val="報告№③"/>
      <sheetName val="報告№③－１"/>
      <sheetName val="報告№③－２"/>
      <sheetName val="報告№③－３"/>
      <sheetName val="報告№④"/>
      <sheetName val="報告№⑤"/>
      <sheetName val="報告№⑥－１"/>
      <sheetName val="報告№⑥－２"/>
      <sheetName val="報告№⑥－３"/>
      <sheetName val="報告№⑦"/>
      <sheetName val="報告№⑧"/>
      <sheetName val="設備"/>
      <sheetName val="14mmQfup"/>
      <sheetName val="過不足ﾏﾄﾒ"/>
      <sheetName val="ﾊﾞﾙﾌﾞﾘｰｸ"/>
      <sheetName val="89"/>
      <sheetName val="SRP FH"/>
      <sheetName val="Profit"/>
      <sheetName val="Policy Target &amp; Result 1"/>
      <sheetName val="sheet17"/>
      <sheetName val="总切断数据"/>
      <sheetName val="穿栓"/>
      <sheetName val="497W熔着线"/>
      <sheetName val="447W熔着线"/>
      <sheetName val="ボンダー仕掛けデータ line 1"/>
      <sheetName val="Europe PU-1"/>
      <sheetName val="损益计算成行"/>
      <sheetName val="收益改善分向别"/>
      <sheetName val="日本向经费"/>
      <sheetName val="制造外 收益 费用"/>
      <sheetName val="生产工数"/>
      <sheetName val="出荷工数"/>
      <sheetName val="台湾向经费 "/>
      <sheetName val="国内向经费"/>
      <sheetName val="收益改善 三个向别合计"/>
      <sheetName val="B1．（课长、系长管理）部门别周间管理表"/>
      <sheetName val="Sheet1"/>
      <sheetName val="後工程分析"/>
      <sheetName val="M"/>
      <sheetName val="９月２６日対応"/>
      <sheetName val="UK allocations"/>
      <sheetName val="PRE"/>
      <sheetName val="【Input】見積基礎情報（海外生産分)"/>
      <sheetName val="MAT-IN"/>
      <sheetName val="??????"/>
      <sheetName val="oktober"/>
      <sheetName val="国"/>
      <sheetName val="海"/>
      <sheetName val="班部番別"/>
      <sheetName val="16R構造寸法"/>
      <sheetName val="Rev. 2"/>
      <sheetName val="投資･工数推移"/>
      <sheetName val="採算"/>
      <sheetName val="基準ｲﾝﾌﾟｯﾄ"/>
      <sheetName val="Rev. 4"/>
      <sheetName val="リスト"/>
      <sheetName val="リストBOX"/>
      <sheetName val="入力イメージ"/>
      <sheetName val="科目一覧"/>
      <sheetName val="科目・車種メーカー一覧"/>
      <sheetName val="Policy_Target_&amp;_Result_1"/>
      <sheetName val="ボンダー仕掛けデータ_line_1"/>
      <sheetName val="Europe_PU-1"/>
      <sheetName val="制造外_收益_费用"/>
      <sheetName val="台湾向经费_"/>
      <sheetName val="收益改善_三个向别合计"/>
      <sheetName val="SRP_FH"/>
      <sheetName val="UK_allocations"/>
      <sheetName val="Rev__2"/>
      <sheetName val="Rev__4"/>
      <sheetName val="Stock_Nov05"/>
      <sheetName val="PRตัวเลือก"/>
      <sheetName val="SCRAP"/>
      <sheetName val="Wire color"/>
      <sheetName val="Pre-Assy Productin Flow"/>
      <sheetName val="Final-Assy Production Flow"/>
      <sheetName val="Production Condition"/>
      <sheetName val="Circuit Configuration "/>
      <sheetName val="Pre-Assy MP"/>
      <sheetName val="Final-Assy MP"/>
      <sheetName val="Specification"/>
      <sheetName val="Production transfer "/>
      <sheetName val="Machine"/>
      <sheetName val="Pre-Assy analysis"/>
      <sheetName val="Final-Assy analysis"/>
      <sheetName val="Revision Record 1"/>
      <sheetName val="GUM"/>
      <sheetName val="GUM Allocation"/>
      <sheetName val="821211G480-00000"/>
      <sheetName val="Sheet2"/>
      <sheetName val="報告№②ー１ ྨ_x0000__x0000_@_x0000__x0000__x0000__x0000__x0000__x0000__x0000__x0000_ೖ$_x0000__x0000__x0000__x0000__x0000__x0000__x0000__x0000_"/>
      <sheetName val="ERM TW NEW ANALYSIS  "/>
      <sheetName val="______"/>
      <sheetName val="detail"/>
      <sheetName val="別紙「牧之原」"/>
      <sheetName val="33-11"/>
      <sheetName val="HIB_集計"/>
      <sheetName val="33-10"/>
      <sheetName val="33-09"/>
      <sheetName val="33-08"/>
      <sheetName val="33-07"/>
      <sheetName val="33-06"/>
      <sheetName val="33-05"/>
      <sheetName val="33-04"/>
      <sheetName val="労務費"/>
      <sheetName val="報告№②ー１ ྨ_x005f_x0000__x005f_x0000_@_x005f_x0000__"/>
      <sheetName val="ctdg"/>
      <sheetName val="売上高表(半期別)"/>
      <sheetName val="TBP350A"/>
      <sheetName val="大日程計算"/>
      <sheetName val="計算6"/>
      <sheetName val="KH-Q1,Q2,01"/>
      <sheetName val="報告№②ー１ ྨ"/>
      <sheetName val="ボンダー仕掛けデータ_line_11"/>
      <sheetName val="Europe_PU-11"/>
      <sheetName val="制造外_收益_费用1"/>
      <sheetName val="台湾向经费_1"/>
      <sheetName val="收益改善_三个向别合计1"/>
      <sheetName val="Policy_Target_&amp;_Result_11"/>
      <sheetName val="UK_allocations1"/>
      <sheetName val="Rev__21"/>
      <sheetName val="SRP_FH1"/>
      <sheetName val="Rev__41"/>
      <sheetName val="Wire_color"/>
      <sheetName val="Pre-Assy_Productin_Flow"/>
      <sheetName val="Final-Assy_Production_Flow"/>
      <sheetName val="Production_Condition"/>
      <sheetName val="Circuit_Configuration_"/>
      <sheetName val="Pre-Assy_MP"/>
      <sheetName val="Final-Assy_MP"/>
      <sheetName val="Production_transfer_"/>
      <sheetName val="Pre-Assy_analysis"/>
      <sheetName val="Final-Assy_analysis"/>
      <sheetName val="Revision_Record_1"/>
      <sheetName val="GUM_Allocation"/>
      <sheetName val="報告№②ー１_ྨ@ೖ$"/>
      <sheetName val="DTCT"/>
      <sheetName val="INVOICE"/>
      <sheetName val="工程導入アイテム一覧 (2)"/>
      <sheetName val="接圧確認治具一覧"/>
      <sheetName val="ベンドアップ治具使用一覧"/>
      <sheetName val="組合せLA治具使用一覧"/>
      <sheetName val="アライメントゲージ使用一覧"/>
      <sheetName val="抜き治具一覧"/>
      <sheetName val="シングル圧着組合せ一覧"/>
      <sheetName val="ダブリ圧着組合せ一覧"/>
      <sheetName val="③SSC(T60RH)"/>
      <sheetName val="③SSC（T60LH)"/>
      <sheetName val="③SSC(T50RH)"/>
      <sheetName val="③JIG（T60RH)"/>
      <sheetName val="③JIG（T60LH)"/>
      <sheetName val="③JIG(T50RH)"/>
      <sheetName val="③GROMMET"/>
      <sheetName val="③CLIP（T60RH)"/>
      <sheetName val="③CLIP（T60LH)"/>
      <sheetName val="④CLIP（T50RH）"/>
      <sheetName val="⑤CC1(T60LH)"/>
      <sheetName val="⑤CC1(T60RH)"/>
      <sheetName val="⑤CC1(T50RH)"/>
      <sheetName val="⑥Fin.（T50RH)"/>
      <sheetName val="③FIN(T60RH)"/>
      <sheetName val="③FIN（T60LH)"/>
      <sheetName val="⑦CC2(T50RH) "/>
      <sheetName val="⑤CC2(T60LH)"/>
      <sheetName val="⑤CC2(T60RH)"/>
      <sheetName val="YC-D"/>
      <sheetName val="CB100"/>
      <sheetName val="FU10"/>
      <sheetName val="RA40"/>
      <sheetName val="別紙 HW31"/>
      <sheetName val="別紙 WK13"/>
      <sheetName val="別紙_MK10"/>
      <sheetName val="別紙_MK30"/>
      <sheetName val="別紙_BB50"/>
      <sheetName val="別紙_PF70"/>
      <sheetName val="別紙_GW11 12_WP81 82 WP91 92"/>
      <sheetName val="別紙_UP31"/>
      <sheetName val="別紙_CJ20"/>
      <sheetName val="別紙_CAB1"/>
      <sheetName val="別紙_9-X10C"/>
      <sheetName val="別紙__9-X10J"/>
      <sheetName val="アプリ"/>
      <sheetName val="SINGLE CRIMP  ANALYSIS"/>
      <sheetName val="FINAL ANALYSIS"/>
      <sheetName val="Result"/>
      <sheetName val="TOTAL"/>
      <sheetName val="TOTAL-PRE"/>
      <sheetName val="Khai bao dau vao"/>
      <sheetName val="ｲﾝﾄﾞﾈｼｱ"/>
      <sheetName val="Supp.List"/>
      <sheetName val="設備点検基準書"/>
      <sheetName val="点検前"/>
      <sheetName val="シリーズ対応表"/>
      <sheetName val="日常点検表"/>
      <sheetName val="定期点検表"/>
      <sheetName val="日1"/>
      <sheetName val="日2"/>
      <sheetName val="日3"/>
      <sheetName val="日4"/>
      <sheetName val="定1"/>
      <sheetName val="定2"/>
      <sheetName val="定3"/>
      <sheetName val="定4"/>
      <sheetName val="定5"/>
      <sheetName val="定6"/>
      <sheetName val="定7"/>
      <sheetName val="定8"/>
      <sheetName val="定9"/>
      <sheetName val="定10"/>
      <sheetName val="定11"/>
      <sheetName val="定12"/>
      <sheetName val="週金額資料庫"/>
      <sheetName val="表紙(代表者)"/>
      <sheetName val="ﾊﾟｲﾌﾟ"/>
      <sheetName val="他材料費"/>
      <sheetName val="熱延鋼板"/>
      <sheetName val="冷延鋼板"/>
      <sheetName val="屏蔽线 高速"/>
      <sheetName val="12.経営環境費用"/>
      <sheetName val="List"/>
      <sheetName val="1.81期実績+見通し"/>
      <sheetName val="機能リスト"/>
      <sheetName val="MGA-05-03"/>
      <sheetName val="ﾄﾖﾀUNIT"/>
      <sheetName val="dongia (2)"/>
      <sheetName val="giathanh1"/>
      <sheetName val="CTdongia"/>
      <sheetName val="工数データ"/>
      <sheetName val="3"/>
      <sheetName val=" D2"/>
      <sheetName val="3DOT THEO DL BARCODE"/>
      <sheetName val="Policy_Target_&amp;_Result_12"/>
      <sheetName val="ボンダー仕掛けデータ_line_12"/>
      <sheetName val="Europe_PU-12"/>
      <sheetName val="制造外_收益_费用2"/>
      <sheetName val="台湾向经费_2"/>
      <sheetName val="收益改善_三个向别合计2"/>
      <sheetName val="SRP_FH2"/>
      <sheetName val="UK_allocations2"/>
      <sheetName val="Rev__22"/>
      <sheetName val="Rev__42"/>
      <sheetName val="Wire_color1"/>
      <sheetName val="Pre-Assy_Productin_Flow1"/>
      <sheetName val="Final-Assy_Production_Flow1"/>
      <sheetName val="Production_Condition1"/>
      <sheetName val="Circuit_Configuration_1"/>
      <sheetName val="Pre-Assy_MP1"/>
      <sheetName val="Final-Assy_MP1"/>
      <sheetName val="Production_transfer_1"/>
      <sheetName val="Pre-Assy_analysis1"/>
      <sheetName val="Final-Assy_analysis1"/>
      <sheetName val="Revision_Record_11"/>
      <sheetName val="GUM_Allocation1"/>
      <sheetName val="ERM_TW_NEW_ANALYSIS__"/>
      <sheetName val="報告№②ー１_ྨ_x005f_x0000__x005f_x0000_@_x005f_x0000__"/>
      <sheetName val="SINGLE_CRIMP__ANALYSIS"/>
      <sheetName val="FINAL_ANALYSIS"/>
      <sheetName val="報告№②ー１_ྨ"/>
      <sheetName val="工程導入アイテム一覧_(2)"/>
      <sheetName val="⑥Fin_（T50RH)"/>
      <sheetName val="⑦CC2(T50RH)_"/>
      <sheetName val="別紙_HW31"/>
      <sheetName val="別紙_WK13"/>
      <sheetName val="別紙_GW11_12_WP81_82_WP91_92"/>
      <sheetName val="Khai_bao_dau_vao"/>
      <sheetName val="報告№②ー１ ྨ??@????????ೖ$????????"/>
      <sheetName val="区分"/>
      <sheetName val="pull down"/>
      <sheetName val="工場名"/>
      <sheetName val="通貨"/>
      <sheetName val="DAILYPACE"/>
      <sheetName val="両端回路"/>
      <sheetName val="片端データ"/>
      <sheetName val="D1"/>
      <sheetName val="E2"/>
      <sheetName val="F1"/>
      <sheetName val="Policy_Target_&amp;_Result_13"/>
      <sheetName val="ボンダー仕掛けデータ_line_13"/>
      <sheetName val="Europe_PU-13"/>
      <sheetName val="制造外_收益_费用3"/>
      <sheetName val="台湾向经费_3"/>
      <sheetName val="收益改善_三个向别合计3"/>
      <sheetName val="SRP_FH3"/>
      <sheetName val="UK_allocations3"/>
      <sheetName val="Rev__23"/>
      <sheetName val="Rev__43"/>
      <sheetName val="Wire_color2"/>
      <sheetName val="Pre-Assy_Productin_Flow2"/>
      <sheetName val="Final-Assy_Production_Flow2"/>
      <sheetName val="Production_Condition2"/>
      <sheetName val="Circuit_Configuration_2"/>
      <sheetName val="Pre-Assy_MP2"/>
      <sheetName val="Final-Assy_MP2"/>
      <sheetName val="Production_transfer_2"/>
      <sheetName val="Pre-Assy_analysis2"/>
      <sheetName val="Final-Assy_analysis2"/>
      <sheetName val="Revision_Record_12"/>
      <sheetName val="GUM_Allocation2"/>
      <sheetName val="ERM_TW_NEW_ANALYSIS__1"/>
      <sheetName val="報告№②ー１_ྨ_x005f_x0000__x005f_x0000_@_x005f_x0000_1"/>
      <sheetName val="報告№②ー１_ྨ1"/>
      <sheetName val="工程導入アイテム一覧_(2)1"/>
      <sheetName val="⑥Fin_（T50RH)1"/>
      <sheetName val="⑦CC2(T50RH)_1"/>
      <sheetName val="別紙_HW311"/>
      <sheetName val="別紙_WK131"/>
      <sheetName val="別紙_GW11_12_WP81_82_WP91_921"/>
      <sheetName val="Khai_bao_dau_vao1"/>
      <sheetName val="SINGLE_CRIMP__ANALYSIS1"/>
      <sheetName val="FINAL_ANALYSIS1"/>
      <sheetName val="屏蔽线_高速"/>
      <sheetName val="12_経営環境費用"/>
      <sheetName val="1_81期実績+見通し"/>
      <sheetName val="Supp_List"/>
      <sheetName val="dongia_(2)"/>
      <sheetName val="ANALYSIS batt cable "/>
      <sheetName val="_D2"/>
      <sheetName val="巻量計算"/>
      <sheetName val="巻量計算　編組前と編組後"/>
      <sheetName val="撚り込み率計算"/>
      <sheetName val="内線押出"/>
      <sheetName val="ツイスト"/>
      <sheetName val="編組"/>
      <sheetName val="シース押出"/>
      <sheetName val="条件まとめ"/>
      <sheetName val="製技情報"/>
      <sheetName val="購入計画"/>
      <sheetName val="押出ロス"/>
      <sheetName val="照射ロス"/>
      <sheetName val="内線試算表"/>
      <sheetName val="シールド試算表"/>
      <sheetName val="試算表"/>
      <sheetName val="#REF"/>
      <sheetName val="lam-moi"/>
      <sheetName val="THPDMoi  (2)"/>
      <sheetName val="t-h HA THE"/>
      <sheetName val="chitiet"/>
      <sheetName val="DON GIA"/>
      <sheetName val="gtrinh"/>
      <sheetName val="thao-go"/>
      <sheetName val="CHITIET VL-NC"/>
      <sheetName val="CHITIET VL-NC-TT -1p"/>
      <sheetName val="VC"/>
      <sheetName val="TH XL"/>
      <sheetName val="Tiepdia"/>
      <sheetName val="CHITIET VL-NC-TT-3p"/>
      <sheetName val="Bia TQT"/>
      <sheetName val="TONGKE-HT"/>
      <sheetName val="TDTKP"/>
      <sheetName val="TDTKP1"/>
      <sheetName val="TONGKE3p "/>
      <sheetName val="KPVC-BD "/>
      <sheetName val="VCV-BE-TONG"/>
      <sheetName val="TNHCHINH"/>
      <sheetName val="報告№②ー１ ྨ@ೖ$"/>
      <sheetName val="Formato"/>
      <sheetName val="3P数量推移"/>
      <sheetName val="Policy_Target_&amp;_Result_14"/>
      <sheetName val="ボンダー仕掛けデータ_line_14"/>
      <sheetName val="Europe_PU-14"/>
      <sheetName val="制造外_收益_费用4"/>
      <sheetName val="台湾向经费_4"/>
      <sheetName val="收益改善_三个向别合计4"/>
      <sheetName val="SRP_FH4"/>
      <sheetName val="UK_allocations4"/>
      <sheetName val="Rev__24"/>
      <sheetName val="Rev__44"/>
      <sheetName val="Wire_color3"/>
      <sheetName val="Pre-Assy_Productin_Flow3"/>
      <sheetName val="Final-Assy_Production_Flow3"/>
      <sheetName val="Production_Condition3"/>
      <sheetName val="Circuit_Configuration_3"/>
      <sheetName val="Pre-Assy_MP3"/>
      <sheetName val="Final-Assy_MP3"/>
      <sheetName val="Production_transfer_3"/>
      <sheetName val="Pre-Assy_analysis3"/>
      <sheetName val="Final-Assy_analysis3"/>
      <sheetName val="Revision_Record_13"/>
      <sheetName val="GUM_Allocation3"/>
      <sheetName val="ERM_TW_NEW_ANALYSIS__2"/>
      <sheetName val="報告№②ー１_ྨ_x005f_x0000__x005f_x0000_@_x005f_x0000_2"/>
      <sheetName val="SINGLE_CRIMP__ANALYSIS2"/>
      <sheetName val="FINAL_ANALYSIS2"/>
      <sheetName val="報告№②ー１_ྨ2"/>
      <sheetName val="工程導入アイテム一覧_(2)2"/>
      <sheetName val="⑥Fin_（T50RH)2"/>
      <sheetName val="⑦CC2(T50RH)_2"/>
      <sheetName val="別紙_HW312"/>
      <sheetName val="別紙_WK132"/>
      <sheetName val="別紙_GW11_12_WP81_82_WP91_922"/>
      <sheetName val="Khai_bao_dau_vao2"/>
      <sheetName val="Supp_List1"/>
      <sheetName val="屏蔽线_高速1"/>
      <sheetName val="12_経営環境費用1"/>
      <sheetName val="1_81期実績+見通し1"/>
      <sheetName val="dongia_(2)1"/>
      <sheetName val="_D21"/>
      <sheetName val="報告№②ー１_ྨ??@????????ೖ$????????"/>
      <sheetName val="pull_down"/>
      <sheetName val="3DOT_THEO_DL_BARCODE"/>
      <sheetName val="Policy_Target_&amp;_Result_15"/>
      <sheetName val="ボンダー仕掛けデータ_line_15"/>
      <sheetName val="Europe_PU-15"/>
      <sheetName val="制造外_收益_费用5"/>
      <sheetName val="台湾向经费_5"/>
      <sheetName val="收益改善_三个向别合计5"/>
      <sheetName val="SRP_FH5"/>
      <sheetName val="UK_allocations5"/>
      <sheetName val="Rev__25"/>
      <sheetName val="Rev__45"/>
      <sheetName val="Wire_color4"/>
      <sheetName val="Pre-Assy_Productin_Flow4"/>
      <sheetName val="Final-Assy_Production_Flow4"/>
      <sheetName val="Production_Condition4"/>
      <sheetName val="Circuit_Configuration_4"/>
      <sheetName val="Pre-Assy_MP4"/>
      <sheetName val="Final-Assy_MP4"/>
      <sheetName val="Production_transfer_4"/>
      <sheetName val="Pre-Assy_analysis4"/>
      <sheetName val="Final-Assy_analysis4"/>
      <sheetName val="Revision_Record_14"/>
      <sheetName val="GUM_Allocation4"/>
      <sheetName val="ERM_TW_NEW_ANALYSIS__3"/>
      <sheetName val="報告№②ー１_ྨ_x005f_x0000__x005f_x0000_@_x005f_x0000_3"/>
      <sheetName val="SINGLE_CRIMP__ANALYSIS3"/>
      <sheetName val="FINAL_ANALYSIS3"/>
      <sheetName val="報告№②ー１_ྨ3"/>
      <sheetName val="工程導入アイテム一覧_(2)3"/>
      <sheetName val="⑥Fin_（T50RH)3"/>
      <sheetName val="⑦CC2(T50RH)_3"/>
      <sheetName val="別紙_HW313"/>
      <sheetName val="別紙_WK133"/>
      <sheetName val="別紙_GW11_12_WP81_82_WP91_923"/>
      <sheetName val="Khai_bao_dau_vao3"/>
      <sheetName val="Supp_List2"/>
      <sheetName val="屏蔽线_高速2"/>
      <sheetName val="12_経営環境費用2"/>
      <sheetName val="1_81期実績+見通し2"/>
      <sheetName val="dongia_(2)2"/>
      <sheetName val="_D22"/>
      <sheetName val="報告№②ー１_ྨ??@????????ೖ$????????1"/>
      <sheetName val="pull_down1"/>
      <sheetName val="3DOT_THEO_DL_BARCODE1"/>
      <sheetName val="両端ﾃﾞｰﾀ"/>
      <sheetName val="片端ﾃﾞｰﾀ"/>
      <sheetName val="TÊN"/>
    </sheetNames>
    <sheetDataSet>
      <sheetData sheetId="0" refreshError="1"/>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sheetData sheetId="66"/>
      <sheetData sheetId="67"/>
      <sheetData sheetId="68"/>
      <sheetData sheetId="69"/>
      <sheetData sheetId="70"/>
      <sheetData sheetId="71"/>
      <sheetData sheetId="72"/>
      <sheetData sheetId="73"/>
      <sheetData sheetId="74"/>
      <sheetData sheetId="75" refreshError="1"/>
      <sheetData sheetId="76" refreshError="1"/>
      <sheetData sheetId="77" refreshError="1"/>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refreshError="1"/>
      <sheetData sheetId="97" refreshError="1"/>
      <sheetData sheetId="98"/>
      <sheetData sheetId="99"/>
      <sheetData sheetId="100"/>
      <sheetData sheetId="101"/>
      <sheetData sheetId="102"/>
      <sheetData sheetId="103"/>
      <sheetData sheetId="104"/>
      <sheetData sheetId="105"/>
      <sheetData sheetId="106"/>
      <sheetData sheetId="107"/>
      <sheetData sheetId="108"/>
      <sheetData sheetId="109"/>
      <sheetData sheetId="110" refreshError="1"/>
      <sheetData sheetId="111" refreshError="1"/>
      <sheetData sheetId="112" refreshError="1"/>
      <sheetData sheetId="113" refreshError="1"/>
      <sheetData sheetId="114" refreshError="1"/>
      <sheetData sheetId="115" refreshError="1"/>
      <sheetData sheetId="116" refreshError="1"/>
      <sheetData sheetId="117"/>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refreshError="1"/>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refreshError="1"/>
      <sheetData sheetId="449" refreshError="1"/>
      <sheetData sheetId="450"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AHAP 1"/>
      <sheetName val="TAPAH 2.2 (Rincian)"/>
      <sheetName val="TAHAP 2.1 (SPD)"/>
      <sheetName val="Sheet1"/>
    </sheetNames>
    <sheetDataSet>
      <sheetData sheetId="0">
        <row r="8">
          <cell r="G8" t="str">
            <v>: SAI - JAI</v>
          </cell>
        </row>
        <row r="9">
          <cell r="G9" t="str">
            <v>: BENCHMARK</v>
          </cell>
        </row>
      </sheetData>
      <sheetData sheetId="1"/>
      <sheetData sheetId="2"/>
      <sheetData sheetId="3"/>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3113E2-C1B7-4D2A-B322-D7CD7FB0007E}">
  <sheetPr>
    <tabColor rgb="FFFFFF00"/>
    <pageSetUpPr fitToPage="1"/>
  </sheetPr>
  <dimension ref="B1:Z89"/>
  <sheetViews>
    <sheetView showGridLines="0" tabSelected="1" zoomScale="70" zoomScaleNormal="70" workbookViewId="0">
      <selection activeCell="Y7" sqref="Y7"/>
    </sheetView>
  </sheetViews>
  <sheetFormatPr defaultRowHeight="15" x14ac:dyDescent="0.25"/>
  <cols>
    <col min="1" max="1" width="1.7109375" style="1" customWidth="1"/>
    <col min="2" max="2" width="8.7109375" style="1" customWidth="1"/>
    <col min="3" max="3" width="18.7109375" style="2" customWidth="1"/>
    <col min="4" max="4" width="3.7109375" style="2" customWidth="1"/>
    <col min="5" max="5" width="2.7109375" style="2" customWidth="1"/>
    <col min="6" max="6" width="24" style="2" customWidth="1"/>
    <col min="7" max="7" width="15.7109375" style="1" customWidth="1"/>
    <col min="8" max="8" width="12.7109375" style="1" customWidth="1"/>
    <col min="9" max="9" width="15.7109375" style="1" customWidth="1"/>
    <col min="10" max="17" width="8.7109375" style="1" customWidth="1"/>
    <col min="18" max="21" width="9.7109375" style="1" customWidth="1"/>
    <col min="22" max="22" width="1.7109375" style="1" customWidth="1"/>
    <col min="23" max="26" width="15.7109375" style="1" customWidth="1"/>
    <col min="27" max="16384" width="9.140625" style="1"/>
  </cols>
  <sheetData>
    <row r="1" spans="2:26" x14ac:dyDescent="0.25">
      <c r="U1" s="14" t="s">
        <v>102</v>
      </c>
    </row>
    <row r="2" spans="2:26" ht="15" customHeight="1" x14ac:dyDescent="0.25">
      <c r="B2" s="74" t="s">
        <v>0</v>
      </c>
      <c r="C2" s="17"/>
      <c r="D2" s="17"/>
      <c r="E2" s="17"/>
      <c r="F2" s="17"/>
      <c r="G2" s="75"/>
      <c r="H2" s="76" t="s">
        <v>44</v>
      </c>
      <c r="I2" s="65" t="s">
        <v>45</v>
      </c>
      <c r="J2" s="66" t="s">
        <v>140</v>
      </c>
      <c r="K2" s="66"/>
      <c r="L2" s="66"/>
      <c r="M2" s="67"/>
      <c r="N2" s="502" t="s">
        <v>50</v>
      </c>
      <c r="O2" s="503"/>
      <c r="P2" s="502" t="s">
        <v>49</v>
      </c>
      <c r="Q2" s="503"/>
      <c r="R2" s="502" t="s">
        <v>37</v>
      </c>
      <c r="S2" s="503"/>
      <c r="T2" s="502" t="s">
        <v>36</v>
      </c>
      <c r="U2" s="503"/>
    </row>
    <row r="3" spans="2:26" ht="15" customHeight="1" x14ac:dyDescent="0.25">
      <c r="B3" s="488" t="s">
        <v>41</v>
      </c>
      <c r="C3" s="489"/>
      <c r="D3" s="489"/>
      <c r="E3" s="489"/>
      <c r="F3" s="489"/>
      <c r="G3" s="489"/>
      <c r="H3" s="490"/>
      <c r="I3" s="68" t="s">
        <v>46</v>
      </c>
      <c r="J3" s="69" t="s">
        <v>52</v>
      </c>
      <c r="K3" s="69"/>
      <c r="L3" s="69"/>
      <c r="M3" s="70"/>
      <c r="N3" s="473" t="s">
        <v>143</v>
      </c>
      <c r="O3" s="474"/>
      <c r="P3" s="474"/>
      <c r="Q3" s="474"/>
      <c r="R3" s="474"/>
      <c r="S3" s="474"/>
      <c r="T3" s="474"/>
      <c r="U3" s="475"/>
    </row>
    <row r="4" spans="2:26" ht="15" customHeight="1" x14ac:dyDescent="0.25">
      <c r="B4" s="491"/>
      <c r="C4" s="492"/>
      <c r="D4" s="492"/>
      <c r="E4" s="492"/>
      <c r="F4" s="492"/>
      <c r="G4" s="492"/>
      <c r="H4" s="493"/>
      <c r="I4" s="68" t="s">
        <v>5</v>
      </c>
      <c r="J4" s="69" t="s">
        <v>53</v>
      </c>
      <c r="K4" s="69"/>
      <c r="L4" s="69"/>
      <c r="M4" s="70"/>
      <c r="N4" s="476"/>
      <c r="O4" s="477"/>
      <c r="P4" s="477"/>
      <c r="Q4" s="477"/>
      <c r="R4" s="477"/>
      <c r="S4" s="477"/>
      <c r="T4" s="477"/>
      <c r="U4" s="478"/>
    </row>
    <row r="5" spans="2:26" ht="15" customHeight="1" x14ac:dyDescent="0.25">
      <c r="B5" s="491"/>
      <c r="C5" s="492"/>
      <c r="D5" s="492"/>
      <c r="E5" s="492"/>
      <c r="F5" s="492"/>
      <c r="G5" s="492"/>
      <c r="H5" s="493"/>
      <c r="I5" s="68" t="s">
        <v>47</v>
      </c>
      <c r="J5" s="69" t="s">
        <v>54</v>
      </c>
      <c r="K5" s="69"/>
      <c r="L5" s="69"/>
      <c r="M5" s="70"/>
      <c r="N5" s="479"/>
      <c r="O5" s="480"/>
      <c r="P5" s="480"/>
      <c r="Q5" s="480"/>
      <c r="R5" s="480"/>
      <c r="S5" s="480"/>
      <c r="T5" s="480"/>
      <c r="U5" s="481"/>
    </row>
    <row r="6" spans="2:26" ht="15" customHeight="1" x14ac:dyDescent="0.25">
      <c r="B6" s="494"/>
      <c r="C6" s="495"/>
      <c r="D6" s="495"/>
      <c r="E6" s="495"/>
      <c r="F6" s="495"/>
      <c r="G6" s="495"/>
      <c r="H6" s="496"/>
      <c r="I6" s="71" t="s">
        <v>48</v>
      </c>
      <c r="J6" s="72" t="s">
        <v>144</v>
      </c>
      <c r="K6" s="72"/>
      <c r="L6" s="72"/>
      <c r="M6" s="73"/>
      <c r="N6" s="502" t="s">
        <v>51</v>
      </c>
      <c r="O6" s="503"/>
      <c r="P6" s="502" t="s">
        <v>40</v>
      </c>
      <c r="Q6" s="503"/>
      <c r="R6" s="502" t="s">
        <v>39</v>
      </c>
      <c r="S6" s="503"/>
      <c r="T6" s="502" t="s">
        <v>38</v>
      </c>
      <c r="U6" s="503"/>
    </row>
    <row r="7" spans="2:26" ht="15" customHeight="1" x14ac:dyDescent="0.25">
      <c r="B7" s="48"/>
      <c r="U7" s="18"/>
    </row>
    <row r="8" spans="2:26" s="4" customFormat="1" ht="21.95" customHeight="1" x14ac:dyDescent="0.25">
      <c r="B8" s="49" t="s">
        <v>8</v>
      </c>
      <c r="C8" s="42"/>
      <c r="D8" s="42"/>
      <c r="E8" s="42"/>
      <c r="F8" s="42"/>
      <c r="G8" s="94" t="s">
        <v>231</v>
      </c>
      <c r="H8" s="5"/>
      <c r="I8" s="5"/>
      <c r="J8" s="5"/>
      <c r="U8" s="20"/>
    </row>
    <row r="9" spans="2:26" s="4" customFormat="1" ht="21.95" customHeight="1" x14ac:dyDescent="0.25">
      <c r="B9" s="50" t="s">
        <v>9</v>
      </c>
      <c r="C9" s="43"/>
      <c r="D9" s="43"/>
      <c r="E9" s="43"/>
      <c r="F9" s="43"/>
      <c r="G9" s="93" t="s">
        <v>232</v>
      </c>
      <c r="H9" s="6"/>
      <c r="I9" s="6"/>
      <c r="J9" s="6"/>
      <c r="U9" s="20"/>
    </row>
    <row r="10" spans="2:26" s="4" customFormat="1" ht="15" customHeight="1" x14ac:dyDescent="0.25">
      <c r="B10" s="19"/>
      <c r="C10" s="25"/>
      <c r="D10" s="25"/>
      <c r="E10" s="25"/>
      <c r="F10" s="25"/>
      <c r="G10" s="12"/>
      <c r="U10" s="20"/>
    </row>
    <row r="11" spans="2:26" ht="24.95" customHeight="1" x14ac:dyDescent="0.25">
      <c r="B11" s="51" t="s">
        <v>55</v>
      </c>
      <c r="U11" s="18"/>
    </row>
    <row r="12" spans="2:26" s="7" customFormat="1" ht="24.95" customHeight="1" x14ac:dyDescent="0.25">
      <c r="B12" s="39" t="s">
        <v>1</v>
      </c>
      <c r="C12" s="445" t="s">
        <v>5</v>
      </c>
      <c r="D12" s="499"/>
      <c r="E12" s="499"/>
      <c r="F12" s="446"/>
      <c r="G12" s="451" t="s">
        <v>4</v>
      </c>
      <c r="H12" s="453"/>
      <c r="I12" s="451" t="s">
        <v>43</v>
      </c>
      <c r="J12" s="452"/>
      <c r="K12" s="451" t="s">
        <v>2</v>
      </c>
      <c r="L12" s="453"/>
      <c r="M12" s="456" t="s">
        <v>3</v>
      </c>
      <c r="N12" s="456"/>
      <c r="O12" s="456"/>
      <c r="P12" s="456"/>
      <c r="Q12" s="456"/>
      <c r="R12" s="16"/>
      <c r="S12" s="16"/>
      <c r="T12" s="16"/>
      <c r="U12" s="21"/>
      <c r="V12" s="16"/>
      <c r="W12" s="16"/>
      <c r="X12" s="16"/>
      <c r="Y12" s="504"/>
      <c r="Z12" s="504"/>
    </row>
    <row r="13" spans="2:26" ht="24.95" customHeight="1" x14ac:dyDescent="0.25">
      <c r="B13" s="15">
        <v>1</v>
      </c>
      <c r="C13" s="92">
        <v>45530</v>
      </c>
      <c r="D13" s="378" t="s">
        <v>6</v>
      </c>
      <c r="E13" s="378"/>
      <c r="F13" s="91">
        <v>45569</v>
      </c>
      <c r="G13" s="442" t="s">
        <v>233</v>
      </c>
      <c r="H13" s="443"/>
      <c r="I13" s="442" t="s">
        <v>234</v>
      </c>
      <c r="J13" s="443"/>
      <c r="K13" s="444">
        <v>5533</v>
      </c>
      <c r="L13" s="443"/>
      <c r="M13" s="90" t="s">
        <v>235</v>
      </c>
      <c r="N13" s="81"/>
      <c r="O13" s="81"/>
      <c r="P13" s="81"/>
      <c r="Q13" s="82"/>
      <c r="U13" s="18"/>
    </row>
    <row r="14" spans="2:26" ht="24.95" customHeight="1" x14ac:dyDescent="0.25">
      <c r="B14" s="15">
        <v>2</v>
      </c>
      <c r="C14" s="92">
        <v>45530</v>
      </c>
      <c r="D14" s="378" t="s">
        <v>6</v>
      </c>
      <c r="E14" s="378"/>
      <c r="F14" s="91">
        <v>45569</v>
      </c>
      <c r="G14" s="442" t="s">
        <v>233</v>
      </c>
      <c r="H14" s="443"/>
      <c r="I14" s="442" t="s">
        <v>146</v>
      </c>
      <c r="J14" s="443"/>
      <c r="K14" s="444">
        <v>13647</v>
      </c>
      <c r="L14" s="443"/>
      <c r="M14" s="90" t="s">
        <v>236</v>
      </c>
      <c r="N14" s="81"/>
      <c r="O14" s="81"/>
      <c r="P14" s="81"/>
      <c r="Q14" s="82"/>
      <c r="U14" s="18"/>
    </row>
    <row r="15" spans="2:26" ht="24.95" customHeight="1" x14ac:dyDescent="0.25">
      <c r="B15" s="15">
        <v>3</v>
      </c>
      <c r="C15" s="92"/>
      <c r="D15" s="378" t="s">
        <v>6</v>
      </c>
      <c r="E15" s="378"/>
      <c r="F15" s="91"/>
      <c r="G15" s="442"/>
      <c r="H15" s="443"/>
      <c r="I15" s="442"/>
      <c r="J15" s="443"/>
      <c r="K15" s="444"/>
      <c r="L15" s="443"/>
      <c r="M15" s="90"/>
      <c r="N15" s="81"/>
      <c r="O15" s="81"/>
      <c r="P15" s="81"/>
      <c r="Q15" s="82"/>
      <c r="U15" s="18"/>
    </row>
    <row r="16" spans="2:26" ht="24.95" customHeight="1" x14ac:dyDescent="0.25">
      <c r="B16" s="15">
        <v>4</v>
      </c>
      <c r="C16" s="92"/>
      <c r="D16" s="378" t="s">
        <v>6</v>
      </c>
      <c r="E16" s="378"/>
      <c r="F16" s="91"/>
      <c r="G16" s="442"/>
      <c r="H16" s="443"/>
      <c r="I16" s="442"/>
      <c r="J16" s="443"/>
      <c r="K16" s="444"/>
      <c r="L16" s="443"/>
      <c r="M16" s="90"/>
      <c r="N16" s="81"/>
      <c r="O16" s="81"/>
      <c r="P16" s="81"/>
      <c r="Q16" s="82"/>
      <c r="U16" s="18"/>
    </row>
    <row r="17" spans="2:23" ht="15" customHeight="1" x14ac:dyDescent="0.25">
      <c r="B17" s="10"/>
      <c r="U17" s="18"/>
    </row>
    <row r="18" spans="2:23" ht="20.100000000000001" customHeight="1" x14ac:dyDescent="0.25">
      <c r="B18" s="51" t="s">
        <v>89</v>
      </c>
      <c r="U18" s="18"/>
    </row>
    <row r="19" spans="2:23" ht="20.100000000000001" customHeight="1" x14ac:dyDescent="0.25">
      <c r="B19" s="52" t="s">
        <v>59</v>
      </c>
      <c r="K19" s="22" t="s">
        <v>60</v>
      </c>
      <c r="L19" s="22"/>
      <c r="U19" s="18"/>
    </row>
    <row r="20" spans="2:23" s="3" customFormat="1" ht="20.100000000000001" customHeight="1" thickBot="1" x14ac:dyDescent="0.3">
      <c r="B20" s="343" t="s">
        <v>1</v>
      </c>
      <c r="C20" s="482" t="s">
        <v>5</v>
      </c>
      <c r="D20" s="483"/>
      <c r="E20" s="451" t="s">
        <v>136</v>
      </c>
      <c r="F20" s="452"/>
      <c r="G20" s="453"/>
      <c r="H20" s="451" t="s">
        <v>42</v>
      </c>
      <c r="I20" s="453"/>
      <c r="J20" s="4"/>
      <c r="K20" s="346" t="s">
        <v>1</v>
      </c>
      <c r="L20" s="359" t="s">
        <v>5</v>
      </c>
      <c r="M20" s="361"/>
      <c r="N20" s="484" t="s">
        <v>10</v>
      </c>
      <c r="O20" s="485"/>
      <c r="P20" s="485"/>
      <c r="Q20" s="486"/>
      <c r="R20" s="484" t="s">
        <v>42</v>
      </c>
      <c r="S20" s="485"/>
      <c r="T20" s="485"/>
      <c r="U20" s="486"/>
      <c r="V20" s="8"/>
      <c r="W20" s="8"/>
    </row>
    <row r="21" spans="2:23" s="3" customFormat="1" ht="20.100000000000001" customHeight="1" thickTop="1" thickBot="1" x14ac:dyDescent="0.3">
      <c r="B21" s="472"/>
      <c r="C21" s="497"/>
      <c r="D21" s="498"/>
      <c r="E21" s="458" t="s">
        <v>31</v>
      </c>
      <c r="F21" s="459"/>
      <c r="G21" s="41" t="s">
        <v>32</v>
      </c>
      <c r="H21" s="40" t="s">
        <v>31</v>
      </c>
      <c r="I21" s="36" t="s">
        <v>32</v>
      </c>
      <c r="J21" s="4"/>
      <c r="K21" s="347"/>
      <c r="L21" s="362"/>
      <c r="M21" s="364"/>
      <c r="N21" s="482" t="s">
        <v>31</v>
      </c>
      <c r="O21" s="483"/>
      <c r="P21" s="482" t="s">
        <v>32</v>
      </c>
      <c r="Q21" s="483"/>
      <c r="R21" s="482" t="s">
        <v>31</v>
      </c>
      <c r="S21" s="483"/>
      <c r="T21" s="482" t="s">
        <v>32</v>
      </c>
      <c r="U21" s="483"/>
      <c r="V21" s="8"/>
      <c r="W21" s="8"/>
    </row>
    <row r="22" spans="2:23" ht="24.95" customHeight="1" thickTop="1" x14ac:dyDescent="0.25">
      <c r="B22" s="87">
        <v>1</v>
      </c>
      <c r="C22" s="507"/>
      <c r="D22" s="508"/>
      <c r="E22" s="500"/>
      <c r="F22" s="501"/>
      <c r="G22" s="89"/>
      <c r="H22" s="88"/>
      <c r="I22" s="87"/>
      <c r="J22" s="12"/>
      <c r="K22" s="87">
        <v>1</v>
      </c>
      <c r="L22" s="454"/>
      <c r="M22" s="455"/>
      <c r="N22" s="460"/>
      <c r="O22" s="487"/>
      <c r="P22" s="460"/>
      <c r="Q22" s="461"/>
      <c r="R22" s="460"/>
      <c r="S22" s="461"/>
      <c r="T22" s="460"/>
      <c r="U22" s="461"/>
      <c r="V22" s="8"/>
      <c r="W22" s="8"/>
    </row>
    <row r="23" spans="2:23" ht="24.95" customHeight="1" x14ac:dyDescent="0.25">
      <c r="B23" s="15">
        <v>2</v>
      </c>
      <c r="C23" s="505"/>
      <c r="D23" s="506"/>
      <c r="E23" s="377"/>
      <c r="F23" s="466"/>
      <c r="G23" s="85"/>
      <c r="H23" s="86"/>
      <c r="I23" s="85"/>
      <c r="J23" s="12"/>
      <c r="K23" s="15">
        <v>2</v>
      </c>
      <c r="L23" s="470"/>
      <c r="M23" s="471"/>
      <c r="N23" s="464"/>
      <c r="O23" s="465"/>
      <c r="P23" s="377"/>
      <c r="Q23" s="466"/>
      <c r="R23" s="377"/>
      <c r="S23" s="466"/>
      <c r="T23" s="377"/>
      <c r="U23" s="466"/>
    </row>
    <row r="24" spans="2:23" ht="15" customHeight="1" x14ac:dyDescent="0.25">
      <c r="B24" s="10"/>
      <c r="U24" s="18"/>
    </row>
    <row r="25" spans="2:23" ht="20.100000000000001" customHeight="1" x14ac:dyDescent="0.25">
      <c r="B25" s="19" t="s">
        <v>61</v>
      </c>
      <c r="C25" s="13"/>
      <c r="D25" s="13"/>
      <c r="E25" s="13"/>
      <c r="F25" s="13"/>
      <c r="G25" s="12"/>
      <c r="H25" s="12"/>
      <c r="I25" s="12"/>
      <c r="J25" s="12"/>
      <c r="K25" s="12"/>
      <c r="L25" s="12"/>
      <c r="M25" s="12"/>
      <c r="N25" s="12"/>
      <c r="O25" s="12"/>
      <c r="P25" s="12"/>
      <c r="Q25" s="12"/>
      <c r="R25" s="12"/>
      <c r="S25" s="12"/>
      <c r="T25" s="12"/>
      <c r="U25" s="53"/>
    </row>
    <row r="26" spans="2:23" s="3" customFormat="1" ht="20.100000000000001" customHeight="1" x14ac:dyDescent="0.25">
      <c r="B26" s="346" t="s">
        <v>1</v>
      </c>
      <c r="C26" s="359" t="s">
        <v>5</v>
      </c>
      <c r="D26" s="360"/>
      <c r="E26" s="360"/>
      <c r="F26" s="361"/>
      <c r="G26" s="445" t="s">
        <v>11</v>
      </c>
      <c r="H26" s="446"/>
      <c r="I26" s="456" t="s">
        <v>57</v>
      </c>
      <c r="J26" s="451" t="s">
        <v>12</v>
      </c>
      <c r="K26" s="452"/>
      <c r="L26" s="452"/>
      <c r="M26" s="453"/>
      <c r="N26" s="468" t="s">
        <v>56</v>
      </c>
      <c r="O26" s="468"/>
      <c r="P26" s="468"/>
      <c r="Q26" s="468"/>
      <c r="R26" s="468"/>
      <c r="S26" s="468"/>
      <c r="T26" s="468"/>
      <c r="U26" s="468"/>
      <c r="V26" s="8"/>
      <c r="W26" s="8"/>
    </row>
    <row r="27" spans="2:23" s="3" customFormat="1" ht="20.100000000000001" customHeight="1" thickBot="1" x14ac:dyDescent="0.3">
      <c r="B27" s="347"/>
      <c r="C27" s="362"/>
      <c r="D27" s="363"/>
      <c r="E27" s="363"/>
      <c r="F27" s="364"/>
      <c r="G27" s="447"/>
      <c r="H27" s="448"/>
      <c r="I27" s="457"/>
      <c r="J27" s="458" t="s">
        <v>14</v>
      </c>
      <c r="K27" s="459"/>
      <c r="L27" s="458" t="s">
        <v>13</v>
      </c>
      <c r="M27" s="459"/>
      <c r="N27" s="469"/>
      <c r="O27" s="469"/>
      <c r="P27" s="469"/>
      <c r="Q27" s="469"/>
      <c r="R27" s="469"/>
      <c r="S27" s="469"/>
      <c r="T27" s="469"/>
      <c r="U27" s="469"/>
      <c r="V27" s="8"/>
      <c r="W27" s="8"/>
    </row>
    <row r="28" spans="2:23" ht="50.1" customHeight="1" thickTop="1" x14ac:dyDescent="0.25">
      <c r="B28" s="37">
        <v>1</v>
      </c>
      <c r="C28" s="92"/>
      <c r="D28" s="378"/>
      <c r="E28" s="378"/>
      <c r="F28" s="91"/>
      <c r="G28" s="449"/>
      <c r="H28" s="450"/>
      <c r="I28" s="84"/>
      <c r="J28" s="462"/>
      <c r="K28" s="463"/>
      <c r="L28" s="462"/>
      <c r="M28" s="450"/>
      <c r="N28" s="467" t="s">
        <v>7</v>
      </c>
      <c r="O28" s="467"/>
      <c r="P28" s="467"/>
      <c r="Q28" s="467"/>
      <c r="R28" s="467"/>
      <c r="S28" s="467"/>
      <c r="T28" s="467"/>
      <c r="U28" s="467"/>
      <c r="V28" s="8"/>
      <c r="W28" s="8"/>
    </row>
    <row r="29" spans="2:23" ht="24.95" customHeight="1" x14ac:dyDescent="0.25">
      <c r="B29" s="54" t="s">
        <v>88</v>
      </c>
      <c r="C29" s="13"/>
      <c r="D29" s="13"/>
      <c r="E29" s="13"/>
      <c r="F29" s="13"/>
      <c r="G29" s="12"/>
      <c r="H29" s="12"/>
      <c r="I29" s="12"/>
      <c r="J29" s="12"/>
      <c r="K29" s="12"/>
      <c r="L29" s="12"/>
      <c r="M29" s="12"/>
      <c r="N29" s="12"/>
      <c r="O29" s="12"/>
      <c r="U29" s="18"/>
    </row>
    <row r="30" spans="2:23" s="9" customFormat="1" ht="20.100000000000001" customHeight="1" x14ac:dyDescent="0.25">
      <c r="B30" s="27" t="s">
        <v>65</v>
      </c>
      <c r="C30" s="386" t="s">
        <v>110</v>
      </c>
      <c r="D30" s="386"/>
      <c r="E30" s="386"/>
      <c r="F30" s="386"/>
      <c r="G30" s="386"/>
      <c r="H30" s="386"/>
      <c r="I30" s="386"/>
      <c r="J30" s="356" t="s">
        <v>66</v>
      </c>
      <c r="K30" s="357"/>
      <c r="L30" s="358"/>
      <c r="M30" s="356" t="s">
        <v>67</v>
      </c>
      <c r="N30" s="357"/>
      <c r="O30" s="358"/>
      <c r="P30" s="386" t="s">
        <v>30</v>
      </c>
      <c r="Q30" s="386"/>
      <c r="R30" s="386"/>
      <c r="U30" s="23"/>
    </row>
    <row r="31" spans="2:23" s="26" customFormat="1" ht="17.100000000000001" customHeight="1" x14ac:dyDescent="0.25">
      <c r="B31" s="38">
        <v>1</v>
      </c>
      <c r="C31" s="388" t="s">
        <v>15</v>
      </c>
      <c r="D31" s="388"/>
      <c r="E31" s="388"/>
      <c r="F31" s="388"/>
      <c r="G31" s="388"/>
      <c r="H31" s="388"/>
      <c r="I31" s="388"/>
      <c r="J31" s="433" t="s">
        <v>27</v>
      </c>
      <c r="K31" s="434"/>
      <c r="L31" s="435"/>
      <c r="M31" s="433" t="s">
        <v>27</v>
      </c>
      <c r="N31" s="434"/>
      <c r="O31" s="435"/>
      <c r="P31" s="437" t="s">
        <v>27</v>
      </c>
      <c r="Q31" s="437"/>
      <c r="R31" s="437"/>
      <c r="U31" s="55"/>
    </row>
    <row r="32" spans="2:23" s="26" customFormat="1" ht="17.100000000000001" customHeight="1" x14ac:dyDescent="0.25">
      <c r="B32" s="38">
        <v>2</v>
      </c>
      <c r="C32" s="388" t="s">
        <v>16</v>
      </c>
      <c r="D32" s="388"/>
      <c r="E32" s="388"/>
      <c r="F32" s="388"/>
      <c r="G32" s="388"/>
      <c r="H32" s="388"/>
      <c r="I32" s="388"/>
      <c r="J32" s="433" t="s">
        <v>27</v>
      </c>
      <c r="K32" s="434"/>
      <c r="L32" s="435"/>
      <c r="M32" s="433" t="s">
        <v>27</v>
      </c>
      <c r="N32" s="434"/>
      <c r="O32" s="435"/>
      <c r="P32" s="437" t="s">
        <v>27</v>
      </c>
      <c r="Q32" s="437"/>
      <c r="R32" s="437"/>
      <c r="U32" s="55"/>
    </row>
    <row r="33" spans="2:21" s="26" customFormat="1" ht="17.100000000000001" customHeight="1" x14ac:dyDescent="0.25">
      <c r="B33" s="38">
        <v>3</v>
      </c>
      <c r="C33" s="436" t="s">
        <v>105</v>
      </c>
      <c r="D33" s="436"/>
      <c r="E33" s="436"/>
      <c r="F33" s="436"/>
      <c r="G33" s="436"/>
      <c r="H33" s="436"/>
      <c r="I33" s="436"/>
      <c r="J33" s="433" t="s">
        <v>27</v>
      </c>
      <c r="K33" s="434"/>
      <c r="L33" s="435"/>
      <c r="M33" s="433" t="s">
        <v>27</v>
      </c>
      <c r="N33" s="434"/>
      <c r="O33" s="435"/>
      <c r="P33" s="437" t="s">
        <v>27</v>
      </c>
      <c r="Q33" s="437"/>
      <c r="R33" s="437"/>
      <c r="U33" s="55"/>
    </row>
    <row r="34" spans="2:21" s="26" customFormat="1" ht="17.100000000000001" customHeight="1" x14ac:dyDescent="0.25">
      <c r="B34" s="38">
        <v>4</v>
      </c>
      <c r="C34" s="388" t="s">
        <v>17</v>
      </c>
      <c r="D34" s="388"/>
      <c r="E34" s="388"/>
      <c r="F34" s="388"/>
      <c r="G34" s="388"/>
      <c r="H34" s="388"/>
      <c r="I34" s="388"/>
      <c r="J34" s="433" t="s">
        <v>27</v>
      </c>
      <c r="K34" s="434"/>
      <c r="L34" s="435"/>
      <c r="M34" s="433" t="s">
        <v>27</v>
      </c>
      <c r="N34" s="434"/>
      <c r="O34" s="435"/>
      <c r="P34" s="437" t="s">
        <v>27</v>
      </c>
      <c r="Q34" s="437"/>
      <c r="R34" s="437"/>
      <c r="U34" s="55"/>
    </row>
    <row r="35" spans="2:21" s="26" customFormat="1" ht="17.100000000000001" customHeight="1" x14ac:dyDescent="0.25">
      <c r="B35" s="38">
        <v>5</v>
      </c>
      <c r="C35" s="388" t="s">
        <v>18</v>
      </c>
      <c r="D35" s="388"/>
      <c r="E35" s="388"/>
      <c r="F35" s="388"/>
      <c r="G35" s="388"/>
      <c r="H35" s="388"/>
      <c r="I35" s="388"/>
      <c r="J35" s="433" t="s">
        <v>27</v>
      </c>
      <c r="K35" s="434"/>
      <c r="L35" s="435"/>
      <c r="M35" s="433" t="s">
        <v>27</v>
      </c>
      <c r="N35" s="434"/>
      <c r="O35" s="435"/>
      <c r="P35" s="437" t="s">
        <v>27</v>
      </c>
      <c r="Q35" s="437"/>
      <c r="R35" s="437"/>
      <c r="U35" s="55"/>
    </row>
    <row r="36" spans="2:21" s="26" customFormat="1" ht="17.100000000000001" customHeight="1" x14ac:dyDescent="0.25">
      <c r="B36" s="38">
        <v>6</v>
      </c>
      <c r="C36" s="436" t="s">
        <v>106</v>
      </c>
      <c r="D36" s="436"/>
      <c r="E36" s="436"/>
      <c r="F36" s="436"/>
      <c r="G36" s="436"/>
      <c r="H36" s="436"/>
      <c r="I36" s="436"/>
      <c r="J36" s="433" t="s">
        <v>27</v>
      </c>
      <c r="K36" s="434"/>
      <c r="L36" s="435"/>
      <c r="M36" s="433" t="s">
        <v>27</v>
      </c>
      <c r="N36" s="434"/>
      <c r="O36" s="435"/>
      <c r="P36" s="437" t="s">
        <v>27</v>
      </c>
      <c r="Q36" s="437"/>
      <c r="R36" s="437"/>
      <c r="U36" s="55"/>
    </row>
    <row r="37" spans="2:21" s="26" customFormat="1" ht="35.1" customHeight="1" x14ac:dyDescent="0.25">
      <c r="B37" s="38">
        <v>7</v>
      </c>
      <c r="C37" s="388" t="s">
        <v>19</v>
      </c>
      <c r="D37" s="388"/>
      <c r="E37" s="388"/>
      <c r="F37" s="388"/>
      <c r="G37" s="388"/>
      <c r="H37" s="388"/>
      <c r="I37" s="388"/>
      <c r="J37" s="392" t="s">
        <v>107</v>
      </c>
      <c r="K37" s="393"/>
      <c r="L37" s="394"/>
      <c r="M37" s="392" t="s">
        <v>108</v>
      </c>
      <c r="N37" s="393"/>
      <c r="O37" s="394"/>
      <c r="P37" s="398" t="s">
        <v>108</v>
      </c>
      <c r="Q37" s="398"/>
      <c r="R37" s="398"/>
      <c r="U37" s="55"/>
    </row>
    <row r="38" spans="2:21" s="26" customFormat="1" ht="35.1" customHeight="1" x14ac:dyDescent="0.25">
      <c r="B38" s="38">
        <v>8</v>
      </c>
      <c r="C38" s="388" t="s">
        <v>20</v>
      </c>
      <c r="D38" s="388"/>
      <c r="E38" s="388"/>
      <c r="F38" s="388"/>
      <c r="G38" s="388"/>
      <c r="H38" s="388"/>
      <c r="I38" s="388"/>
      <c r="J38" s="382" t="s">
        <v>28</v>
      </c>
      <c r="K38" s="383"/>
      <c r="L38" s="384"/>
      <c r="M38" s="392" t="s">
        <v>109</v>
      </c>
      <c r="N38" s="393"/>
      <c r="O38" s="394"/>
      <c r="P38" s="398" t="s">
        <v>109</v>
      </c>
      <c r="Q38" s="398"/>
      <c r="R38" s="398"/>
      <c r="U38" s="55"/>
    </row>
    <row r="39" spans="2:21" s="26" customFormat="1" ht="17.100000000000001" customHeight="1" x14ac:dyDescent="0.25">
      <c r="B39" s="38">
        <v>9</v>
      </c>
      <c r="C39" s="388" t="s">
        <v>21</v>
      </c>
      <c r="D39" s="388"/>
      <c r="E39" s="388"/>
      <c r="F39" s="388"/>
      <c r="G39" s="388"/>
      <c r="H39" s="388"/>
      <c r="I39" s="388"/>
      <c r="J39" s="382" t="s">
        <v>28</v>
      </c>
      <c r="K39" s="383"/>
      <c r="L39" s="384"/>
      <c r="M39" s="382" t="s">
        <v>28</v>
      </c>
      <c r="N39" s="383"/>
      <c r="O39" s="384"/>
      <c r="P39" s="399" t="s">
        <v>28</v>
      </c>
      <c r="Q39" s="399"/>
      <c r="R39" s="399"/>
      <c r="U39" s="55"/>
    </row>
    <row r="40" spans="2:21" s="26" customFormat="1" ht="17.100000000000001" customHeight="1" x14ac:dyDescent="0.25">
      <c r="B40" s="38">
        <v>10</v>
      </c>
      <c r="C40" s="388" t="s">
        <v>22</v>
      </c>
      <c r="D40" s="388"/>
      <c r="E40" s="388"/>
      <c r="F40" s="388"/>
      <c r="G40" s="388"/>
      <c r="H40" s="388"/>
      <c r="I40" s="388"/>
      <c r="J40" s="382" t="s">
        <v>28</v>
      </c>
      <c r="K40" s="383"/>
      <c r="L40" s="384"/>
      <c r="M40" s="382" t="s">
        <v>28</v>
      </c>
      <c r="N40" s="383"/>
      <c r="O40" s="384"/>
      <c r="P40" s="399" t="s">
        <v>28</v>
      </c>
      <c r="Q40" s="399"/>
      <c r="R40" s="399"/>
      <c r="U40" s="55"/>
    </row>
    <row r="41" spans="2:21" s="26" customFormat="1" ht="17.100000000000001" customHeight="1" x14ac:dyDescent="0.25">
      <c r="B41" s="38">
        <v>11</v>
      </c>
      <c r="C41" s="388" t="s">
        <v>23</v>
      </c>
      <c r="D41" s="388"/>
      <c r="E41" s="388"/>
      <c r="F41" s="388"/>
      <c r="G41" s="388"/>
      <c r="H41" s="388"/>
      <c r="I41" s="388"/>
      <c r="J41" s="382" t="s">
        <v>28</v>
      </c>
      <c r="K41" s="383"/>
      <c r="L41" s="384"/>
      <c r="M41" s="382" t="s">
        <v>28</v>
      </c>
      <c r="N41" s="383"/>
      <c r="O41" s="384"/>
      <c r="P41" s="399" t="s">
        <v>28</v>
      </c>
      <c r="Q41" s="399"/>
      <c r="R41" s="399"/>
      <c r="U41" s="55"/>
    </row>
    <row r="42" spans="2:21" s="26" customFormat="1" ht="17.100000000000001" customHeight="1" x14ac:dyDescent="0.25">
      <c r="B42" s="38">
        <v>12</v>
      </c>
      <c r="C42" s="388" t="s">
        <v>24</v>
      </c>
      <c r="D42" s="388"/>
      <c r="E42" s="388"/>
      <c r="F42" s="388"/>
      <c r="G42" s="388"/>
      <c r="H42" s="388"/>
      <c r="I42" s="388"/>
      <c r="J42" s="382" t="s">
        <v>28</v>
      </c>
      <c r="K42" s="383"/>
      <c r="L42" s="384"/>
      <c r="M42" s="382" t="s">
        <v>28</v>
      </c>
      <c r="N42" s="383"/>
      <c r="O42" s="384"/>
      <c r="P42" s="399" t="s">
        <v>28</v>
      </c>
      <c r="Q42" s="399"/>
      <c r="R42" s="399"/>
      <c r="U42" s="55"/>
    </row>
    <row r="43" spans="2:21" s="26" customFormat="1" ht="17.100000000000001" customHeight="1" x14ac:dyDescent="0.25">
      <c r="B43" s="38">
        <v>13</v>
      </c>
      <c r="C43" s="388" t="s">
        <v>25</v>
      </c>
      <c r="D43" s="388"/>
      <c r="E43" s="388"/>
      <c r="F43" s="388"/>
      <c r="G43" s="388"/>
      <c r="H43" s="388"/>
      <c r="I43" s="388"/>
      <c r="J43" s="382" t="s">
        <v>29</v>
      </c>
      <c r="K43" s="383"/>
      <c r="L43" s="384"/>
      <c r="M43" s="382" t="s">
        <v>29</v>
      </c>
      <c r="N43" s="383"/>
      <c r="O43" s="384"/>
      <c r="P43" s="399" t="s">
        <v>29</v>
      </c>
      <c r="Q43" s="399"/>
      <c r="R43" s="399"/>
      <c r="U43" s="55"/>
    </row>
    <row r="44" spans="2:21" s="26" customFormat="1" ht="17.100000000000001" customHeight="1" x14ac:dyDescent="0.25">
      <c r="B44" s="38">
        <v>14</v>
      </c>
      <c r="C44" s="388" t="s">
        <v>26</v>
      </c>
      <c r="D44" s="388"/>
      <c r="E44" s="388"/>
      <c r="F44" s="388"/>
      <c r="G44" s="388"/>
      <c r="H44" s="388"/>
      <c r="I44" s="388"/>
      <c r="J44" s="382" t="s">
        <v>28</v>
      </c>
      <c r="K44" s="383"/>
      <c r="L44" s="384"/>
      <c r="M44" s="382" t="s">
        <v>28</v>
      </c>
      <c r="N44" s="383"/>
      <c r="O44" s="384"/>
      <c r="P44" s="399" t="s">
        <v>28</v>
      </c>
      <c r="Q44" s="399"/>
      <c r="R44" s="399"/>
      <c r="U44" s="55"/>
    </row>
    <row r="45" spans="2:21" ht="24.95" customHeight="1" x14ac:dyDescent="0.25">
      <c r="B45" s="54" t="s">
        <v>137</v>
      </c>
      <c r="C45" s="13"/>
      <c r="D45" s="13"/>
      <c r="E45" s="13"/>
      <c r="F45" s="13"/>
      <c r="G45" s="12"/>
      <c r="H45" s="12"/>
      <c r="I45" s="12"/>
      <c r="J45" s="12"/>
      <c r="K45" s="12"/>
      <c r="L45" s="12"/>
      <c r="M45" s="12"/>
      <c r="N45" s="12"/>
      <c r="O45" s="12"/>
      <c r="U45" s="18"/>
    </row>
    <row r="46" spans="2:21" s="30" customFormat="1" ht="17.100000000000001" customHeight="1" x14ac:dyDescent="0.25">
      <c r="B46" s="386" t="s">
        <v>33</v>
      </c>
      <c r="C46" s="386"/>
      <c r="D46" s="386" t="s">
        <v>80</v>
      </c>
      <c r="E46" s="386"/>
      <c r="F46" s="386"/>
      <c r="G46" s="386"/>
      <c r="H46" s="385" t="s">
        <v>85</v>
      </c>
      <c r="I46" s="385"/>
      <c r="J46" s="385"/>
      <c r="K46" s="385" t="s">
        <v>86</v>
      </c>
      <c r="L46" s="385"/>
      <c r="M46" s="385"/>
      <c r="N46" s="385"/>
      <c r="O46" s="385"/>
      <c r="U46" s="56"/>
    </row>
    <row r="47" spans="2:21" s="11" customFormat="1" ht="17.100000000000001" customHeight="1" x14ac:dyDescent="0.25">
      <c r="B47" s="387" t="s">
        <v>81</v>
      </c>
      <c r="C47" s="387"/>
      <c r="D47" s="387" t="s">
        <v>83</v>
      </c>
      <c r="E47" s="387"/>
      <c r="F47" s="387"/>
      <c r="G47" s="387"/>
      <c r="H47" s="389" t="s">
        <v>83</v>
      </c>
      <c r="I47" s="389"/>
      <c r="J47" s="389"/>
      <c r="K47" s="389" t="s">
        <v>87</v>
      </c>
      <c r="L47" s="389"/>
      <c r="M47" s="389"/>
      <c r="N47" s="389"/>
      <c r="O47" s="389"/>
      <c r="U47" s="57"/>
    </row>
    <row r="48" spans="2:21" s="11" customFormat="1" ht="17.100000000000001" customHeight="1" x14ac:dyDescent="0.25">
      <c r="B48" s="387" t="s">
        <v>82</v>
      </c>
      <c r="C48" s="387"/>
      <c r="D48" s="387" t="s">
        <v>84</v>
      </c>
      <c r="E48" s="387"/>
      <c r="F48" s="387"/>
      <c r="G48" s="387"/>
      <c r="H48" s="389" t="s">
        <v>83</v>
      </c>
      <c r="I48" s="389"/>
      <c r="J48" s="389"/>
      <c r="K48" s="389" t="s">
        <v>83</v>
      </c>
      <c r="L48" s="389"/>
      <c r="M48" s="389"/>
      <c r="N48" s="389"/>
      <c r="O48" s="389"/>
      <c r="U48" s="57"/>
    </row>
    <row r="49" spans="2:21" s="26" customFormat="1" ht="15" customHeight="1" x14ac:dyDescent="0.25">
      <c r="B49" s="35"/>
      <c r="C49" s="29"/>
      <c r="D49" s="29"/>
      <c r="E49" s="29"/>
      <c r="F49" s="29"/>
      <c r="G49" s="29"/>
      <c r="H49" s="29"/>
      <c r="I49" s="29"/>
      <c r="J49" s="28"/>
      <c r="K49" s="28"/>
      <c r="L49" s="28"/>
      <c r="M49" s="28"/>
      <c r="N49" s="28"/>
      <c r="O49" s="28"/>
      <c r="U49" s="55"/>
    </row>
    <row r="50" spans="2:21" ht="20.100000000000001" customHeight="1" x14ac:dyDescent="0.25">
      <c r="B50" s="51" t="s">
        <v>58</v>
      </c>
      <c r="U50" s="18"/>
    </row>
    <row r="51" spans="2:21" s="25" customFormat="1" ht="20.100000000000001" customHeight="1" x14ac:dyDescent="0.25">
      <c r="B51" s="346" t="s">
        <v>1</v>
      </c>
      <c r="C51" s="359" t="s">
        <v>34</v>
      </c>
      <c r="D51" s="360"/>
      <c r="E51" s="360"/>
      <c r="F51" s="361"/>
      <c r="G51" s="359" t="s">
        <v>35</v>
      </c>
      <c r="H51" s="360"/>
      <c r="I51" s="360"/>
      <c r="J51" s="360"/>
      <c r="K51" s="361"/>
      <c r="L51" s="400" t="s">
        <v>104</v>
      </c>
      <c r="M51" s="400"/>
      <c r="N51" s="400"/>
      <c r="O51" s="400"/>
      <c r="P51" s="400"/>
      <c r="Q51" s="400"/>
      <c r="R51" s="400"/>
      <c r="S51" s="400"/>
      <c r="U51" s="58"/>
    </row>
    <row r="52" spans="2:21" s="25" customFormat="1" ht="20.100000000000001" customHeight="1" thickBot="1" x14ac:dyDescent="0.3">
      <c r="B52" s="347"/>
      <c r="C52" s="362"/>
      <c r="D52" s="363"/>
      <c r="E52" s="363"/>
      <c r="F52" s="364"/>
      <c r="G52" s="362"/>
      <c r="H52" s="363"/>
      <c r="I52" s="363"/>
      <c r="J52" s="363"/>
      <c r="K52" s="364"/>
      <c r="L52" s="343" t="s">
        <v>62</v>
      </c>
      <c r="M52" s="343"/>
      <c r="N52" s="343" t="s">
        <v>63</v>
      </c>
      <c r="O52" s="343"/>
      <c r="P52" s="343" t="s">
        <v>64</v>
      </c>
      <c r="Q52" s="343"/>
      <c r="R52" s="343" t="s">
        <v>99</v>
      </c>
      <c r="S52" s="343"/>
      <c r="U52" s="58"/>
    </row>
    <row r="53" spans="2:21" ht="42" customHeight="1" thickTop="1" x14ac:dyDescent="0.25">
      <c r="B53" s="37">
        <v>1</v>
      </c>
      <c r="C53" s="352"/>
      <c r="D53" s="352"/>
      <c r="E53" s="352"/>
      <c r="F53" s="352"/>
      <c r="G53" s="432"/>
      <c r="H53" s="432"/>
      <c r="I53" s="432"/>
      <c r="J53" s="432"/>
      <c r="K53" s="432"/>
      <c r="L53" s="344"/>
      <c r="M53" s="344"/>
      <c r="N53" s="344"/>
      <c r="O53" s="344"/>
      <c r="P53" s="344"/>
      <c r="Q53" s="344"/>
      <c r="R53" s="344"/>
      <c r="S53" s="344"/>
      <c r="U53" s="18"/>
    </row>
    <row r="54" spans="2:21" ht="24.95" customHeight="1" x14ac:dyDescent="0.25">
      <c r="B54" s="15">
        <v>2</v>
      </c>
      <c r="C54" s="390"/>
      <c r="D54" s="390"/>
      <c r="E54" s="390"/>
      <c r="F54" s="390"/>
      <c r="G54" s="351"/>
      <c r="H54" s="351"/>
      <c r="I54" s="351"/>
      <c r="J54" s="351"/>
      <c r="K54" s="351"/>
      <c r="L54" s="345"/>
      <c r="M54" s="345"/>
      <c r="N54" s="345"/>
      <c r="O54" s="345"/>
      <c r="P54" s="345"/>
      <c r="Q54" s="345"/>
      <c r="R54" s="345"/>
      <c r="S54" s="345"/>
      <c r="U54" s="18"/>
    </row>
    <row r="55" spans="2:21" ht="24.95" customHeight="1" x14ac:dyDescent="0.25">
      <c r="B55" s="54" t="s">
        <v>138</v>
      </c>
      <c r="U55" s="18"/>
    </row>
    <row r="56" spans="2:21" s="26" customFormat="1" ht="20.100000000000001" customHeight="1" x14ac:dyDescent="0.25">
      <c r="B56" s="356" t="s">
        <v>69</v>
      </c>
      <c r="C56" s="358"/>
      <c r="D56" s="356" t="s">
        <v>68</v>
      </c>
      <c r="E56" s="357"/>
      <c r="F56" s="357"/>
      <c r="G56" s="358"/>
      <c r="H56" s="386" t="s">
        <v>98</v>
      </c>
      <c r="I56" s="386"/>
      <c r="J56" s="386"/>
      <c r="K56" s="386"/>
      <c r="L56" s="28"/>
      <c r="M56" s="28"/>
      <c r="N56" s="28"/>
      <c r="O56" s="28"/>
      <c r="P56" s="28"/>
      <c r="Q56" s="28"/>
      <c r="U56" s="55"/>
    </row>
    <row r="57" spans="2:21" s="26" customFormat="1" ht="17.100000000000001" customHeight="1" x14ac:dyDescent="0.25">
      <c r="B57" s="365" t="s">
        <v>70</v>
      </c>
      <c r="C57" s="366"/>
      <c r="D57" s="348" t="s">
        <v>77</v>
      </c>
      <c r="E57" s="349"/>
      <c r="F57" s="349"/>
      <c r="G57" s="350"/>
      <c r="H57" s="391" t="s">
        <v>103</v>
      </c>
      <c r="I57" s="391"/>
      <c r="J57" s="391"/>
      <c r="K57" s="391"/>
      <c r="L57" s="28"/>
      <c r="M57" s="28"/>
      <c r="N57" s="28"/>
      <c r="O57" s="395" t="s">
        <v>101</v>
      </c>
      <c r="P57" s="396"/>
      <c r="Q57" s="397"/>
      <c r="U57" s="55"/>
    </row>
    <row r="58" spans="2:21" s="26" customFormat="1" ht="17.100000000000001" customHeight="1" x14ac:dyDescent="0.2">
      <c r="B58" s="365" t="s">
        <v>71</v>
      </c>
      <c r="C58" s="366"/>
      <c r="D58" s="348" t="s">
        <v>77</v>
      </c>
      <c r="E58" s="349"/>
      <c r="F58" s="349"/>
      <c r="G58" s="350"/>
      <c r="H58" s="391"/>
      <c r="I58" s="391"/>
      <c r="J58" s="391"/>
      <c r="K58" s="391"/>
      <c r="L58" s="28"/>
      <c r="M58" s="28"/>
      <c r="N58" s="28"/>
      <c r="O58" s="353"/>
      <c r="P58" s="354"/>
      <c r="Q58" s="355"/>
      <c r="U58" s="55"/>
    </row>
    <row r="59" spans="2:21" s="26" customFormat="1" ht="17.100000000000001" customHeight="1" x14ac:dyDescent="0.25">
      <c r="B59" s="365" t="s">
        <v>72</v>
      </c>
      <c r="C59" s="366"/>
      <c r="D59" s="348" t="s">
        <v>77</v>
      </c>
      <c r="E59" s="349"/>
      <c r="F59" s="349"/>
      <c r="G59" s="350"/>
      <c r="H59" s="391"/>
      <c r="I59" s="391"/>
      <c r="J59" s="391"/>
      <c r="K59" s="391"/>
      <c r="L59" s="28"/>
      <c r="M59" s="28"/>
      <c r="N59" s="28"/>
      <c r="O59" s="401"/>
      <c r="P59" s="402"/>
      <c r="Q59" s="403"/>
      <c r="U59" s="55"/>
    </row>
    <row r="60" spans="2:21" s="26" customFormat="1" ht="17.100000000000001" customHeight="1" x14ac:dyDescent="0.2">
      <c r="B60" s="365" t="s">
        <v>73</v>
      </c>
      <c r="C60" s="366"/>
      <c r="D60" s="348" t="s">
        <v>78</v>
      </c>
      <c r="E60" s="349"/>
      <c r="F60" s="349"/>
      <c r="G60" s="350"/>
      <c r="H60" s="391"/>
      <c r="I60" s="391"/>
      <c r="J60" s="391"/>
      <c r="K60" s="391"/>
      <c r="L60" s="28"/>
      <c r="M60" s="28"/>
      <c r="N60" s="28"/>
      <c r="O60" s="429"/>
      <c r="P60" s="430"/>
      <c r="Q60" s="431"/>
      <c r="U60" s="55"/>
    </row>
    <row r="61" spans="2:21" s="26" customFormat="1" ht="17.100000000000001" customHeight="1" x14ac:dyDescent="0.25">
      <c r="B61" s="365" t="s">
        <v>74</v>
      </c>
      <c r="C61" s="366"/>
      <c r="D61" s="348" t="s">
        <v>78</v>
      </c>
      <c r="E61" s="349"/>
      <c r="F61" s="349"/>
      <c r="G61" s="350"/>
      <c r="H61" s="391"/>
      <c r="I61" s="391"/>
      <c r="J61" s="391"/>
      <c r="K61" s="391"/>
      <c r="L61" s="28"/>
      <c r="M61" s="28"/>
      <c r="N61" s="28"/>
      <c r="O61" s="77" t="s">
        <v>100</v>
      </c>
      <c r="P61" s="80" t="s">
        <v>226</v>
      </c>
      <c r="Q61" s="78"/>
      <c r="U61" s="55"/>
    </row>
    <row r="62" spans="2:21" s="26" customFormat="1" ht="17.100000000000001" customHeight="1" x14ac:dyDescent="0.25">
      <c r="B62" s="365" t="s">
        <v>75</v>
      </c>
      <c r="C62" s="366"/>
      <c r="D62" s="348" t="s">
        <v>79</v>
      </c>
      <c r="E62" s="349"/>
      <c r="F62" s="349"/>
      <c r="G62" s="350"/>
      <c r="H62" s="391"/>
      <c r="I62" s="391"/>
      <c r="J62" s="391"/>
      <c r="K62" s="391"/>
      <c r="L62" s="28"/>
      <c r="M62" s="28"/>
      <c r="N62" s="28"/>
      <c r="O62" s="77" t="s">
        <v>141</v>
      </c>
      <c r="P62" s="83"/>
      <c r="Q62" s="79"/>
      <c r="U62" s="55"/>
    </row>
    <row r="63" spans="2:21" s="26" customFormat="1" ht="17.100000000000001" customHeight="1" x14ac:dyDescent="0.25">
      <c r="B63" s="365" t="s">
        <v>76</v>
      </c>
      <c r="C63" s="366"/>
      <c r="D63" s="348" t="s">
        <v>79</v>
      </c>
      <c r="E63" s="349"/>
      <c r="F63" s="349"/>
      <c r="G63" s="350"/>
      <c r="H63" s="391"/>
      <c r="I63" s="391"/>
      <c r="J63" s="391"/>
      <c r="K63" s="391"/>
      <c r="L63" s="28"/>
      <c r="M63" s="28"/>
      <c r="N63" s="28"/>
      <c r="O63" s="28"/>
      <c r="P63" s="28"/>
      <c r="U63" s="55"/>
    </row>
    <row r="64" spans="2:21" s="26" customFormat="1" ht="9.9499999999999993" customHeight="1" thickBot="1" x14ac:dyDescent="0.3">
      <c r="B64" s="59"/>
      <c r="C64" s="44"/>
      <c r="D64" s="44"/>
      <c r="E64" s="44"/>
      <c r="F64" s="44"/>
      <c r="G64" s="45"/>
      <c r="H64" s="45"/>
      <c r="I64" s="45"/>
      <c r="J64" s="45"/>
      <c r="K64" s="45"/>
      <c r="L64" s="46"/>
      <c r="M64" s="46"/>
      <c r="N64" s="46"/>
      <c r="O64" s="46"/>
      <c r="P64" s="46"/>
      <c r="Q64" s="46"/>
      <c r="R64" s="47"/>
      <c r="S64" s="47"/>
      <c r="T64" s="47"/>
      <c r="U64" s="60"/>
    </row>
    <row r="65" spans="2:21" s="12" customFormat="1" ht="17.100000000000001" customHeight="1" thickTop="1" x14ac:dyDescent="0.25">
      <c r="B65" s="438" t="s">
        <v>123</v>
      </c>
      <c r="C65" s="439"/>
      <c r="D65" s="439"/>
      <c r="E65" s="439"/>
      <c r="F65" s="439"/>
      <c r="G65" s="439"/>
      <c r="H65" s="439"/>
      <c r="I65" s="439"/>
      <c r="J65" s="61"/>
      <c r="K65" s="61"/>
      <c r="L65" s="62"/>
      <c r="M65" s="62"/>
      <c r="N65" s="62"/>
      <c r="O65" s="62"/>
      <c r="P65" s="62"/>
      <c r="Q65" s="62"/>
      <c r="R65" s="379" t="s">
        <v>132</v>
      </c>
      <c r="S65" s="380"/>
      <c r="T65" s="380"/>
      <c r="U65" s="381"/>
    </row>
    <row r="66" spans="2:21" s="12" customFormat="1" ht="17.100000000000001" customHeight="1" x14ac:dyDescent="0.25">
      <c r="B66" s="440"/>
      <c r="C66" s="441"/>
      <c r="D66" s="441"/>
      <c r="E66" s="441"/>
      <c r="F66" s="441"/>
      <c r="G66" s="441"/>
      <c r="H66" s="441"/>
      <c r="I66" s="441"/>
      <c r="J66" s="61"/>
      <c r="K66" s="61"/>
      <c r="L66" s="62"/>
      <c r="M66" s="62"/>
      <c r="N66" s="62"/>
      <c r="O66" s="62"/>
      <c r="P66" s="62"/>
      <c r="Q66" s="62"/>
      <c r="R66" s="367" t="s">
        <v>124</v>
      </c>
      <c r="S66" s="367"/>
      <c r="T66" s="367"/>
      <c r="U66" s="367"/>
    </row>
    <row r="67" spans="2:21" s="25" customFormat="1" ht="17.100000000000001" customHeight="1" x14ac:dyDescent="0.25">
      <c r="B67" s="64" t="s">
        <v>111</v>
      </c>
      <c r="C67" s="374" t="s">
        <v>112</v>
      </c>
      <c r="D67" s="375"/>
      <c r="E67" s="375"/>
      <c r="F67" s="375"/>
      <c r="G67" s="375"/>
      <c r="H67" s="375"/>
      <c r="I67" s="375"/>
      <c r="J67" s="375"/>
      <c r="K67" s="376"/>
      <c r="L67" s="64" t="s">
        <v>119</v>
      </c>
      <c r="M67" s="374" t="s">
        <v>125</v>
      </c>
      <c r="N67" s="375"/>
      <c r="O67" s="375"/>
      <c r="P67" s="375"/>
      <c r="Q67" s="376"/>
      <c r="R67" s="367" t="s">
        <v>134</v>
      </c>
      <c r="S67" s="367"/>
      <c r="T67" s="367" t="s">
        <v>135</v>
      </c>
      <c r="U67" s="367"/>
    </row>
    <row r="68" spans="2:21" s="12" customFormat="1" ht="17.100000000000001" customHeight="1" x14ac:dyDescent="0.25">
      <c r="B68" s="15">
        <v>1</v>
      </c>
      <c r="C68" s="371" t="s">
        <v>113</v>
      </c>
      <c r="D68" s="372"/>
      <c r="E68" s="372"/>
      <c r="F68" s="372"/>
      <c r="G68" s="372"/>
      <c r="H68" s="372"/>
      <c r="I68" s="372"/>
      <c r="J68" s="372"/>
      <c r="K68" s="373"/>
      <c r="L68" s="15" t="s">
        <v>120</v>
      </c>
      <c r="M68" s="377" t="s">
        <v>128</v>
      </c>
      <c r="N68" s="378"/>
      <c r="O68" s="378"/>
      <c r="P68" s="378"/>
      <c r="Q68" s="378"/>
      <c r="R68" s="369">
        <f>+C13-15</f>
        <v>45515</v>
      </c>
      <c r="S68" s="370"/>
      <c r="T68" s="369">
        <v>45398</v>
      </c>
      <c r="U68" s="369"/>
    </row>
    <row r="69" spans="2:21" s="12" customFormat="1" ht="17.100000000000001" customHeight="1" x14ac:dyDescent="0.25">
      <c r="B69" s="15">
        <v>2</v>
      </c>
      <c r="C69" s="371" t="s">
        <v>114</v>
      </c>
      <c r="D69" s="372"/>
      <c r="E69" s="372"/>
      <c r="F69" s="372"/>
      <c r="G69" s="372"/>
      <c r="H69" s="372"/>
      <c r="I69" s="372"/>
      <c r="J69" s="372"/>
      <c r="K69" s="373"/>
      <c r="L69" s="15" t="s">
        <v>121</v>
      </c>
      <c r="M69" s="377" t="s">
        <v>127</v>
      </c>
      <c r="N69" s="378"/>
      <c r="O69" s="378"/>
      <c r="P69" s="378"/>
      <c r="Q69" s="378"/>
      <c r="R69" s="369">
        <f>+C13-13</f>
        <v>45517</v>
      </c>
      <c r="S69" s="370"/>
      <c r="T69" s="369">
        <v>45398</v>
      </c>
      <c r="U69" s="369"/>
    </row>
    <row r="70" spans="2:21" s="12" customFormat="1" ht="17.100000000000001" customHeight="1" x14ac:dyDescent="0.25">
      <c r="B70" s="15">
        <v>3</v>
      </c>
      <c r="C70" s="371" t="s">
        <v>139</v>
      </c>
      <c r="D70" s="372"/>
      <c r="E70" s="372"/>
      <c r="F70" s="372"/>
      <c r="G70" s="372"/>
      <c r="H70" s="372"/>
      <c r="I70" s="372"/>
      <c r="J70" s="372"/>
      <c r="K70" s="373"/>
      <c r="L70" s="15" t="s">
        <v>120</v>
      </c>
      <c r="M70" s="377" t="s">
        <v>126</v>
      </c>
      <c r="N70" s="378"/>
      <c r="O70" s="378"/>
      <c r="P70" s="378"/>
      <c r="Q70" s="378"/>
      <c r="R70" s="369">
        <f>+C13-10</f>
        <v>45520</v>
      </c>
      <c r="S70" s="370"/>
      <c r="T70" s="369"/>
      <c r="U70" s="369"/>
    </row>
    <row r="71" spans="2:21" s="12" customFormat="1" ht="17.100000000000001" customHeight="1" x14ac:dyDescent="0.25">
      <c r="B71" s="15">
        <v>4</v>
      </c>
      <c r="C71" s="371" t="s">
        <v>115</v>
      </c>
      <c r="D71" s="372"/>
      <c r="E71" s="372"/>
      <c r="F71" s="372"/>
      <c r="G71" s="372"/>
      <c r="H71" s="372"/>
      <c r="I71" s="372"/>
      <c r="J71" s="372"/>
      <c r="K71" s="373"/>
      <c r="L71" s="15" t="s">
        <v>121</v>
      </c>
      <c r="M71" s="377" t="s">
        <v>131</v>
      </c>
      <c r="N71" s="378"/>
      <c r="O71" s="378"/>
      <c r="P71" s="378"/>
      <c r="Q71" s="378"/>
      <c r="R71" s="369">
        <f>+C13-8</f>
        <v>45522</v>
      </c>
      <c r="S71" s="370"/>
      <c r="T71" s="369"/>
      <c r="U71" s="369"/>
    </row>
    <row r="72" spans="2:21" s="12" customFormat="1" ht="17.100000000000001" customHeight="1" x14ac:dyDescent="0.25">
      <c r="B72" s="15">
        <v>5</v>
      </c>
      <c r="C72" s="371" t="s">
        <v>116</v>
      </c>
      <c r="D72" s="372"/>
      <c r="E72" s="372"/>
      <c r="F72" s="372"/>
      <c r="G72" s="372"/>
      <c r="H72" s="372"/>
      <c r="I72" s="372"/>
      <c r="J72" s="372"/>
      <c r="K72" s="373"/>
      <c r="L72" s="15" t="s">
        <v>120</v>
      </c>
      <c r="M72" s="377" t="s">
        <v>145</v>
      </c>
      <c r="N72" s="378"/>
      <c r="O72" s="378"/>
      <c r="P72" s="378"/>
      <c r="Q72" s="378"/>
      <c r="R72" s="368">
        <v>45402</v>
      </c>
      <c r="S72" s="368"/>
      <c r="T72" s="369"/>
      <c r="U72" s="369"/>
    </row>
    <row r="73" spans="2:21" s="12" customFormat="1" ht="17.100000000000001" customHeight="1" x14ac:dyDescent="0.25">
      <c r="B73" s="15">
        <v>6</v>
      </c>
      <c r="C73" s="371" t="s">
        <v>117</v>
      </c>
      <c r="D73" s="372"/>
      <c r="E73" s="372"/>
      <c r="F73" s="372"/>
      <c r="G73" s="372"/>
      <c r="H73" s="372"/>
      <c r="I73" s="372"/>
      <c r="J73" s="372"/>
      <c r="K73" s="373"/>
      <c r="L73" s="15" t="s">
        <v>120</v>
      </c>
      <c r="M73" s="377" t="s">
        <v>142</v>
      </c>
      <c r="N73" s="378"/>
      <c r="O73" s="378"/>
      <c r="P73" s="378"/>
      <c r="Q73" s="378"/>
      <c r="R73" s="369">
        <f>+R71+7</f>
        <v>45529</v>
      </c>
      <c r="S73" s="370"/>
      <c r="T73" s="369"/>
      <c r="U73" s="369"/>
    </row>
    <row r="74" spans="2:21" s="12" customFormat="1" ht="17.100000000000001" customHeight="1" x14ac:dyDescent="0.25">
      <c r="B74" s="15">
        <v>7</v>
      </c>
      <c r="C74" s="371" t="s">
        <v>122</v>
      </c>
      <c r="D74" s="372"/>
      <c r="E74" s="372"/>
      <c r="F74" s="372"/>
      <c r="G74" s="372"/>
      <c r="H74" s="372"/>
      <c r="I74" s="372"/>
      <c r="J74" s="372"/>
      <c r="K74" s="373"/>
      <c r="L74" s="15" t="s">
        <v>121</v>
      </c>
      <c r="M74" s="377" t="s">
        <v>130</v>
      </c>
      <c r="N74" s="378"/>
      <c r="O74" s="378"/>
      <c r="P74" s="378"/>
      <c r="Q74" s="378"/>
      <c r="R74" s="369">
        <f>+C13-7</f>
        <v>45523</v>
      </c>
      <c r="S74" s="370"/>
      <c r="T74" s="369"/>
      <c r="U74" s="369"/>
    </row>
    <row r="75" spans="2:21" s="12" customFormat="1" ht="17.100000000000001" customHeight="1" x14ac:dyDescent="0.25">
      <c r="B75" s="15">
        <v>8</v>
      </c>
      <c r="C75" s="371" t="s">
        <v>118</v>
      </c>
      <c r="D75" s="372"/>
      <c r="E75" s="372"/>
      <c r="F75" s="372"/>
      <c r="G75" s="372"/>
      <c r="H75" s="372"/>
      <c r="I75" s="372"/>
      <c r="J75" s="372"/>
      <c r="K75" s="373"/>
      <c r="L75" s="15" t="s">
        <v>121</v>
      </c>
      <c r="M75" s="377" t="s">
        <v>129</v>
      </c>
      <c r="N75" s="378"/>
      <c r="O75" s="378"/>
      <c r="P75" s="378"/>
      <c r="Q75" s="378"/>
      <c r="R75" s="369">
        <f>+C13-1</f>
        <v>45529</v>
      </c>
      <c r="S75" s="370"/>
      <c r="T75" s="369"/>
      <c r="U75" s="369"/>
    </row>
    <row r="76" spans="2:21" s="12" customFormat="1" ht="17.100000000000001" customHeight="1" x14ac:dyDescent="0.25">
      <c r="B76" s="15">
        <v>9</v>
      </c>
      <c r="C76" s="371" t="s">
        <v>133</v>
      </c>
      <c r="D76" s="372"/>
      <c r="E76" s="372"/>
      <c r="F76" s="372"/>
      <c r="G76" s="372"/>
      <c r="H76" s="372"/>
      <c r="I76" s="372"/>
      <c r="J76" s="372"/>
      <c r="K76" s="373"/>
      <c r="L76" s="15" t="s">
        <v>121</v>
      </c>
      <c r="M76" s="377" t="s">
        <v>129</v>
      </c>
      <c r="N76" s="378"/>
      <c r="O76" s="378"/>
      <c r="P76" s="378"/>
      <c r="Q76" s="378"/>
      <c r="R76" s="369">
        <f>+C13-1</f>
        <v>45529</v>
      </c>
      <c r="S76" s="370"/>
      <c r="T76" s="369"/>
      <c r="U76" s="369"/>
    </row>
    <row r="77" spans="2:21" s="12" customFormat="1" ht="17.100000000000001" customHeight="1" x14ac:dyDescent="0.25">
      <c r="B77" s="63"/>
      <c r="C77" s="61"/>
      <c r="D77" s="61"/>
      <c r="E77" s="61"/>
      <c r="F77" s="61"/>
      <c r="G77" s="61"/>
      <c r="H77" s="61"/>
      <c r="I77" s="61"/>
      <c r="J77" s="61"/>
      <c r="K77" s="61"/>
      <c r="L77" s="62"/>
      <c r="M77" s="62"/>
      <c r="N77" s="62"/>
      <c r="O77" s="62"/>
      <c r="P77" s="62"/>
      <c r="Q77" s="62"/>
      <c r="U77" s="53"/>
    </row>
    <row r="78" spans="2:21" s="11" customFormat="1" ht="15" customHeight="1" x14ac:dyDescent="0.25">
      <c r="B78" s="420" t="s">
        <v>96</v>
      </c>
      <c r="C78" s="421"/>
      <c r="D78" s="421"/>
      <c r="E78" s="421"/>
      <c r="F78" s="422"/>
      <c r="G78" s="406"/>
      <c r="H78" s="409" t="s">
        <v>97</v>
      </c>
      <c r="I78" s="410"/>
      <c r="J78" s="24"/>
      <c r="K78" s="404"/>
      <c r="L78" s="419"/>
      <c r="M78" s="419"/>
      <c r="N78" s="405"/>
      <c r="O78" s="404"/>
      <c r="P78" s="405"/>
      <c r="Q78" s="24"/>
      <c r="R78" s="24"/>
      <c r="S78" s="404"/>
      <c r="T78" s="405"/>
      <c r="U78" s="24"/>
    </row>
    <row r="79" spans="2:21" s="11" customFormat="1" ht="15" customHeight="1" x14ac:dyDescent="0.25">
      <c r="B79" s="423"/>
      <c r="C79" s="424"/>
      <c r="D79" s="424"/>
      <c r="E79" s="424"/>
      <c r="F79" s="425"/>
      <c r="G79" s="407"/>
      <c r="H79" s="411"/>
      <c r="I79" s="412"/>
      <c r="J79" s="24"/>
      <c r="K79" s="404"/>
      <c r="L79" s="419"/>
      <c r="M79" s="419"/>
      <c r="N79" s="405"/>
      <c r="O79" s="404"/>
      <c r="P79" s="405"/>
      <c r="Q79" s="24"/>
      <c r="R79" s="24"/>
      <c r="S79" s="404"/>
      <c r="T79" s="405"/>
      <c r="U79" s="24"/>
    </row>
    <row r="80" spans="2:21" s="11" customFormat="1" ht="15" customHeight="1" x14ac:dyDescent="0.25">
      <c r="B80" s="423"/>
      <c r="C80" s="424"/>
      <c r="D80" s="424"/>
      <c r="E80" s="424"/>
      <c r="F80" s="425"/>
      <c r="G80" s="407"/>
      <c r="H80" s="411"/>
      <c r="I80" s="412"/>
      <c r="J80" s="24"/>
      <c r="K80" s="32"/>
      <c r="L80" s="33"/>
      <c r="M80" s="33"/>
      <c r="N80" s="34"/>
      <c r="O80" s="32"/>
      <c r="P80" s="34"/>
      <c r="Q80" s="24"/>
      <c r="R80" s="24"/>
      <c r="S80" s="32"/>
      <c r="T80" s="34"/>
      <c r="U80" s="24"/>
    </row>
    <row r="81" spans="2:21" s="11" customFormat="1" ht="15" customHeight="1" x14ac:dyDescent="0.25">
      <c r="B81" s="423"/>
      <c r="C81" s="424"/>
      <c r="D81" s="424"/>
      <c r="E81" s="424"/>
      <c r="F81" s="425"/>
      <c r="G81" s="407"/>
      <c r="H81" s="411"/>
      <c r="I81" s="412"/>
      <c r="J81" s="24"/>
      <c r="K81" s="404"/>
      <c r="L81" s="419"/>
      <c r="M81" s="419"/>
      <c r="N81" s="405"/>
      <c r="O81" s="404"/>
      <c r="P81" s="405"/>
      <c r="Q81" s="24"/>
      <c r="R81" s="24"/>
      <c r="S81" s="404"/>
      <c r="T81" s="405"/>
      <c r="U81" s="24"/>
    </row>
    <row r="82" spans="2:21" s="11" customFormat="1" ht="15" customHeight="1" x14ac:dyDescent="0.25">
      <c r="B82" s="423"/>
      <c r="C82" s="424"/>
      <c r="D82" s="424"/>
      <c r="E82" s="424"/>
      <c r="F82" s="425"/>
      <c r="G82" s="407"/>
      <c r="H82" s="411"/>
      <c r="I82" s="412"/>
      <c r="J82" s="24">
        <v>0</v>
      </c>
      <c r="K82" s="404" t="s">
        <v>95</v>
      </c>
      <c r="L82" s="419"/>
      <c r="M82" s="419"/>
      <c r="N82" s="405"/>
      <c r="O82" s="418">
        <v>45112</v>
      </c>
      <c r="P82" s="405"/>
      <c r="Q82" s="24" t="s">
        <v>38</v>
      </c>
      <c r="R82" s="24" t="s">
        <v>7</v>
      </c>
      <c r="S82" s="404" t="s">
        <v>7</v>
      </c>
      <c r="T82" s="405"/>
      <c r="U82" s="24" t="s">
        <v>7</v>
      </c>
    </row>
    <row r="83" spans="2:21" s="3" customFormat="1" ht="15" customHeight="1" x14ac:dyDescent="0.25">
      <c r="B83" s="426"/>
      <c r="C83" s="427"/>
      <c r="D83" s="427"/>
      <c r="E83" s="427"/>
      <c r="F83" s="428"/>
      <c r="G83" s="408"/>
      <c r="H83" s="413"/>
      <c r="I83" s="414"/>
      <c r="J83" s="31" t="s">
        <v>94</v>
      </c>
      <c r="K83" s="415" t="s">
        <v>93</v>
      </c>
      <c r="L83" s="417"/>
      <c r="M83" s="417"/>
      <c r="N83" s="416"/>
      <c r="O83" s="415" t="s">
        <v>5</v>
      </c>
      <c r="P83" s="416"/>
      <c r="Q83" s="31" t="s">
        <v>90</v>
      </c>
      <c r="R83" s="31" t="s">
        <v>91</v>
      </c>
      <c r="S83" s="415" t="s">
        <v>92</v>
      </c>
      <c r="T83" s="416"/>
      <c r="U83" s="31" t="s">
        <v>90</v>
      </c>
    </row>
    <row r="84" spans="2:21" ht="20.100000000000001" customHeight="1" x14ac:dyDescent="0.25"/>
    <row r="85" spans="2:21" ht="20.100000000000001" customHeight="1" x14ac:dyDescent="0.25"/>
    <row r="86" spans="2:21" ht="20.100000000000001" customHeight="1" x14ac:dyDescent="0.25"/>
    <row r="87" spans="2:21" ht="20.100000000000001" customHeight="1" x14ac:dyDescent="0.25"/>
    <row r="88" spans="2:21" ht="20.100000000000001" customHeight="1" x14ac:dyDescent="0.25"/>
    <row r="89" spans="2:21" ht="20.100000000000001" customHeight="1" x14ac:dyDescent="0.25"/>
  </sheetData>
  <mergeCells count="247">
    <mergeCell ref="K12:L12"/>
    <mergeCell ref="M12:Q12"/>
    <mergeCell ref="I13:J13"/>
    <mergeCell ref="T21:U21"/>
    <mergeCell ref="N2:O2"/>
    <mergeCell ref="Y12:Z12"/>
    <mergeCell ref="C23:D23"/>
    <mergeCell ref="E23:F23"/>
    <mergeCell ref="C22:D22"/>
    <mergeCell ref="I12:J12"/>
    <mergeCell ref="T2:U2"/>
    <mergeCell ref="R2:S2"/>
    <mergeCell ref="P6:Q6"/>
    <mergeCell ref="P2:Q2"/>
    <mergeCell ref="T6:U6"/>
    <mergeCell ref="E21:F21"/>
    <mergeCell ref="G16:H16"/>
    <mergeCell ref="K16:L16"/>
    <mergeCell ref="D14:E14"/>
    <mergeCell ref="G14:H14"/>
    <mergeCell ref="I14:J14"/>
    <mergeCell ref="D16:E16"/>
    <mergeCell ref="D15:E15"/>
    <mergeCell ref="G15:H15"/>
    <mergeCell ref="B26:B27"/>
    <mergeCell ref="C26:F27"/>
    <mergeCell ref="B20:B21"/>
    <mergeCell ref="E20:G20"/>
    <mergeCell ref="H20:I20"/>
    <mergeCell ref="N3:U5"/>
    <mergeCell ref="N21:O21"/>
    <mergeCell ref="N20:Q20"/>
    <mergeCell ref="N22:O22"/>
    <mergeCell ref="B3:H6"/>
    <mergeCell ref="G12:H12"/>
    <mergeCell ref="C20:D21"/>
    <mergeCell ref="D13:E13"/>
    <mergeCell ref="C12:F12"/>
    <mergeCell ref="T22:U22"/>
    <mergeCell ref="K14:L14"/>
    <mergeCell ref="E22:F22"/>
    <mergeCell ref="N6:O6"/>
    <mergeCell ref="R21:S21"/>
    <mergeCell ref="R20:U20"/>
    <mergeCell ref="P21:Q21"/>
    <mergeCell ref="T23:U23"/>
    <mergeCell ref="R23:S23"/>
    <mergeCell ref="R6:S6"/>
    <mergeCell ref="I15:J15"/>
    <mergeCell ref="K15:L15"/>
    <mergeCell ref="P31:R31"/>
    <mergeCell ref="P32:R32"/>
    <mergeCell ref="P33:R33"/>
    <mergeCell ref="P34:R34"/>
    <mergeCell ref="L22:M22"/>
    <mergeCell ref="I26:I27"/>
    <mergeCell ref="J27:K27"/>
    <mergeCell ref="P22:Q22"/>
    <mergeCell ref="R22:S22"/>
    <mergeCell ref="C33:I33"/>
    <mergeCell ref="C34:I34"/>
    <mergeCell ref="J28:K28"/>
    <mergeCell ref="N23:O23"/>
    <mergeCell ref="M30:O30"/>
    <mergeCell ref="M31:O31"/>
    <mergeCell ref="M32:O32"/>
    <mergeCell ref="P23:Q23"/>
    <mergeCell ref="L28:M28"/>
    <mergeCell ref="N28:U28"/>
    <mergeCell ref="L27:M27"/>
    <mergeCell ref="N26:U27"/>
    <mergeCell ref="L23:M23"/>
    <mergeCell ref="C35:I35"/>
    <mergeCell ref="J31:L31"/>
    <mergeCell ref="J32:L32"/>
    <mergeCell ref="P30:R30"/>
    <mergeCell ref="J35:L35"/>
    <mergeCell ref="P35:R35"/>
    <mergeCell ref="G13:H13"/>
    <mergeCell ref="K13:L13"/>
    <mergeCell ref="I16:J16"/>
    <mergeCell ref="L20:M21"/>
    <mergeCell ref="K20:K21"/>
    <mergeCell ref="G26:H27"/>
    <mergeCell ref="G28:H28"/>
    <mergeCell ref="M34:O34"/>
    <mergeCell ref="M35:O35"/>
    <mergeCell ref="J30:L30"/>
    <mergeCell ref="M33:O33"/>
    <mergeCell ref="D28:E28"/>
    <mergeCell ref="J33:L33"/>
    <mergeCell ref="J34:L34"/>
    <mergeCell ref="C30:I30"/>
    <mergeCell ref="C31:I31"/>
    <mergeCell ref="C32:I32"/>
    <mergeCell ref="J26:M26"/>
    <mergeCell ref="O60:Q60"/>
    <mergeCell ref="P39:R39"/>
    <mergeCell ref="K48:O48"/>
    <mergeCell ref="G53:K53"/>
    <mergeCell ref="R75:S75"/>
    <mergeCell ref="J38:L38"/>
    <mergeCell ref="M36:O36"/>
    <mergeCell ref="M37:O37"/>
    <mergeCell ref="C36:I36"/>
    <mergeCell ref="C37:I37"/>
    <mergeCell ref="C38:I38"/>
    <mergeCell ref="P36:R36"/>
    <mergeCell ref="P37:R37"/>
    <mergeCell ref="J36:L36"/>
    <mergeCell ref="J37:L37"/>
    <mergeCell ref="B60:C60"/>
    <mergeCell ref="B63:C63"/>
    <mergeCell ref="D63:G63"/>
    <mergeCell ref="C75:K75"/>
    <mergeCell ref="C67:K67"/>
    <mergeCell ref="C72:K72"/>
    <mergeCell ref="D60:G60"/>
    <mergeCell ref="B65:I66"/>
    <mergeCell ref="B61:C61"/>
    <mergeCell ref="S81:T81"/>
    <mergeCell ref="S82:T82"/>
    <mergeCell ref="G78:G83"/>
    <mergeCell ref="C76:K76"/>
    <mergeCell ref="H78:I83"/>
    <mergeCell ref="S83:T83"/>
    <mergeCell ref="T76:U76"/>
    <mergeCell ref="R76:S76"/>
    <mergeCell ref="M76:Q76"/>
    <mergeCell ref="K83:N83"/>
    <mergeCell ref="O81:P81"/>
    <mergeCell ref="O82:P82"/>
    <mergeCell ref="O83:P83"/>
    <mergeCell ref="O78:P78"/>
    <mergeCell ref="S78:T78"/>
    <mergeCell ref="S79:T79"/>
    <mergeCell ref="K78:N78"/>
    <mergeCell ref="K79:N79"/>
    <mergeCell ref="O79:P79"/>
    <mergeCell ref="B78:F83"/>
    <mergeCell ref="K81:N81"/>
    <mergeCell ref="K82:N82"/>
    <mergeCell ref="D61:G61"/>
    <mergeCell ref="M72:Q72"/>
    <mergeCell ref="B62:C62"/>
    <mergeCell ref="H57:K63"/>
    <mergeCell ref="M38:O38"/>
    <mergeCell ref="J39:L39"/>
    <mergeCell ref="J40:L40"/>
    <mergeCell ref="H56:K56"/>
    <mergeCell ref="C39:I39"/>
    <mergeCell ref="C40:I40"/>
    <mergeCell ref="M44:O44"/>
    <mergeCell ref="O57:Q57"/>
    <mergeCell ref="J43:L43"/>
    <mergeCell ref="J44:L44"/>
    <mergeCell ref="P38:R38"/>
    <mergeCell ref="P40:R40"/>
    <mergeCell ref="P41:R41"/>
    <mergeCell ref="P42:R42"/>
    <mergeCell ref="P43:R43"/>
    <mergeCell ref="P44:R44"/>
    <mergeCell ref="C42:I42"/>
    <mergeCell ref="L51:S51"/>
    <mergeCell ref="O59:Q59"/>
    <mergeCell ref="N54:O54"/>
    <mergeCell ref="C54:F54"/>
    <mergeCell ref="B56:C56"/>
    <mergeCell ref="M42:O42"/>
    <mergeCell ref="C41:I41"/>
    <mergeCell ref="J41:L41"/>
    <mergeCell ref="M43:O43"/>
    <mergeCell ref="C44:I44"/>
    <mergeCell ref="B47:C47"/>
    <mergeCell ref="B48:C48"/>
    <mergeCell ref="M39:O39"/>
    <mergeCell ref="M40:O40"/>
    <mergeCell ref="M41:O41"/>
    <mergeCell ref="K46:O46"/>
    <mergeCell ref="J42:L42"/>
    <mergeCell ref="D46:G46"/>
    <mergeCell ref="D47:G47"/>
    <mergeCell ref="D48:G48"/>
    <mergeCell ref="C43:I43"/>
    <mergeCell ref="K47:O47"/>
    <mergeCell ref="H46:J46"/>
    <mergeCell ref="H47:J47"/>
    <mergeCell ref="H48:J48"/>
    <mergeCell ref="B46:C46"/>
    <mergeCell ref="D62:G62"/>
    <mergeCell ref="T68:U68"/>
    <mergeCell ref="T69:U69"/>
    <mergeCell ref="T70:U70"/>
    <mergeCell ref="T71:U71"/>
    <mergeCell ref="T72:U72"/>
    <mergeCell ref="T75:U75"/>
    <mergeCell ref="M73:Q73"/>
    <mergeCell ref="M74:Q74"/>
    <mergeCell ref="M75:Q75"/>
    <mergeCell ref="R68:S68"/>
    <mergeCell ref="R69:S69"/>
    <mergeCell ref="R70:S70"/>
    <mergeCell ref="R71:S71"/>
    <mergeCell ref="M68:Q68"/>
    <mergeCell ref="M69:Q69"/>
    <mergeCell ref="M70:Q70"/>
    <mergeCell ref="M71:Q71"/>
    <mergeCell ref="T73:U73"/>
    <mergeCell ref="T74:U74"/>
    <mergeCell ref="R66:U66"/>
    <mergeCell ref="R65:U65"/>
    <mergeCell ref="C68:K68"/>
    <mergeCell ref="R67:S67"/>
    <mergeCell ref="T67:U67"/>
    <mergeCell ref="R72:S72"/>
    <mergeCell ref="R73:S73"/>
    <mergeCell ref="R74:S74"/>
    <mergeCell ref="C73:K73"/>
    <mergeCell ref="C74:K74"/>
    <mergeCell ref="C70:K70"/>
    <mergeCell ref="C71:K71"/>
    <mergeCell ref="M67:Q67"/>
    <mergeCell ref="C69:K69"/>
    <mergeCell ref="R52:S52"/>
    <mergeCell ref="R53:S53"/>
    <mergeCell ref="R54:S54"/>
    <mergeCell ref="B51:B52"/>
    <mergeCell ref="D59:G59"/>
    <mergeCell ref="G54:K54"/>
    <mergeCell ref="C53:F53"/>
    <mergeCell ref="O58:Q58"/>
    <mergeCell ref="D56:G56"/>
    <mergeCell ref="P52:Q52"/>
    <mergeCell ref="D57:G57"/>
    <mergeCell ref="D58:G58"/>
    <mergeCell ref="P53:Q53"/>
    <mergeCell ref="P54:Q54"/>
    <mergeCell ref="C51:F52"/>
    <mergeCell ref="G51:K52"/>
    <mergeCell ref="L52:M52"/>
    <mergeCell ref="N52:O52"/>
    <mergeCell ref="B57:C57"/>
    <mergeCell ref="B58:C58"/>
    <mergeCell ref="B59:C59"/>
    <mergeCell ref="L53:M53"/>
    <mergeCell ref="L54:M54"/>
    <mergeCell ref="N53:O53"/>
  </mergeCells>
  <printOptions horizontalCentered="1" verticalCentered="1"/>
  <pageMargins left="0" right="0" top="0" bottom="0" header="0" footer="0"/>
  <pageSetup paperSize="9" scale="48"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C36FDA-80BB-4CCA-BC8D-04E0E8B5F9F2}">
  <sheetPr>
    <tabColor rgb="FFFFFF00"/>
  </sheetPr>
  <dimension ref="A1:S92"/>
  <sheetViews>
    <sheetView showGridLines="0" view="pageBreakPreview" topLeftCell="A10" zoomScale="85" zoomScaleNormal="85" zoomScaleSheetLayoutView="85" workbookViewId="0">
      <selection activeCell="M81" sqref="M81"/>
    </sheetView>
  </sheetViews>
  <sheetFormatPr defaultRowHeight="15" x14ac:dyDescent="0.25"/>
  <cols>
    <col min="1" max="1" width="5.7109375" style="1" customWidth="1"/>
    <col min="2" max="5" width="14.7109375" style="2" customWidth="1"/>
    <col min="6" max="15" width="14.7109375" style="1" customWidth="1"/>
    <col min="16" max="16" width="1.7109375" style="1" customWidth="1"/>
    <col min="17" max="46" width="15.7109375" style="1" customWidth="1"/>
    <col min="47" max="16384" width="9.140625" style="1"/>
  </cols>
  <sheetData>
    <row r="1" spans="1:15" x14ac:dyDescent="0.25">
      <c r="O1" s="210" t="s">
        <v>102</v>
      </c>
    </row>
    <row r="2" spans="1:15" ht="15" customHeight="1" x14ac:dyDescent="0.25">
      <c r="A2" s="209" t="s">
        <v>206</v>
      </c>
      <c r="B2" s="312"/>
      <c r="C2" s="312"/>
      <c r="D2" s="312"/>
      <c r="E2" s="312"/>
      <c r="F2" s="208"/>
      <c r="G2" s="208"/>
      <c r="H2" s="207" t="s">
        <v>44</v>
      </c>
      <c r="I2" s="206" t="s">
        <v>45</v>
      </c>
      <c r="J2" s="206" t="s">
        <v>205</v>
      </c>
      <c r="K2" s="205"/>
      <c r="L2" s="95" t="s">
        <v>50</v>
      </c>
      <c r="M2" s="95" t="s">
        <v>49</v>
      </c>
      <c r="N2" s="95" t="s">
        <v>37</v>
      </c>
      <c r="O2" s="95" t="s">
        <v>36</v>
      </c>
    </row>
    <row r="3" spans="1:15" ht="15" customHeight="1" x14ac:dyDescent="0.25">
      <c r="A3" s="604" t="s">
        <v>204</v>
      </c>
      <c r="B3" s="605"/>
      <c r="C3" s="605"/>
      <c r="D3" s="605"/>
      <c r="E3" s="605"/>
      <c r="F3" s="605"/>
      <c r="G3" s="605"/>
      <c r="H3" s="606"/>
      <c r="I3" s="204" t="s">
        <v>5</v>
      </c>
      <c r="J3" s="204" t="s">
        <v>203</v>
      </c>
      <c r="K3" s="203"/>
      <c r="L3" s="473" t="s">
        <v>143</v>
      </c>
      <c r="M3" s="474"/>
      <c r="N3" s="474"/>
      <c r="O3" s="475"/>
    </row>
    <row r="4" spans="1:15" ht="15" customHeight="1" x14ac:dyDescent="0.25">
      <c r="A4" s="607"/>
      <c r="B4" s="608"/>
      <c r="C4" s="608"/>
      <c r="D4" s="608"/>
      <c r="E4" s="608"/>
      <c r="F4" s="608"/>
      <c r="G4" s="608"/>
      <c r="H4" s="609"/>
      <c r="I4" s="204" t="s">
        <v>46</v>
      </c>
      <c r="J4" s="204" t="s">
        <v>202</v>
      </c>
      <c r="K4" s="203"/>
      <c r="L4" s="476"/>
      <c r="M4" s="477"/>
      <c r="N4" s="477"/>
      <c r="O4" s="478"/>
    </row>
    <row r="5" spans="1:15" ht="15" customHeight="1" x14ac:dyDescent="0.25">
      <c r="A5" s="607"/>
      <c r="B5" s="608"/>
      <c r="C5" s="608"/>
      <c r="D5" s="608"/>
      <c r="E5" s="608"/>
      <c r="F5" s="608"/>
      <c r="G5" s="608"/>
      <c r="H5" s="609"/>
      <c r="I5" s="204" t="s">
        <v>201</v>
      </c>
      <c r="J5" s="204" t="s">
        <v>200</v>
      </c>
      <c r="K5" s="203"/>
      <c r="L5" s="479"/>
      <c r="M5" s="480"/>
      <c r="N5" s="480"/>
      <c r="O5" s="481"/>
    </row>
    <row r="6" spans="1:15" ht="15" customHeight="1" x14ac:dyDescent="0.25">
      <c r="A6" s="607"/>
      <c r="B6" s="608"/>
      <c r="C6" s="608"/>
      <c r="D6" s="608"/>
      <c r="E6" s="608"/>
      <c r="F6" s="608"/>
      <c r="G6" s="608"/>
      <c r="H6" s="609"/>
      <c r="I6" s="202" t="s">
        <v>48</v>
      </c>
      <c r="J6" s="202" t="s">
        <v>199</v>
      </c>
      <c r="K6" s="201"/>
      <c r="L6" s="200" t="s">
        <v>51</v>
      </c>
      <c r="M6" s="200" t="s">
        <v>40</v>
      </c>
      <c r="N6" s="200" t="s">
        <v>39</v>
      </c>
      <c r="O6" s="200" t="s">
        <v>198</v>
      </c>
    </row>
    <row r="7" spans="1:15" ht="9.9499999999999993" customHeight="1" x14ac:dyDescent="0.25">
      <c r="A7" s="199"/>
      <c r="B7" s="17"/>
      <c r="C7" s="17"/>
      <c r="D7" s="17"/>
      <c r="E7" s="17"/>
      <c r="F7" s="75"/>
      <c r="G7" s="75"/>
      <c r="H7" s="75"/>
      <c r="I7" s="75"/>
      <c r="J7" s="75"/>
      <c r="K7" s="75"/>
      <c r="L7" s="75"/>
      <c r="M7" s="75"/>
      <c r="N7" s="75"/>
      <c r="O7" s="198"/>
    </row>
    <row r="8" spans="1:15" ht="24.95" customHeight="1" x14ac:dyDescent="0.25">
      <c r="A8" s="197" t="s">
        <v>197</v>
      </c>
      <c r="E8" s="2" t="str">
        <f>+'[25]TAHAP 1'!G9</f>
        <v>: BENCHMARK</v>
      </c>
      <c r="O8" s="18"/>
    </row>
    <row r="9" spans="1:15" ht="9.9499999999999993" customHeight="1" thickBot="1" x14ac:dyDescent="0.3">
      <c r="A9" s="196"/>
      <c r="B9" s="195"/>
      <c r="C9" s="195"/>
      <c r="D9" s="195"/>
      <c r="E9" s="195"/>
      <c r="F9" s="194"/>
      <c r="G9" s="194"/>
      <c r="H9" s="194"/>
      <c r="I9" s="194"/>
      <c r="J9" s="194"/>
      <c r="K9" s="194"/>
      <c r="L9" s="194"/>
      <c r="M9" s="194"/>
      <c r="N9" s="194"/>
      <c r="O9" s="193"/>
    </row>
    <row r="10" spans="1:15" ht="24.95" customHeight="1" thickTop="1" x14ac:dyDescent="0.25">
      <c r="A10" s="610" t="s">
        <v>196</v>
      </c>
      <c r="B10" s="611"/>
      <c r="C10" s="611"/>
      <c r="L10" s="612"/>
      <c r="M10" s="612"/>
      <c r="N10" s="612"/>
      <c r="O10" s="613"/>
    </row>
    <row r="11" spans="1:15" s="101" customFormat="1" ht="20.100000000000001" customHeight="1" x14ac:dyDescent="0.3">
      <c r="A11" s="192" t="s">
        <v>195</v>
      </c>
      <c r="B11" s="110"/>
      <c r="C11" s="110"/>
      <c r="D11" s="110"/>
      <c r="E11" s="110"/>
      <c r="L11" s="102"/>
      <c r="M11" s="102"/>
      <c r="O11" s="112"/>
    </row>
    <row r="12" spans="1:15" s="101" customFormat="1" ht="15" customHeight="1" x14ac:dyDescent="0.25">
      <c r="A12" s="191" t="s">
        <v>69</v>
      </c>
      <c r="B12" s="190"/>
      <c r="C12" s="190"/>
      <c r="D12" s="189"/>
      <c r="E12" s="187" t="s">
        <v>194</v>
      </c>
      <c r="F12" s="188" t="s">
        <v>63</v>
      </c>
      <c r="G12" s="188" t="s">
        <v>193</v>
      </c>
      <c r="H12" s="187" t="s">
        <v>192</v>
      </c>
      <c r="L12" s="102"/>
      <c r="M12" s="102"/>
      <c r="O12" s="112"/>
    </row>
    <row r="13" spans="1:15" s="101" customFormat="1" ht="15" customHeight="1" x14ac:dyDescent="0.25">
      <c r="A13" s="186" t="s">
        <v>70</v>
      </c>
      <c r="B13" s="185"/>
      <c r="C13" s="185"/>
      <c r="D13" s="184"/>
      <c r="E13" s="182">
        <v>30000</v>
      </c>
      <c r="F13" s="183">
        <v>12500</v>
      </c>
      <c r="G13" s="183">
        <v>20000</v>
      </c>
      <c r="H13" s="182">
        <v>20000</v>
      </c>
      <c r="L13" s="102"/>
      <c r="M13" s="102"/>
      <c r="O13" s="112"/>
    </row>
    <row r="14" spans="1:15" s="101" customFormat="1" ht="15" customHeight="1" x14ac:dyDescent="0.25">
      <c r="A14" s="186" t="s">
        <v>71</v>
      </c>
      <c r="B14" s="185"/>
      <c r="C14" s="185"/>
      <c r="D14" s="184"/>
      <c r="E14" s="182">
        <v>30000</v>
      </c>
      <c r="F14" s="183">
        <v>12500</v>
      </c>
      <c r="G14" s="183">
        <v>20000</v>
      </c>
      <c r="H14" s="182">
        <v>20000</v>
      </c>
      <c r="O14" s="112"/>
    </row>
    <row r="15" spans="1:15" s="101" customFormat="1" ht="15" customHeight="1" x14ac:dyDescent="0.25">
      <c r="A15" s="186" t="s">
        <v>72</v>
      </c>
      <c r="B15" s="185"/>
      <c r="C15" s="185"/>
      <c r="D15" s="184"/>
      <c r="E15" s="182">
        <v>35000</v>
      </c>
      <c r="F15" s="183">
        <v>12500</v>
      </c>
      <c r="G15" s="183">
        <v>20000</v>
      </c>
      <c r="H15" s="182">
        <v>20000</v>
      </c>
      <c r="O15" s="112"/>
    </row>
    <row r="16" spans="1:15" s="101" customFormat="1" ht="15" customHeight="1" x14ac:dyDescent="0.25">
      <c r="A16" s="186" t="s">
        <v>73</v>
      </c>
      <c r="B16" s="185"/>
      <c r="C16" s="185"/>
      <c r="D16" s="184"/>
      <c r="E16" s="182">
        <v>40000</v>
      </c>
      <c r="F16" s="183">
        <v>12500</v>
      </c>
      <c r="G16" s="183">
        <v>27500</v>
      </c>
      <c r="H16" s="182">
        <v>27500</v>
      </c>
      <c r="O16" s="112"/>
    </row>
    <row r="17" spans="1:15" s="101" customFormat="1" ht="15" customHeight="1" x14ac:dyDescent="0.25">
      <c r="A17" s="186" t="s">
        <v>74</v>
      </c>
      <c r="B17" s="185"/>
      <c r="C17" s="185"/>
      <c r="D17" s="184"/>
      <c r="E17" s="182">
        <v>50000</v>
      </c>
      <c r="F17" s="183">
        <v>22500</v>
      </c>
      <c r="G17" s="183">
        <v>30000</v>
      </c>
      <c r="H17" s="182">
        <v>30000</v>
      </c>
      <c r="O17" s="112"/>
    </row>
    <row r="18" spans="1:15" s="101" customFormat="1" ht="15" customHeight="1" x14ac:dyDescent="0.25">
      <c r="A18" s="186" t="s">
        <v>75</v>
      </c>
      <c r="B18" s="185"/>
      <c r="C18" s="185"/>
      <c r="D18" s="184"/>
      <c r="E18" s="182">
        <v>60000</v>
      </c>
      <c r="F18" s="183">
        <v>22500</v>
      </c>
      <c r="G18" s="183">
        <v>50000</v>
      </c>
      <c r="H18" s="182">
        <v>50000</v>
      </c>
      <c r="O18" s="112"/>
    </row>
    <row r="19" spans="1:15" s="101" customFormat="1" ht="15" customHeight="1" x14ac:dyDescent="0.25">
      <c r="A19" s="186" t="s">
        <v>76</v>
      </c>
      <c r="B19" s="185"/>
      <c r="C19" s="185"/>
      <c r="D19" s="184"/>
      <c r="E19" s="182">
        <v>70000</v>
      </c>
      <c r="F19" s="183">
        <v>22500</v>
      </c>
      <c r="G19" s="183">
        <v>60000</v>
      </c>
      <c r="H19" s="182">
        <v>60000</v>
      </c>
      <c r="O19" s="112"/>
    </row>
    <row r="20" spans="1:15" s="101" customFormat="1" ht="20.100000000000001" customHeight="1" x14ac:dyDescent="0.25">
      <c r="A20" s="181"/>
      <c r="B20" s="180"/>
      <c r="C20" s="180"/>
      <c r="D20" s="179"/>
      <c r="E20" s="110"/>
      <c r="O20" s="112"/>
    </row>
    <row r="21" spans="1:15" s="101" customFormat="1" ht="20.100000000000001" customHeight="1" x14ac:dyDescent="0.25">
      <c r="A21" s="178"/>
      <c r="B21" s="177" t="s">
        <v>191</v>
      </c>
      <c r="C21" s="176" t="s">
        <v>190</v>
      </c>
      <c r="D21" s="176" t="s">
        <v>73</v>
      </c>
      <c r="E21" s="176"/>
      <c r="F21" s="176"/>
      <c r="G21" s="176"/>
      <c r="H21" s="176"/>
      <c r="I21" s="176"/>
      <c r="O21" s="112"/>
    </row>
    <row r="22" spans="1:15" s="315" customFormat="1" ht="17.100000000000001" customHeight="1" x14ac:dyDescent="0.25">
      <c r="A22" s="317" t="s">
        <v>177</v>
      </c>
      <c r="B22" s="591" t="s">
        <v>5</v>
      </c>
      <c r="C22" s="591"/>
      <c r="D22" s="591"/>
      <c r="E22" s="317" t="str">
        <f>+$E$12</f>
        <v>UANG SAKU</v>
      </c>
      <c r="F22" s="317" t="str">
        <f>+$F$12</f>
        <v>BREAKFAST</v>
      </c>
      <c r="G22" s="317" t="str">
        <f>+$G$12</f>
        <v>LUNCH</v>
      </c>
      <c r="H22" s="317" t="str">
        <f>+$H$12</f>
        <v>DINNER</v>
      </c>
      <c r="I22" s="317" t="s">
        <v>182</v>
      </c>
      <c r="O22" s="316"/>
    </row>
    <row r="23" spans="1:15" s="101" customFormat="1" ht="17.100000000000001" customHeight="1" x14ac:dyDescent="0.25">
      <c r="A23" s="152">
        <v>1</v>
      </c>
      <c r="B23" s="596"/>
      <c r="C23" s="596"/>
      <c r="D23" s="596"/>
      <c r="E23" s="174"/>
      <c r="F23" s="174"/>
      <c r="G23" s="174"/>
      <c r="H23" s="174"/>
      <c r="I23" s="148"/>
      <c r="K23" s="175"/>
      <c r="O23" s="112"/>
    </row>
    <row r="24" spans="1:15" s="101" customFormat="1" ht="17.100000000000001" customHeight="1" x14ac:dyDescent="0.25">
      <c r="A24" s="152">
        <v>2</v>
      </c>
      <c r="B24" s="596"/>
      <c r="C24" s="596"/>
      <c r="D24" s="596"/>
      <c r="E24" s="174"/>
      <c r="F24" s="174"/>
      <c r="G24" s="174"/>
      <c r="H24" s="174"/>
      <c r="I24" s="148"/>
      <c r="O24" s="112"/>
    </row>
    <row r="25" spans="1:15" s="101" customFormat="1" ht="17.100000000000001" customHeight="1" x14ac:dyDescent="0.25">
      <c r="A25" s="152">
        <v>3</v>
      </c>
      <c r="B25" s="596"/>
      <c r="C25" s="596"/>
      <c r="D25" s="596"/>
      <c r="E25" s="174"/>
      <c r="F25" s="174"/>
      <c r="G25" s="174"/>
      <c r="H25" s="174"/>
      <c r="I25" s="148"/>
      <c r="O25" s="112"/>
    </row>
    <row r="26" spans="1:15" s="101" customFormat="1" ht="16.5" customHeight="1" x14ac:dyDescent="0.25">
      <c r="A26" s="597" t="s">
        <v>155</v>
      </c>
      <c r="B26" s="597"/>
      <c r="C26" s="597"/>
      <c r="D26" s="597"/>
      <c r="E26" s="598"/>
      <c r="F26" s="599"/>
      <c r="G26" s="599"/>
      <c r="H26" s="600"/>
      <c r="I26" s="173">
        <f>SUM(I23:I25)</f>
        <v>0</v>
      </c>
      <c r="O26" s="112"/>
    </row>
    <row r="27" spans="1:15" s="12" customFormat="1" ht="20.100000000000001" customHeight="1" x14ac:dyDescent="0.25">
      <c r="A27" s="138"/>
      <c r="B27" s="137"/>
      <c r="C27" s="137"/>
      <c r="D27" s="137"/>
      <c r="E27" s="137"/>
      <c r="F27" s="137"/>
      <c r="G27" s="137"/>
      <c r="H27" s="137"/>
      <c r="I27" s="137"/>
      <c r="J27" s="171"/>
      <c r="K27" s="170"/>
      <c r="L27" s="170"/>
      <c r="M27" s="170"/>
      <c r="N27" s="170"/>
      <c r="O27" s="169"/>
    </row>
    <row r="28" spans="1:15" s="101" customFormat="1" ht="20.100000000000001" customHeight="1" x14ac:dyDescent="0.25">
      <c r="A28" s="178"/>
      <c r="B28" s="177" t="s">
        <v>191</v>
      </c>
      <c r="C28" s="176" t="s">
        <v>190</v>
      </c>
      <c r="D28" s="176" t="s">
        <v>71</v>
      </c>
      <c r="E28" s="176"/>
      <c r="F28" s="176"/>
      <c r="G28" s="176"/>
      <c r="H28" s="176"/>
      <c r="I28" s="176"/>
      <c r="O28" s="112"/>
    </row>
    <row r="29" spans="1:15" s="315" customFormat="1" ht="17.100000000000001" customHeight="1" x14ac:dyDescent="0.25">
      <c r="A29" s="317" t="s">
        <v>177</v>
      </c>
      <c r="B29" s="591" t="s">
        <v>5</v>
      </c>
      <c r="C29" s="591"/>
      <c r="D29" s="591"/>
      <c r="E29" s="317" t="str">
        <f>+$E$12</f>
        <v>UANG SAKU</v>
      </c>
      <c r="F29" s="317" t="str">
        <f>+$F$12</f>
        <v>BREAKFAST</v>
      </c>
      <c r="G29" s="317" t="str">
        <f>+$G$12</f>
        <v>LUNCH</v>
      </c>
      <c r="H29" s="317" t="str">
        <f>+$H$12</f>
        <v>DINNER</v>
      </c>
      <c r="I29" s="317" t="s">
        <v>182</v>
      </c>
      <c r="O29" s="316"/>
    </row>
    <row r="30" spans="1:15" s="101" customFormat="1" ht="17.100000000000001" customHeight="1" x14ac:dyDescent="0.25">
      <c r="A30" s="152">
        <v>1</v>
      </c>
      <c r="B30" s="596"/>
      <c r="C30" s="596"/>
      <c r="D30" s="596"/>
      <c r="E30" s="174"/>
      <c r="F30" s="174"/>
      <c r="G30" s="174"/>
      <c r="H30" s="174"/>
      <c r="I30" s="148"/>
      <c r="K30" s="175"/>
      <c r="O30" s="112"/>
    </row>
    <row r="31" spans="1:15" s="101" customFormat="1" ht="17.100000000000001" customHeight="1" x14ac:dyDescent="0.25">
      <c r="A31" s="152">
        <v>2</v>
      </c>
      <c r="B31" s="596"/>
      <c r="C31" s="596"/>
      <c r="D31" s="596"/>
      <c r="E31" s="174"/>
      <c r="F31" s="174"/>
      <c r="G31" s="174"/>
      <c r="H31" s="174"/>
      <c r="I31" s="148"/>
      <c r="O31" s="112"/>
    </row>
    <row r="32" spans="1:15" s="101" customFormat="1" ht="17.100000000000001" customHeight="1" x14ac:dyDescent="0.25">
      <c r="A32" s="152">
        <v>3</v>
      </c>
      <c r="B32" s="596"/>
      <c r="C32" s="596"/>
      <c r="D32" s="596"/>
      <c r="E32" s="174"/>
      <c r="F32" s="174"/>
      <c r="G32" s="174"/>
      <c r="H32" s="174"/>
      <c r="I32" s="148"/>
      <c r="O32" s="112"/>
    </row>
    <row r="33" spans="1:15" s="101" customFormat="1" ht="16.5" customHeight="1" x14ac:dyDescent="0.25">
      <c r="A33" s="597" t="s">
        <v>155</v>
      </c>
      <c r="B33" s="597"/>
      <c r="C33" s="597"/>
      <c r="D33" s="597"/>
      <c r="E33" s="598"/>
      <c r="F33" s="599"/>
      <c r="G33" s="599"/>
      <c r="H33" s="600"/>
      <c r="I33" s="173">
        <f>SUM(I30:I32)</f>
        <v>0</v>
      </c>
      <c r="O33" s="112"/>
    </row>
    <row r="34" spans="1:15" s="12" customFormat="1" ht="20.100000000000001" customHeight="1" x14ac:dyDescent="0.25">
      <c r="A34" s="172" t="s">
        <v>188</v>
      </c>
      <c r="B34" s="313"/>
      <c r="C34" s="313"/>
      <c r="D34" s="313"/>
      <c r="E34" s="137"/>
      <c r="F34" s="137"/>
      <c r="G34" s="137"/>
      <c r="H34" s="137"/>
      <c r="I34" s="137"/>
      <c r="J34" s="171"/>
      <c r="K34" s="170"/>
      <c r="L34" s="170"/>
      <c r="M34" s="170"/>
      <c r="N34" s="170"/>
      <c r="O34" s="169"/>
    </row>
    <row r="35" spans="1:15" s="101" customFormat="1" ht="24.95" customHeight="1" x14ac:dyDescent="0.25">
      <c r="A35" s="168" t="s">
        <v>177</v>
      </c>
      <c r="B35" s="601" t="s">
        <v>3</v>
      </c>
      <c r="C35" s="602"/>
      <c r="D35" s="602"/>
      <c r="E35" s="603"/>
      <c r="F35" s="168" t="s">
        <v>189</v>
      </c>
      <c r="G35" s="318" t="s">
        <v>188</v>
      </c>
      <c r="H35" s="137"/>
      <c r="I35" s="137"/>
      <c r="J35" s="136"/>
      <c r="K35" s="315"/>
      <c r="L35" s="315"/>
      <c r="O35" s="316"/>
    </row>
    <row r="36" spans="1:15" s="101" customFormat="1" ht="20.100000000000001" customHeight="1" x14ac:dyDescent="0.25">
      <c r="A36" s="152">
        <v>1</v>
      </c>
      <c r="B36" s="292"/>
      <c r="C36" s="293"/>
      <c r="D36" s="293"/>
      <c r="E36" s="294"/>
      <c r="F36" s="116" t="str">
        <f>D21</f>
        <v>IV</v>
      </c>
      <c r="G36" s="290">
        <f>I26</f>
        <v>0</v>
      </c>
      <c r="H36" s="137"/>
      <c r="I36" s="137"/>
      <c r="J36" s="167"/>
      <c r="K36" s="315"/>
      <c r="L36" s="315"/>
      <c r="O36" s="316"/>
    </row>
    <row r="37" spans="1:15" s="101" customFormat="1" ht="20.100000000000001" customHeight="1" x14ac:dyDescent="0.25">
      <c r="A37" s="152">
        <v>2</v>
      </c>
      <c r="B37" s="292"/>
      <c r="C37" s="293"/>
      <c r="D37" s="293"/>
      <c r="E37" s="294"/>
      <c r="F37" s="116" t="s">
        <v>71</v>
      </c>
      <c r="G37" s="290">
        <f>I33</f>
        <v>0</v>
      </c>
      <c r="H37" s="137"/>
      <c r="I37" s="137"/>
      <c r="J37" s="167"/>
      <c r="K37" s="315"/>
      <c r="L37" s="315"/>
      <c r="O37" s="316"/>
    </row>
    <row r="38" spans="1:15" s="101" customFormat="1" ht="20.100000000000001" customHeight="1" x14ac:dyDescent="0.25">
      <c r="A38" s="152">
        <v>3</v>
      </c>
      <c r="B38" s="292"/>
      <c r="C38" s="293"/>
      <c r="D38" s="293"/>
      <c r="E38" s="294"/>
      <c r="F38" s="116" t="s">
        <v>73</v>
      </c>
      <c r="G38" s="290">
        <f>I26</f>
        <v>0</v>
      </c>
      <c r="H38" s="137"/>
      <c r="I38" s="137"/>
      <c r="J38" s="167"/>
      <c r="K38" s="315"/>
      <c r="L38" s="315"/>
      <c r="O38" s="316"/>
    </row>
    <row r="39" spans="1:15" s="101" customFormat="1" ht="20.100000000000001" customHeight="1" thickBot="1" x14ac:dyDescent="0.3">
      <c r="A39" s="152">
        <v>4</v>
      </c>
      <c r="B39" s="295"/>
      <c r="C39" s="296"/>
      <c r="D39" s="296"/>
      <c r="E39" s="297"/>
      <c r="F39" s="116" t="s">
        <v>73</v>
      </c>
      <c r="G39" s="290">
        <f>I26</f>
        <v>0</v>
      </c>
      <c r="H39" s="137"/>
      <c r="I39" s="137"/>
      <c r="J39" s="167"/>
      <c r="K39" s="315"/>
      <c r="L39" s="315"/>
      <c r="O39" s="316"/>
    </row>
    <row r="40" spans="1:15" s="101" customFormat="1" ht="24.95" customHeight="1" thickTop="1" x14ac:dyDescent="0.25">
      <c r="A40" s="582" t="s">
        <v>155</v>
      </c>
      <c r="B40" s="583"/>
      <c r="C40" s="583"/>
      <c r="D40" s="583"/>
      <c r="E40" s="583"/>
      <c r="F40" s="584"/>
      <c r="G40" s="144">
        <f>SUM(G36:G39)</f>
        <v>0</v>
      </c>
      <c r="H40" s="137"/>
      <c r="I40" s="137"/>
      <c r="J40" s="136"/>
      <c r="K40" s="315"/>
      <c r="L40" s="315"/>
      <c r="O40" s="316"/>
    </row>
    <row r="41" spans="1:15" s="101" customFormat="1" ht="24.95" customHeight="1" thickBot="1" x14ac:dyDescent="0.3">
      <c r="A41" s="314"/>
      <c r="B41" s="315"/>
      <c r="C41" s="315"/>
      <c r="D41" s="315"/>
      <c r="E41" s="315"/>
      <c r="F41" s="315"/>
      <c r="G41" s="142"/>
      <c r="H41" s="137"/>
      <c r="I41" s="137"/>
      <c r="J41" s="136"/>
      <c r="K41" s="315"/>
      <c r="L41" s="315"/>
      <c r="O41" s="316"/>
    </row>
    <row r="42" spans="1:15" s="101" customFormat="1" ht="20.100000000000001" customHeight="1" thickTop="1" x14ac:dyDescent="0.25">
      <c r="A42" s="585" t="s">
        <v>187</v>
      </c>
      <c r="B42" s="586"/>
      <c r="C42" s="586"/>
      <c r="D42" s="586"/>
      <c r="E42" s="586"/>
      <c r="F42" s="586"/>
      <c r="G42" s="586"/>
      <c r="H42" s="586"/>
      <c r="I42" s="586"/>
      <c r="J42" s="586"/>
      <c r="K42" s="586"/>
      <c r="L42" s="586"/>
      <c r="M42" s="586"/>
      <c r="N42" s="586"/>
      <c r="O42" s="587"/>
    </row>
    <row r="43" spans="1:15" s="101" customFormat="1" ht="20.100000000000001" customHeight="1" x14ac:dyDescent="0.25">
      <c r="A43" s="588"/>
      <c r="B43" s="589"/>
      <c r="C43" s="589"/>
      <c r="D43" s="589"/>
      <c r="E43" s="589"/>
      <c r="F43" s="589"/>
      <c r="G43" s="589"/>
      <c r="H43" s="589"/>
      <c r="I43" s="589"/>
      <c r="J43" s="589"/>
      <c r="K43" s="589"/>
      <c r="L43" s="589"/>
      <c r="M43" s="589"/>
      <c r="N43" s="589"/>
      <c r="O43" s="590"/>
    </row>
    <row r="44" spans="1:15" s="101" customFormat="1" ht="24.95" customHeight="1" x14ac:dyDescent="0.25">
      <c r="A44" s="165" t="s">
        <v>186</v>
      </c>
      <c r="B44" s="164" t="s">
        <v>185</v>
      </c>
      <c r="C44" s="164"/>
      <c r="D44" s="110"/>
      <c r="E44" s="110"/>
      <c r="O44" s="112"/>
    </row>
    <row r="45" spans="1:15" s="101" customFormat="1" ht="20.100000000000001" customHeight="1" x14ac:dyDescent="0.25">
      <c r="A45" s="291" t="s">
        <v>177</v>
      </c>
      <c r="B45" s="591" t="s">
        <v>33</v>
      </c>
      <c r="C45" s="591"/>
      <c r="D45" s="591" t="s">
        <v>184</v>
      </c>
      <c r="E45" s="591"/>
      <c r="F45" s="591"/>
      <c r="G45" s="591"/>
      <c r="H45" s="591"/>
      <c r="I45" s="591"/>
      <c r="J45" s="321" t="s">
        <v>156</v>
      </c>
      <c r="K45" s="317" t="s">
        <v>183</v>
      </c>
      <c r="L45" s="317" t="s">
        <v>182</v>
      </c>
      <c r="M45" s="317" t="s">
        <v>155</v>
      </c>
      <c r="O45" s="112"/>
    </row>
    <row r="46" spans="1:15" s="101" customFormat="1" ht="20.100000000000001" customHeight="1" x14ac:dyDescent="0.25">
      <c r="A46" s="166">
        <v>1</v>
      </c>
      <c r="B46" s="579" t="s">
        <v>181</v>
      </c>
      <c r="C46" s="580"/>
      <c r="D46" s="581"/>
      <c r="E46" s="581"/>
      <c r="F46" s="581"/>
      <c r="G46" s="581"/>
      <c r="H46" s="581"/>
      <c r="I46" s="581"/>
      <c r="J46" s="592"/>
      <c r="K46" s="592"/>
      <c r="L46" s="592"/>
      <c r="M46" s="594"/>
      <c r="O46" s="112"/>
    </row>
    <row r="47" spans="1:15" s="101" customFormat="1" ht="20.100000000000001" customHeight="1" x14ac:dyDescent="0.25">
      <c r="A47" s="166">
        <v>2</v>
      </c>
      <c r="B47" s="579" t="s">
        <v>180</v>
      </c>
      <c r="C47" s="580"/>
      <c r="D47" s="581"/>
      <c r="E47" s="581"/>
      <c r="F47" s="581"/>
      <c r="G47" s="581"/>
      <c r="H47" s="581"/>
      <c r="I47" s="581"/>
      <c r="J47" s="593"/>
      <c r="K47" s="593"/>
      <c r="L47" s="593"/>
      <c r="M47" s="595"/>
      <c r="O47" s="112"/>
    </row>
    <row r="48" spans="1:15" s="101" customFormat="1" ht="20.100000000000001" customHeight="1" x14ac:dyDescent="0.25">
      <c r="A48" s="138"/>
      <c r="B48" s="137"/>
      <c r="C48" s="137"/>
      <c r="D48" s="137"/>
      <c r="E48" s="137"/>
      <c r="F48" s="137"/>
      <c r="G48" s="22"/>
      <c r="H48" s="142"/>
      <c r="I48" s="137"/>
      <c r="J48" s="136"/>
      <c r="K48" s="315"/>
      <c r="L48" s="315"/>
      <c r="O48" s="112"/>
    </row>
    <row r="49" spans="1:15" s="101" customFormat="1" ht="20.100000000000001" customHeight="1" x14ac:dyDescent="0.25">
      <c r="A49" s="138"/>
      <c r="B49" s="137"/>
      <c r="C49" s="137"/>
      <c r="D49" s="137"/>
      <c r="E49" s="137"/>
      <c r="F49" s="137"/>
      <c r="G49" s="22"/>
      <c r="H49" s="142"/>
      <c r="I49" s="137"/>
      <c r="J49" s="136"/>
      <c r="K49" s="315"/>
      <c r="L49" s="315"/>
      <c r="O49" s="112"/>
    </row>
    <row r="50" spans="1:15" s="101" customFormat="1" ht="24.95" customHeight="1" x14ac:dyDescent="0.25">
      <c r="A50" s="165" t="s">
        <v>179</v>
      </c>
      <c r="B50" s="164"/>
      <c r="C50" s="164"/>
      <c r="D50" s="163"/>
      <c r="E50" s="163"/>
      <c r="O50" s="112"/>
    </row>
    <row r="51" spans="1:15" s="101" customFormat="1" ht="24.95" hidden="1" customHeight="1" x14ac:dyDescent="0.25">
      <c r="A51" s="162"/>
      <c r="B51" s="137"/>
      <c r="C51" s="137"/>
      <c r="D51" s="110"/>
      <c r="E51" s="110"/>
      <c r="O51" s="112"/>
    </row>
    <row r="52" spans="1:15" s="101" customFormat="1" ht="20.100000000000001" hidden="1" customHeight="1" x14ac:dyDescent="0.25">
      <c r="A52" s="161"/>
      <c r="B52" s="137"/>
      <c r="C52" s="137"/>
      <c r="D52" s="110"/>
      <c r="E52" s="110"/>
      <c r="O52" s="112"/>
    </row>
    <row r="53" spans="1:15" s="101" customFormat="1" ht="20.100000000000001" hidden="1" customHeight="1" x14ac:dyDescent="0.25">
      <c r="A53" s="161"/>
      <c r="B53" s="137"/>
      <c r="C53" s="137"/>
      <c r="D53" s="110"/>
      <c r="E53" s="110"/>
      <c r="O53" s="112"/>
    </row>
    <row r="54" spans="1:15" s="101" customFormat="1" ht="9.9499999999999993" customHeight="1" x14ac:dyDescent="0.25">
      <c r="A54" s="138"/>
      <c r="B54" s="110"/>
      <c r="C54" s="110"/>
      <c r="D54" s="110"/>
      <c r="E54" s="110"/>
      <c r="O54" s="112"/>
    </row>
    <row r="55" spans="1:15" s="22" customFormat="1" ht="24.95" customHeight="1" x14ac:dyDescent="0.25">
      <c r="A55" s="317" t="s">
        <v>177</v>
      </c>
      <c r="B55" s="568" t="s">
        <v>176</v>
      </c>
      <c r="C55" s="569"/>
      <c r="D55" s="570"/>
      <c r="E55" s="321" t="s">
        <v>162</v>
      </c>
      <c r="F55" s="317" t="s">
        <v>175</v>
      </c>
      <c r="G55" s="571" t="s">
        <v>174</v>
      </c>
      <c r="H55" s="572"/>
      <c r="O55" s="143"/>
    </row>
    <row r="56" spans="1:15" s="101" customFormat="1" ht="17.100000000000001" customHeight="1" thickBot="1" x14ac:dyDescent="0.3">
      <c r="A56" s="152">
        <v>1</v>
      </c>
      <c r="B56" s="573"/>
      <c r="C56" s="574"/>
      <c r="D56" s="575"/>
      <c r="E56" s="148"/>
      <c r="F56" s="153"/>
      <c r="G56" s="155"/>
      <c r="H56" s="160"/>
      <c r="O56" s="112"/>
    </row>
    <row r="57" spans="1:15" s="101" customFormat="1" ht="24.95" customHeight="1" thickTop="1" x14ac:dyDescent="0.25">
      <c r="A57" s="558" t="s">
        <v>178</v>
      </c>
      <c r="B57" s="559"/>
      <c r="C57" s="559"/>
      <c r="D57" s="559"/>
      <c r="E57" s="559"/>
      <c r="F57" s="560"/>
      <c r="G57" s="145"/>
      <c r="H57" s="144">
        <f>SUM(H50:H56)</f>
        <v>0</v>
      </c>
      <c r="N57" s="22"/>
      <c r="O57" s="143"/>
    </row>
    <row r="58" spans="1:15" s="101" customFormat="1" ht="17.100000000000001" customHeight="1" x14ac:dyDescent="0.25">
      <c r="A58" s="298"/>
      <c r="B58" s="299"/>
      <c r="C58" s="299"/>
      <c r="D58" s="299"/>
      <c r="E58" s="300"/>
      <c r="F58" s="300"/>
      <c r="G58" s="301"/>
      <c r="H58" s="301"/>
      <c r="O58" s="112"/>
    </row>
    <row r="59" spans="1:15" s="101" customFormat="1" ht="17.100000000000001" customHeight="1" x14ac:dyDescent="0.25">
      <c r="A59" s="159"/>
      <c r="B59" s="158"/>
      <c r="C59" s="158"/>
      <c r="D59" s="158"/>
      <c r="E59" s="157"/>
      <c r="F59" s="157"/>
      <c r="G59" s="156"/>
      <c r="H59" s="156"/>
      <c r="O59" s="112"/>
    </row>
    <row r="60" spans="1:15" s="22" customFormat="1" ht="24.95" customHeight="1" x14ac:dyDescent="0.25">
      <c r="A60" s="317" t="s">
        <v>177</v>
      </c>
      <c r="B60" s="568" t="s">
        <v>176</v>
      </c>
      <c r="C60" s="569"/>
      <c r="D60" s="570"/>
      <c r="E60" s="321" t="s">
        <v>162</v>
      </c>
      <c r="F60" s="317" t="s">
        <v>175</v>
      </c>
      <c r="G60" s="571" t="s">
        <v>174</v>
      </c>
      <c r="H60" s="572"/>
      <c r="O60" s="143"/>
    </row>
    <row r="61" spans="1:15" s="101" customFormat="1" ht="17.100000000000001" customHeight="1" x14ac:dyDescent="0.25">
      <c r="A61" s="152">
        <v>1</v>
      </c>
      <c r="B61" s="573" t="s">
        <v>173</v>
      </c>
      <c r="C61" s="574"/>
      <c r="D61" s="575"/>
      <c r="E61" s="148">
        <v>0</v>
      </c>
      <c r="F61" s="153">
        <v>0</v>
      </c>
      <c r="G61" s="155"/>
      <c r="H61" s="154">
        <f t="shared" ref="H61:H68" si="0">+E61*F61</f>
        <v>0</v>
      </c>
      <c r="O61" s="112"/>
    </row>
    <row r="62" spans="1:15" s="101" customFormat="1" ht="17.100000000000001" customHeight="1" x14ac:dyDescent="0.25">
      <c r="A62" s="152">
        <v>2</v>
      </c>
      <c r="B62" s="322" t="s">
        <v>172</v>
      </c>
      <c r="C62" s="323"/>
      <c r="D62" s="324"/>
      <c r="E62" s="151">
        <v>0</v>
      </c>
      <c r="F62" s="153">
        <v>0</v>
      </c>
      <c r="G62" s="319"/>
      <c r="H62" s="320">
        <f t="shared" si="0"/>
        <v>0</v>
      </c>
      <c r="O62" s="112"/>
    </row>
    <row r="63" spans="1:15" s="101" customFormat="1" ht="17.100000000000001" customHeight="1" x14ac:dyDescent="0.25">
      <c r="A63" s="152">
        <v>3</v>
      </c>
      <c r="B63" s="322" t="s">
        <v>171</v>
      </c>
      <c r="C63" s="323"/>
      <c r="D63" s="324"/>
      <c r="E63" s="151">
        <v>0</v>
      </c>
      <c r="F63" s="153">
        <v>0</v>
      </c>
      <c r="G63" s="319"/>
      <c r="H63" s="320">
        <f>+E63*F63</f>
        <v>0</v>
      </c>
      <c r="O63" s="112"/>
    </row>
    <row r="64" spans="1:15" s="101" customFormat="1" ht="17.100000000000001" customHeight="1" x14ac:dyDescent="0.25">
      <c r="A64" s="152">
        <v>4</v>
      </c>
      <c r="B64" s="322" t="s">
        <v>170</v>
      </c>
      <c r="C64" s="323"/>
      <c r="D64" s="324"/>
      <c r="E64" s="151">
        <v>0</v>
      </c>
      <c r="F64" s="153">
        <v>0</v>
      </c>
      <c r="G64" s="319"/>
      <c r="H64" s="320">
        <f t="shared" si="0"/>
        <v>0</v>
      </c>
      <c r="O64" s="112"/>
    </row>
    <row r="65" spans="1:16" s="101" customFormat="1" ht="17.100000000000001" customHeight="1" x14ac:dyDescent="0.25">
      <c r="A65" s="152">
        <v>5</v>
      </c>
      <c r="B65" s="573" t="s">
        <v>169</v>
      </c>
      <c r="C65" s="574"/>
      <c r="D65" s="575"/>
      <c r="E65" s="151">
        <v>0</v>
      </c>
      <c r="F65" s="153">
        <v>0</v>
      </c>
      <c r="G65" s="319"/>
      <c r="H65" s="320">
        <f t="shared" si="0"/>
        <v>0</v>
      </c>
      <c r="O65" s="112"/>
    </row>
    <row r="66" spans="1:16" s="101" customFormat="1" ht="17.100000000000001" customHeight="1" x14ac:dyDescent="0.25">
      <c r="A66" s="152">
        <v>6</v>
      </c>
      <c r="B66" s="573" t="s">
        <v>168</v>
      </c>
      <c r="C66" s="574"/>
      <c r="D66" s="575"/>
      <c r="E66" s="151">
        <v>0</v>
      </c>
      <c r="F66" s="153">
        <v>0</v>
      </c>
      <c r="G66" s="319"/>
      <c r="H66" s="320">
        <f t="shared" si="0"/>
        <v>0</v>
      </c>
      <c r="O66" s="112"/>
    </row>
    <row r="67" spans="1:16" s="101" customFormat="1" ht="17.100000000000001" customHeight="1" x14ac:dyDescent="0.25">
      <c r="A67" s="152">
        <v>7</v>
      </c>
      <c r="B67" s="576" t="s">
        <v>167</v>
      </c>
      <c r="C67" s="576"/>
      <c r="D67" s="576"/>
      <c r="E67" s="151">
        <v>0</v>
      </c>
      <c r="F67" s="148">
        <v>0</v>
      </c>
      <c r="G67" s="577">
        <f>+E67*F67</f>
        <v>0</v>
      </c>
      <c r="H67" s="578"/>
      <c r="O67" s="112"/>
    </row>
    <row r="68" spans="1:16" s="101" customFormat="1" ht="17.100000000000001" customHeight="1" thickBot="1" x14ac:dyDescent="0.3">
      <c r="A68" s="150">
        <v>8</v>
      </c>
      <c r="B68" s="555" t="s">
        <v>166</v>
      </c>
      <c r="C68" s="556"/>
      <c r="D68" s="557"/>
      <c r="E68" s="149">
        <v>0</v>
      </c>
      <c r="F68" s="148">
        <v>0</v>
      </c>
      <c r="G68" s="147"/>
      <c r="H68" s="146">
        <f t="shared" si="0"/>
        <v>0</v>
      </c>
      <c r="O68" s="112"/>
    </row>
    <row r="69" spans="1:16" s="101" customFormat="1" ht="24.95" customHeight="1" thickTop="1" x14ac:dyDescent="0.25">
      <c r="A69" s="558" t="s">
        <v>165</v>
      </c>
      <c r="B69" s="559"/>
      <c r="C69" s="559"/>
      <c r="D69" s="559"/>
      <c r="E69" s="559"/>
      <c r="F69" s="560"/>
      <c r="G69" s="145"/>
      <c r="H69" s="144">
        <f>SUM(G61:H68)</f>
        <v>0</v>
      </c>
      <c r="N69" s="22"/>
      <c r="O69" s="143"/>
    </row>
    <row r="70" spans="1:16" s="101" customFormat="1" ht="20.100000000000001" customHeight="1" x14ac:dyDescent="0.25">
      <c r="A70" s="138"/>
      <c r="B70" s="137"/>
      <c r="C70" s="137"/>
      <c r="D70" s="137"/>
      <c r="E70" s="137"/>
      <c r="F70" s="137"/>
      <c r="G70" s="22"/>
      <c r="H70" s="142"/>
      <c r="I70" s="137"/>
      <c r="J70" s="136"/>
      <c r="K70" s="315"/>
      <c r="L70" s="315"/>
      <c r="O70" s="112"/>
    </row>
    <row r="71" spans="1:16" s="101" customFormat="1" ht="20.100000000000001" customHeight="1" x14ac:dyDescent="0.25">
      <c r="A71" s="138"/>
      <c r="B71" s="137"/>
      <c r="C71" s="137"/>
      <c r="D71" s="137"/>
      <c r="E71" s="137"/>
      <c r="F71" s="137"/>
      <c r="G71" s="141"/>
      <c r="H71" s="140">
        <f>+H69+H57</f>
        <v>0</v>
      </c>
      <c r="I71" s="139"/>
      <c r="J71" s="136"/>
      <c r="K71" s="315"/>
      <c r="L71" s="315"/>
      <c r="O71" s="112"/>
    </row>
    <row r="72" spans="1:16" s="101" customFormat="1" ht="20.100000000000001" customHeight="1" x14ac:dyDescent="0.25">
      <c r="A72" s="138"/>
      <c r="B72" s="137"/>
      <c r="C72" s="137"/>
      <c r="D72" s="137"/>
      <c r="E72" s="137"/>
      <c r="F72" s="137"/>
      <c r="I72" s="137"/>
      <c r="J72" s="136"/>
      <c r="K72" s="315"/>
      <c r="L72" s="315"/>
      <c r="N72" s="135"/>
      <c r="O72" s="134"/>
    </row>
    <row r="73" spans="1:16" s="101" customFormat="1" ht="24.95" customHeight="1" x14ac:dyDescent="0.25">
      <c r="A73" s="133" t="s">
        <v>58</v>
      </c>
      <c r="B73" s="132"/>
      <c r="C73" s="132"/>
      <c r="D73" s="131"/>
      <c r="E73" s="131"/>
      <c r="F73" s="131"/>
      <c r="G73" s="131"/>
      <c r="H73" s="131"/>
      <c r="I73" s="131"/>
      <c r="J73" s="130"/>
      <c r="K73" s="130"/>
      <c r="L73" s="129"/>
      <c r="M73" s="129"/>
      <c r="N73" s="129"/>
      <c r="O73" s="128"/>
      <c r="P73" s="127"/>
    </row>
    <row r="74" spans="1:16" s="126" customFormat="1" ht="20.100000000000001" customHeight="1" x14ac:dyDescent="0.25">
      <c r="A74" s="561" t="s">
        <v>1</v>
      </c>
      <c r="B74" s="563" t="s">
        <v>164</v>
      </c>
      <c r="C74" s="564"/>
      <c r="D74" s="564"/>
      <c r="E74" s="565"/>
      <c r="F74" s="540" t="s">
        <v>34</v>
      </c>
      <c r="G74" s="566"/>
      <c r="H74" s="566"/>
      <c r="I74" s="541"/>
      <c r="J74" s="540" t="s">
        <v>163</v>
      </c>
      <c r="K74" s="541"/>
      <c r="L74" s="540" t="s">
        <v>162</v>
      </c>
      <c r="M74" s="541"/>
      <c r="N74" s="544"/>
      <c r="O74" s="545"/>
      <c r="P74" s="544"/>
    </row>
    <row r="75" spans="1:16" s="126" customFormat="1" ht="20.100000000000001" customHeight="1" thickBot="1" x14ac:dyDescent="0.3">
      <c r="A75" s="562"/>
      <c r="B75" s="546" t="s">
        <v>161</v>
      </c>
      <c r="C75" s="547"/>
      <c r="D75" s="546" t="s">
        <v>160</v>
      </c>
      <c r="E75" s="547"/>
      <c r="F75" s="542"/>
      <c r="G75" s="567"/>
      <c r="H75" s="567"/>
      <c r="I75" s="543"/>
      <c r="J75" s="542"/>
      <c r="K75" s="543"/>
      <c r="L75" s="542"/>
      <c r="M75" s="543"/>
      <c r="N75" s="544"/>
      <c r="O75" s="545"/>
      <c r="P75" s="544"/>
    </row>
    <row r="76" spans="1:16" s="110" customFormat="1" ht="99.95" customHeight="1" thickTop="1" x14ac:dyDescent="0.25">
      <c r="A76" s="125">
        <v>1</v>
      </c>
      <c r="B76" s="548"/>
      <c r="C76" s="549"/>
      <c r="D76" s="548"/>
      <c r="E76" s="549"/>
      <c r="F76" s="550"/>
      <c r="G76" s="551"/>
      <c r="H76" s="551"/>
      <c r="I76" s="551"/>
      <c r="J76" s="552"/>
      <c r="K76" s="552"/>
      <c r="L76" s="553"/>
      <c r="M76" s="554"/>
      <c r="N76" s="124"/>
      <c r="O76" s="123"/>
      <c r="P76" s="111"/>
    </row>
    <row r="77" spans="1:16" s="110" customFormat="1" ht="21.95" customHeight="1" x14ac:dyDescent="0.25">
      <c r="A77" s="118"/>
      <c r="B77" s="122"/>
      <c r="C77" s="122"/>
      <c r="D77" s="122"/>
      <c r="E77" s="122"/>
      <c r="F77" s="121">
        <f>+F76</f>
        <v>0</v>
      </c>
      <c r="G77" s="114"/>
      <c r="H77" s="114"/>
      <c r="I77" s="114"/>
      <c r="J77" s="114"/>
      <c r="K77" s="114"/>
      <c r="L77" s="114"/>
      <c r="M77" s="113"/>
      <c r="N77" s="113"/>
      <c r="O77" s="120"/>
      <c r="P77" s="119"/>
    </row>
    <row r="78" spans="1:16" s="110" customFormat="1" ht="21.95" customHeight="1" x14ac:dyDescent="0.25">
      <c r="A78" s="118"/>
      <c r="B78" s="122"/>
      <c r="C78" s="122"/>
      <c r="D78" s="122"/>
      <c r="E78" s="122"/>
      <c r="F78" s="114"/>
      <c r="G78" s="114"/>
      <c r="H78" s="114"/>
      <c r="I78" s="114"/>
      <c r="J78" s="114"/>
      <c r="K78" s="114"/>
      <c r="L78" s="114"/>
      <c r="M78" s="113"/>
      <c r="N78" s="113"/>
      <c r="O78" s="120"/>
      <c r="P78" s="119"/>
    </row>
    <row r="79" spans="1:16" s="110" customFormat="1" ht="21.95" customHeight="1" x14ac:dyDescent="0.25">
      <c r="A79" s="118"/>
      <c r="B79" s="536" t="s">
        <v>3</v>
      </c>
      <c r="C79" s="537"/>
      <c r="D79" s="527" t="s">
        <v>159</v>
      </c>
      <c r="E79" s="527" t="s">
        <v>158</v>
      </c>
      <c r="F79" s="527" t="s">
        <v>157</v>
      </c>
      <c r="G79" s="527" t="s">
        <v>156</v>
      </c>
      <c r="H79" s="527" t="s">
        <v>155</v>
      </c>
      <c r="I79" s="527" t="s">
        <v>63</v>
      </c>
      <c r="J79" s="529" t="s">
        <v>62</v>
      </c>
      <c r="K79" s="531" t="s">
        <v>64</v>
      </c>
      <c r="L79" s="114"/>
      <c r="M79" s="113"/>
      <c r="N79" s="477"/>
      <c r="O79" s="478"/>
      <c r="P79" s="111"/>
    </row>
    <row r="80" spans="1:16" s="110" customFormat="1" ht="21.95" customHeight="1" x14ac:dyDescent="0.25">
      <c r="A80" s="118"/>
      <c r="B80" s="538"/>
      <c r="C80" s="539"/>
      <c r="D80" s="528"/>
      <c r="E80" s="528"/>
      <c r="F80" s="528"/>
      <c r="G80" s="528"/>
      <c r="H80" s="528"/>
      <c r="I80" s="528"/>
      <c r="J80" s="530"/>
      <c r="K80" s="531"/>
      <c r="L80" s="114"/>
      <c r="M80" s="113"/>
      <c r="N80" s="315"/>
      <c r="O80" s="316"/>
      <c r="P80" s="111"/>
    </row>
    <row r="81" spans="1:19" s="110" customFormat="1" ht="21.95" customHeight="1" x14ac:dyDescent="0.25">
      <c r="A81" s="118"/>
      <c r="B81" s="511">
        <f>B36</f>
        <v>0</v>
      </c>
      <c r="C81" s="511"/>
      <c r="D81" s="117">
        <f>+J76</f>
        <v>0</v>
      </c>
      <c r="E81" s="532"/>
      <c r="F81" s="532"/>
      <c r="G81" s="115">
        <f>+L76</f>
        <v>0</v>
      </c>
      <c r="H81" s="115">
        <f>+G81*F81*E81</f>
        <v>0</v>
      </c>
      <c r="I81" s="534" t="s">
        <v>154</v>
      </c>
      <c r="J81" s="534" t="s">
        <v>65</v>
      </c>
      <c r="K81" s="534" t="s">
        <v>154</v>
      </c>
      <c r="L81" s="114"/>
      <c r="M81" s="113"/>
      <c r="N81" s="101"/>
      <c r="O81" s="112"/>
      <c r="P81" s="111"/>
    </row>
    <row r="82" spans="1:19" s="110" customFormat="1" ht="21.95" customHeight="1" x14ac:dyDescent="0.25">
      <c r="A82" s="118"/>
      <c r="B82" s="511">
        <f>B39</f>
        <v>0</v>
      </c>
      <c r="C82" s="511"/>
      <c r="D82" s="117">
        <f>+J76</f>
        <v>0</v>
      </c>
      <c r="E82" s="533"/>
      <c r="F82" s="533"/>
      <c r="G82" s="115">
        <f>+L76</f>
        <v>0</v>
      </c>
      <c r="H82" s="115">
        <f>+G82*F82*E82</f>
        <v>0</v>
      </c>
      <c r="I82" s="535"/>
      <c r="J82" s="535"/>
      <c r="K82" s="535"/>
      <c r="L82" s="114"/>
      <c r="M82" s="113"/>
      <c r="N82" s="101"/>
      <c r="O82" s="112"/>
      <c r="P82" s="111"/>
    </row>
    <row r="83" spans="1:19" s="110" customFormat="1" ht="21.95" customHeight="1" x14ac:dyDescent="0.25">
      <c r="A83" s="118"/>
      <c r="B83" s="511">
        <f>B37</f>
        <v>0</v>
      </c>
      <c r="C83" s="511"/>
      <c r="D83" s="117">
        <f>J76</f>
        <v>0</v>
      </c>
      <c r="E83" s="116"/>
      <c r="F83" s="116"/>
      <c r="G83" s="115">
        <f>+L78</f>
        <v>0</v>
      </c>
      <c r="H83" s="115">
        <f>+G83*F83*E83</f>
        <v>0</v>
      </c>
      <c r="I83" s="115" t="s">
        <v>154</v>
      </c>
      <c r="J83" s="115" t="s">
        <v>154</v>
      </c>
      <c r="K83" s="302" t="s">
        <v>154</v>
      </c>
      <c r="L83" s="114"/>
      <c r="M83" s="113"/>
      <c r="N83" s="101"/>
      <c r="O83" s="112"/>
      <c r="P83" s="111"/>
    </row>
    <row r="84" spans="1:19" s="110" customFormat="1" ht="21.95" customHeight="1" x14ac:dyDescent="0.25">
      <c r="A84" s="118"/>
      <c r="B84" s="511">
        <f>B38</f>
        <v>0</v>
      </c>
      <c r="C84" s="511"/>
      <c r="D84" s="117">
        <f>J76</f>
        <v>0</v>
      </c>
      <c r="E84" s="116"/>
      <c r="F84" s="116"/>
      <c r="G84" s="115">
        <f>+L78</f>
        <v>0</v>
      </c>
      <c r="H84" s="115">
        <f>+G84*F84*E84</f>
        <v>0</v>
      </c>
      <c r="I84" s="115" t="s">
        <v>154</v>
      </c>
      <c r="J84" s="115" t="s">
        <v>154</v>
      </c>
      <c r="K84" s="302" t="s">
        <v>154</v>
      </c>
      <c r="L84" s="114"/>
      <c r="M84" s="113"/>
      <c r="N84" s="101"/>
      <c r="O84" s="112"/>
      <c r="P84" s="111"/>
    </row>
    <row r="85" spans="1:19" s="13" customFormat="1" ht="21.95" customHeight="1" x14ac:dyDescent="0.25">
      <c r="A85" s="303"/>
      <c r="B85" s="304"/>
      <c r="C85" s="304"/>
      <c r="D85" s="304"/>
      <c r="E85" s="304"/>
      <c r="F85" s="305"/>
      <c r="G85" s="305"/>
      <c r="H85" s="305"/>
      <c r="I85" s="305"/>
      <c r="J85" s="305"/>
      <c r="K85" s="305"/>
      <c r="L85" s="306"/>
      <c r="M85" s="307"/>
      <c r="N85" s="308"/>
      <c r="O85" s="134"/>
      <c r="P85" s="309"/>
    </row>
    <row r="86" spans="1:19" s="101" customFormat="1" ht="21.95" customHeight="1" thickBot="1" x14ac:dyDescent="0.3">
      <c r="A86" s="109"/>
      <c r="B86" s="108"/>
      <c r="C86" s="108"/>
      <c r="D86" s="107"/>
      <c r="E86" s="107"/>
      <c r="F86" s="107"/>
      <c r="G86" s="107"/>
      <c r="H86" s="107"/>
      <c r="I86" s="107"/>
      <c r="J86" s="106"/>
      <c r="K86" s="106"/>
      <c r="L86" s="105"/>
      <c r="M86" s="105"/>
      <c r="N86" s="104"/>
      <c r="O86" s="103"/>
      <c r="R86" s="102"/>
      <c r="S86" s="102"/>
    </row>
    <row r="87" spans="1:19" ht="15" customHeight="1" thickTop="1" x14ac:dyDescent="0.25">
      <c r="A87" s="512" t="s">
        <v>96</v>
      </c>
      <c r="B87" s="513"/>
      <c r="C87" s="513"/>
      <c r="D87" s="513"/>
      <c r="E87" s="514"/>
      <c r="F87" s="519"/>
      <c r="G87" s="521" t="s">
        <v>153</v>
      </c>
      <c r="H87" s="522"/>
      <c r="I87" s="509" t="s">
        <v>152</v>
      </c>
      <c r="J87" s="509"/>
      <c r="K87" s="100">
        <v>45118</v>
      </c>
      <c r="L87" s="98" t="s">
        <v>38</v>
      </c>
      <c r="M87" s="98"/>
      <c r="N87" s="99"/>
      <c r="O87" s="98"/>
    </row>
    <row r="88" spans="1:19" ht="15" customHeight="1" x14ac:dyDescent="0.25">
      <c r="A88" s="515"/>
      <c r="B88" s="513"/>
      <c r="C88" s="513"/>
      <c r="D88" s="513"/>
      <c r="E88" s="514"/>
      <c r="F88" s="519"/>
      <c r="G88" s="523"/>
      <c r="H88" s="524"/>
      <c r="I88" s="509" t="s">
        <v>151</v>
      </c>
      <c r="J88" s="509"/>
      <c r="K88" s="97">
        <v>44702</v>
      </c>
      <c r="L88" s="95" t="s">
        <v>38</v>
      </c>
      <c r="M88" s="95"/>
      <c r="N88" s="96"/>
      <c r="O88" s="95"/>
    </row>
    <row r="89" spans="1:19" ht="15" customHeight="1" x14ac:dyDescent="0.25">
      <c r="A89" s="515"/>
      <c r="B89" s="513"/>
      <c r="C89" s="513"/>
      <c r="D89" s="513"/>
      <c r="E89" s="514"/>
      <c r="F89" s="519"/>
      <c r="G89" s="523"/>
      <c r="H89" s="524"/>
      <c r="I89" s="509" t="s">
        <v>150</v>
      </c>
      <c r="J89" s="509"/>
      <c r="K89" s="97">
        <v>44314</v>
      </c>
      <c r="L89" s="95" t="s">
        <v>38</v>
      </c>
      <c r="M89" s="95">
        <v>3</v>
      </c>
      <c r="N89" s="96">
        <f>+K87</f>
        <v>45118</v>
      </c>
      <c r="O89" s="95" t="s">
        <v>40</v>
      </c>
    </row>
    <row r="90" spans="1:19" ht="15" customHeight="1" x14ac:dyDescent="0.25">
      <c r="A90" s="515"/>
      <c r="B90" s="513"/>
      <c r="C90" s="513"/>
      <c r="D90" s="513"/>
      <c r="E90" s="514"/>
      <c r="F90" s="519"/>
      <c r="G90" s="523"/>
      <c r="H90" s="524"/>
      <c r="I90" s="509" t="s">
        <v>149</v>
      </c>
      <c r="J90" s="509"/>
      <c r="K90" s="97">
        <v>44147</v>
      </c>
      <c r="L90" s="95" t="s">
        <v>38</v>
      </c>
      <c r="M90" s="95">
        <v>2</v>
      </c>
      <c r="N90" s="96">
        <v>44702</v>
      </c>
      <c r="O90" s="95" t="s">
        <v>148</v>
      </c>
    </row>
    <row r="91" spans="1:19" ht="15" customHeight="1" x14ac:dyDescent="0.25">
      <c r="A91" s="515"/>
      <c r="B91" s="513"/>
      <c r="C91" s="513"/>
      <c r="D91" s="513"/>
      <c r="E91" s="514"/>
      <c r="F91" s="519"/>
      <c r="G91" s="523"/>
      <c r="H91" s="524"/>
      <c r="I91" s="509" t="s">
        <v>95</v>
      </c>
      <c r="J91" s="509"/>
      <c r="K91" s="97">
        <v>45113</v>
      </c>
      <c r="L91" s="95" t="s">
        <v>147</v>
      </c>
      <c r="M91" s="95">
        <v>1</v>
      </c>
      <c r="N91" s="96">
        <v>44314</v>
      </c>
      <c r="O91" s="95" t="s">
        <v>40</v>
      </c>
    </row>
    <row r="92" spans="1:19" s="3" customFormat="1" ht="15" customHeight="1" x14ac:dyDescent="0.25">
      <c r="A92" s="516"/>
      <c r="B92" s="517"/>
      <c r="C92" s="517"/>
      <c r="D92" s="517"/>
      <c r="E92" s="518"/>
      <c r="F92" s="520"/>
      <c r="G92" s="525"/>
      <c r="H92" s="526"/>
      <c r="I92" s="510" t="s">
        <v>93</v>
      </c>
      <c r="J92" s="510"/>
      <c r="K92" s="325" t="s">
        <v>5</v>
      </c>
      <c r="L92" s="325" t="s">
        <v>90</v>
      </c>
      <c r="M92" s="325" t="s">
        <v>91</v>
      </c>
      <c r="N92" s="325" t="s">
        <v>92</v>
      </c>
      <c r="O92" s="325" t="s">
        <v>90</v>
      </c>
    </row>
  </sheetData>
  <mergeCells count="85">
    <mergeCell ref="B22:D22"/>
    <mergeCell ref="A3:H6"/>
    <mergeCell ref="L3:O5"/>
    <mergeCell ref="A10:C10"/>
    <mergeCell ref="L10:M10"/>
    <mergeCell ref="N10:O10"/>
    <mergeCell ref="B35:E35"/>
    <mergeCell ref="B23:D23"/>
    <mergeCell ref="B24:D24"/>
    <mergeCell ref="B25:D25"/>
    <mergeCell ref="A26:D26"/>
    <mergeCell ref="E26:H26"/>
    <mergeCell ref="B29:D29"/>
    <mergeCell ref="B30:D30"/>
    <mergeCell ref="B31:D31"/>
    <mergeCell ref="B32:D32"/>
    <mergeCell ref="A33:D33"/>
    <mergeCell ref="E33:H33"/>
    <mergeCell ref="A40:F40"/>
    <mergeCell ref="A42:O43"/>
    <mergeCell ref="B45:C45"/>
    <mergeCell ref="D45:I45"/>
    <mergeCell ref="B46:C46"/>
    <mergeCell ref="D46:I46"/>
    <mergeCell ref="J46:J47"/>
    <mergeCell ref="K46:K47"/>
    <mergeCell ref="L46:L47"/>
    <mergeCell ref="M46:M47"/>
    <mergeCell ref="B67:D67"/>
    <mergeCell ref="G67:H67"/>
    <mergeCell ref="B47:C47"/>
    <mergeCell ref="D47:I47"/>
    <mergeCell ref="B55:D55"/>
    <mergeCell ref="G55:H55"/>
    <mergeCell ref="B56:D56"/>
    <mergeCell ref="A57:F57"/>
    <mergeCell ref="B60:D60"/>
    <mergeCell ref="G60:H60"/>
    <mergeCell ref="B61:D61"/>
    <mergeCell ref="B65:D65"/>
    <mergeCell ref="B66:D66"/>
    <mergeCell ref="B68:D68"/>
    <mergeCell ref="A69:F69"/>
    <mergeCell ref="A74:A75"/>
    <mergeCell ref="B74:E74"/>
    <mergeCell ref="F74:I75"/>
    <mergeCell ref="B76:C76"/>
    <mergeCell ref="D76:E76"/>
    <mergeCell ref="F76:I76"/>
    <mergeCell ref="J76:K76"/>
    <mergeCell ref="L76:M76"/>
    <mergeCell ref="L74:M75"/>
    <mergeCell ref="N74:O75"/>
    <mergeCell ref="P74:P75"/>
    <mergeCell ref="B75:C75"/>
    <mergeCell ref="D75:E75"/>
    <mergeCell ref="J74:K75"/>
    <mergeCell ref="I79:I80"/>
    <mergeCell ref="J79:J80"/>
    <mergeCell ref="K79:K80"/>
    <mergeCell ref="N79:O79"/>
    <mergeCell ref="B81:C81"/>
    <mergeCell ref="E81:E82"/>
    <mergeCell ref="F81:F82"/>
    <mergeCell ref="I81:I82"/>
    <mergeCell ref="J81:J82"/>
    <mergeCell ref="K81:K82"/>
    <mergeCell ref="B79:C80"/>
    <mergeCell ref="D79:D80"/>
    <mergeCell ref="E79:E80"/>
    <mergeCell ref="F79:F80"/>
    <mergeCell ref="G79:G80"/>
    <mergeCell ref="H79:H80"/>
    <mergeCell ref="I92:J92"/>
    <mergeCell ref="B82:C82"/>
    <mergeCell ref="B83:C83"/>
    <mergeCell ref="B84:C84"/>
    <mergeCell ref="A87:E92"/>
    <mergeCell ref="F87:F92"/>
    <mergeCell ref="G87:H92"/>
    <mergeCell ref="I87:J87"/>
    <mergeCell ref="I88:J88"/>
    <mergeCell ref="I89:J89"/>
    <mergeCell ref="I90:J90"/>
    <mergeCell ref="I91:J91"/>
  </mergeCells>
  <printOptions horizontalCentered="1"/>
  <pageMargins left="0" right="0" top="0.75" bottom="0" header="0.75" footer="0"/>
  <pageSetup paperSize="9" scale="47"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06D3F-43C2-4011-A463-A17C5C023EC5}">
  <sheetPr>
    <tabColor rgb="FFFFFF00"/>
    <pageSetUpPr fitToPage="1"/>
  </sheetPr>
  <dimension ref="A1:AB79"/>
  <sheetViews>
    <sheetView showGridLines="0" view="pageBreakPreview" topLeftCell="A13" zoomScale="70" zoomScaleNormal="80" zoomScaleSheetLayoutView="70" workbookViewId="0">
      <selection activeCell="P21" sqref="P21:Q21"/>
    </sheetView>
  </sheetViews>
  <sheetFormatPr defaultRowHeight="15" x14ac:dyDescent="0.25"/>
  <cols>
    <col min="1" max="1" width="1.7109375" style="1" customWidth="1"/>
    <col min="2" max="2" width="6.7109375" style="1" customWidth="1"/>
    <col min="3" max="3" width="18.7109375" style="2" customWidth="1"/>
    <col min="4" max="5" width="2.7109375" style="2" customWidth="1"/>
    <col min="6" max="6" width="17.7109375" style="2" customWidth="1"/>
    <col min="7" max="7" width="10.5703125" style="1" customWidth="1"/>
    <col min="8" max="9" width="7.7109375" style="1" customWidth="1"/>
    <col min="10" max="10" width="10.42578125" style="1" customWidth="1"/>
    <col min="11" max="13" width="7.7109375" style="1" customWidth="1"/>
    <col min="14" max="14" width="14.7109375" style="1" customWidth="1"/>
    <col min="15" max="15" width="15.7109375" style="1" customWidth="1"/>
    <col min="16" max="16" width="18.5703125" style="1" customWidth="1"/>
    <col min="17" max="18" width="14.7109375" style="1" customWidth="1"/>
    <col min="19" max="19" width="15.7109375" style="1" customWidth="1"/>
    <col min="20" max="23" width="7.7109375" style="1" customWidth="1"/>
    <col min="24" max="24" width="1.7109375" style="1" customWidth="1"/>
    <col min="25" max="54" width="15.7109375" style="1" customWidth="1"/>
    <col min="55" max="16384" width="9.140625" style="1"/>
  </cols>
  <sheetData>
    <row r="1" spans="2:23" x14ac:dyDescent="0.25">
      <c r="W1" s="210" t="s">
        <v>102</v>
      </c>
    </row>
    <row r="2" spans="2:23" ht="20.100000000000001" customHeight="1" x14ac:dyDescent="0.25">
      <c r="B2" s="209" t="s">
        <v>0</v>
      </c>
      <c r="C2" s="312"/>
      <c r="D2" s="312"/>
      <c r="E2" s="312"/>
      <c r="F2" s="312"/>
      <c r="G2" s="208"/>
      <c r="H2" s="208"/>
      <c r="I2" s="208"/>
      <c r="J2" s="208"/>
      <c r="K2" s="207" t="s">
        <v>44</v>
      </c>
      <c r="L2" s="289" t="s">
        <v>45</v>
      </c>
      <c r="M2" s="206"/>
      <c r="N2" s="206" t="s">
        <v>205</v>
      </c>
      <c r="O2" s="206"/>
      <c r="P2" s="206"/>
      <c r="Q2" s="205"/>
      <c r="R2" s="95" t="s">
        <v>50</v>
      </c>
      <c r="S2" s="95" t="s">
        <v>49</v>
      </c>
      <c r="T2" s="502" t="s">
        <v>37</v>
      </c>
      <c r="U2" s="503"/>
      <c r="V2" s="502" t="s">
        <v>36</v>
      </c>
      <c r="W2" s="503"/>
    </row>
    <row r="3" spans="2:23" ht="20.100000000000001" customHeight="1" x14ac:dyDescent="0.25">
      <c r="B3" s="760" t="s">
        <v>204</v>
      </c>
      <c r="C3" s="761"/>
      <c r="D3" s="761"/>
      <c r="E3" s="761"/>
      <c r="F3" s="761"/>
      <c r="G3" s="761"/>
      <c r="H3" s="761"/>
      <c r="I3" s="761"/>
      <c r="J3" s="761"/>
      <c r="K3" s="762"/>
      <c r="L3" s="288" t="s">
        <v>5</v>
      </c>
      <c r="M3" s="204"/>
      <c r="N3" s="204" t="s">
        <v>203</v>
      </c>
      <c r="O3" s="204"/>
      <c r="P3" s="204"/>
      <c r="Q3" s="203"/>
      <c r="R3" s="473" t="s">
        <v>143</v>
      </c>
      <c r="S3" s="474"/>
      <c r="T3" s="474"/>
      <c r="U3" s="474"/>
      <c r="V3" s="474"/>
      <c r="W3" s="475"/>
    </row>
    <row r="4" spans="2:23" ht="20.100000000000001" customHeight="1" x14ac:dyDescent="0.25">
      <c r="B4" s="763"/>
      <c r="C4" s="764"/>
      <c r="D4" s="764"/>
      <c r="E4" s="764"/>
      <c r="F4" s="764"/>
      <c r="G4" s="764"/>
      <c r="H4" s="764"/>
      <c r="I4" s="764"/>
      <c r="J4" s="764"/>
      <c r="K4" s="765"/>
      <c r="L4" s="288" t="s">
        <v>46</v>
      </c>
      <c r="M4" s="204"/>
      <c r="N4" s="204" t="s">
        <v>202</v>
      </c>
      <c r="O4" s="204"/>
      <c r="P4" s="204"/>
      <c r="Q4" s="203"/>
      <c r="R4" s="476"/>
      <c r="S4" s="477"/>
      <c r="T4" s="477"/>
      <c r="U4" s="477"/>
      <c r="V4" s="477"/>
      <c r="W4" s="478"/>
    </row>
    <row r="5" spans="2:23" ht="20.100000000000001" customHeight="1" x14ac:dyDescent="0.25">
      <c r="B5" s="763"/>
      <c r="C5" s="764"/>
      <c r="D5" s="764"/>
      <c r="E5" s="764"/>
      <c r="F5" s="764"/>
      <c r="G5" s="764"/>
      <c r="H5" s="764"/>
      <c r="I5" s="764"/>
      <c r="J5" s="764"/>
      <c r="K5" s="765"/>
      <c r="L5" s="288" t="s">
        <v>201</v>
      </c>
      <c r="M5" s="204"/>
      <c r="N5" s="204" t="s">
        <v>225</v>
      </c>
      <c r="O5" s="204"/>
      <c r="P5" s="204"/>
      <c r="Q5" s="203"/>
      <c r="R5" s="479"/>
      <c r="S5" s="480"/>
      <c r="T5" s="480"/>
      <c r="U5" s="480"/>
      <c r="V5" s="480"/>
      <c r="W5" s="481"/>
    </row>
    <row r="6" spans="2:23" ht="20.100000000000001" customHeight="1" x14ac:dyDescent="0.25">
      <c r="B6" s="766"/>
      <c r="C6" s="767"/>
      <c r="D6" s="767"/>
      <c r="E6" s="767"/>
      <c r="F6" s="767"/>
      <c r="G6" s="767"/>
      <c r="H6" s="767"/>
      <c r="I6" s="767"/>
      <c r="J6" s="767"/>
      <c r="K6" s="768"/>
      <c r="L6" s="287" t="s">
        <v>48</v>
      </c>
      <c r="M6" s="286"/>
      <c r="N6" s="286" t="s">
        <v>199</v>
      </c>
      <c r="O6" s="286"/>
      <c r="P6" s="286"/>
      <c r="Q6" s="285"/>
      <c r="R6" s="95" t="s">
        <v>51</v>
      </c>
      <c r="S6" s="95" t="s">
        <v>40</v>
      </c>
      <c r="T6" s="502" t="s">
        <v>39</v>
      </c>
      <c r="U6" s="503"/>
      <c r="V6" s="502" t="s">
        <v>38</v>
      </c>
      <c r="W6" s="503"/>
    </row>
    <row r="7" spans="2:23" s="264" customFormat="1" ht="15" customHeight="1" x14ac:dyDescent="0.3">
      <c r="B7" s="283"/>
      <c r="C7" s="282"/>
      <c r="D7" s="282"/>
      <c r="E7" s="282"/>
      <c r="F7" s="284"/>
      <c r="G7" s="284"/>
      <c r="H7" s="284"/>
      <c r="I7" s="284"/>
      <c r="W7" s="281"/>
    </row>
    <row r="8" spans="2:23" s="264" customFormat="1" ht="15" customHeight="1" x14ac:dyDescent="0.3">
      <c r="B8" s="283"/>
      <c r="C8" s="282"/>
      <c r="D8" s="282"/>
      <c r="E8" s="282"/>
      <c r="F8" s="282"/>
      <c r="G8" s="282"/>
      <c r="H8" s="282"/>
      <c r="I8" s="282"/>
      <c r="W8" s="281"/>
    </row>
    <row r="9" spans="2:23" s="273" customFormat="1" ht="39.950000000000003" customHeight="1" x14ac:dyDescent="0.35">
      <c r="B9" s="280" t="s">
        <v>8</v>
      </c>
      <c r="C9" s="279"/>
      <c r="D9" s="279"/>
      <c r="E9" s="279"/>
      <c r="F9" s="279"/>
      <c r="G9" s="279"/>
      <c r="H9" s="279"/>
      <c r="I9" s="277" t="str">
        <f>'TAHAP 1'!G8</f>
        <v>: PEMI</v>
      </c>
      <c r="J9" s="279"/>
      <c r="K9" s="279"/>
      <c r="L9" s="279"/>
      <c r="M9" s="279"/>
      <c r="N9" s="279"/>
      <c r="O9" s="279"/>
      <c r="P9" s="275"/>
      <c r="Q9" s="275"/>
      <c r="R9" s="275"/>
      <c r="S9" s="275"/>
      <c r="T9" s="275"/>
      <c r="U9" s="275"/>
      <c r="V9" s="275"/>
      <c r="W9" s="274"/>
    </row>
    <row r="10" spans="2:23" s="273" customFormat="1" ht="39.950000000000003" customHeight="1" x14ac:dyDescent="0.35">
      <c r="B10" s="278" t="s">
        <v>9</v>
      </c>
      <c r="C10" s="276"/>
      <c r="D10" s="276"/>
      <c r="E10" s="276"/>
      <c r="F10" s="276"/>
      <c r="G10" s="276"/>
      <c r="H10" s="276"/>
      <c r="I10" s="277" t="str">
        <f>'TAHAP 1'!G9</f>
        <v>: TRAINING JISHUKEN</v>
      </c>
      <c r="J10" s="276"/>
      <c r="K10" s="276"/>
      <c r="L10" s="276"/>
      <c r="M10" s="276"/>
      <c r="N10" s="276"/>
      <c r="O10" s="276"/>
      <c r="P10" s="275"/>
      <c r="Q10" s="275"/>
      <c r="R10" s="275"/>
      <c r="S10" s="275"/>
      <c r="T10" s="275"/>
      <c r="U10" s="275"/>
      <c r="V10" s="275"/>
      <c r="W10" s="274"/>
    </row>
    <row r="11" spans="2:23" s="229" customFormat="1" ht="20.100000000000001" customHeight="1" x14ac:dyDescent="0.25">
      <c r="B11" s="232"/>
      <c r="C11" s="231"/>
      <c r="D11" s="231"/>
      <c r="E11" s="231"/>
      <c r="F11" s="231"/>
      <c r="N11" s="214"/>
      <c r="O11" s="214"/>
      <c r="P11" s="214"/>
      <c r="Q11" s="214"/>
      <c r="R11" s="214"/>
      <c r="S11" s="214"/>
      <c r="T11" s="214"/>
      <c r="U11" s="214"/>
      <c r="V11" s="214"/>
      <c r="W11" s="230"/>
    </row>
    <row r="12" spans="2:23" s="229" customFormat="1" ht="20.100000000000001" customHeight="1" x14ac:dyDescent="0.25">
      <c r="B12" s="232"/>
      <c r="C12" s="231"/>
      <c r="D12" s="231"/>
      <c r="E12" s="231"/>
      <c r="F12" s="231"/>
      <c r="N12" s="214"/>
      <c r="O12" s="214"/>
      <c r="P12" s="214"/>
      <c r="Q12" s="214"/>
      <c r="R12" s="214"/>
      <c r="S12" s="214"/>
      <c r="T12" s="214"/>
      <c r="U12" s="214"/>
      <c r="V12" s="214"/>
      <c r="W12" s="230"/>
    </row>
    <row r="13" spans="2:23" s="229" customFormat="1" ht="20.100000000000001" customHeight="1" x14ac:dyDescent="0.25">
      <c r="B13" s="232"/>
      <c r="C13" s="231"/>
      <c r="D13" s="231"/>
      <c r="E13" s="231"/>
      <c r="F13" s="231"/>
      <c r="N13" s="214"/>
      <c r="O13" s="214"/>
      <c r="P13" s="214"/>
      <c r="Q13" s="214"/>
      <c r="R13" s="214"/>
      <c r="S13" s="214"/>
      <c r="T13" s="214"/>
      <c r="U13" s="214"/>
      <c r="V13" s="214"/>
      <c r="W13" s="230"/>
    </row>
    <row r="14" spans="2:23" s="214" customFormat="1" ht="24.95" customHeight="1" x14ac:dyDescent="0.25">
      <c r="B14" s="272" t="s">
        <v>224</v>
      </c>
      <c r="C14" s="223"/>
      <c r="D14" s="223"/>
      <c r="E14" s="223"/>
      <c r="F14" s="223"/>
      <c r="W14" s="228"/>
    </row>
    <row r="15" spans="2:23" s="269" customFormat="1" ht="24.95" customHeight="1" x14ac:dyDescent="0.25">
      <c r="B15" s="743" t="s">
        <v>1</v>
      </c>
      <c r="C15" s="696" t="s">
        <v>5</v>
      </c>
      <c r="D15" s="697"/>
      <c r="E15" s="697"/>
      <c r="F15" s="698"/>
      <c r="G15" s="696" t="s">
        <v>4</v>
      </c>
      <c r="H15" s="698"/>
      <c r="I15" s="703" t="s">
        <v>43</v>
      </c>
      <c r="J15" s="704"/>
      <c r="K15" s="751" t="s">
        <v>2</v>
      </c>
      <c r="L15" s="752"/>
      <c r="M15" s="751" t="s">
        <v>3</v>
      </c>
      <c r="N15" s="757"/>
      <c r="O15" s="752"/>
      <c r="P15" s="271">
        <v>1</v>
      </c>
      <c r="Q15" s="271">
        <v>2</v>
      </c>
      <c r="R15" s="271">
        <v>3</v>
      </c>
      <c r="S15" s="271">
        <v>4</v>
      </c>
      <c r="T15" s="681">
        <v>5</v>
      </c>
      <c r="U15" s="683"/>
      <c r="V15" s="270"/>
      <c r="W15" s="730"/>
    </row>
    <row r="16" spans="2:23" s="269" customFormat="1" ht="16.5" customHeight="1" x14ac:dyDescent="0.25">
      <c r="B16" s="744"/>
      <c r="C16" s="699"/>
      <c r="D16" s="700"/>
      <c r="E16" s="700"/>
      <c r="F16" s="701"/>
      <c r="G16" s="699"/>
      <c r="H16" s="701"/>
      <c r="I16" s="705"/>
      <c r="J16" s="706"/>
      <c r="K16" s="753"/>
      <c r="L16" s="754"/>
      <c r="M16" s="753"/>
      <c r="N16" s="758"/>
      <c r="O16" s="754"/>
      <c r="P16" s="731" t="s">
        <v>223</v>
      </c>
      <c r="Q16" s="734" t="s">
        <v>146</v>
      </c>
      <c r="R16" s="734" t="s">
        <v>222</v>
      </c>
      <c r="S16" s="734" t="s">
        <v>221</v>
      </c>
      <c r="T16" s="737" t="s">
        <v>220</v>
      </c>
      <c r="U16" s="738"/>
      <c r="V16" s="270"/>
      <c r="W16" s="730"/>
    </row>
    <row r="17" spans="2:28" s="269" customFormat="1" ht="16.5" customHeight="1" x14ac:dyDescent="0.25">
      <c r="B17" s="744"/>
      <c r="C17" s="699"/>
      <c r="D17" s="700"/>
      <c r="E17" s="700"/>
      <c r="F17" s="701"/>
      <c r="G17" s="699"/>
      <c r="H17" s="701"/>
      <c r="I17" s="705"/>
      <c r="J17" s="706"/>
      <c r="K17" s="753"/>
      <c r="L17" s="754"/>
      <c r="M17" s="753"/>
      <c r="N17" s="758"/>
      <c r="O17" s="754"/>
      <c r="P17" s="732"/>
      <c r="Q17" s="735"/>
      <c r="R17" s="735"/>
      <c r="S17" s="735"/>
      <c r="T17" s="739"/>
      <c r="U17" s="740"/>
      <c r="V17" s="270"/>
      <c r="W17" s="730"/>
    </row>
    <row r="18" spans="2:28" s="269" customFormat="1" ht="17.100000000000001" customHeight="1" x14ac:dyDescent="0.25">
      <c r="B18" s="745"/>
      <c r="C18" s="746"/>
      <c r="D18" s="747"/>
      <c r="E18" s="747"/>
      <c r="F18" s="748"/>
      <c r="G18" s="746"/>
      <c r="H18" s="748"/>
      <c r="I18" s="749"/>
      <c r="J18" s="750"/>
      <c r="K18" s="755"/>
      <c r="L18" s="756"/>
      <c r="M18" s="755"/>
      <c r="N18" s="759"/>
      <c r="O18" s="756"/>
      <c r="P18" s="733"/>
      <c r="Q18" s="736"/>
      <c r="R18" s="736"/>
      <c r="S18" s="736"/>
      <c r="T18" s="741"/>
      <c r="U18" s="742"/>
      <c r="V18" s="270"/>
      <c r="W18" s="730"/>
    </row>
    <row r="19" spans="2:28" s="261" customFormat="1" ht="99.95" customHeight="1" x14ac:dyDescent="0.25">
      <c r="B19" s="267">
        <v>1</v>
      </c>
      <c r="C19" s="266">
        <f>'TAHAP 1'!C13</f>
        <v>45530</v>
      </c>
      <c r="D19" s="729" t="s">
        <v>6</v>
      </c>
      <c r="E19" s="729"/>
      <c r="F19" s="268">
        <f>'TAHAP 1'!F13</f>
        <v>45569</v>
      </c>
      <c r="G19" s="717" t="str">
        <f>'TAHAP 1'!G13</f>
        <v>NYS/PI</v>
      </c>
      <c r="H19" s="718"/>
      <c r="I19" s="717" t="str">
        <f>'TAHAP 1'!I13</f>
        <v>COORD. SPV</v>
      </c>
      <c r="J19" s="718"/>
      <c r="K19" s="717">
        <f>'TAHAP 1'!K13</f>
        <v>5533</v>
      </c>
      <c r="L19" s="718"/>
      <c r="M19" s="719" t="str">
        <f>'TAHAP 1'!M13</f>
        <v>NANANG YUDI PRASETYO</v>
      </c>
      <c r="N19" s="720"/>
      <c r="O19" s="721"/>
      <c r="P19" s="329" t="s">
        <v>227</v>
      </c>
      <c r="Q19" s="329" t="s">
        <v>7</v>
      </c>
      <c r="R19" s="617" t="s">
        <v>226</v>
      </c>
      <c r="S19" s="617" t="s">
        <v>228</v>
      </c>
      <c r="T19" s="619" t="s">
        <v>219</v>
      </c>
      <c r="U19" s="620"/>
      <c r="V19" s="264"/>
      <c r="W19" s="263"/>
      <c r="Y19" s="262" t="str">
        <f>+G19</f>
        <v>NYS/PI</v>
      </c>
      <c r="Z19" s="262" t="str">
        <f>+I19</f>
        <v>COORD. SPV</v>
      </c>
      <c r="AA19" s="262">
        <f>+K19</f>
        <v>5533</v>
      </c>
      <c r="AB19" s="262" t="str">
        <f>+M19</f>
        <v>NANANG YUDI PRASETYO</v>
      </c>
    </row>
    <row r="20" spans="2:28" s="261" customFormat="1" ht="99.95" customHeight="1" x14ac:dyDescent="0.25">
      <c r="B20" s="267">
        <v>2</v>
      </c>
      <c r="C20" s="266">
        <f>'TAHAP 1'!C14</f>
        <v>45530</v>
      </c>
      <c r="D20" s="723" t="s">
        <v>6</v>
      </c>
      <c r="E20" s="723"/>
      <c r="F20" s="268">
        <f>'TAHAP 1'!F14</f>
        <v>45569</v>
      </c>
      <c r="G20" s="717" t="str">
        <f>'TAHAP 1'!G14</f>
        <v>NYS/PI</v>
      </c>
      <c r="H20" s="718"/>
      <c r="I20" s="717" t="str">
        <f>'TAHAP 1'!I14</f>
        <v>SPV</v>
      </c>
      <c r="J20" s="718"/>
      <c r="K20" s="717">
        <f>'TAHAP 1'!K14</f>
        <v>13647</v>
      </c>
      <c r="L20" s="718"/>
      <c r="M20" s="719" t="str">
        <f>'TAHAP 1'!M14</f>
        <v>ADITYA FAHRIZAL</v>
      </c>
      <c r="N20" s="720"/>
      <c r="O20" s="721"/>
      <c r="P20" s="329" t="s">
        <v>237</v>
      </c>
      <c r="Q20" s="336" t="s">
        <v>7</v>
      </c>
      <c r="R20" s="618"/>
      <c r="S20" s="618"/>
      <c r="T20" s="621"/>
      <c r="U20" s="622"/>
      <c r="V20" s="264"/>
      <c r="W20" s="263"/>
      <c r="Y20" s="262" t="str">
        <f t="shared" ref="Y20" si="0">+G20</f>
        <v>NYS/PI</v>
      </c>
      <c r="Z20" s="262" t="str">
        <f t="shared" ref="Z20" si="1">+I20</f>
        <v>SPV</v>
      </c>
      <c r="AA20" s="262">
        <f t="shared" ref="AA20" si="2">+K20</f>
        <v>13647</v>
      </c>
      <c r="AB20" s="262" t="str">
        <f t="shared" ref="AB20" si="3">+M20</f>
        <v>ADITYA FAHRIZAL</v>
      </c>
    </row>
    <row r="21" spans="2:28" s="261" customFormat="1" ht="99.95" customHeight="1" x14ac:dyDescent="0.25">
      <c r="B21" s="267">
        <v>2</v>
      </c>
      <c r="C21" s="266"/>
      <c r="D21" s="723"/>
      <c r="E21" s="723"/>
      <c r="F21" s="268"/>
      <c r="G21" s="717">
        <f>'TAHAP 1'!G15</f>
        <v>0</v>
      </c>
      <c r="H21" s="718"/>
      <c r="I21" s="717">
        <f>'TAHAP 1'!I15</f>
        <v>0</v>
      </c>
      <c r="J21" s="718"/>
      <c r="K21" s="717">
        <f>'TAHAP 1'!K15</f>
        <v>0</v>
      </c>
      <c r="L21" s="718"/>
      <c r="M21" s="719">
        <f>'TAHAP 1'!M15</f>
        <v>0</v>
      </c>
      <c r="N21" s="720"/>
      <c r="O21" s="721"/>
      <c r="P21" s="336"/>
      <c r="Q21" s="336"/>
      <c r="R21" s="722"/>
      <c r="S21" s="337"/>
      <c r="T21" s="339"/>
      <c r="U21" s="340"/>
      <c r="V21" s="264"/>
      <c r="W21" s="263"/>
      <c r="Y21" s="262">
        <f t="shared" ref="Y21" si="4">+G21</f>
        <v>0</v>
      </c>
      <c r="Z21" s="262">
        <f t="shared" ref="Z21" si="5">+I21</f>
        <v>0</v>
      </c>
      <c r="AA21" s="262">
        <f t="shared" ref="AA21" si="6">+K21</f>
        <v>0</v>
      </c>
      <c r="AB21" s="262">
        <f t="shared" ref="AB21" si="7">+M21</f>
        <v>0</v>
      </c>
    </row>
    <row r="22" spans="2:28" s="261" customFormat="1" ht="99.95" customHeight="1" x14ac:dyDescent="0.25">
      <c r="B22" s="267"/>
      <c r="C22" s="266"/>
      <c r="D22" s="723"/>
      <c r="E22" s="723"/>
      <c r="F22" s="265"/>
      <c r="G22" s="724"/>
      <c r="H22" s="725"/>
      <c r="I22" s="724"/>
      <c r="J22" s="725"/>
      <c r="K22" s="724"/>
      <c r="L22" s="725"/>
      <c r="M22" s="726"/>
      <c r="N22" s="727"/>
      <c r="O22" s="728"/>
      <c r="P22" s="329"/>
      <c r="Q22" s="329"/>
      <c r="R22" s="722"/>
      <c r="S22" s="338"/>
      <c r="T22" s="341"/>
      <c r="U22" s="342"/>
      <c r="V22" s="264"/>
      <c r="W22" s="263"/>
      <c r="Y22" s="262">
        <f t="shared" ref="Y22" si="8">+G22</f>
        <v>0</v>
      </c>
      <c r="Z22" s="262">
        <f t="shared" ref="Z22" si="9">+I22</f>
        <v>0</v>
      </c>
      <c r="AA22" s="262">
        <f t="shared" ref="AA22" si="10">+K22</f>
        <v>0</v>
      </c>
      <c r="AB22" s="262">
        <f t="shared" ref="AB22" si="11">+M22</f>
        <v>0</v>
      </c>
    </row>
    <row r="23" spans="2:28" s="229" customFormat="1" x14ac:dyDescent="0.25">
      <c r="B23" s="232"/>
      <c r="C23" s="231"/>
      <c r="D23" s="231"/>
      <c r="E23" s="231"/>
      <c r="F23" s="231"/>
      <c r="W23" s="230"/>
    </row>
    <row r="24" spans="2:28" s="229" customFormat="1" x14ac:dyDescent="0.25">
      <c r="B24" s="232"/>
      <c r="C24" s="231"/>
      <c r="D24" s="231"/>
      <c r="E24" s="231"/>
      <c r="F24" s="231"/>
      <c r="W24" s="230"/>
    </row>
    <row r="25" spans="2:28" s="229" customFormat="1" x14ac:dyDescent="0.25">
      <c r="B25" s="232"/>
      <c r="C25" s="231"/>
      <c r="D25" s="231"/>
      <c r="E25" s="231"/>
      <c r="F25" s="231"/>
      <c r="W25" s="230"/>
    </row>
    <row r="26" spans="2:28" s="229" customFormat="1" x14ac:dyDescent="0.25">
      <c r="B26" s="232"/>
      <c r="C26" s="231"/>
      <c r="D26" s="231"/>
      <c r="E26" s="231"/>
      <c r="F26" s="231"/>
      <c r="W26" s="230"/>
    </row>
    <row r="27" spans="2:28" s="229" customFormat="1" x14ac:dyDescent="0.25">
      <c r="B27" s="232"/>
      <c r="C27" s="231"/>
      <c r="D27" s="231"/>
      <c r="E27" s="231"/>
      <c r="F27" s="231"/>
      <c r="W27" s="230"/>
    </row>
    <row r="28" spans="2:28" s="223" customFormat="1" ht="27.95" customHeight="1" x14ac:dyDescent="0.25">
      <c r="B28" s="690" t="s">
        <v>218</v>
      </c>
      <c r="C28" s="691"/>
      <c r="D28" s="691"/>
      <c r="E28" s="691"/>
      <c r="F28" s="691"/>
      <c r="G28" s="691"/>
      <c r="H28" s="691"/>
      <c r="I28" s="691"/>
      <c r="J28" s="691"/>
      <c r="K28" s="692"/>
      <c r="L28" s="696" t="s">
        <v>188</v>
      </c>
      <c r="M28" s="697"/>
      <c r="N28" s="698"/>
      <c r="O28" s="684" t="s">
        <v>217</v>
      </c>
      <c r="P28" s="685"/>
      <c r="Q28" s="685"/>
      <c r="R28" s="686"/>
      <c r="S28" s="702" t="s">
        <v>216</v>
      </c>
      <c r="T28" s="702"/>
      <c r="U28" s="702"/>
      <c r="V28" s="702"/>
      <c r="W28" s="235"/>
    </row>
    <row r="29" spans="2:28" s="223" customFormat="1" ht="30" customHeight="1" x14ac:dyDescent="0.25">
      <c r="B29" s="690"/>
      <c r="C29" s="691"/>
      <c r="D29" s="691"/>
      <c r="E29" s="691"/>
      <c r="F29" s="691"/>
      <c r="G29" s="691"/>
      <c r="H29" s="691"/>
      <c r="I29" s="691"/>
      <c r="J29" s="691"/>
      <c r="K29" s="692"/>
      <c r="L29" s="699"/>
      <c r="M29" s="700"/>
      <c r="N29" s="701"/>
      <c r="O29" s="703" t="s">
        <v>238</v>
      </c>
      <c r="P29" s="704"/>
      <c r="Q29" s="703" t="s">
        <v>215</v>
      </c>
      <c r="R29" s="704"/>
      <c r="S29" s="707"/>
      <c r="T29" s="708"/>
      <c r="U29" s="708"/>
      <c r="V29" s="709"/>
      <c r="W29" s="235"/>
    </row>
    <row r="30" spans="2:28" s="223" customFormat="1" ht="50.1" customHeight="1" x14ac:dyDescent="0.25">
      <c r="B30" s="690"/>
      <c r="C30" s="691"/>
      <c r="D30" s="691"/>
      <c r="E30" s="691"/>
      <c r="F30" s="691"/>
      <c r="G30" s="691"/>
      <c r="H30" s="691"/>
      <c r="I30" s="691"/>
      <c r="J30" s="691"/>
      <c r="K30" s="692"/>
      <c r="L30" s="326"/>
      <c r="M30" s="327"/>
      <c r="N30" s="328"/>
      <c r="O30" s="705"/>
      <c r="P30" s="706"/>
      <c r="Q30" s="713" t="s">
        <v>229</v>
      </c>
      <c r="R30" s="714"/>
      <c r="S30" s="710"/>
      <c r="T30" s="711"/>
      <c r="U30" s="711"/>
      <c r="V30" s="712"/>
      <c r="W30" s="235"/>
    </row>
    <row r="31" spans="2:28" s="223" customFormat="1" ht="50.1" customHeight="1" x14ac:dyDescent="0.25">
      <c r="B31" s="690"/>
      <c r="C31" s="691"/>
      <c r="D31" s="691"/>
      <c r="E31" s="691"/>
      <c r="F31" s="691"/>
      <c r="G31" s="691"/>
      <c r="H31" s="691"/>
      <c r="I31" s="691"/>
      <c r="J31" s="691"/>
      <c r="K31" s="692"/>
      <c r="L31" s="260"/>
      <c r="M31" s="259"/>
      <c r="N31" s="258"/>
      <c r="O31" s="705"/>
      <c r="P31" s="706"/>
      <c r="Q31" s="713" t="s">
        <v>230</v>
      </c>
      <c r="R31" s="714"/>
      <c r="S31" s="710"/>
      <c r="T31" s="711"/>
      <c r="U31" s="711"/>
      <c r="V31" s="712"/>
      <c r="W31" s="235"/>
    </row>
    <row r="32" spans="2:28" s="223" customFormat="1" ht="60" hidden="1" customHeight="1" x14ac:dyDescent="0.25">
      <c r="B32" s="690"/>
      <c r="C32" s="691"/>
      <c r="D32" s="691"/>
      <c r="E32" s="691"/>
      <c r="F32" s="691"/>
      <c r="G32" s="691"/>
      <c r="H32" s="691"/>
      <c r="I32" s="691"/>
      <c r="J32" s="691"/>
      <c r="K32" s="692"/>
      <c r="L32" s="260"/>
      <c r="M32" s="259"/>
      <c r="N32" s="258"/>
      <c r="O32" s="715"/>
      <c r="P32" s="716"/>
      <c r="Q32" s="255"/>
      <c r="R32" s="254"/>
      <c r="S32" s="253"/>
      <c r="T32" s="252"/>
      <c r="U32" s="252"/>
      <c r="V32" s="251"/>
      <c r="W32" s="235"/>
    </row>
    <row r="33" spans="2:23" s="223" customFormat="1" ht="27.95" hidden="1" customHeight="1" x14ac:dyDescent="0.25">
      <c r="B33" s="690"/>
      <c r="C33" s="691"/>
      <c r="D33" s="691"/>
      <c r="E33" s="691"/>
      <c r="F33" s="691"/>
      <c r="G33" s="691"/>
      <c r="H33" s="691"/>
      <c r="I33" s="691"/>
      <c r="J33" s="691"/>
      <c r="K33" s="692"/>
      <c r="L33" s="260"/>
      <c r="M33" s="259"/>
      <c r="N33" s="258"/>
      <c r="O33" s="257"/>
      <c r="P33" s="256"/>
      <c r="Q33" s="255"/>
      <c r="R33" s="254"/>
      <c r="S33" s="253"/>
      <c r="T33" s="252"/>
      <c r="U33" s="252"/>
      <c r="V33" s="251"/>
      <c r="W33" s="235"/>
    </row>
    <row r="34" spans="2:23" s="223" customFormat="1" ht="60" hidden="1" customHeight="1" x14ac:dyDescent="0.25">
      <c r="B34" s="693"/>
      <c r="C34" s="694"/>
      <c r="D34" s="694"/>
      <c r="E34" s="694"/>
      <c r="F34" s="694"/>
      <c r="G34" s="694"/>
      <c r="H34" s="694"/>
      <c r="I34" s="694"/>
      <c r="J34" s="694"/>
      <c r="K34" s="695"/>
      <c r="L34" s="250"/>
      <c r="M34" s="249"/>
      <c r="N34" s="248"/>
      <c r="O34" s="679"/>
      <c r="P34" s="680"/>
      <c r="Q34" s="247"/>
      <c r="R34" s="246"/>
      <c r="S34" s="245"/>
      <c r="T34" s="244"/>
      <c r="U34" s="244"/>
      <c r="V34" s="243"/>
      <c r="W34" s="235"/>
    </row>
    <row r="35" spans="2:23" s="223" customFormat="1" ht="50.1" customHeight="1" x14ac:dyDescent="0.25">
      <c r="B35" s="334" t="s">
        <v>1</v>
      </c>
      <c r="C35" s="681" t="s">
        <v>3</v>
      </c>
      <c r="D35" s="682"/>
      <c r="E35" s="682"/>
      <c r="F35" s="683"/>
      <c r="G35" s="334" t="s">
        <v>2</v>
      </c>
      <c r="H35" s="684" t="s">
        <v>214</v>
      </c>
      <c r="I35" s="685"/>
      <c r="J35" s="685"/>
      <c r="K35" s="686"/>
      <c r="L35" s="687" t="s">
        <v>156</v>
      </c>
      <c r="M35" s="688"/>
      <c r="N35" s="242" t="s">
        <v>212</v>
      </c>
      <c r="O35" s="335" t="s">
        <v>213</v>
      </c>
      <c r="P35" s="335" t="s">
        <v>212</v>
      </c>
      <c r="Q35" s="335" t="s">
        <v>213</v>
      </c>
      <c r="R35" s="335" t="s">
        <v>212</v>
      </c>
      <c r="S35" s="335" t="s">
        <v>213</v>
      </c>
      <c r="T35" s="689" t="s">
        <v>212</v>
      </c>
      <c r="U35" s="689"/>
      <c r="V35" s="689"/>
      <c r="W35" s="235" t="s">
        <v>211</v>
      </c>
    </row>
    <row r="36" spans="2:23" s="233" customFormat="1" ht="50.1" customHeight="1" x14ac:dyDescent="0.25">
      <c r="B36" s="238">
        <f>+'TAPAH 2.2 (Rincian)'!A36</f>
        <v>1</v>
      </c>
      <c r="C36" s="241"/>
      <c r="D36" s="240"/>
      <c r="E36" s="240"/>
      <c r="F36" s="239"/>
      <c r="G36" s="238"/>
      <c r="H36" s="675"/>
      <c r="I36" s="676"/>
      <c r="J36" s="676"/>
      <c r="K36" s="677"/>
      <c r="L36" s="670"/>
      <c r="M36" s="671"/>
      <c r="N36" s="310"/>
      <c r="O36" s="311">
        <f>+'TAPAH 2.2 (Rincian)'!J48</f>
        <v>0</v>
      </c>
      <c r="P36" s="333"/>
      <c r="Q36" s="236"/>
      <c r="R36" s="237"/>
      <c r="S36" s="236">
        <f>+'TAPAH 2.2 (Rincian)'!H81</f>
        <v>0</v>
      </c>
      <c r="T36" s="678"/>
      <c r="U36" s="678"/>
      <c r="V36" s="678"/>
      <c r="W36" s="234"/>
    </row>
    <row r="37" spans="2:23" s="233" customFormat="1" ht="50.1" customHeight="1" x14ac:dyDescent="0.25">
      <c r="B37" s="238">
        <v>2</v>
      </c>
      <c r="C37" s="241"/>
      <c r="D37" s="240"/>
      <c r="E37" s="240"/>
      <c r="F37" s="239"/>
      <c r="G37" s="238"/>
      <c r="H37" s="330"/>
      <c r="I37" s="331"/>
      <c r="J37" s="331"/>
      <c r="K37" s="332"/>
      <c r="L37" s="670"/>
      <c r="M37" s="671"/>
      <c r="N37" s="310"/>
      <c r="O37" s="311">
        <f>+'TAPAH 2.2 (Rincian)'!J48</f>
        <v>0</v>
      </c>
      <c r="P37" s="333"/>
      <c r="Q37" s="236"/>
      <c r="R37" s="237"/>
      <c r="S37" s="236">
        <f>+'TAPAH 2.2 (Rincian)'!H82</f>
        <v>0</v>
      </c>
      <c r="T37" s="672"/>
      <c r="U37" s="673"/>
      <c r="V37" s="674"/>
      <c r="W37" s="234"/>
    </row>
    <row r="38" spans="2:23" s="223" customFormat="1" ht="35.1" customHeight="1" x14ac:dyDescent="0.25">
      <c r="B38" s="666" t="s">
        <v>210</v>
      </c>
      <c r="C38" s="666"/>
      <c r="D38" s="666"/>
      <c r="E38" s="666"/>
      <c r="F38" s="666"/>
      <c r="G38" s="666"/>
      <c r="H38" s="666"/>
      <c r="I38" s="666"/>
      <c r="J38" s="666"/>
      <c r="K38" s="666"/>
      <c r="L38" s="667">
        <f>SUM(L36:M37)</f>
        <v>0</v>
      </c>
      <c r="M38" s="667"/>
      <c r="N38" s="667"/>
      <c r="O38" s="667">
        <f>SUM(O36:O37)</f>
        <v>0</v>
      </c>
      <c r="P38" s="667"/>
      <c r="Q38" s="667">
        <f>SUM(Q36:Q37)</f>
        <v>0</v>
      </c>
      <c r="R38" s="667"/>
      <c r="S38" s="667">
        <f>SUM(S36:S37)</f>
        <v>0</v>
      </c>
      <c r="T38" s="667"/>
      <c r="U38" s="667"/>
      <c r="V38" s="667"/>
      <c r="W38" s="235"/>
    </row>
    <row r="39" spans="2:23" s="233" customFormat="1" ht="45" customHeight="1" x14ac:dyDescent="0.25">
      <c r="B39" s="668" t="s">
        <v>155</v>
      </c>
      <c r="C39" s="668"/>
      <c r="D39" s="668"/>
      <c r="E39" s="668"/>
      <c r="F39" s="668"/>
      <c r="G39" s="668"/>
      <c r="H39" s="668"/>
      <c r="I39" s="668"/>
      <c r="J39" s="668"/>
      <c r="K39" s="668"/>
      <c r="L39" s="669">
        <f>SUM(L38:V38)</f>
        <v>0</v>
      </c>
      <c r="M39" s="669"/>
      <c r="N39" s="669"/>
      <c r="O39" s="669"/>
      <c r="P39" s="669"/>
      <c r="Q39" s="669"/>
      <c r="R39" s="669"/>
      <c r="S39" s="669"/>
      <c r="T39" s="669"/>
      <c r="U39" s="669"/>
      <c r="V39" s="669"/>
      <c r="W39" s="234"/>
    </row>
    <row r="40" spans="2:23" s="229" customFormat="1" ht="20.100000000000001" customHeight="1" x14ac:dyDescent="0.25">
      <c r="B40" s="232"/>
      <c r="C40" s="231"/>
      <c r="D40" s="231"/>
      <c r="E40" s="231"/>
      <c r="F40" s="231"/>
      <c r="W40" s="230"/>
    </row>
    <row r="41" spans="2:23" s="229" customFormat="1" ht="20.100000000000001" customHeight="1" x14ac:dyDescent="0.25">
      <c r="B41" s="232"/>
      <c r="C41" s="231"/>
      <c r="D41" s="231"/>
      <c r="E41" s="231"/>
      <c r="F41" s="231"/>
      <c r="W41" s="230"/>
    </row>
    <row r="42" spans="2:23" s="229" customFormat="1" ht="20.100000000000001" customHeight="1" x14ac:dyDescent="0.25">
      <c r="B42" s="629" t="s">
        <v>209</v>
      </c>
      <c r="C42" s="630"/>
      <c r="D42" s="630"/>
      <c r="E42" s="630"/>
      <c r="F42" s="630"/>
      <c r="G42" s="630"/>
      <c r="H42" s="630"/>
      <c r="I42" s="630"/>
      <c r="J42" s="630"/>
      <c r="K42" s="630"/>
      <c r="L42" s="630"/>
      <c r="M42" s="630"/>
      <c r="N42" s="630"/>
      <c r="O42" s="630"/>
      <c r="P42" s="630"/>
      <c r="Q42" s="630"/>
      <c r="R42" s="631"/>
      <c r="S42" s="227"/>
      <c r="T42" s="638" t="s">
        <v>208</v>
      </c>
      <c r="U42" s="639"/>
      <c r="V42" s="640"/>
      <c r="W42" s="230"/>
    </row>
    <row r="43" spans="2:23" s="229" customFormat="1" ht="20.100000000000001" customHeight="1" x14ac:dyDescent="0.25">
      <c r="B43" s="632"/>
      <c r="C43" s="633"/>
      <c r="D43" s="633"/>
      <c r="E43" s="633"/>
      <c r="F43" s="633"/>
      <c r="G43" s="633"/>
      <c r="H43" s="633"/>
      <c r="I43" s="633"/>
      <c r="J43" s="633"/>
      <c r="K43" s="633"/>
      <c r="L43" s="633"/>
      <c r="M43" s="633"/>
      <c r="N43" s="633"/>
      <c r="O43" s="633"/>
      <c r="P43" s="633"/>
      <c r="Q43" s="633"/>
      <c r="R43" s="634"/>
      <c r="S43" s="227"/>
      <c r="T43" s="641"/>
      <c r="U43" s="642"/>
      <c r="V43" s="643"/>
      <c r="W43" s="230"/>
    </row>
    <row r="44" spans="2:23" s="229" customFormat="1" ht="20.100000000000001" customHeight="1" x14ac:dyDescent="0.25">
      <c r="B44" s="632"/>
      <c r="C44" s="633"/>
      <c r="D44" s="633"/>
      <c r="E44" s="633"/>
      <c r="F44" s="633"/>
      <c r="G44" s="633"/>
      <c r="H44" s="633"/>
      <c r="I44" s="633"/>
      <c r="J44" s="633"/>
      <c r="K44" s="633"/>
      <c r="L44" s="633"/>
      <c r="M44" s="633"/>
      <c r="N44" s="633"/>
      <c r="O44" s="633"/>
      <c r="P44" s="633"/>
      <c r="Q44" s="633"/>
      <c r="R44" s="634"/>
      <c r="S44" s="227"/>
      <c r="T44" s="644"/>
      <c r="U44" s="645"/>
      <c r="V44" s="646"/>
      <c r="W44" s="230"/>
    </row>
    <row r="45" spans="2:23" s="229" customFormat="1" ht="20.100000000000001" customHeight="1" x14ac:dyDescent="0.25">
      <c r="B45" s="632"/>
      <c r="C45" s="633"/>
      <c r="D45" s="633"/>
      <c r="E45" s="633"/>
      <c r="F45" s="633"/>
      <c r="G45" s="633"/>
      <c r="H45" s="633"/>
      <c r="I45" s="633"/>
      <c r="J45" s="633"/>
      <c r="K45" s="633"/>
      <c r="L45" s="633"/>
      <c r="M45" s="633"/>
      <c r="N45" s="633"/>
      <c r="O45" s="633"/>
      <c r="P45" s="633"/>
      <c r="Q45" s="633"/>
      <c r="R45" s="634"/>
      <c r="S45" s="227"/>
      <c r="T45" s="619" t="s">
        <v>207</v>
      </c>
      <c r="U45" s="647"/>
      <c r="V45" s="620"/>
      <c r="W45" s="230"/>
    </row>
    <row r="46" spans="2:23" s="214" customFormat="1" ht="20.100000000000001" customHeight="1" x14ac:dyDescent="0.25">
      <c r="B46" s="632"/>
      <c r="C46" s="633"/>
      <c r="D46" s="633"/>
      <c r="E46" s="633"/>
      <c r="F46" s="633"/>
      <c r="G46" s="633"/>
      <c r="H46" s="633"/>
      <c r="I46" s="633"/>
      <c r="J46" s="633"/>
      <c r="K46" s="633"/>
      <c r="L46" s="633"/>
      <c r="M46" s="633"/>
      <c r="N46" s="633"/>
      <c r="O46" s="633"/>
      <c r="P46" s="633"/>
      <c r="Q46" s="633"/>
      <c r="R46" s="634"/>
      <c r="S46" s="227"/>
      <c r="T46" s="648"/>
      <c r="U46" s="649"/>
      <c r="V46" s="650"/>
      <c r="W46" s="228"/>
    </row>
    <row r="47" spans="2:23" s="214" customFormat="1" ht="20.100000000000001" customHeight="1" x14ac:dyDescent="0.25">
      <c r="B47" s="632"/>
      <c r="C47" s="633"/>
      <c r="D47" s="633"/>
      <c r="E47" s="633"/>
      <c r="F47" s="633"/>
      <c r="G47" s="633"/>
      <c r="H47" s="633"/>
      <c r="I47" s="633"/>
      <c r="J47" s="633"/>
      <c r="K47" s="633"/>
      <c r="L47" s="633"/>
      <c r="M47" s="633"/>
      <c r="N47" s="633"/>
      <c r="O47" s="633"/>
      <c r="P47" s="633"/>
      <c r="Q47" s="633"/>
      <c r="R47" s="634"/>
      <c r="S47" s="227"/>
      <c r="T47" s="648"/>
      <c r="U47" s="649"/>
      <c r="V47" s="650"/>
      <c r="W47" s="226"/>
    </row>
    <row r="48" spans="2:23" s="214" customFormat="1" ht="20.100000000000001" customHeight="1" x14ac:dyDescent="0.25">
      <c r="B48" s="635"/>
      <c r="C48" s="636"/>
      <c r="D48" s="636"/>
      <c r="E48" s="636"/>
      <c r="F48" s="636"/>
      <c r="G48" s="636"/>
      <c r="H48" s="636"/>
      <c r="I48" s="636"/>
      <c r="J48" s="636"/>
      <c r="K48" s="636"/>
      <c r="L48" s="636"/>
      <c r="M48" s="636"/>
      <c r="N48" s="636"/>
      <c r="O48" s="636"/>
      <c r="P48" s="636"/>
      <c r="Q48" s="636"/>
      <c r="R48" s="637"/>
      <c r="S48" s="227"/>
      <c r="T48" s="621"/>
      <c r="U48" s="651"/>
      <c r="V48" s="622"/>
      <c r="W48" s="226"/>
    </row>
    <row r="49" spans="1:24" s="214" customFormat="1" ht="15.75" x14ac:dyDescent="0.25">
      <c r="B49" s="225"/>
      <c r="C49" s="224"/>
      <c r="D49" s="224"/>
      <c r="E49" s="224"/>
      <c r="F49" s="224"/>
      <c r="G49" s="224"/>
      <c r="H49" s="224"/>
      <c r="I49" s="224"/>
      <c r="J49" s="224"/>
      <c r="K49" s="224"/>
      <c r="L49" s="224"/>
      <c r="M49" s="224"/>
      <c r="N49" s="224"/>
      <c r="O49" s="224"/>
      <c r="P49" s="224"/>
      <c r="Q49" s="224"/>
      <c r="R49" s="223"/>
      <c r="T49" s="222"/>
      <c r="U49" s="222"/>
      <c r="V49" s="222"/>
      <c r="W49" s="221"/>
    </row>
    <row r="50" spans="1:24" s="214" customFormat="1" ht="15.75" x14ac:dyDescent="0.25">
      <c r="B50" s="225"/>
      <c r="C50" s="224"/>
      <c r="D50" s="224"/>
      <c r="E50" s="224"/>
      <c r="F50" s="224"/>
      <c r="G50" s="224"/>
      <c r="H50" s="224"/>
      <c r="I50" s="224"/>
      <c r="J50" s="224"/>
      <c r="K50" s="224"/>
      <c r="L50" s="224"/>
      <c r="M50" s="224"/>
      <c r="N50" s="224"/>
      <c r="O50" s="224"/>
      <c r="P50" s="224"/>
      <c r="Q50" s="224"/>
      <c r="R50" s="223"/>
      <c r="T50" s="222"/>
      <c r="U50" s="222"/>
      <c r="V50" s="222"/>
      <c r="W50" s="221"/>
    </row>
    <row r="51" spans="1:24" s="214" customFormat="1" ht="15.75" x14ac:dyDescent="0.25">
      <c r="B51" s="225"/>
      <c r="C51" s="224"/>
      <c r="D51" s="224"/>
      <c r="E51" s="224"/>
      <c r="F51" s="224"/>
      <c r="G51" s="224"/>
      <c r="H51" s="224"/>
      <c r="I51" s="224"/>
      <c r="J51" s="224"/>
      <c r="K51" s="224"/>
      <c r="L51" s="224"/>
      <c r="M51" s="224"/>
      <c r="N51" s="224"/>
      <c r="O51" s="224"/>
      <c r="P51" s="224"/>
      <c r="Q51" s="224"/>
      <c r="R51" s="223"/>
      <c r="T51" s="222"/>
      <c r="U51" s="222"/>
      <c r="V51" s="222"/>
      <c r="W51" s="221"/>
    </row>
    <row r="52" spans="1:24" s="214" customFormat="1" ht="15.75" x14ac:dyDescent="0.25">
      <c r="B52" s="225"/>
      <c r="C52" s="224"/>
      <c r="D52" s="224"/>
      <c r="E52" s="224"/>
      <c r="F52" s="224"/>
      <c r="G52" s="224"/>
      <c r="H52" s="224"/>
      <c r="I52" s="224"/>
      <c r="J52" s="224"/>
      <c r="K52" s="224"/>
      <c r="L52" s="224"/>
      <c r="M52" s="224"/>
      <c r="N52" s="224"/>
      <c r="O52" s="224"/>
      <c r="P52" s="224"/>
      <c r="Q52" s="224"/>
      <c r="R52" s="223"/>
      <c r="T52" s="222"/>
      <c r="U52" s="222"/>
      <c r="V52" s="222"/>
      <c r="W52" s="221"/>
    </row>
    <row r="53" spans="1:24" s="214" customFormat="1" ht="16.5" thickBot="1" x14ac:dyDescent="0.3">
      <c r="B53" s="220"/>
      <c r="C53" s="218"/>
      <c r="D53" s="219"/>
      <c r="E53" s="218"/>
      <c r="F53" s="218"/>
      <c r="G53" s="217"/>
      <c r="H53" s="217"/>
      <c r="I53" s="217"/>
      <c r="J53" s="217"/>
      <c r="K53" s="217"/>
      <c r="L53" s="217"/>
      <c r="M53" s="217"/>
      <c r="N53" s="217"/>
      <c r="O53" s="217"/>
      <c r="P53" s="217"/>
      <c r="Q53" s="217"/>
      <c r="R53" s="217"/>
      <c r="S53" s="217"/>
      <c r="T53" s="216"/>
      <c r="U53" s="216"/>
      <c r="V53" s="216"/>
      <c r="W53" s="215"/>
    </row>
    <row r="54" spans="1:24" ht="20.100000000000001" customHeight="1" thickTop="1" x14ac:dyDescent="0.25">
      <c r="B54" s="512" t="s">
        <v>96</v>
      </c>
      <c r="C54" s="513"/>
      <c r="D54" s="513"/>
      <c r="E54" s="513"/>
      <c r="F54" s="514"/>
      <c r="G54" s="519"/>
      <c r="H54" s="652"/>
      <c r="I54" s="523" t="s">
        <v>153</v>
      </c>
      <c r="J54" s="654"/>
      <c r="K54" s="654"/>
      <c r="L54" s="655"/>
      <c r="M54" s="98">
        <v>4</v>
      </c>
      <c r="N54" s="660" t="s">
        <v>152</v>
      </c>
      <c r="O54" s="661"/>
      <c r="P54" s="662"/>
      <c r="Q54" s="100">
        <v>45118</v>
      </c>
      <c r="R54" s="98" t="s">
        <v>38</v>
      </c>
      <c r="S54" s="98"/>
      <c r="T54" s="663"/>
      <c r="U54" s="664"/>
      <c r="V54" s="665"/>
      <c r="W54" s="98"/>
    </row>
    <row r="55" spans="1:24" ht="20.100000000000001" customHeight="1" x14ac:dyDescent="0.25">
      <c r="B55" s="515"/>
      <c r="C55" s="513"/>
      <c r="D55" s="513"/>
      <c r="E55" s="513"/>
      <c r="F55" s="514"/>
      <c r="G55" s="519"/>
      <c r="H55" s="652"/>
      <c r="I55" s="656"/>
      <c r="J55" s="654"/>
      <c r="K55" s="654"/>
      <c r="L55" s="655"/>
      <c r="M55" s="95">
        <v>3</v>
      </c>
      <c r="N55" s="623" t="s">
        <v>151</v>
      </c>
      <c r="O55" s="624"/>
      <c r="P55" s="625"/>
      <c r="Q55" s="97">
        <v>44702</v>
      </c>
      <c r="R55" s="95" t="s">
        <v>38</v>
      </c>
      <c r="S55" s="95"/>
      <c r="T55" s="626"/>
      <c r="U55" s="627"/>
      <c r="V55" s="628"/>
      <c r="W55" s="95"/>
    </row>
    <row r="56" spans="1:24" ht="20.100000000000001" customHeight="1" x14ac:dyDescent="0.25">
      <c r="B56" s="515"/>
      <c r="C56" s="513"/>
      <c r="D56" s="513"/>
      <c r="E56" s="513"/>
      <c r="F56" s="514"/>
      <c r="G56" s="519"/>
      <c r="H56" s="652"/>
      <c r="I56" s="656"/>
      <c r="J56" s="654"/>
      <c r="K56" s="654"/>
      <c r="L56" s="655"/>
      <c r="M56" s="95">
        <v>2</v>
      </c>
      <c r="N56" s="623" t="s">
        <v>150</v>
      </c>
      <c r="O56" s="624"/>
      <c r="P56" s="625"/>
      <c r="Q56" s="97">
        <v>44314</v>
      </c>
      <c r="R56" s="95" t="s">
        <v>38</v>
      </c>
      <c r="S56" s="95">
        <v>3</v>
      </c>
      <c r="T56" s="626">
        <f>+Q54</f>
        <v>45118</v>
      </c>
      <c r="U56" s="627"/>
      <c r="V56" s="628"/>
      <c r="W56" s="95" t="s">
        <v>40</v>
      </c>
    </row>
    <row r="57" spans="1:24" ht="20.100000000000001" customHeight="1" x14ac:dyDescent="0.25">
      <c r="B57" s="515"/>
      <c r="C57" s="513"/>
      <c r="D57" s="513"/>
      <c r="E57" s="513"/>
      <c r="F57" s="514"/>
      <c r="G57" s="519"/>
      <c r="H57" s="652"/>
      <c r="I57" s="656"/>
      <c r="J57" s="654"/>
      <c r="K57" s="654"/>
      <c r="L57" s="655"/>
      <c r="M57" s="95">
        <v>1</v>
      </c>
      <c r="N57" s="623" t="s">
        <v>149</v>
      </c>
      <c r="O57" s="624"/>
      <c r="P57" s="625"/>
      <c r="Q57" s="97">
        <v>44147</v>
      </c>
      <c r="R57" s="95" t="s">
        <v>38</v>
      </c>
      <c r="S57" s="95">
        <v>2</v>
      </c>
      <c r="T57" s="626">
        <v>44702</v>
      </c>
      <c r="U57" s="627"/>
      <c r="V57" s="628"/>
      <c r="W57" s="95" t="s">
        <v>148</v>
      </c>
    </row>
    <row r="58" spans="1:24" ht="20.100000000000001" customHeight="1" x14ac:dyDescent="0.25">
      <c r="B58" s="515"/>
      <c r="C58" s="513"/>
      <c r="D58" s="513"/>
      <c r="E58" s="513"/>
      <c r="F58" s="514"/>
      <c r="G58" s="519"/>
      <c r="H58" s="652"/>
      <c r="I58" s="656"/>
      <c r="J58" s="654"/>
      <c r="K58" s="654"/>
      <c r="L58" s="655"/>
      <c r="M58" s="95">
        <v>0</v>
      </c>
      <c r="N58" s="623" t="s">
        <v>95</v>
      </c>
      <c r="O58" s="624"/>
      <c r="P58" s="625"/>
      <c r="Q58" s="97">
        <v>45113</v>
      </c>
      <c r="R58" s="95" t="s">
        <v>147</v>
      </c>
      <c r="S58" s="95">
        <v>1</v>
      </c>
      <c r="T58" s="626">
        <v>44314</v>
      </c>
      <c r="U58" s="627"/>
      <c r="V58" s="628"/>
      <c r="W58" s="95" t="s">
        <v>40</v>
      </c>
    </row>
    <row r="59" spans="1:24" s="3" customFormat="1" ht="20.100000000000001" customHeight="1" x14ac:dyDescent="0.25">
      <c r="B59" s="516"/>
      <c r="C59" s="517"/>
      <c r="D59" s="517"/>
      <c r="E59" s="517"/>
      <c r="F59" s="518"/>
      <c r="G59" s="520"/>
      <c r="H59" s="653"/>
      <c r="I59" s="657"/>
      <c r="J59" s="658"/>
      <c r="K59" s="658"/>
      <c r="L59" s="659"/>
      <c r="M59" s="325" t="s">
        <v>94</v>
      </c>
      <c r="N59" s="614" t="s">
        <v>93</v>
      </c>
      <c r="O59" s="615"/>
      <c r="P59" s="616"/>
      <c r="Q59" s="213" t="s">
        <v>5</v>
      </c>
      <c r="R59" s="325" t="s">
        <v>90</v>
      </c>
      <c r="S59" s="325" t="s">
        <v>91</v>
      </c>
      <c r="T59" s="395" t="s">
        <v>92</v>
      </c>
      <c r="U59" s="396"/>
      <c r="V59" s="397"/>
      <c r="W59" s="325" t="s">
        <v>90</v>
      </c>
    </row>
    <row r="60" spans="1:24" s="12" customFormat="1" ht="16.5" thickBot="1" x14ac:dyDescent="0.3">
      <c r="A60" s="211"/>
      <c r="B60" s="211"/>
      <c r="C60" s="212"/>
      <c r="D60" s="212"/>
      <c r="E60" s="212"/>
      <c r="F60" s="212"/>
      <c r="G60" s="211"/>
      <c r="H60" s="211"/>
      <c r="I60" s="211"/>
      <c r="J60" s="211"/>
      <c r="K60" s="211"/>
      <c r="L60" s="211"/>
      <c r="M60" s="211"/>
      <c r="N60" s="211"/>
      <c r="O60" s="211"/>
      <c r="P60" s="211"/>
      <c r="Q60" s="211"/>
      <c r="R60" s="211"/>
      <c r="S60" s="211"/>
      <c r="T60" s="211"/>
      <c r="U60" s="211"/>
      <c r="V60" s="211"/>
      <c r="W60" s="211"/>
      <c r="X60" s="211"/>
    </row>
    <row r="61" spans="1:24" ht="15.75" thickTop="1" x14ac:dyDescent="0.25">
      <c r="W61" s="210"/>
    </row>
    <row r="79" spans="16:16" x14ac:dyDescent="0.25">
      <c r="P79" s="1">
        <f>102500*60</f>
        <v>6150000</v>
      </c>
    </row>
  </sheetData>
  <mergeCells count="88">
    <mergeCell ref="T2:U2"/>
    <mergeCell ref="V2:W2"/>
    <mergeCell ref="B3:K6"/>
    <mergeCell ref="R3:W5"/>
    <mergeCell ref="T6:U6"/>
    <mergeCell ref="V6:W6"/>
    <mergeCell ref="B15:B18"/>
    <mergeCell ref="C15:F18"/>
    <mergeCell ref="G15:H18"/>
    <mergeCell ref="I15:J18"/>
    <mergeCell ref="K15:L18"/>
    <mergeCell ref="K19:L19"/>
    <mergeCell ref="M19:O19"/>
    <mergeCell ref="R19:R20"/>
    <mergeCell ref="T15:U15"/>
    <mergeCell ref="W15:W18"/>
    <mergeCell ref="P16:P18"/>
    <mergeCell ref="Q16:Q18"/>
    <mergeCell ref="R16:R18"/>
    <mergeCell ref="S16:S18"/>
    <mergeCell ref="T16:U18"/>
    <mergeCell ref="M15:O18"/>
    <mergeCell ref="D21:E21"/>
    <mergeCell ref="G21:H21"/>
    <mergeCell ref="I21:J21"/>
    <mergeCell ref="D19:E19"/>
    <mergeCell ref="G19:H19"/>
    <mergeCell ref="I19:J19"/>
    <mergeCell ref="D20:E20"/>
    <mergeCell ref="G20:H20"/>
    <mergeCell ref="I20:J20"/>
    <mergeCell ref="K20:L20"/>
    <mergeCell ref="M20:O20"/>
    <mergeCell ref="D22:E22"/>
    <mergeCell ref="G22:H22"/>
    <mergeCell ref="I22:J22"/>
    <mergeCell ref="K22:L22"/>
    <mergeCell ref="M22:O22"/>
    <mergeCell ref="S29:V31"/>
    <mergeCell ref="Q30:R30"/>
    <mergeCell ref="Q31:R31"/>
    <mergeCell ref="O32:P32"/>
    <mergeCell ref="K21:L21"/>
    <mergeCell ref="M21:O21"/>
    <mergeCell ref="R21:R22"/>
    <mergeCell ref="O34:P34"/>
    <mergeCell ref="C35:F35"/>
    <mergeCell ref="H35:K35"/>
    <mergeCell ref="L35:M35"/>
    <mergeCell ref="T35:V35"/>
    <mergeCell ref="H36:K36"/>
    <mergeCell ref="L36:M36"/>
    <mergeCell ref="T36:V36"/>
    <mergeCell ref="B28:K34"/>
    <mergeCell ref="L28:N29"/>
    <mergeCell ref="O28:R28"/>
    <mergeCell ref="S28:V28"/>
    <mergeCell ref="O29:P31"/>
    <mergeCell ref="Q29:R29"/>
    <mergeCell ref="L37:M37"/>
    <mergeCell ref="T37:V37"/>
    <mergeCell ref="N54:P54"/>
    <mergeCell ref="T54:V54"/>
    <mergeCell ref="N55:P55"/>
    <mergeCell ref="T55:V55"/>
    <mergeCell ref="B38:K38"/>
    <mergeCell ref="L38:N38"/>
    <mergeCell ref="O38:P38"/>
    <mergeCell ref="Q38:R38"/>
    <mergeCell ref="S38:V38"/>
    <mergeCell ref="B39:K39"/>
    <mergeCell ref="L39:V39"/>
    <mergeCell ref="N59:P59"/>
    <mergeCell ref="T59:V59"/>
    <mergeCell ref="S19:S20"/>
    <mergeCell ref="T19:U20"/>
    <mergeCell ref="N56:P56"/>
    <mergeCell ref="T56:V56"/>
    <mergeCell ref="N57:P57"/>
    <mergeCell ref="T57:V57"/>
    <mergeCell ref="N58:P58"/>
    <mergeCell ref="T58:V58"/>
    <mergeCell ref="B42:R48"/>
    <mergeCell ref="T42:V44"/>
    <mergeCell ref="T45:V48"/>
    <mergeCell ref="B54:F59"/>
    <mergeCell ref="G54:H59"/>
    <mergeCell ref="I54:L59"/>
  </mergeCells>
  <printOptions horizontalCentered="1"/>
  <pageMargins left="0" right="0" top="1" bottom="0" header="1" footer="0"/>
  <pageSetup paperSize="9" scale="42"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3</vt:i4>
      </vt:variant>
    </vt:vector>
  </HeadingPairs>
  <TitlesOfParts>
    <vt:vector size="6" baseType="lpstr">
      <vt:lpstr>TAHAP 1</vt:lpstr>
      <vt:lpstr>TAPAH 2.2 (Rincian)</vt:lpstr>
      <vt:lpstr>TAHAP 2.1 (SPD)</vt:lpstr>
      <vt:lpstr>'TAHAP 1'!Print_Area</vt:lpstr>
      <vt:lpstr>'TAHAP 2.1 (SPD)'!Print_Area</vt:lpstr>
      <vt:lpstr>'TAPAH 2.2 (Rincian)'!Print_Area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NYS-10</cp:lastModifiedBy>
  <cp:lastPrinted>2024-07-17T06:47:05Z</cp:lastPrinted>
  <dcterms:created xsi:type="dcterms:W3CDTF">2023-06-18T02:33:15Z</dcterms:created>
  <dcterms:modified xsi:type="dcterms:W3CDTF">2024-08-08T07:42:35Z</dcterms:modified>
</cp:coreProperties>
</file>