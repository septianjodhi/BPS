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24.08 Agustus\"/>
    </mc:Choice>
  </mc:AlternateContent>
  <xr:revisionPtr revIDLastSave="0" documentId="13_ncr:1_{2775D2F3-4812-4FD8-A50E-F35791A3B453}" xr6:coauthVersionLast="47" xr6:coauthVersionMax="47" xr10:uidLastSave="{00000000-0000-0000-0000-000000000000}"/>
  <bookViews>
    <workbookView xWindow="-120" yWindow="-120" windowWidth="29040" windowHeight="15720" tabRatio="761" activeTab="1" xr2:uid="{00000000-000D-0000-FFFF-FFFF00000000}"/>
  </bookViews>
  <sheets>
    <sheet name="TAHAP 1" sheetId="5" r:id="rId1"/>
    <sheet name="upd" sheetId="18" r:id="rId2"/>
    <sheet name="Sheet2" sheetId="19" r:id="rId3"/>
    <sheet name="TAPAH 2.2 (Rincian)" sheetId="15" r:id="rId4"/>
    <sheet name="TAHAP 2.1 (SPD)" sheetId="16" r:id="rId5"/>
  </sheets>
  <definedNames>
    <definedName name="_xlnm.Print_Area" localSheetId="0">'TAHAP 1'!$A$1:$V$86</definedName>
    <definedName name="_xlnm.Print_Area" localSheetId="4">'TAHAP 2.1 (SPD)'!$A$1:$W$58</definedName>
    <definedName name="_xlnm.Print_Area" localSheetId="3">'TAPAH 2.2 (Rincian)'!$A$1:$O$62</definedName>
    <definedName name="_xlnm.Print_Area" localSheetId="1">upd!$B$1:$Q$82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9" i="18" l="1"/>
  <c r="T64" i="18"/>
  <c r="O14" i="18"/>
  <c r="P56" i="18"/>
  <c r="M63" i="18" s="1"/>
  <c r="O35" i="16"/>
  <c r="O34" i="16"/>
  <c r="J14" i="18"/>
  <c r="J15" i="18" s="1"/>
  <c r="I64" i="18"/>
  <c r="O16" i="18"/>
  <c r="O17" i="18"/>
  <c r="O18" i="18"/>
  <c r="O19" i="18"/>
  <c r="O20" i="18"/>
  <c r="O21" i="18"/>
  <c r="O22" i="18"/>
  <c r="O23" i="18"/>
  <c r="O24" i="18"/>
  <c r="O25" i="18"/>
  <c r="O26" i="18"/>
  <c r="O27" i="18"/>
  <c r="O28" i="18"/>
  <c r="O29" i="18"/>
  <c r="O30" i="18"/>
  <c r="O31" i="18"/>
  <c r="O32" i="18"/>
  <c r="O33" i="18"/>
  <c r="O34" i="18"/>
  <c r="O35" i="18"/>
  <c r="O36" i="18"/>
  <c r="O37" i="18"/>
  <c r="O38" i="18"/>
  <c r="O39" i="18"/>
  <c r="O40" i="18"/>
  <c r="O41" i="18"/>
  <c r="O42" i="18"/>
  <c r="O43" i="18"/>
  <c r="O44" i="18"/>
  <c r="O45" i="18"/>
  <c r="O46" i="18"/>
  <c r="O47" i="18"/>
  <c r="O48" i="18"/>
  <c r="O49" i="18"/>
  <c r="O50" i="18"/>
  <c r="O51" i="18"/>
  <c r="O52" i="18"/>
  <c r="O53" i="18"/>
  <c r="O54" i="18"/>
  <c r="O55" i="18"/>
  <c r="O15" i="18"/>
  <c r="D14" i="19"/>
  <c r="C8" i="19"/>
  <c r="D13" i="19" s="1"/>
  <c r="K13" i="18"/>
  <c r="L13" i="18"/>
  <c r="M13" i="18"/>
  <c r="N13" i="18"/>
  <c r="O79" i="18"/>
  <c r="F8" i="18"/>
  <c r="O56" i="18" l="1"/>
  <c r="M62" i="18"/>
  <c r="S34" i="16" s="1"/>
  <c r="S35" i="16"/>
  <c r="I15" i="18"/>
  <c r="J16" i="18"/>
  <c r="I14" i="18"/>
  <c r="D12" i="19"/>
  <c r="D15" i="19" s="1"/>
  <c r="R76" i="5"/>
  <c r="R75" i="5"/>
  <c r="R74" i="5"/>
  <c r="R71" i="5"/>
  <c r="R73" i="5" s="1"/>
  <c r="R70" i="5"/>
  <c r="R69" i="5"/>
  <c r="R68" i="5"/>
  <c r="F26" i="5"/>
  <c r="C26" i="5"/>
  <c r="F14" i="5"/>
  <c r="C14" i="5"/>
  <c r="F48" i="15"/>
  <c r="S27" i="16" s="1"/>
  <c r="M64" i="18" l="1"/>
  <c r="J17" i="18"/>
  <c r="I16" i="18"/>
  <c r="G53" i="15"/>
  <c r="G52" i="15"/>
  <c r="G51" i="15"/>
  <c r="D51" i="15"/>
  <c r="J18" i="18" l="1"/>
  <c r="I17" i="18"/>
  <c r="I18" i="18" l="1"/>
  <c r="J19" i="18"/>
  <c r="D54" i="15"/>
  <c r="D53" i="15"/>
  <c r="J20" i="18" l="1"/>
  <c r="I19" i="18"/>
  <c r="H53" i="15"/>
  <c r="J21" i="18" l="1"/>
  <c r="I20" i="18"/>
  <c r="B54" i="15"/>
  <c r="B53" i="15"/>
  <c r="B31" i="15"/>
  <c r="B52" i="15" s="1"/>
  <c r="B30" i="15"/>
  <c r="K20" i="16"/>
  <c r="K19" i="16"/>
  <c r="J22" i="18" l="1"/>
  <c r="I21" i="18"/>
  <c r="C34" i="16"/>
  <c r="B51" i="15"/>
  <c r="C35" i="16"/>
  <c r="M20" i="16"/>
  <c r="I20" i="16"/>
  <c r="G20" i="16"/>
  <c r="D52" i="15"/>
  <c r="F20" i="16"/>
  <c r="C20" i="16"/>
  <c r="J23" i="18" l="1"/>
  <c r="I22" i="18"/>
  <c r="G31" i="15"/>
  <c r="J24" i="18" l="1"/>
  <c r="I23" i="18"/>
  <c r="AA20" i="16"/>
  <c r="I24" i="18" l="1"/>
  <c r="J25" i="18"/>
  <c r="B34" i="16"/>
  <c r="G35" i="16"/>
  <c r="F19" i="16"/>
  <c r="C19" i="16"/>
  <c r="AB20" i="16"/>
  <c r="Z20" i="16"/>
  <c r="Y20" i="16"/>
  <c r="J26" i="18" l="1"/>
  <c r="I25" i="18"/>
  <c r="J27" i="18" l="1"/>
  <c r="I26" i="18"/>
  <c r="H51" i="15"/>
  <c r="J28" i="18" l="1"/>
  <c r="I27" i="18"/>
  <c r="G30" i="15"/>
  <c r="I28" i="18" l="1"/>
  <c r="J29" i="18"/>
  <c r="B46" i="15"/>
  <c r="D46" i="15"/>
  <c r="J30" i="18" l="1"/>
  <c r="I29" i="18"/>
  <c r="H52" i="15"/>
  <c r="S36" i="16" s="1"/>
  <c r="I30" i="18" l="1"/>
  <c r="J31" i="18"/>
  <c r="I10" i="16"/>
  <c r="I31" i="18" l="1"/>
  <c r="J32" i="18"/>
  <c r="G34" i="16"/>
  <c r="J33" i="18" l="1"/>
  <c r="I32" i="18"/>
  <c r="I9" i="16"/>
  <c r="I33" i="18" l="1"/>
  <c r="J34" i="18"/>
  <c r="M19" i="16"/>
  <c r="AB19" i="16" s="1"/>
  <c r="AA19" i="16"/>
  <c r="I19" i="16"/>
  <c r="Z19" i="16" s="1"/>
  <c r="G19" i="16"/>
  <c r="Y19" i="16" s="1"/>
  <c r="J35" i="18" l="1"/>
  <c r="I34" i="18"/>
  <c r="Q36" i="16"/>
  <c r="J36" i="18" l="1"/>
  <c r="I35" i="18"/>
  <c r="O36" i="16"/>
  <c r="G32" i="15"/>
  <c r="T54" i="16"/>
  <c r="E8" i="15"/>
  <c r="N59" i="15"/>
  <c r="I36" i="18" l="1"/>
  <c r="J37" i="18"/>
  <c r="I37" i="18" l="1"/>
  <c r="J38" i="18"/>
  <c r="I38" i="18" l="1"/>
  <c r="J39" i="18"/>
  <c r="I39" i="18" l="1"/>
  <c r="J40" i="18"/>
  <c r="I40" i="18" l="1"/>
  <c r="J41" i="18"/>
  <c r="J42" i="18" l="1"/>
  <c r="I41" i="18"/>
  <c r="I42" i="18" l="1"/>
  <c r="J43" i="18"/>
  <c r="J44" i="18" l="1"/>
  <c r="I43" i="18"/>
  <c r="J45" i="18" l="1"/>
  <c r="I44" i="18"/>
  <c r="J46" i="18" l="1"/>
  <c r="I45" i="18"/>
  <c r="J47" i="18" l="1"/>
  <c r="I46" i="18"/>
  <c r="J48" i="18" l="1"/>
  <c r="I47" i="18"/>
  <c r="I48" i="18" l="1"/>
  <c r="J49" i="18"/>
  <c r="I49" i="18" l="1"/>
  <c r="J50" i="18"/>
  <c r="J51" i="18" l="1"/>
  <c r="I50" i="18"/>
  <c r="J52" i="18" l="1"/>
  <c r="I51" i="18"/>
  <c r="J53" i="18" l="1"/>
  <c r="I52" i="18"/>
  <c r="I53" i="18" l="1"/>
  <c r="J54" i="18"/>
  <c r="I54" i="18" l="1"/>
  <c r="J55" i="18"/>
  <c r="I55" i="18" l="1"/>
  <c r="H62" i="18" l="1"/>
  <c r="L34" i="16" s="1"/>
  <c r="H63" i="18"/>
  <c r="L35" i="16" s="1"/>
  <c r="L36" i="16" l="1"/>
  <c r="L37" i="16" s="1"/>
  <c r="H64" i="18"/>
  <c r="H65" i="18" s="1"/>
</calcChain>
</file>

<file path=xl/sharedStrings.xml><?xml version="1.0" encoding="utf-8"?>
<sst xmlns="http://schemas.openxmlformats.org/spreadsheetml/2006/main" count="585" uniqueCount="263">
  <si>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</si>
  <si>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</si>
  <si>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</si>
  <si>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</si>
  <si>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</si>
  <si>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</si>
  <si>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</si>
  <si>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</si>
  <si>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</si>
  <si>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</si>
  <si>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</si>
  <si>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</si>
  <si>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</si>
  <si>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</si>
  <si>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</si>
  <si>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</si>
  <si>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</si>
  <si>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</si>
  <si>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</si>
  <si>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</si>
  <si>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</si>
  <si>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</si>
  <si>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</si>
  <si>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</si>
  <si>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</si>
  <si>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</si>
  <si>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</si>
  <si>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</si>
  <si>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</si>
  <si>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</si>
  <si>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</si>
  <si>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</si>
  <si>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</si>
  <si>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</si>
  <si>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</si>
  <si>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</si>
  <si>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</si>
  <si>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</si>
  <si>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</si>
  <si>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</si>
  <si>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JUMLAH</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</si>
  <si>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</si>
  <si>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</si>
  <si>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</si>
  <si>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</si>
  <si>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</si>
  <si>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</si>
  <si>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</si>
  <si>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</si>
  <si>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</si>
  <si>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</si>
  <si>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</si>
  <si>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</si>
  <si>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</si>
  <si>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</si>
  <si>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</si>
  <si>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</si>
  <si>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</si>
  <si>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</si>
  <si>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</si>
  <si>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</si>
  <si>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</si>
  <si>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</si>
  <si>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</si>
  <si>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</si>
  <si>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</si>
  <si>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</si>
  <si>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</si>
  <si>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</si>
  <si>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</si>
  <si>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</si>
  <si>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</si>
  <si>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</si>
  <si>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</si>
  <si>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</si>
  <si>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</si>
  <si>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</si>
  <si>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</si>
  <si>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</si>
  <si>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</si>
  <si>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</si>
  <si>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</si>
  <si>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</si>
  <si>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</si>
  <si>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</si>
  <si>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</si>
  <si>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</si>
  <si>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</si>
  <si>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</si>
  <si>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</si>
  <si>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</si>
  <si>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</si>
  <si>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</si>
  <si>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</si>
  <si>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</si>
  <si>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</si>
  <si>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</si>
  <si>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</si>
  <si>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</si>
  <si>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</si>
  <si>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</si>
  <si>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</si>
  <si>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</si>
  <si>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</si>
  <si>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</si>
  <si>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</si>
  <si>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</si>
  <si>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</si>
  <si>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</si>
  <si>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</si>
  <si>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</si>
  <si>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</si>
  <si>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</si>
  <si>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</si>
  <si>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</si>
  <si>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</si>
  <si>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</si>
  <si>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</si>
  <si>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</si>
  <si>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</si>
  <si>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</si>
  <si>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</si>
  <si>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</si>
  <si>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</si>
  <si>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</si>
  <si>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</si>
  <si>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</si>
  <si>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</si>
  <si>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</si>
  <si>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</si>
  <si>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</si>
  <si>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</si>
  <si>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</si>
  <si>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</si>
  <si>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</si>
  <si>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</si>
  <si>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</si>
  <si>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</si>
  <si>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</si>
  <si>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</si>
  <si>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</si>
  <si>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</si>
  <si>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</si>
  <si>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</si>
  <si>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</si>
  <si>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</si>
  <si>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</si>
  <si>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</si>
  <si>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</si>
  <si>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</si>
  <si>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</si>
  <si>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</si>
  <si>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</si>
  <si>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</si>
  <si>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</si>
  <si>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</si>
  <si>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</si>
  <si>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</si>
  <si>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</si>
  <si>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</si>
  <si>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</si>
  <si>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</si>
  <si>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</si>
  <si>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</si>
  <si>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</si>
  <si>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</si>
  <si>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</si>
  <si>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</si>
  <si>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</si>
  <si>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</si>
  <si>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</si>
  <si>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</si>
  <si>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</si>
  <si>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</si>
  <si>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</si>
  <si>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</si>
  <si>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</si>
  <si>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</si>
  <si>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</si>
  <si>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</si>
  <si>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</si>
  <si>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</si>
  <si>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</si>
  <si>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</si>
  <si>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</si>
  <si>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</si>
  <si>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</si>
  <si>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</si>
  <si>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</si>
  <si>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</si>
  <si>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PERIODE</t>
  </si>
  <si>
    <t>KET ROOM</t>
  </si>
  <si>
    <t>Check In</t>
  </si>
  <si>
    <t>Check Out</t>
  </si>
  <si>
    <t>TRANSPORTASI</t>
  </si>
  <si>
    <t>: 2 / 2</t>
  </si>
  <si>
    <t xml:space="preserve"> </t>
  </si>
  <si>
    <t>QTY ROOM</t>
  </si>
  <si>
    <t>QTY NIGHT</t>
  </si>
  <si>
    <t>ROOM</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</si>
  <si>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</si>
  <si>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</si>
  <si>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</si>
  <si>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2.1 PESAWAT</t>
  </si>
  <si>
    <t>BERANGKAT</t>
  </si>
  <si>
    <t>PULANG</t>
  </si>
  <si>
    <t>QTY</t>
  </si>
  <si>
    <t>di Hotel</t>
  </si>
  <si>
    <t>Yes</t>
  </si>
  <si>
    <t>di Rumah</t>
  </si>
  <si>
    <t>KERETA</t>
  </si>
  <si>
    <t>Deluxe</t>
  </si>
  <si>
    <t>NKA</t>
  </si>
  <si>
    <t>SCHEDULE</t>
  </si>
  <si>
    <t>UANG CADANGAN</t>
  </si>
  <si>
    <t>MIS</t>
  </si>
  <si>
    <t>FA</t>
  </si>
  <si>
    <t>CSPV</t>
  </si>
  <si>
    <t>X</t>
  </si>
  <si>
    <t>: PEMI</t>
  </si>
  <si>
    <t>: MENGIKUTI JISHUKEN GLOBAL PEMI 2024</t>
  </si>
  <si>
    <t>ADITYA FAHRIZAL</t>
  </si>
  <si>
    <t>PESAWAT</t>
  </si>
  <si>
    <r>
      <t xml:space="preserve">Aston Sidoarjo City Hotel and Conference Center
</t>
    </r>
    <r>
      <rPr>
        <sz val="12"/>
        <color rgb="FF0000CC"/>
        <rFont val="Calibri"/>
        <family val="2"/>
        <scheme val="minor"/>
      </rPr>
      <t>Jalan Kahuripan Raya Kav. 14 Sidoarjo, Kahuripan, Sidoarjo, 61252, Indonesia. 
CI/CO : 21 - 23 Aug (02 Malam)
Deluxe : IDR 670.000/room/night include breakfast
Executive : IDR 950.000/room/night include breakfast</t>
    </r>
  </si>
  <si>
    <t>Executive</t>
  </si>
  <si>
    <t>TERLAMPIR</t>
  </si>
  <si>
    <t>di PEMI</t>
  </si>
  <si>
    <t>UANG MAKAN</t>
  </si>
  <si>
    <t>PAGI</t>
  </si>
  <si>
    <t xml:space="preserve">SIANG </t>
  </si>
  <si>
    <t>MALAM</t>
  </si>
  <si>
    <t>di JF</t>
  </si>
  <si>
    <t>KHE</t>
  </si>
  <si>
    <t>TZA</t>
  </si>
  <si>
    <t>MRY</t>
  </si>
  <si>
    <t>PER-ORANG</t>
  </si>
  <si>
    <t>ALL</t>
  </si>
  <si>
    <t>TIKET</t>
  </si>
  <si>
    <t>SRG - CKG</t>
  </si>
  <si>
    <t>CKG - SRG</t>
  </si>
  <si>
    <t>GA 245</t>
  </si>
  <si>
    <t>GA 246</t>
  </si>
  <si>
    <t>GA 232</t>
  </si>
  <si>
    <t>GA 241</t>
  </si>
  <si>
    <t>ESTIMASI BIAYA PERJALANAN DINAS</t>
  </si>
  <si>
    <t>NYP</t>
  </si>
  <si>
    <t>AFA</t>
  </si>
  <si>
    <t>PAN</t>
  </si>
  <si>
    <t xml:space="preserve"> COVE Smart One Residence
Jl. Permata Bunda No.27-28, Binong, Kec. 
Curug, Kabupaten Tangerang, Banten 15810</t>
  </si>
  <si>
    <t>PENGINAPAN</t>
  </si>
  <si>
    <t>UPD GOL. IV</t>
  </si>
  <si>
    <t>PENGINAPAN
@Orang</t>
  </si>
  <si>
    <t>Flight Schedule :</t>
  </si>
  <si>
    <t>13-09-24 : GARUDA GA 246,    CGK (17:35)  -  SRG (18:45),    1h and 10m,    Y(9) - 1,057,320</t>
  </si>
  <si>
    <t>16-09-24 : GARUDA GA 241,    SRG (16:55)  -  CGK (18:10),    1h and 15m,    Y(9) - 1,091,330</t>
  </si>
  <si>
    <t>NANANG YUDI PRASETYA</t>
  </si>
  <si>
    <t>26-08-24 : GARUDA GA 245,    SRG (15:25)  -  CGK (16:50),    1h and 25m,    Y(9) - 1,091,330</t>
  </si>
  <si>
    <t>04-10-24 : GARUDA GA 246,    CGK (17:35)  -  SRG (18:45),    1h and 10m,    Y(9) - 1,145,720</t>
  </si>
  <si>
    <t>NANANG YUDI PRASETYO</t>
  </si>
  <si>
    <t>Budget Sept'24</t>
  </si>
  <si>
    <t>Budget Okt'24</t>
  </si>
  <si>
    <t>+</t>
  </si>
  <si>
    <t>Jumlah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</si>
</sst>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_-;\-[$Rp-421]* #,##0_-;_-[$Rp-421]* &quot;-&quot;??_-;_-@_-"/>
    <numFmt numFmtId="172" formatCode="[$-409]dd\-mmm\-yy;@"/>
    <numFmt numFmtId="173" formatCode="[$-409]d\-mmm\-yy;@"/>
    <numFmt numFmtId="174" formatCode="_-[$Rp-421]* #,##0_-;\-[$Rp-421]* #,##0_-;_-[$Rp-421]* &quot;-&quot;_-;_-@_-"/>
    <numFmt numFmtId="175" formatCode="[$-13809]dd/mm/yy;@"/>
  </numFmts>
  <fonts count="7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b/>
      <u/>
      <sz val="20"/>
      <color theme="1"/>
      <name val="Times New Roman"/>
      <family val="1"/>
    </font>
    <font>
      <sz val="14"/>
      <color rgb="FF0000CC"/>
      <name val="Times New Roman"/>
      <family val="1"/>
    </font>
    <font>
      <sz val="16"/>
      <color theme="1"/>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b/>
      <sz val="16"/>
      <name val="Times New Roman"/>
      <family val="1"/>
    </font>
    <font>
      <b/>
      <sz val="20"/>
      <name val="Times New Roman"/>
      <family val="1"/>
    </font>
    <font>
      <sz val="14"/>
      <color rgb="FF0070C0"/>
      <name val="Times New Roman"/>
      <family val="1"/>
    </font>
    <font>
      <sz val="16"/>
      <color rgb="FF0070C0"/>
      <name val="Times New Roman"/>
      <family val="1"/>
    </font>
    <font>
      <b/>
      <sz val="14"/>
      <color rgb="FF0070C0"/>
      <name val="Times New Roman"/>
      <family val="1"/>
    </font>
    <font>
      <b/>
      <sz val="12"/>
      <color rgb="FF0070C0"/>
      <name val="Times New Roman"/>
      <family val="1"/>
    </font>
    <font>
      <b/>
      <sz val="16"/>
      <color rgb="FF0070C0"/>
      <name val="Times New Roman"/>
      <family val="1"/>
    </font>
    <font>
      <b/>
      <sz val="20"/>
      <color rgb="FF0070C0"/>
      <name val="Times New Roman"/>
      <family val="1"/>
    </font>
    <font>
      <sz val="10"/>
      <color rgb="FF0070C0"/>
      <name val="Times New Roman"/>
      <family val="1"/>
    </font>
    <font>
      <i/>
      <sz val="14"/>
      <color rgb="FF0070C0"/>
      <name val="Times New Roman"/>
      <family val="1"/>
    </font>
    <font>
      <sz val="12"/>
      <color rgb="FF0070C0"/>
      <name val="Times New Roman"/>
      <family val="1"/>
    </font>
    <font>
      <b/>
      <sz val="14"/>
      <color theme="1"/>
      <name val="Cambria"/>
      <family val="1"/>
      <scheme val="major"/>
    </font>
    <font>
      <sz val="14"/>
      <color theme="1"/>
      <name val="Cambria"/>
      <family val="1"/>
      <scheme val="major"/>
    </font>
    <font>
      <sz val="14"/>
      <color rgb="FF0000CC"/>
      <name val="Cambria"/>
      <family val="1"/>
      <scheme val="major"/>
    </font>
    <font>
      <sz val="11"/>
      <color theme="1"/>
      <name val="Cambria"/>
      <family val="1"/>
      <scheme val="major"/>
    </font>
    <font>
      <b/>
      <sz val="12"/>
      <color theme="1"/>
      <name val="Cambria"/>
      <family val="1"/>
      <scheme val="major"/>
    </font>
    <font>
      <sz val="12"/>
      <color theme="1"/>
      <name val="Cambria"/>
      <family val="1"/>
      <scheme val="major"/>
    </font>
    <font>
      <sz val="12"/>
      <color rgb="FF0070C0"/>
      <name val="Cambria"/>
      <family val="1"/>
      <scheme val="major"/>
    </font>
    <font>
      <b/>
      <sz val="12"/>
      <color rgb="FF0000CC"/>
      <name val="Cambria"/>
      <family val="1"/>
      <scheme val="major"/>
    </font>
    <font>
      <sz val="12"/>
      <name val="Cambria"/>
      <family val="1"/>
      <scheme val="major"/>
    </font>
    <font>
      <sz val="14"/>
      <name val="Cambria"/>
      <family val="1"/>
      <scheme val="major"/>
    </font>
    <font>
      <b/>
      <sz val="18"/>
      <color theme="1"/>
      <name val="Cambria"/>
      <family val="1"/>
      <scheme val="major"/>
    </font>
    <font>
      <b/>
      <i/>
      <sz val="10"/>
      <color theme="1"/>
      <name val="Segoe Print"/>
    </font>
    <font>
      <b/>
      <u/>
      <sz val="14"/>
      <color theme="1"/>
      <name val="Cambria"/>
      <family val="1"/>
      <scheme val="major"/>
    </font>
    <font>
      <b/>
      <sz val="12"/>
      <name val="Cambria"/>
      <family val="1"/>
      <scheme val="major"/>
    </font>
  </fonts>
  <fills count="11">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
      <patternFill patternType="solid">
        <fgColor theme="5" tint="0.79998168889431442"/>
        <bgColor indexed="64"/>
      </patternFill>
    </fill>
    <fill>
      <patternFill patternType="solid">
        <fgColor theme="9" tint="0.39997558519241921"/>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diagonal/>
    </border>
    <border>
      <left style="thin">
        <color indexed="64"/>
      </left>
      <right/>
      <top style="thick">
        <color auto="1"/>
      </top>
      <bottom style="thin">
        <color indexed="64"/>
      </bottom>
      <diagonal/>
    </border>
    <border>
      <left/>
      <right style="thin">
        <color indexed="64"/>
      </right>
      <top style="thick">
        <color auto="1"/>
      </top>
      <bottom style="thin">
        <color indexed="64"/>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cellStyleXfs>
  <cellXfs count="896">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15" fillId="0" borderId="0" xfId="0" applyFont="1" applyAlignment="1">
      <alignment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15" fillId="0" borderId="13" xfId="0" applyFont="1" applyBorder="1" applyAlignment="1">
      <alignment horizontal="center" vertical="top"/>
    </xf>
    <xf numFmtId="0" fontId="4" fillId="0" borderId="6"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5" xfId="0" applyFont="1" applyBorder="1" applyAlignment="1">
      <alignment horizontal="left" vertical="center"/>
    </xf>
    <xf numFmtId="0" fontId="15" fillId="0" borderId="25" xfId="0" applyFont="1" applyBorder="1" applyAlignment="1">
      <alignment horizontal="left" vertical="top"/>
    </xf>
    <xf numFmtId="0" fontId="15" fillId="0" borderId="25" xfId="0" applyFont="1" applyBorder="1" applyAlignment="1">
      <alignment horizontal="center" vertical="top"/>
    </xf>
    <xf numFmtId="0" fontId="15" fillId="0" borderId="25" xfId="0" applyFont="1" applyBorder="1" applyAlignment="1">
      <alignment vertical="center"/>
    </xf>
    <xf numFmtId="0" fontId="12" fillId="0" borderId="13" xfId="0" applyFont="1" applyBorder="1" applyAlignment="1">
      <alignment vertical="center"/>
    </xf>
    <xf numFmtId="0" fontId="5" fillId="0" borderId="34" xfId="0" applyFont="1" applyBorder="1" applyAlignment="1">
      <alignment vertical="center"/>
    </xf>
    <xf numFmtId="0" fontId="5" fillId="0" borderId="29"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15"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4" xfId="0" applyFont="1" applyBorder="1" applyAlignment="1">
      <alignment vertical="center"/>
    </xf>
    <xf numFmtId="0" fontId="4" fillId="0" borderId="24" xfId="0" applyFont="1" applyBorder="1" applyAlignment="1">
      <alignment horizontal="center"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15"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9" fillId="0" borderId="0" xfId="0" applyFont="1" applyAlignment="1">
      <alignment horizontal="center" vertical="center"/>
    </xf>
    <xf numFmtId="172" fontId="0" fillId="0" borderId="1" xfId="0" applyNumberFormat="1" applyBorder="1" applyAlignment="1">
      <alignment horizontal="center" vertical="center"/>
    </xf>
    <xf numFmtId="0" fontId="0" fillId="0" borderId="6" xfId="0" applyBorder="1" applyAlignment="1">
      <alignment horizontal="center" vertical="center"/>
    </xf>
    <xf numFmtId="172"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0" xfId="0" applyFont="1" applyBorder="1" applyAlignment="1">
      <alignment vertical="center"/>
    </xf>
    <xf numFmtId="0" fontId="3" fillId="0" borderId="41" xfId="0" applyFont="1" applyBorder="1" applyAlignment="1">
      <alignment vertical="center"/>
    </xf>
    <xf numFmtId="0" fontId="0" fillId="0" borderId="5" xfId="0" applyBorder="1" applyAlignment="1">
      <alignment horizontal="center" vertical="center"/>
    </xf>
    <xf numFmtId="0" fontId="27" fillId="0" borderId="42" xfId="0" applyFont="1" applyBorder="1" applyAlignment="1">
      <alignment vertical="center"/>
    </xf>
    <xf numFmtId="0" fontId="0" fillId="0" borderId="24" xfId="0" applyBorder="1" applyAlignment="1">
      <alignment horizontal="center" vertical="center"/>
    </xf>
    <xf numFmtId="0" fontId="0" fillId="0" borderId="24" xfId="0" applyBorder="1" applyAlignment="1">
      <alignment vertical="center"/>
    </xf>
    <xf numFmtId="0" fontId="0" fillId="0" borderId="43" xfId="0" applyBorder="1" applyAlignment="1">
      <alignment vertical="center"/>
    </xf>
    <xf numFmtId="0" fontId="23" fillId="0" borderId="0" xfId="0" applyFont="1" applyAlignment="1">
      <alignment vertical="center"/>
    </xf>
    <xf numFmtId="0" fontId="23" fillId="0" borderId="16" xfId="0" applyFont="1" applyBorder="1" applyAlignment="1">
      <alignment vertical="center"/>
    </xf>
    <xf numFmtId="171"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2" xfId="0" applyFont="1" applyBorder="1" applyAlignment="1">
      <alignment horizontal="left" vertical="center"/>
    </xf>
    <xf numFmtId="0" fontId="5" fillId="0" borderId="24"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2" fontId="1" fillId="0" borderId="6" xfId="3" applyNumberFormat="1" applyBorder="1" applyAlignment="1">
      <alignment horizontal="center" vertical="center"/>
    </xf>
    <xf numFmtId="172"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6" borderId="1" xfId="0" applyFont="1" applyFill="1" applyBorder="1" applyAlignment="1">
      <alignment horizontal="center" vertical="center"/>
    </xf>
    <xf numFmtId="0" fontId="5" fillId="0" borderId="16" xfId="0" applyFont="1" applyBorder="1" applyAlignment="1">
      <alignment horizontal="center" vertical="center"/>
    </xf>
    <xf numFmtId="0" fontId="23" fillId="0" borderId="0" xfId="0" applyFont="1" applyAlignment="1">
      <alignment horizontal="center" vertical="center"/>
    </xf>
    <xf numFmtId="171" fontId="5" fillId="0" borderId="0" xfId="0" applyNumberFormat="1" applyFont="1" applyAlignment="1">
      <alignment horizontal="center" vertical="center"/>
    </xf>
    <xf numFmtId="0" fontId="5" fillId="0" borderId="24" xfId="0" applyFont="1" applyBorder="1" applyAlignment="1">
      <alignment horizontal="center" vertical="center"/>
    </xf>
    <xf numFmtId="167" fontId="5" fillId="0" borderId="24" xfId="0" applyNumberFormat="1" applyFont="1" applyBorder="1" applyAlignment="1">
      <alignment horizontal="center" vertical="center"/>
    </xf>
    <xf numFmtId="0" fontId="23" fillId="0" borderId="24" xfId="0" applyFont="1" applyBorder="1" applyAlignment="1">
      <alignment vertical="center"/>
    </xf>
    <xf numFmtId="0" fontId="5" fillId="6" borderId="4" xfId="0" applyFont="1" applyFill="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167" fontId="5" fillId="0" borderId="0" xfId="0" applyNumberFormat="1" applyFont="1" applyAlignment="1">
      <alignmen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0" fontId="0" fillId="0" borderId="0" xfId="0" applyAlignment="1">
      <alignment horizontal="center" vertical="center" wrapText="1"/>
    </xf>
    <xf numFmtId="167"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7" fontId="5" fillId="4" borderId="2" xfId="0" applyNumberFormat="1" applyFont="1" applyFill="1" applyBorder="1" applyAlignment="1">
      <alignment horizontal="center" vertical="center"/>
    </xf>
    <xf numFmtId="166" fontId="24" fillId="0" borderId="10" xfId="0" applyNumberFormat="1" applyFont="1" applyBorder="1" applyAlignment="1">
      <alignment horizontal="center" vertical="center"/>
    </xf>
    <xf numFmtId="166"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6" fontId="24" fillId="0" borderId="3" xfId="0" applyNumberFormat="1" applyFont="1" applyBorder="1" applyAlignment="1">
      <alignment horizontal="center" vertical="center"/>
    </xf>
    <xf numFmtId="166"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70"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2" fillId="3" borderId="3" xfId="0" applyFont="1" applyFill="1" applyBorder="1" applyAlignment="1">
      <alignment vertical="center"/>
    </xf>
    <xf numFmtId="0" fontId="32" fillId="3" borderId="2" xfId="0" applyFont="1" applyFill="1" applyBorder="1" applyAlignment="1">
      <alignment vertical="center"/>
    </xf>
    <xf numFmtId="0" fontId="32" fillId="3" borderId="4" xfId="0" applyFont="1" applyFill="1" applyBorder="1" applyAlignment="1">
      <alignment vertical="center"/>
    </xf>
    <xf numFmtId="0" fontId="32" fillId="3" borderId="1" xfId="0" applyFont="1" applyFill="1" applyBorder="1" applyAlignment="1">
      <alignment horizontal="center" vertical="center"/>
    </xf>
    <xf numFmtId="0" fontId="32"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30" fillId="2" borderId="1" xfId="1" applyNumberFormat="1" applyFont="1" applyFill="1" applyBorder="1" applyAlignment="1">
      <alignment horizontal="center" vertical="center"/>
    </xf>
    <xf numFmtId="167" fontId="30" fillId="2" borderId="3" xfId="1" applyNumberFormat="1" applyFont="1" applyFill="1" applyBorder="1" applyAlignment="1">
      <alignment horizontal="center" vertical="center"/>
    </xf>
    <xf numFmtId="171" fontId="33" fillId="0" borderId="0" xfId="0" applyNumberFormat="1" applyFont="1" applyAlignment="1">
      <alignment horizontal="center" vertical="center"/>
    </xf>
    <xf numFmtId="0" fontId="5" fillId="8" borderId="1" xfId="0" applyFont="1" applyFill="1" applyBorder="1" applyAlignment="1">
      <alignment horizontal="center" vertical="center"/>
    </xf>
    <xf numFmtId="0" fontId="23" fillId="0" borderId="0" xfId="0" applyFont="1" applyAlignment="1">
      <alignment horizontal="left" vertical="center"/>
    </xf>
    <xf numFmtId="167" fontId="23" fillId="0" borderId="13" xfId="1" applyNumberFormat="1" applyFont="1" applyFill="1" applyBorder="1" applyAlignment="1">
      <alignment vertical="center"/>
    </xf>
    <xf numFmtId="0" fontId="23" fillId="0" borderId="13" xfId="0" applyFont="1" applyBorder="1" applyAlignment="1">
      <alignment horizontal="center" vertical="center"/>
    </xf>
    <xf numFmtId="173" fontId="23" fillId="0" borderId="0" xfId="0" applyNumberFormat="1" applyFont="1" applyAlignment="1">
      <alignment horizontal="center" vertical="center"/>
    </xf>
    <xf numFmtId="167" fontId="23" fillId="0" borderId="0" xfId="1" applyNumberFormat="1" applyFont="1" applyBorder="1" applyAlignment="1">
      <alignment horizontal="center" vertical="center"/>
    </xf>
    <xf numFmtId="167" fontId="23" fillId="0" borderId="0" xfId="1" applyNumberFormat="1" applyFont="1" applyFill="1" applyBorder="1" applyAlignment="1">
      <alignment horizontal="center" vertical="center"/>
    </xf>
    <xf numFmtId="167"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0" fontId="34" fillId="0" borderId="1" xfId="0" applyFont="1" applyBorder="1" applyAlignment="1">
      <alignment horizontal="center" vertical="center"/>
    </xf>
    <xf numFmtId="167" fontId="35" fillId="0" borderId="39" xfId="0" applyNumberFormat="1" applyFont="1" applyBorder="1" applyAlignment="1">
      <alignment vertical="center"/>
    </xf>
    <xf numFmtId="167" fontId="34" fillId="0" borderId="1" xfId="1" applyNumberFormat="1" applyFont="1" applyFill="1" applyBorder="1" applyAlignment="1">
      <alignment horizontal="center" vertical="center"/>
    </xf>
    <xf numFmtId="167"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4" xfId="0" applyNumberFormat="1" applyFont="1" applyBorder="1" applyAlignment="1">
      <alignment horizontal="left" vertical="center"/>
    </xf>
    <xf numFmtId="16" fontId="23" fillId="0" borderId="43" xfId="0" applyNumberFormat="1" applyFont="1" applyBorder="1" applyAlignment="1">
      <alignment horizontal="left" vertical="center"/>
    </xf>
    <xf numFmtId="0" fontId="34" fillId="0" borderId="1" xfId="0" applyFont="1" applyBorder="1" applyAlignment="1">
      <alignment horizontal="center" vertical="center" wrapText="1"/>
    </xf>
    <xf numFmtId="0" fontId="36" fillId="0" borderId="13" xfId="0" applyFont="1" applyBorder="1"/>
    <xf numFmtId="0" fontId="36" fillId="0" borderId="0" xfId="0" applyFont="1"/>
    <xf numFmtId="0" fontId="36" fillId="0" borderId="8" xfId="0" applyFont="1" applyBorder="1"/>
    <xf numFmtId="0" fontId="37" fillId="0" borderId="0" xfId="0" applyFont="1" applyAlignment="1">
      <alignment vertical="center"/>
    </xf>
    <xf numFmtId="0" fontId="37" fillId="0" borderId="16" xfId="0" applyFont="1" applyBorder="1" applyAlignment="1">
      <alignment vertical="center"/>
    </xf>
    <xf numFmtId="0" fontId="38" fillId="0" borderId="13" xfId="0" applyFont="1" applyBorder="1"/>
    <xf numFmtId="0" fontId="38" fillId="0" borderId="14" xfId="0" applyFont="1" applyBorder="1"/>
    <xf numFmtId="0" fontId="39" fillId="0" borderId="0" xfId="0" applyFont="1" applyAlignment="1">
      <alignment vertical="center"/>
    </xf>
    <xf numFmtId="0" fontId="38" fillId="0" borderId="16" xfId="0" applyFont="1" applyBorder="1" applyAlignment="1">
      <alignment vertical="center"/>
    </xf>
    <xf numFmtId="0" fontId="38" fillId="0" borderId="0" xfId="0" applyFont="1" applyAlignment="1">
      <alignment vertical="center"/>
    </xf>
    <xf numFmtId="0" fontId="38" fillId="0" borderId="15" xfId="0" applyFont="1" applyBorder="1"/>
    <xf numFmtId="0" fontId="40" fillId="0" borderId="13" xfId="0" applyFont="1" applyBorder="1" applyAlignment="1">
      <alignment vertical="center"/>
    </xf>
    <xf numFmtId="0" fontId="40" fillId="0" borderId="0" xfId="0" applyFont="1" applyAlignment="1">
      <alignment horizontal="center" vertical="center"/>
    </xf>
    <xf numFmtId="0" fontId="40" fillId="0" borderId="0" xfId="0" applyFont="1" applyAlignment="1">
      <alignment vertical="center"/>
    </xf>
    <xf numFmtId="0" fontId="41" fillId="0" borderId="0" xfId="0" applyFont="1" applyAlignment="1">
      <alignment vertical="center"/>
    </xf>
    <xf numFmtId="0" fontId="40" fillId="0" borderId="16" xfId="0" applyFont="1" applyBorder="1" applyAlignment="1">
      <alignment vertical="center"/>
    </xf>
    <xf numFmtId="0" fontId="38" fillId="0" borderId="13" xfId="0" applyFont="1" applyBorder="1" applyAlignment="1">
      <alignment vertical="center"/>
    </xf>
    <xf numFmtId="0" fontId="41" fillId="0" borderId="0" xfId="0" applyFont="1" applyAlignment="1">
      <alignment horizontal="center" vertical="center"/>
    </xf>
    <xf numFmtId="0" fontId="41" fillId="0" borderId="16" xfId="0" applyFont="1" applyBorder="1" applyAlignment="1">
      <alignment vertical="center"/>
    </xf>
    <xf numFmtId="0" fontId="36" fillId="6" borderId="1" xfId="0" applyFont="1" applyFill="1" applyBorder="1" applyAlignment="1">
      <alignment horizontal="center" vertical="top"/>
    </xf>
    <xf numFmtId="0" fontId="37" fillId="0" borderId="0" xfId="0" applyFont="1" applyAlignment="1">
      <alignment vertical="center" wrapText="1"/>
    </xf>
    <xf numFmtId="0" fontId="42" fillId="0" borderId="0" xfId="0" applyFont="1" applyAlignment="1">
      <alignment horizontal="center" vertical="top"/>
    </xf>
    <xf numFmtId="0" fontId="44" fillId="0" borderId="0" xfId="0" applyFont="1" applyAlignment="1">
      <alignment vertical="center"/>
    </xf>
    <xf numFmtId="0" fontId="37" fillId="0" borderId="16" xfId="0" applyFont="1" applyBorder="1" applyAlignment="1">
      <alignment horizontal="center" vertical="center"/>
    </xf>
    <xf numFmtId="0" fontId="44" fillId="0" borderId="0" xfId="0" applyFont="1" applyAlignment="1">
      <alignment horizontal="left" vertical="center"/>
    </xf>
    <xf numFmtId="0" fontId="42" fillId="0" borderId="16" xfId="0" applyFont="1" applyBorder="1" applyAlignment="1">
      <alignment vertical="center"/>
    </xf>
    <xf numFmtId="0" fontId="47" fillId="0" borderId="0" xfId="0" applyFont="1" applyAlignment="1">
      <alignment horizontal="center" vertical="center"/>
    </xf>
    <xf numFmtId="0" fontId="36" fillId="0" borderId="16" xfId="0" applyFont="1" applyBorder="1" applyAlignment="1">
      <alignment vertical="center"/>
    </xf>
    <xf numFmtId="0" fontId="37" fillId="0" borderId="0" xfId="0" quotePrefix="1" applyFont="1" applyAlignment="1">
      <alignment vertical="center" wrapText="1"/>
    </xf>
    <xf numFmtId="0" fontId="48" fillId="0" borderId="16" xfId="0" applyFont="1" applyBorder="1" applyAlignment="1">
      <alignment horizontal="center" vertical="center"/>
    </xf>
    <xf numFmtId="0" fontId="41" fillId="0" borderId="13" xfId="0" applyFont="1" applyBorder="1" applyAlignment="1">
      <alignment vertical="center"/>
    </xf>
    <xf numFmtId="0" fontId="42" fillId="0" borderId="0" xfId="0" quotePrefix="1" applyFont="1" applyAlignment="1">
      <alignment vertical="center" wrapText="1"/>
    </xf>
    <xf numFmtId="0" fontId="48" fillId="0" borderId="0" xfId="0" applyFont="1" applyAlignment="1">
      <alignment horizontal="left" vertical="center"/>
    </xf>
    <xf numFmtId="0" fontId="48" fillId="0" borderId="16" xfId="0" applyFont="1" applyBorder="1" applyAlignment="1">
      <alignment horizontal="left" vertical="center"/>
    </xf>
    <xf numFmtId="0" fontId="41" fillId="0" borderId="19" xfId="0" applyFont="1" applyBorder="1" applyAlignment="1">
      <alignment vertical="center"/>
    </xf>
    <xf numFmtId="0" fontId="41" fillId="0" borderId="25" xfId="0" applyFont="1" applyBorder="1" applyAlignment="1">
      <alignment horizontal="center" vertical="center"/>
    </xf>
    <xf numFmtId="0" fontId="41" fillId="0" borderId="25" xfId="0" applyFont="1" applyBorder="1" applyAlignment="1">
      <alignment horizontal="left" vertical="center"/>
    </xf>
    <xf numFmtId="0" fontId="41" fillId="0" borderId="25" xfId="0" applyFont="1" applyBorder="1" applyAlignment="1">
      <alignment vertical="center"/>
    </xf>
    <xf numFmtId="16" fontId="48" fillId="0" borderId="25" xfId="0" applyNumberFormat="1" applyFont="1" applyBorder="1" applyAlignment="1">
      <alignment horizontal="left" vertical="center"/>
    </xf>
    <xf numFmtId="16" fontId="48" fillId="0" borderId="20" xfId="0" applyNumberFormat="1" applyFont="1" applyBorder="1" applyAlignment="1">
      <alignment horizontal="left" vertical="center"/>
    </xf>
    <xf numFmtId="0" fontId="38" fillId="0" borderId="29" xfId="0" applyFont="1" applyBorder="1"/>
    <xf numFmtId="0" fontId="5" fillId="0" borderId="11" xfId="0" applyFont="1" applyBorder="1" applyAlignment="1">
      <alignment horizontal="left" vertical="center"/>
    </xf>
    <xf numFmtId="0" fontId="51"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5" fillId="6" borderId="5" xfId="0" applyFont="1" applyFill="1" applyBorder="1" applyAlignment="1">
      <alignment horizontal="center" vertical="center"/>
    </xf>
    <xf numFmtId="0" fontId="5" fillId="0" borderId="1" xfId="0" applyFont="1" applyBorder="1" applyAlignment="1">
      <alignment horizontal="center" vertical="center"/>
    </xf>
    <xf numFmtId="0" fontId="36" fillId="6" borderId="13" xfId="0" applyFont="1" applyFill="1" applyBorder="1" applyAlignment="1">
      <alignment vertical="top" wrapText="1"/>
    </xf>
    <xf numFmtId="0" fontId="36" fillId="6" borderId="16" xfId="0" applyFont="1" applyFill="1" applyBorder="1" applyAlignment="1">
      <alignment vertical="top" wrapText="1"/>
    </xf>
    <xf numFmtId="0" fontId="36" fillId="6" borderId="10" xfId="0" applyFont="1" applyFill="1" applyBorder="1" applyAlignment="1">
      <alignment vertical="top" wrapText="1"/>
    </xf>
    <xf numFmtId="0" fontId="36" fillId="6" borderId="11" xfId="0" applyFont="1" applyFill="1" applyBorder="1" applyAlignment="1">
      <alignment vertical="top" wrapText="1"/>
    </xf>
    <xf numFmtId="0" fontId="36" fillId="6" borderId="12" xfId="0" applyFont="1" applyFill="1" applyBorder="1" applyAlignment="1">
      <alignment vertical="top" wrapText="1"/>
    </xf>
    <xf numFmtId="20" fontId="23" fillId="0" borderId="0" xfId="0" applyNumberFormat="1" applyFont="1" applyAlignment="1">
      <alignment vertical="center"/>
    </xf>
    <xf numFmtId="168" fontId="46" fillId="6" borderId="13" xfId="0" applyNumberFormat="1" applyFont="1" applyFill="1" applyBorder="1" applyAlignment="1">
      <alignment horizontal="right" vertical="top" wrapText="1"/>
    </xf>
    <xf numFmtId="168" fontId="46" fillId="6" borderId="16" xfId="0" applyNumberFormat="1" applyFont="1" applyFill="1" applyBorder="1" applyAlignment="1">
      <alignment horizontal="left" vertical="top" wrapText="1"/>
    </xf>
    <xf numFmtId="167" fontId="35" fillId="0" borderId="4" xfId="0" applyNumberFormat="1" applyFont="1" applyBorder="1" applyAlignment="1">
      <alignment horizontal="left" vertical="center"/>
    </xf>
    <xf numFmtId="0" fontId="36" fillId="6" borderId="0" xfId="0" applyFont="1" applyFill="1" applyAlignment="1">
      <alignment vertical="top" wrapText="1"/>
    </xf>
    <xf numFmtId="0" fontId="42" fillId="6" borderId="5" xfId="0" applyFont="1" applyFill="1" applyBorder="1" applyAlignment="1">
      <alignment horizontal="center" vertical="top" wrapText="1"/>
    </xf>
    <xf numFmtId="0" fontId="46" fillId="6" borderId="13" xfId="0" applyFont="1" applyFill="1" applyBorder="1" applyAlignment="1">
      <alignment vertical="top" wrapText="1"/>
    </xf>
    <xf numFmtId="0" fontId="46" fillId="6" borderId="0" xfId="0" applyFont="1" applyFill="1" applyAlignment="1">
      <alignment vertical="top" wrapText="1"/>
    </xf>
    <xf numFmtId="0" fontId="46" fillId="6" borderId="16" xfId="0" applyFont="1" applyFill="1" applyBorder="1" applyAlignment="1">
      <alignment vertical="top" wrapText="1"/>
    </xf>
    <xf numFmtId="0" fontId="46" fillId="6" borderId="10" xfId="0" applyFont="1" applyFill="1" applyBorder="1" applyAlignment="1">
      <alignment vertical="top" wrapText="1"/>
    </xf>
    <xf numFmtId="0" fontId="46" fillId="6" borderId="11" xfId="0" applyFont="1" applyFill="1" applyBorder="1" applyAlignment="1">
      <alignment vertical="top" wrapText="1"/>
    </xf>
    <xf numFmtId="0" fontId="46" fillId="6" borderId="12" xfId="0" applyFont="1" applyFill="1" applyBorder="1" applyAlignment="1">
      <alignment vertical="top" wrapText="1"/>
    </xf>
    <xf numFmtId="0" fontId="36" fillId="6" borderId="13" xfId="0" applyFont="1" applyFill="1" applyBorder="1" applyAlignment="1">
      <alignment horizontal="center" vertical="top" wrapText="1"/>
    </xf>
    <xf numFmtId="0" fontId="36" fillId="6" borderId="16" xfId="0" applyFont="1" applyFill="1" applyBorder="1" applyAlignment="1">
      <alignment horizontal="center" vertical="top" wrapText="1"/>
    </xf>
    <xf numFmtId="0" fontId="36" fillId="6" borderId="0" xfId="0" applyFont="1" applyFill="1" applyAlignment="1">
      <alignment horizontal="center" vertical="top" wrapText="1"/>
    </xf>
    <xf numFmtId="0" fontId="37" fillId="6" borderId="13" xfId="0" applyFont="1" applyFill="1" applyBorder="1" applyAlignment="1">
      <alignment vertical="top" wrapText="1"/>
    </xf>
    <xf numFmtId="0" fontId="37" fillId="6" borderId="16" xfId="0" applyFont="1" applyFill="1" applyBorder="1" applyAlignment="1">
      <alignment vertical="top" wrapText="1"/>
    </xf>
    <xf numFmtId="0" fontId="37" fillId="6" borderId="10" xfId="0" applyFont="1" applyFill="1" applyBorder="1" applyAlignment="1">
      <alignment vertical="top" wrapText="1"/>
    </xf>
    <xf numFmtId="0" fontId="37" fillId="6" borderId="12" xfId="0" applyFont="1" applyFill="1" applyBorder="1" applyAlignment="1">
      <alignment vertical="top" wrapText="1"/>
    </xf>
    <xf numFmtId="0" fontId="6" fillId="5" borderId="23" xfId="0" applyFont="1" applyFill="1" applyBorder="1" applyAlignment="1">
      <alignment horizontal="center" vertical="center" wrapText="1"/>
    </xf>
    <xf numFmtId="0" fontId="6" fillId="5" borderId="13" xfId="0" applyFont="1" applyFill="1" applyBorder="1" applyAlignment="1">
      <alignment horizontal="center" vertical="center" wrapText="1"/>
    </xf>
    <xf numFmtId="20" fontId="4" fillId="0" borderId="1" xfId="0" applyNumberFormat="1" applyFont="1" applyBorder="1" applyAlignment="1">
      <alignment horizontal="center" vertical="center"/>
    </xf>
    <xf numFmtId="0" fontId="34" fillId="0" borderId="3" xfId="0" applyFont="1" applyBorder="1" applyAlignment="1">
      <alignment vertical="center"/>
    </xf>
    <xf numFmtId="0" fontId="34" fillId="0" borderId="2" xfId="0" applyFont="1" applyBorder="1" applyAlignment="1">
      <alignment vertical="center"/>
    </xf>
    <xf numFmtId="0" fontId="34" fillId="0" borderId="4" xfId="0" applyFont="1" applyBorder="1" applyAlignment="1">
      <alignment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4" fillId="0" borderId="1" xfId="0" applyFont="1" applyBorder="1" applyAlignment="1">
      <alignment horizontal="center" vertical="center"/>
    </xf>
    <xf numFmtId="0" fontId="42" fillId="6" borderId="1" xfId="0" applyFont="1" applyFill="1" applyBorder="1" applyAlignment="1">
      <alignment horizontal="center" vertical="top" wrapText="1"/>
    </xf>
    <xf numFmtId="0" fontId="36" fillId="6" borderId="1" xfId="0" applyFont="1" applyFill="1" applyBorder="1" applyAlignment="1">
      <alignment horizontal="center" vertical="top" wrapText="1"/>
    </xf>
    <xf numFmtId="0" fontId="10" fillId="2" borderId="1" xfId="0" applyFont="1" applyFill="1" applyBorder="1" applyAlignment="1">
      <alignment horizontal="center" vertical="top"/>
    </xf>
    <xf numFmtId="0" fontId="10" fillId="3" borderId="1" xfId="0" applyFont="1" applyFill="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20" fontId="4" fillId="0" borderId="3" xfId="0" applyNumberFormat="1" applyFont="1" applyBorder="1" applyAlignment="1">
      <alignment horizontal="center" vertical="center"/>
    </xf>
    <xf numFmtId="0" fontId="6" fillId="0" borderId="0" xfId="0" applyFont="1" applyAlignment="1">
      <alignment horizontal="center" vertical="top"/>
    </xf>
    <xf numFmtId="0" fontId="6" fillId="5" borderId="1" xfId="0" applyFont="1" applyFill="1" applyBorder="1" applyAlignment="1">
      <alignment horizontal="center" vertical="center" wrapText="1"/>
    </xf>
    <xf numFmtId="0" fontId="6" fillId="5" borderId="23" xfId="0" applyFont="1" applyFill="1" applyBorder="1" applyAlignment="1">
      <alignment horizontal="center"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2" fillId="0" borderId="1" xfId="0" applyFont="1" applyBorder="1" applyAlignment="1">
      <alignment horizontal="center" vertical="center"/>
    </xf>
    <xf numFmtId="167" fontId="34" fillId="0" borderId="0" xfId="0" applyNumberFormat="1" applyFont="1" applyBorder="1" applyAlignment="1">
      <alignment horizontal="center" vertical="center"/>
    </xf>
    <xf numFmtId="167" fontId="35" fillId="0" borderId="0" xfId="1" applyNumberFormat="1" applyFont="1" applyBorder="1" applyAlignment="1">
      <alignment vertical="center"/>
    </xf>
    <xf numFmtId="0" fontId="27" fillId="6" borderId="13" xfId="0" applyFont="1" applyFill="1" applyBorder="1" applyAlignment="1">
      <alignment horizontal="left" vertical="center"/>
    </xf>
    <xf numFmtId="0" fontId="5" fillId="6" borderId="0" xfId="0" applyFont="1" applyFill="1" applyAlignment="1">
      <alignment horizontal="left" vertical="center"/>
    </xf>
    <xf numFmtId="173" fontId="24" fillId="0" borderId="0" xfId="0" applyNumberFormat="1" applyFont="1" applyAlignment="1">
      <alignment horizontal="center" vertical="center"/>
    </xf>
    <xf numFmtId="0" fontId="24" fillId="0" borderId="0" xfId="0" applyFont="1" applyAlignment="1">
      <alignment horizontal="center" vertical="center" wrapText="1"/>
    </xf>
    <xf numFmtId="167" fontId="34" fillId="0" borderId="0" xfId="0" applyNumberFormat="1" applyFont="1" applyAlignment="1">
      <alignment horizontal="center" vertical="center" wrapText="1"/>
    </xf>
    <xf numFmtId="0" fontId="60" fillId="0" borderId="1" xfId="0" applyFont="1" applyBorder="1" applyAlignment="1">
      <alignment horizontal="center" vertical="center"/>
    </xf>
    <xf numFmtId="169" fontId="58" fillId="0" borderId="3" xfId="0" applyNumberFormat="1" applyFont="1" applyBorder="1" applyAlignment="1">
      <alignment horizontal="center" vertical="center"/>
    </xf>
    <xf numFmtId="173" fontId="58" fillId="0" borderId="8" xfId="0" applyNumberFormat="1" applyFont="1" applyBorder="1" applyAlignment="1">
      <alignment horizontal="center" vertical="center"/>
    </xf>
    <xf numFmtId="0" fontId="64" fillId="7" borderId="1" xfId="0" applyFont="1" applyFill="1" applyBorder="1" applyAlignment="1">
      <alignment horizontal="center"/>
    </xf>
    <xf numFmtId="173" fontId="58" fillId="0" borderId="2" xfId="0" applyNumberFormat="1" applyFont="1" applyBorder="1" applyAlignment="1">
      <alignment horizontal="center" vertical="center"/>
    </xf>
    <xf numFmtId="0" fontId="61" fillId="0" borderId="14" xfId="0" applyFont="1" applyBorder="1"/>
    <xf numFmtId="0" fontId="56" fillId="0" borderId="1" xfId="0" applyFont="1" applyBorder="1" applyAlignment="1">
      <alignment horizontal="center" vertical="top" wrapText="1"/>
    </xf>
    <xf numFmtId="16" fontId="56" fillId="7" borderId="1" xfId="0" applyNumberFormat="1" applyFont="1" applyFill="1" applyBorder="1" applyAlignment="1">
      <alignment horizontal="center" vertical="top" wrapText="1"/>
    </xf>
    <xf numFmtId="171" fontId="59" fillId="0" borderId="1" xfId="0" applyNumberFormat="1" applyFont="1" applyBorder="1" applyAlignment="1">
      <alignment vertical="top" wrapText="1"/>
    </xf>
    <xf numFmtId="0" fontId="56" fillId="7" borderId="1" xfId="0" applyFont="1" applyFill="1" applyBorder="1" applyAlignment="1">
      <alignment vertical="top" wrapText="1"/>
    </xf>
    <xf numFmtId="0" fontId="56" fillId="0" borderId="17" xfId="0" applyFont="1" applyBorder="1" applyAlignment="1">
      <alignment horizontal="center" vertical="top" wrapText="1"/>
    </xf>
    <xf numFmtId="0" fontId="56" fillId="7" borderId="17" xfId="0" applyFont="1" applyFill="1" applyBorder="1" applyAlignment="1">
      <alignment horizontal="center" vertical="top" wrapText="1"/>
    </xf>
    <xf numFmtId="171" fontId="59" fillId="0" borderId="17" xfId="0" applyNumberFormat="1" applyFont="1" applyBorder="1" applyAlignment="1">
      <alignment vertical="top" wrapText="1"/>
    </xf>
    <xf numFmtId="0" fontId="56" fillId="7" borderId="17" xfId="0" applyFont="1" applyFill="1" applyBorder="1" applyAlignment="1">
      <alignment vertical="top" wrapText="1"/>
    </xf>
    <xf numFmtId="0" fontId="2" fillId="0" borderId="2" xfId="0" applyFont="1" applyBorder="1" applyAlignment="1">
      <alignment horizontal="center"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68" fillId="0" borderId="0" xfId="0" applyFont="1" applyAlignment="1">
      <alignment horizontal="center" vertical="top" wrapText="1"/>
    </xf>
    <xf numFmtId="169" fontId="68" fillId="0" borderId="6" xfId="0" applyNumberFormat="1" applyFont="1" applyBorder="1" applyAlignment="1">
      <alignment horizontal="center" vertical="top" wrapText="1"/>
    </xf>
    <xf numFmtId="167" fontId="68" fillId="0" borderId="6" xfId="1" applyNumberFormat="1" applyFont="1" applyBorder="1" applyAlignment="1">
      <alignment vertical="top" wrapText="1"/>
    </xf>
    <xf numFmtId="167" fontId="68" fillId="0" borderId="6" xfId="1" applyNumberFormat="1" applyFont="1" applyBorder="1" applyAlignment="1">
      <alignment horizontal="right" vertical="top" wrapText="1"/>
    </xf>
    <xf numFmtId="0" fontId="68" fillId="0" borderId="0" xfId="0" applyFont="1" applyAlignment="1">
      <alignment vertical="top" wrapText="1"/>
    </xf>
    <xf numFmtId="169" fontId="68" fillId="0" borderId="1" xfId="0" applyNumberFormat="1" applyFont="1" applyBorder="1" applyAlignment="1">
      <alignment horizontal="center" vertical="top" wrapText="1"/>
    </xf>
    <xf numFmtId="167" fontId="68" fillId="0" borderId="1" xfId="1" applyNumberFormat="1" applyFont="1" applyBorder="1" applyAlignment="1">
      <alignment vertical="top" wrapText="1"/>
    </xf>
    <xf numFmtId="167" fontId="68" fillId="0" borderId="1" xfId="1" applyNumberFormat="1" applyFont="1" applyBorder="1" applyAlignment="1">
      <alignment horizontal="right" vertical="top" wrapText="1"/>
    </xf>
    <xf numFmtId="0" fontId="65" fillId="0" borderId="1" xfId="0" applyFont="1" applyBorder="1" applyAlignment="1">
      <alignment horizontal="center" vertical="top" wrapText="1"/>
    </xf>
    <xf numFmtId="167" fontId="68" fillId="0" borderId="0" xfId="1" applyNumberFormat="1" applyFont="1" applyAlignment="1">
      <alignment vertical="top" wrapText="1"/>
    </xf>
    <xf numFmtId="0" fontId="68" fillId="0" borderId="1" xfId="0" applyFont="1" applyBorder="1" applyAlignment="1">
      <alignment horizontal="center" vertical="top" wrapText="1"/>
    </xf>
    <xf numFmtId="0" fontId="68" fillId="0" borderId="6" xfId="0" applyFont="1" applyBorder="1" applyAlignment="1">
      <alignment horizontal="center" vertical="top" wrapText="1"/>
    </xf>
    <xf numFmtId="167" fontId="65" fillId="0" borderId="1" xfId="1" applyNumberFormat="1" applyFont="1" applyBorder="1" applyAlignment="1">
      <alignment vertical="top" wrapText="1"/>
    </xf>
    <xf numFmtId="167" fontId="68" fillId="0" borderId="17" xfId="1" applyNumberFormat="1" applyFont="1" applyBorder="1" applyAlignment="1">
      <alignment horizontal="center" vertical="top" wrapText="1"/>
    </xf>
    <xf numFmtId="0" fontId="68" fillId="0" borderId="17" xfId="0" applyFont="1" applyBorder="1" applyAlignment="1">
      <alignment horizontal="center" vertical="center" wrapText="1"/>
    </xf>
    <xf numFmtId="167" fontId="68" fillId="0" borderId="17" xfId="1" applyNumberFormat="1" applyFont="1" applyBorder="1" applyAlignment="1">
      <alignment horizontal="center" vertical="center" wrapText="1"/>
    </xf>
    <xf numFmtId="0" fontId="68" fillId="0" borderId="0" xfId="0" applyFont="1" applyAlignment="1">
      <alignment horizontal="left" vertical="top" wrapText="1"/>
    </xf>
    <xf numFmtId="0" fontId="0" fillId="0" borderId="0" xfId="0" applyAlignment="1">
      <alignment horizontal="right" vertical="center"/>
    </xf>
    <xf numFmtId="0" fontId="2" fillId="0" borderId="2" xfId="0" applyFont="1" applyBorder="1" applyAlignment="1">
      <alignment horizontal="right" vertical="center"/>
    </xf>
    <xf numFmtId="0" fontId="0" fillId="0" borderId="8" xfId="0" applyBorder="1" applyAlignment="1">
      <alignment horizontal="right" vertical="center"/>
    </xf>
    <xf numFmtId="0" fontId="0" fillId="0" borderId="24" xfId="0" applyBorder="1" applyAlignment="1">
      <alignment horizontal="right" vertical="center"/>
    </xf>
    <xf numFmtId="0" fontId="23" fillId="0" borderId="0" xfId="0" applyFont="1" applyAlignment="1">
      <alignment horizontal="right" vertical="center"/>
    </xf>
    <xf numFmtId="0" fontId="70" fillId="0" borderId="1" xfId="0" applyFont="1" applyBorder="1" applyAlignment="1">
      <alignment horizontal="center" vertical="center"/>
    </xf>
    <xf numFmtId="168" fontId="70" fillId="0" borderId="3" xfId="0" applyNumberFormat="1" applyFont="1" applyBorder="1" applyAlignment="1">
      <alignment vertical="center"/>
    </xf>
    <xf numFmtId="167" fontId="71" fillId="0" borderId="1" xfId="1" applyNumberFormat="1" applyFont="1" applyBorder="1" applyAlignment="1">
      <alignment horizontal="right" vertical="center"/>
    </xf>
    <xf numFmtId="0" fontId="70" fillId="9" borderId="1" xfId="0" applyFont="1" applyFill="1" applyBorder="1" applyAlignment="1">
      <alignment horizontal="center" vertical="center"/>
    </xf>
    <xf numFmtId="168" fontId="70" fillId="9" borderId="3" xfId="0" applyNumberFormat="1" applyFont="1" applyFill="1" applyBorder="1" applyAlignment="1">
      <alignment vertical="center"/>
    </xf>
    <xf numFmtId="167" fontId="71" fillId="9" borderId="1" xfId="1" applyNumberFormat="1" applyFont="1" applyFill="1" applyBorder="1" applyAlignment="1">
      <alignment horizontal="right" vertical="center"/>
    </xf>
    <xf numFmtId="0" fontId="6" fillId="2" borderId="3" xfId="0" applyFont="1" applyFill="1" applyBorder="1" applyAlignment="1">
      <alignment vertical="center"/>
    </xf>
    <xf numFmtId="167" fontId="17" fillId="2" borderId="1" xfId="1" applyNumberFormat="1" applyFont="1" applyFill="1" applyBorder="1" applyAlignment="1">
      <alignment horizontal="right" vertical="center"/>
    </xf>
    <xf numFmtId="167" fontId="17" fillId="2" borderId="3" xfId="1" applyNumberFormat="1" applyFont="1" applyFill="1" applyBorder="1" applyAlignment="1">
      <alignment horizontal="right" vertical="center"/>
    </xf>
    <xf numFmtId="0" fontId="66" fillId="0" borderId="0" xfId="0" applyFont="1" applyAlignment="1">
      <alignment vertical="center"/>
    </xf>
    <xf numFmtId="167" fontId="67" fillId="0" borderId="0" xfId="0" applyNumberFormat="1" applyFont="1" applyBorder="1" applyAlignment="1">
      <alignment horizontal="right" vertical="center"/>
    </xf>
    <xf numFmtId="0" fontId="66" fillId="0" borderId="16" xfId="0" applyFont="1" applyBorder="1" applyAlignment="1">
      <alignment vertical="center"/>
    </xf>
    <xf numFmtId="0" fontId="66" fillId="0" borderId="24" xfId="0" applyFont="1" applyBorder="1" applyAlignment="1">
      <alignment vertical="center"/>
    </xf>
    <xf numFmtId="16" fontId="70" fillId="0" borderId="24" xfId="0" applyNumberFormat="1" applyFont="1" applyBorder="1" applyAlignment="1">
      <alignment horizontal="left" vertical="center"/>
    </xf>
    <xf numFmtId="16" fontId="66" fillId="0" borderId="43" xfId="0" applyNumberFormat="1" applyFont="1" applyBorder="1" applyAlignment="1">
      <alignment horizontal="left" vertical="center"/>
    </xf>
    <xf numFmtId="16" fontId="66" fillId="0" borderId="0" xfId="0" applyNumberFormat="1" applyFont="1" applyAlignment="1">
      <alignment vertical="center"/>
    </xf>
    <xf numFmtId="167" fontId="67" fillId="0" borderId="0" xfId="1" applyNumberFormat="1" applyFont="1" applyBorder="1" applyAlignment="1">
      <alignment horizontal="right" vertical="center"/>
    </xf>
    <xf numFmtId="0" fontId="66" fillId="0" borderId="42" xfId="0" applyFont="1" applyBorder="1" applyAlignment="1">
      <alignment horizontal="left" vertical="center"/>
    </xf>
    <xf numFmtId="0" fontId="66" fillId="0" borderId="24" xfId="0" applyFont="1" applyBorder="1" applyAlignment="1">
      <alignment horizontal="left" vertical="center"/>
    </xf>
    <xf numFmtId="0" fontId="66" fillId="0" borderId="24" xfId="0" applyFont="1" applyBorder="1" applyAlignment="1">
      <alignment horizontal="center" vertical="center"/>
    </xf>
    <xf numFmtId="0" fontId="66" fillId="0" borderId="24" xfId="0" applyFont="1" applyBorder="1" applyAlignment="1">
      <alignment horizontal="right" vertical="center"/>
    </xf>
    <xf numFmtId="167" fontId="66" fillId="0" borderId="24" xfId="0" applyNumberFormat="1" applyFont="1" applyBorder="1" applyAlignment="1">
      <alignment horizontal="center" vertical="center"/>
    </xf>
    <xf numFmtId="0" fontId="74" fillId="0" borderId="0" xfId="0" applyFont="1" applyAlignment="1">
      <alignment vertical="center"/>
    </xf>
    <xf numFmtId="0" fontId="74" fillId="0" borderId="16" xfId="0" applyFont="1" applyBorder="1" applyAlignment="1">
      <alignment vertical="center"/>
    </xf>
    <xf numFmtId="0" fontId="74" fillId="0" borderId="13" xfId="0" applyFont="1" applyBorder="1" applyAlignment="1">
      <alignment horizontal="center" vertical="center"/>
    </xf>
    <xf numFmtId="0" fontId="74" fillId="0" borderId="0" xfId="0" applyFont="1" applyAlignment="1">
      <alignment horizontal="center" vertical="center"/>
    </xf>
    <xf numFmtId="0" fontId="74" fillId="0" borderId="0" xfId="0" applyFont="1" applyAlignment="1">
      <alignment horizontal="right" vertical="center"/>
    </xf>
    <xf numFmtId="167" fontId="74" fillId="0" borderId="0" xfId="0" applyNumberFormat="1" applyFont="1" applyAlignment="1">
      <alignment horizontal="right" vertical="center"/>
    </xf>
    <xf numFmtId="171" fontId="74" fillId="0" borderId="0" xfId="0" applyNumberFormat="1" applyFont="1" applyAlignment="1">
      <alignment horizontal="center" vertical="center"/>
    </xf>
    <xf numFmtId="0" fontId="74" fillId="0" borderId="16" xfId="0" applyFont="1" applyBorder="1" applyAlignment="1">
      <alignment horizontal="center" vertical="center"/>
    </xf>
    <xf numFmtId="0" fontId="65" fillId="0" borderId="7" xfId="0" applyFont="1" applyBorder="1" applyAlignment="1">
      <alignment vertical="center"/>
    </xf>
    <xf numFmtId="0" fontId="65" fillId="0" borderId="8" xfId="0" applyFont="1" applyBorder="1" applyAlignment="1">
      <alignment vertical="center"/>
    </xf>
    <xf numFmtId="0" fontId="65" fillId="0" borderId="13" xfId="0" applyFont="1" applyBorder="1" applyAlignment="1">
      <alignment vertical="center"/>
    </xf>
    <xf numFmtId="0" fontId="65" fillId="0" borderId="0" xfId="0" applyFont="1" applyBorder="1" applyAlignment="1">
      <alignment vertical="center"/>
    </xf>
    <xf numFmtId="0" fontId="65" fillId="0" borderId="0" xfId="0" applyFont="1" applyBorder="1" applyAlignment="1">
      <alignment horizontal="right" vertical="center"/>
    </xf>
    <xf numFmtId="0" fontId="6" fillId="0" borderId="0" xfId="0" applyFont="1" applyBorder="1" applyAlignment="1">
      <alignment horizontal="center" vertical="center"/>
    </xf>
    <xf numFmtId="0" fontId="4" fillId="0" borderId="0" xfId="0" applyFont="1" applyBorder="1" applyAlignment="1">
      <alignment vertical="center"/>
    </xf>
    <xf numFmtId="167" fontId="72" fillId="0" borderId="6" xfId="1" applyNumberFormat="1" applyFont="1" applyBorder="1" applyAlignment="1">
      <alignment horizontal="center" vertical="center"/>
    </xf>
    <xf numFmtId="169" fontId="70" fillId="9" borderId="3" xfId="0" applyNumberFormat="1" applyFont="1" applyFill="1" applyBorder="1" applyAlignment="1">
      <alignment horizontal="left" vertical="center" shrinkToFit="1"/>
    </xf>
    <xf numFmtId="169" fontId="70" fillId="0" borderId="3" xfId="0" applyNumberFormat="1" applyFont="1" applyBorder="1" applyAlignment="1">
      <alignment horizontal="left" vertical="center" shrinkToFit="1"/>
    </xf>
    <xf numFmtId="0" fontId="23" fillId="0" borderId="0" xfId="0" applyFont="1" applyAlignment="1">
      <alignment vertical="center" wrapText="1"/>
    </xf>
    <xf numFmtId="0" fontId="10" fillId="3" borderId="3" xfId="0" applyFont="1" applyFill="1" applyBorder="1" applyAlignment="1">
      <alignment vertical="center" wrapText="1"/>
    </xf>
    <xf numFmtId="0" fontId="10" fillId="3" borderId="1" xfId="0" applyFont="1" applyFill="1" applyBorder="1" applyAlignment="1">
      <alignment horizontal="right" vertical="center" wrapText="1"/>
    </xf>
    <xf numFmtId="0" fontId="10" fillId="3" borderId="3" xfId="0" applyFont="1" applyFill="1" applyBorder="1" applyAlignment="1">
      <alignment horizontal="right" vertical="center" wrapText="1"/>
    </xf>
    <xf numFmtId="0" fontId="23" fillId="0" borderId="16" xfId="0" applyFont="1" applyBorder="1" applyAlignment="1">
      <alignment vertical="center" wrapText="1"/>
    </xf>
    <xf numFmtId="175" fontId="73" fillId="0" borderId="1" xfId="0" applyNumberFormat="1" applyFont="1" applyBorder="1" applyAlignment="1">
      <alignment horizontal="center" vertical="center"/>
    </xf>
    <xf numFmtId="175" fontId="73" fillId="0" borderId="1" xfId="1" applyNumberFormat="1" applyFont="1" applyBorder="1" applyAlignment="1">
      <alignment horizontal="center" vertical="center"/>
    </xf>
    <xf numFmtId="175" fontId="73" fillId="0" borderId="17" xfId="0" applyNumberFormat="1" applyFont="1" applyBorder="1" applyAlignment="1">
      <alignment horizontal="center" vertical="center"/>
    </xf>
    <xf numFmtId="175" fontId="73" fillId="0" borderId="17" xfId="1" applyNumberFormat="1" applyFont="1" applyBorder="1" applyAlignment="1">
      <alignment horizontal="center" vertical="center"/>
    </xf>
    <xf numFmtId="167" fontId="73" fillId="0" borderId="6" xfId="0" applyNumberFormat="1" applyFont="1" applyBorder="1" applyAlignment="1">
      <alignment horizontal="right" vertical="center"/>
    </xf>
    <xf numFmtId="167" fontId="73" fillId="0" borderId="6" xfId="1" applyNumberFormat="1" applyFont="1" applyBorder="1" applyAlignment="1">
      <alignment horizontal="right" vertical="center"/>
    </xf>
    <xf numFmtId="0" fontId="73" fillId="0" borderId="17" xfId="0" applyFont="1" applyBorder="1" applyAlignment="1">
      <alignment horizontal="center" vertical="center"/>
    </xf>
    <xf numFmtId="167" fontId="73" fillId="0" borderId="17" xfId="0" applyNumberFormat="1" applyFont="1" applyBorder="1" applyAlignment="1">
      <alignment horizontal="right" vertical="center"/>
    </xf>
    <xf numFmtId="167" fontId="73" fillId="0" borderId="17" xfId="1" applyNumberFormat="1" applyFont="1" applyBorder="1" applyAlignment="1">
      <alignment horizontal="right" vertical="center"/>
    </xf>
    <xf numFmtId="0" fontId="73" fillId="0" borderId="6" xfId="0" applyFont="1" applyBorder="1" applyAlignment="1">
      <alignment horizontal="center" vertical="center"/>
    </xf>
    <xf numFmtId="0" fontId="8" fillId="0" borderId="2" xfId="0" applyFont="1" applyBorder="1" applyAlignment="1">
      <alignment horizontal="right" vertical="center"/>
    </xf>
    <xf numFmtId="0" fontId="3" fillId="0" borderId="26" xfId="0" applyFont="1" applyBorder="1" applyAlignment="1">
      <alignment horizontal="left" vertical="center"/>
    </xf>
    <xf numFmtId="0" fontId="3" fillId="0" borderId="29" xfId="0" applyFont="1" applyBorder="1" applyAlignment="1">
      <alignment horizontal="left" vertical="center"/>
    </xf>
    <xf numFmtId="0" fontId="3" fillId="0" borderId="31" xfId="0" applyFont="1" applyBorder="1" applyAlignment="1">
      <alignment horizontal="left" vertical="center"/>
    </xf>
    <xf numFmtId="0" fontId="77" fillId="0" borderId="0" xfId="0" applyFont="1" applyAlignment="1">
      <alignment horizontal="left" vertical="center"/>
    </xf>
    <xf numFmtId="0" fontId="66" fillId="4" borderId="0" xfId="0" applyFont="1" applyFill="1" applyAlignment="1">
      <alignment vertical="center"/>
    </xf>
    <xf numFmtId="0" fontId="66" fillId="4" borderId="0" xfId="0" applyFont="1" applyFill="1" applyBorder="1" applyAlignment="1">
      <alignment horizontal="center" vertical="center"/>
    </xf>
    <xf numFmtId="167" fontId="67" fillId="4" borderId="0" xfId="0" applyNumberFormat="1" applyFont="1" applyFill="1" applyBorder="1" applyAlignment="1">
      <alignment horizontal="right" vertical="center"/>
    </xf>
    <xf numFmtId="171" fontId="74" fillId="0" borderId="1" xfId="0" applyNumberFormat="1" applyFont="1" applyBorder="1" applyAlignment="1">
      <alignment horizontal="center" vertical="center" shrinkToFit="1"/>
    </xf>
    <xf numFmtId="0" fontId="74" fillId="0" borderId="1" xfId="0" applyFont="1" applyBorder="1" applyAlignment="1">
      <alignment horizontal="center" vertical="center" shrinkToFit="1"/>
    </xf>
    <xf numFmtId="174" fontId="59" fillId="0" borderId="18" xfId="0" applyNumberFormat="1" applyFont="1" applyBorder="1" applyAlignment="1">
      <alignment vertical="top" wrapText="1"/>
    </xf>
    <xf numFmtId="174" fontId="59" fillId="0" borderId="1" xfId="0" applyNumberFormat="1" applyFont="1" applyBorder="1" applyAlignment="1">
      <alignment vertical="top" wrapText="1"/>
    </xf>
    <xf numFmtId="0" fontId="70" fillId="9" borderId="6" xfId="0" applyFont="1" applyFill="1" applyBorder="1" applyAlignment="1">
      <alignment horizontal="center" vertical="center"/>
    </xf>
    <xf numFmtId="168" fontId="70" fillId="9" borderId="10" xfId="0" applyNumberFormat="1" applyFont="1" applyFill="1" applyBorder="1" applyAlignment="1">
      <alignment vertical="center"/>
    </xf>
    <xf numFmtId="169" fontId="70" fillId="9" borderId="10" xfId="0" applyNumberFormat="1" applyFont="1" applyFill="1" applyBorder="1" applyAlignment="1">
      <alignment horizontal="left" vertical="center" shrinkToFit="1"/>
    </xf>
    <xf numFmtId="167" fontId="71" fillId="9" borderId="6" xfId="1" applyNumberFormat="1" applyFont="1" applyFill="1" applyBorder="1" applyAlignment="1">
      <alignment horizontal="right" vertical="center"/>
    </xf>
    <xf numFmtId="0" fontId="69" fillId="8" borderId="1" xfId="0" applyFont="1" applyFill="1" applyBorder="1" applyAlignment="1">
      <alignment horizontal="center" vertical="center" shrinkToFit="1"/>
    </xf>
    <xf numFmtId="0" fontId="75" fillId="4" borderId="13" xfId="0" applyFont="1" applyFill="1" applyBorder="1" applyAlignment="1">
      <alignment horizontal="left" vertical="center"/>
    </xf>
    <xf numFmtId="0" fontId="74" fillId="0" borderId="0" xfId="0" applyFont="1" applyAlignment="1">
      <alignment vertical="top"/>
    </xf>
    <xf numFmtId="0" fontId="74" fillId="0" borderId="16" xfId="0" applyFont="1" applyBorder="1" applyAlignment="1">
      <alignment vertical="top"/>
    </xf>
    <xf numFmtId="0" fontId="0" fillId="0" borderId="0" xfId="0" applyAlignment="1">
      <alignment horizontal="left" vertical="center"/>
    </xf>
    <xf numFmtId="167" fontId="73" fillId="0" borderId="1" xfId="0" applyNumberFormat="1" applyFont="1" applyBorder="1" applyAlignment="1">
      <alignment horizontal="center" vertical="center"/>
    </xf>
    <xf numFmtId="167" fontId="71" fillId="9" borderId="17" xfId="1" applyNumberFormat="1" applyFont="1" applyFill="1" applyBorder="1" applyAlignment="1">
      <alignment horizontal="right" vertical="center"/>
    </xf>
    <xf numFmtId="0" fontId="74" fillId="0" borderId="0" xfId="0" applyFont="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5" fillId="0" borderId="36" xfId="0" applyFont="1" applyBorder="1" applyAlignment="1">
      <alignment horizontal="left" vertical="center"/>
    </xf>
    <xf numFmtId="0" fontId="5" fillId="0" borderId="35"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166" fontId="24" fillId="0" borderId="1" xfId="0" applyNumberFormat="1" applyFont="1" applyBorder="1" applyAlignment="1">
      <alignment horizontal="center" vertical="center"/>
    </xf>
    <xf numFmtId="0" fontId="24" fillId="0" borderId="1"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16" fontId="3" fillId="0" borderId="3" xfId="0" applyNumberFormat="1" applyFont="1" applyBorder="1" applyAlignment="1">
      <alignment horizontal="center" vertical="center"/>
    </xf>
    <xf numFmtId="166" fontId="24" fillId="4" borderId="1" xfId="0" applyNumberFormat="1" applyFont="1" applyFill="1" applyBorder="1" applyAlignment="1">
      <alignment horizontal="center" vertical="center"/>
    </xf>
    <xf numFmtId="0" fontId="22" fillId="3" borderId="36" xfId="0" applyFont="1" applyFill="1" applyBorder="1" applyAlignment="1">
      <alignment horizontal="center" vertical="center"/>
    </xf>
    <xf numFmtId="0" fontId="22" fillId="3" borderId="35" xfId="0" applyFont="1" applyFill="1" applyBorder="1" applyAlignment="1">
      <alignment horizontal="center" vertical="center"/>
    </xf>
    <xf numFmtId="0" fontId="22" fillId="3" borderId="37" xfId="0" applyFont="1" applyFill="1" applyBorder="1" applyAlignment="1">
      <alignment horizontal="center" vertical="center"/>
    </xf>
    <xf numFmtId="0" fontId="22" fillId="3" borderId="1"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31" fillId="0" borderId="6" xfId="0" applyFont="1" applyBorder="1" applyAlignment="1">
      <alignment horizontal="center" vertical="center"/>
    </xf>
    <xf numFmtId="0" fontId="10" fillId="2" borderId="1" xfId="0" applyFont="1" applyFill="1" applyBorder="1" applyAlignment="1">
      <alignment horizontal="center" vertical="top"/>
    </xf>
    <xf numFmtId="0" fontId="10" fillId="2" borderId="1" xfId="0" applyFont="1" applyFill="1" applyBorder="1" applyAlignment="1">
      <alignment horizontal="left" vertical="top"/>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7" fillId="2" borderId="1" xfId="0" applyFont="1" applyFill="1" applyBorder="1" applyAlignment="1">
      <alignment horizontal="left" vertical="top"/>
    </xf>
    <xf numFmtId="0" fontId="17" fillId="2" borderId="1" xfId="0" applyFont="1" applyFill="1" applyBorder="1" applyAlignment="1">
      <alignment horizontal="left" vertical="center"/>
    </xf>
    <xf numFmtId="0" fontId="10" fillId="3" borderId="1"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0" xfId="0" applyFont="1" applyFill="1" applyBorder="1" applyAlignment="1">
      <alignment horizontal="center" vertical="center"/>
    </xf>
    <xf numFmtId="0" fontId="17" fillId="5" borderId="1" xfId="0" applyFont="1" applyFill="1" applyBorder="1" applyAlignment="1">
      <alignment horizontal="center" vertical="center"/>
    </xf>
    <xf numFmtId="0" fontId="6" fillId="5" borderId="17" xfId="0" applyFont="1" applyFill="1" applyBorder="1" applyAlignment="1">
      <alignment horizontal="center" vertical="center"/>
    </xf>
    <xf numFmtId="0" fontId="10" fillId="3" borderId="1" xfId="0" applyFont="1" applyFill="1" applyBorder="1" applyAlignment="1">
      <alignment horizontal="center" vertical="top"/>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0" borderId="45" xfId="0" applyFont="1" applyBorder="1" applyAlignment="1">
      <alignment horizontal="center" vertical="center"/>
    </xf>
    <xf numFmtId="0" fontId="24" fillId="0" borderId="10" xfId="0" applyFont="1" applyBorder="1" applyAlignment="1">
      <alignment horizontal="center" vertical="center"/>
    </xf>
    <xf numFmtId="0" fontId="24" fillId="0" borderId="12" xfId="0" applyFont="1" applyBorder="1" applyAlignment="1">
      <alignment horizontal="center" vertical="center"/>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24" fillId="0" borderId="6" xfId="0" applyFont="1" applyBorder="1" applyAlignment="1">
      <alignment horizontal="center" vertical="center"/>
    </xf>
    <xf numFmtId="0" fontId="6" fillId="5" borderId="49" xfId="0" applyFont="1" applyFill="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6" xfId="0" applyFont="1" applyFill="1" applyBorder="1" applyAlignment="1">
      <alignment horizontal="center" vertical="center"/>
    </xf>
    <xf numFmtId="0" fontId="6" fillId="5" borderId="37"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28"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24" fillId="0" borderId="6" xfId="0" applyFont="1" applyBorder="1" applyAlignment="1">
      <alignment horizontal="left" vertical="center"/>
    </xf>
    <xf numFmtId="0" fontId="24" fillId="0" borderId="6" xfId="0" applyFont="1" applyBorder="1" applyAlignment="1">
      <alignment vertical="center" wrapText="1"/>
    </xf>
    <xf numFmtId="0" fontId="19" fillId="0" borderId="2" xfId="0" applyFont="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0" fontId="3" fillId="0" borderId="5" xfId="0" applyFont="1" applyBorder="1" applyAlignment="1">
      <alignment horizontal="center" vertical="top"/>
    </xf>
    <xf numFmtId="0" fontId="3" fillId="0" borderId="23"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8" xfId="0" applyFont="1" applyFill="1" applyBorder="1" applyAlignment="1">
      <alignment horizontal="center" vertical="center" wrapText="1"/>
    </xf>
    <xf numFmtId="0" fontId="10" fillId="2" borderId="1" xfId="0" applyFont="1" applyFill="1" applyBorder="1" applyAlignment="1">
      <alignment horizontal="left" vertical="top" wrapText="1"/>
    </xf>
    <xf numFmtId="0" fontId="16" fillId="2" borderId="1" xfId="0" applyFont="1" applyFill="1" applyBorder="1" applyAlignment="1">
      <alignment horizontal="center" vertical="top"/>
    </xf>
    <xf numFmtId="0" fontId="0" fillId="0" borderId="3" xfId="0" applyBorder="1" applyAlignment="1">
      <alignment horizontal="center" vertical="center"/>
    </xf>
    <xf numFmtId="0" fontId="0" fillId="0" borderId="4" xfId="0" applyBorder="1" applyAlignment="1">
      <alignment horizontal="center" vertical="center"/>
    </xf>
    <xf numFmtId="0" fontId="4"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20" fontId="4" fillId="0" borderId="3" xfId="0" applyNumberFormat="1" applyFont="1" applyBorder="1" applyAlignment="1">
      <alignment horizontal="center" vertical="center"/>
    </xf>
    <xf numFmtId="20" fontId="4" fillId="0" borderId="4" xfId="0" applyNumberFormat="1" applyFont="1" applyBorder="1" applyAlignment="1">
      <alignment horizontal="center" vertical="center"/>
    </xf>
    <xf numFmtId="0" fontId="24" fillId="0" borderId="3" xfId="0" quotePrefix="1" applyFont="1" applyBorder="1" applyAlignment="1">
      <alignment horizontal="center" vertical="center"/>
    </xf>
    <xf numFmtId="0" fontId="24" fillId="0" borderId="4" xfId="0" applyFont="1" applyBorder="1" applyAlignment="1">
      <alignment horizontal="center" vertical="center"/>
    </xf>
    <xf numFmtId="0" fontId="6" fillId="0" borderId="0" xfId="0" applyFont="1" applyAlignment="1">
      <alignment horizontal="center" vertical="top"/>
    </xf>
    <xf numFmtId="0" fontId="24" fillId="0" borderId="3" xfId="0" applyFont="1" applyBorder="1" applyAlignment="1">
      <alignment horizontal="center" vertical="center"/>
    </xf>
    <xf numFmtId="166" fontId="4" fillId="0" borderId="3" xfId="0" applyNumberFormat="1" applyFont="1" applyBorder="1" applyAlignment="1">
      <alignment horizontal="center" vertical="center"/>
    </xf>
    <xf numFmtId="166" fontId="4" fillId="0" borderId="4" xfId="0" applyNumberFormat="1" applyFont="1" applyBorder="1" applyAlignment="1">
      <alignment horizontal="center" vertical="center"/>
    </xf>
    <xf numFmtId="172" fontId="4" fillId="0" borderId="3" xfId="0" applyNumberFormat="1" applyFont="1" applyBorder="1" applyAlignment="1">
      <alignment horizontal="center" vertical="center"/>
    </xf>
    <xf numFmtId="172" fontId="4" fillId="0" borderId="4" xfId="0" applyNumberFormat="1" applyFont="1" applyBorder="1" applyAlignment="1">
      <alignment horizontal="center" vertical="center"/>
    </xf>
    <xf numFmtId="0" fontId="5" fillId="0" borderId="0" xfId="0" applyFont="1" applyBorder="1" applyAlignment="1">
      <alignment horizontal="center" vertical="center"/>
    </xf>
    <xf numFmtId="172" fontId="0" fillId="0" borderId="50" xfId="0" applyNumberFormat="1" applyBorder="1" applyAlignment="1">
      <alignment horizontal="center" vertical="center"/>
    </xf>
    <xf numFmtId="172" fontId="0" fillId="0" borderId="51" xfId="0" applyNumberFormat="1" applyBorder="1" applyAlignment="1">
      <alignment horizontal="center" vertical="center"/>
    </xf>
    <xf numFmtId="172" fontId="0" fillId="0" borderId="3" xfId="0" applyNumberFormat="1" applyBorder="1" applyAlignment="1">
      <alignment horizontal="center" vertical="center"/>
    </xf>
    <xf numFmtId="172" fontId="0" fillId="0" borderId="4" xfId="0" applyNumberFormat="1" applyBorder="1" applyAlignment="1">
      <alignment horizontal="center" vertical="center"/>
    </xf>
    <xf numFmtId="167" fontId="73" fillId="0" borderId="6" xfId="0" applyNumberFormat="1" applyFont="1" applyBorder="1" applyAlignment="1">
      <alignment horizontal="center" vertical="center"/>
    </xf>
    <xf numFmtId="167" fontId="73" fillId="0" borderId="17" xfId="0" applyNumberFormat="1" applyFont="1" applyBorder="1" applyAlignment="1">
      <alignment horizontal="center" vertical="center"/>
    </xf>
    <xf numFmtId="167" fontId="73" fillId="0" borderId="1" xfId="0" applyNumberFormat="1" applyFont="1" applyBorder="1" applyAlignment="1">
      <alignment horizontal="center" vertical="top" wrapText="1"/>
    </xf>
    <xf numFmtId="167" fontId="73" fillId="0" borderId="17" xfId="0" applyNumberFormat="1" applyFont="1" applyBorder="1" applyAlignment="1">
      <alignment horizontal="center" vertical="top" wrapText="1"/>
    </xf>
    <xf numFmtId="167" fontId="73" fillId="0" borderId="1" xfId="0" applyNumberFormat="1" applyFont="1" applyBorder="1" applyAlignment="1">
      <alignment horizontal="center" vertical="top"/>
    </xf>
    <xf numFmtId="0" fontId="69" fillId="8" borderId="5" xfId="0" applyFont="1" applyFill="1" applyBorder="1" applyAlignment="1">
      <alignment horizontal="center" vertical="center" wrapText="1" shrinkToFit="1"/>
    </xf>
    <xf numFmtId="0" fontId="69" fillId="8" borderId="6" xfId="0" applyFont="1" applyFill="1" applyBorder="1" applyAlignment="1">
      <alignment horizontal="center" vertical="center" shrinkToFit="1"/>
    </xf>
    <xf numFmtId="0" fontId="74" fillId="0" borderId="5" xfId="0" applyFont="1" applyBorder="1" applyAlignment="1">
      <alignment horizontal="center" vertical="center" shrinkToFit="1"/>
    </xf>
    <xf numFmtId="0" fontId="74" fillId="0" borderId="23" xfId="0" applyFont="1" applyBorder="1" applyAlignment="1">
      <alignment horizontal="center" vertical="center" shrinkToFit="1"/>
    </xf>
    <xf numFmtId="0" fontId="74" fillId="0" borderId="6" xfId="0" applyFont="1" applyBorder="1" applyAlignment="1">
      <alignment horizontal="center" vertical="center" shrinkToFit="1"/>
    </xf>
    <xf numFmtId="171" fontId="74" fillId="0" borderId="5" xfId="0" applyNumberFormat="1" applyFont="1" applyBorder="1" applyAlignment="1">
      <alignment horizontal="center" vertical="center" shrinkToFit="1"/>
    </xf>
    <xf numFmtId="171" fontId="74" fillId="0" borderId="23" xfId="0" applyNumberFormat="1" applyFont="1" applyBorder="1" applyAlignment="1">
      <alignment horizontal="center" vertical="center" shrinkToFit="1"/>
    </xf>
    <xf numFmtId="171" fontId="74" fillId="0" borderId="6" xfId="0" applyNumberFormat="1" applyFont="1" applyBorder="1" applyAlignment="1">
      <alignment horizontal="center" vertical="center" shrinkToFit="1"/>
    </xf>
    <xf numFmtId="0" fontId="27" fillId="4" borderId="46" xfId="0" applyFont="1" applyFill="1" applyBorder="1" applyAlignment="1">
      <alignment horizontal="left" vertical="center"/>
    </xf>
    <xf numFmtId="0" fontId="27" fillId="4" borderId="47" xfId="0" applyFont="1" applyFill="1" applyBorder="1" applyAlignment="1">
      <alignment horizontal="left" vertical="center"/>
    </xf>
    <xf numFmtId="0" fontId="6" fillId="0" borderId="0" xfId="0" applyFont="1" applyAlignment="1">
      <alignment horizontal="center" vertical="center"/>
    </xf>
    <xf numFmtId="0" fontId="69" fillId="8" borderId="1" xfId="0" applyFont="1" applyFill="1" applyBorder="1" applyAlignment="1">
      <alignment horizontal="center" vertical="center" shrinkToFi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center" vertical="center"/>
    </xf>
    <xf numFmtId="0" fontId="25" fillId="0" borderId="16" xfId="0" applyFont="1" applyBorder="1" applyAlignment="1">
      <alignment horizontal="center" vertical="center"/>
    </xf>
    <xf numFmtId="0" fontId="25" fillId="0" borderId="10" xfId="0" applyFont="1" applyBorder="1" applyAlignment="1">
      <alignment horizontal="center" vertical="center"/>
    </xf>
    <xf numFmtId="0" fontId="25" fillId="0" borderId="11" xfId="0" applyFont="1" applyBorder="1" applyAlignment="1">
      <alignment horizontal="center" vertical="center"/>
    </xf>
    <xf numFmtId="0" fontId="25" fillId="0" borderId="12" xfId="0" applyFont="1" applyBorder="1" applyAlignment="1">
      <alignment horizontal="center" vertical="center"/>
    </xf>
    <xf numFmtId="0" fontId="69" fillId="0" borderId="38" xfId="0" applyFont="1" applyBorder="1" applyAlignment="1">
      <alignment horizontal="center" vertical="center"/>
    </xf>
    <xf numFmtId="0" fontId="69" fillId="0" borderId="45" xfId="0" applyFont="1" applyBorder="1" applyAlignment="1">
      <alignment horizontal="center" vertical="center"/>
    </xf>
    <xf numFmtId="0" fontId="69" fillId="0" borderId="39" xfId="0" applyFont="1" applyBorder="1" applyAlignment="1">
      <alignment horizontal="center" vertical="center"/>
    </xf>
    <xf numFmtId="0" fontId="27" fillId="0" borderId="13" xfId="0" applyFont="1" applyBorder="1" applyAlignment="1">
      <alignment horizontal="right" vertical="center"/>
    </xf>
    <xf numFmtId="0" fontId="27" fillId="0" borderId="0" xfId="0" applyFont="1" applyBorder="1" applyAlignment="1">
      <alignment horizontal="right" vertical="center"/>
    </xf>
    <xf numFmtId="0" fontId="76" fillId="0" borderId="13" xfId="0" applyFont="1" applyBorder="1" applyAlignment="1">
      <alignment horizontal="left" wrapText="1"/>
    </xf>
    <xf numFmtId="0" fontId="76" fillId="0" borderId="0" xfId="0" applyFont="1" applyBorder="1" applyAlignment="1">
      <alignment horizontal="left" wrapText="1"/>
    </xf>
    <xf numFmtId="0" fontId="76" fillId="0" borderId="10" xfId="0" applyFont="1" applyBorder="1" applyAlignment="1">
      <alignment horizontal="left" wrapText="1"/>
    </xf>
    <xf numFmtId="0" fontId="76" fillId="0" borderId="11" xfId="0" applyFont="1" applyBorder="1" applyAlignment="1">
      <alignment horizontal="left" wrapText="1"/>
    </xf>
    <xf numFmtId="0" fontId="69" fillId="8" borderId="1" xfId="0" applyFont="1" applyFill="1" applyBorder="1" applyAlignment="1">
      <alignment horizontal="center" vertical="center"/>
    </xf>
    <xf numFmtId="0" fontId="73" fillId="0" borderId="1" xfId="0" applyFont="1" applyBorder="1" applyAlignment="1">
      <alignment horizontal="center" vertical="center"/>
    </xf>
    <xf numFmtId="0" fontId="73" fillId="0" borderId="6" xfId="0" applyFont="1" applyBorder="1" applyAlignment="1">
      <alignment horizontal="center" vertical="center"/>
    </xf>
    <xf numFmtId="0" fontId="73" fillId="0" borderId="17" xfId="0" applyFont="1" applyBorder="1" applyAlignment="1">
      <alignment horizontal="left" vertical="center"/>
    </xf>
    <xf numFmtId="0" fontId="73" fillId="0" borderId="6" xfId="0" applyFont="1" applyBorder="1" applyAlignment="1">
      <alignment horizontal="left" vertical="center"/>
    </xf>
    <xf numFmtId="0" fontId="73" fillId="0" borderId="1" xfId="0" applyFont="1" applyBorder="1" applyAlignment="1">
      <alignment horizontal="center" vertical="top"/>
    </xf>
    <xf numFmtId="0" fontId="73" fillId="0" borderId="17" xfId="0" applyFont="1" applyBorder="1" applyAlignment="1">
      <alignment horizontal="center" vertical="top"/>
    </xf>
    <xf numFmtId="0" fontId="6" fillId="0" borderId="16" xfId="0" applyFont="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right" vertical="center"/>
    </xf>
    <xf numFmtId="0" fontId="0" fillId="0" borderId="10" xfId="0" applyBorder="1" applyAlignment="1">
      <alignment horizontal="right" vertical="center"/>
    </xf>
    <xf numFmtId="0" fontId="0" fillId="0" borderId="7" xfId="0" applyBorder="1" applyAlignment="1">
      <alignment horizontal="right" vertical="top" wrapText="1"/>
    </xf>
    <xf numFmtId="0" fontId="0" fillId="0" borderId="8" xfId="0" applyBorder="1" applyAlignment="1">
      <alignment horizontal="right" vertical="top" wrapText="1"/>
    </xf>
    <xf numFmtId="0" fontId="0" fillId="0" borderId="13" xfId="0" applyBorder="1" applyAlignment="1">
      <alignment horizontal="right" vertical="top" wrapText="1"/>
    </xf>
    <xf numFmtId="0" fontId="0" fillId="0" borderId="0" xfId="0" applyAlignment="1">
      <alignment horizontal="right" vertical="top" wrapText="1"/>
    </xf>
    <xf numFmtId="0" fontId="0" fillId="0" borderId="10" xfId="0" applyBorder="1" applyAlignment="1">
      <alignment horizontal="right" vertical="top" wrapText="1"/>
    </xf>
    <xf numFmtId="0" fontId="0" fillId="0" borderId="11" xfId="0" applyBorder="1" applyAlignment="1">
      <alignment horizontal="right" vertical="top" wrapText="1"/>
    </xf>
    <xf numFmtId="167" fontId="73" fillId="0" borderId="17" xfId="0" applyNumberFormat="1" applyFont="1" applyBorder="1" applyAlignment="1">
      <alignment horizontal="center" vertical="top"/>
    </xf>
    <xf numFmtId="167" fontId="73" fillId="0" borderId="1" xfId="0" applyNumberFormat="1" applyFont="1" applyBorder="1" applyAlignment="1">
      <alignment horizontal="center" vertical="center"/>
    </xf>
    <xf numFmtId="167" fontId="65" fillId="0" borderId="1" xfId="1" applyNumberFormat="1" applyFont="1" applyBorder="1" applyAlignment="1">
      <alignment horizontal="center" vertical="top" wrapText="1"/>
    </xf>
    <xf numFmtId="0" fontId="65" fillId="0" borderId="1" xfId="0" applyFont="1" applyBorder="1" applyAlignment="1">
      <alignment horizontal="center" vertical="top" wrapText="1"/>
    </xf>
    <xf numFmtId="167" fontId="68" fillId="0" borderId="1" xfId="1" applyNumberFormat="1" applyFont="1" applyBorder="1" applyAlignment="1">
      <alignment horizontal="center" vertical="top" wrapText="1"/>
    </xf>
    <xf numFmtId="167" fontId="68" fillId="0" borderId="17" xfId="1" applyNumberFormat="1" applyFont="1" applyBorder="1" applyAlignment="1">
      <alignment horizontal="center" vertical="top" wrapText="1"/>
    </xf>
    <xf numFmtId="0" fontId="68" fillId="0" borderId="1" xfId="0" applyFont="1" applyBorder="1" applyAlignment="1">
      <alignment horizontal="center" vertical="top" wrapText="1"/>
    </xf>
    <xf numFmtId="0" fontId="68" fillId="0" borderId="17" xfId="0" applyFont="1" applyBorder="1" applyAlignment="1">
      <alignment horizontal="center" vertical="top" wrapText="1"/>
    </xf>
    <xf numFmtId="1" fontId="34" fillId="0" borderId="1" xfId="0" applyNumberFormat="1" applyFont="1" applyBorder="1" applyAlignment="1">
      <alignment horizontal="left" vertical="center"/>
    </xf>
    <xf numFmtId="0" fontId="34" fillId="0" borderId="5" xfId="0" applyFont="1" applyBorder="1" applyAlignment="1">
      <alignment horizontal="center" vertical="center"/>
    </xf>
    <xf numFmtId="0" fontId="34" fillId="0" borderId="6" xfId="0" applyFont="1" applyBorder="1" applyAlignment="1">
      <alignment horizontal="center" vertical="center"/>
    </xf>
    <xf numFmtId="0" fontId="5" fillId="6" borderId="1" xfId="0" applyFont="1" applyFill="1" applyBorder="1" applyAlignment="1">
      <alignment horizontal="center" vertical="center"/>
    </xf>
    <xf numFmtId="0" fontId="5" fillId="0" borderId="38" xfId="0" applyFont="1" applyBorder="1" applyAlignment="1">
      <alignment horizontal="center" vertical="center"/>
    </xf>
    <xf numFmtId="0" fontId="5" fillId="0" borderId="45" xfId="0" applyFont="1" applyBorder="1" applyAlignment="1">
      <alignment horizontal="center" vertical="center"/>
    </xf>
    <xf numFmtId="0" fontId="5" fillId="0" borderId="39" xfId="0" applyFont="1" applyBorder="1" applyAlignment="1">
      <alignment horizontal="center" vertical="center"/>
    </xf>
    <xf numFmtId="0" fontId="27" fillId="4" borderId="46" xfId="0" applyFont="1" applyFill="1" applyBorder="1" applyAlignment="1">
      <alignment horizontal="left" vertical="center" wrapText="1"/>
    </xf>
    <xf numFmtId="0" fontId="27" fillId="4" borderId="47" xfId="0" applyFont="1" applyFill="1" applyBorder="1" applyAlignment="1">
      <alignment horizontal="left" vertical="center" wrapText="1"/>
    </xf>
    <xf numFmtId="0" fontId="27" fillId="4" borderId="48"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25" fillId="0" borderId="0" xfId="0" applyFont="1" applyAlignment="1">
      <alignment horizontal="center" vertical="center"/>
    </xf>
    <xf numFmtId="0" fontId="5" fillId="8" borderId="3"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4" xfId="0" applyFont="1" applyFill="1" applyBorder="1" applyAlignment="1">
      <alignment horizontal="center" vertical="center"/>
    </xf>
    <xf numFmtId="167" fontId="35" fillId="0" borderId="4" xfId="0" applyNumberFormat="1" applyFont="1" applyBorder="1" applyAlignment="1">
      <alignment horizontal="left" vertical="center"/>
    </xf>
    <xf numFmtId="0" fontId="34" fillId="0" borderId="1" xfId="0" applyFont="1" applyBorder="1" applyAlignment="1">
      <alignment horizontal="center" vertical="center"/>
    </xf>
    <xf numFmtId="0" fontId="5" fillId="6" borderId="5" xfId="0" applyFont="1" applyFill="1" applyBorder="1" applyAlignment="1">
      <alignment horizontal="center" vertical="top"/>
    </xf>
    <xf numFmtId="0" fontId="5" fillId="6" borderId="23" xfId="0" applyFont="1" applyFill="1" applyBorder="1" applyAlignment="1">
      <alignment horizontal="center"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173" fontId="6" fillId="8" borderId="7" xfId="0" applyNumberFormat="1" applyFont="1" applyFill="1" applyBorder="1" applyAlignment="1">
      <alignment horizontal="center" vertical="center"/>
    </xf>
    <xf numFmtId="173" fontId="6" fillId="8" borderId="9" xfId="0" applyNumberFormat="1" applyFont="1" applyFill="1" applyBorder="1" applyAlignment="1">
      <alignment horizontal="center" vertical="center"/>
    </xf>
    <xf numFmtId="173" fontId="6" fillId="8" borderId="10" xfId="0" applyNumberFormat="1" applyFont="1" applyFill="1" applyBorder="1" applyAlignment="1">
      <alignment horizontal="center" vertical="center"/>
    </xf>
    <xf numFmtId="173" fontId="6" fillId="8" borderId="12" xfId="0" applyNumberFormat="1" applyFont="1" applyFill="1" applyBorder="1" applyAlignment="1">
      <alignment horizontal="center" vertical="center"/>
    </xf>
    <xf numFmtId="173" fontId="6" fillId="8" borderId="5" xfId="0" applyNumberFormat="1" applyFont="1" applyFill="1" applyBorder="1" applyAlignment="1">
      <alignment horizontal="center" vertical="center"/>
    </xf>
    <xf numFmtId="173" fontId="6" fillId="8" borderId="6" xfId="0" applyNumberFormat="1" applyFont="1" applyFill="1" applyBorder="1" applyAlignment="1">
      <alignment horizontal="center" vertical="center"/>
    </xf>
    <xf numFmtId="173" fontId="34" fillId="0" borderId="1" xfId="0" applyNumberFormat="1" applyFont="1" applyBorder="1" applyAlignment="1">
      <alignment horizontal="center" vertical="center"/>
    </xf>
    <xf numFmtId="0" fontId="5" fillId="6" borderId="7" xfId="0" applyFont="1" applyFill="1" applyBorder="1" applyAlignment="1">
      <alignment horizontal="center" vertical="center"/>
    </xf>
    <xf numFmtId="0" fontId="5" fillId="6" borderId="8" xfId="0" applyFont="1" applyFill="1" applyBorder="1" applyAlignment="1">
      <alignment horizontal="center" vertical="center"/>
    </xf>
    <xf numFmtId="0" fontId="5" fillId="6" borderId="9" xfId="0" applyFont="1" applyFill="1" applyBorder="1" applyAlignment="1">
      <alignment horizontal="center" vertical="center"/>
    </xf>
    <xf numFmtId="0" fontId="5" fillId="6" borderId="13" xfId="0" applyFont="1" applyFill="1" applyBorder="1" applyAlignment="1">
      <alignment horizontal="center" vertical="center"/>
    </xf>
    <xf numFmtId="0" fontId="5" fillId="6" borderId="0" xfId="0" applyFont="1" applyFill="1" applyBorder="1" applyAlignment="1">
      <alignment horizontal="center" vertical="center"/>
    </xf>
    <xf numFmtId="0" fontId="5" fillId="6" borderId="16" xfId="0" applyFont="1" applyFill="1" applyBorder="1" applyAlignment="1">
      <alignment horizontal="center" vertical="center"/>
    </xf>
    <xf numFmtId="0" fontId="5" fillId="6" borderId="10"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2" xfId="0" applyFont="1" applyFill="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7" fontId="23" fillId="0" borderId="5" xfId="0" applyNumberFormat="1" applyFont="1" applyBorder="1" applyAlignment="1">
      <alignment horizontal="center" vertical="center"/>
    </xf>
    <xf numFmtId="167" fontId="23" fillId="0" borderId="6" xfId="0" applyNumberFormat="1" applyFont="1" applyBorder="1" applyAlignment="1">
      <alignment horizontal="center" vertical="center"/>
    </xf>
    <xf numFmtId="0" fontId="5" fillId="0" borderId="0" xfId="0" applyFont="1" applyAlignment="1">
      <alignment horizontal="center" vertical="top"/>
    </xf>
    <xf numFmtId="0" fontId="5" fillId="0" borderId="16" xfId="0" applyFont="1" applyBorder="1" applyAlignment="1">
      <alignment horizontal="center" vertical="top"/>
    </xf>
    <xf numFmtId="0" fontId="5" fillId="6" borderId="7" xfId="0" applyFont="1" applyFill="1" applyBorder="1" applyAlignment="1">
      <alignment horizontal="center" vertical="top"/>
    </xf>
    <xf numFmtId="0" fontId="5" fillId="6" borderId="9" xfId="0" applyFont="1" applyFill="1" applyBorder="1" applyAlignment="1">
      <alignment horizontal="center" vertical="top"/>
    </xf>
    <xf numFmtId="0" fontId="5" fillId="6" borderId="19" xfId="0" applyFont="1" applyFill="1" applyBorder="1" applyAlignment="1">
      <alignment horizontal="center" vertical="top"/>
    </xf>
    <xf numFmtId="0" fontId="5" fillId="6" borderId="20" xfId="0" applyFont="1" applyFill="1" applyBorder="1" applyAlignment="1">
      <alignment horizontal="center" vertical="top"/>
    </xf>
    <xf numFmtId="0" fontId="5" fillId="6" borderId="3" xfId="0" applyFont="1" applyFill="1" applyBorder="1" applyAlignment="1">
      <alignment horizontal="center" vertical="top"/>
    </xf>
    <xf numFmtId="0" fontId="5" fillId="6" borderId="2" xfId="0" applyFont="1" applyFill="1" applyBorder="1" applyAlignment="1">
      <alignment horizontal="center" vertical="top"/>
    </xf>
    <xf numFmtId="0" fontId="5" fillId="6" borderId="4" xfId="0" applyFont="1" applyFill="1" applyBorder="1" applyAlignment="1">
      <alignment horizontal="center" vertical="top"/>
    </xf>
    <xf numFmtId="167" fontId="5" fillId="0" borderId="5" xfId="0" applyNumberFormat="1" applyFont="1" applyBorder="1" applyAlignment="1">
      <alignment horizontal="center" vertical="center"/>
    </xf>
    <xf numFmtId="167" fontId="5" fillId="0" borderId="6" xfId="0" applyNumberFormat="1" applyFont="1" applyBorder="1" applyAlignment="1">
      <alignment horizontal="center" vertical="center"/>
    </xf>
    <xf numFmtId="0" fontId="34" fillId="0" borderId="35" xfId="0" applyFont="1" applyBorder="1" applyAlignment="1">
      <alignment horizontal="center" vertical="center" wrapText="1"/>
    </xf>
    <xf numFmtId="0" fontId="5" fillId="6" borderId="8" xfId="0" applyFont="1" applyFill="1" applyBorder="1" applyAlignment="1">
      <alignment horizontal="center" vertical="top"/>
    </xf>
    <xf numFmtId="0" fontId="5" fillId="6" borderId="13" xfId="0" applyFont="1" applyFill="1" applyBorder="1" applyAlignment="1">
      <alignment horizontal="center" vertical="top"/>
    </xf>
    <xf numFmtId="0" fontId="5" fillId="6" borderId="0" xfId="0" applyFont="1" applyFill="1" applyBorder="1" applyAlignment="1">
      <alignment horizontal="center" vertical="top"/>
    </xf>
    <xf numFmtId="0" fontId="5" fillId="6" borderId="16" xfId="0" applyFont="1" applyFill="1" applyBorder="1" applyAlignment="1">
      <alignment horizontal="center" vertical="top"/>
    </xf>
    <xf numFmtId="0" fontId="6" fillId="8" borderId="7" xfId="0" applyFont="1" applyFill="1" applyBorder="1" applyAlignment="1">
      <alignment horizontal="center" vertical="center" wrapText="1"/>
    </xf>
    <xf numFmtId="0" fontId="6" fillId="8" borderId="10"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3" xfId="0" applyFont="1" applyBorder="1" applyAlignment="1">
      <alignment horizontal="center" vertical="center" wrapText="1"/>
    </xf>
    <xf numFmtId="0" fontId="6" fillId="8" borderId="1" xfId="0" applyFont="1" applyFill="1" applyBorder="1" applyAlignment="1">
      <alignment horizontal="center" vertical="center" wrapText="1"/>
    </xf>
    <xf numFmtId="167" fontId="34" fillId="0" borderId="1" xfId="1" applyNumberFormat="1" applyFont="1" applyBorder="1" applyAlignment="1">
      <alignment horizontal="center" vertical="center"/>
    </xf>
    <xf numFmtId="0" fontId="34" fillId="0" borderId="1" xfId="0" applyFont="1" applyBorder="1" applyAlignment="1">
      <alignment horizontal="center" vertical="center" wrapText="1"/>
    </xf>
    <xf numFmtId="167" fontId="34" fillId="0" borderId="36" xfId="1" applyNumberFormat="1" applyFont="1" applyBorder="1" applyAlignment="1">
      <alignment horizontal="center" vertical="center"/>
    </xf>
    <xf numFmtId="167" fontId="34" fillId="0" borderId="37" xfId="1" applyNumberFormat="1" applyFont="1" applyBorder="1" applyAlignment="1">
      <alignment horizontal="center" vertical="center"/>
    </xf>
    <xf numFmtId="167" fontId="34" fillId="0" borderId="5" xfId="1" applyNumberFormat="1" applyFont="1" applyFill="1" applyBorder="1" applyAlignment="1">
      <alignment horizontal="center" vertical="center"/>
    </xf>
    <xf numFmtId="167" fontId="34" fillId="0" borderId="6" xfId="1" applyNumberFormat="1" applyFont="1" applyFill="1" applyBorder="1" applyAlignment="1">
      <alignment horizontal="center" vertical="center"/>
    </xf>
    <xf numFmtId="0" fontId="36" fillId="6" borderId="5" xfId="0" applyFont="1" applyFill="1" applyBorder="1" applyAlignment="1">
      <alignment horizontal="center" vertical="top" wrapText="1"/>
    </xf>
    <xf numFmtId="0" fontId="36" fillId="6" borderId="23" xfId="0" applyFont="1" applyFill="1" applyBorder="1" applyAlignment="1">
      <alignment horizontal="center" vertical="top" wrapText="1"/>
    </xf>
    <xf numFmtId="0" fontId="36" fillId="6" borderId="6" xfId="0" applyFont="1" applyFill="1" applyBorder="1" applyAlignment="1">
      <alignment horizontal="center" vertical="top" wrapText="1"/>
    </xf>
    <xf numFmtId="0" fontId="36" fillId="6" borderId="7" xfId="0" applyFont="1" applyFill="1" applyBorder="1" applyAlignment="1">
      <alignment horizontal="center" vertical="top" wrapText="1"/>
    </xf>
    <xf numFmtId="0" fontId="36" fillId="6" borderId="8" xfId="0" applyFont="1" applyFill="1" applyBorder="1" applyAlignment="1">
      <alignment horizontal="center" vertical="top" wrapText="1"/>
    </xf>
    <xf numFmtId="0" fontId="36" fillId="6" borderId="9" xfId="0" applyFont="1" applyFill="1" applyBorder="1" applyAlignment="1">
      <alignment horizontal="center" vertical="top" wrapText="1"/>
    </xf>
    <xf numFmtId="0" fontId="36" fillId="6" borderId="13" xfId="0" applyFont="1" applyFill="1" applyBorder="1" applyAlignment="1">
      <alignment horizontal="center" vertical="top" wrapText="1"/>
    </xf>
    <xf numFmtId="0" fontId="36" fillId="6" borderId="0" xfId="0" applyFont="1" applyFill="1" applyAlignment="1">
      <alignment horizontal="center" vertical="top" wrapText="1"/>
    </xf>
    <xf numFmtId="0" fontId="36" fillId="6" borderId="16" xfId="0" applyFont="1" applyFill="1" applyBorder="1" applyAlignment="1">
      <alignment horizontal="center" vertical="top" wrapText="1"/>
    </xf>
    <xf numFmtId="0" fontId="36" fillId="6" borderId="10" xfId="0" applyFont="1" applyFill="1" applyBorder="1" applyAlignment="1">
      <alignment horizontal="center" vertical="top" wrapText="1"/>
    </xf>
    <xf numFmtId="0" fontId="36" fillId="6" borderId="11" xfId="0" applyFont="1" applyFill="1" applyBorder="1" applyAlignment="1">
      <alignment horizontal="center" vertical="top" wrapText="1"/>
    </xf>
    <xf numFmtId="0" fontId="36" fillId="6" borderId="12" xfId="0" applyFont="1" applyFill="1" applyBorder="1" applyAlignment="1">
      <alignment horizontal="center" vertical="top" wrapText="1"/>
    </xf>
    <xf numFmtId="0" fontId="37" fillId="6" borderId="7" xfId="0" applyFont="1" applyFill="1" applyBorder="1" applyAlignment="1">
      <alignment horizontal="center" vertical="top" shrinkToFit="1"/>
    </xf>
    <xf numFmtId="0" fontId="37" fillId="6" borderId="9" xfId="0" applyFont="1" applyFill="1" applyBorder="1" applyAlignment="1">
      <alignment horizontal="center" vertical="top" shrinkToFit="1"/>
    </xf>
    <xf numFmtId="0" fontId="37" fillId="6" borderId="13" xfId="0" applyFont="1" applyFill="1" applyBorder="1" applyAlignment="1">
      <alignment horizontal="center" vertical="top" shrinkToFit="1"/>
    </xf>
    <xf numFmtId="0" fontId="37" fillId="6" borderId="16" xfId="0" applyFont="1" applyFill="1" applyBorder="1" applyAlignment="1">
      <alignment horizontal="center" vertical="top" shrinkToFit="1"/>
    </xf>
    <xf numFmtId="0" fontId="37" fillId="6" borderId="10" xfId="0" applyFont="1" applyFill="1" applyBorder="1" applyAlignment="1">
      <alignment horizontal="center" vertical="top" shrinkToFit="1"/>
    </xf>
    <xf numFmtId="0" fontId="37" fillId="6" borderId="12" xfId="0" applyFont="1" applyFill="1" applyBorder="1" applyAlignment="1">
      <alignment horizontal="center" vertical="top" shrinkToFit="1"/>
    </xf>
    <xf numFmtId="0" fontId="36" fillId="6" borderId="7" xfId="0" applyFont="1" applyFill="1" applyBorder="1" applyAlignment="1">
      <alignment horizontal="center" vertical="top"/>
    </xf>
    <xf numFmtId="0" fontId="36" fillId="6" borderId="9" xfId="0" applyFont="1" applyFill="1" applyBorder="1" applyAlignment="1">
      <alignment horizontal="center" vertical="top"/>
    </xf>
    <xf numFmtId="0" fontId="36" fillId="6" borderId="13" xfId="0" applyFont="1" applyFill="1" applyBorder="1" applyAlignment="1">
      <alignment horizontal="center" vertical="top"/>
    </xf>
    <xf numFmtId="0" fontId="36" fillId="6" borderId="16" xfId="0" applyFont="1" applyFill="1" applyBorder="1" applyAlignment="1">
      <alignment horizontal="center" vertical="top"/>
    </xf>
    <xf numFmtId="0" fontId="36" fillId="6" borderId="10" xfId="0" applyFont="1" applyFill="1" applyBorder="1" applyAlignment="1">
      <alignment horizontal="center" vertical="top"/>
    </xf>
    <xf numFmtId="0" fontId="36" fillId="6" borderId="12" xfId="0" applyFont="1" applyFill="1" applyBorder="1" applyAlignment="1">
      <alignment horizontal="center" vertical="top"/>
    </xf>
    <xf numFmtId="0" fontId="63" fillId="0" borderId="2" xfId="0" applyFont="1" applyBorder="1" applyAlignment="1">
      <alignment horizontal="center" vertical="center"/>
    </xf>
    <xf numFmtId="0" fontId="60" fillId="0" borderId="3" xfId="0" applyFont="1" applyBorder="1" applyAlignment="1">
      <alignment horizontal="center" vertical="center"/>
    </xf>
    <xf numFmtId="0" fontId="60" fillId="0" borderId="4" xfId="0" applyFont="1" applyBorder="1" applyAlignment="1">
      <alignment horizontal="center" vertical="center"/>
    </xf>
    <xf numFmtId="0" fontId="42" fillId="0" borderId="16" xfId="0" applyFont="1" applyBorder="1" applyAlignment="1">
      <alignment horizontal="center" vertical="center" wrapText="1"/>
    </xf>
    <xf numFmtId="0" fontId="36" fillId="6" borderId="3" xfId="0" applyFont="1" applyFill="1" applyBorder="1" applyAlignment="1">
      <alignment horizontal="center" vertical="top"/>
    </xf>
    <xf numFmtId="0" fontId="36" fillId="6" borderId="4" xfId="0" applyFont="1" applyFill="1" applyBorder="1" applyAlignment="1">
      <alignment horizontal="center" vertical="top"/>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63" fillId="0" borderId="8" xfId="0" applyFont="1" applyBorder="1" applyAlignment="1">
      <alignment horizontal="center" vertical="center"/>
    </xf>
    <xf numFmtId="0" fontId="60" fillId="0" borderId="7" xfId="0" applyFont="1" applyBorder="1" applyAlignment="1">
      <alignment horizontal="center" vertical="center"/>
    </xf>
    <xf numFmtId="0" fontId="60" fillId="0" borderId="9" xfId="0" applyFont="1" applyBorder="1" applyAlignment="1">
      <alignment horizontal="center" vertical="center"/>
    </xf>
    <xf numFmtId="0" fontId="60" fillId="0" borderId="7" xfId="0" applyFont="1" applyBorder="1" applyAlignment="1">
      <alignment horizontal="left" vertical="center" wrapText="1"/>
    </xf>
    <xf numFmtId="0" fontId="60" fillId="0" borderId="8" xfId="0" applyFont="1" applyBorder="1" applyAlignment="1">
      <alignment horizontal="left" vertical="center" wrapText="1"/>
    </xf>
    <xf numFmtId="0" fontId="60" fillId="0" borderId="9" xfId="0" applyFont="1" applyBorder="1" applyAlignment="1">
      <alignment horizontal="left" vertical="center" wrapText="1"/>
    </xf>
    <xf numFmtId="0" fontId="36" fillId="6" borderId="8" xfId="0" applyFont="1" applyFill="1" applyBorder="1" applyAlignment="1">
      <alignment horizontal="center" vertical="top"/>
    </xf>
    <xf numFmtId="0" fontId="36" fillId="6" borderId="0" xfId="0" applyFont="1" applyFill="1" applyAlignment="1">
      <alignment horizontal="center" vertical="top"/>
    </xf>
    <xf numFmtId="0" fontId="36" fillId="6" borderId="11" xfId="0" applyFont="1" applyFill="1" applyBorder="1" applyAlignment="1">
      <alignment horizontal="center" vertical="top"/>
    </xf>
    <xf numFmtId="0" fontId="49" fillId="0" borderId="7" xfId="0" quotePrefix="1" applyFont="1" applyBorder="1" applyAlignment="1">
      <alignment horizontal="left" vertical="center" wrapText="1"/>
    </xf>
    <xf numFmtId="0" fontId="37" fillId="0" borderId="8" xfId="0" quotePrefix="1" applyFont="1" applyBorder="1" applyAlignment="1">
      <alignment horizontal="left" vertical="center" wrapText="1"/>
    </xf>
    <xf numFmtId="0" fontId="37" fillId="0" borderId="9" xfId="0" quotePrefix="1" applyFont="1" applyBorder="1" applyAlignment="1">
      <alignment horizontal="left" vertical="center" wrapText="1"/>
    </xf>
    <xf numFmtId="0" fontId="37" fillId="0" borderId="13" xfId="0" quotePrefix="1" applyFont="1" applyBorder="1" applyAlignment="1">
      <alignment horizontal="left" vertical="center" wrapText="1"/>
    </xf>
    <xf numFmtId="0" fontId="37" fillId="0" borderId="0" xfId="0" quotePrefix="1" applyFont="1" applyAlignment="1">
      <alignment horizontal="left" vertical="center" wrapText="1"/>
    </xf>
    <xf numFmtId="0" fontId="37" fillId="0" borderId="16" xfId="0" quotePrefix="1" applyFont="1" applyBorder="1" applyAlignment="1">
      <alignment horizontal="left" vertical="center" wrapText="1"/>
    </xf>
    <xf numFmtId="0" fontId="37" fillId="0" borderId="10" xfId="0" quotePrefix="1" applyFont="1" applyBorder="1" applyAlignment="1">
      <alignment horizontal="left" vertical="center" wrapText="1"/>
    </xf>
    <xf numFmtId="0" fontId="37" fillId="0" borderId="11" xfId="0" quotePrefix="1" applyFont="1" applyBorder="1" applyAlignment="1">
      <alignment horizontal="left" vertical="center" wrapText="1"/>
    </xf>
    <xf numFmtId="0" fontId="37" fillId="0" borderId="12" xfId="0" quotePrefix="1" applyFont="1" applyBorder="1" applyAlignment="1">
      <alignment horizontal="left" vertical="center" wrapText="1"/>
    </xf>
    <xf numFmtId="171" fontId="61" fillId="0" borderId="1" xfId="0" applyNumberFormat="1" applyFont="1" applyBorder="1" applyAlignment="1">
      <alignment horizontal="center" vertical="top" wrapText="1"/>
    </xf>
    <xf numFmtId="0" fontId="37" fillId="6" borderId="7" xfId="0" applyFont="1" applyFill="1" applyBorder="1" applyAlignment="1">
      <alignment horizontal="center" vertical="center" wrapText="1"/>
    </xf>
    <xf numFmtId="0" fontId="37" fillId="6" borderId="8" xfId="0" applyFont="1" applyFill="1" applyBorder="1" applyAlignment="1">
      <alignment horizontal="center" vertical="center" wrapText="1"/>
    </xf>
    <xf numFmtId="0" fontId="37" fillId="6" borderId="9" xfId="0" applyFont="1" applyFill="1" applyBorder="1" applyAlignment="1">
      <alignment horizontal="center" vertical="center" wrapText="1"/>
    </xf>
    <xf numFmtId="0" fontId="37" fillId="6" borderId="13" xfId="0" applyFont="1" applyFill="1" applyBorder="1" applyAlignment="1">
      <alignment horizontal="center" vertical="center" wrapText="1"/>
    </xf>
    <xf numFmtId="0" fontId="37" fillId="6" borderId="0" xfId="0" applyFont="1" applyFill="1" applyAlignment="1">
      <alignment horizontal="center" vertical="center" wrapText="1"/>
    </xf>
    <xf numFmtId="0" fontId="37" fillId="6" borderId="16" xfId="0" applyFont="1" applyFill="1" applyBorder="1" applyAlignment="1">
      <alignment horizontal="center" vertical="center" wrapText="1"/>
    </xf>
    <xf numFmtId="0" fontId="37" fillId="6" borderId="10" xfId="0" applyFont="1" applyFill="1" applyBorder="1" applyAlignment="1">
      <alignment horizontal="center" vertical="center" wrapText="1"/>
    </xf>
    <xf numFmtId="0" fontId="37" fillId="6" borderId="11" xfId="0" applyFont="1" applyFill="1" applyBorder="1" applyAlignment="1">
      <alignment horizontal="center" vertical="center" wrapText="1"/>
    </xf>
    <xf numFmtId="0" fontId="37" fillId="6" borderId="12" xfId="0" applyFont="1" applyFill="1" applyBorder="1" applyAlignment="1">
      <alignment horizontal="center" vertical="center" wrapText="1"/>
    </xf>
    <xf numFmtId="0" fontId="64" fillId="7" borderId="7" xfId="0" applyFont="1" applyFill="1" applyBorder="1" applyAlignment="1">
      <alignment horizontal="center"/>
    </xf>
    <xf numFmtId="0" fontId="64" fillId="7" borderId="8" xfId="0" applyFont="1" applyFill="1" applyBorder="1" applyAlignment="1">
      <alignment horizontal="center"/>
    </xf>
    <xf numFmtId="0" fontId="64" fillId="7" borderId="9" xfId="0" applyFont="1" applyFill="1" applyBorder="1" applyAlignment="1">
      <alignment horizontal="center"/>
    </xf>
    <xf numFmtId="0" fontId="64" fillId="7" borderId="13" xfId="0" applyFont="1" applyFill="1" applyBorder="1" applyAlignment="1">
      <alignment horizontal="center"/>
    </xf>
    <xf numFmtId="0" fontId="64" fillId="7" borderId="0" xfId="0" applyFont="1" applyFill="1" applyAlignment="1">
      <alignment horizontal="center"/>
    </xf>
    <xf numFmtId="0" fontId="64" fillId="7" borderId="16" xfId="0" applyFont="1" applyFill="1" applyBorder="1" applyAlignment="1">
      <alignment horizontal="center"/>
    </xf>
    <xf numFmtId="0" fontId="64" fillId="7" borderId="10" xfId="0" applyFont="1" applyFill="1" applyBorder="1" applyAlignment="1">
      <alignment horizontal="center"/>
    </xf>
    <xf numFmtId="0" fontId="64" fillId="7" borderId="11" xfId="0" applyFont="1" applyFill="1" applyBorder="1" applyAlignment="1">
      <alignment horizontal="center"/>
    </xf>
    <xf numFmtId="0" fontId="64" fillId="7" borderId="12" xfId="0" applyFont="1" applyFill="1" applyBorder="1" applyAlignment="1">
      <alignment horizontal="center"/>
    </xf>
    <xf numFmtId="0" fontId="36" fillId="6" borderId="1" xfId="0" applyFont="1" applyFill="1" applyBorder="1" applyAlignment="1">
      <alignment horizontal="center" vertical="top" wrapText="1"/>
    </xf>
    <xf numFmtId="0" fontId="62" fillId="6" borderId="7" xfId="0" applyFont="1" applyFill="1" applyBorder="1" applyAlignment="1">
      <alignment horizontal="center" vertical="center" wrapText="1"/>
    </xf>
    <xf numFmtId="0" fontId="62" fillId="6" borderId="8" xfId="0" applyFont="1" applyFill="1" applyBorder="1" applyAlignment="1">
      <alignment horizontal="center" vertical="center" wrapText="1"/>
    </xf>
    <xf numFmtId="0" fontId="62" fillId="6" borderId="9" xfId="0" applyFont="1" applyFill="1" applyBorder="1" applyAlignment="1">
      <alignment horizontal="center" vertical="center" wrapText="1"/>
    </xf>
    <xf numFmtId="0" fontId="62" fillId="6" borderId="13" xfId="0" applyFont="1" applyFill="1" applyBorder="1" applyAlignment="1">
      <alignment horizontal="center" vertical="center" wrapText="1"/>
    </xf>
    <xf numFmtId="0" fontId="62" fillId="6" borderId="0" xfId="0" applyFont="1" applyFill="1" applyAlignment="1">
      <alignment horizontal="center" vertical="center" wrapText="1"/>
    </xf>
    <xf numFmtId="0" fontId="62" fillId="6" borderId="16" xfId="0" applyFont="1" applyFill="1" applyBorder="1" applyAlignment="1">
      <alignment horizontal="center" vertical="center" wrapText="1"/>
    </xf>
    <xf numFmtId="0" fontId="37" fillId="6" borderId="7" xfId="0" applyFont="1" applyFill="1" applyBorder="1" applyAlignment="1">
      <alignment horizontal="center" vertical="top" wrapText="1"/>
    </xf>
    <xf numFmtId="0" fontId="37" fillId="6" borderId="9" xfId="0" applyFont="1" applyFill="1" applyBorder="1" applyAlignment="1">
      <alignment horizontal="center" vertical="top" wrapText="1"/>
    </xf>
    <xf numFmtId="0" fontId="56" fillId="6" borderId="13" xfId="0" applyFont="1" applyFill="1" applyBorder="1" applyAlignment="1">
      <alignment horizontal="center" vertical="top" wrapText="1"/>
    </xf>
    <xf numFmtId="0" fontId="56" fillId="6" borderId="16" xfId="0" applyFont="1" applyFill="1" applyBorder="1" applyAlignment="1">
      <alignment horizontal="center" vertical="top" wrapText="1"/>
    </xf>
    <xf numFmtId="0" fontId="55" fillId="0" borderId="1" xfId="0" applyFont="1" applyBorder="1" applyAlignment="1">
      <alignment horizontal="left" vertical="top" wrapText="1"/>
    </xf>
    <xf numFmtId="0" fontId="36" fillId="6" borderId="3" xfId="0" applyFont="1" applyFill="1" applyBorder="1" applyAlignment="1">
      <alignment horizontal="center" vertical="top" wrapText="1"/>
    </xf>
    <xf numFmtId="0" fontId="36" fillId="6" borderId="2" xfId="0" applyFont="1" applyFill="1" applyBorder="1" applyAlignment="1">
      <alignment horizontal="center" vertical="top" wrapText="1"/>
    </xf>
    <xf numFmtId="0" fontId="36" fillId="6" borderId="4" xfId="0" applyFont="1" applyFill="1" applyBorder="1" applyAlignment="1">
      <alignment horizontal="center" vertical="top" wrapText="1"/>
    </xf>
    <xf numFmtId="0" fontId="54" fillId="0" borderId="6" xfId="0" applyFont="1" applyBorder="1" applyAlignment="1">
      <alignment horizontal="left" vertical="top" wrapText="1"/>
    </xf>
    <xf numFmtId="171" fontId="60" fillId="0" borderId="6" xfId="0" applyNumberFormat="1" applyFont="1" applyBorder="1" applyAlignment="1">
      <alignment horizontal="center" vertical="top" wrapText="1"/>
    </xf>
    <xf numFmtId="0" fontId="43" fillId="6" borderId="5" xfId="0" applyFont="1" applyFill="1" applyBorder="1" applyAlignment="1">
      <alignment horizontal="center" vertical="top" wrapText="1"/>
    </xf>
    <xf numFmtId="0" fontId="43" fillId="6" borderId="23" xfId="0" applyFont="1" applyFill="1" applyBorder="1" applyAlignment="1">
      <alignment horizontal="center" vertical="top" wrapText="1"/>
    </xf>
    <xf numFmtId="0" fontId="43" fillId="6" borderId="6" xfId="0" applyFont="1" applyFill="1" applyBorder="1" applyAlignment="1">
      <alignment horizontal="center" vertical="top" wrapText="1"/>
    </xf>
    <xf numFmtId="0" fontId="37" fillId="6" borderId="7" xfId="0" applyFont="1" applyFill="1" applyBorder="1" applyAlignment="1">
      <alignment horizontal="center" vertical="top"/>
    </xf>
    <xf numFmtId="0" fontId="37" fillId="6" borderId="9" xfId="0" applyFont="1" applyFill="1" applyBorder="1" applyAlignment="1">
      <alignment horizontal="center" vertical="top"/>
    </xf>
    <xf numFmtId="0" fontId="37" fillId="6" borderId="13" xfId="0" applyFont="1" applyFill="1" applyBorder="1" applyAlignment="1">
      <alignment horizontal="center" vertical="top"/>
    </xf>
    <xf numFmtId="0" fontId="37" fillId="6" borderId="16" xfId="0" applyFont="1" applyFill="1" applyBorder="1" applyAlignment="1">
      <alignment horizontal="center" vertical="top"/>
    </xf>
    <xf numFmtId="0" fontId="37" fillId="6" borderId="10" xfId="0" applyFont="1" applyFill="1" applyBorder="1" applyAlignment="1">
      <alignment horizontal="center" vertical="top"/>
    </xf>
    <xf numFmtId="0" fontId="37" fillId="6" borderId="12" xfId="0" applyFont="1" applyFill="1" applyBorder="1" applyAlignment="1">
      <alignment horizontal="center" vertical="top"/>
    </xf>
    <xf numFmtId="0" fontId="37" fillId="6" borderId="5" xfId="0" applyFont="1" applyFill="1" applyBorder="1" applyAlignment="1">
      <alignment horizontal="center" vertical="top"/>
    </xf>
    <xf numFmtId="0" fontId="37" fillId="6" borderId="23" xfId="0" applyFont="1" applyFill="1" applyBorder="1" applyAlignment="1">
      <alignment horizontal="center" vertical="top"/>
    </xf>
    <xf numFmtId="0" fontId="37" fillId="6" borderId="6" xfId="0" applyFont="1" applyFill="1" applyBorder="1" applyAlignment="1">
      <alignment horizontal="center" vertical="top"/>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1" fontId="58" fillId="0" borderId="3" xfId="0" applyNumberFormat="1" applyFont="1" applyBorder="1" applyAlignment="1">
      <alignment horizontal="center" vertical="top" shrinkToFit="1"/>
    </xf>
    <xf numFmtId="171" fontId="58" fillId="0" borderId="4" xfId="0" applyNumberFormat="1" applyFont="1" applyBorder="1" applyAlignment="1">
      <alignment horizontal="center" vertical="top" shrinkToFit="1"/>
    </xf>
    <xf numFmtId="0" fontId="57" fillId="7" borderId="21" xfId="0" quotePrefix="1" applyFont="1" applyFill="1" applyBorder="1" applyAlignment="1">
      <alignment horizontal="center" vertical="top" wrapText="1"/>
    </xf>
    <xf numFmtId="0" fontId="57" fillId="7" borderId="44" xfId="0" quotePrefix="1" applyFont="1" applyFill="1" applyBorder="1" applyAlignment="1">
      <alignment horizontal="center" vertical="top" wrapText="1"/>
    </xf>
    <xf numFmtId="0" fontId="57" fillId="7" borderId="22" xfId="0" quotePrefix="1" applyFont="1" applyFill="1" applyBorder="1" applyAlignment="1">
      <alignment horizontal="center" vertical="top" wrapText="1"/>
    </xf>
    <xf numFmtId="0" fontId="56" fillId="7" borderId="5" xfId="0" applyFont="1" applyFill="1" applyBorder="1" applyAlignment="1">
      <alignment horizontal="center" vertical="top" wrapText="1"/>
    </xf>
    <xf numFmtId="0" fontId="56" fillId="7" borderId="18" xfId="0" applyFont="1" applyFill="1" applyBorder="1" applyAlignment="1">
      <alignment horizontal="center" vertical="top"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172" fontId="0" fillId="0" borderId="38" xfId="0" applyNumberFormat="1" applyBorder="1" applyAlignment="1">
      <alignment horizontal="center" vertical="center"/>
    </xf>
    <xf numFmtId="172" fontId="0" fillId="0" borderId="45" xfId="0" applyNumberFormat="1" applyBorder="1" applyAlignment="1">
      <alignment horizontal="center" vertical="center"/>
    </xf>
    <xf numFmtId="172" fontId="0" fillId="0" borderId="39" xfId="0" applyNumberFormat="1" applyBorder="1" applyAlignment="1">
      <alignment horizontal="center" vertical="center"/>
    </xf>
    <xf numFmtId="172" fontId="0" fillId="0" borderId="2" xfId="0" applyNumberFormat="1" applyBorder="1" applyAlignment="1">
      <alignment horizontal="center" vertical="center"/>
    </xf>
    <xf numFmtId="0" fontId="56" fillId="7" borderId="1" xfId="0" applyFont="1" applyFill="1" applyBorder="1" applyAlignment="1">
      <alignment horizontal="center" vertical="top" wrapText="1"/>
    </xf>
    <xf numFmtId="0" fontId="42" fillId="6" borderId="1" xfId="0" applyFont="1" applyFill="1" applyBorder="1" applyAlignment="1">
      <alignment horizontal="center" vertical="top" wrapText="1"/>
    </xf>
    <xf numFmtId="0" fontId="56" fillId="7" borderId="21" xfId="0" applyFont="1" applyFill="1" applyBorder="1" applyAlignment="1">
      <alignment horizontal="center" vertical="top" wrapText="1"/>
    </xf>
    <xf numFmtId="0" fontId="56" fillId="7" borderId="44" xfId="0" applyFont="1" applyFill="1" applyBorder="1" applyAlignment="1">
      <alignment horizontal="center" vertical="top" wrapText="1"/>
    </xf>
    <xf numFmtId="0" fontId="56" fillId="7" borderId="22" xfId="0" applyFont="1" applyFill="1" applyBorder="1" applyAlignment="1">
      <alignment horizontal="center" vertical="top" wrapText="1"/>
    </xf>
    <xf numFmtId="0" fontId="52" fillId="6" borderId="10" xfId="0" applyFont="1" applyFill="1" applyBorder="1" applyAlignment="1">
      <alignment horizontal="center" vertical="top" wrapText="1"/>
    </xf>
    <xf numFmtId="0" fontId="52" fillId="6" borderId="12" xfId="0" applyFont="1" applyFill="1" applyBorder="1" applyAlignment="1">
      <alignment horizontal="center" vertical="top" wrapText="1"/>
    </xf>
    <xf numFmtId="0" fontId="56" fillId="0" borderId="21" xfId="0" applyFont="1" applyBorder="1" applyAlignment="1">
      <alignment vertical="top" wrapText="1"/>
    </xf>
    <xf numFmtId="0" fontId="56" fillId="0" borderId="44" xfId="0" applyFont="1" applyBorder="1" applyAlignment="1">
      <alignment vertical="top" wrapText="1"/>
    </xf>
    <xf numFmtId="0" fontId="56" fillId="0" borderId="22" xfId="0" applyFont="1" applyBorder="1" applyAlignment="1">
      <alignment vertical="top" wrapText="1"/>
    </xf>
    <xf numFmtId="0" fontId="60" fillId="0" borderId="3" xfId="0" applyFont="1" applyBorder="1" applyAlignment="1">
      <alignment horizontal="left" vertical="center" wrapText="1"/>
    </xf>
    <xf numFmtId="0" fontId="60" fillId="0" borderId="2" xfId="0" applyFont="1" applyBorder="1" applyAlignment="1">
      <alignment horizontal="left" vertical="center" wrapText="1"/>
    </xf>
    <xf numFmtId="0" fontId="60" fillId="0" borderId="4" xfId="0" applyFont="1" applyBorder="1" applyAlignment="1">
      <alignment horizontal="left" vertical="center" wrapText="1"/>
    </xf>
    <xf numFmtId="0" fontId="64" fillId="7" borderId="5" xfId="0" applyFont="1" applyFill="1" applyBorder="1" applyAlignment="1">
      <alignment horizontal="center"/>
    </xf>
    <xf numFmtId="0" fontId="64" fillId="7" borderId="6" xfId="0" applyFont="1" applyFill="1" applyBorder="1" applyAlignment="1">
      <alignment horizontal="center"/>
    </xf>
    <xf numFmtId="168" fontId="52" fillId="6" borderId="13" xfId="0" applyNumberFormat="1" applyFont="1" applyFill="1" applyBorder="1" applyAlignment="1">
      <alignment horizontal="center" vertical="top" wrapText="1"/>
    </xf>
    <xf numFmtId="168" fontId="52" fillId="6" borderId="16" xfId="0" applyNumberFormat="1" applyFont="1" applyFill="1" applyBorder="1" applyAlignment="1">
      <alignment horizontal="center" vertical="top" wrapText="1"/>
    </xf>
    <xf numFmtId="0" fontId="45" fillId="0" borderId="13" xfId="0" applyFont="1" applyBorder="1" applyAlignment="1">
      <alignment horizontal="left" vertical="top"/>
    </xf>
    <xf numFmtId="0" fontId="45" fillId="0" borderId="0" xfId="0" applyFont="1" applyAlignment="1">
      <alignment horizontal="left" vertical="top"/>
    </xf>
    <xf numFmtId="0" fontId="45" fillId="0" borderId="16" xfId="0" applyFont="1" applyBorder="1" applyAlignment="1">
      <alignment horizontal="left" vertical="top"/>
    </xf>
    <xf numFmtId="0" fontId="45" fillId="0" borderId="10" xfId="0" applyFont="1" applyBorder="1" applyAlignment="1">
      <alignment horizontal="left" vertical="top"/>
    </xf>
    <xf numFmtId="0" fontId="45" fillId="0" borderId="11" xfId="0" applyFont="1" applyBorder="1" applyAlignment="1">
      <alignment horizontal="left" vertical="top"/>
    </xf>
    <xf numFmtId="0" fontId="45" fillId="0" borderId="12" xfId="0" applyFont="1" applyBorder="1" applyAlignment="1">
      <alignment horizontal="left" vertical="top"/>
    </xf>
    <xf numFmtId="0" fontId="36" fillId="6" borderId="2" xfId="0" applyFont="1" applyFill="1" applyBorder="1" applyAlignment="1">
      <alignment horizontal="center" vertical="top"/>
    </xf>
    <xf numFmtId="0" fontId="57" fillId="7" borderId="3" xfId="0" quotePrefix="1" applyFont="1" applyFill="1" applyBorder="1" applyAlignment="1">
      <alignment horizontal="center" vertical="top" wrapText="1"/>
    </xf>
    <xf numFmtId="0" fontId="57" fillId="7" borderId="2" xfId="0" applyFont="1" applyFill="1" applyBorder="1" applyAlignment="1">
      <alignment horizontal="center" vertical="top" wrapText="1"/>
    </xf>
    <xf numFmtId="0" fontId="57" fillId="7" borderId="4" xfId="0" applyFont="1" applyFill="1" applyBorder="1" applyAlignment="1">
      <alignment horizontal="center" vertical="top" wrapText="1"/>
    </xf>
    <xf numFmtId="0" fontId="56" fillId="0" borderId="3" xfId="0" applyFont="1" applyBorder="1" applyAlignment="1">
      <alignment vertical="top" wrapText="1"/>
    </xf>
    <xf numFmtId="0" fontId="56" fillId="0" borderId="2" xfId="0" applyFont="1" applyBorder="1" applyAlignment="1">
      <alignment vertical="top" wrapText="1"/>
    </xf>
    <xf numFmtId="0" fontId="56" fillId="0" borderId="4" xfId="0" applyFont="1" applyBorder="1" applyAlignment="1">
      <alignment vertical="top" wrapText="1"/>
    </xf>
    <xf numFmtId="0" fontId="42" fillId="6" borderId="7" xfId="0" applyFont="1" applyFill="1" applyBorder="1" applyAlignment="1">
      <alignment horizontal="center" vertical="top" wrapText="1"/>
    </xf>
    <xf numFmtId="0" fontId="42" fillId="6" borderId="9" xfId="0" applyFont="1" applyFill="1" applyBorder="1" applyAlignment="1">
      <alignment horizontal="center" vertical="top" wrapText="1"/>
    </xf>
    <xf numFmtId="171" fontId="58" fillId="0" borderId="21" xfId="0" applyNumberFormat="1" applyFont="1" applyBorder="1" applyAlignment="1">
      <alignment horizontal="center" vertical="top" shrinkToFit="1"/>
    </xf>
    <xf numFmtId="171" fontId="58" fillId="0" borderId="22" xfId="0" applyNumberFormat="1" applyFont="1" applyBorder="1" applyAlignment="1">
      <alignment horizontal="center" vertical="top" shrinkToFit="1"/>
    </xf>
    <xf numFmtId="167" fontId="0" fillId="0" borderId="0" xfId="1" applyNumberFormat="1" applyFont="1" applyAlignment="1">
      <alignment vertical="center"/>
    </xf>
    <xf numFmtId="167" fontId="23" fillId="0" borderId="0" xfId="1" applyNumberFormat="1" applyFont="1" applyAlignment="1">
      <alignment vertical="center"/>
    </xf>
    <xf numFmtId="167" fontId="23" fillId="0" borderId="0" xfId="1" applyNumberFormat="1" applyFont="1" applyAlignment="1">
      <alignment vertical="center" wrapText="1"/>
    </xf>
    <xf numFmtId="167" fontId="6" fillId="0" borderId="0" xfId="1" applyNumberFormat="1" applyFont="1" applyAlignment="1">
      <alignment horizontal="center" vertical="center"/>
    </xf>
    <xf numFmtId="167" fontId="4" fillId="0" borderId="0" xfId="1" applyNumberFormat="1" applyFont="1" applyAlignment="1">
      <alignment vertical="center"/>
    </xf>
    <xf numFmtId="167" fontId="66" fillId="0" borderId="0" xfId="1" applyNumberFormat="1" applyFont="1" applyAlignment="1">
      <alignment vertical="center"/>
    </xf>
    <xf numFmtId="167" fontId="74" fillId="0" borderId="0" xfId="1" applyNumberFormat="1" applyFont="1" applyAlignment="1">
      <alignment vertical="top"/>
    </xf>
    <xf numFmtId="167" fontId="74" fillId="0" borderId="0" xfId="1" applyNumberFormat="1" applyFont="1" applyAlignment="1">
      <alignment vertical="center"/>
    </xf>
    <xf numFmtId="167" fontId="2" fillId="0" borderId="0" xfId="1" applyNumberFormat="1" applyFont="1" applyAlignment="1">
      <alignment horizontal="center" vertical="center"/>
    </xf>
    <xf numFmtId="167" fontId="78" fillId="0" borderId="6" xfId="0" applyNumberFormat="1" applyFont="1" applyBorder="1" applyAlignment="1">
      <alignment horizontal="right" vertical="center"/>
    </xf>
    <xf numFmtId="0" fontId="74" fillId="10" borderId="0" xfId="0" applyFont="1" applyFill="1" applyAlignment="1">
      <alignment horizontal="center" vertical="center"/>
    </xf>
    <xf numFmtId="0" fontId="74" fillId="10" borderId="0" xfId="0" applyFont="1" applyFill="1" applyAlignment="1">
      <alignment horizontal="right" vertical="center"/>
    </xf>
    <xf numFmtId="167" fontId="74" fillId="10" borderId="0" xfId="0" applyNumberFormat="1" applyFont="1" applyFill="1" applyAlignment="1">
      <alignment horizontal="right" vertical="center"/>
    </xf>
    <xf numFmtId="0" fontId="74" fillId="10" borderId="11" xfId="0" applyFont="1" applyFill="1" applyBorder="1" applyAlignment="1">
      <alignment horizontal="center" vertical="center"/>
    </xf>
    <xf numFmtId="0" fontId="74" fillId="10" borderId="11" xfId="0" applyFont="1" applyFill="1" applyBorder="1" applyAlignment="1">
      <alignment horizontal="right" vertical="center"/>
    </xf>
    <xf numFmtId="167" fontId="74" fillId="10" borderId="11" xfId="0" applyNumberFormat="1" applyFont="1" applyFill="1" applyBorder="1" applyAlignment="1">
      <alignment horizontal="right" vertical="center"/>
    </xf>
    <xf numFmtId="0" fontId="74" fillId="10" borderId="0" xfId="0" applyFont="1" applyFill="1" applyAlignment="1">
      <alignment horizontal="left" vertical="center"/>
    </xf>
  </cellXfs>
  <cellStyles count="4">
    <cellStyle name="Comma" xfId="1" builtinId="3"/>
    <cellStyle name="Comma [0] 2" xfId="2" xr:uid="{00000000-0005-0000-0000-000001000000}"/>
    <cellStyle name="Normal" xfId="0" builtinId="0"/>
    <cellStyle name="Normal 2" xfId="3" xr:uid="{00000000-0005-0000-0000-000003000000}"/>
  </cellStyles>
  <dxfs count="2">
    <dxf>
      <fill>
        <patternFill>
          <bgColor rgb="FFFF0000"/>
        </patternFill>
      </fill>
    </dxf>
    <dxf>
      <fill>
        <patternFill>
          <bgColor rgb="FFFF0000"/>
        </patternFill>
      </fill>
    </dxf>
  </dxfs>
  <tableStyles count="0" defaultTableStyle="TableStyleMedium2" defaultPivotStyle="PivotStyleLight16"/>
  <colors>
    <mruColors>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79</xdr:row>
      <xdr:rowOff>126999</xdr:rowOff>
    </xdr:from>
    <xdr:to>
      <xdr:col>6</xdr:col>
      <xdr:colOff>952500</xdr:colOff>
      <xdr:row>84</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twoCellAnchor editAs="oneCell">
    <xdr:from>
      <xdr:col>6</xdr:col>
      <xdr:colOff>126999</xdr:colOff>
      <xdr:row>77</xdr:row>
      <xdr:rowOff>126999</xdr:rowOff>
    </xdr:from>
    <xdr:to>
      <xdr:col>6</xdr:col>
      <xdr:colOff>952500</xdr:colOff>
      <xdr:row>82</xdr:row>
      <xdr:rowOff>14816</xdr:rowOff>
    </xdr:to>
    <xdr:pic>
      <xdr:nvPicPr>
        <xdr:cNvPr id="3" name="Picture 2">
          <a:extLst>
            <a:ext uri="{FF2B5EF4-FFF2-40B4-BE49-F238E27FC236}">
              <a16:creationId xmlns:a16="http://schemas.microsoft.com/office/drawing/2014/main" id="{DE30D019-53B1-44B0-A88C-8A7E8CBA1F26}"/>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746499" y="18919824"/>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76</xdr:row>
      <xdr:rowOff>135717</xdr:rowOff>
    </xdr:from>
    <xdr:ext cx="825501" cy="878417"/>
    <xdr:pic>
      <xdr:nvPicPr>
        <xdr:cNvPr id="2" name="Picture 1">
          <a:extLst>
            <a:ext uri="{FF2B5EF4-FFF2-40B4-BE49-F238E27FC236}">
              <a16:creationId xmlns:a16="http://schemas.microsoft.com/office/drawing/2014/main" id="{DB2070B6-71A0-4028-ABEE-5741DCCA380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4407399" y="20376342"/>
          <a:ext cx="825501" cy="878417"/>
        </a:xfrm>
        <a:prstGeom prst="rect">
          <a:avLst/>
        </a:prstGeom>
        <a:noFill/>
        <a:ln w="9525">
          <a:noFill/>
          <a:miter lim="800000"/>
          <a:headEnd/>
          <a:tailEnd/>
        </a:ln>
      </xdr:spPr>
    </xdr:pic>
    <xdr:clientData/>
  </xdr:oneCellAnchor>
  <xdr:twoCellAnchor>
    <xdr:from>
      <xdr:col>7</xdr:col>
      <xdr:colOff>549088</xdr:colOff>
      <xdr:row>63</xdr:row>
      <xdr:rowOff>291353</xdr:rowOff>
    </xdr:from>
    <xdr:to>
      <xdr:col>7</xdr:col>
      <xdr:colOff>549088</xdr:colOff>
      <xdr:row>65</xdr:row>
      <xdr:rowOff>239823</xdr:rowOff>
    </xdr:to>
    <xdr:cxnSp macro="">
      <xdr:nvCxnSpPr>
        <xdr:cNvPr id="4" name="Straight Arrow Connector 3">
          <a:extLst>
            <a:ext uri="{FF2B5EF4-FFF2-40B4-BE49-F238E27FC236}">
              <a16:creationId xmlns:a16="http://schemas.microsoft.com/office/drawing/2014/main" id="{3DC22EFD-8665-42BC-9EE4-529238CDA836}"/>
            </a:ext>
          </a:extLst>
        </xdr:cNvPr>
        <xdr:cNvCxnSpPr/>
      </xdr:nvCxnSpPr>
      <xdr:spPr>
        <a:xfrm>
          <a:off x="4829735" y="15710647"/>
          <a:ext cx="0" cy="576000"/>
        </a:xfrm>
        <a:prstGeom prst="straightConnector1">
          <a:avLst/>
        </a:prstGeom>
        <a:ln w="57150">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5</xdr:col>
      <xdr:colOff>102099</xdr:colOff>
      <xdr:row>56</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109803</xdr:colOff>
      <xdr:row>52</xdr:row>
      <xdr:rowOff>14552</xdr:rowOff>
    </xdr:from>
    <xdr:to>
      <xdr:col>7</xdr:col>
      <xdr:colOff>293688</xdr:colOff>
      <xdr:row>55</xdr:row>
      <xdr:rowOff>142876</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B1:Z89"/>
  <sheetViews>
    <sheetView showGridLines="0" zoomScale="90" zoomScaleNormal="90" workbookViewId="0">
      <selection activeCell="M14" sqref="M14"/>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4" t="s">
        <v>110</v>
      </c>
    </row>
    <row r="2" spans="2:26" ht="15" customHeight="1" x14ac:dyDescent="0.25">
      <c r="B2" s="65" t="s">
        <v>0</v>
      </c>
      <c r="C2" s="17"/>
      <c r="D2" s="17"/>
      <c r="E2" s="17"/>
      <c r="F2" s="17"/>
      <c r="G2" s="66"/>
      <c r="H2" s="67" t="s">
        <v>52</v>
      </c>
      <c r="I2" s="56" t="s">
        <v>53</v>
      </c>
      <c r="J2" s="57" t="s">
        <v>148</v>
      </c>
      <c r="K2" s="57"/>
      <c r="L2" s="57"/>
      <c r="M2" s="58"/>
      <c r="N2" s="541" t="s">
        <v>58</v>
      </c>
      <c r="O2" s="542"/>
      <c r="P2" s="541" t="s">
        <v>57</v>
      </c>
      <c r="Q2" s="542"/>
      <c r="R2" s="541" t="s">
        <v>45</v>
      </c>
      <c r="S2" s="542"/>
      <c r="T2" s="541" t="s">
        <v>44</v>
      </c>
      <c r="U2" s="542"/>
    </row>
    <row r="3" spans="2:26" ht="15" customHeight="1" x14ac:dyDescent="0.25">
      <c r="B3" s="529" t="s">
        <v>49</v>
      </c>
      <c r="C3" s="530"/>
      <c r="D3" s="530"/>
      <c r="E3" s="530"/>
      <c r="F3" s="530"/>
      <c r="G3" s="530"/>
      <c r="H3" s="531"/>
      <c r="I3" s="59" t="s">
        <v>54</v>
      </c>
      <c r="J3" s="60" t="s">
        <v>60</v>
      </c>
      <c r="K3" s="60"/>
      <c r="L3" s="60"/>
      <c r="M3" s="61"/>
      <c r="N3" s="544" t="s">
        <v>152</v>
      </c>
      <c r="O3" s="545"/>
      <c r="P3" s="545"/>
      <c r="Q3" s="545"/>
      <c r="R3" s="545"/>
      <c r="S3" s="545"/>
      <c r="T3" s="545"/>
      <c r="U3" s="546"/>
    </row>
    <row r="4" spans="2:26" ht="15" customHeight="1" x14ac:dyDescent="0.25">
      <c r="B4" s="532"/>
      <c r="C4" s="533"/>
      <c r="D4" s="533"/>
      <c r="E4" s="533"/>
      <c r="F4" s="533"/>
      <c r="G4" s="533"/>
      <c r="H4" s="534"/>
      <c r="I4" s="59" t="s">
        <v>5</v>
      </c>
      <c r="J4" s="60" t="s">
        <v>61</v>
      </c>
      <c r="K4" s="60"/>
      <c r="L4" s="60"/>
      <c r="M4" s="61"/>
      <c r="N4" s="547"/>
      <c r="O4" s="548"/>
      <c r="P4" s="548"/>
      <c r="Q4" s="548"/>
      <c r="R4" s="548"/>
      <c r="S4" s="548"/>
      <c r="T4" s="548"/>
      <c r="U4" s="549"/>
    </row>
    <row r="5" spans="2:26" ht="15" customHeight="1" x14ac:dyDescent="0.25">
      <c r="B5" s="532"/>
      <c r="C5" s="533"/>
      <c r="D5" s="533"/>
      <c r="E5" s="533"/>
      <c r="F5" s="533"/>
      <c r="G5" s="533"/>
      <c r="H5" s="534"/>
      <c r="I5" s="59" t="s">
        <v>55</v>
      </c>
      <c r="J5" s="60" t="s">
        <v>62</v>
      </c>
      <c r="K5" s="60"/>
      <c r="L5" s="60"/>
      <c r="M5" s="61"/>
      <c r="N5" s="550"/>
      <c r="O5" s="551"/>
      <c r="P5" s="551"/>
      <c r="Q5" s="551"/>
      <c r="R5" s="551"/>
      <c r="S5" s="551"/>
      <c r="T5" s="551"/>
      <c r="U5" s="552"/>
    </row>
    <row r="6" spans="2:26" ht="15" customHeight="1" x14ac:dyDescent="0.25">
      <c r="B6" s="535"/>
      <c r="C6" s="536"/>
      <c r="D6" s="536"/>
      <c r="E6" s="536"/>
      <c r="F6" s="536"/>
      <c r="G6" s="536"/>
      <c r="H6" s="537"/>
      <c r="I6" s="62" t="s">
        <v>56</v>
      </c>
      <c r="J6" s="63" t="s">
        <v>166</v>
      </c>
      <c r="K6" s="63"/>
      <c r="L6" s="63"/>
      <c r="M6" s="64"/>
      <c r="N6" s="541" t="s">
        <v>59</v>
      </c>
      <c r="O6" s="542"/>
      <c r="P6" s="541" t="s">
        <v>48</v>
      </c>
      <c r="Q6" s="542"/>
      <c r="R6" s="541" t="s">
        <v>47</v>
      </c>
      <c r="S6" s="542"/>
      <c r="T6" s="541" t="s">
        <v>46</v>
      </c>
      <c r="U6" s="542"/>
    </row>
    <row r="7" spans="2:26" ht="15" customHeight="1" x14ac:dyDescent="0.25">
      <c r="B7" s="40"/>
      <c r="U7" s="18"/>
    </row>
    <row r="8" spans="2:26" s="5" customFormat="1" ht="21.95" customHeight="1" x14ac:dyDescent="0.25">
      <c r="B8" s="41" t="s">
        <v>8</v>
      </c>
      <c r="C8" s="32"/>
      <c r="D8" s="32"/>
      <c r="E8" s="32"/>
      <c r="F8" s="32"/>
      <c r="G8" s="34" t="s">
        <v>219</v>
      </c>
      <c r="H8" s="6"/>
      <c r="I8" s="6"/>
      <c r="J8" s="6"/>
      <c r="U8" s="20"/>
    </row>
    <row r="9" spans="2:26" s="5" customFormat="1" ht="21.95" customHeight="1" x14ac:dyDescent="0.25">
      <c r="B9" s="42" t="s">
        <v>9</v>
      </c>
      <c r="C9" s="33"/>
      <c r="D9" s="33"/>
      <c r="E9" s="33"/>
      <c r="F9" s="33"/>
      <c r="G9" s="35" t="s">
        <v>220</v>
      </c>
      <c r="H9" s="7"/>
      <c r="I9" s="7"/>
      <c r="J9" s="7"/>
      <c r="U9" s="20"/>
    </row>
    <row r="10" spans="2:26" s="5" customFormat="1" ht="15" customHeight="1" x14ac:dyDescent="0.25">
      <c r="B10" s="19"/>
      <c r="C10" s="274"/>
      <c r="D10" s="274"/>
      <c r="E10" s="274"/>
      <c r="F10" s="274"/>
      <c r="G10" s="12"/>
      <c r="U10" s="20"/>
    </row>
    <row r="11" spans="2:26" ht="24.95" customHeight="1" x14ac:dyDescent="0.25">
      <c r="B11" s="43" t="s">
        <v>63</v>
      </c>
      <c r="U11" s="18"/>
    </row>
    <row r="12" spans="2:26" s="271" customFormat="1" ht="24.95" customHeight="1" x14ac:dyDescent="0.25">
      <c r="B12" s="272" t="s">
        <v>1</v>
      </c>
      <c r="C12" s="460" t="s">
        <v>5</v>
      </c>
      <c r="D12" s="538"/>
      <c r="E12" s="538"/>
      <c r="F12" s="461"/>
      <c r="G12" s="466" t="s">
        <v>4</v>
      </c>
      <c r="H12" s="468"/>
      <c r="I12" s="466" t="s">
        <v>51</v>
      </c>
      <c r="J12" s="467"/>
      <c r="K12" s="466" t="s">
        <v>2</v>
      </c>
      <c r="L12" s="468"/>
      <c r="M12" s="464" t="s">
        <v>3</v>
      </c>
      <c r="N12" s="464"/>
      <c r="O12" s="464"/>
      <c r="P12" s="464"/>
      <c r="Q12" s="464"/>
      <c r="R12" s="15"/>
      <c r="S12" s="15"/>
      <c r="T12" s="15"/>
      <c r="U12" s="21"/>
      <c r="V12" s="15"/>
      <c r="W12" s="15"/>
      <c r="X12" s="15"/>
      <c r="Y12" s="557"/>
      <c r="Z12" s="557"/>
    </row>
    <row r="13" spans="2:26" ht="24.95" customHeight="1" x14ac:dyDescent="0.25">
      <c r="B13" s="262">
        <v>1</v>
      </c>
      <c r="C13" s="141">
        <v>45530</v>
      </c>
      <c r="D13" s="418" t="s">
        <v>6</v>
      </c>
      <c r="E13" s="418"/>
      <c r="F13" s="142">
        <v>45569</v>
      </c>
      <c r="G13" s="558" t="s">
        <v>216</v>
      </c>
      <c r="H13" s="556"/>
      <c r="I13" s="558" t="s">
        <v>217</v>
      </c>
      <c r="J13" s="556"/>
      <c r="K13" s="555">
        <v>5533</v>
      </c>
      <c r="L13" s="556"/>
      <c r="M13" s="143" t="s">
        <v>258</v>
      </c>
      <c r="N13" s="144"/>
      <c r="O13" s="144"/>
      <c r="P13" s="144"/>
      <c r="Q13" s="145"/>
      <c r="U13" s="18"/>
    </row>
    <row r="14" spans="2:26" ht="24.95" customHeight="1" x14ac:dyDescent="0.25">
      <c r="B14" s="262">
        <v>2</v>
      </c>
      <c r="C14" s="141">
        <f>+C13</f>
        <v>45530</v>
      </c>
      <c r="D14" s="418" t="s">
        <v>6</v>
      </c>
      <c r="E14" s="418"/>
      <c r="F14" s="142">
        <f>+F13</f>
        <v>45569</v>
      </c>
      <c r="G14" s="558" t="s">
        <v>216</v>
      </c>
      <c r="H14" s="556"/>
      <c r="I14" s="558" t="s">
        <v>185</v>
      </c>
      <c r="J14" s="556"/>
      <c r="K14" s="555">
        <v>13647</v>
      </c>
      <c r="L14" s="556"/>
      <c r="M14" s="143" t="s">
        <v>221</v>
      </c>
      <c r="N14" s="144"/>
      <c r="O14" s="144"/>
      <c r="P14" s="144"/>
      <c r="Q14" s="145"/>
      <c r="U14" s="18"/>
    </row>
    <row r="15" spans="2:26" ht="15" customHeight="1" x14ac:dyDescent="0.25">
      <c r="B15" s="10"/>
      <c r="U15" s="18"/>
    </row>
    <row r="16" spans="2:26" ht="20.100000000000001" customHeight="1" x14ac:dyDescent="0.25">
      <c r="B16" s="43" t="s">
        <v>97</v>
      </c>
      <c r="U16" s="18"/>
    </row>
    <row r="17" spans="2:23" ht="20.100000000000001" customHeight="1" x14ac:dyDescent="0.25">
      <c r="B17" s="44" t="s">
        <v>67</v>
      </c>
      <c r="K17" s="22" t="s">
        <v>68</v>
      </c>
      <c r="L17" s="22"/>
      <c r="U17" s="18"/>
    </row>
    <row r="18" spans="2:23" s="3" customFormat="1" ht="20.100000000000001" customHeight="1" thickBot="1" x14ac:dyDescent="0.3">
      <c r="B18" s="458" t="s">
        <v>1</v>
      </c>
      <c r="C18" s="480" t="s">
        <v>5</v>
      </c>
      <c r="D18" s="481"/>
      <c r="E18" s="466" t="s">
        <v>144</v>
      </c>
      <c r="F18" s="467"/>
      <c r="G18" s="468"/>
      <c r="H18" s="466" t="s">
        <v>50</v>
      </c>
      <c r="I18" s="468"/>
      <c r="J18" s="5"/>
      <c r="K18" s="449" t="s">
        <v>1</v>
      </c>
      <c r="L18" s="451" t="s">
        <v>5</v>
      </c>
      <c r="M18" s="453"/>
      <c r="N18" s="487" t="s">
        <v>13</v>
      </c>
      <c r="O18" s="488"/>
      <c r="P18" s="488"/>
      <c r="Q18" s="489"/>
      <c r="R18" s="487" t="s">
        <v>50</v>
      </c>
      <c r="S18" s="488"/>
      <c r="T18" s="488"/>
      <c r="U18" s="489"/>
      <c r="V18" s="8"/>
      <c r="W18" s="8"/>
    </row>
    <row r="19" spans="2:23" s="3" customFormat="1" ht="20.100000000000001" customHeight="1" thickTop="1" x14ac:dyDescent="0.25">
      <c r="B19" s="479"/>
      <c r="C19" s="482"/>
      <c r="D19" s="483"/>
      <c r="E19" s="460" t="s">
        <v>35</v>
      </c>
      <c r="F19" s="461"/>
      <c r="G19" s="254" t="s">
        <v>36</v>
      </c>
      <c r="H19" s="255" t="s">
        <v>35</v>
      </c>
      <c r="I19" s="273" t="s">
        <v>36</v>
      </c>
      <c r="J19" s="5"/>
      <c r="K19" s="484"/>
      <c r="L19" s="485"/>
      <c r="M19" s="486"/>
      <c r="N19" s="451" t="s">
        <v>35</v>
      </c>
      <c r="O19" s="453"/>
      <c r="P19" s="451" t="s">
        <v>36</v>
      </c>
      <c r="Q19" s="453"/>
      <c r="R19" s="451" t="s">
        <v>35</v>
      </c>
      <c r="S19" s="453"/>
      <c r="T19" s="451" t="s">
        <v>36</v>
      </c>
      <c r="U19" s="453"/>
      <c r="V19" s="8"/>
      <c r="W19" s="8"/>
    </row>
    <row r="20" spans="2:23" ht="24.95" customHeight="1" x14ac:dyDescent="0.25">
      <c r="B20" s="262">
        <v>1</v>
      </c>
      <c r="C20" s="559"/>
      <c r="D20" s="560"/>
      <c r="E20" s="417"/>
      <c r="F20" s="543"/>
      <c r="G20" s="256"/>
      <c r="H20" s="270"/>
      <c r="I20" s="262"/>
      <c r="J20" s="12"/>
      <c r="K20" s="262">
        <v>1</v>
      </c>
      <c r="L20" s="561"/>
      <c r="M20" s="562"/>
      <c r="N20" s="553"/>
      <c r="O20" s="543"/>
      <c r="P20" s="553"/>
      <c r="Q20" s="554"/>
      <c r="R20" s="553"/>
      <c r="S20" s="554"/>
      <c r="T20" s="553"/>
      <c r="U20" s="554"/>
      <c r="V20" s="8"/>
      <c r="W20" s="8"/>
    </row>
    <row r="21" spans="2:23" ht="24.95" customHeight="1" x14ac:dyDescent="0.25">
      <c r="B21" s="262">
        <v>2</v>
      </c>
      <c r="C21" s="559"/>
      <c r="D21" s="560"/>
      <c r="E21" s="417"/>
      <c r="F21" s="543"/>
      <c r="G21" s="256"/>
      <c r="H21" s="270"/>
      <c r="I21" s="256"/>
      <c r="J21" s="12"/>
      <c r="K21" s="262">
        <v>2</v>
      </c>
      <c r="L21" s="561"/>
      <c r="M21" s="562"/>
      <c r="N21" s="553"/>
      <c r="O21" s="554"/>
      <c r="P21" s="417"/>
      <c r="Q21" s="543"/>
      <c r="R21" s="417"/>
      <c r="S21" s="543"/>
      <c r="T21" s="417"/>
      <c r="U21" s="543"/>
    </row>
    <row r="22" spans="2:23" ht="15" customHeight="1" x14ac:dyDescent="0.25">
      <c r="B22" s="10"/>
      <c r="U22" s="18"/>
    </row>
    <row r="23" spans="2:23" ht="20.100000000000001" customHeight="1" x14ac:dyDescent="0.25">
      <c r="B23" s="19" t="s">
        <v>69</v>
      </c>
      <c r="C23" s="13"/>
      <c r="D23" s="13"/>
      <c r="E23" s="13"/>
      <c r="F23" s="13"/>
      <c r="G23" s="12"/>
      <c r="H23" s="12"/>
      <c r="I23" s="12"/>
      <c r="J23" s="12"/>
      <c r="K23" s="12"/>
      <c r="L23" s="12"/>
      <c r="M23" s="12"/>
      <c r="N23" s="12"/>
      <c r="O23" s="12"/>
      <c r="P23" s="12"/>
      <c r="Q23" s="12"/>
      <c r="R23" s="12"/>
      <c r="S23" s="12"/>
      <c r="T23" s="12"/>
      <c r="U23" s="45"/>
    </row>
    <row r="24" spans="2:23" s="3" customFormat="1" ht="20.100000000000001" customHeight="1" x14ac:dyDescent="0.25">
      <c r="B24" s="449" t="s">
        <v>1</v>
      </c>
      <c r="C24" s="451" t="s">
        <v>5</v>
      </c>
      <c r="D24" s="452"/>
      <c r="E24" s="452"/>
      <c r="F24" s="453"/>
      <c r="G24" s="460" t="s">
        <v>14</v>
      </c>
      <c r="H24" s="461"/>
      <c r="I24" s="464" t="s">
        <v>65</v>
      </c>
      <c r="J24" s="466" t="s">
        <v>15</v>
      </c>
      <c r="K24" s="467"/>
      <c r="L24" s="467"/>
      <c r="M24" s="468"/>
      <c r="N24" s="469" t="s">
        <v>64</v>
      </c>
      <c r="O24" s="469"/>
      <c r="P24" s="469"/>
      <c r="Q24" s="469"/>
      <c r="R24" s="469"/>
      <c r="S24" s="469"/>
      <c r="T24" s="469"/>
      <c r="U24" s="469"/>
      <c r="V24" s="8"/>
      <c r="W24" s="8"/>
    </row>
    <row r="25" spans="2:23" s="3" customFormat="1" ht="20.100000000000001" customHeight="1" thickBot="1" x14ac:dyDescent="0.3">
      <c r="B25" s="450"/>
      <c r="C25" s="454"/>
      <c r="D25" s="455"/>
      <c r="E25" s="455"/>
      <c r="F25" s="456"/>
      <c r="G25" s="462"/>
      <c r="H25" s="463"/>
      <c r="I25" s="465"/>
      <c r="J25" s="471" t="s">
        <v>17</v>
      </c>
      <c r="K25" s="472"/>
      <c r="L25" s="471" t="s">
        <v>16</v>
      </c>
      <c r="M25" s="472"/>
      <c r="N25" s="470"/>
      <c r="O25" s="470"/>
      <c r="P25" s="470"/>
      <c r="Q25" s="470"/>
      <c r="R25" s="470"/>
      <c r="S25" s="470"/>
      <c r="T25" s="470"/>
      <c r="U25" s="470"/>
      <c r="V25" s="8"/>
      <c r="W25" s="8"/>
    </row>
    <row r="26" spans="2:23" ht="50.1" customHeight="1" thickTop="1" x14ac:dyDescent="0.25">
      <c r="B26" s="31">
        <v>1</v>
      </c>
      <c r="C26" s="138">
        <f>C13</f>
        <v>45530</v>
      </c>
      <c r="D26" s="473" t="s">
        <v>6</v>
      </c>
      <c r="E26" s="473"/>
      <c r="F26" s="139">
        <f>F13</f>
        <v>45569</v>
      </c>
      <c r="G26" s="474" t="s">
        <v>222</v>
      </c>
      <c r="H26" s="475"/>
      <c r="I26" s="140"/>
      <c r="J26" s="476"/>
      <c r="K26" s="477"/>
      <c r="L26" s="476"/>
      <c r="M26" s="475"/>
      <c r="N26" s="478"/>
      <c r="O26" s="478"/>
      <c r="P26" s="478"/>
      <c r="Q26" s="478"/>
      <c r="R26" s="478"/>
      <c r="S26" s="478"/>
      <c r="T26" s="478"/>
      <c r="U26" s="478"/>
      <c r="V26" s="8"/>
      <c r="W26" s="8"/>
    </row>
    <row r="27" spans="2:23" ht="24.95" customHeight="1" x14ac:dyDescent="0.25">
      <c r="B27" s="46" t="s">
        <v>96</v>
      </c>
      <c r="C27" s="13"/>
      <c r="D27" s="13"/>
      <c r="E27" s="13"/>
      <c r="F27" s="13"/>
      <c r="G27" s="12"/>
      <c r="H27" s="12"/>
      <c r="I27" s="12"/>
      <c r="J27" s="12"/>
      <c r="K27" s="12"/>
      <c r="L27" s="12"/>
      <c r="M27" s="12"/>
      <c r="N27" s="12"/>
      <c r="O27" s="12"/>
      <c r="U27" s="18"/>
    </row>
    <row r="28" spans="2:23" s="9" customFormat="1" ht="20.100000000000001" customHeight="1" x14ac:dyDescent="0.25">
      <c r="B28" s="266" t="s">
        <v>73</v>
      </c>
      <c r="C28" s="445" t="s">
        <v>118</v>
      </c>
      <c r="D28" s="445"/>
      <c r="E28" s="445"/>
      <c r="F28" s="445"/>
      <c r="G28" s="445"/>
      <c r="H28" s="445"/>
      <c r="I28" s="445"/>
      <c r="J28" s="446" t="s">
        <v>74</v>
      </c>
      <c r="K28" s="447"/>
      <c r="L28" s="448"/>
      <c r="M28" s="446" t="s">
        <v>75</v>
      </c>
      <c r="N28" s="447"/>
      <c r="O28" s="448"/>
      <c r="P28" s="445" t="s">
        <v>33</v>
      </c>
      <c r="Q28" s="445"/>
      <c r="R28" s="445"/>
      <c r="U28" s="23"/>
    </row>
    <row r="29" spans="2:23" s="25" customFormat="1" ht="17.100000000000001" customHeight="1" x14ac:dyDescent="0.25">
      <c r="B29" s="265">
        <v>1</v>
      </c>
      <c r="C29" s="439" t="s">
        <v>18</v>
      </c>
      <c r="D29" s="439"/>
      <c r="E29" s="439"/>
      <c r="F29" s="439"/>
      <c r="G29" s="439"/>
      <c r="H29" s="439"/>
      <c r="I29" s="439"/>
      <c r="J29" s="490" t="s">
        <v>30</v>
      </c>
      <c r="K29" s="491"/>
      <c r="L29" s="492"/>
      <c r="M29" s="490" t="s">
        <v>30</v>
      </c>
      <c r="N29" s="491"/>
      <c r="O29" s="492"/>
      <c r="P29" s="540" t="s">
        <v>30</v>
      </c>
      <c r="Q29" s="540"/>
      <c r="R29" s="540"/>
      <c r="U29" s="47"/>
    </row>
    <row r="30" spans="2:23" s="25" customFormat="1" ht="17.100000000000001" customHeight="1" x14ac:dyDescent="0.25">
      <c r="B30" s="265">
        <v>2</v>
      </c>
      <c r="C30" s="439" t="s">
        <v>19</v>
      </c>
      <c r="D30" s="439"/>
      <c r="E30" s="439"/>
      <c r="F30" s="439"/>
      <c r="G30" s="439"/>
      <c r="H30" s="439"/>
      <c r="I30" s="439"/>
      <c r="J30" s="490" t="s">
        <v>30</v>
      </c>
      <c r="K30" s="491"/>
      <c r="L30" s="492"/>
      <c r="M30" s="490" t="s">
        <v>30</v>
      </c>
      <c r="N30" s="491"/>
      <c r="O30" s="492"/>
      <c r="P30" s="540" t="s">
        <v>30</v>
      </c>
      <c r="Q30" s="540"/>
      <c r="R30" s="540"/>
      <c r="U30" s="47"/>
    </row>
    <row r="31" spans="2:23" s="25" customFormat="1" ht="17.100000000000001" customHeight="1" x14ac:dyDescent="0.25">
      <c r="B31" s="265">
        <v>3</v>
      </c>
      <c r="C31" s="539" t="s">
        <v>113</v>
      </c>
      <c r="D31" s="539"/>
      <c r="E31" s="539"/>
      <c r="F31" s="539"/>
      <c r="G31" s="539"/>
      <c r="H31" s="539"/>
      <c r="I31" s="539"/>
      <c r="J31" s="490" t="s">
        <v>30</v>
      </c>
      <c r="K31" s="491"/>
      <c r="L31" s="492"/>
      <c r="M31" s="490" t="s">
        <v>30</v>
      </c>
      <c r="N31" s="491"/>
      <c r="O31" s="492"/>
      <c r="P31" s="540" t="s">
        <v>30</v>
      </c>
      <c r="Q31" s="540"/>
      <c r="R31" s="540"/>
      <c r="U31" s="47"/>
    </row>
    <row r="32" spans="2:23" s="25" customFormat="1" ht="17.100000000000001" customHeight="1" x14ac:dyDescent="0.25">
      <c r="B32" s="265">
        <v>4</v>
      </c>
      <c r="C32" s="439" t="s">
        <v>20</v>
      </c>
      <c r="D32" s="439"/>
      <c r="E32" s="439"/>
      <c r="F32" s="439"/>
      <c r="G32" s="439"/>
      <c r="H32" s="439"/>
      <c r="I32" s="439"/>
      <c r="J32" s="490" t="s">
        <v>30</v>
      </c>
      <c r="K32" s="491"/>
      <c r="L32" s="492"/>
      <c r="M32" s="490" t="s">
        <v>30</v>
      </c>
      <c r="N32" s="491"/>
      <c r="O32" s="492"/>
      <c r="P32" s="540" t="s">
        <v>30</v>
      </c>
      <c r="Q32" s="540"/>
      <c r="R32" s="540"/>
      <c r="U32" s="47"/>
    </row>
    <row r="33" spans="2:21" s="25" customFormat="1" ht="17.100000000000001" customHeight="1" x14ac:dyDescent="0.25">
      <c r="B33" s="265">
        <v>5</v>
      </c>
      <c r="C33" s="439" t="s">
        <v>21</v>
      </c>
      <c r="D33" s="439"/>
      <c r="E33" s="439"/>
      <c r="F33" s="439"/>
      <c r="G33" s="439"/>
      <c r="H33" s="439"/>
      <c r="I33" s="439"/>
      <c r="J33" s="490" t="s">
        <v>30</v>
      </c>
      <c r="K33" s="491"/>
      <c r="L33" s="492"/>
      <c r="M33" s="490" t="s">
        <v>30</v>
      </c>
      <c r="N33" s="491"/>
      <c r="O33" s="492"/>
      <c r="P33" s="540" t="s">
        <v>30</v>
      </c>
      <c r="Q33" s="540"/>
      <c r="R33" s="540"/>
      <c r="U33" s="47"/>
    </row>
    <row r="34" spans="2:21" s="25" customFormat="1" ht="17.100000000000001" customHeight="1" x14ac:dyDescent="0.25">
      <c r="B34" s="265">
        <v>6</v>
      </c>
      <c r="C34" s="539" t="s">
        <v>114</v>
      </c>
      <c r="D34" s="539"/>
      <c r="E34" s="539"/>
      <c r="F34" s="539"/>
      <c r="G34" s="539"/>
      <c r="H34" s="539"/>
      <c r="I34" s="539"/>
      <c r="J34" s="490" t="s">
        <v>30</v>
      </c>
      <c r="K34" s="491"/>
      <c r="L34" s="492"/>
      <c r="M34" s="490" t="s">
        <v>30</v>
      </c>
      <c r="N34" s="491"/>
      <c r="O34" s="492"/>
      <c r="P34" s="540" t="s">
        <v>30</v>
      </c>
      <c r="Q34" s="540"/>
      <c r="R34" s="540"/>
      <c r="U34" s="47"/>
    </row>
    <row r="35" spans="2:21" s="25" customFormat="1" ht="35.1" customHeight="1" x14ac:dyDescent="0.25">
      <c r="B35" s="265">
        <v>7</v>
      </c>
      <c r="C35" s="439" t="s">
        <v>22</v>
      </c>
      <c r="D35" s="439"/>
      <c r="E35" s="439"/>
      <c r="F35" s="439"/>
      <c r="G35" s="439"/>
      <c r="H35" s="439"/>
      <c r="I35" s="439"/>
      <c r="J35" s="494" t="s">
        <v>115</v>
      </c>
      <c r="K35" s="495"/>
      <c r="L35" s="496"/>
      <c r="M35" s="494" t="s">
        <v>116</v>
      </c>
      <c r="N35" s="495"/>
      <c r="O35" s="496"/>
      <c r="P35" s="493" t="s">
        <v>116</v>
      </c>
      <c r="Q35" s="493"/>
      <c r="R35" s="493"/>
      <c r="U35" s="47"/>
    </row>
    <row r="36" spans="2:21" s="25" customFormat="1" ht="35.1" customHeight="1" x14ac:dyDescent="0.25">
      <c r="B36" s="265">
        <v>8</v>
      </c>
      <c r="C36" s="439" t="s">
        <v>23</v>
      </c>
      <c r="D36" s="439"/>
      <c r="E36" s="439"/>
      <c r="F36" s="439"/>
      <c r="G36" s="439"/>
      <c r="H36" s="439"/>
      <c r="I36" s="439"/>
      <c r="J36" s="440" t="s">
        <v>31</v>
      </c>
      <c r="K36" s="441"/>
      <c r="L36" s="442"/>
      <c r="M36" s="494" t="s">
        <v>117</v>
      </c>
      <c r="N36" s="495"/>
      <c r="O36" s="496"/>
      <c r="P36" s="493" t="s">
        <v>117</v>
      </c>
      <c r="Q36" s="493"/>
      <c r="R36" s="493"/>
      <c r="U36" s="47"/>
    </row>
    <row r="37" spans="2:21" s="25" customFormat="1" ht="17.100000000000001" customHeight="1" x14ac:dyDescent="0.25">
      <c r="B37" s="265">
        <v>9</v>
      </c>
      <c r="C37" s="439" t="s">
        <v>24</v>
      </c>
      <c r="D37" s="439"/>
      <c r="E37" s="439"/>
      <c r="F37" s="439"/>
      <c r="G37" s="439"/>
      <c r="H37" s="439"/>
      <c r="I37" s="439"/>
      <c r="J37" s="440" t="s">
        <v>31</v>
      </c>
      <c r="K37" s="441"/>
      <c r="L37" s="442"/>
      <c r="M37" s="440" t="s">
        <v>31</v>
      </c>
      <c r="N37" s="441"/>
      <c r="O37" s="442"/>
      <c r="P37" s="438" t="s">
        <v>31</v>
      </c>
      <c r="Q37" s="438"/>
      <c r="R37" s="438"/>
      <c r="U37" s="47"/>
    </row>
    <row r="38" spans="2:21" s="25" customFormat="1" ht="17.100000000000001" customHeight="1" x14ac:dyDescent="0.25">
      <c r="B38" s="265">
        <v>10</v>
      </c>
      <c r="C38" s="439" t="s">
        <v>25</v>
      </c>
      <c r="D38" s="439"/>
      <c r="E38" s="439"/>
      <c r="F38" s="439"/>
      <c r="G38" s="439"/>
      <c r="H38" s="439"/>
      <c r="I38" s="439"/>
      <c r="J38" s="440" t="s">
        <v>31</v>
      </c>
      <c r="K38" s="441"/>
      <c r="L38" s="442"/>
      <c r="M38" s="440" t="s">
        <v>31</v>
      </c>
      <c r="N38" s="441"/>
      <c r="O38" s="442"/>
      <c r="P38" s="438" t="s">
        <v>31</v>
      </c>
      <c r="Q38" s="438"/>
      <c r="R38" s="438"/>
      <c r="U38" s="47"/>
    </row>
    <row r="39" spans="2:21" s="25" customFormat="1" ht="17.100000000000001" customHeight="1" x14ac:dyDescent="0.25">
      <c r="B39" s="265">
        <v>11</v>
      </c>
      <c r="C39" s="439" t="s">
        <v>26</v>
      </c>
      <c r="D39" s="439"/>
      <c r="E39" s="439"/>
      <c r="F39" s="439"/>
      <c r="G39" s="439"/>
      <c r="H39" s="439"/>
      <c r="I39" s="439"/>
      <c r="J39" s="440" t="s">
        <v>31</v>
      </c>
      <c r="K39" s="441"/>
      <c r="L39" s="442"/>
      <c r="M39" s="440" t="s">
        <v>31</v>
      </c>
      <c r="N39" s="441"/>
      <c r="O39" s="442"/>
      <c r="P39" s="438" t="s">
        <v>31</v>
      </c>
      <c r="Q39" s="438"/>
      <c r="R39" s="438"/>
      <c r="U39" s="47"/>
    </row>
    <row r="40" spans="2:21" s="25" customFormat="1" ht="17.100000000000001" customHeight="1" x14ac:dyDescent="0.25">
      <c r="B40" s="265">
        <v>12</v>
      </c>
      <c r="C40" s="439" t="s">
        <v>27</v>
      </c>
      <c r="D40" s="439"/>
      <c r="E40" s="439"/>
      <c r="F40" s="439"/>
      <c r="G40" s="439"/>
      <c r="H40" s="439"/>
      <c r="I40" s="439"/>
      <c r="J40" s="440" t="s">
        <v>31</v>
      </c>
      <c r="K40" s="441"/>
      <c r="L40" s="442"/>
      <c r="M40" s="440" t="s">
        <v>31</v>
      </c>
      <c r="N40" s="441"/>
      <c r="O40" s="442"/>
      <c r="P40" s="438" t="s">
        <v>31</v>
      </c>
      <c r="Q40" s="438"/>
      <c r="R40" s="438"/>
      <c r="U40" s="47"/>
    </row>
    <row r="41" spans="2:21" s="25" customFormat="1" ht="17.100000000000001" customHeight="1" x14ac:dyDescent="0.25">
      <c r="B41" s="265">
        <v>13</v>
      </c>
      <c r="C41" s="439" t="s">
        <v>28</v>
      </c>
      <c r="D41" s="439"/>
      <c r="E41" s="439"/>
      <c r="F41" s="439"/>
      <c r="G41" s="439"/>
      <c r="H41" s="439"/>
      <c r="I41" s="439"/>
      <c r="J41" s="440" t="s">
        <v>32</v>
      </c>
      <c r="K41" s="441"/>
      <c r="L41" s="442"/>
      <c r="M41" s="440" t="s">
        <v>32</v>
      </c>
      <c r="N41" s="441"/>
      <c r="O41" s="442"/>
      <c r="P41" s="438" t="s">
        <v>32</v>
      </c>
      <c r="Q41" s="438"/>
      <c r="R41" s="438"/>
      <c r="U41" s="47"/>
    </row>
    <row r="42" spans="2:21" s="25" customFormat="1" ht="17.100000000000001" customHeight="1" x14ac:dyDescent="0.25">
      <c r="B42" s="265">
        <v>14</v>
      </c>
      <c r="C42" s="439" t="s">
        <v>29</v>
      </c>
      <c r="D42" s="439"/>
      <c r="E42" s="439"/>
      <c r="F42" s="439"/>
      <c r="G42" s="439"/>
      <c r="H42" s="439"/>
      <c r="I42" s="439"/>
      <c r="J42" s="440" t="s">
        <v>31</v>
      </c>
      <c r="K42" s="441"/>
      <c r="L42" s="442"/>
      <c r="M42" s="440" t="s">
        <v>31</v>
      </c>
      <c r="N42" s="441"/>
      <c r="O42" s="442"/>
      <c r="P42" s="438" t="s">
        <v>31</v>
      </c>
      <c r="Q42" s="438"/>
      <c r="R42" s="438"/>
      <c r="U42" s="47"/>
    </row>
    <row r="43" spans="2:21" ht="24.95" customHeight="1" x14ac:dyDescent="0.25">
      <c r="B43" s="46" t="s">
        <v>145</v>
      </c>
      <c r="C43" s="13"/>
      <c r="D43" s="13"/>
      <c r="E43" s="13"/>
      <c r="F43" s="13"/>
      <c r="G43" s="12"/>
      <c r="H43" s="12"/>
      <c r="I43" s="12"/>
      <c r="J43" s="12"/>
      <c r="K43" s="12"/>
      <c r="L43" s="12"/>
      <c r="M43" s="12"/>
      <c r="N43" s="12"/>
      <c r="O43" s="12"/>
      <c r="U43" s="18"/>
    </row>
    <row r="44" spans="2:21" s="28" customFormat="1" ht="17.100000000000001" customHeight="1" x14ac:dyDescent="0.25">
      <c r="B44" s="445" t="s">
        <v>41</v>
      </c>
      <c r="C44" s="445"/>
      <c r="D44" s="445" t="s">
        <v>88</v>
      </c>
      <c r="E44" s="445"/>
      <c r="F44" s="445"/>
      <c r="G44" s="445"/>
      <c r="H44" s="459" t="s">
        <v>93</v>
      </c>
      <c r="I44" s="459"/>
      <c r="J44" s="459"/>
      <c r="K44" s="459" t="s">
        <v>94</v>
      </c>
      <c r="L44" s="459"/>
      <c r="M44" s="459"/>
      <c r="N44" s="459"/>
      <c r="O44" s="459"/>
      <c r="U44" s="48"/>
    </row>
    <row r="45" spans="2:21" s="11" customFormat="1" ht="17.100000000000001" customHeight="1" x14ac:dyDescent="0.25">
      <c r="B45" s="444" t="s">
        <v>89</v>
      </c>
      <c r="C45" s="444"/>
      <c r="D45" s="444" t="s">
        <v>91</v>
      </c>
      <c r="E45" s="444"/>
      <c r="F45" s="444"/>
      <c r="G45" s="444"/>
      <c r="H45" s="443" t="s">
        <v>91</v>
      </c>
      <c r="I45" s="443"/>
      <c r="J45" s="443"/>
      <c r="K45" s="443" t="s">
        <v>95</v>
      </c>
      <c r="L45" s="443"/>
      <c r="M45" s="443"/>
      <c r="N45" s="443"/>
      <c r="O45" s="443"/>
      <c r="U45" s="49"/>
    </row>
    <row r="46" spans="2:21" s="11" customFormat="1" ht="17.100000000000001" customHeight="1" x14ac:dyDescent="0.25">
      <c r="B46" s="444" t="s">
        <v>90</v>
      </c>
      <c r="C46" s="444"/>
      <c r="D46" s="444" t="s">
        <v>92</v>
      </c>
      <c r="E46" s="444"/>
      <c r="F46" s="444"/>
      <c r="G46" s="444"/>
      <c r="H46" s="443" t="s">
        <v>91</v>
      </c>
      <c r="I46" s="443"/>
      <c r="J46" s="443"/>
      <c r="K46" s="443" t="s">
        <v>91</v>
      </c>
      <c r="L46" s="443"/>
      <c r="M46" s="443"/>
      <c r="N46" s="443"/>
      <c r="O46" s="443"/>
      <c r="U46" s="49"/>
    </row>
    <row r="47" spans="2:21" s="25" customFormat="1" ht="15" customHeight="1" x14ac:dyDescent="0.25">
      <c r="B47" s="30"/>
      <c r="C47" s="27"/>
      <c r="D47" s="27"/>
      <c r="E47" s="27"/>
      <c r="F47" s="27"/>
      <c r="G47" s="27"/>
      <c r="H47" s="27"/>
      <c r="I47" s="27"/>
      <c r="J47" s="26"/>
      <c r="K47" s="26"/>
      <c r="L47" s="26"/>
      <c r="M47" s="26"/>
      <c r="N47" s="26"/>
      <c r="O47" s="26"/>
      <c r="U47" s="47"/>
    </row>
    <row r="48" spans="2:21" ht="20.100000000000001" customHeight="1" x14ac:dyDescent="0.25">
      <c r="B48" s="43" t="s">
        <v>66</v>
      </c>
      <c r="U48" s="18"/>
    </row>
    <row r="49" spans="2:21" s="274" customFormat="1" ht="20.100000000000001" customHeight="1" x14ac:dyDescent="0.25">
      <c r="B49" s="449" t="s">
        <v>1</v>
      </c>
      <c r="C49" s="451" t="s">
        <v>42</v>
      </c>
      <c r="D49" s="452"/>
      <c r="E49" s="452"/>
      <c r="F49" s="453"/>
      <c r="G49" s="451" t="s">
        <v>43</v>
      </c>
      <c r="H49" s="452"/>
      <c r="I49" s="452"/>
      <c r="J49" s="452"/>
      <c r="K49" s="453"/>
      <c r="L49" s="457" t="s">
        <v>112</v>
      </c>
      <c r="M49" s="457"/>
      <c r="N49" s="457"/>
      <c r="O49" s="457"/>
      <c r="P49" s="457"/>
      <c r="Q49" s="457"/>
      <c r="R49" s="457"/>
      <c r="S49" s="457"/>
      <c r="U49" s="275"/>
    </row>
    <row r="50" spans="2:21" s="274" customFormat="1" ht="20.100000000000001" customHeight="1" thickBot="1" x14ac:dyDescent="0.3">
      <c r="B50" s="450"/>
      <c r="C50" s="454"/>
      <c r="D50" s="455"/>
      <c r="E50" s="455"/>
      <c r="F50" s="456"/>
      <c r="G50" s="454"/>
      <c r="H50" s="455"/>
      <c r="I50" s="455"/>
      <c r="J50" s="455"/>
      <c r="K50" s="456"/>
      <c r="L50" s="458" t="s">
        <v>70</v>
      </c>
      <c r="M50" s="458"/>
      <c r="N50" s="458" t="s">
        <v>71</v>
      </c>
      <c r="O50" s="458"/>
      <c r="P50" s="458" t="s">
        <v>72</v>
      </c>
      <c r="Q50" s="458"/>
      <c r="R50" s="458" t="s">
        <v>107</v>
      </c>
      <c r="S50" s="458"/>
      <c r="U50" s="275"/>
    </row>
    <row r="51" spans="2:21" ht="34.5" customHeight="1" thickTop="1" x14ac:dyDescent="0.25">
      <c r="B51" s="31">
        <v>1</v>
      </c>
      <c r="C51" s="508"/>
      <c r="D51" s="508"/>
      <c r="E51" s="508"/>
      <c r="F51" s="508"/>
      <c r="G51" s="509"/>
      <c r="H51" s="509"/>
      <c r="I51" s="509"/>
      <c r="J51" s="509"/>
      <c r="K51" s="509"/>
      <c r="L51" s="437"/>
      <c r="M51" s="437"/>
      <c r="N51" s="437"/>
      <c r="O51" s="437"/>
      <c r="P51" s="437"/>
      <c r="Q51" s="437"/>
      <c r="R51" s="437"/>
      <c r="S51" s="437"/>
      <c r="U51" s="18"/>
    </row>
    <row r="52" spans="2:21" ht="24.95" customHeight="1" x14ac:dyDescent="0.25">
      <c r="B52" s="262">
        <v>2</v>
      </c>
      <c r="C52" s="498"/>
      <c r="D52" s="498"/>
      <c r="E52" s="498"/>
      <c r="F52" s="498"/>
      <c r="G52" s="499"/>
      <c r="H52" s="499"/>
      <c r="I52" s="499"/>
      <c r="J52" s="499"/>
      <c r="K52" s="499"/>
      <c r="L52" s="497"/>
      <c r="M52" s="497"/>
      <c r="N52" s="497"/>
      <c r="O52" s="497"/>
      <c r="P52" s="497"/>
      <c r="Q52" s="497"/>
      <c r="R52" s="497"/>
      <c r="S52" s="497"/>
      <c r="U52" s="18"/>
    </row>
    <row r="53" spans="2:21" ht="24.95" customHeight="1" x14ac:dyDescent="0.25">
      <c r="B53" s="262">
        <v>3</v>
      </c>
      <c r="C53" s="498"/>
      <c r="D53" s="498"/>
      <c r="E53" s="498"/>
      <c r="F53" s="498"/>
      <c r="G53" s="499"/>
      <c r="H53" s="499"/>
      <c r="I53" s="499"/>
      <c r="J53" s="499"/>
      <c r="K53" s="499"/>
      <c r="L53" s="497"/>
      <c r="M53" s="497"/>
      <c r="N53" s="497"/>
      <c r="O53" s="497"/>
      <c r="P53" s="497"/>
      <c r="Q53" s="497"/>
      <c r="R53" s="497"/>
      <c r="S53" s="497"/>
      <c r="U53" s="18"/>
    </row>
    <row r="54" spans="2:21" ht="24.95" customHeight="1" x14ac:dyDescent="0.25">
      <c r="B54" s="262">
        <v>4</v>
      </c>
      <c r="C54" s="498"/>
      <c r="D54" s="498"/>
      <c r="E54" s="498"/>
      <c r="F54" s="498"/>
      <c r="G54" s="499"/>
      <c r="H54" s="499"/>
      <c r="I54" s="499"/>
      <c r="J54" s="499"/>
      <c r="K54" s="499"/>
      <c r="L54" s="497"/>
      <c r="M54" s="497"/>
      <c r="N54" s="497"/>
      <c r="O54" s="497"/>
      <c r="P54" s="497"/>
      <c r="Q54" s="497"/>
      <c r="R54" s="497"/>
      <c r="S54" s="497"/>
      <c r="U54" s="18"/>
    </row>
    <row r="55" spans="2:21" ht="24.95" customHeight="1" x14ac:dyDescent="0.25">
      <c r="B55" s="46" t="s">
        <v>146</v>
      </c>
      <c r="U55" s="18"/>
    </row>
    <row r="56" spans="2:21" s="25" customFormat="1" ht="20.100000000000001" customHeight="1" x14ac:dyDescent="0.25">
      <c r="B56" s="446" t="s">
        <v>77</v>
      </c>
      <c r="C56" s="448"/>
      <c r="D56" s="446" t="s">
        <v>76</v>
      </c>
      <c r="E56" s="447"/>
      <c r="F56" s="447"/>
      <c r="G56" s="448"/>
      <c r="H56" s="445" t="s">
        <v>106</v>
      </c>
      <c r="I56" s="445"/>
      <c r="J56" s="445"/>
      <c r="K56" s="445"/>
      <c r="L56" s="26"/>
      <c r="M56" s="26"/>
      <c r="N56" s="26"/>
      <c r="O56" s="26"/>
      <c r="P56" s="26"/>
      <c r="Q56" s="26"/>
      <c r="U56" s="47"/>
    </row>
    <row r="57" spans="2:21" s="25" customFormat="1" ht="17.100000000000001" customHeight="1" x14ac:dyDescent="0.25">
      <c r="B57" s="402" t="s">
        <v>78</v>
      </c>
      <c r="C57" s="403"/>
      <c r="D57" s="404" t="s">
        <v>85</v>
      </c>
      <c r="E57" s="405"/>
      <c r="F57" s="405"/>
      <c r="G57" s="406"/>
      <c r="H57" s="407" t="s">
        <v>111</v>
      </c>
      <c r="I57" s="407"/>
      <c r="J57" s="407"/>
      <c r="K57" s="407"/>
      <c r="L57" s="26"/>
      <c r="M57" s="26"/>
      <c r="N57" s="26"/>
      <c r="O57" s="408" t="s">
        <v>109</v>
      </c>
      <c r="P57" s="409"/>
      <c r="Q57" s="410"/>
      <c r="U57" s="47"/>
    </row>
    <row r="58" spans="2:21" s="25" customFormat="1" ht="17.100000000000001" customHeight="1" x14ac:dyDescent="0.2">
      <c r="B58" s="402" t="s">
        <v>79</v>
      </c>
      <c r="C58" s="403"/>
      <c r="D58" s="404" t="s">
        <v>85</v>
      </c>
      <c r="E58" s="405"/>
      <c r="F58" s="405"/>
      <c r="G58" s="406"/>
      <c r="H58" s="407"/>
      <c r="I58" s="407"/>
      <c r="J58" s="407"/>
      <c r="K58" s="407"/>
      <c r="L58" s="26"/>
      <c r="M58" s="26"/>
      <c r="N58" s="26"/>
      <c r="O58" s="411"/>
      <c r="P58" s="412"/>
      <c r="Q58" s="413"/>
      <c r="U58" s="47"/>
    </row>
    <row r="59" spans="2:21" s="25" customFormat="1" ht="17.100000000000001" customHeight="1" x14ac:dyDescent="0.25">
      <c r="B59" s="402" t="s">
        <v>80</v>
      </c>
      <c r="C59" s="403"/>
      <c r="D59" s="404" t="s">
        <v>85</v>
      </c>
      <c r="E59" s="405"/>
      <c r="F59" s="405"/>
      <c r="G59" s="406"/>
      <c r="H59" s="407"/>
      <c r="I59" s="407"/>
      <c r="J59" s="407"/>
      <c r="K59" s="407"/>
      <c r="L59" s="26"/>
      <c r="M59" s="26"/>
      <c r="N59" s="26"/>
      <c r="O59" s="502"/>
      <c r="P59" s="503"/>
      <c r="Q59" s="504"/>
      <c r="U59" s="47"/>
    </row>
    <row r="60" spans="2:21" s="25" customFormat="1" ht="17.100000000000001" customHeight="1" x14ac:dyDescent="0.2">
      <c r="B60" s="402" t="s">
        <v>81</v>
      </c>
      <c r="C60" s="403"/>
      <c r="D60" s="404" t="s">
        <v>86</v>
      </c>
      <c r="E60" s="405"/>
      <c r="F60" s="405"/>
      <c r="G60" s="406"/>
      <c r="H60" s="407"/>
      <c r="I60" s="407"/>
      <c r="J60" s="407"/>
      <c r="K60" s="407"/>
      <c r="L60" s="26"/>
      <c r="M60" s="26"/>
      <c r="N60" s="26"/>
      <c r="O60" s="505"/>
      <c r="P60" s="506"/>
      <c r="Q60" s="507"/>
      <c r="U60" s="47"/>
    </row>
    <row r="61" spans="2:21" s="25" customFormat="1" ht="17.100000000000001" customHeight="1" x14ac:dyDescent="0.25">
      <c r="B61" s="402" t="s">
        <v>82</v>
      </c>
      <c r="C61" s="403"/>
      <c r="D61" s="404" t="s">
        <v>86</v>
      </c>
      <c r="E61" s="405"/>
      <c r="F61" s="405"/>
      <c r="G61" s="406"/>
      <c r="H61" s="407"/>
      <c r="I61" s="407"/>
      <c r="J61" s="407"/>
      <c r="K61" s="407"/>
      <c r="L61" s="26"/>
      <c r="M61" s="26"/>
      <c r="N61" s="26"/>
      <c r="O61" s="69" t="s">
        <v>108</v>
      </c>
      <c r="P61" s="95"/>
      <c r="Q61" s="70"/>
      <c r="U61" s="47"/>
    </row>
    <row r="62" spans="2:21" s="25" customFormat="1" ht="17.100000000000001" customHeight="1" x14ac:dyDescent="0.25">
      <c r="B62" s="402" t="s">
        <v>83</v>
      </c>
      <c r="C62" s="403"/>
      <c r="D62" s="404" t="s">
        <v>87</v>
      </c>
      <c r="E62" s="405"/>
      <c r="F62" s="405"/>
      <c r="G62" s="406"/>
      <c r="H62" s="407"/>
      <c r="I62" s="407"/>
      <c r="J62" s="407"/>
      <c r="K62" s="407"/>
      <c r="L62" s="26"/>
      <c r="M62" s="26"/>
      <c r="N62" s="26"/>
      <c r="O62" s="69" t="s">
        <v>149</v>
      </c>
      <c r="P62" s="146"/>
      <c r="Q62" s="94"/>
      <c r="U62" s="47"/>
    </row>
    <row r="63" spans="2:21" s="25" customFormat="1" ht="17.100000000000001" customHeight="1" x14ac:dyDescent="0.25">
      <c r="B63" s="402" t="s">
        <v>84</v>
      </c>
      <c r="C63" s="403"/>
      <c r="D63" s="404" t="s">
        <v>87</v>
      </c>
      <c r="E63" s="405"/>
      <c r="F63" s="405"/>
      <c r="G63" s="406"/>
      <c r="H63" s="407"/>
      <c r="I63" s="407"/>
      <c r="J63" s="407"/>
      <c r="K63" s="407"/>
      <c r="L63" s="26"/>
      <c r="M63" s="26"/>
      <c r="N63" s="26"/>
      <c r="O63" s="26"/>
      <c r="P63" s="26"/>
      <c r="U63" s="47"/>
    </row>
    <row r="64" spans="2:21" s="25" customFormat="1" ht="9.9499999999999993" customHeight="1" thickBot="1" x14ac:dyDescent="0.3">
      <c r="B64" s="50"/>
      <c r="C64" s="36"/>
      <c r="D64" s="36"/>
      <c r="E64" s="36"/>
      <c r="F64" s="36"/>
      <c r="G64" s="37"/>
      <c r="H64" s="37"/>
      <c r="I64" s="37"/>
      <c r="J64" s="37"/>
      <c r="K64" s="37"/>
      <c r="L64" s="38"/>
      <c r="M64" s="38"/>
      <c r="N64" s="38"/>
      <c r="O64" s="38"/>
      <c r="P64" s="38"/>
      <c r="Q64" s="38"/>
      <c r="R64" s="39"/>
      <c r="S64" s="39"/>
      <c r="T64" s="39"/>
      <c r="U64" s="51"/>
    </row>
    <row r="65" spans="2:21" s="12" customFormat="1" ht="17.100000000000001" customHeight="1" thickTop="1" x14ac:dyDescent="0.25">
      <c r="B65" s="419" t="s">
        <v>131</v>
      </c>
      <c r="C65" s="420"/>
      <c r="D65" s="420"/>
      <c r="E65" s="420"/>
      <c r="F65" s="420"/>
      <c r="G65" s="420"/>
      <c r="H65" s="420"/>
      <c r="I65" s="420"/>
      <c r="J65" s="52"/>
      <c r="K65" s="52"/>
      <c r="L65" s="53"/>
      <c r="M65" s="53"/>
      <c r="N65" s="53"/>
      <c r="O65" s="53"/>
      <c r="P65" s="53"/>
      <c r="Q65" s="53"/>
      <c r="R65" s="430" t="s">
        <v>140</v>
      </c>
      <c r="S65" s="431"/>
      <c r="T65" s="431"/>
      <c r="U65" s="432"/>
    </row>
    <row r="66" spans="2:21" s="12" customFormat="1" ht="17.100000000000001" customHeight="1" x14ac:dyDescent="0.25">
      <c r="B66" s="421"/>
      <c r="C66" s="422"/>
      <c r="D66" s="422"/>
      <c r="E66" s="422"/>
      <c r="F66" s="422"/>
      <c r="G66" s="422"/>
      <c r="H66" s="422"/>
      <c r="I66" s="422"/>
      <c r="J66" s="52"/>
      <c r="K66" s="52"/>
      <c r="L66" s="53"/>
      <c r="M66" s="53"/>
      <c r="N66" s="53"/>
      <c r="O66" s="53"/>
      <c r="P66" s="53"/>
      <c r="Q66" s="53"/>
      <c r="R66" s="433" t="s">
        <v>132</v>
      </c>
      <c r="S66" s="433"/>
      <c r="T66" s="433"/>
      <c r="U66" s="433"/>
    </row>
    <row r="67" spans="2:21" s="274" customFormat="1" ht="17.100000000000001" customHeight="1" x14ac:dyDescent="0.25">
      <c r="B67" s="55" t="s">
        <v>119</v>
      </c>
      <c r="C67" s="434" t="s">
        <v>120</v>
      </c>
      <c r="D67" s="435"/>
      <c r="E67" s="435"/>
      <c r="F67" s="435"/>
      <c r="G67" s="435"/>
      <c r="H67" s="435"/>
      <c r="I67" s="435"/>
      <c r="J67" s="435"/>
      <c r="K67" s="436"/>
      <c r="L67" s="55" t="s">
        <v>127</v>
      </c>
      <c r="M67" s="434" t="s">
        <v>133</v>
      </c>
      <c r="N67" s="435"/>
      <c r="O67" s="435"/>
      <c r="P67" s="435"/>
      <c r="Q67" s="436"/>
      <c r="R67" s="433" t="s">
        <v>142</v>
      </c>
      <c r="S67" s="433"/>
      <c r="T67" s="433" t="s">
        <v>143</v>
      </c>
      <c r="U67" s="433"/>
    </row>
    <row r="68" spans="2:21" s="12" customFormat="1" ht="17.100000000000001" customHeight="1" x14ac:dyDescent="0.25">
      <c r="B68" s="262">
        <v>1</v>
      </c>
      <c r="C68" s="414" t="s">
        <v>121</v>
      </c>
      <c r="D68" s="415"/>
      <c r="E68" s="415"/>
      <c r="F68" s="415"/>
      <c r="G68" s="415"/>
      <c r="H68" s="415"/>
      <c r="I68" s="415"/>
      <c r="J68" s="415"/>
      <c r="K68" s="416"/>
      <c r="L68" s="262" t="s">
        <v>128</v>
      </c>
      <c r="M68" s="417" t="s">
        <v>136</v>
      </c>
      <c r="N68" s="418"/>
      <c r="O68" s="418"/>
      <c r="P68" s="418"/>
      <c r="Q68" s="418"/>
      <c r="R68" s="423">
        <f>+C13-15</f>
        <v>45515</v>
      </c>
      <c r="S68" s="424"/>
      <c r="T68" s="423"/>
      <c r="U68" s="423"/>
    </row>
    <row r="69" spans="2:21" s="12" customFormat="1" ht="17.100000000000001" customHeight="1" x14ac:dyDescent="0.25">
      <c r="B69" s="262">
        <v>2</v>
      </c>
      <c r="C69" s="414" t="s">
        <v>122</v>
      </c>
      <c r="D69" s="415"/>
      <c r="E69" s="415"/>
      <c r="F69" s="415"/>
      <c r="G69" s="415"/>
      <c r="H69" s="415"/>
      <c r="I69" s="415"/>
      <c r="J69" s="415"/>
      <c r="K69" s="416"/>
      <c r="L69" s="262" t="s">
        <v>129</v>
      </c>
      <c r="M69" s="417" t="s">
        <v>135</v>
      </c>
      <c r="N69" s="418"/>
      <c r="O69" s="418"/>
      <c r="P69" s="418"/>
      <c r="Q69" s="418"/>
      <c r="R69" s="423">
        <f>+C13-13</f>
        <v>45517</v>
      </c>
      <c r="S69" s="424"/>
      <c r="T69" s="423"/>
      <c r="U69" s="423"/>
    </row>
    <row r="70" spans="2:21" s="12" customFormat="1" ht="17.100000000000001" customHeight="1" x14ac:dyDescent="0.25">
      <c r="B70" s="262">
        <v>3</v>
      </c>
      <c r="C70" s="414" t="s">
        <v>147</v>
      </c>
      <c r="D70" s="415"/>
      <c r="E70" s="415"/>
      <c r="F70" s="415"/>
      <c r="G70" s="415"/>
      <c r="H70" s="415"/>
      <c r="I70" s="415"/>
      <c r="J70" s="415"/>
      <c r="K70" s="416"/>
      <c r="L70" s="262" t="s">
        <v>128</v>
      </c>
      <c r="M70" s="417" t="s">
        <v>134</v>
      </c>
      <c r="N70" s="418"/>
      <c r="O70" s="418"/>
      <c r="P70" s="418"/>
      <c r="Q70" s="418"/>
      <c r="R70" s="423">
        <f>+C13-10</f>
        <v>45520</v>
      </c>
      <c r="S70" s="424"/>
      <c r="T70" s="423"/>
      <c r="U70" s="423"/>
    </row>
    <row r="71" spans="2:21" s="12" customFormat="1" ht="17.100000000000001" customHeight="1" x14ac:dyDescent="0.25">
      <c r="B71" s="262">
        <v>4</v>
      </c>
      <c r="C71" s="414" t="s">
        <v>123</v>
      </c>
      <c r="D71" s="415"/>
      <c r="E71" s="415"/>
      <c r="F71" s="415"/>
      <c r="G71" s="415"/>
      <c r="H71" s="415"/>
      <c r="I71" s="415"/>
      <c r="J71" s="415"/>
      <c r="K71" s="416"/>
      <c r="L71" s="262" t="s">
        <v>129</v>
      </c>
      <c r="M71" s="417" t="s">
        <v>139</v>
      </c>
      <c r="N71" s="418"/>
      <c r="O71" s="418"/>
      <c r="P71" s="418"/>
      <c r="Q71" s="418"/>
      <c r="R71" s="423">
        <f>+C13-8</f>
        <v>45522</v>
      </c>
      <c r="S71" s="424"/>
      <c r="T71" s="423"/>
      <c r="U71" s="423"/>
    </row>
    <row r="72" spans="2:21" s="12" customFormat="1" ht="17.100000000000001" customHeight="1" x14ac:dyDescent="0.25">
      <c r="B72" s="262">
        <v>5</v>
      </c>
      <c r="C72" s="414" t="s">
        <v>124</v>
      </c>
      <c r="D72" s="415"/>
      <c r="E72" s="415"/>
      <c r="F72" s="415"/>
      <c r="G72" s="415"/>
      <c r="H72" s="415"/>
      <c r="I72" s="415"/>
      <c r="J72" s="415"/>
      <c r="K72" s="416"/>
      <c r="L72" s="262" t="s">
        <v>128</v>
      </c>
      <c r="M72" s="417" t="s">
        <v>179</v>
      </c>
      <c r="N72" s="418"/>
      <c r="O72" s="418"/>
      <c r="P72" s="418"/>
      <c r="Q72" s="418"/>
      <c r="R72" s="429">
        <v>45495</v>
      </c>
      <c r="S72" s="429"/>
      <c r="T72" s="423"/>
      <c r="U72" s="423"/>
    </row>
    <row r="73" spans="2:21" s="12" customFormat="1" ht="17.100000000000001" customHeight="1" x14ac:dyDescent="0.25">
      <c r="B73" s="262">
        <v>6</v>
      </c>
      <c r="C73" s="414" t="s">
        <v>125</v>
      </c>
      <c r="D73" s="415"/>
      <c r="E73" s="415"/>
      <c r="F73" s="415"/>
      <c r="G73" s="415"/>
      <c r="H73" s="415"/>
      <c r="I73" s="415"/>
      <c r="J73" s="415"/>
      <c r="K73" s="416"/>
      <c r="L73" s="262" t="s">
        <v>128</v>
      </c>
      <c r="M73" s="417" t="s">
        <v>150</v>
      </c>
      <c r="N73" s="418"/>
      <c r="O73" s="418"/>
      <c r="P73" s="418"/>
      <c r="Q73" s="418"/>
      <c r="R73" s="423">
        <f>+R71+7</f>
        <v>45529</v>
      </c>
      <c r="S73" s="424"/>
      <c r="T73" s="423"/>
      <c r="U73" s="423"/>
    </row>
    <row r="74" spans="2:21" s="12" customFormat="1" ht="17.100000000000001" customHeight="1" x14ac:dyDescent="0.25">
      <c r="B74" s="262">
        <v>7</v>
      </c>
      <c r="C74" s="414" t="s">
        <v>130</v>
      </c>
      <c r="D74" s="415"/>
      <c r="E74" s="415"/>
      <c r="F74" s="415"/>
      <c r="G74" s="415"/>
      <c r="H74" s="415"/>
      <c r="I74" s="415"/>
      <c r="J74" s="415"/>
      <c r="K74" s="416"/>
      <c r="L74" s="262" t="s">
        <v>129</v>
      </c>
      <c r="M74" s="417" t="s">
        <v>138</v>
      </c>
      <c r="N74" s="418"/>
      <c r="O74" s="418"/>
      <c r="P74" s="418"/>
      <c r="Q74" s="418"/>
      <c r="R74" s="423">
        <f>+C13-7</f>
        <v>45523</v>
      </c>
      <c r="S74" s="424"/>
      <c r="T74" s="423"/>
      <c r="U74" s="423"/>
    </row>
    <row r="75" spans="2:21" s="12" customFormat="1" ht="17.100000000000001" customHeight="1" x14ac:dyDescent="0.25">
      <c r="B75" s="262">
        <v>8</v>
      </c>
      <c r="C75" s="414" t="s">
        <v>126</v>
      </c>
      <c r="D75" s="415"/>
      <c r="E75" s="415"/>
      <c r="F75" s="415"/>
      <c r="G75" s="415"/>
      <c r="H75" s="415"/>
      <c r="I75" s="415"/>
      <c r="J75" s="415"/>
      <c r="K75" s="416"/>
      <c r="L75" s="262" t="s">
        <v>129</v>
      </c>
      <c r="M75" s="417" t="s">
        <v>137</v>
      </c>
      <c r="N75" s="418"/>
      <c r="O75" s="418"/>
      <c r="P75" s="418"/>
      <c r="Q75" s="418"/>
      <c r="R75" s="423">
        <f>+C13-1</f>
        <v>45529</v>
      </c>
      <c r="S75" s="424"/>
      <c r="T75" s="423"/>
      <c r="U75" s="423"/>
    </row>
    <row r="76" spans="2:21" s="12" customFormat="1" ht="17.100000000000001" customHeight="1" x14ac:dyDescent="0.25">
      <c r="B76" s="262">
        <v>9</v>
      </c>
      <c r="C76" s="414" t="s">
        <v>141</v>
      </c>
      <c r="D76" s="415"/>
      <c r="E76" s="415"/>
      <c r="F76" s="415"/>
      <c r="G76" s="415"/>
      <c r="H76" s="415"/>
      <c r="I76" s="415"/>
      <c r="J76" s="415"/>
      <c r="K76" s="416"/>
      <c r="L76" s="262" t="s">
        <v>129</v>
      </c>
      <c r="M76" s="417" t="s">
        <v>137</v>
      </c>
      <c r="N76" s="418"/>
      <c r="O76" s="418"/>
      <c r="P76" s="418"/>
      <c r="Q76" s="418"/>
      <c r="R76" s="423">
        <f>+C13-1</f>
        <v>45529</v>
      </c>
      <c r="S76" s="424"/>
      <c r="T76" s="423"/>
      <c r="U76" s="423"/>
    </row>
    <row r="77" spans="2:21" s="12" customFormat="1" ht="17.100000000000001" customHeight="1" x14ac:dyDescent="0.25">
      <c r="B77" s="54"/>
      <c r="C77" s="52"/>
      <c r="D77" s="52"/>
      <c r="E77" s="52"/>
      <c r="F77" s="52"/>
      <c r="G77" s="52"/>
      <c r="H77" s="52"/>
      <c r="I77" s="52"/>
      <c r="J77" s="52"/>
      <c r="K77" s="52"/>
      <c r="L77" s="53"/>
      <c r="M77" s="53"/>
      <c r="N77" s="53"/>
      <c r="O77" s="53"/>
      <c r="P77" s="53"/>
      <c r="Q77" s="53"/>
      <c r="U77" s="45"/>
    </row>
    <row r="78" spans="2:21" s="11" customFormat="1" ht="15" customHeight="1" x14ac:dyDescent="0.25">
      <c r="B78" s="511" t="s">
        <v>104</v>
      </c>
      <c r="C78" s="512"/>
      <c r="D78" s="512"/>
      <c r="E78" s="512"/>
      <c r="F78" s="513"/>
      <c r="G78" s="520"/>
      <c r="H78" s="523" t="s">
        <v>105</v>
      </c>
      <c r="I78" s="524"/>
      <c r="J78" s="24"/>
      <c r="K78" s="425"/>
      <c r="L78" s="427"/>
      <c r="M78" s="427"/>
      <c r="N78" s="426"/>
      <c r="O78" s="425"/>
      <c r="P78" s="426"/>
      <c r="Q78" s="24"/>
      <c r="R78" s="24"/>
      <c r="S78" s="425"/>
      <c r="T78" s="426"/>
      <c r="U78" s="24"/>
    </row>
    <row r="79" spans="2:21" s="11" customFormat="1" ht="15" customHeight="1" x14ac:dyDescent="0.25">
      <c r="B79" s="514"/>
      <c r="C79" s="515"/>
      <c r="D79" s="515"/>
      <c r="E79" s="515"/>
      <c r="F79" s="516"/>
      <c r="G79" s="521"/>
      <c r="H79" s="525"/>
      <c r="I79" s="526"/>
      <c r="J79" s="24"/>
      <c r="K79" s="425"/>
      <c r="L79" s="427"/>
      <c r="M79" s="427"/>
      <c r="N79" s="426"/>
      <c r="O79" s="425"/>
      <c r="P79" s="426"/>
      <c r="Q79" s="24"/>
      <c r="R79" s="24"/>
      <c r="S79" s="425"/>
      <c r="T79" s="426"/>
      <c r="U79" s="24"/>
    </row>
    <row r="80" spans="2:21" s="11" customFormat="1" ht="15" customHeight="1" x14ac:dyDescent="0.25">
      <c r="B80" s="514"/>
      <c r="C80" s="515"/>
      <c r="D80" s="515"/>
      <c r="E80" s="515"/>
      <c r="F80" s="516"/>
      <c r="G80" s="521"/>
      <c r="H80" s="525"/>
      <c r="I80" s="526"/>
      <c r="J80" s="24"/>
      <c r="K80" s="267"/>
      <c r="L80" s="269"/>
      <c r="M80" s="269"/>
      <c r="N80" s="268"/>
      <c r="O80" s="267"/>
      <c r="P80" s="268"/>
      <c r="Q80" s="24"/>
      <c r="R80" s="24"/>
      <c r="S80" s="267"/>
      <c r="T80" s="268"/>
      <c r="U80" s="24"/>
    </row>
    <row r="81" spans="2:21" s="11" customFormat="1" ht="15" customHeight="1" x14ac:dyDescent="0.25">
      <c r="B81" s="514"/>
      <c r="C81" s="515"/>
      <c r="D81" s="515"/>
      <c r="E81" s="515"/>
      <c r="F81" s="516"/>
      <c r="G81" s="521"/>
      <c r="H81" s="525"/>
      <c r="I81" s="526"/>
      <c r="J81" s="24"/>
      <c r="K81" s="425"/>
      <c r="L81" s="427"/>
      <c r="M81" s="427"/>
      <c r="N81" s="426"/>
      <c r="O81" s="425"/>
      <c r="P81" s="426"/>
      <c r="Q81" s="24"/>
      <c r="R81" s="24"/>
      <c r="S81" s="425"/>
      <c r="T81" s="426"/>
      <c r="U81" s="24"/>
    </row>
    <row r="82" spans="2:21" s="11" customFormat="1" ht="15" customHeight="1" x14ac:dyDescent="0.25">
      <c r="B82" s="514"/>
      <c r="C82" s="515"/>
      <c r="D82" s="515"/>
      <c r="E82" s="515"/>
      <c r="F82" s="516"/>
      <c r="G82" s="521"/>
      <c r="H82" s="525"/>
      <c r="I82" s="526"/>
      <c r="J82" s="24">
        <v>0</v>
      </c>
      <c r="K82" s="425" t="s">
        <v>103</v>
      </c>
      <c r="L82" s="427"/>
      <c r="M82" s="427"/>
      <c r="N82" s="426"/>
      <c r="O82" s="428">
        <v>45112</v>
      </c>
      <c r="P82" s="426"/>
      <c r="Q82" s="24" t="s">
        <v>46</v>
      </c>
      <c r="R82" s="24" t="s">
        <v>7</v>
      </c>
      <c r="S82" s="425" t="s">
        <v>7</v>
      </c>
      <c r="T82" s="426"/>
      <c r="U82" s="24" t="s">
        <v>7</v>
      </c>
    </row>
    <row r="83" spans="2:21" s="3" customFormat="1" ht="15" customHeight="1" x14ac:dyDescent="0.25">
      <c r="B83" s="517"/>
      <c r="C83" s="518"/>
      <c r="D83" s="518"/>
      <c r="E83" s="518"/>
      <c r="F83" s="519"/>
      <c r="G83" s="522"/>
      <c r="H83" s="527"/>
      <c r="I83" s="528"/>
      <c r="J83" s="29" t="s">
        <v>102</v>
      </c>
      <c r="K83" s="500" t="s">
        <v>101</v>
      </c>
      <c r="L83" s="510"/>
      <c r="M83" s="510"/>
      <c r="N83" s="501"/>
      <c r="O83" s="500" t="s">
        <v>5</v>
      </c>
      <c r="P83" s="501"/>
      <c r="Q83" s="29" t="s">
        <v>98</v>
      </c>
      <c r="R83" s="29" t="s">
        <v>99</v>
      </c>
      <c r="S83" s="500" t="s">
        <v>100</v>
      </c>
      <c r="T83" s="501"/>
      <c r="U83" s="29" t="s">
        <v>98</v>
      </c>
    </row>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row r="89" spans="2:21" ht="20.100000000000001" customHeight="1" x14ac:dyDescent="0.25"/>
  </sheetData>
  <mergeCells count="251">
    <mergeCell ref="I12:J12"/>
    <mergeCell ref="K13:L13"/>
    <mergeCell ref="Y12:Z12"/>
    <mergeCell ref="E21:F21"/>
    <mergeCell ref="G13:H13"/>
    <mergeCell ref="K12:L12"/>
    <mergeCell ref="M12:Q12"/>
    <mergeCell ref="I13:J13"/>
    <mergeCell ref="T21:U21"/>
    <mergeCell ref="D14:E14"/>
    <mergeCell ref="G14:H14"/>
    <mergeCell ref="I14:J14"/>
    <mergeCell ref="K14:L14"/>
    <mergeCell ref="C20:D20"/>
    <mergeCell ref="E20:F20"/>
    <mergeCell ref="L20:M20"/>
    <mergeCell ref="C21:D21"/>
    <mergeCell ref="L21:M21"/>
    <mergeCell ref="T2:U2"/>
    <mergeCell ref="R6:S6"/>
    <mergeCell ref="R2:S2"/>
    <mergeCell ref="P6:Q6"/>
    <mergeCell ref="P2:Q2"/>
    <mergeCell ref="N6:O6"/>
    <mergeCell ref="R21:S21"/>
    <mergeCell ref="P21:Q21"/>
    <mergeCell ref="T6:U6"/>
    <mergeCell ref="N3:U5"/>
    <mergeCell ref="N2:O2"/>
    <mergeCell ref="N21:O21"/>
    <mergeCell ref="N20:O20"/>
    <mergeCell ref="P20:Q20"/>
    <mergeCell ref="R20:S20"/>
    <mergeCell ref="T20:U20"/>
    <mergeCell ref="B3:H6"/>
    <mergeCell ref="G12:H12"/>
    <mergeCell ref="D13:E13"/>
    <mergeCell ref="C12:F12"/>
    <mergeCell ref="C29:I29"/>
    <mergeCell ref="C34:I34"/>
    <mergeCell ref="J31:L31"/>
    <mergeCell ref="J32:L32"/>
    <mergeCell ref="P30:R30"/>
    <mergeCell ref="J33:L33"/>
    <mergeCell ref="J34:L34"/>
    <mergeCell ref="C30:I30"/>
    <mergeCell ref="C31:I31"/>
    <mergeCell ref="C32:I32"/>
    <mergeCell ref="C33:I33"/>
    <mergeCell ref="J29:L29"/>
    <mergeCell ref="M29:O29"/>
    <mergeCell ref="P29:R29"/>
    <mergeCell ref="P31:R31"/>
    <mergeCell ref="P32:R32"/>
    <mergeCell ref="P33:R33"/>
    <mergeCell ref="P34:R34"/>
    <mergeCell ref="M30:O30"/>
    <mergeCell ref="M31:O31"/>
    <mergeCell ref="S83:T83"/>
    <mergeCell ref="K81:N81"/>
    <mergeCell ref="K83:N83"/>
    <mergeCell ref="B78:F83"/>
    <mergeCell ref="G78:G83"/>
    <mergeCell ref="H78:I83"/>
    <mergeCell ref="K78:N78"/>
    <mergeCell ref="O78:P78"/>
    <mergeCell ref="S78:T78"/>
    <mergeCell ref="K79:N79"/>
    <mergeCell ref="O79:P79"/>
    <mergeCell ref="O81:P81"/>
    <mergeCell ref="G54:K54"/>
    <mergeCell ref="B44:C44"/>
    <mergeCell ref="H46:J46"/>
    <mergeCell ref="L52:M52"/>
    <mergeCell ref="N52:O52"/>
    <mergeCell ref="M32:O32"/>
    <mergeCell ref="M33:O33"/>
    <mergeCell ref="O83:P83"/>
    <mergeCell ref="O59:Q59"/>
    <mergeCell ref="O60:Q60"/>
    <mergeCell ref="D58:G58"/>
    <mergeCell ref="C74:K74"/>
    <mergeCell ref="D62:G62"/>
    <mergeCell ref="C71:K71"/>
    <mergeCell ref="B58:C58"/>
    <mergeCell ref="B59:C59"/>
    <mergeCell ref="M34:O34"/>
    <mergeCell ref="M35:O35"/>
    <mergeCell ref="P42:R42"/>
    <mergeCell ref="M42:O42"/>
    <mergeCell ref="J39:L39"/>
    <mergeCell ref="C51:F51"/>
    <mergeCell ref="G51:K51"/>
    <mergeCell ref="L51:M51"/>
    <mergeCell ref="R69:S69"/>
    <mergeCell ref="T69:U69"/>
    <mergeCell ref="P52:Q52"/>
    <mergeCell ref="D59:G59"/>
    <mergeCell ref="D60:G60"/>
    <mergeCell ref="P53:Q53"/>
    <mergeCell ref="P54:Q54"/>
    <mergeCell ref="R52:S52"/>
    <mergeCell ref="R53:S53"/>
    <mergeCell ref="R54:S54"/>
    <mergeCell ref="C53:F53"/>
    <mergeCell ref="C52:F52"/>
    <mergeCell ref="G52:K52"/>
    <mergeCell ref="B56:C56"/>
    <mergeCell ref="D56:G56"/>
    <mergeCell ref="H56:K56"/>
    <mergeCell ref="B60:C60"/>
    <mergeCell ref="B61:C61"/>
    <mergeCell ref="L53:M53"/>
    <mergeCell ref="L54:M54"/>
    <mergeCell ref="N53:O53"/>
    <mergeCell ref="N54:O54"/>
    <mergeCell ref="C54:F54"/>
    <mergeCell ref="G53:K53"/>
    <mergeCell ref="J30:L30"/>
    <mergeCell ref="P36:R36"/>
    <mergeCell ref="P37:R37"/>
    <mergeCell ref="P38:R38"/>
    <mergeCell ref="C35:I35"/>
    <mergeCell ref="J35:L35"/>
    <mergeCell ref="P35:R35"/>
    <mergeCell ref="C38:I38"/>
    <mergeCell ref="J36:L36"/>
    <mergeCell ref="J37:L37"/>
    <mergeCell ref="J38:L38"/>
    <mergeCell ref="M36:O36"/>
    <mergeCell ref="M38:O38"/>
    <mergeCell ref="B18:B19"/>
    <mergeCell ref="C18:D19"/>
    <mergeCell ref="E18:G18"/>
    <mergeCell ref="H18:I18"/>
    <mergeCell ref="K18:K19"/>
    <mergeCell ref="L18:M19"/>
    <mergeCell ref="N18:Q18"/>
    <mergeCell ref="R18:U18"/>
    <mergeCell ref="E19:F19"/>
    <mergeCell ref="N19:O19"/>
    <mergeCell ref="P19:Q19"/>
    <mergeCell ref="R19:S19"/>
    <mergeCell ref="T19:U19"/>
    <mergeCell ref="B24:B25"/>
    <mergeCell ref="C24:F25"/>
    <mergeCell ref="G24:H25"/>
    <mergeCell ref="I24:I25"/>
    <mergeCell ref="J24:M24"/>
    <mergeCell ref="N24:U25"/>
    <mergeCell ref="J25:K25"/>
    <mergeCell ref="L25:M25"/>
    <mergeCell ref="D26:E26"/>
    <mergeCell ref="G26:H26"/>
    <mergeCell ref="J26:K26"/>
    <mergeCell ref="L26:M26"/>
    <mergeCell ref="N26:U26"/>
    <mergeCell ref="C28:I28"/>
    <mergeCell ref="J28:L28"/>
    <mergeCell ref="M28:O28"/>
    <mergeCell ref="P28:R28"/>
    <mergeCell ref="M37:O37"/>
    <mergeCell ref="C36:I36"/>
    <mergeCell ref="C37:I37"/>
    <mergeCell ref="B49:B50"/>
    <mergeCell ref="C49:F50"/>
    <mergeCell ref="G49:K50"/>
    <mergeCell ref="L49:S49"/>
    <mergeCell ref="L50:M50"/>
    <mergeCell ref="N50:O50"/>
    <mergeCell ref="P50:Q50"/>
    <mergeCell ref="R50:S50"/>
    <mergeCell ref="D44:G44"/>
    <mergeCell ref="H44:J44"/>
    <mergeCell ref="K44:O44"/>
    <mergeCell ref="B45:C45"/>
    <mergeCell ref="D45:G45"/>
    <mergeCell ref="H45:J45"/>
    <mergeCell ref="K45:O45"/>
    <mergeCell ref="J41:L41"/>
    <mergeCell ref="P39:R39"/>
    <mergeCell ref="N51:O51"/>
    <mergeCell ref="P51:Q51"/>
    <mergeCell ref="R51:S51"/>
    <mergeCell ref="P40:R40"/>
    <mergeCell ref="P41:R41"/>
    <mergeCell ref="C41:I41"/>
    <mergeCell ref="J40:L40"/>
    <mergeCell ref="C39:I39"/>
    <mergeCell ref="C40:I40"/>
    <mergeCell ref="C42:I42"/>
    <mergeCell ref="M39:O39"/>
    <mergeCell ref="M40:O40"/>
    <mergeCell ref="M41:O41"/>
    <mergeCell ref="K46:O46"/>
    <mergeCell ref="J42:L42"/>
    <mergeCell ref="D46:G46"/>
    <mergeCell ref="B46:C46"/>
    <mergeCell ref="R65:U65"/>
    <mergeCell ref="R66:U66"/>
    <mergeCell ref="C67:K67"/>
    <mergeCell ref="M67:Q67"/>
    <mergeCell ref="R67:S67"/>
    <mergeCell ref="T67:U67"/>
    <mergeCell ref="C68:K68"/>
    <mergeCell ref="M68:Q68"/>
    <mergeCell ref="R68:S68"/>
    <mergeCell ref="T68:U68"/>
    <mergeCell ref="T74:U74"/>
    <mergeCell ref="T75:U75"/>
    <mergeCell ref="M70:Q70"/>
    <mergeCell ref="M71:Q71"/>
    <mergeCell ref="R74:S74"/>
    <mergeCell ref="R75:S75"/>
    <mergeCell ref="S79:T79"/>
    <mergeCell ref="K82:N82"/>
    <mergeCell ref="O82:P82"/>
    <mergeCell ref="S82:T82"/>
    <mergeCell ref="T72:U72"/>
    <mergeCell ref="T73:U73"/>
    <mergeCell ref="T70:U70"/>
    <mergeCell ref="T71:U71"/>
    <mergeCell ref="R76:S76"/>
    <mergeCell ref="T76:U76"/>
    <mergeCell ref="C70:K70"/>
    <mergeCell ref="M75:Q75"/>
    <mergeCell ref="M76:Q76"/>
    <mergeCell ref="R70:S70"/>
    <mergeCell ref="R71:S71"/>
    <mergeCell ref="R72:S72"/>
    <mergeCell ref="R73:S73"/>
    <mergeCell ref="S81:T81"/>
    <mergeCell ref="B57:C57"/>
    <mergeCell ref="D57:G57"/>
    <mergeCell ref="H57:K63"/>
    <mergeCell ref="O57:Q57"/>
    <mergeCell ref="O58:Q58"/>
    <mergeCell ref="C76:K76"/>
    <mergeCell ref="C72:K72"/>
    <mergeCell ref="C73:K73"/>
    <mergeCell ref="M69:Q69"/>
    <mergeCell ref="M72:Q72"/>
    <mergeCell ref="M73:Q73"/>
    <mergeCell ref="D63:G63"/>
    <mergeCell ref="B63:C63"/>
    <mergeCell ref="C69:K69"/>
    <mergeCell ref="M74:Q74"/>
    <mergeCell ref="D61:G61"/>
    <mergeCell ref="B62:C62"/>
    <mergeCell ref="C75:K75"/>
    <mergeCell ref="B65:I66"/>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C2DA2-E5FA-49FC-AF2F-F9737C1A8D61}">
  <dimension ref="B1:U82"/>
  <sheetViews>
    <sheetView showGridLines="0" tabSelected="1" view="pageBreakPreview" topLeftCell="A46" zoomScale="85" zoomScaleNormal="85" zoomScaleSheetLayoutView="85" workbookViewId="0">
      <selection activeCell="L68" sqref="L68"/>
    </sheetView>
  </sheetViews>
  <sheetFormatPr defaultRowHeight="15" x14ac:dyDescent="0.25"/>
  <cols>
    <col min="1" max="1" width="1.7109375" style="1" customWidth="1"/>
    <col min="2" max="2" width="7.7109375" style="1" customWidth="1"/>
    <col min="3" max="5" width="12.7109375" style="2" customWidth="1"/>
    <col min="6" max="6" width="12.7109375" style="318" customWidth="1"/>
    <col min="7" max="7" width="3.7109375" style="318" customWidth="1"/>
    <col min="8" max="10" width="15.7109375" style="318" customWidth="1"/>
    <col min="11" max="16" width="15.7109375" style="1" customWidth="1"/>
    <col min="17" max="18" width="1.7109375" style="1" customWidth="1"/>
    <col min="19" max="19" width="15.7109375" style="1" customWidth="1"/>
    <col min="20" max="20" width="15.7109375" style="879" customWidth="1"/>
    <col min="21" max="48" width="15.7109375" style="1" customWidth="1"/>
    <col min="49" max="16384" width="9.140625" style="1"/>
  </cols>
  <sheetData>
    <row r="1" spans="2:20" x14ac:dyDescent="0.25">
      <c r="Q1" s="86" t="s">
        <v>110</v>
      </c>
    </row>
    <row r="2" spans="2:20" ht="15" customHeight="1" x14ac:dyDescent="0.25">
      <c r="B2" s="74" t="s">
        <v>38</v>
      </c>
      <c r="C2" s="298"/>
      <c r="D2" s="298"/>
      <c r="E2" s="298"/>
      <c r="F2" s="319"/>
      <c r="G2" s="319"/>
      <c r="H2" s="378" t="s">
        <v>52</v>
      </c>
      <c r="I2" s="379" t="s">
        <v>53</v>
      </c>
      <c r="J2" s="78" t="s">
        <v>158</v>
      </c>
      <c r="K2" s="78"/>
      <c r="L2" s="79"/>
      <c r="M2" s="4" t="s">
        <v>58</v>
      </c>
      <c r="N2" s="4" t="s">
        <v>57</v>
      </c>
      <c r="O2" s="4" t="s">
        <v>45</v>
      </c>
      <c r="P2" s="541" t="s">
        <v>44</v>
      </c>
      <c r="Q2" s="542"/>
    </row>
    <row r="3" spans="2:20" ht="15" customHeight="1" x14ac:dyDescent="0.25">
      <c r="B3" s="585" t="s">
        <v>159</v>
      </c>
      <c r="C3" s="586"/>
      <c r="D3" s="586"/>
      <c r="E3" s="586"/>
      <c r="F3" s="586"/>
      <c r="G3" s="586"/>
      <c r="H3" s="587"/>
      <c r="I3" s="380" t="s">
        <v>5</v>
      </c>
      <c r="J3" s="81" t="s">
        <v>180</v>
      </c>
      <c r="K3" s="81"/>
      <c r="L3" s="82"/>
      <c r="M3" s="544" t="s">
        <v>152</v>
      </c>
      <c r="N3" s="545"/>
      <c r="O3" s="545"/>
      <c r="P3" s="545"/>
      <c r="Q3" s="546"/>
    </row>
    <row r="4" spans="2:20" ht="15" customHeight="1" x14ac:dyDescent="0.25">
      <c r="B4" s="588"/>
      <c r="C4" s="589"/>
      <c r="D4" s="589"/>
      <c r="E4" s="589"/>
      <c r="F4" s="589"/>
      <c r="G4" s="589"/>
      <c r="H4" s="590"/>
      <c r="I4" s="380" t="s">
        <v>54</v>
      </c>
      <c r="J4" s="81" t="s">
        <v>157</v>
      </c>
      <c r="K4" s="81"/>
      <c r="L4" s="82"/>
      <c r="M4" s="547"/>
      <c r="N4" s="563"/>
      <c r="O4" s="563"/>
      <c r="P4" s="563"/>
      <c r="Q4" s="549"/>
    </row>
    <row r="5" spans="2:20" ht="15" customHeight="1" x14ac:dyDescent="0.25">
      <c r="B5" s="588"/>
      <c r="C5" s="589"/>
      <c r="D5" s="589"/>
      <c r="E5" s="589"/>
      <c r="F5" s="589"/>
      <c r="G5" s="589"/>
      <c r="H5" s="590"/>
      <c r="I5" s="380" t="s">
        <v>153</v>
      </c>
      <c r="J5" s="81" t="s">
        <v>195</v>
      </c>
      <c r="K5" s="81"/>
      <c r="L5" s="82"/>
      <c r="M5" s="550"/>
      <c r="N5" s="551"/>
      <c r="O5" s="551"/>
      <c r="P5" s="551"/>
      <c r="Q5" s="552"/>
    </row>
    <row r="6" spans="2:20" ht="15" customHeight="1" x14ac:dyDescent="0.25">
      <c r="B6" s="591"/>
      <c r="C6" s="592"/>
      <c r="D6" s="592"/>
      <c r="E6" s="592"/>
      <c r="F6" s="592"/>
      <c r="G6" s="592"/>
      <c r="H6" s="593"/>
      <c r="I6" s="381" t="s">
        <v>56</v>
      </c>
      <c r="J6" s="96" t="s">
        <v>181</v>
      </c>
      <c r="K6" s="96"/>
      <c r="L6" s="85"/>
      <c r="M6" s="98" t="s">
        <v>59</v>
      </c>
      <c r="N6" s="98" t="s">
        <v>48</v>
      </c>
      <c r="O6" s="98" t="s">
        <v>47</v>
      </c>
      <c r="P6" s="541" t="s">
        <v>167</v>
      </c>
      <c r="Q6" s="542"/>
    </row>
    <row r="7" spans="2:20" ht="9.9499999999999993" customHeight="1" x14ac:dyDescent="0.25">
      <c r="B7" s="90"/>
      <c r="C7" s="17"/>
      <c r="D7" s="17"/>
      <c r="E7" s="17"/>
      <c r="F7" s="320"/>
      <c r="G7" s="320"/>
      <c r="H7" s="320"/>
      <c r="I7" s="320"/>
      <c r="J7" s="320"/>
      <c r="K7" s="66"/>
      <c r="L7" s="66"/>
      <c r="M7" s="66"/>
      <c r="N7" s="66"/>
      <c r="O7" s="66"/>
      <c r="P7" s="66"/>
      <c r="Q7" s="71"/>
    </row>
    <row r="8" spans="2:20" ht="24.95" customHeight="1" x14ac:dyDescent="0.25">
      <c r="B8" s="597" t="s">
        <v>168</v>
      </c>
      <c r="C8" s="598"/>
      <c r="D8" s="598"/>
      <c r="E8" s="598"/>
      <c r="F8" s="398" t="str">
        <f>+'TAHAP 1'!G9</f>
        <v>: MENGIKUTI JISHUKEN GLOBAL PEMI 2024</v>
      </c>
      <c r="Q8" s="18"/>
    </row>
    <row r="9" spans="2:20" ht="9.9499999999999993" customHeight="1" thickBot="1" x14ac:dyDescent="0.3">
      <c r="B9" s="99"/>
      <c r="C9" s="100"/>
      <c r="D9" s="100"/>
      <c r="E9" s="100"/>
      <c r="F9" s="321"/>
      <c r="G9" s="321"/>
      <c r="H9" s="321"/>
      <c r="I9" s="321"/>
      <c r="J9" s="321"/>
      <c r="K9" s="101"/>
      <c r="L9" s="101"/>
      <c r="M9" s="101"/>
      <c r="N9" s="101"/>
      <c r="O9" s="101"/>
      <c r="P9" s="101"/>
      <c r="Q9" s="102"/>
    </row>
    <row r="10" spans="2:20" ht="20.100000000000001" customHeight="1" thickTop="1" x14ac:dyDescent="0.25">
      <c r="B10" s="581" t="s">
        <v>176</v>
      </c>
      <c r="C10" s="582"/>
      <c r="D10" s="582"/>
      <c r="M10" s="583"/>
      <c r="N10" s="583"/>
      <c r="O10" s="583"/>
      <c r="P10" s="583"/>
      <c r="Q10" s="610"/>
    </row>
    <row r="11" spans="2:20" s="103" customFormat="1" ht="30" customHeight="1" x14ac:dyDescent="0.25">
      <c r="B11" s="599" t="s">
        <v>155</v>
      </c>
      <c r="C11" s="600"/>
      <c r="D11" s="600"/>
      <c r="E11" s="600"/>
      <c r="F11" s="600"/>
      <c r="G11" s="322"/>
      <c r="H11" s="382"/>
      <c r="I11" s="322"/>
      <c r="J11" s="322"/>
      <c r="M11" s="128"/>
      <c r="N11" s="128"/>
      <c r="Q11" s="104"/>
      <c r="T11" s="880"/>
    </row>
    <row r="12" spans="2:20" s="103" customFormat="1" ht="20.100000000000001" customHeight="1" x14ac:dyDescent="0.25">
      <c r="B12" s="601"/>
      <c r="C12" s="602"/>
      <c r="D12" s="602"/>
      <c r="E12" s="602"/>
      <c r="F12" s="602"/>
      <c r="G12" s="322"/>
      <c r="H12" s="584" t="s">
        <v>34</v>
      </c>
      <c r="I12" s="584" t="s">
        <v>5</v>
      </c>
      <c r="J12" s="584" t="s">
        <v>5</v>
      </c>
      <c r="K12" s="603" t="s">
        <v>250</v>
      </c>
      <c r="L12" s="603"/>
      <c r="M12" s="603"/>
      <c r="N12" s="603"/>
      <c r="O12" s="603"/>
      <c r="P12" s="573" t="s">
        <v>251</v>
      </c>
      <c r="Q12" s="104"/>
      <c r="T12" s="880"/>
    </row>
    <row r="13" spans="2:20" s="363" customFormat="1" ht="20.100000000000001" customHeight="1" x14ac:dyDescent="0.25">
      <c r="B13" s="364" t="s">
        <v>169</v>
      </c>
      <c r="C13" s="365" t="s">
        <v>11</v>
      </c>
      <c r="D13" s="366" t="s">
        <v>71</v>
      </c>
      <c r="E13" s="366" t="s">
        <v>188</v>
      </c>
      <c r="F13" s="365" t="s">
        <v>189</v>
      </c>
      <c r="H13" s="584"/>
      <c r="I13" s="584"/>
      <c r="J13" s="584"/>
      <c r="K13" s="394" t="str">
        <f>+$C$13</f>
        <v>UANG SAKU</v>
      </c>
      <c r="L13" s="394" t="str">
        <f>+$D$13</f>
        <v>BREAKFAST</v>
      </c>
      <c r="M13" s="394" t="str">
        <f>+$E$13</f>
        <v>LUNCH</v>
      </c>
      <c r="N13" s="394" t="str">
        <f>+$F$13</f>
        <v>DINNER</v>
      </c>
      <c r="O13" s="394" t="s">
        <v>40</v>
      </c>
      <c r="P13" s="574"/>
      <c r="Q13" s="367"/>
      <c r="T13" s="881"/>
    </row>
    <row r="14" spans="2:20" s="103" customFormat="1" ht="20.100000000000001" customHeight="1" x14ac:dyDescent="0.25">
      <c r="B14" s="329" t="s">
        <v>78</v>
      </c>
      <c r="C14" s="330">
        <v>30000</v>
      </c>
      <c r="D14" s="331">
        <v>12500</v>
      </c>
      <c r="E14" s="331">
        <v>20000</v>
      </c>
      <c r="F14" s="330">
        <v>20000</v>
      </c>
      <c r="H14" s="390">
        <v>1</v>
      </c>
      <c r="I14" s="391" t="str">
        <f>TEXT(J14,"dddd")</f>
        <v>Monday</v>
      </c>
      <c r="J14" s="392">
        <f>+'TAHAP 1'!C13</f>
        <v>45530</v>
      </c>
      <c r="K14" s="393">
        <v>0</v>
      </c>
      <c r="L14" s="393">
        <v>0</v>
      </c>
      <c r="M14" s="393">
        <v>0</v>
      </c>
      <c r="N14" s="393">
        <v>0</v>
      </c>
      <c r="O14" s="328">
        <f t="shared" ref="O14:O55" si="0">SUM(K14:N14)</f>
        <v>0</v>
      </c>
      <c r="P14" s="393">
        <v>125000</v>
      </c>
      <c r="Q14" s="104"/>
      <c r="T14" s="880"/>
    </row>
    <row r="15" spans="2:20" s="103" customFormat="1" ht="20.100000000000001" customHeight="1" x14ac:dyDescent="0.25">
      <c r="B15" s="329" t="s">
        <v>79</v>
      </c>
      <c r="C15" s="330">
        <v>30000</v>
      </c>
      <c r="D15" s="331">
        <v>12500</v>
      </c>
      <c r="E15" s="331">
        <v>20000</v>
      </c>
      <c r="F15" s="330">
        <v>20000</v>
      </c>
      <c r="H15" s="323">
        <v>2</v>
      </c>
      <c r="I15" s="324" t="str">
        <f t="shared" ref="I15:I55" si="1">TEXT(J15,"dddd")</f>
        <v>Tuesday</v>
      </c>
      <c r="J15" s="362">
        <f>+J14+1</f>
        <v>45531</v>
      </c>
      <c r="K15" s="325">
        <v>40000</v>
      </c>
      <c r="L15" s="325" t="s">
        <v>209</v>
      </c>
      <c r="M15" s="325">
        <v>27500</v>
      </c>
      <c r="N15" s="325">
        <v>27500</v>
      </c>
      <c r="O15" s="325">
        <f>SUM(K15:N15)</f>
        <v>95000</v>
      </c>
      <c r="P15" s="325">
        <v>125000</v>
      </c>
      <c r="Q15" s="104"/>
      <c r="T15" s="880"/>
    </row>
    <row r="16" spans="2:20" s="103" customFormat="1" ht="20.100000000000001" customHeight="1" x14ac:dyDescent="0.25">
      <c r="B16" s="329" t="s">
        <v>80</v>
      </c>
      <c r="C16" s="330">
        <v>35000</v>
      </c>
      <c r="D16" s="331">
        <v>12500</v>
      </c>
      <c r="E16" s="331">
        <v>20000</v>
      </c>
      <c r="F16" s="330">
        <v>20000</v>
      </c>
      <c r="H16" s="323">
        <v>3</v>
      </c>
      <c r="I16" s="324" t="str">
        <f t="shared" si="1"/>
        <v>Wednesday</v>
      </c>
      <c r="J16" s="362">
        <f t="shared" ref="J16:J55" si="2">+J15+1</f>
        <v>45532</v>
      </c>
      <c r="K16" s="325">
        <v>40000</v>
      </c>
      <c r="L16" s="325">
        <v>12500</v>
      </c>
      <c r="M16" s="325" t="s">
        <v>226</v>
      </c>
      <c r="N16" s="325">
        <v>27500</v>
      </c>
      <c r="O16" s="325">
        <f t="shared" si="0"/>
        <v>80000</v>
      </c>
      <c r="P16" s="325">
        <v>125000</v>
      </c>
      <c r="Q16" s="104"/>
      <c r="T16" s="880"/>
    </row>
    <row r="17" spans="2:20" s="103" customFormat="1" ht="20.100000000000001" customHeight="1" x14ac:dyDescent="0.25">
      <c r="B17" s="329" t="s">
        <v>81</v>
      </c>
      <c r="C17" s="330">
        <v>40000</v>
      </c>
      <c r="D17" s="331">
        <v>12500</v>
      </c>
      <c r="E17" s="331">
        <v>27500</v>
      </c>
      <c r="F17" s="330">
        <v>27500</v>
      </c>
      <c r="H17" s="323">
        <v>4</v>
      </c>
      <c r="I17" s="324" t="str">
        <f t="shared" si="1"/>
        <v>Thursday</v>
      </c>
      <c r="J17" s="362">
        <f t="shared" si="2"/>
        <v>45533</v>
      </c>
      <c r="K17" s="325">
        <v>40000</v>
      </c>
      <c r="L17" s="325">
        <v>12500</v>
      </c>
      <c r="M17" s="325" t="s">
        <v>226</v>
      </c>
      <c r="N17" s="325">
        <v>27500</v>
      </c>
      <c r="O17" s="325">
        <f t="shared" si="0"/>
        <v>80000</v>
      </c>
      <c r="P17" s="325">
        <v>125000</v>
      </c>
      <c r="Q17" s="104"/>
      <c r="T17" s="880"/>
    </row>
    <row r="18" spans="2:20" s="103" customFormat="1" ht="20.100000000000001" customHeight="1" x14ac:dyDescent="0.25">
      <c r="B18" s="329" t="s">
        <v>82</v>
      </c>
      <c r="C18" s="330">
        <v>50000</v>
      </c>
      <c r="D18" s="331">
        <v>22500</v>
      </c>
      <c r="E18" s="331">
        <v>30000</v>
      </c>
      <c r="F18" s="330">
        <v>30000</v>
      </c>
      <c r="H18" s="323">
        <v>5</v>
      </c>
      <c r="I18" s="324" t="str">
        <f t="shared" si="1"/>
        <v>Friday</v>
      </c>
      <c r="J18" s="362">
        <f t="shared" si="2"/>
        <v>45534</v>
      </c>
      <c r="K18" s="325">
        <v>40000</v>
      </c>
      <c r="L18" s="325">
        <v>12500</v>
      </c>
      <c r="M18" s="325" t="s">
        <v>226</v>
      </c>
      <c r="N18" s="325">
        <v>27500</v>
      </c>
      <c r="O18" s="325">
        <f t="shared" si="0"/>
        <v>80000</v>
      </c>
      <c r="P18" s="325">
        <v>125000</v>
      </c>
      <c r="Q18" s="104"/>
      <c r="T18" s="880"/>
    </row>
    <row r="19" spans="2:20" s="103" customFormat="1" ht="20.100000000000001" customHeight="1" x14ac:dyDescent="0.25">
      <c r="B19" s="329" t="s">
        <v>83</v>
      </c>
      <c r="C19" s="330">
        <v>60000</v>
      </c>
      <c r="D19" s="331">
        <v>22500</v>
      </c>
      <c r="E19" s="331">
        <v>50000</v>
      </c>
      <c r="F19" s="330">
        <v>50000</v>
      </c>
      <c r="H19" s="323">
        <v>6</v>
      </c>
      <c r="I19" s="324" t="str">
        <f t="shared" si="1"/>
        <v>Saturday</v>
      </c>
      <c r="J19" s="362">
        <f t="shared" si="2"/>
        <v>45535</v>
      </c>
      <c r="K19" s="325">
        <v>40000</v>
      </c>
      <c r="L19" s="325">
        <v>12500</v>
      </c>
      <c r="M19" s="325" t="s">
        <v>226</v>
      </c>
      <c r="N19" s="325">
        <v>27500</v>
      </c>
      <c r="O19" s="325">
        <f t="shared" si="0"/>
        <v>80000</v>
      </c>
      <c r="P19" s="325">
        <v>125000</v>
      </c>
      <c r="Q19" s="104"/>
      <c r="T19" s="880"/>
    </row>
    <row r="20" spans="2:20" s="103" customFormat="1" ht="20.100000000000001" customHeight="1" x14ac:dyDescent="0.25">
      <c r="B20" s="329" t="s">
        <v>84</v>
      </c>
      <c r="C20" s="330">
        <v>70000</v>
      </c>
      <c r="D20" s="331">
        <v>22500</v>
      </c>
      <c r="E20" s="331">
        <v>60000</v>
      </c>
      <c r="F20" s="330">
        <v>60000</v>
      </c>
      <c r="H20" s="326">
        <v>7</v>
      </c>
      <c r="I20" s="327" t="str">
        <f t="shared" si="1"/>
        <v>Sunday</v>
      </c>
      <c r="J20" s="361">
        <f t="shared" si="2"/>
        <v>45536</v>
      </c>
      <c r="K20" s="328">
        <v>40000</v>
      </c>
      <c r="L20" s="328">
        <v>12500</v>
      </c>
      <c r="M20" s="328">
        <v>27500</v>
      </c>
      <c r="N20" s="328">
        <v>27500</v>
      </c>
      <c r="O20" s="328">
        <f t="shared" si="0"/>
        <v>107500</v>
      </c>
      <c r="P20" s="328">
        <v>125000</v>
      </c>
      <c r="Q20" s="104"/>
      <c r="T20" s="880"/>
    </row>
    <row r="21" spans="2:20" s="103" customFormat="1" ht="20.100000000000001" customHeight="1" x14ac:dyDescent="0.25">
      <c r="B21" s="353"/>
      <c r="C21" s="354"/>
      <c r="D21" s="354"/>
      <c r="E21" s="354"/>
      <c r="F21" s="357"/>
      <c r="G21" s="357"/>
      <c r="H21" s="326">
        <v>8</v>
      </c>
      <c r="I21" s="327" t="str">
        <f t="shared" si="1"/>
        <v>Monday</v>
      </c>
      <c r="J21" s="361">
        <f t="shared" si="2"/>
        <v>45537</v>
      </c>
      <c r="K21" s="328">
        <v>40000</v>
      </c>
      <c r="L21" s="328">
        <v>12500</v>
      </c>
      <c r="M21" s="328">
        <v>27500</v>
      </c>
      <c r="N21" s="328">
        <v>27500</v>
      </c>
      <c r="O21" s="328">
        <f t="shared" si="0"/>
        <v>107500</v>
      </c>
      <c r="P21" s="328">
        <v>125000</v>
      </c>
      <c r="Q21" s="104"/>
      <c r="T21" s="880"/>
    </row>
    <row r="22" spans="2:20" s="299" customFormat="1" ht="20.100000000000001" customHeight="1" x14ac:dyDescent="0.25">
      <c r="B22" s="355"/>
      <c r="C22" s="356"/>
      <c r="D22" s="356"/>
      <c r="E22" s="356"/>
      <c r="F22" s="358"/>
      <c r="G22" s="300"/>
      <c r="H22" s="323">
        <v>9</v>
      </c>
      <c r="I22" s="324" t="str">
        <f t="shared" si="1"/>
        <v>Tuesday</v>
      </c>
      <c r="J22" s="362">
        <f t="shared" si="2"/>
        <v>45538</v>
      </c>
      <c r="K22" s="325">
        <v>40000</v>
      </c>
      <c r="L22" s="325">
        <v>12500</v>
      </c>
      <c r="M22" s="325" t="s">
        <v>226</v>
      </c>
      <c r="N22" s="325">
        <v>27500</v>
      </c>
      <c r="O22" s="325">
        <f t="shared" si="0"/>
        <v>80000</v>
      </c>
      <c r="P22" s="325">
        <v>125000</v>
      </c>
      <c r="Q22" s="300"/>
      <c r="T22" s="882"/>
    </row>
    <row r="23" spans="2:20" s="12" customFormat="1" ht="20.100000000000001" customHeight="1" x14ac:dyDescent="0.25">
      <c r="B23" s="355"/>
      <c r="C23" s="356"/>
      <c r="D23" s="356"/>
      <c r="E23" s="356"/>
      <c r="F23" s="359"/>
      <c r="G23" s="45"/>
      <c r="H23" s="323">
        <v>10</v>
      </c>
      <c r="I23" s="324" t="str">
        <f t="shared" si="1"/>
        <v>Wednesday</v>
      </c>
      <c r="J23" s="362">
        <f t="shared" si="2"/>
        <v>45539</v>
      </c>
      <c r="K23" s="325">
        <v>40000</v>
      </c>
      <c r="L23" s="325">
        <v>12500</v>
      </c>
      <c r="M23" s="325" t="s">
        <v>226</v>
      </c>
      <c r="N23" s="325">
        <v>27500</v>
      </c>
      <c r="O23" s="325">
        <f t="shared" si="0"/>
        <v>80000</v>
      </c>
      <c r="P23" s="325">
        <v>125000</v>
      </c>
      <c r="Q23" s="45"/>
      <c r="T23" s="883"/>
    </row>
    <row r="24" spans="2:20" s="12" customFormat="1" ht="20.100000000000001" customHeight="1" x14ac:dyDescent="0.25">
      <c r="B24" s="355"/>
      <c r="C24" s="356"/>
      <c r="D24" s="356"/>
      <c r="E24" s="356"/>
      <c r="H24" s="323">
        <v>11</v>
      </c>
      <c r="I24" s="324" t="str">
        <f t="shared" si="1"/>
        <v>Thursday</v>
      </c>
      <c r="J24" s="362">
        <f t="shared" si="2"/>
        <v>45540</v>
      </c>
      <c r="K24" s="325">
        <v>40000</v>
      </c>
      <c r="L24" s="325">
        <v>12500</v>
      </c>
      <c r="M24" s="325" t="s">
        <v>226</v>
      </c>
      <c r="N24" s="325">
        <v>27500</v>
      </c>
      <c r="O24" s="325">
        <f t="shared" si="0"/>
        <v>80000</v>
      </c>
      <c r="P24" s="325">
        <v>125000</v>
      </c>
      <c r="Q24" s="45"/>
      <c r="T24" s="883"/>
    </row>
    <row r="25" spans="2:20" s="12" customFormat="1" ht="20.100000000000001" customHeight="1" x14ac:dyDescent="0.25">
      <c r="B25" s="355"/>
      <c r="C25" s="356"/>
      <c r="D25" s="356"/>
      <c r="E25" s="356"/>
      <c r="H25" s="323">
        <v>12</v>
      </c>
      <c r="I25" s="324" t="str">
        <f t="shared" si="1"/>
        <v>Friday</v>
      </c>
      <c r="J25" s="362">
        <f t="shared" si="2"/>
        <v>45541</v>
      </c>
      <c r="K25" s="325">
        <v>40000</v>
      </c>
      <c r="L25" s="325">
        <v>12500</v>
      </c>
      <c r="M25" s="325" t="s">
        <v>226</v>
      </c>
      <c r="N25" s="325">
        <v>27500</v>
      </c>
      <c r="O25" s="325">
        <f t="shared" si="0"/>
        <v>80000</v>
      </c>
      <c r="P25" s="325">
        <v>125000</v>
      </c>
      <c r="Q25" s="45"/>
      <c r="T25" s="883"/>
    </row>
    <row r="26" spans="2:20" s="12" customFormat="1" ht="20.100000000000001" customHeight="1" x14ac:dyDescent="0.25">
      <c r="B26" s="355"/>
      <c r="C26" s="356"/>
      <c r="D26" s="356"/>
      <c r="E26" s="356"/>
      <c r="H26" s="323">
        <v>13</v>
      </c>
      <c r="I26" s="324" t="str">
        <f t="shared" si="1"/>
        <v>Saturday</v>
      </c>
      <c r="J26" s="362">
        <f t="shared" si="2"/>
        <v>45542</v>
      </c>
      <c r="K26" s="325">
        <v>40000</v>
      </c>
      <c r="L26" s="325">
        <v>12500</v>
      </c>
      <c r="M26" s="325" t="s">
        <v>226</v>
      </c>
      <c r="N26" s="325">
        <v>27500</v>
      </c>
      <c r="O26" s="325">
        <f t="shared" si="0"/>
        <v>80000</v>
      </c>
      <c r="P26" s="325">
        <v>125000</v>
      </c>
      <c r="Q26" s="45"/>
      <c r="T26" s="883"/>
    </row>
    <row r="27" spans="2:20" s="12" customFormat="1" ht="20.100000000000001" customHeight="1" x14ac:dyDescent="0.25">
      <c r="B27" s="355"/>
      <c r="C27" s="356"/>
      <c r="D27" s="356"/>
      <c r="E27" s="356"/>
      <c r="H27" s="326">
        <v>14</v>
      </c>
      <c r="I27" s="327" t="str">
        <f t="shared" si="1"/>
        <v>Sunday</v>
      </c>
      <c r="J27" s="361">
        <f t="shared" si="2"/>
        <v>45543</v>
      </c>
      <c r="K27" s="328">
        <v>40000</v>
      </c>
      <c r="L27" s="328">
        <v>12500</v>
      </c>
      <c r="M27" s="328">
        <v>27500</v>
      </c>
      <c r="N27" s="328">
        <v>27500</v>
      </c>
      <c r="O27" s="328">
        <f t="shared" si="0"/>
        <v>107500</v>
      </c>
      <c r="P27" s="328">
        <v>125000</v>
      </c>
      <c r="Q27" s="45"/>
      <c r="T27" s="883"/>
    </row>
    <row r="28" spans="2:20" s="12" customFormat="1" ht="20.100000000000001" customHeight="1" x14ac:dyDescent="0.25">
      <c r="B28" s="355"/>
      <c r="C28" s="356"/>
      <c r="D28" s="356"/>
      <c r="E28" s="356"/>
      <c r="H28" s="326">
        <v>15</v>
      </c>
      <c r="I28" s="327" t="str">
        <f t="shared" si="1"/>
        <v>Monday</v>
      </c>
      <c r="J28" s="361">
        <f t="shared" si="2"/>
        <v>45544</v>
      </c>
      <c r="K28" s="328">
        <v>40000</v>
      </c>
      <c r="L28" s="328">
        <v>12500</v>
      </c>
      <c r="M28" s="328">
        <v>27500</v>
      </c>
      <c r="N28" s="328">
        <v>27500</v>
      </c>
      <c r="O28" s="328">
        <f t="shared" si="0"/>
        <v>107500</v>
      </c>
      <c r="P28" s="328">
        <v>125000</v>
      </c>
      <c r="Q28" s="45"/>
      <c r="T28" s="883"/>
    </row>
    <row r="29" spans="2:20" s="12" customFormat="1" ht="20.100000000000001" customHeight="1" x14ac:dyDescent="0.25">
      <c r="B29" s="355"/>
      <c r="C29" s="356"/>
      <c r="D29" s="356"/>
      <c r="E29" s="356"/>
      <c r="H29" s="323">
        <v>16</v>
      </c>
      <c r="I29" s="324" t="str">
        <f t="shared" si="1"/>
        <v>Tuesday</v>
      </c>
      <c r="J29" s="362">
        <f t="shared" si="2"/>
        <v>45545</v>
      </c>
      <c r="K29" s="325">
        <v>40000</v>
      </c>
      <c r="L29" s="325">
        <v>12500</v>
      </c>
      <c r="M29" s="325" t="s">
        <v>226</v>
      </c>
      <c r="N29" s="325">
        <v>27500</v>
      </c>
      <c r="O29" s="325">
        <f t="shared" si="0"/>
        <v>80000</v>
      </c>
      <c r="P29" s="325">
        <v>125000</v>
      </c>
      <c r="Q29" s="45"/>
      <c r="T29" s="883"/>
    </row>
    <row r="30" spans="2:20" s="12" customFormat="1" ht="20.100000000000001" customHeight="1" x14ac:dyDescent="0.25">
      <c r="B30" s="355"/>
      <c r="C30" s="356"/>
      <c r="D30" s="356"/>
      <c r="E30" s="356"/>
      <c r="H30" s="323">
        <v>17</v>
      </c>
      <c r="I30" s="324" t="str">
        <f t="shared" si="1"/>
        <v>Wednesday</v>
      </c>
      <c r="J30" s="362">
        <f t="shared" si="2"/>
        <v>45546</v>
      </c>
      <c r="K30" s="325">
        <v>40000</v>
      </c>
      <c r="L30" s="325">
        <v>12500</v>
      </c>
      <c r="M30" s="325" t="s">
        <v>226</v>
      </c>
      <c r="N30" s="325">
        <v>27500</v>
      </c>
      <c r="O30" s="325">
        <f t="shared" si="0"/>
        <v>80000</v>
      </c>
      <c r="P30" s="325">
        <v>125000</v>
      </c>
      <c r="Q30" s="45"/>
      <c r="T30" s="883"/>
    </row>
    <row r="31" spans="2:20" s="12" customFormat="1" ht="20.100000000000001" customHeight="1" x14ac:dyDescent="0.25">
      <c r="B31" s="355"/>
      <c r="C31" s="356"/>
      <c r="D31" s="356"/>
      <c r="E31" s="356"/>
      <c r="H31" s="323">
        <v>18</v>
      </c>
      <c r="I31" s="324" t="str">
        <f t="shared" si="1"/>
        <v>Thursday</v>
      </c>
      <c r="J31" s="362">
        <f t="shared" si="2"/>
        <v>45547</v>
      </c>
      <c r="K31" s="325">
        <v>40000</v>
      </c>
      <c r="L31" s="325">
        <v>12500</v>
      </c>
      <c r="M31" s="325" t="s">
        <v>226</v>
      </c>
      <c r="N31" s="325">
        <v>27500</v>
      </c>
      <c r="O31" s="325">
        <f t="shared" si="0"/>
        <v>80000</v>
      </c>
      <c r="P31" s="325">
        <v>125000</v>
      </c>
      <c r="Q31" s="45"/>
      <c r="T31" s="883"/>
    </row>
    <row r="32" spans="2:20" s="12" customFormat="1" ht="20.100000000000001" customHeight="1" x14ac:dyDescent="0.25">
      <c r="B32" s="355"/>
      <c r="C32" s="356"/>
      <c r="D32" s="356"/>
      <c r="E32" s="356"/>
      <c r="H32" s="323">
        <v>19</v>
      </c>
      <c r="I32" s="324" t="str">
        <f t="shared" si="1"/>
        <v>Friday</v>
      </c>
      <c r="J32" s="362">
        <f t="shared" si="2"/>
        <v>45548</v>
      </c>
      <c r="K32" s="325">
        <v>40000</v>
      </c>
      <c r="L32" s="325">
        <v>12500</v>
      </c>
      <c r="M32" s="325" t="s">
        <v>226</v>
      </c>
      <c r="N32" s="325">
        <v>27500</v>
      </c>
      <c r="O32" s="325">
        <f t="shared" si="0"/>
        <v>80000</v>
      </c>
      <c r="P32" s="325">
        <v>125000</v>
      </c>
      <c r="Q32" s="45"/>
      <c r="T32" s="883"/>
    </row>
    <row r="33" spans="2:20" s="12" customFormat="1" ht="20.100000000000001" customHeight="1" x14ac:dyDescent="0.25">
      <c r="B33" s="355"/>
      <c r="C33" s="356"/>
      <c r="D33" s="356"/>
      <c r="E33" s="356"/>
      <c r="H33" s="323">
        <v>20</v>
      </c>
      <c r="I33" s="324" t="str">
        <f t="shared" si="1"/>
        <v>Saturday</v>
      </c>
      <c r="J33" s="362">
        <f t="shared" si="2"/>
        <v>45549</v>
      </c>
      <c r="K33" s="325">
        <v>40000</v>
      </c>
      <c r="L33" s="325">
        <v>12500</v>
      </c>
      <c r="M33" s="325" t="s">
        <v>226</v>
      </c>
      <c r="N33" s="325">
        <v>27500</v>
      </c>
      <c r="O33" s="325">
        <f t="shared" si="0"/>
        <v>80000</v>
      </c>
      <c r="P33" s="325">
        <v>125000</v>
      </c>
      <c r="Q33" s="45"/>
      <c r="T33" s="883"/>
    </row>
    <row r="34" spans="2:20" s="12" customFormat="1" ht="20.100000000000001" customHeight="1" x14ac:dyDescent="0.25">
      <c r="B34" s="355"/>
      <c r="C34" s="356"/>
      <c r="D34" s="356"/>
      <c r="E34" s="356"/>
      <c r="H34" s="326">
        <v>21</v>
      </c>
      <c r="I34" s="327" t="str">
        <f t="shared" si="1"/>
        <v>Sunday</v>
      </c>
      <c r="J34" s="361">
        <f t="shared" si="2"/>
        <v>45550</v>
      </c>
      <c r="K34" s="328">
        <v>40000</v>
      </c>
      <c r="L34" s="328">
        <v>12500</v>
      </c>
      <c r="M34" s="328">
        <v>27500</v>
      </c>
      <c r="N34" s="328">
        <v>27500</v>
      </c>
      <c r="O34" s="328">
        <f t="shared" si="0"/>
        <v>107500</v>
      </c>
      <c r="P34" s="328">
        <v>125000</v>
      </c>
      <c r="Q34" s="45"/>
      <c r="T34" s="883"/>
    </row>
    <row r="35" spans="2:20" s="12" customFormat="1" ht="20.100000000000001" customHeight="1" x14ac:dyDescent="0.25">
      <c r="B35" s="355"/>
      <c r="C35" s="356"/>
      <c r="D35" s="356"/>
      <c r="E35" s="356"/>
      <c r="H35" s="326">
        <v>22</v>
      </c>
      <c r="I35" s="327" t="str">
        <f t="shared" si="1"/>
        <v>Monday</v>
      </c>
      <c r="J35" s="361">
        <f t="shared" si="2"/>
        <v>45551</v>
      </c>
      <c r="K35" s="328">
        <v>40000</v>
      </c>
      <c r="L35" s="328">
        <v>12500</v>
      </c>
      <c r="M35" s="328">
        <v>27500</v>
      </c>
      <c r="N35" s="328">
        <v>27500</v>
      </c>
      <c r="O35" s="328">
        <f t="shared" si="0"/>
        <v>107500</v>
      </c>
      <c r="P35" s="328">
        <v>125000</v>
      </c>
      <c r="Q35" s="45"/>
      <c r="T35" s="883"/>
    </row>
    <row r="36" spans="2:20" s="12" customFormat="1" ht="20.100000000000001" customHeight="1" x14ac:dyDescent="0.25">
      <c r="B36" s="355"/>
      <c r="C36" s="356"/>
      <c r="D36" s="356"/>
      <c r="E36" s="356"/>
      <c r="H36" s="326">
        <v>23</v>
      </c>
      <c r="I36" s="327" t="str">
        <f t="shared" si="1"/>
        <v>Tuesday</v>
      </c>
      <c r="J36" s="361">
        <f t="shared" si="2"/>
        <v>45552</v>
      </c>
      <c r="K36" s="328">
        <v>40000</v>
      </c>
      <c r="L36" s="328">
        <v>12500</v>
      </c>
      <c r="M36" s="328">
        <v>27500</v>
      </c>
      <c r="N36" s="328">
        <v>27500</v>
      </c>
      <c r="O36" s="328">
        <f t="shared" si="0"/>
        <v>107500</v>
      </c>
      <c r="P36" s="328">
        <v>125000</v>
      </c>
      <c r="Q36" s="45"/>
      <c r="T36" s="883"/>
    </row>
    <row r="37" spans="2:20" s="12" customFormat="1" ht="20.100000000000001" customHeight="1" x14ac:dyDescent="0.25">
      <c r="B37" s="355"/>
      <c r="C37" s="356"/>
      <c r="D37" s="356"/>
      <c r="E37" s="356"/>
      <c r="H37" s="323">
        <v>24</v>
      </c>
      <c r="I37" s="324" t="str">
        <f t="shared" si="1"/>
        <v>Wednesday</v>
      </c>
      <c r="J37" s="362">
        <f t="shared" si="2"/>
        <v>45553</v>
      </c>
      <c r="K37" s="325">
        <v>40000</v>
      </c>
      <c r="L37" s="325">
        <v>12500</v>
      </c>
      <c r="M37" s="325" t="s">
        <v>226</v>
      </c>
      <c r="N37" s="325">
        <v>27500</v>
      </c>
      <c r="O37" s="325">
        <f t="shared" si="0"/>
        <v>80000</v>
      </c>
      <c r="P37" s="325">
        <v>125000</v>
      </c>
      <c r="Q37" s="45"/>
      <c r="T37" s="883"/>
    </row>
    <row r="38" spans="2:20" s="12" customFormat="1" ht="20.100000000000001" customHeight="1" x14ac:dyDescent="0.25">
      <c r="B38" s="355"/>
      <c r="C38" s="356"/>
      <c r="D38" s="356"/>
      <c r="E38" s="356"/>
      <c r="H38" s="323">
        <v>25</v>
      </c>
      <c r="I38" s="324" t="str">
        <f t="shared" si="1"/>
        <v>Thursday</v>
      </c>
      <c r="J38" s="362">
        <f t="shared" si="2"/>
        <v>45554</v>
      </c>
      <c r="K38" s="325">
        <v>40000</v>
      </c>
      <c r="L38" s="325">
        <v>12500</v>
      </c>
      <c r="M38" s="325" t="s">
        <v>226</v>
      </c>
      <c r="N38" s="325">
        <v>27500</v>
      </c>
      <c r="O38" s="325">
        <f t="shared" si="0"/>
        <v>80000</v>
      </c>
      <c r="P38" s="325">
        <v>125000</v>
      </c>
      <c r="Q38" s="45"/>
      <c r="T38" s="883"/>
    </row>
    <row r="39" spans="2:20" s="12" customFormat="1" ht="20.100000000000001" customHeight="1" x14ac:dyDescent="0.25">
      <c r="B39" s="355"/>
      <c r="C39" s="356"/>
      <c r="D39" s="356"/>
      <c r="E39" s="356"/>
      <c r="H39" s="323">
        <v>26</v>
      </c>
      <c r="I39" s="324" t="str">
        <f t="shared" si="1"/>
        <v>Friday</v>
      </c>
      <c r="J39" s="362">
        <f t="shared" si="2"/>
        <v>45555</v>
      </c>
      <c r="K39" s="325">
        <v>40000</v>
      </c>
      <c r="L39" s="325">
        <v>12500</v>
      </c>
      <c r="M39" s="325" t="s">
        <v>226</v>
      </c>
      <c r="N39" s="325">
        <v>27500</v>
      </c>
      <c r="O39" s="325">
        <f t="shared" si="0"/>
        <v>80000</v>
      </c>
      <c r="P39" s="325">
        <v>125000</v>
      </c>
      <c r="Q39" s="45"/>
      <c r="T39" s="883"/>
    </row>
    <row r="40" spans="2:20" s="12" customFormat="1" ht="20.100000000000001" customHeight="1" x14ac:dyDescent="0.25">
      <c r="B40" s="355"/>
      <c r="C40" s="356"/>
      <c r="D40" s="356"/>
      <c r="E40" s="356"/>
      <c r="H40" s="323">
        <v>27</v>
      </c>
      <c r="I40" s="324" t="str">
        <f t="shared" si="1"/>
        <v>Saturday</v>
      </c>
      <c r="J40" s="362">
        <f t="shared" si="2"/>
        <v>45556</v>
      </c>
      <c r="K40" s="325">
        <v>40000</v>
      </c>
      <c r="L40" s="325">
        <v>12500</v>
      </c>
      <c r="M40" s="325" t="s">
        <v>226</v>
      </c>
      <c r="N40" s="325">
        <v>27500</v>
      </c>
      <c r="O40" s="325">
        <f t="shared" si="0"/>
        <v>80000</v>
      </c>
      <c r="P40" s="325">
        <v>125000</v>
      </c>
      <c r="Q40" s="45"/>
      <c r="T40" s="883"/>
    </row>
    <row r="41" spans="2:20" s="12" customFormat="1" ht="20.100000000000001" customHeight="1" x14ac:dyDescent="0.25">
      <c r="B41" s="355"/>
      <c r="C41" s="356"/>
      <c r="D41" s="356"/>
      <c r="E41" s="356"/>
      <c r="H41" s="326">
        <v>28</v>
      </c>
      <c r="I41" s="327" t="str">
        <f t="shared" si="1"/>
        <v>Sunday</v>
      </c>
      <c r="J41" s="361">
        <f t="shared" si="2"/>
        <v>45557</v>
      </c>
      <c r="K41" s="328">
        <v>40000</v>
      </c>
      <c r="L41" s="328">
        <v>12500</v>
      </c>
      <c r="M41" s="328">
        <v>27500</v>
      </c>
      <c r="N41" s="328">
        <v>27500</v>
      </c>
      <c r="O41" s="328">
        <f t="shared" si="0"/>
        <v>107500</v>
      </c>
      <c r="P41" s="328">
        <v>125000</v>
      </c>
      <c r="Q41" s="45"/>
      <c r="T41" s="883"/>
    </row>
    <row r="42" spans="2:20" s="12" customFormat="1" ht="20.100000000000001" customHeight="1" x14ac:dyDescent="0.25">
      <c r="B42" s="355"/>
      <c r="C42" s="356"/>
      <c r="D42" s="356"/>
      <c r="E42" s="356"/>
      <c r="H42" s="326">
        <v>29</v>
      </c>
      <c r="I42" s="327" t="str">
        <f t="shared" si="1"/>
        <v>Monday</v>
      </c>
      <c r="J42" s="361">
        <f t="shared" si="2"/>
        <v>45558</v>
      </c>
      <c r="K42" s="328">
        <v>40000</v>
      </c>
      <c r="L42" s="328">
        <v>12500</v>
      </c>
      <c r="M42" s="328">
        <v>27500</v>
      </c>
      <c r="N42" s="328">
        <v>27500</v>
      </c>
      <c r="O42" s="328">
        <f t="shared" si="0"/>
        <v>107500</v>
      </c>
      <c r="P42" s="328">
        <v>125000</v>
      </c>
      <c r="Q42" s="45"/>
      <c r="T42" s="883"/>
    </row>
    <row r="43" spans="2:20" s="12" customFormat="1" ht="20.100000000000001" customHeight="1" x14ac:dyDescent="0.25">
      <c r="B43" s="355"/>
      <c r="C43" s="356"/>
      <c r="D43" s="356"/>
      <c r="E43" s="356"/>
      <c r="H43" s="323">
        <v>30</v>
      </c>
      <c r="I43" s="324" t="str">
        <f t="shared" si="1"/>
        <v>Tuesday</v>
      </c>
      <c r="J43" s="362">
        <f t="shared" si="2"/>
        <v>45559</v>
      </c>
      <c r="K43" s="325">
        <v>40000</v>
      </c>
      <c r="L43" s="325">
        <v>12500</v>
      </c>
      <c r="M43" s="325" t="s">
        <v>226</v>
      </c>
      <c r="N43" s="325">
        <v>27500</v>
      </c>
      <c r="O43" s="325">
        <f t="shared" si="0"/>
        <v>80000</v>
      </c>
      <c r="P43" s="325">
        <v>125000</v>
      </c>
      <c r="Q43" s="45"/>
      <c r="T43" s="883"/>
    </row>
    <row r="44" spans="2:20" s="12" customFormat="1" ht="20.100000000000001" customHeight="1" x14ac:dyDescent="0.25">
      <c r="B44" s="355"/>
      <c r="C44" s="356"/>
      <c r="D44" s="356"/>
      <c r="E44" s="356"/>
      <c r="H44" s="323">
        <v>31</v>
      </c>
      <c r="I44" s="324" t="str">
        <f t="shared" si="1"/>
        <v>Wednesday</v>
      </c>
      <c r="J44" s="362">
        <f t="shared" si="2"/>
        <v>45560</v>
      </c>
      <c r="K44" s="325">
        <v>40000</v>
      </c>
      <c r="L44" s="325">
        <v>12500</v>
      </c>
      <c r="M44" s="325" t="s">
        <v>226</v>
      </c>
      <c r="N44" s="325">
        <v>27500</v>
      </c>
      <c r="O44" s="325">
        <f t="shared" si="0"/>
        <v>80000</v>
      </c>
      <c r="P44" s="325">
        <v>125000</v>
      </c>
      <c r="Q44" s="45"/>
      <c r="T44" s="883"/>
    </row>
    <row r="45" spans="2:20" s="12" customFormat="1" ht="20.100000000000001" customHeight="1" x14ac:dyDescent="0.25">
      <c r="B45" s="355"/>
      <c r="C45" s="356"/>
      <c r="D45" s="356"/>
      <c r="E45" s="356"/>
      <c r="H45" s="323">
        <v>32</v>
      </c>
      <c r="I45" s="324" t="str">
        <f t="shared" si="1"/>
        <v>Thursday</v>
      </c>
      <c r="J45" s="362">
        <f t="shared" si="2"/>
        <v>45561</v>
      </c>
      <c r="K45" s="325">
        <v>40000</v>
      </c>
      <c r="L45" s="325">
        <v>12500</v>
      </c>
      <c r="M45" s="325" t="s">
        <v>226</v>
      </c>
      <c r="N45" s="325">
        <v>27500</v>
      </c>
      <c r="O45" s="325">
        <f t="shared" si="0"/>
        <v>80000</v>
      </c>
      <c r="P45" s="325">
        <v>125000</v>
      </c>
      <c r="Q45" s="45"/>
      <c r="T45" s="883"/>
    </row>
    <row r="46" spans="2:20" s="12" customFormat="1" ht="20.100000000000001" customHeight="1" x14ac:dyDescent="0.25">
      <c r="B46" s="355"/>
      <c r="C46" s="356"/>
      <c r="D46" s="356"/>
      <c r="E46" s="356"/>
      <c r="H46" s="323">
        <v>33</v>
      </c>
      <c r="I46" s="324" t="str">
        <f t="shared" si="1"/>
        <v>Friday</v>
      </c>
      <c r="J46" s="362">
        <f t="shared" si="2"/>
        <v>45562</v>
      </c>
      <c r="K46" s="325">
        <v>40000</v>
      </c>
      <c r="L46" s="325">
        <v>12500</v>
      </c>
      <c r="M46" s="325" t="s">
        <v>226</v>
      </c>
      <c r="N46" s="325">
        <v>27500</v>
      </c>
      <c r="O46" s="325">
        <f t="shared" si="0"/>
        <v>80000</v>
      </c>
      <c r="P46" s="325">
        <v>125000</v>
      </c>
      <c r="Q46" s="45"/>
      <c r="T46" s="883"/>
    </row>
    <row r="47" spans="2:20" s="12" customFormat="1" ht="20.100000000000001" customHeight="1" x14ac:dyDescent="0.25">
      <c r="B47" s="355"/>
      <c r="C47" s="356"/>
      <c r="D47" s="356"/>
      <c r="E47" s="356"/>
      <c r="H47" s="323">
        <v>34</v>
      </c>
      <c r="I47" s="324" t="str">
        <f t="shared" si="1"/>
        <v>Saturday</v>
      </c>
      <c r="J47" s="362">
        <f t="shared" si="2"/>
        <v>45563</v>
      </c>
      <c r="K47" s="325">
        <v>40000</v>
      </c>
      <c r="L47" s="325">
        <v>12500</v>
      </c>
      <c r="M47" s="325" t="s">
        <v>226</v>
      </c>
      <c r="N47" s="325">
        <v>27500</v>
      </c>
      <c r="O47" s="325">
        <f t="shared" si="0"/>
        <v>80000</v>
      </c>
      <c r="P47" s="325">
        <v>125000</v>
      </c>
      <c r="Q47" s="45"/>
      <c r="T47" s="883"/>
    </row>
    <row r="48" spans="2:20" s="12" customFormat="1" ht="20.100000000000001" customHeight="1" x14ac:dyDescent="0.25">
      <c r="B48" s="355"/>
      <c r="C48" s="356"/>
      <c r="D48" s="356"/>
      <c r="E48" s="356"/>
      <c r="H48" s="326">
        <v>35</v>
      </c>
      <c r="I48" s="327" t="str">
        <f t="shared" si="1"/>
        <v>Sunday</v>
      </c>
      <c r="J48" s="361">
        <f t="shared" si="2"/>
        <v>45564</v>
      </c>
      <c r="K48" s="328">
        <v>40000</v>
      </c>
      <c r="L48" s="328">
        <v>12500</v>
      </c>
      <c r="M48" s="328">
        <v>27500</v>
      </c>
      <c r="N48" s="328">
        <v>27500</v>
      </c>
      <c r="O48" s="328">
        <f t="shared" si="0"/>
        <v>107500</v>
      </c>
      <c r="P48" s="328">
        <v>125000</v>
      </c>
      <c r="Q48" s="45"/>
      <c r="T48" s="883"/>
    </row>
    <row r="49" spans="2:20" s="12" customFormat="1" ht="20.100000000000001" customHeight="1" x14ac:dyDescent="0.25">
      <c r="B49" s="355"/>
      <c r="C49" s="356"/>
      <c r="D49" s="356"/>
      <c r="E49" s="356"/>
      <c r="H49" s="326">
        <v>36</v>
      </c>
      <c r="I49" s="327" t="str">
        <f t="shared" si="1"/>
        <v>Monday</v>
      </c>
      <c r="J49" s="361">
        <f t="shared" si="2"/>
        <v>45565</v>
      </c>
      <c r="K49" s="328">
        <v>40000</v>
      </c>
      <c r="L49" s="328">
        <v>12500</v>
      </c>
      <c r="M49" s="328">
        <v>27500</v>
      </c>
      <c r="N49" s="328">
        <v>27500</v>
      </c>
      <c r="O49" s="328">
        <f t="shared" si="0"/>
        <v>107500</v>
      </c>
      <c r="P49" s="328">
        <v>125000</v>
      </c>
      <c r="Q49" s="45"/>
      <c r="T49" s="883"/>
    </row>
    <row r="50" spans="2:20" s="12" customFormat="1" ht="20.100000000000001" customHeight="1" x14ac:dyDescent="0.25">
      <c r="B50" s="355"/>
      <c r="C50" s="356"/>
      <c r="D50" s="356"/>
      <c r="E50" s="356"/>
      <c r="H50" s="323">
        <v>37</v>
      </c>
      <c r="I50" s="324" t="str">
        <f t="shared" si="1"/>
        <v>Tuesday</v>
      </c>
      <c r="J50" s="362">
        <f t="shared" si="2"/>
        <v>45566</v>
      </c>
      <c r="K50" s="325">
        <v>40000</v>
      </c>
      <c r="L50" s="325">
        <v>12500</v>
      </c>
      <c r="M50" s="325" t="s">
        <v>226</v>
      </c>
      <c r="N50" s="325">
        <v>27500</v>
      </c>
      <c r="O50" s="325">
        <f t="shared" si="0"/>
        <v>80000</v>
      </c>
      <c r="P50" s="325">
        <v>125000</v>
      </c>
      <c r="Q50" s="45"/>
      <c r="T50" s="883"/>
    </row>
    <row r="51" spans="2:20" s="12" customFormat="1" ht="20.100000000000001" customHeight="1" x14ac:dyDescent="0.25">
      <c r="B51" s="355"/>
      <c r="C51" s="356"/>
      <c r="D51" s="356"/>
      <c r="E51" s="356"/>
      <c r="H51" s="323">
        <v>38</v>
      </c>
      <c r="I51" s="324" t="str">
        <f t="shared" si="1"/>
        <v>Wednesday</v>
      </c>
      <c r="J51" s="362">
        <f t="shared" si="2"/>
        <v>45567</v>
      </c>
      <c r="K51" s="325">
        <v>40000</v>
      </c>
      <c r="L51" s="325">
        <v>12500</v>
      </c>
      <c r="M51" s="325" t="s">
        <v>226</v>
      </c>
      <c r="N51" s="325">
        <v>27500</v>
      </c>
      <c r="O51" s="325">
        <f t="shared" si="0"/>
        <v>80000</v>
      </c>
      <c r="P51" s="325">
        <v>125000</v>
      </c>
      <c r="Q51" s="45"/>
      <c r="T51" s="883"/>
    </row>
    <row r="52" spans="2:20" s="12" customFormat="1" ht="20.100000000000001" customHeight="1" x14ac:dyDescent="0.25">
      <c r="B52" s="355"/>
      <c r="C52" s="356"/>
      <c r="D52" s="356"/>
      <c r="E52" s="356"/>
      <c r="H52" s="323">
        <v>39</v>
      </c>
      <c r="I52" s="324" t="str">
        <f t="shared" si="1"/>
        <v>Thursday</v>
      </c>
      <c r="J52" s="362">
        <f t="shared" si="2"/>
        <v>45568</v>
      </c>
      <c r="K52" s="325">
        <v>40000</v>
      </c>
      <c r="L52" s="325">
        <v>12500</v>
      </c>
      <c r="M52" s="325" t="s">
        <v>226</v>
      </c>
      <c r="N52" s="325">
        <v>27500</v>
      </c>
      <c r="O52" s="325">
        <f t="shared" si="0"/>
        <v>80000</v>
      </c>
      <c r="P52" s="325">
        <v>125000</v>
      </c>
      <c r="Q52" s="45"/>
      <c r="T52" s="883"/>
    </row>
    <row r="53" spans="2:20" s="12" customFormat="1" ht="20.100000000000001" customHeight="1" x14ac:dyDescent="0.25">
      <c r="B53" s="355"/>
      <c r="C53" s="356"/>
      <c r="D53" s="356"/>
      <c r="E53" s="356"/>
      <c r="H53" s="323">
        <v>40</v>
      </c>
      <c r="I53" s="324" t="str">
        <f t="shared" si="1"/>
        <v>Friday</v>
      </c>
      <c r="J53" s="362">
        <f t="shared" si="2"/>
        <v>45569</v>
      </c>
      <c r="K53" s="325">
        <v>40000</v>
      </c>
      <c r="L53" s="325">
        <v>12500</v>
      </c>
      <c r="M53" s="325" t="s">
        <v>226</v>
      </c>
      <c r="N53" s="325">
        <v>27500</v>
      </c>
      <c r="O53" s="325">
        <f t="shared" si="0"/>
        <v>80000</v>
      </c>
      <c r="P53" s="325">
        <v>125000</v>
      </c>
      <c r="Q53" s="45"/>
      <c r="T53" s="883"/>
    </row>
    <row r="54" spans="2:20" s="12" customFormat="1" ht="20.100000000000001" customHeight="1" x14ac:dyDescent="0.25">
      <c r="B54" s="355"/>
      <c r="C54" s="356"/>
      <c r="D54" s="356"/>
      <c r="E54" s="356"/>
      <c r="H54" s="323">
        <v>41</v>
      </c>
      <c r="I54" s="324" t="str">
        <f t="shared" si="1"/>
        <v>Saturday</v>
      </c>
      <c r="J54" s="362">
        <f t="shared" si="2"/>
        <v>45570</v>
      </c>
      <c r="K54" s="325">
        <v>40000</v>
      </c>
      <c r="L54" s="325">
        <v>12500</v>
      </c>
      <c r="M54" s="325" t="s">
        <v>226</v>
      </c>
      <c r="N54" s="325">
        <v>27500</v>
      </c>
      <c r="O54" s="325">
        <f t="shared" si="0"/>
        <v>80000</v>
      </c>
      <c r="P54" s="325">
        <v>125000</v>
      </c>
      <c r="Q54" s="45"/>
      <c r="T54" s="883"/>
    </row>
    <row r="55" spans="2:20" s="12" customFormat="1" ht="20.100000000000001" customHeight="1" thickBot="1" x14ac:dyDescent="0.3">
      <c r="B55" s="355"/>
      <c r="C55" s="356"/>
      <c r="D55" s="356"/>
      <c r="E55" s="356"/>
      <c r="H55" s="326">
        <v>42</v>
      </c>
      <c r="I55" s="327" t="str">
        <f t="shared" si="1"/>
        <v>Sunday</v>
      </c>
      <c r="J55" s="361">
        <f t="shared" si="2"/>
        <v>45571</v>
      </c>
      <c r="K55" s="328">
        <v>0</v>
      </c>
      <c r="L55" s="328">
        <v>0</v>
      </c>
      <c r="M55" s="328">
        <v>0</v>
      </c>
      <c r="N55" s="328">
        <v>0</v>
      </c>
      <c r="O55" s="400">
        <f t="shared" si="0"/>
        <v>0</v>
      </c>
      <c r="P55" s="400">
        <v>125000</v>
      </c>
      <c r="Q55" s="45"/>
      <c r="T55" s="883"/>
    </row>
    <row r="56" spans="2:20" s="12" customFormat="1" ht="20.100000000000001" customHeight="1" thickTop="1" x14ac:dyDescent="0.25">
      <c r="B56" s="355"/>
      <c r="C56" s="356"/>
      <c r="D56" s="356"/>
      <c r="E56" s="356"/>
      <c r="H56" s="594" t="s">
        <v>12</v>
      </c>
      <c r="I56" s="595"/>
      <c r="J56" s="595"/>
      <c r="K56" s="595"/>
      <c r="L56" s="595"/>
      <c r="M56" s="595"/>
      <c r="N56" s="596"/>
      <c r="O56" s="360">
        <f>SUM(O14:O55)</f>
        <v>3517500</v>
      </c>
      <c r="P56" s="360">
        <f>SUM(P14:P55)</f>
        <v>5250000</v>
      </c>
      <c r="Q56" s="45"/>
      <c r="T56" s="883"/>
    </row>
    <row r="57" spans="2:20" s="332" customFormat="1" ht="30" customHeight="1" x14ac:dyDescent="0.25">
      <c r="B57" s="395" t="s">
        <v>244</v>
      </c>
      <c r="C57" s="383"/>
      <c r="D57" s="384"/>
      <c r="E57" s="384"/>
      <c r="F57" s="385"/>
      <c r="G57" s="333"/>
      <c r="H57" s="333"/>
      <c r="I57" s="333"/>
      <c r="J57" s="339"/>
      <c r="Q57" s="334"/>
      <c r="T57" s="884"/>
    </row>
    <row r="58" spans="2:20" s="396" customFormat="1" ht="20.100000000000001" customHeight="1" x14ac:dyDescent="0.25">
      <c r="B58" s="608" t="s">
        <v>34</v>
      </c>
      <c r="C58" s="608" t="s">
        <v>3</v>
      </c>
      <c r="D58" s="608"/>
      <c r="E58" s="608"/>
      <c r="F58" s="608"/>
      <c r="G58" s="608"/>
      <c r="H58" s="572" t="s">
        <v>176</v>
      </c>
      <c r="I58" s="572" t="s">
        <v>237</v>
      </c>
      <c r="J58" s="572"/>
      <c r="K58" s="572"/>
      <c r="L58" s="572"/>
      <c r="M58" s="572" t="s">
        <v>249</v>
      </c>
      <c r="N58" s="572"/>
      <c r="O58" s="572"/>
      <c r="P58" s="572"/>
      <c r="Q58" s="397"/>
      <c r="T58" s="885"/>
    </row>
    <row r="59" spans="2:20" s="396" customFormat="1" ht="20.100000000000001" customHeight="1" x14ac:dyDescent="0.25">
      <c r="B59" s="608"/>
      <c r="C59" s="608"/>
      <c r="D59" s="608"/>
      <c r="E59" s="608"/>
      <c r="F59" s="608"/>
      <c r="G59" s="608"/>
      <c r="H59" s="572"/>
      <c r="I59" s="399" t="s">
        <v>238</v>
      </c>
      <c r="J59" s="399" t="s">
        <v>239</v>
      </c>
      <c r="K59" s="399" t="s">
        <v>238</v>
      </c>
      <c r="L59" s="399" t="s">
        <v>239</v>
      </c>
      <c r="M59" s="570" t="s">
        <v>248</v>
      </c>
      <c r="N59" s="570"/>
      <c r="O59" s="570"/>
      <c r="P59" s="570"/>
      <c r="Q59" s="397"/>
      <c r="T59" s="885"/>
    </row>
    <row r="60" spans="2:20" s="396" customFormat="1" ht="20.100000000000001" customHeight="1" x14ac:dyDescent="0.25">
      <c r="B60" s="608"/>
      <c r="C60" s="608"/>
      <c r="D60" s="608"/>
      <c r="E60" s="608"/>
      <c r="F60" s="608"/>
      <c r="G60" s="608"/>
      <c r="H60" s="572"/>
      <c r="I60" s="368">
        <v>45530</v>
      </c>
      <c r="J60" s="368">
        <v>45548</v>
      </c>
      <c r="K60" s="368">
        <v>45551</v>
      </c>
      <c r="L60" s="369">
        <v>45569</v>
      </c>
      <c r="M60" s="570"/>
      <c r="N60" s="570"/>
      <c r="O60" s="570"/>
      <c r="P60" s="570"/>
      <c r="Q60" s="397"/>
      <c r="T60" s="885"/>
    </row>
    <row r="61" spans="2:20" s="396" customFormat="1" ht="20.100000000000001" customHeight="1" thickBot="1" x14ac:dyDescent="0.3">
      <c r="B61" s="609"/>
      <c r="C61" s="609"/>
      <c r="D61" s="609"/>
      <c r="E61" s="609"/>
      <c r="F61" s="609"/>
      <c r="G61" s="609"/>
      <c r="H61" s="628"/>
      <c r="I61" s="370" t="s">
        <v>240</v>
      </c>
      <c r="J61" s="370" t="s">
        <v>241</v>
      </c>
      <c r="K61" s="370" t="s">
        <v>243</v>
      </c>
      <c r="L61" s="371" t="s">
        <v>242</v>
      </c>
      <c r="M61" s="571"/>
      <c r="N61" s="571"/>
      <c r="O61" s="571"/>
      <c r="P61" s="571"/>
      <c r="Q61" s="397"/>
      <c r="T61" s="885"/>
    </row>
    <row r="62" spans="2:20" s="345" customFormat="1" ht="24.95" customHeight="1" thickTop="1" x14ac:dyDescent="0.25">
      <c r="B62" s="377">
        <v>1</v>
      </c>
      <c r="C62" s="607" t="s">
        <v>255</v>
      </c>
      <c r="D62" s="607"/>
      <c r="E62" s="607"/>
      <c r="F62" s="607"/>
      <c r="G62" s="607"/>
      <c r="H62" s="372">
        <f>+O56</f>
        <v>3517500</v>
      </c>
      <c r="I62" s="372">
        <v>1091330</v>
      </c>
      <c r="J62" s="372">
        <v>1057320</v>
      </c>
      <c r="K62" s="372">
        <v>1091330</v>
      </c>
      <c r="L62" s="373">
        <v>1145720</v>
      </c>
      <c r="M62" s="568">
        <f>+P56</f>
        <v>5250000</v>
      </c>
      <c r="N62" s="568"/>
      <c r="O62" s="568"/>
      <c r="P62" s="568"/>
      <c r="Q62" s="346"/>
      <c r="T62" s="886">
        <v>6450000</v>
      </c>
    </row>
    <row r="63" spans="2:20" s="345" customFormat="1" ht="24.95" customHeight="1" thickBot="1" x14ac:dyDescent="0.3">
      <c r="B63" s="374">
        <v>2</v>
      </c>
      <c r="C63" s="606" t="s">
        <v>221</v>
      </c>
      <c r="D63" s="606"/>
      <c r="E63" s="606"/>
      <c r="F63" s="606"/>
      <c r="G63" s="606"/>
      <c r="H63" s="375">
        <f>+O56</f>
        <v>3517500</v>
      </c>
      <c r="I63" s="375">
        <v>1091330</v>
      </c>
      <c r="J63" s="375">
        <v>1057320</v>
      </c>
      <c r="K63" s="375">
        <v>1091330</v>
      </c>
      <c r="L63" s="376">
        <v>1145720</v>
      </c>
      <c r="M63" s="569">
        <f>+P56</f>
        <v>5250000</v>
      </c>
      <c r="N63" s="569"/>
      <c r="O63" s="569"/>
      <c r="P63" s="569"/>
      <c r="Q63" s="346"/>
      <c r="T63" s="886">
        <v>585000</v>
      </c>
    </row>
    <row r="64" spans="2:20" s="345" customFormat="1" ht="24.95" customHeight="1" thickTop="1" x14ac:dyDescent="0.25">
      <c r="B64" s="605" t="s">
        <v>170</v>
      </c>
      <c r="C64" s="605"/>
      <c r="D64" s="605"/>
      <c r="E64" s="605"/>
      <c r="F64" s="605"/>
      <c r="G64" s="605"/>
      <c r="H64" s="888">
        <f>SUM(H62:H63)</f>
        <v>7035000</v>
      </c>
      <c r="I64" s="568">
        <f>SUM(I62:L63)</f>
        <v>8771400</v>
      </c>
      <c r="J64" s="568"/>
      <c r="K64" s="568"/>
      <c r="L64" s="568"/>
      <c r="M64" s="568">
        <f>+M63+M62</f>
        <v>10500000</v>
      </c>
      <c r="N64" s="568"/>
      <c r="O64" s="568"/>
      <c r="P64" s="568"/>
      <c r="Q64" s="346"/>
      <c r="T64" s="886">
        <f>SUM(T62:T63)</f>
        <v>7035000</v>
      </c>
    </row>
    <row r="65" spans="2:21" s="345" customFormat="1" ht="24.95" customHeight="1" x14ac:dyDescent="0.25">
      <c r="B65" s="604" t="s">
        <v>12</v>
      </c>
      <c r="C65" s="604"/>
      <c r="D65" s="604"/>
      <c r="E65" s="604"/>
      <c r="F65" s="604"/>
      <c r="G65" s="604"/>
      <c r="H65" s="629">
        <f>SUM(H64:O64)</f>
        <v>26306400</v>
      </c>
      <c r="I65" s="629"/>
      <c r="J65" s="629"/>
      <c r="K65" s="629"/>
      <c r="L65" s="629"/>
      <c r="M65" s="629"/>
      <c r="N65" s="629"/>
      <c r="O65" s="629"/>
      <c r="P65" s="629"/>
      <c r="Q65" s="346"/>
    </row>
    <row r="66" spans="2:21" s="345" customFormat="1" ht="20.100000000000001" customHeight="1" x14ac:dyDescent="0.25">
      <c r="B66" s="347"/>
      <c r="C66" s="348"/>
      <c r="D66" s="348"/>
      <c r="E66" s="348"/>
      <c r="F66" s="349"/>
      <c r="G66" s="349"/>
      <c r="H66" s="350"/>
      <c r="I66" s="349"/>
      <c r="J66" s="349"/>
      <c r="K66" s="351"/>
      <c r="L66" s="348"/>
      <c r="M66" s="348"/>
      <c r="Q66" s="352"/>
    </row>
    <row r="67" spans="2:21" s="345" customFormat="1" ht="20.100000000000001" customHeight="1" x14ac:dyDescent="0.25">
      <c r="B67" s="347"/>
      <c r="C67" s="348"/>
      <c r="D67" s="889"/>
      <c r="E67" s="889"/>
      <c r="F67" s="890" t="s">
        <v>259</v>
      </c>
      <c r="G67" s="890"/>
      <c r="H67" s="891">
        <v>6450000</v>
      </c>
      <c r="I67" s="890"/>
      <c r="J67" s="349"/>
      <c r="K67" s="351"/>
      <c r="L67" s="348"/>
      <c r="M67" s="348"/>
      <c r="Q67" s="352"/>
    </row>
    <row r="68" spans="2:21" s="345" customFormat="1" ht="20.100000000000001" customHeight="1" x14ac:dyDescent="0.25">
      <c r="B68" s="347"/>
      <c r="C68" s="348"/>
      <c r="D68" s="889"/>
      <c r="E68" s="892"/>
      <c r="F68" s="893" t="s">
        <v>260</v>
      </c>
      <c r="G68" s="893"/>
      <c r="H68" s="894">
        <v>585000</v>
      </c>
      <c r="I68" s="895" t="s">
        <v>261</v>
      </c>
      <c r="J68" s="349"/>
      <c r="K68" s="351"/>
      <c r="L68" s="348"/>
      <c r="M68" s="348"/>
      <c r="Q68" s="352"/>
    </row>
    <row r="69" spans="2:21" s="345" customFormat="1" ht="20.100000000000001" customHeight="1" x14ac:dyDescent="0.25">
      <c r="B69" s="347"/>
      <c r="C69" s="348"/>
      <c r="D69" s="889"/>
      <c r="E69" s="889"/>
      <c r="F69" s="890" t="s">
        <v>262</v>
      </c>
      <c r="G69" s="890"/>
      <c r="H69" s="891">
        <f>+H68+H67</f>
        <v>7035000</v>
      </c>
      <c r="I69" s="890"/>
      <c r="J69" s="349"/>
      <c r="K69" s="351"/>
      <c r="L69" s="348"/>
      <c r="M69" s="348"/>
      <c r="Q69" s="352"/>
    </row>
    <row r="70" spans="2:21" s="345" customFormat="1" ht="20.100000000000001" customHeight="1" x14ac:dyDescent="0.25">
      <c r="B70" s="347"/>
      <c r="C70" s="348"/>
      <c r="D70" s="348"/>
      <c r="E70" s="348"/>
      <c r="F70" s="349"/>
      <c r="G70" s="349"/>
      <c r="H70" s="350"/>
      <c r="I70" s="349"/>
      <c r="J70" s="349"/>
      <c r="K70" s="351"/>
      <c r="L70" s="348"/>
      <c r="M70" s="348"/>
      <c r="Q70" s="352"/>
    </row>
    <row r="71" spans="2:21" s="345" customFormat="1" ht="20.100000000000001" customHeight="1" x14ac:dyDescent="0.25">
      <c r="B71" s="347"/>
      <c r="C71" s="401" t="s">
        <v>252</v>
      </c>
      <c r="D71" s="348"/>
      <c r="E71" s="348"/>
      <c r="F71" s="349"/>
      <c r="G71" s="349"/>
      <c r="H71" s="350"/>
      <c r="I71" s="349"/>
      <c r="J71" s="349"/>
      <c r="M71" s="386" t="s">
        <v>58</v>
      </c>
      <c r="N71" s="387" t="s">
        <v>57</v>
      </c>
      <c r="O71" s="387" t="s">
        <v>45</v>
      </c>
      <c r="P71" s="387" t="s">
        <v>44</v>
      </c>
      <c r="Q71" s="352"/>
      <c r="T71" s="886"/>
    </row>
    <row r="72" spans="2:21" s="345" customFormat="1" ht="20.100000000000001" customHeight="1" x14ac:dyDescent="0.25">
      <c r="B72" s="347"/>
      <c r="C72" s="401" t="s">
        <v>256</v>
      </c>
      <c r="D72" s="348"/>
      <c r="E72" s="348"/>
      <c r="F72" s="349"/>
      <c r="G72" s="349"/>
      <c r="H72" s="350"/>
      <c r="I72" s="349"/>
      <c r="J72" s="349"/>
      <c r="M72" s="578"/>
      <c r="N72" s="575"/>
      <c r="O72" s="575"/>
      <c r="P72" s="575"/>
      <c r="Q72" s="352"/>
      <c r="T72" s="886"/>
    </row>
    <row r="73" spans="2:21" s="345" customFormat="1" ht="20.100000000000001" customHeight="1" x14ac:dyDescent="0.25">
      <c r="B73" s="347"/>
      <c r="C73" s="401" t="s">
        <v>253</v>
      </c>
      <c r="D73" s="348"/>
      <c r="E73" s="348"/>
      <c r="F73" s="349"/>
      <c r="G73" s="349"/>
      <c r="H73" s="350"/>
      <c r="I73" s="349"/>
      <c r="J73" s="349"/>
      <c r="M73" s="579"/>
      <c r="N73" s="576"/>
      <c r="O73" s="576"/>
      <c r="P73" s="576"/>
      <c r="Q73" s="352"/>
      <c r="T73" s="886"/>
    </row>
    <row r="74" spans="2:21" s="345" customFormat="1" ht="20.100000000000001" customHeight="1" x14ac:dyDescent="0.25">
      <c r="B74" s="347"/>
      <c r="C74" s="401" t="s">
        <v>254</v>
      </c>
      <c r="D74" s="348"/>
      <c r="E74" s="348"/>
      <c r="F74" s="349"/>
      <c r="G74" s="349"/>
      <c r="H74" s="350"/>
      <c r="I74" s="349"/>
      <c r="J74" s="349"/>
      <c r="M74" s="580"/>
      <c r="N74" s="577"/>
      <c r="O74" s="577"/>
      <c r="P74" s="577"/>
      <c r="Q74" s="352"/>
      <c r="T74" s="886"/>
    </row>
    <row r="75" spans="2:21" s="345" customFormat="1" ht="20.100000000000001" customHeight="1" x14ac:dyDescent="0.25">
      <c r="B75" s="347"/>
      <c r="C75" s="401" t="s">
        <v>257</v>
      </c>
      <c r="D75" s="348"/>
      <c r="E75" s="348"/>
      <c r="F75" s="349"/>
      <c r="G75" s="349"/>
      <c r="H75" s="350"/>
      <c r="I75" s="349"/>
      <c r="J75" s="349"/>
      <c r="M75" s="386" t="s">
        <v>59</v>
      </c>
      <c r="N75" s="387" t="s">
        <v>48</v>
      </c>
      <c r="O75" s="387" t="s">
        <v>47</v>
      </c>
      <c r="P75" s="387" t="s">
        <v>46</v>
      </c>
      <c r="Q75" s="352"/>
      <c r="T75" s="886"/>
    </row>
    <row r="76" spans="2:21" s="332" customFormat="1" ht="20.100000000000001" customHeight="1" thickBot="1" x14ac:dyDescent="0.3">
      <c r="B76" s="340"/>
      <c r="C76" s="341"/>
      <c r="D76" s="341"/>
      <c r="E76" s="342"/>
      <c r="F76" s="343"/>
      <c r="G76" s="343"/>
      <c r="H76" s="343"/>
      <c r="I76" s="343"/>
      <c r="J76" s="343"/>
      <c r="K76" s="344"/>
      <c r="L76" s="344"/>
      <c r="M76" s="335"/>
      <c r="N76" s="335"/>
      <c r="O76" s="336"/>
      <c r="P76" s="336"/>
      <c r="Q76" s="337"/>
      <c r="T76" s="884"/>
      <c r="U76" s="338"/>
    </row>
    <row r="77" spans="2:21" ht="15" customHeight="1" thickTop="1" x14ac:dyDescent="0.25">
      <c r="B77" s="613" t="s">
        <v>104</v>
      </c>
      <c r="C77" s="614"/>
      <c r="D77" s="614"/>
      <c r="E77" s="614"/>
      <c r="F77" s="615"/>
      <c r="G77" s="620"/>
      <c r="H77" s="622" t="s">
        <v>154</v>
      </c>
      <c r="I77" s="623"/>
      <c r="J77" s="611" t="s">
        <v>165</v>
      </c>
      <c r="K77" s="611"/>
      <c r="L77" s="112">
        <v>45118</v>
      </c>
      <c r="M77" s="88" t="s">
        <v>46</v>
      </c>
      <c r="N77" s="88"/>
      <c r="O77" s="89"/>
      <c r="P77" s="564"/>
      <c r="Q77" s="565"/>
    </row>
    <row r="78" spans="2:21" ht="15" customHeight="1" x14ac:dyDescent="0.25">
      <c r="B78" s="616"/>
      <c r="C78" s="614"/>
      <c r="D78" s="614"/>
      <c r="E78" s="614"/>
      <c r="F78" s="615"/>
      <c r="G78" s="620"/>
      <c r="H78" s="624"/>
      <c r="I78" s="625"/>
      <c r="J78" s="611" t="s">
        <v>162</v>
      </c>
      <c r="K78" s="611"/>
      <c r="L78" s="113">
        <v>44702</v>
      </c>
      <c r="M78" s="4" t="s">
        <v>46</v>
      </c>
      <c r="N78" s="4"/>
      <c r="O78" s="87"/>
      <c r="P78" s="566"/>
      <c r="Q78" s="567"/>
    </row>
    <row r="79" spans="2:21" ht="15" customHeight="1" x14ac:dyDescent="0.25">
      <c r="B79" s="616"/>
      <c r="C79" s="614"/>
      <c r="D79" s="614"/>
      <c r="E79" s="614"/>
      <c r="F79" s="615"/>
      <c r="G79" s="620"/>
      <c r="H79" s="624"/>
      <c r="I79" s="625"/>
      <c r="J79" s="611" t="s">
        <v>161</v>
      </c>
      <c r="K79" s="611"/>
      <c r="L79" s="113">
        <v>44314</v>
      </c>
      <c r="M79" s="4" t="s">
        <v>46</v>
      </c>
      <c r="N79" s="4">
        <v>3</v>
      </c>
      <c r="O79" s="87">
        <f>+L77</f>
        <v>45118</v>
      </c>
      <c r="P79" s="541" t="s">
        <v>48</v>
      </c>
      <c r="Q79" s="542"/>
    </row>
    <row r="80" spans="2:21" ht="15" customHeight="1" x14ac:dyDescent="0.25">
      <c r="B80" s="616"/>
      <c r="C80" s="614"/>
      <c r="D80" s="614"/>
      <c r="E80" s="614"/>
      <c r="F80" s="615"/>
      <c r="G80" s="620"/>
      <c r="H80" s="624"/>
      <c r="I80" s="625"/>
      <c r="J80" s="611" t="s">
        <v>160</v>
      </c>
      <c r="K80" s="611"/>
      <c r="L80" s="113">
        <v>44147</v>
      </c>
      <c r="M80" s="4" t="s">
        <v>46</v>
      </c>
      <c r="N80" s="4">
        <v>2</v>
      </c>
      <c r="O80" s="87">
        <v>44702</v>
      </c>
      <c r="P80" s="541" t="s">
        <v>164</v>
      </c>
      <c r="Q80" s="542"/>
    </row>
    <row r="81" spans="2:20" ht="15" customHeight="1" x14ac:dyDescent="0.25">
      <c r="B81" s="616"/>
      <c r="C81" s="614"/>
      <c r="D81" s="614"/>
      <c r="E81" s="614"/>
      <c r="F81" s="615"/>
      <c r="G81" s="620"/>
      <c r="H81" s="624"/>
      <c r="I81" s="625"/>
      <c r="J81" s="611" t="s">
        <v>103</v>
      </c>
      <c r="K81" s="611"/>
      <c r="L81" s="113">
        <v>45113</v>
      </c>
      <c r="M81" s="4" t="s">
        <v>163</v>
      </c>
      <c r="N81" s="4">
        <v>1</v>
      </c>
      <c r="O81" s="87">
        <v>44314</v>
      </c>
      <c r="P81" s="541" t="s">
        <v>48</v>
      </c>
      <c r="Q81" s="542"/>
    </row>
    <row r="82" spans="2:20" s="3" customFormat="1" ht="15" customHeight="1" x14ac:dyDescent="0.25">
      <c r="B82" s="617"/>
      <c r="C82" s="618"/>
      <c r="D82" s="618"/>
      <c r="E82" s="618"/>
      <c r="F82" s="619"/>
      <c r="G82" s="621"/>
      <c r="H82" s="626"/>
      <c r="I82" s="627"/>
      <c r="J82" s="612" t="s">
        <v>101</v>
      </c>
      <c r="K82" s="612"/>
      <c r="L82" s="276" t="s">
        <v>5</v>
      </c>
      <c r="M82" s="276" t="s">
        <v>98</v>
      </c>
      <c r="N82" s="276" t="s">
        <v>99</v>
      </c>
      <c r="O82" s="276" t="s">
        <v>100</v>
      </c>
      <c r="P82" s="408" t="s">
        <v>98</v>
      </c>
      <c r="Q82" s="410"/>
      <c r="T82" s="887"/>
    </row>
  </sheetData>
  <mergeCells count="49">
    <mergeCell ref="I64:L64"/>
    <mergeCell ref="I58:L58"/>
    <mergeCell ref="H58:H61"/>
    <mergeCell ref="H65:P65"/>
    <mergeCell ref="J81:K81"/>
    <mergeCell ref="J82:K82"/>
    <mergeCell ref="B77:F82"/>
    <mergeCell ref="G77:G82"/>
    <mergeCell ref="H77:I82"/>
    <mergeCell ref="J77:K77"/>
    <mergeCell ref="J78:K78"/>
    <mergeCell ref="J79:K79"/>
    <mergeCell ref="J80:K80"/>
    <mergeCell ref="C62:G62"/>
    <mergeCell ref="C58:G61"/>
    <mergeCell ref="I12:I13"/>
    <mergeCell ref="O10:Q10"/>
    <mergeCell ref="B58:B61"/>
    <mergeCell ref="P82:Q82"/>
    <mergeCell ref="P6:Q6"/>
    <mergeCell ref="P80:Q80"/>
    <mergeCell ref="P81:Q81"/>
    <mergeCell ref="B10:D10"/>
    <mergeCell ref="M10:N10"/>
    <mergeCell ref="H12:H13"/>
    <mergeCell ref="B3:H6"/>
    <mergeCell ref="H56:N56"/>
    <mergeCell ref="B8:E8"/>
    <mergeCell ref="B11:F12"/>
    <mergeCell ref="K12:O12"/>
    <mergeCell ref="J12:J13"/>
    <mergeCell ref="B65:G65"/>
    <mergeCell ref="B64:G64"/>
    <mergeCell ref="C63:G63"/>
    <mergeCell ref="P2:Q2"/>
    <mergeCell ref="M3:Q5"/>
    <mergeCell ref="P77:Q77"/>
    <mergeCell ref="P78:Q78"/>
    <mergeCell ref="P79:Q79"/>
    <mergeCell ref="M64:P64"/>
    <mergeCell ref="M63:P63"/>
    <mergeCell ref="M62:P62"/>
    <mergeCell ref="M59:P61"/>
    <mergeCell ref="M58:P58"/>
    <mergeCell ref="P12:P13"/>
    <mergeCell ref="P72:P74"/>
    <mergeCell ref="O72:O74"/>
    <mergeCell ref="N72:N74"/>
    <mergeCell ref="M72:M74"/>
  </mergeCells>
  <conditionalFormatting sqref="I14:I55">
    <cfRule type="containsText" dxfId="1" priority="1" operator="containsText" text="saturday">
      <formula>NOT(ISERROR(SEARCH("saturday",I14)))</formula>
    </cfRule>
    <cfRule type="containsText" dxfId="0" priority="2" operator="containsText" text="sunday">
      <formula>NOT(ISERROR(SEARCH("sunday",I14)))</formula>
    </cfRule>
  </conditionalFormatting>
  <printOptions horizontalCentered="1" verticalCentered="1"/>
  <pageMargins left="0" right="0" top="0" bottom="0" header="0"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27451-BF70-46F3-B226-A4D0C618D5BF}">
  <sheetPr>
    <pageSetUpPr fitToPage="1"/>
  </sheetPr>
  <dimension ref="B3:F15"/>
  <sheetViews>
    <sheetView showGridLines="0" workbookViewId="0">
      <selection activeCell="D7" sqref="D7"/>
    </sheetView>
  </sheetViews>
  <sheetFormatPr defaultRowHeight="14.25" x14ac:dyDescent="0.25"/>
  <cols>
    <col min="1" max="1" width="1.7109375" style="305" customWidth="1"/>
    <col min="2" max="2" width="15.7109375" style="301" customWidth="1"/>
    <col min="3" max="6" width="15.7109375" style="310" customWidth="1"/>
    <col min="7" max="16384" width="9.140625" style="305"/>
  </cols>
  <sheetData>
    <row r="3" spans="2:6" x14ac:dyDescent="0.25">
      <c r="B3" s="317" t="s">
        <v>235</v>
      </c>
    </row>
    <row r="4" spans="2:6" s="301" customFormat="1" x14ac:dyDescent="0.25">
      <c r="B4" s="634" t="s">
        <v>5</v>
      </c>
      <c r="C4" s="632" t="s">
        <v>11</v>
      </c>
      <c r="D4" s="632" t="s">
        <v>227</v>
      </c>
      <c r="E4" s="632"/>
      <c r="F4" s="632"/>
    </row>
    <row r="5" spans="2:6" s="301" customFormat="1" ht="15" thickBot="1" x14ac:dyDescent="0.3">
      <c r="B5" s="635"/>
      <c r="C5" s="633"/>
      <c r="D5" s="314" t="s">
        <v>228</v>
      </c>
      <c r="E5" s="314" t="s">
        <v>229</v>
      </c>
      <c r="F5" s="314" t="s">
        <v>230</v>
      </c>
    </row>
    <row r="6" spans="2:6" ht="15" thickTop="1" x14ac:dyDescent="0.25">
      <c r="B6" s="302">
        <v>45518</v>
      </c>
      <c r="C6" s="303">
        <v>0</v>
      </c>
      <c r="D6" s="303">
        <v>12500</v>
      </c>
      <c r="E6" s="304" t="s">
        <v>231</v>
      </c>
      <c r="F6" s="303">
        <v>27500</v>
      </c>
    </row>
    <row r="7" spans="2:6" x14ac:dyDescent="0.25">
      <c r="B7" s="306">
        <v>45519</v>
      </c>
      <c r="C7" s="307">
        <v>0</v>
      </c>
      <c r="D7" s="308" t="s">
        <v>207</v>
      </c>
      <c r="E7" s="308" t="s">
        <v>231</v>
      </c>
      <c r="F7" s="307">
        <v>27500</v>
      </c>
    </row>
    <row r="8" spans="2:6" ht="18" x14ac:dyDescent="0.25">
      <c r="B8" s="309" t="s">
        <v>12</v>
      </c>
      <c r="C8" s="630">
        <f>SUM(C6:F7)</f>
        <v>67500</v>
      </c>
      <c r="D8" s="630"/>
      <c r="E8" s="630"/>
      <c r="F8" s="630"/>
    </row>
    <row r="10" spans="2:6" x14ac:dyDescent="0.25">
      <c r="B10" s="317" t="s">
        <v>236</v>
      </c>
    </row>
    <row r="11" spans="2:6" ht="15" thickBot="1" x14ac:dyDescent="0.3">
      <c r="B11" s="315" t="s">
        <v>1</v>
      </c>
      <c r="C11" s="316" t="s">
        <v>3</v>
      </c>
      <c r="D11" s="316" t="s">
        <v>176</v>
      </c>
    </row>
    <row r="12" spans="2:6" ht="15" thickTop="1" x14ac:dyDescent="0.25">
      <c r="B12" s="312">
        <v>1</v>
      </c>
      <c r="C12" s="303" t="s">
        <v>232</v>
      </c>
      <c r="D12" s="303">
        <f>+C8</f>
        <v>67500</v>
      </c>
    </row>
    <row r="13" spans="2:6" x14ac:dyDescent="0.25">
      <c r="B13" s="311">
        <v>2</v>
      </c>
      <c r="C13" s="307" t="s">
        <v>233</v>
      </c>
      <c r="D13" s="307">
        <f>+C8</f>
        <v>67500</v>
      </c>
    </row>
    <row r="14" spans="2:6" x14ac:dyDescent="0.25">
      <c r="B14" s="311">
        <v>3</v>
      </c>
      <c r="C14" s="307" t="s">
        <v>234</v>
      </c>
      <c r="D14" s="307">
        <f>+C8</f>
        <v>67500</v>
      </c>
    </row>
    <row r="15" spans="2:6" ht="18" x14ac:dyDescent="0.25">
      <c r="B15" s="631" t="s">
        <v>12</v>
      </c>
      <c r="C15" s="631"/>
      <c r="D15" s="313">
        <f>SUM(D12:D14)</f>
        <v>202500</v>
      </c>
    </row>
  </sheetData>
  <mergeCells count="5">
    <mergeCell ref="C8:F8"/>
    <mergeCell ref="B15:C15"/>
    <mergeCell ref="C4:C5"/>
    <mergeCell ref="B4:B5"/>
    <mergeCell ref="D4:F4"/>
  </mergeCells>
  <printOptions horizontalCentered="1"/>
  <pageMargins left="0" right="0"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S62"/>
  <sheetViews>
    <sheetView showGridLines="0" view="pageBreakPreview" topLeftCell="A40" zoomScale="85" zoomScaleNormal="85" zoomScaleSheetLayoutView="85" workbookViewId="0">
      <selection activeCell="N44" sqref="N44:O45"/>
    </sheetView>
  </sheetViews>
  <sheetFormatPr defaultRowHeight="15" x14ac:dyDescent="0.25"/>
  <cols>
    <col min="1" max="1" width="5.7109375" style="1" customWidth="1"/>
    <col min="2" max="5" width="14.7109375" style="2" customWidth="1"/>
    <col min="6" max="15" width="14.7109375" style="1" customWidth="1"/>
    <col min="16" max="16" width="1.7109375" style="1" customWidth="1"/>
    <col min="17" max="46" width="15.7109375" style="1" customWidth="1"/>
    <col min="47" max="16384" width="9.140625" style="1"/>
  </cols>
  <sheetData>
    <row r="1" spans="1:15" x14ac:dyDescent="0.25">
      <c r="O1" s="86" t="s">
        <v>110</v>
      </c>
    </row>
    <row r="2" spans="1:15" ht="15" customHeight="1" x14ac:dyDescent="0.25">
      <c r="A2" s="74" t="s">
        <v>38</v>
      </c>
      <c r="B2" s="68"/>
      <c r="C2" s="68"/>
      <c r="D2" s="68"/>
      <c r="E2" s="68"/>
      <c r="F2" s="75"/>
      <c r="G2" s="75"/>
      <c r="H2" s="76" t="s">
        <v>52</v>
      </c>
      <c r="I2" s="78" t="s">
        <v>53</v>
      </c>
      <c r="J2" s="78" t="s">
        <v>158</v>
      </c>
      <c r="K2" s="79"/>
      <c r="L2" s="4" t="s">
        <v>58</v>
      </c>
      <c r="M2" s="4" t="s">
        <v>57</v>
      </c>
      <c r="N2" s="4" t="s">
        <v>45</v>
      </c>
      <c r="O2" s="4" t="s">
        <v>44</v>
      </c>
    </row>
    <row r="3" spans="1:15" ht="15" customHeight="1" x14ac:dyDescent="0.25">
      <c r="A3" s="585" t="s">
        <v>159</v>
      </c>
      <c r="B3" s="586"/>
      <c r="C3" s="586"/>
      <c r="D3" s="586"/>
      <c r="E3" s="586"/>
      <c r="F3" s="586"/>
      <c r="G3" s="586"/>
      <c r="H3" s="587"/>
      <c r="I3" s="81" t="s">
        <v>5</v>
      </c>
      <c r="J3" s="81" t="s">
        <v>180</v>
      </c>
      <c r="K3" s="82"/>
      <c r="L3" s="544" t="s">
        <v>152</v>
      </c>
      <c r="M3" s="545"/>
      <c r="N3" s="545"/>
      <c r="O3" s="546"/>
    </row>
    <row r="4" spans="1:15" ht="15" customHeight="1" x14ac:dyDescent="0.25">
      <c r="A4" s="588"/>
      <c r="B4" s="649"/>
      <c r="C4" s="649"/>
      <c r="D4" s="649"/>
      <c r="E4" s="649"/>
      <c r="F4" s="649"/>
      <c r="G4" s="649"/>
      <c r="H4" s="590"/>
      <c r="I4" s="81" t="s">
        <v>54</v>
      </c>
      <c r="J4" s="81" t="s">
        <v>157</v>
      </c>
      <c r="K4" s="82"/>
      <c r="L4" s="547"/>
      <c r="M4" s="548"/>
      <c r="N4" s="548"/>
      <c r="O4" s="549"/>
    </row>
    <row r="5" spans="1:15" ht="15" customHeight="1" x14ac:dyDescent="0.25">
      <c r="A5" s="588"/>
      <c r="B5" s="649"/>
      <c r="C5" s="649"/>
      <c r="D5" s="649"/>
      <c r="E5" s="649"/>
      <c r="F5" s="649"/>
      <c r="G5" s="649"/>
      <c r="H5" s="590"/>
      <c r="I5" s="81" t="s">
        <v>153</v>
      </c>
      <c r="J5" s="81" t="s">
        <v>195</v>
      </c>
      <c r="K5" s="82"/>
      <c r="L5" s="550"/>
      <c r="M5" s="551"/>
      <c r="N5" s="551"/>
      <c r="O5" s="552"/>
    </row>
    <row r="6" spans="1:15" ht="15" customHeight="1" x14ac:dyDescent="0.25">
      <c r="A6" s="588"/>
      <c r="B6" s="649"/>
      <c r="C6" s="649"/>
      <c r="D6" s="649"/>
      <c r="E6" s="649"/>
      <c r="F6" s="649"/>
      <c r="G6" s="649"/>
      <c r="H6" s="590"/>
      <c r="I6" s="96" t="s">
        <v>56</v>
      </c>
      <c r="J6" s="96" t="s">
        <v>181</v>
      </c>
      <c r="K6" s="97"/>
      <c r="L6" s="98" t="s">
        <v>59</v>
      </c>
      <c r="M6" s="98" t="s">
        <v>48</v>
      </c>
      <c r="N6" s="98" t="s">
        <v>47</v>
      </c>
      <c r="O6" s="98" t="s">
        <v>167</v>
      </c>
    </row>
    <row r="7" spans="1:15" ht="9.9499999999999993" customHeight="1" x14ac:dyDescent="0.25">
      <c r="A7" s="90"/>
      <c r="B7" s="17"/>
      <c r="C7" s="17"/>
      <c r="D7" s="17"/>
      <c r="E7" s="17"/>
      <c r="F7" s="66"/>
      <c r="G7" s="66"/>
      <c r="H7" s="66"/>
      <c r="I7" s="66"/>
      <c r="J7" s="66"/>
      <c r="K7" s="66"/>
      <c r="L7" s="66"/>
      <c r="M7" s="66"/>
      <c r="N7" s="66"/>
      <c r="O7" s="71"/>
    </row>
    <row r="8" spans="1:15" ht="24.95" customHeight="1" x14ac:dyDescent="0.25">
      <c r="A8" s="93" t="s">
        <v>168</v>
      </c>
      <c r="E8" s="2" t="str">
        <f>+'TAHAP 1'!G9</f>
        <v>: MENGIKUTI JISHUKEN GLOBAL PEMI 2024</v>
      </c>
      <c r="O8" s="18"/>
    </row>
    <row r="9" spans="1:15" ht="9.9499999999999993" customHeight="1" thickBot="1" x14ac:dyDescent="0.3">
      <c r="A9" s="99"/>
      <c r="B9" s="100"/>
      <c r="C9" s="100"/>
      <c r="D9" s="100"/>
      <c r="E9" s="100"/>
      <c r="F9" s="101"/>
      <c r="G9" s="101"/>
      <c r="H9" s="101"/>
      <c r="I9" s="101"/>
      <c r="J9" s="101"/>
      <c r="K9" s="101"/>
      <c r="L9" s="101"/>
      <c r="M9" s="101"/>
      <c r="N9" s="101"/>
      <c r="O9" s="102"/>
    </row>
    <row r="10" spans="1:15" ht="24.95" customHeight="1" thickTop="1" x14ac:dyDescent="0.25">
      <c r="A10" s="581" t="s">
        <v>183</v>
      </c>
      <c r="B10" s="582"/>
      <c r="C10" s="582"/>
      <c r="L10" s="583"/>
      <c r="M10" s="583"/>
      <c r="N10" s="583"/>
      <c r="O10" s="610"/>
    </row>
    <row r="11" spans="1:15" s="103" customFormat="1" ht="20.100000000000001" customHeight="1" x14ac:dyDescent="0.3">
      <c r="A11" s="149" t="s">
        <v>155</v>
      </c>
      <c r="B11" s="117"/>
      <c r="C11" s="117"/>
      <c r="D11" s="117"/>
      <c r="E11" s="117"/>
      <c r="L11" s="128"/>
      <c r="M11" s="128"/>
      <c r="O11" s="104"/>
    </row>
    <row r="12" spans="1:15" s="103" customFormat="1" ht="15" customHeight="1" x14ac:dyDescent="0.25">
      <c r="A12" s="150" t="s">
        <v>77</v>
      </c>
      <c r="B12" s="151"/>
      <c r="C12" s="151"/>
      <c r="D12" s="152"/>
      <c r="E12" s="153" t="s">
        <v>11</v>
      </c>
      <c r="F12" s="154" t="s">
        <v>71</v>
      </c>
      <c r="G12" s="154" t="s">
        <v>188</v>
      </c>
      <c r="H12" s="153" t="s">
        <v>189</v>
      </c>
      <c r="L12" s="128"/>
      <c r="M12" s="128"/>
      <c r="O12" s="104"/>
    </row>
    <row r="13" spans="1:15" s="103" customFormat="1" ht="15" customHeight="1" x14ac:dyDescent="0.25">
      <c r="A13" s="155" t="s">
        <v>78</v>
      </c>
      <c r="B13" s="156"/>
      <c r="C13" s="156"/>
      <c r="D13" s="157"/>
      <c r="E13" s="158">
        <v>30000</v>
      </c>
      <c r="F13" s="159">
        <v>12500</v>
      </c>
      <c r="G13" s="159">
        <v>20000</v>
      </c>
      <c r="H13" s="158">
        <v>20000</v>
      </c>
      <c r="L13" s="128"/>
      <c r="M13" s="128"/>
      <c r="O13" s="104"/>
    </row>
    <row r="14" spans="1:15" s="103" customFormat="1" ht="15" customHeight="1" x14ac:dyDescent="0.25">
      <c r="A14" s="155" t="s">
        <v>79</v>
      </c>
      <c r="B14" s="156"/>
      <c r="C14" s="156"/>
      <c r="D14" s="157"/>
      <c r="E14" s="158">
        <v>30000</v>
      </c>
      <c r="F14" s="159">
        <v>12500</v>
      </c>
      <c r="G14" s="159">
        <v>20000</v>
      </c>
      <c r="H14" s="158">
        <v>20000</v>
      </c>
      <c r="O14" s="104"/>
    </row>
    <row r="15" spans="1:15" s="103" customFormat="1" ht="15" customHeight="1" x14ac:dyDescent="0.25">
      <c r="A15" s="155" t="s">
        <v>80</v>
      </c>
      <c r="B15" s="156"/>
      <c r="C15" s="156"/>
      <c r="D15" s="157"/>
      <c r="E15" s="158">
        <v>35000</v>
      </c>
      <c r="F15" s="159">
        <v>12500</v>
      </c>
      <c r="G15" s="159">
        <v>20000</v>
      </c>
      <c r="H15" s="158">
        <v>20000</v>
      </c>
      <c r="O15" s="104"/>
    </row>
    <row r="16" spans="1:15" s="103" customFormat="1" ht="15" customHeight="1" x14ac:dyDescent="0.25">
      <c r="A16" s="155" t="s">
        <v>81</v>
      </c>
      <c r="B16" s="156"/>
      <c r="C16" s="156"/>
      <c r="D16" s="157"/>
      <c r="E16" s="158">
        <v>40000</v>
      </c>
      <c r="F16" s="159">
        <v>12500</v>
      </c>
      <c r="G16" s="159">
        <v>27500</v>
      </c>
      <c r="H16" s="158">
        <v>27500</v>
      </c>
      <c r="O16" s="104"/>
    </row>
    <row r="17" spans="1:15" s="103" customFormat="1" ht="15" customHeight="1" x14ac:dyDescent="0.25">
      <c r="A17" s="155" t="s">
        <v>82</v>
      </c>
      <c r="B17" s="156"/>
      <c r="C17" s="156"/>
      <c r="D17" s="157"/>
      <c r="E17" s="158">
        <v>50000</v>
      </c>
      <c r="F17" s="159">
        <v>22500</v>
      </c>
      <c r="G17" s="159">
        <v>30000</v>
      </c>
      <c r="H17" s="158">
        <v>30000</v>
      </c>
      <c r="O17" s="104"/>
    </row>
    <row r="18" spans="1:15" s="103" customFormat="1" ht="15" customHeight="1" x14ac:dyDescent="0.25">
      <c r="A18" s="155" t="s">
        <v>83</v>
      </c>
      <c r="B18" s="156"/>
      <c r="C18" s="156"/>
      <c r="D18" s="157"/>
      <c r="E18" s="158">
        <v>60000</v>
      </c>
      <c r="F18" s="159">
        <v>22500</v>
      </c>
      <c r="G18" s="159">
        <v>50000</v>
      </c>
      <c r="H18" s="158">
        <v>50000</v>
      </c>
      <c r="O18" s="104"/>
    </row>
    <row r="19" spans="1:15" s="103" customFormat="1" ht="15" customHeight="1" x14ac:dyDescent="0.25">
      <c r="A19" s="155" t="s">
        <v>84</v>
      </c>
      <c r="B19" s="156"/>
      <c r="C19" s="156"/>
      <c r="D19" s="157"/>
      <c r="E19" s="158">
        <v>70000</v>
      </c>
      <c r="F19" s="159">
        <v>22500</v>
      </c>
      <c r="G19" s="159">
        <v>60000</v>
      </c>
      <c r="H19" s="158">
        <v>60000</v>
      </c>
      <c r="O19" s="104"/>
    </row>
    <row r="20" spans="1:15" s="103" customFormat="1" ht="20.100000000000001" customHeight="1" x14ac:dyDescent="0.25">
      <c r="A20" s="224"/>
      <c r="B20" s="225"/>
      <c r="C20" s="225"/>
      <c r="D20" s="226"/>
      <c r="E20" s="117"/>
      <c r="O20" s="104"/>
    </row>
    <row r="21" spans="1:15" s="103" customFormat="1" ht="20.100000000000001" customHeight="1" x14ac:dyDescent="0.25">
      <c r="A21" s="123"/>
      <c r="B21" s="125" t="s">
        <v>187</v>
      </c>
      <c r="C21" s="124" t="s">
        <v>10</v>
      </c>
      <c r="D21" s="124"/>
      <c r="E21" s="124"/>
      <c r="F21" s="124"/>
      <c r="G21" s="124"/>
      <c r="H21" s="124"/>
      <c r="I21" s="124"/>
      <c r="O21" s="104"/>
    </row>
    <row r="22" spans="1:15" s="111" customFormat="1" ht="17.100000000000001" customHeight="1" x14ac:dyDescent="0.25">
      <c r="A22" s="672" t="s">
        <v>225</v>
      </c>
      <c r="B22" s="673"/>
      <c r="C22" s="673"/>
      <c r="D22" s="673"/>
      <c r="E22" s="673"/>
      <c r="F22" s="673"/>
      <c r="G22" s="673"/>
      <c r="H22" s="673"/>
      <c r="I22" s="674"/>
      <c r="O22" s="116"/>
    </row>
    <row r="23" spans="1:15" s="103" customFormat="1" ht="17.100000000000001" customHeight="1" x14ac:dyDescent="0.25">
      <c r="A23" s="675"/>
      <c r="B23" s="676"/>
      <c r="C23" s="676"/>
      <c r="D23" s="676"/>
      <c r="E23" s="676"/>
      <c r="F23" s="676"/>
      <c r="G23" s="676"/>
      <c r="H23" s="676"/>
      <c r="I23" s="677"/>
      <c r="K23" s="235"/>
      <c r="O23" s="104"/>
    </row>
    <row r="24" spans="1:15" s="103" customFormat="1" ht="17.100000000000001" customHeight="1" x14ac:dyDescent="0.25">
      <c r="A24" s="675"/>
      <c r="B24" s="676"/>
      <c r="C24" s="676"/>
      <c r="D24" s="676"/>
      <c r="E24" s="676"/>
      <c r="F24" s="676"/>
      <c r="G24" s="676"/>
      <c r="H24" s="676"/>
      <c r="I24" s="677"/>
      <c r="O24" s="104"/>
    </row>
    <row r="25" spans="1:15" s="103" customFormat="1" ht="17.100000000000001" customHeight="1" x14ac:dyDescent="0.25">
      <c r="A25" s="675"/>
      <c r="B25" s="676"/>
      <c r="C25" s="676"/>
      <c r="D25" s="676"/>
      <c r="E25" s="676"/>
      <c r="F25" s="676"/>
      <c r="G25" s="676"/>
      <c r="H25" s="676"/>
      <c r="I25" s="677"/>
      <c r="O25" s="104"/>
    </row>
    <row r="26" spans="1:15" s="103" customFormat="1" ht="16.5" customHeight="1" x14ac:dyDescent="0.25">
      <c r="A26" s="678"/>
      <c r="B26" s="679"/>
      <c r="C26" s="679"/>
      <c r="D26" s="679"/>
      <c r="E26" s="679"/>
      <c r="F26" s="679"/>
      <c r="G26" s="679"/>
      <c r="H26" s="679"/>
      <c r="I26" s="680"/>
      <c r="O26" s="104"/>
    </row>
    <row r="27" spans="1:15" s="103" customFormat="1" ht="16.5" customHeight="1" x14ac:dyDescent="0.25">
      <c r="A27" s="260"/>
      <c r="B27" s="261"/>
      <c r="C27" s="261"/>
      <c r="D27" s="261"/>
      <c r="E27" s="277"/>
      <c r="F27" s="277"/>
      <c r="G27" s="277"/>
      <c r="H27" s="277"/>
      <c r="I27" s="278"/>
      <c r="O27" s="104"/>
    </row>
    <row r="28" spans="1:15" s="12" customFormat="1" ht="20.100000000000001" customHeight="1" x14ac:dyDescent="0.25">
      <c r="A28" s="227" t="s">
        <v>176</v>
      </c>
      <c r="B28" s="222"/>
      <c r="C28" s="222"/>
      <c r="D28" s="222"/>
      <c r="E28" s="92"/>
      <c r="F28" s="92"/>
      <c r="G28" s="92"/>
      <c r="H28" s="92"/>
      <c r="I28" s="92"/>
      <c r="J28" s="105"/>
      <c r="K28" s="106"/>
      <c r="L28" s="106"/>
      <c r="M28" s="106"/>
      <c r="N28" s="106"/>
      <c r="O28" s="107"/>
    </row>
    <row r="29" spans="1:15" s="103" customFormat="1" ht="24.95" customHeight="1" x14ac:dyDescent="0.25">
      <c r="A29" s="161" t="s">
        <v>34</v>
      </c>
      <c r="B29" s="650" t="s">
        <v>3</v>
      </c>
      <c r="C29" s="651"/>
      <c r="D29" s="651"/>
      <c r="E29" s="652"/>
      <c r="F29" s="161" t="s">
        <v>169</v>
      </c>
      <c r="G29" s="652" t="s">
        <v>176</v>
      </c>
      <c r="H29" s="92"/>
      <c r="I29" s="92"/>
      <c r="J29" s="118"/>
      <c r="K29" s="111"/>
      <c r="L29" s="111"/>
      <c r="O29" s="116"/>
    </row>
    <row r="30" spans="1:15" s="103" customFormat="1" ht="20.100000000000001" customHeight="1" x14ac:dyDescent="0.25">
      <c r="A30" s="110">
        <v>1</v>
      </c>
      <c r="B30" s="257" t="str">
        <f>'TAHAP 1'!M13</f>
        <v>NANANG YUDI PRASETYO</v>
      </c>
      <c r="C30" s="258"/>
      <c r="D30" s="258"/>
      <c r="E30" s="259"/>
      <c r="F30" s="173" t="s">
        <v>82</v>
      </c>
      <c r="G30" s="653">
        <f>+I26</f>
        <v>0</v>
      </c>
      <c r="H30" s="92"/>
      <c r="I30" s="92"/>
      <c r="J30" s="160"/>
      <c r="K30" s="111"/>
      <c r="L30" s="111"/>
      <c r="O30" s="116"/>
    </row>
    <row r="31" spans="1:15" s="103" customFormat="1" ht="20.100000000000001" customHeight="1" thickBot="1" x14ac:dyDescent="0.3">
      <c r="A31" s="110">
        <v>2</v>
      </c>
      <c r="B31" s="257" t="str">
        <f>'TAHAP 1'!M14</f>
        <v>ADITYA FAHRIZAL</v>
      </c>
      <c r="C31" s="258"/>
      <c r="D31" s="258"/>
      <c r="E31" s="259"/>
      <c r="F31" s="173" t="s">
        <v>81</v>
      </c>
      <c r="G31" s="238" t="e">
        <f>+#REF!</f>
        <v>#REF!</v>
      </c>
      <c r="H31" s="92"/>
      <c r="I31" s="92"/>
      <c r="J31" s="160"/>
      <c r="K31" s="111"/>
      <c r="L31" s="111"/>
      <c r="O31" s="116"/>
    </row>
    <row r="32" spans="1:15" s="103" customFormat="1" ht="24.95" customHeight="1" thickTop="1" x14ac:dyDescent="0.25">
      <c r="A32" s="640" t="s">
        <v>12</v>
      </c>
      <c r="B32" s="641"/>
      <c r="C32" s="641"/>
      <c r="D32" s="641"/>
      <c r="E32" s="641"/>
      <c r="F32" s="642"/>
      <c r="G32" s="174" t="e">
        <f>SUM(G30:G31)</f>
        <v>#REF!</v>
      </c>
      <c r="H32" s="92"/>
      <c r="I32" s="92"/>
      <c r="J32" s="118"/>
      <c r="K32" s="111"/>
      <c r="L32" s="111"/>
      <c r="O32" s="116"/>
    </row>
    <row r="33" spans="1:16" s="103" customFormat="1" ht="24.95" customHeight="1" thickBot="1" x14ac:dyDescent="0.3">
      <c r="A33" s="147"/>
      <c r="B33" s="111"/>
      <c r="C33" s="111"/>
      <c r="D33" s="111"/>
      <c r="E33" s="111"/>
      <c r="F33" s="111"/>
      <c r="G33" s="126"/>
      <c r="H33" s="92"/>
      <c r="I33" s="92"/>
      <c r="J33" s="118"/>
      <c r="K33" s="111"/>
      <c r="L33" s="111"/>
      <c r="O33" s="116"/>
    </row>
    <row r="34" spans="1:16" s="103" customFormat="1" ht="20.100000000000001" customHeight="1" thickTop="1" x14ac:dyDescent="0.25">
      <c r="A34" s="643" t="s">
        <v>184</v>
      </c>
      <c r="B34" s="644"/>
      <c r="C34" s="644"/>
      <c r="D34" s="644"/>
      <c r="E34" s="644"/>
      <c r="F34" s="644"/>
      <c r="G34" s="644"/>
      <c r="H34" s="644"/>
      <c r="I34" s="644"/>
      <c r="J34" s="644"/>
      <c r="K34" s="644"/>
      <c r="L34" s="644"/>
      <c r="M34" s="644"/>
      <c r="N34" s="644"/>
      <c r="O34" s="645"/>
    </row>
    <row r="35" spans="1:16" s="103" customFormat="1" ht="20.100000000000001" customHeight="1" x14ac:dyDescent="0.25">
      <c r="A35" s="646"/>
      <c r="B35" s="647"/>
      <c r="C35" s="647"/>
      <c r="D35" s="647"/>
      <c r="E35" s="647"/>
      <c r="F35" s="647"/>
      <c r="G35" s="647"/>
      <c r="H35" s="647"/>
      <c r="I35" s="647"/>
      <c r="J35" s="647"/>
      <c r="K35" s="647"/>
      <c r="L35" s="647"/>
      <c r="M35" s="647"/>
      <c r="N35" s="647"/>
      <c r="O35" s="648"/>
    </row>
    <row r="36" spans="1:16" s="103" customFormat="1" ht="24.95" customHeight="1" x14ac:dyDescent="0.25">
      <c r="A36" s="279" t="s">
        <v>203</v>
      </c>
      <c r="B36" s="280" t="s">
        <v>210</v>
      </c>
      <c r="C36" s="280"/>
      <c r="D36" s="117"/>
      <c r="E36" s="117"/>
      <c r="O36" s="104"/>
    </row>
    <row r="37" spans="1:16" s="103" customFormat="1" ht="20.100000000000001" customHeight="1" x14ac:dyDescent="0.25">
      <c r="A37" s="228" t="s">
        <v>34</v>
      </c>
      <c r="B37" s="639" t="s">
        <v>41</v>
      </c>
      <c r="C37" s="639"/>
      <c r="D37" s="639" t="s">
        <v>213</v>
      </c>
      <c r="E37" s="639"/>
      <c r="F37" s="639"/>
      <c r="G37" s="639"/>
      <c r="H37" s="639"/>
      <c r="I37" s="639"/>
      <c r="J37" s="122" t="s">
        <v>177</v>
      </c>
      <c r="K37" s="115" t="s">
        <v>206</v>
      </c>
      <c r="L37" s="115" t="s">
        <v>40</v>
      </c>
      <c r="M37" s="115" t="s">
        <v>12</v>
      </c>
      <c r="O37" s="104"/>
    </row>
    <row r="38" spans="1:16" s="103" customFormat="1" ht="20.100000000000001" customHeight="1" x14ac:dyDescent="0.25">
      <c r="A38" s="229">
        <v>1</v>
      </c>
      <c r="B38" s="681" t="s">
        <v>204</v>
      </c>
      <c r="C38" s="682"/>
      <c r="D38" s="498" t="s">
        <v>218</v>
      </c>
      <c r="E38" s="498"/>
      <c r="F38" s="498"/>
      <c r="G38" s="498"/>
      <c r="H38" s="498"/>
      <c r="I38" s="498"/>
      <c r="J38" s="683"/>
      <c r="K38" s="683"/>
      <c r="L38" s="683"/>
      <c r="M38" s="694"/>
      <c r="O38" s="104"/>
    </row>
    <row r="39" spans="1:16" s="103" customFormat="1" ht="20.100000000000001" customHeight="1" x14ac:dyDescent="0.25">
      <c r="A39" s="229">
        <v>2</v>
      </c>
      <c r="B39" s="681" t="s">
        <v>205</v>
      </c>
      <c r="C39" s="682"/>
      <c r="D39" s="498" t="s">
        <v>218</v>
      </c>
      <c r="E39" s="498"/>
      <c r="F39" s="498"/>
      <c r="G39" s="498"/>
      <c r="H39" s="498"/>
      <c r="I39" s="498"/>
      <c r="J39" s="684"/>
      <c r="K39" s="684"/>
      <c r="L39" s="684"/>
      <c r="M39" s="695"/>
      <c r="O39" s="104"/>
    </row>
    <row r="40" spans="1:16" s="103" customFormat="1" ht="20.100000000000001" customHeight="1" x14ac:dyDescent="0.25">
      <c r="A40" s="91"/>
      <c r="B40" s="92"/>
      <c r="C40" s="92"/>
      <c r="D40" s="92"/>
      <c r="E40" s="92"/>
      <c r="F40" s="92"/>
      <c r="G40" s="22"/>
      <c r="H40" s="126"/>
      <c r="I40" s="92"/>
      <c r="J40" s="118"/>
      <c r="K40" s="111"/>
      <c r="L40" s="111"/>
      <c r="O40" s="104"/>
    </row>
    <row r="41" spans="1:16" s="103" customFormat="1" ht="20.100000000000001" customHeight="1" x14ac:dyDescent="0.25">
      <c r="A41" s="91"/>
      <c r="B41" s="92"/>
      <c r="C41" s="92"/>
      <c r="D41" s="92"/>
      <c r="E41" s="92"/>
      <c r="F41" s="92"/>
      <c r="G41" s="22"/>
      <c r="H41" s="126"/>
      <c r="I41" s="92"/>
      <c r="J41" s="118"/>
      <c r="K41" s="111"/>
      <c r="L41" s="111"/>
      <c r="O41" s="104"/>
    </row>
    <row r="42" spans="1:16" s="103" customFormat="1" ht="20.100000000000001" customHeight="1" x14ac:dyDescent="0.25">
      <c r="A42" s="91"/>
      <c r="B42" s="92"/>
      <c r="C42" s="92"/>
      <c r="D42" s="92"/>
      <c r="E42" s="92"/>
      <c r="F42" s="92"/>
      <c r="I42" s="92"/>
      <c r="J42" s="118"/>
      <c r="K42" s="111"/>
      <c r="L42" s="111"/>
      <c r="N42" s="162"/>
      <c r="O42" s="133"/>
    </row>
    <row r="43" spans="1:16" s="103" customFormat="1" ht="24.95" customHeight="1" x14ac:dyDescent="0.25">
      <c r="A43" s="134" t="s">
        <v>66</v>
      </c>
      <c r="B43" s="135"/>
      <c r="C43" s="135"/>
      <c r="D43" s="136"/>
      <c r="E43" s="136"/>
      <c r="F43" s="136"/>
      <c r="G43" s="136"/>
      <c r="H43" s="136"/>
      <c r="I43" s="136"/>
      <c r="J43" s="137"/>
      <c r="K43" s="137"/>
      <c r="L43" s="169"/>
      <c r="M43" s="169"/>
      <c r="N43" s="169"/>
      <c r="O43" s="170"/>
      <c r="P43" s="129"/>
    </row>
    <row r="44" spans="1:16" s="127" customFormat="1" ht="20.100000000000001" customHeight="1" x14ac:dyDescent="0.25">
      <c r="A44" s="655" t="s">
        <v>1</v>
      </c>
      <c r="B44" s="691" t="s">
        <v>190</v>
      </c>
      <c r="C44" s="692"/>
      <c r="D44" s="692"/>
      <c r="E44" s="693"/>
      <c r="F44" s="687" t="s">
        <v>42</v>
      </c>
      <c r="G44" s="697"/>
      <c r="H44" s="697"/>
      <c r="I44" s="688"/>
      <c r="J44" s="687" t="s">
        <v>191</v>
      </c>
      <c r="K44" s="688"/>
      <c r="L44" s="687" t="s">
        <v>39</v>
      </c>
      <c r="M44" s="688"/>
      <c r="N44" s="685"/>
      <c r="O44" s="686"/>
      <c r="P44" s="685"/>
    </row>
    <row r="45" spans="1:16" s="127" customFormat="1" ht="20.100000000000001" customHeight="1" thickBot="1" x14ac:dyDescent="0.3">
      <c r="A45" s="656"/>
      <c r="B45" s="687" t="s">
        <v>192</v>
      </c>
      <c r="C45" s="688"/>
      <c r="D45" s="687" t="s">
        <v>193</v>
      </c>
      <c r="E45" s="688"/>
      <c r="F45" s="698"/>
      <c r="G45" s="699"/>
      <c r="H45" s="699"/>
      <c r="I45" s="700"/>
      <c r="J45" s="689"/>
      <c r="K45" s="690"/>
      <c r="L45" s="689"/>
      <c r="M45" s="690"/>
      <c r="N45" s="685"/>
      <c r="O45" s="686"/>
      <c r="P45" s="685"/>
    </row>
    <row r="46" spans="1:16" s="117" customFormat="1" ht="54.95" customHeight="1" thickTop="1" x14ac:dyDescent="0.25">
      <c r="A46" s="654">
        <v>1</v>
      </c>
      <c r="B46" s="671">
        <f>+'TAHAP 1'!C13</f>
        <v>45530</v>
      </c>
      <c r="C46" s="671"/>
      <c r="D46" s="671">
        <f>+'TAHAP 1'!F13</f>
        <v>45569</v>
      </c>
      <c r="E46" s="671"/>
      <c r="F46" s="703" t="s">
        <v>223</v>
      </c>
      <c r="G46" s="703"/>
      <c r="H46" s="703"/>
      <c r="I46" s="703"/>
      <c r="J46" s="696" t="s">
        <v>211</v>
      </c>
      <c r="K46" s="696"/>
      <c r="L46" s="708">
        <v>670000</v>
      </c>
      <c r="M46" s="709"/>
      <c r="N46" s="171"/>
      <c r="O46" s="172"/>
      <c r="P46" s="168"/>
    </row>
    <row r="47" spans="1:16" s="117" customFormat="1" ht="54.95" customHeight="1" x14ac:dyDescent="0.25">
      <c r="A47" s="654"/>
      <c r="B47" s="671"/>
      <c r="C47" s="671"/>
      <c r="D47" s="671"/>
      <c r="E47" s="671"/>
      <c r="F47" s="703"/>
      <c r="G47" s="703"/>
      <c r="H47" s="703"/>
      <c r="I47" s="704"/>
      <c r="J47" s="707" t="s">
        <v>224</v>
      </c>
      <c r="K47" s="707"/>
      <c r="L47" s="706">
        <v>950000</v>
      </c>
      <c r="M47" s="706"/>
      <c r="N47" s="166"/>
      <c r="O47" s="167"/>
      <c r="P47" s="163"/>
    </row>
    <row r="48" spans="1:16" s="117" customFormat="1" ht="21.95" customHeight="1" x14ac:dyDescent="0.25">
      <c r="A48" s="164"/>
      <c r="B48" s="165"/>
      <c r="C48" s="165"/>
      <c r="D48" s="165"/>
      <c r="E48" s="165"/>
      <c r="F48" s="223" t="str">
        <f>+F46</f>
        <v>Aston Sidoarjo City Hotel and Conference Center
Jalan Kahuripan Raya Kav. 14 Sidoarjo, Kahuripan, Sidoarjo, 61252, Indonesia. 
CI/CO : 21 - 23 Aug (02 Malam)
Deluxe : IDR 670.000/room/night include breakfast
Executive : IDR 950.000/room/night include breakfast</v>
      </c>
      <c r="G48" s="148"/>
      <c r="H48" s="148"/>
      <c r="I48" s="148"/>
      <c r="J48" s="148"/>
      <c r="K48" s="148"/>
      <c r="L48" s="148"/>
      <c r="M48" s="166"/>
      <c r="N48" s="166"/>
      <c r="O48" s="167"/>
      <c r="P48" s="163"/>
    </row>
    <row r="49" spans="1:19" s="117" customFormat="1" ht="21.95" customHeight="1" x14ac:dyDescent="0.25">
      <c r="A49" s="164"/>
      <c r="B49" s="665" t="s">
        <v>3</v>
      </c>
      <c r="C49" s="666"/>
      <c r="D49" s="669" t="s">
        <v>199</v>
      </c>
      <c r="E49" s="669" t="s">
        <v>197</v>
      </c>
      <c r="F49" s="669" t="s">
        <v>198</v>
      </c>
      <c r="G49" s="669" t="s">
        <v>177</v>
      </c>
      <c r="H49" s="669" t="s">
        <v>12</v>
      </c>
      <c r="I49" s="669" t="s">
        <v>71</v>
      </c>
      <c r="J49" s="701" t="s">
        <v>70</v>
      </c>
      <c r="K49" s="705" t="s">
        <v>72</v>
      </c>
      <c r="L49" s="148"/>
      <c r="M49" s="166"/>
      <c r="N49" s="548"/>
      <c r="O49" s="549"/>
      <c r="P49" s="168"/>
    </row>
    <row r="50" spans="1:19" s="117" customFormat="1" ht="21.95" customHeight="1" x14ac:dyDescent="0.25">
      <c r="A50" s="164"/>
      <c r="B50" s="667"/>
      <c r="C50" s="668"/>
      <c r="D50" s="670"/>
      <c r="E50" s="670"/>
      <c r="F50" s="670"/>
      <c r="G50" s="670"/>
      <c r="H50" s="670"/>
      <c r="I50" s="670"/>
      <c r="J50" s="702"/>
      <c r="K50" s="705"/>
      <c r="L50" s="148"/>
      <c r="M50" s="166"/>
      <c r="N50" s="111"/>
      <c r="O50" s="116"/>
      <c r="P50" s="168"/>
    </row>
    <row r="51" spans="1:19" s="117" customFormat="1" ht="21.95" customHeight="1" x14ac:dyDescent="0.25">
      <c r="A51" s="164"/>
      <c r="B51" s="636" t="str">
        <f>B30</f>
        <v>NANANG YUDI PRASETYO</v>
      </c>
      <c r="C51" s="636"/>
      <c r="D51" s="180" t="str">
        <f>+J47</f>
        <v>Executive</v>
      </c>
      <c r="E51" s="173">
        <v>1</v>
      </c>
      <c r="F51" s="173">
        <v>2</v>
      </c>
      <c r="G51" s="175">
        <f>+L47</f>
        <v>950000</v>
      </c>
      <c r="H51" s="175">
        <f>+G51*F51*E51</f>
        <v>1900000</v>
      </c>
      <c r="I51" s="175" t="s">
        <v>208</v>
      </c>
      <c r="J51" s="175" t="s">
        <v>73</v>
      </c>
      <c r="K51" s="175" t="s">
        <v>73</v>
      </c>
      <c r="L51" s="148"/>
      <c r="M51" s="166"/>
      <c r="N51" s="103"/>
      <c r="O51" s="104"/>
      <c r="P51" s="168"/>
    </row>
    <row r="52" spans="1:19" s="117" customFormat="1" ht="21.95" customHeight="1" x14ac:dyDescent="0.25">
      <c r="A52" s="164"/>
      <c r="B52" s="636" t="str">
        <f>B31</f>
        <v>ADITYA FAHRIZAL</v>
      </c>
      <c r="C52" s="636"/>
      <c r="D52" s="180" t="str">
        <f>+J46</f>
        <v>Deluxe</v>
      </c>
      <c r="E52" s="173">
        <v>1</v>
      </c>
      <c r="F52" s="173">
        <v>2</v>
      </c>
      <c r="G52" s="175">
        <f>+L46</f>
        <v>670000</v>
      </c>
      <c r="H52" s="175">
        <f>+G52*F52*E52</f>
        <v>1340000</v>
      </c>
      <c r="I52" s="175" t="s">
        <v>208</v>
      </c>
      <c r="J52" s="175" t="s">
        <v>208</v>
      </c>
      <c r="K52" s="175" t="s">
        <v>73</v>
      </c>
      <c r="L52" s="148"/>
      <c r="M52" s="166"/>
      <c r="N52" s="103"/>
      <c r="O52" s="104"/>
      <c r="P52" s="168"/>
    </row>
    <row r="53" spans="1:19" s="117" customFormat="1" ht="21.95" customHeight="1" x14ac:dyDescent="0.25">
      <c r="A53" s="164"/>
      <c r="B53" s="636" t="e">
        <f>#REF!</f>
        <v>#REF!</v>
      </c>
      <c r="C53" s="636"/>
      <c r="D53" s="180" t="str">
        <f>J46</f>
        <v>Deluxe</v>
      </c>
      <c r="E53" s="637">
        <v>1</v>
      </c>
      <c r="F53" s="637">
        <v>2</v>
      </c>
      <c r="G53" s="710">
        <f>+L46</f>
        <v>670000</v>
      </c>
      <c r="H53" s="710">
        <f>+G53*F53*E53</f>
        <v>1340000</v>
      </c>
      <c r="I53" s="710" t="s">
        <v>208</v>
      </c>
      <c r="J53" s="710" t="s">
        <v>73</v>
      </c>
      <c r="K53" s="710" t="s">
        <v>73</v>
      </c>
      <c r="L53" s="148"/>
      <c r="M53" s="166"/>
      <c r="N53" s="103"/>
      <c r="O53" s="104"/>
      <c r="P53" s="168"/>
    </row>
    <row r="54" spans="1:19" s="117" customFormat="1" ht="21.95" customHeight="1" x14ac:dyDescent="0.25">
      <c r="A54" s="164"/>
      <c r="B54" s="636" t="e">
        <f>#REF!</f>
        <v>#REF!</v>
      </c>
      <c r="C54" s="636"/>
      <c r="D54" s="180" t="str">
        <f>J46</f>
        <v>Deluxe</v>
      </c>
      <c r="E54" s="638"/>
      <c r="F54" s="638"/>
      <c r="G54" s="711"/>
      <c r="H54" s="711"/>
      <c r="I54" s="711"/>
      <c r="J54" s="711"/>
      <c r="K54" s="711"/>
      <c r="L54" s="148"/>
      <c r="M54" s="166"/>
      <c r="N54" s="103"/>
      <c r="O54" s="104"/>
      <c r="P54" s="168"/>
    </row>
    <row r="55" spans="1:19" s="13" customFormat="1" ht="21.95" customHeight="1" x14ac:dyDescent="0.25">
      <c r="A55" s="130"/>
      <c r="B55" s="281"/>
      <c r="C55" s="281"/>
      <c r="D55" s="281"/>
      <c r="E55" s="281"/>
      <c r="F55" s="282"/>
      <c r="G55" s="282"/>
      <c r="H55" s="283"/>
      <c r="I55" s="282"/>
      <c r="J55" s="282"/>
      <c r="K55" s="282"/>
      <c r="L55" s="131"/>
      <c r="M55" s="132"/>
      <c r="N55" s="177"/>
      <c r="O55" s="133"/>
      <c r="P55" s="176"/>
    </row>
    <row r="56" spans="1:19" s="103" customFormat="1" ht="21.95" customHeight="1" thickBot="1" x14ac:dyDescent="0.3">
      <c r="A56" s="108"/>
      <c r="B56" s="109"/>
      <c r="C56" s="109"/>
      <c r="D56" s="119"/>
      <c r="E56" s="119"/>
      <c r="F56" s="119"/>
      <c r="G56" s="119"/>
      <c r="H56" s="119"/>
      <c r="I56" s="119"/>
      <c r="J56" s="120"/>
      <c r="K56" s="120"/>
      <c r="L56" s="121"/>
      <c r="M56" s="121"/>
      <c r="N56" s="178"/>
      <c r="O56" s="179"/>
      <c r="R56" s="128"/>
      <c r="S56" s="128"/>
    </row>
    <row r="57" spans="1:19" ht="15" customHeight="1" thickTop="1" x14ac:dyDescent="0.25">
      <c r="A57" s="613" t="s">
        <v>104</v>
      </c>
      <c r="B57" s="614"/>
      <c r="C57" s="614"/>
      <c r="D57" s="614"/>
      <c r="E57" s="615"/>
      <c r="F57" s="657"/>
      <c r="G57" s="659" t="s">
        <v>154</v>
      </c>
      <c r="H57" s="660"/>
      <c r="I57" s="611" t="s">
        <v>165</v>
      </c>
      <c r="J57" s="611"/>
      <c r="K57" s="112">
        <v>45118</v>
      </c>
      <c r="L57" s="88" t="s">
        <v>46</v>
      </c>
      <c r="M57" s="88"/>
      <c r="N57" s="89"/>
      <c r="O57" s="88"/>
    </row>
    <row r="58" spans="1:19" ht="15" customHeight="1" x14ac:dyDescent="0.25">
      <c r="A58" s="616"/>
      <c r="B58" s="614"/>
      <c r="C58" s="614"/>
      <c r="D58" s="614"/>
      <c r="E58" s="615"/>
      <c r="F58" s="657"/>
      <c r="G58" s="661"/>
      <c r="H58" s="662"/>
      <c r="I58" s="611" t="s">
        <v>162</v>
      </c>
      <c r="J58" s="611"/>
      <c r="K58" s="113">
        <v>44702</v>
      </c>
      <c r="L58" s="4" t="s">
        <v>46</v>
      </c>
      <c r="M58" s="4"/>
      <c r="N58" s="87"/>
      <c r="O58" s="4"/>
    </row>
    <row r="59" spans="1:19" ht="15" customHeight="1" x14ac:dyDescent="0.25">
      <c r="A59" s="616"/>
      <c r="B59" s="614"/>
      <c r="C59" s="614"/>
      <c r="D59" s="614"/>
      <c r="E59" s="615"/>
      <c r="F59" s="657"/>
      <c r="G59" s="661"/>
      <c r="H59" s="662"/>
      <c r="I59" s="611" t="s">
        <v>161</v>
      </c>
      <c r="J59" s="611"/>
      <c r="K59" s="113">
        <v>44314</v>
      </c>
      <c r="L59" s="4" t="s">
        <v>46</v>
      </c>
      <c r="M59" s="4">
        <v>3</v>
      </c>
      <c r="N59" s="87">
        <f>+K57</f>
        <v>45118</v>
      </c>
      <c r="O59" s="4" t="s">
        <v>48</v>
      </c>
    </row>
    <row r="60" spans="1:19" ht="15" customHeight="1" x14ac:dyDescent="0.25">
      <c r="A60" s="616"/>
      <c r="B60" s="614"/>
      <c r="C60" s="614"/>
      <c r="D60" s="614"/>
      <c r="E60" s="615"/>
      <c r="F60" s="657"/>
      <c r="G60" s="661"/>
      <c r="H60" s="662"/>
      <c r="I60" s="611" t="s">
        <v>160</v>
      </c>
      <c r="J60" s="611"/>
      <c r="K60" s="113">
        <v>44147</v>
      </c>
      <c r="L60" s="4" t="s">
        <v>46</v>
      </c>
      <c r="M60" s="4">
        <v>2</v>
      </c>
      <c r="N60" s="87">
        <v>44702</v>
      </c>
      <c r="O60" s="4" t="s">
        <v>164</v>
      </c>
    </row>
    <row r="61" spans="1:19" ht="15" customHeight="1" x14ac:dyDescent="0.25">
      <c r="A61" s="616"/>
      <c r="B61" s="614"/>
      <c r="C61" s="614"/>
      <c r="D61" s="614"/>
      <c r="E61" s="615"/>
      <c r="F61" s="657"/>
      <c r="G61" s="661"/>
      <c r="H61" s="662"/>
      <c r="I61" s="611" t="s">
        <v>103</v>
      </c>
      <c r="J61" s="611"/>
      <c r="K61" s="113">
        <v>45113</v>
      </c>
      <c r="L61" s="4" t="s">
        <v>163</v>
      </c>
      <c r="M61" s="4">
        <v>1</v>
      </c>
      <c r="N61" s="87">
        <v>44314</v>
      </c>
      <c r="O61" s="4" t="s">
        <v>48</v>
      </c>
    </row>
    <row r="62" spans="1:19" s="3" customFormat="1" ht="15" customHeight="1" x14ac:dyDescent="0.25">
      <c r="A62" s="617"/>
      <c r="B62" s="618"/>
      <c r="C62" s="618"/>
      <c r="D62" s="618"/>
      <c r="E62" s="619"/>
      <c r="F62" s="658"/>
      <c r="G62" s="663"/>
      <c r="H62" s="664"/>
      <c r="I62" s="612" t="s">
        <v>101</v>
      </c>
      <c r="J62" s="612"/>
      <c r="K62" s="16" t="s">
        <v>5</v>
      </c>
      <c r="L62" s="16" t="s">
        <v>98</v>
      </c>
      <c r="M62" s="16" t="s">
        <v>99</v>
      </c>
      <c r="N62" s="16" t="s">
        <v>100</v>
      </c>
      <c r="O62" s="16" t="s">
        <v>98</v>
      </c>
    </row>
  </sheetData>
  <mergeCells count="68">
    <mergeCell ref="K53:K54"/>
    <mergeCell ref="J53:J54"/>
    <mergeCell ref="I53:I54"/>
    <mergeCell ref="H53:H54"/>
    <mergeCell ref="G53:G54"/>
    <mergeCell ref="N49:O49"/>
    <mergeCell ref="J46:K46"/>
    <mergeCell ref="F44:I45"/>
    <mergeCell ref="D45:E45"/>
    <mergeCell ref="J49:J50"/>
    <mergeCell ref="D49:D50"/>
    <mergeCell ref="F46:I47"/>
    <mergeCell ref="D46:E47"/>
    <mergeCell ref="G49:G50"/>
    <mergeCell ref="K49:K50"/>
    <mergeCell ref="L47:M47"/>
    <mergeCell ref="J47:K47"/>
    <mergeCell ref="H49:H50"/>
    <mergeCell ref="F49:F50"/>
    <mergeCell ref="E49:E50"/>
    <mergeCell ref="L46:M46"/>
    <mergeCell ref="A22:I26"/>
    <mergeCell ref="B38:C38"/>
    <mergeCell ref="B39:C39"/>
    <mergeCell ref="J38:J39"/>
    <mergeCell ref="P44:P45"/>
    <mergeCell ref="N44:O45"/>
    <mergeCell ref="J44:K45"/>
    <mergeCell ref="B44:E44"/>
    <mergeCell ref="L44:M45"/>
    <mergeCell ref="B45:C45"/>
    <mergeCell ref="L38:L39"/>
    <mergeCell ref="D38:I38"/>
    <mergeCell ref="D39:I39"/>
    <mergeCell ref="M38:M39"/>
    <mergeCell ref="K38:K39"/>
    <mergeCell ref="A46:A47"/>
    <mergeCell ref="A44:A45"/>
    <mergeCell ref="I62:J62"/>
    <mergeCell ref="A57:E62"/>
    <mergeCell ref="F57:F62"/>
    <mergeCell ref="G57:H62"/>
    <mergeCell ref="I57:J57"/>
    <mergeCell ref="I58:J58"/>
    <mergeCell ref="I59:J59"/>
    <mergeCell ref="I60:J60"/>
    <mergeCell ref="I61:J61"/>
    <mergeCell ref="B53:C53"/>
    <mergeCell ref="B54:C54"/>
    <mergeCell ref="B49:C50"/>
    <mergeCell ref="I49:I50"/>
    <mergeCell ref="B46:C47"/>
    <mergeCell ref="B52:C52"/>
    <mergeCell ref="B51:C51"/>
    <mergeCell ref="F53:F54"/>
    <mergeCell ref="E53:E54"/>
    <mergeCell ref="L3:O5"/>
    <mergeCell ref="A10:C10"/>
    <mergeCell ref="L10:M10"/>
    <mergeCell ref="N10:O10"/>
    <mergeCell ref="B37:C37"/>
    <mergeCell ref="A32:F32"/>
    <mergeCell ref="A34:O35"/>
    <mergeCell ref="D37:I37"/>
    <mergeCell ref="A3:H6"/>
    <mergeCell ref="B29:E29"/>
    <mergeCell ref="G29"/>
    <mergeCell ref="G30"/>
  </mergeCells>
  <printOptions horizontalCentered="1"/>
  <pageMargins left="0" right="0" top="0.75" bottom="0" header="0.75" footer="0"/>
  <pageSetup paperSize="9" scale="47"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pageSetUpPr fitToPage="1"/>
  </sheetPr>
  <dimension ref="A1:AB59"/>
  <sheetViews>
    <sheetView showGridLines="0" view="pageBreakPreview" topLeftCell="A11" zoomScale="80" zoomScaleNormal="80" zoomScaleSheetLayoutView="80" workbookViewId="0">
      <selection activeCell="Z43" sqref="Z43"/>
    </sheetView>
  </sheetViews>
  <sheetFormatPr defaultRowHeight="15" x14ac:dyDescent="0.25"/>
  <cols>
    <col min="1" max="1" width="1.7109375" style="1" customWidth="1"/>
    <col min="2" max="2" width="6.7109375" style="1" customWidth="1"/>
    <col min="3" max="3" width="15.7109375" style="2" customWidth="1"/>
    <col min="4" max="5" width="2.7109375" style="2" customWidth="1"/>
    <col min="6" max="6" width="15.7109375" style="2" customWidth="1"/>
    <col min="7" max="7" width="9.7109375" style="1" customWidth="1"/>
    <col min="8" max="11" width="6.7109375" style="1" customWidth="1"/>
    <col min="12"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2" width="7.7109375" style="1" customWidth="1"/>
    <col min="23" max="23" width="5.7109375" style="1" customWidth="1"/>
    <col min="24" max="24" width="1.7109375" style="1" customWidth="1"/>
    <col min="25" max="54" width="15.7109375" style="1" customWidth="1"/>
    <col min="55" max="16384" width="9.140625" style="1"/>
  </cols>
  <sheetData>
    <row r="1" spans="2:23" x14ac:dyDescent="0.25">
      <c r="W1" s="86" t="s">
        <v>110</v>
      </c>
    </row>
    <row r="2" spans="2:23" ht="20.100000000000001" customHeight="1" x14ac:dyDescent="0.25">
      <c r="B2" s="74" t="s">
        <v>0</v>
      </c>
      <c r="C2" s="68"/>
      <c r="D2" s="68"/>
      <c r="E2" s="68"/>
      <c r="F2" s="68"/>
      <c r="G2" s="75"/>
      <c r="H2" s="75"/>
      <c r="I2" s="75"/>
      <c r="J2" s="75"/>
      <c r="K2" s="76" t="s">
        <v>52</v>
      </c>
      <c r="L2" s="77" t="s">
        <v>53</v>
      </c>
      <c r="M2" s="78"/>
      <c r="N2" s="78" t="s">
        <v>158</v>
      </c>
      <c r="O2" s="78"/>
      <c r="P2" s="78"/>
      <c r="Q2" s="79"/>
      <c r="R2" s="4" t="s">
        <v>58</v>
      </c>
      <c r="S2" s="4" t="s">
        <v>57</v>
      </c>
      <c r="T2" s="541" t="s">
        <v>45</v>
      </c>
      <c r="U2" s="542"/>
      <c r="V2" s="541" t="s">
        <v>44</v>
      </c>
      <c r="W2" s="542"/>
    </row>
    <row r="3" spans="2:23" ht="20.100000000000001" customHeight="1" x14ac:dyDescent="0.25">
      <c r="B3" s="742" t="s">
        <v>159</v>
      </c>
      <c r="C3" s="743"/>
      <c r="D3" s="743"/>
      <c r="E3" s="743"/>
      <c r="F3" s="743"/>
      <c r="G3" s="743"/>
      <c r="H3" s="743"/>
      <c r="I3" s="743"/>
      <c r="J3" s="743"/>
      <c r="K3" s="744"/>
      <c r="L3" s="80" t="s">
        <v>5</v>
      </c>
      <c r="M3" s="81"/>
      <c r="N3" s="81" t="s">
        <v>180</v>
      </c>
      <c r="O3" s="81"/>
      <c r="P3" s="81"/>
      <c r="Q3" s="82"/>
      <c r="R3" s="544" t="s">
        <v>152</v>
      </c>
      <c r="S3" s="545"/>
      <c r="T3" s="545"/>
      <c r="U3" s="545"/>
      <c r="V3" s="545"/>
      <c r="W3" s="546"/>
    </row>
    <row r="4" spans="2:23" ht="20.100000000000001" customHeight="1" x14ac:dyDescent="0.25">
      <c r="B4" s="745"/>
      <c r="C4" s="746"/>
      <c r="D4" s="746"/>
      <c r="E4" s="746"/>
      <c r="F4" s="746"/>
      <c r="G4" s="746"/>
      <c r="H4" s="746"/>
      <c r="I4" s="746"/>
      <c r="J4" s="746"/>
      <c r="K4" s="747"/>
      <c r="L4" s="80" t="s">
        <v>54</v>
      </c>
      <c r="M4" s="81"/>
      <c r="N4" s="81" t="s">
        <v>157</v>
      </c>
      <c r="O4" s="81"/>
      <c r="P4" s="81"/>
      <c r="Q4" s="82"/>
      <c r="R4" s="547"/>
      <c r="S4" s="548"/>
      <c r="T4" s="548"/>
      <c r="U4" s="548"/>
      <c r="V4" s="548"/>
      <c r="W4" s="549"/>
    </row>
    <row r="5" spans="2:23" ht="20.100000000000001" customHeight="1" x14ac:dyDescent="0.25">
      <c r="B5" s="745"/>
      <c r="C5" s="746"/>
      <c r="D5" s="746"/>
      <c r="E5" s="746"/>
      <c r="F5" s="746"/>
      <c r="G5" s="746"/>
      <c r="H5" s="746"/>
      <c r="I5" s="746"/>
      <c r="J5" s="746"/>
      <c r="K5" s="747"/>
      <c r="L5" s="80" t="s">
        <v>153</v>
      </c>
      <c r="M5" s="81"/>
      <c r="N5" s="81" t="s">
        <v>156</v>
      </c>
      <c r="O5" s="81"/>
      <c r="P5" s="81"/>
      <c r="Q5" s="82"/>
      <c r="R5" s="550"/>
      <c r="S5" s="551"/>
      <c r="T5" s="551"/>
      <c r="U5" s="551"/>
      <c r="V5" s="551"/>
      <c r="W5" s="552"/>
    </row>
    <row r="6" spans="2:23" ht="20.100000000000001" customHeight="1" x14ac:dyDescent="0.25">
      <c r="B6" s="748"/>
      <c r="C6" s="749"/>
      <c r="D6" s="749"/>
      <c r="E6" s="749"/>
      <c r="F6" s="749"/>
      <c r="G6" s="749"/>
      <c r="H6" s="749"/>
      <c r="I6" s="749"/>
      <c r="J6" s="749"/>
      <c r="K6" s="750"/>
      <c r="L6" s="83" t="s">
        <v>56</v>
      </c>
      <c r="M6" s="84"/>
      <c r="N6" s="84" t="s">
        <v>181</v>
      </c>
      <c r="O6" s="84"/>
      <c r="P6" s="84"/>
      <c r="Q6" s="85"/>
      <c r="R6" s="4" t="s">
        <v>59</v>
      </c>
      <c r="S6" s="4" t="s">
        <v>48</v>
      </c>
      <c r="T6" s="541" t="s">
        <v>47</v>
      </c>
      <c r="U6" s="542"/>
      <c r="V6" s="541" t="s">
        <v>46</v>
      </c>
      <c r="W6" s="542"/>
    </row>
    <row r="7" spans="2:23" s="184" customFormat="1" ht="15" customHeight="1" x14ac:dyDescent="0.3">
      <c r="B7" s="181"/>
      <c r="C7" s="182"/>
      <c r="D7" s="182"/>
      <c r="E7" s="182"/>
      <c r="F7" s="183"/>
      <c r="G7" s="183"/>
      <c r="H7" s="183"/>
      <c r="I7" s="183"/>
      <c r="W7" s="185"/>
    </row>
    <row r="8" spans="2:23" s="184" customFormat="1" ht="15" customHeight="1" x14ac:dyDescent="0.3">
      <c r="B8" s="181"/>
      <c r="C8" s="182"/>
      <c r="D8" s="182"/>
      <c r="E8" s="182"/>
      <c r="F8" s="182"/>
      <c r="G8" s="182"/>
      <c r="H8" s="182"/>
      <c r="I8" s="182"/>
      <c r="W8" s="185"/>
    </row>
    <row r="9" spans="2:23" s="190" customFormat="1" ht="39.950000000000003" customHeight="1" x14ac:dyDescent="0.35">
      <c r="B9" s="186" t="s">
        <v>8</v>
      </c>
      <c r="C9" s="187"/>
      <c r="D9" s="187"/>
      <c r="E9" s="187"/>
      <c r="F9" s="187"/>
      <c r="G9" s="187"/>
      <c r="H9" s="187"/>
      <c r="I9" s="289" t="str">
        <f>+'TAHAP 1'!G8</f>
        <v>: PEMI</v>
      </c>
      <c r="J9" s="187"/>
      <c r="K9" s="187"/>
      <c r="L9" s="187"/>
      <c r="M9" s="187"/>
      <c r="N9" s="187"/>
      <c r="O9" s="187"/>
      <c r="P9" s="188"/>
      <c r="Q9" s="188"/>
      <c r="R9" s="188"/>
      <c r="S9" s="188"/>
      <c r="T9" s="188"/>
      <c r="U9" s="188"/>
      <c r="V9" s="188"/>
      <c r="W9" s="189"/>
    </row>
    <row r="10" spans="2:23" s="190" customFormat="1" ht="39.950000000000003" customHeight="1" x14ac:dyDescent="0.35">
      <c r="B10" s="221" t="s">
        <v>9</v>
      </c>
      <c r="C10" s="191"/>
      <c r="D10" s="191"/>
      <c r="E10" s="191"/>
      <c r="F10" s="191"/>
      <c r="G10" s="191"/>
      <c r="H10" s="191"/>
      <c r="I10" s="289" t="str">
        <f>+'TAHAP 1'!G9</f>
        <v>: MENGIKUTI JISHUKEN GLOBAL PEMI 2024</v>
      </c>
      <c r="J10" s="191"/>
      <c r="K10" s="191"/>
      <c r="L10" s="191"/>
      <c r="M10" s="191"/>
      <c r="N10" s="191"/>
      <c r="O10" s="191"/>
      <c r="P10" s="188"/>
      <c r="Q10" s="188"/>
      <c r="R10" s="188"/>
      <c r="S10" s="188"/>
      <c r="T10" s="188"/>
      <c r="U10" s="188"/>
      <c r="V10" s="188"/>
      <c r="W10" s="189"/>
    </row>
    <row r="11" spans="2:23" s="194" customFormat="1" ht="20.100000000000001" customHeight="1" x14ac:dyDescent="0.25">
      <c r="B11" s="192"/>
      <c r="C11" s="193"/>
      <c r="D11" s="193"/>
      <c r="E11" s="193"/>
      <c r="F11" s="193"/>
      <c r="N11" s="195"/>
      <c r="O11" s="195"/>
      <c r="P11" s="195"/>
      <c r="Q11" s="195"/>
      <c r="R11" s="195"/>
      <c r="S11" s="195"/>
      <c r="T11" s="195"/>
      <c r="U11" s="195"/>
      <c r="V11" s="195"/>
      <c r="W11" s="196"/>
    </row>
    <row r="12" spans="2:23" s="194" customFormat="1" ht="20.100000000000001" customHeight="1" x14ac:dyDescent="0.25">
      <c r="B12" s="192"/>
      <c r="C12" s="193"/>
      <c r="D12" s="193"/>
      <c r="E12" s="193"/>
      <c r="F12" s="193"/>
      <c r="N12" s="195"/>
      <c r="O12" s="195"/>
      <c r="P12" s="195"/>
      <c r="Q12" s="195"/>
      <c r="R12" s="195"/>
      <c r="S12" s="195"/>
      <c r="T12" s="195"/>
      <c r="U12" s="195"/>
      <c r="V12" s="195"/>
      <c r="W12" s="196"/>
    </row>
    <row r="13" spans="2:23" s="194" customFormat="1" ht="20.100000000000001" customHeight="1" x14ac:dyDescent="0.25">
      <c r="B13" s="192"/>
      <c r="C13" s="193"/>
      <c r="D13" s="193"/>
      <c r="E13" s="193"/>
      <c r="F13" s="193"/>
      <c r="N13" s="195"/>
      <c r="O13" s="195"/>
      <c r="P13" s="195"/>
      <c r="Q13" s="195"/>
      <c r="R13" s="195"/>
      <c r="S13" s="195"/>
      <c r="T13" s="195"/>
      <c r="U13" s="195"/>
      <c r="V13" s="195"/>
      <c r="W13" s="196"/>
    </row>
    <row r="14" spans="2:23" s="195" customFormat="1" ht="24.95" customHeight="1" x14ac:dyDescent="0.25">
      <c r="B14" s="197" t="s">
        <v>171</v>
      </c>
      <c r="C14" s="198"/>
      <c r="D14" s="198"/>
      <c r="E14" s="198"/>
      <c r="F14" s="198"/>
      <c r="W14" s="199"/>
    </row>
    <row r="15" spans="2:23" s="202" customFormat="1" ht="24.95" customHeight="1" x14ac:dyDescent="0.25">
      <c r="B15" s="712" t="s">
        <v>1</v>
      </c>
      <c r="C15" s="715" t="s">
        <v>5</v>
      </c>
      <c r="D15" s="716"/>
      <c r="E15" s="716"/>
      <c r="F15" s="717"/>
      <c r="G15" s="715" t="s">
        <v>4</v>
      </c>
      <c r="H15" s="717"/>
      <c r="I15" s="724" t="s">
        <v>51</v>
      </c>
      <c r="J15" s="725"/>
      <c r="K15" s="730" t="s">
        <v>2</v>
      </c>
      <c r="L15" s="731"/>
      <c r="M15" s="730" t="s">
        <v>3</v>
      </c>
      <c r="N15" s="757"/>
      <c r="O15" s="731"/>
      <c r="P15" s="200">
        <v>1</v>
      </c>
      <c r="Q15" s="200">
        <v>2</v>
      </c>
      <c r="R15" s="200">
        <v>3</v>
      </c>
      <c r="S15" s="200">
        <v>4</v>
      </c>
      <c r="T15" s="740">
        <v>5</v>
      </c>
      <c r="U15" s="741"/>
      <c r="V15" s="201"/>
      <c r="W15" s="739"/>
    </row>
    <row r="16" spans="2:23" s="202" customFormat="1" ht="16.5" customHeight="1" x14ac:dyDescent="0.25">
      <c r="B16" s="713"/>
      <c r="C16" s="718"/>
      <c r="D16" s="719"/>
      <c r="E16" s="719"/>
      <c r="F16" s="720"/>
      <c r="G16" s="718"/>
      <c r="H16" s="720"/>
      <c r="I16" s="726"/>
      <c r="J16" s="727"/>
      <c r="K16" s="732"/>
      <c r="L16" s="733"/>
      <c r="M16" s="732"/>
      <c r="N16" s="758"/>
      <c r="O16" s="733"/>
      <c r="P16" s="805" t="s">
        <v>182</v>
      </c>
      <c r="Q16" s="814" t="s">
        <v>185</v>
      </c>
      <c r="R16" s="814" t="s">
        <v>200</v>
      </c>
      <c r="S16" s="814" t="s">
        <v>172</v>
      </c>
      <c r="T16" s="808" t="s">
        <v>173</v>
      </c>
      <c r="U16" s="809"/>
      <c r="V16" s="201"/>
      <c r="W16" s="739"/>
    </row>
    <row r="17" spans="2:28" s="202" customFormat="1" ht="16.5" customHeight="1" x14ac:dyDescent="0.25">
      <c r="B17" s="713"/>
      <c r="C17" s="718"/>
      <c r="D17" s="719"/>
      <c r="E17" s="719"/>
      <c r="F17" s="720"/>
      <c r="G17" s="718"/>
      <c r="H17" s="720"/>
      <c r="I17" s="726"/>
      <c r="J17" s="727"/>
      <c r="K17" s="732"/>
      <c r="L17" s="733"/>
      <c r="M17" s="732"/>
      <c r="N17" s="758"/>
      <c r="O17" s="733"/>
      <c r="P17" s="806"/>
      <c r="Q17" s="815"/>
      <c r="R17" s="815"/>
      <c r="S17" s="815"/>
      <c r="T17" s="810"/>
      <c r="U17" s="811"/>
      <c r="V17" s="201"/>
      <c r="W17" s="739"/>
    </row>
    <row r="18" spans="2:28" s="202" customFormat="1" ht="17.100000000000001" customHeight="1" x14ac:dyDescent="0.25">
      <c r="B18" s="714"/>
      <c r="C18" s="721"/>
      <c r="D18" s="722"/>
      <c r="E18" s="722"/>
      <c r="F18" s="723"/>
      <c r="G18" s="721"/>
      <c r="H18" s="723"/>
      <c r="I18" s="728"/>
      <c r="J18" s="729"/>
      <c r="K18" s="734"/>
      <c r="L18" s="735"/>
      <c r="M18" s="734"/>
      <c r="N18" s="759"/>
      <c r="O18" s="735"/>
      <c r="P18" s="807"/>
      <c r="Q18" s="816"/>
      <c r="R18" s="816"/>
      <c r="S18" s="816"/>
      <c r="T18" s="812"/>
      <c r="U18" s="813"/>
      <c r="V18" s="201"/>
      <c r="W18" s="739"/>
    </row>
    <row r="19" spans="2:28" s="203" customFormat="1" ht="150" customHeight="1" x14ac:dyDescent="0.25">
      <c r="B19" s="284">
        <v>1</v>
      </c>
      <c r="C19" s="285">
        <f>+'TAHAP 1'!C13</f>
        <v>45530</v>
      </c>
      <c r="D19" s="751" t="s">
        <v>6</v>
      </c>
      <c r="E19" s="751"/>
      <c r="F19" s="286">
        <f>+'TAHAP 1'!F13</f>
        <v>45569</v>
      </c>
      <c r="G19" s="752" t="str">
        <f>+'TAHAP 1'!G13:H13</f>
        <v>FA</v>
      </c>
      <c r="H19" s="753"/>
      <c r="I19" s="752" t="str">
        <f>+'TAHAP 1'!I13:J13</f>
        <v>CSPV</v>
      </c>
      <c r="J19" s="753"/>
      <c r="K19" s="752">
        <f>+'TAHAP 1'!K13:L13</f>
        <v>5533</v>
      </c>
      <c r="L19" s="753"/>
      <c r="M19" s="754" t="str">
        <f>+'TAHAP 1'!M13</f>
        <v>NANANG YUDI PRASETYO</v>
      </c>
      <c r="N19" s="755"/>
      <c r="O19" s="756"/>
      <c r="P19" s="287" t="s">
        <v>245</v>
      </c>
      <c r="Q19" s="287" t="s">
        <v>7</v>
      </c>
      <c r="R19" s="858" t="s">
        <v>247</v>
      </c>
      <c r="S19" s="858" t="s">
        <v>215</v>
      </c>
      <c r="T19" s="779" t="s">
        <v>212</v>
      </c>
      <c r="U19" s="781"/>
      <c r="V19" s="184"/>
      <c r="W19" s="204"/>
      <c r="Y19" s="205" t="str">
        <f>+G19</f>
        <v>FA</v>
      </c>
      <c r="Z19" s="205" t="str">
        <f>+I19</f>
        <v>CSPV</v>
      </c>
      <c r="AA19" s="205">
        <f>+K19</f>
        <v>5533</v>
      </c>
      <c r="AB19" s="205" t="str">
        <f>+M19</f>
        <v>NANANG YUDI PRASETYO</v>
      </c>
    </row>
    <row r="20" spans="2:28" s="203" customFormat="1" ht="150" customHeight="1" x14ac:dyDescent="0.25">
      <c r="B20" s="284">
        <v>2</v>
      </c>
      <c r="C20" s="285">
        <f>+'TAHAP 1'!C14</f>
        <v>45530</v>
      </c>
      <c r="D20" s="736" t="s">
        <v>6</v>
      </c>
      <c r="E20" s="736"/>
      <c r="F20" s="288">
        <f>+'TAHAP 1'!F14</f>
        <v>45569</v>
      </c>
      <c r="G20" s="737" t="str">
        <f>+'TAHAP 1'!G14:H14</f>
        <v>FA</v>
      </c>
      <c r="H20" s="738"/>
      <c r="I20" s="737" t="str">
        <f>+'TAHAP 1'!I14:J14</f>
        <v>SPV</v>
      </c>
      <c r="J20" s="738"/>
      <c r="K20" s="737">
        <f>+'TAHAP 1'!K14:L14</f>
        <v>13647</v>
      </c>
      <c r="L20" s="738"/>
      <c r="M20" s="855" t="str">
        <f>+'TAHAP 1'!M14</f>
        <v>ADITYA FAHRIZAL</v>
      </c>
      <c r="N20" s="856"/>
      <c r="O20" s="857"/>
      <c r="P20" s="287" t="s">
        <v>246</v>
      </c>
      <c r="Q20" s="287" t="s">
        <v>7</v>
      </c>
      <c r="R20" s="859"/>
      <c r="S20" s="859"/>
      <c r="T20" s="785"/>
      <c r="U20" s="787"/>
      <c r="V20" s="184"/>
      <c r="W20" s="204"/>
      <c r="Y20" s="205" t="str">
        <f t="shared" ref="Y20" si="0">+G20</f>
        <v>FA</v>
      </c>
      <c r="Z20" s="205" t="str">
        <f t="shared" ref="Z20" si="1">+I20</f>
        <v>SPV</v>
      </c>
      <c r="AA20" s="205">
        <f t="shared" ref="AA20" si="2">+K20</f>
        <v>13647</v>
      </c>
      <c r="AB20" s="205" t="str">
        <f t="shared" ref="AB20" si="3">+M20</f>
        <v>ADITYA FAHRIZAL</v>
      </c>
    </row>
    <row r="21" spans="2:28" s="194" customFormat="1" x14ac:dyDescent="0.25">
      <c r="B21" s="192"/>
      <c r="C21" s="193"/>
      <c r="D21" s="193"/>
      <c r="E21" s="193"/>
      <c r="F21" s="193"/>
      <c r="W21" s="196"/>
    </row>
    <row r="22" spans="2:28" s="194" customFormat="1" x14ac:dyDescent="0.25">
      <c r="B22" s="192"/>
      <c r="C22" s="193"/>
      <c r="D22" s="193"/>
      <c r="E22" s="193"/>
      <c r="F22" s="193"/>
      <c r="W22" s="196"/>
    </row>
    <row r="23" spans="2:28" s="194" customFormat="1" x14ac:dyDescent="0.25">
      <c r="B23" s="192"/>
      <c r="C23" s="193"/>
      <c r="D23" s="193"/>
      <c r="E23" s="193"/>
      <c r="F23" s="193"/>
      <c r="W23" s="196"/>
    </row>
    <row r="24" spans="2:28" s="194" customFormat="1" x14ac:dyDescent="0.25">
      <c r="B24" s="192"/>
      <c r="C24" s="193"/>
      <c r="D24" s="193"/>
      <c r="E24" s="193"/>
      <c r="F24" s="193"/>
      <c r="W24" s="196"/>
    </row>
    <row r="25" spans="2:28" s="194" customFormat="1" x14ac:dyDescent="0.25">
      <c r="B25" s="192"/>
      <c r="C25" s="193"/>
      <c r="D25" s="193"/>
      <c r="E25" s="193"/>
      <c r="F25" s="193"/>
      <c r="W25" s="196"/>
    </row>
    <row r="26" spans="2:28" s="198" customFormat="1" ht="27.95" customHeight="1" x14ac:dyDescent="0.25">
      <c r="B26" s="862" t="s">
        <v>175</v>
      </c>
      <c r="C26" s="863"/>
      <c r="D26" s="863"/>
      <c r="E26" s="863"/>
      <c r="F26" s="863"/>
      <c r="G26" s="863"/>
      <c r="H26" s="863"/>
      <c r="I26" s="863"/>
      <c r="J26" s="863"/>
      <c r="K26" s="864"/>
      <c r="L26" s="715" t="s">
        <v>176</v>
      </c>
      <c r="M26" s="716"/>
      <c r="N26" s="717"/>
      <c r="O26" s="800" t="s">
        <v>194</v>
      </c>
      <c r="P26" s="801"/>
      <c r="Q26" s="801"/>
      <c r="R26" s="802"/>
      <c r="S26" s="788" t="s">
        <v>37</v>
      </c>
      <c r="T26" s="788"/>
      <c r="U26" s="788"/>
      <c r="V26" s="788"/>
      <c r="W26" s="206"/>
    </row>
    <row r="27" spans="2:28" s="198" customFormat="1" ht="30" customHeight="1" x14ac:dyDescent="0.25">
      <c r="B27" s="862"/>
      <c r="C27" s="863"/>
      <c r="D27" s="863"/>
      <c r="E27" s="863"/>
      <c r="F27" s="863"/>
      <c r="G27" s="863"/>
      <c r="H27" s="863"/>
      <c r="I27" s="863"/>
      <c r="J27" s="863"/>
      <c r="K27" s="864"/>
      <c r="L27" s="718"/>
      <c r="M27" s="719"/>
      <c r="N27" s="720"/>
      <c r="O27" s="795" t="s">
        <v>222</v>
      </c>
      <c r="P27" s="796"/>
      <c r="Q27" s="795" t="s">
        <v>214</v>
      </c>
      <c r="R27" s="796"/>
      <c r="S27" s="789" t="str">
        <f>+'TAPAH 2.2 (Rincian)'!F48</f>
        <v>Aston Sidoarjo City Hotel and Conference Center
Jalan Kahuripan Raya Kav. 14 Sidoarjo, Kahuripan, Sidoarjo, 61252, Indonesia. 
CI/CO : 21 - 23 Aug (02 Malam)
Deluxe : IDR 670.000/room/night include breakfast
Executive : IDR 950.000/room/night include breakfast</v>
      </c>
      <c r="T27" s="790"/>
      <c r="U27" s="790"/>
      <c r="V27" s="791"/>
      <c r="W27" s="206"/>
    </row>
    <row r="28" spans="2:28" s="198" customFormat="1" ht="50.1" customHeight="1" x14ac:dyDescent="0.25">
      <c r="B28" s="862"/>
      <c r="C28" s="863"/>
      <c r="D28" s="863"/>
      <c r="E28" s="863"/>
      <c r="F28" s="863"/>
      <c r="G28" s="863"/>
      <c r="H28" s="863"/>
      <c r="I28" s="863"/>
      <c r="J28" s="863"/>
      <c r="K28" s="864"/>
      <c r="L28" s="247"/>
      <c r="M28" s="249"/>
      <c r="N28" s="248"/>
      <c r="O28" s="797"/>
      <c r="P28" s="798"/>
      <c r="Q28" s="797" t="s">
        <v>7</v>
      </c>
      <c r="R28" s="798"/>
      <c r="S28" s="792"/>
      <c r="T28" s="793"/>
      <c r="U28" s="793"/>
      <c r="V28" s="794"/>
      <c r="W28" s="206"/>
    </row>
    <row r="29" spans="2:28" s="198" customFormat="1" ht="50.1" customHeight="1" x14ac:dyDescent="0.25">
      <c r="B29" s="862"/>
      <c r="C29" s="863"/>
      <c r="D29" s="863"/>
      <c r="E29" s="863"/>
      <c r="F29" s="863"/>
      <c r="G29" s="863"/>
      <c r="H29" s="863"/>
      <c r="I29" s="863"/>
      <c r="J29" s="863"/>
      <c r="K29" s="864"/>
      <c r="L29" s="230"/>
      <c r="M29" s="239"/>
      <c r="N29" s="231"/>
      <c r="O29" s="797"/>
      <c r="P29" s="798"/>
      <c r="Q29" s="797" t="s">
        <v>7</v>
      </c>
      <c r="R29" s="798"/>
      <c r="S29" s="792"/>
      <c r="T29" s="793"/>
      <c r="U29" s="793"/>
      <c r="V29" s="794"/>
      <c r="W29" s="206"/>
    </row>
    <row r="30" spans="2:28" s="198" customFormat="1" ht="60" hidden="1" customHeight="1" x14ac:dyDescent="0.25">
      <c r="B30" s="862"/>
      <c r="C30" s="863"/>
      <c r="D30" s="863"/>
      <c r="E30" s="863"/>
      <c r="F30" s="863"/>
      <c r="G30" s="863"/>
      <c r="H30" s="863"/>
      <c r="I30" s="863"/>
      <c r="J30" s="863"/>
      <c r="K30" s="864"/>
      <c r="L30" s="230"/>
      <c r="M30" s="239"/>
      <c r="N30" s="231"/>
      <c r="O30" s="860"/>
      <c r="P30" s="861"/>
      <c r="Q30" s="250"/>
      <c r="R30" s="251"/>
      <c r="S30" s="241"/>
      <c r="T30" s="242"/>
      <c r="U30" s="242"/>
      <c r="V30" s="243"/>
      <c r="W30" s="206"/>
    </row>
    <row r="31" spans="2:28" s="198" customFormat="1" ht="27.95" hidden="1" customHeight="1" x14ac:dyDescent="0.25">
      <c r="B31" s="862"/>
      <c r="C31" s="863"/>
      <c r="D31" s="863"/>
      <c r="E31" s="863"/>
      <c r="F31" s="863"/>
      <c r="G31" s="863"/>
      <c r="H31" s="863"/>
      <c r="I31" s="863"/>
      <c r="J31" s="863"/>
      <c r="K31" s="864"/>
      <c r="L31" s="230"/>
      <c r="M31" s="239"/>
      <c r="N31" s="231"/>
      <c r="O31" s="236"/>
      <c r="P31" s="237"/>
      <c r="Q31" s="250"/>
      <c r="R31" s="251"/>
      <c r="S31" s="241"/>
      <c r="T31" s="242"/>
      <c r="U31" s="242"/>
      <c r="V31" s="243"/>
      <c r="W31" s="206"/>
    </row>
    <row r="32" spans="2:28" s="198" customFormat="1" ht="60" hidden="1" customHeight="1" x14ac:dyDescent="0.25">
      <c r="B32" s="865"/>
      <c r="C32" s="866"/>
      <c r="D32" s="866"/>
      <c r="E32" s="866"/>
      <c r="F32" s="866"/>
      <c r="G32" s="866"/>
      <c r="H32" s="866"/>
      <c r="I32" s="866"/>
      <c r="J32" s="866"/>
      <c r="K32" s="867"/>
      <c r="L32" s="232"/>
      <c r="M32" s="233"/>
      <c r="N32" s="234"/>
      <c r="O32" s="850"/>
      <c r="P32" s="851"/>
      <c r="Q32" s="252"/>
      <c r="R32" s="253"/>
      <c r="S32" s="244"/>
      <c r="T32" s="245"/>
      <c r="U32" s="245"/>
      <c r="V32" s="246"/>
      <c r="W32" s="206"/>
    </row>
    <row r="33" spans="2:23" s="198" customFormat="1" ht="50.1" customHeight="1" x14ac:dyDescent="0.25">
      <c r="B33" s="264" t="s">
        <v>1</v>
      </c>
      <c r="C33" s="740" t="s">
        <v>3</v>
      </c>
      <c r="D33" s="868"/>
      <c r="E33" s="868"/>
      <c r="F33" s="741"/>
      <c r="G33" s="264" t="s">
        <v>2</v>
      </c>
      <c r="H33" s="800" t="s">
        <v>151</v>
      </c>
      <c r="I33" s="801"/>
      <c r="J33" s="801"/>
      <c r="K33" s="802"/>
      <c r="L33" s="875" t="s">
        <v>177</v>
      </c>
      <c r="M33" s="876"/>
      <c r="N33" s="240" t="s">
        <v>186</v>
      </c>
      <c r="O33" s="263" t="s">
        <v>178</v>
      </c>
      <c r="P33" s="263" t="s">
        <v>186</v>
      </c>
      <c r="Q33" s="263" t="s">
        <v>178</v>
      </c>
      <c r="R33" s="263" t="s">
        <v>186</v>
      </c>
      <c r="S33" s="263" t="s">
        <v>178</v>
      </c>
      <c r="T33" s="846" t="s">
        <v>186</v>
      </c>
      <c r="U33" s="846"/>
      <c r="V33" s="846"/>
      <c r="W33" s="206" t="s">
        <v>196</v>
      </c>
    </row>
    <row r="34" spans="2:23" s="207" customFormat="1" ht="50.1" customHeight="1" x14ac:dyDescent="0.25">
      <c r="B34" s="290">
        <f>+'TAPAH 2.2 (Rincian)'!A30</f>
        <v>1</v>
      </c>
      <c r="C34" s="872" t="str">
        <f>'TAPAH 2.2 (Rincian)'!B30</f>
        <v>NANANG YUDI PRASETYO</v>
      </c>
      <c r="D34" s="873"/>
      <c r="E34" s="873"/>
      <c r="F34" s="874"/>
      <c r="G34" s="290">
        <f>+'TAHAP 1'!K13</f>
        <v>5533</v>
      </c>
      <c r="H34" s="869"/>
      <c r="I34" s="870"/>
      <c r="J34" s="870"/>
      <c r="K34" s="871"/>
      <c r="L34" s="831">
        <f>+upd!H62</f>
        <v>3517500</v>
      </c>
      <c r="M34" s="832"/>
      <c r="N34" s="291"/>
      <c r="O34" s="389">
        <f>SUM(upd!I62:L62)</f>
        <v>4385700</v>
      </c>
      <c r="P34" s="836"/>
      <c r="Q34" s="292">
        <v>0</v>
      </c>
      <c r="R34" s="293"/>
      <c r="S34" s="292">
        <f>+upd!M62</f>
        <v>5250000</v>
      </c>
      <c r="T34" s="845"/>
      <c r="U34" s="845"/>
      <c r="V34" s="845"/>
      <c r="W34" s="208"/>
    </row>
    <row r="35" spans="2:23" s="207" customFormat="1" ht="50.1" customHeight="1" thickBot="1" x14ac:dyDescent="0.3">
      <c r="B35" s="294">
        <v>2</v>
      </c>
      <c r="C35" s="852" t="str">
        <f>'TAPAH 2.2 (Rincian)'!B31</f>
        <v>ADITYA FAHRIZAL</v>
      </c>
      <c r="D35" s="853"/>
      <c r="E35" s="853"/>
      <c r="F35" s="854"/>
      <c r="G35" s="294">
        <f>+'TAHAP 1'!K14</f>
        <v>13647</v>
      </c>
      <c r="H35" s="833"/>
      <c r="I35" s="834"/>
      <c r="J35" s="834"/>
      <c r="K35" s="835"/>
      <c r="L35" s="877">
        <f>+upd!H63</f>
        <v>3517500</v>
      </c>
      <c r="M35" s="878"/>
      <c r="N35" s="295"/>
      <c r="O35" s="388">
        <f>+SUM(upd!I63:L63)</f>
        <v>4385700</v>
      </c>
      <c r="P35" s="837"/>
      <c r="Q35" s="296">
        <v>0</v>
      </c>
      <c r="R35" s="297"/>
      <c r="S35" s="296">
        <f>+upd!M63</f>
        <v>5250000</v>
      </c>
      <c r="T35" s="847"/>
      <c r="U35" s="848"/>
      <c r="V35" s="849"/>
      <c r="W35" s="208"/>
    </row>
    <row r="36" spans="2:23" s="198" customFormat="1" ht="35.1" customHeight="1" thickTop="1" x14ac:dyDescent="0.25">
      <c r="B36" s="803" t="s">
        <v>170</v>
      </c>
      <c r="C36" s="803"/>
      <c r="D36" s="803"/>
      <c r="E36" s="803"/>
      <c r="F36" s="803"/>
      <c r="G36" s="803"/>
      <c r="H36" s="803"/>
      <c r="I36" s="803"/>
      <c r="J36" s="803"/>
      <c r="K36" s="803"/>
      <c r="L36" s="804">
        <f>SUM(L34:M35)</f>
        <v>7035000</v>
      </c>
      <c r="M36" s="804"/>
      <c r="N36" s="804"/>
      <c r="O36" s="804">
        <f>SUM(O34:O35)</f>
        <v>8771400</v>
      </c>
      <c r="P36" s="804"/>
      <c r="Q36" s="804">
        <f>SUM(Q34:Q35)</f>
        <v>0</v>
      </c>
      <c r="R36" s="804"/>
      <c r="S36" s="804">
        <f>SUM(S34:S35)</f>
        <v>10500000</v>
      </c>
      <c r="T36" s="804"/>
      <c r="U36" s="804"/>
      <c r="V36" s="804"/>
      <c r="W36" s="206"/>
    </row>
    <row r="37" spans="2:23" s="207" customFormat="1" ht="45" customHeight="1" x14ac:dyDescent="0.25">
      <c r="B37" s="799" t="s">
        <v>12</v>
      </c>
      <c r="C37" s="799"/>
      <c r="D37" s="799"/>
      <c r="E37" s="799"/>
      <c r="F37" s="799"/>
      <c r="G37" s="799"/>
      <c r="H37" s="799"/>
      <c r="I37" s="799"/>
      <c r="J37" s="799"/>
      <c r="K37" s="799"/>
      <c r="L37" s="769">
        <f>SUM(L36:V36)</f>
        <v>26306400</v>
      </c>
      <c r="M37" s="769"/>
      <c r="N37" s="769"/>
      <c r="O37" s="769"/>
      <c r="P37" s="769"/>
      <c r="Q37" s="769"/>
      <c r="R37" s="769"/>
      <c r="S37" s="769"/>
      <c r="T37" s="769"/>
      <c r="U37" s="769"/>
      <c r="V37" s="769"/>
      <c r="W37" s="208"/>
    </row>
    <row r="38" spans="2:23" s="194" customFormat="1" ht="20.100000000000001" customHeight="1" x14ac:dyDescent="0.25">
      <c r="B38" s="192"/>
      <c r="C38" s="193"/>
      <c r="D38" s="193"/>
      <c r="E38" s="193"/>
      <c r="F38" s="193"/>
      <c r="W38" s="196"/>
    </row>
    <row r="39" spans="2:23" s="194" customFormat="1" ht="20.100000000000001" customHeight="1" x14ac:dyDescent="0.25">
      <c r="B39" s="192"/>
      <c r="C39" s="193"/>
      <c r="D39" s="193"/>
      <c r="E39" s="193"/>
      <c r="F39" s="193"/>
      <c r="W39" s="196"/>
    </row>
    <row r="40" spans="2:23" s="194" customFormat="1" ht="20.100000000000001" customHeight="1" x14ac:dyDescent="0.25">
      <c r="B40" s="760" t="s">
        <v>202</v>
      </c>
      <c r="C40" s="761"/>
      <c r="D40" s="761"/>
      <c r="E40" s="761"/>
      <c r="F40" s="761"/>
      <c r="G40" s="761"/>
      <c r="H40" s="761"/>
      <c r="I40" s="761"/>
      <c r="J40" s="761"/>
      <c r="K40" s="761"/>
      <c r="L40" s="761"/>
      <c r="M40" s="761"/>
      <c r="N40" s="761"/>
      <c r="O40" s="761"/>
      <c r="P40" s="761"/>
      <c r="Q40" s="761"/>
      <c r="R40" s="762"/>
      <c r="S40" s="209"/>
      <c r="T40" s="770" t="s">
        <v>201</v>
      </c>
      <c r="U40" s="771"/>
      <c r="V40" s="772"/>
      <c r="W40" s="196"/>
    </row>
    <row r="41" spans="2:23" s="194" customFormat="1" ht="20.100000000000001" customHeight="1" x14ac:dyDescent="0.25">
      <c r="B41" s="763"/>
      <c r="C41" s="764"/>
      <c r="D41" s="764"/>
      <c r="E41" s="764"/>
      <c r="F41" s="764"/>
      <c r="G41" s="764"/>
      <c r="H41" s="764"/>
      <c r="I41" s="764"/>
      <c r="J41" s="764"/>
      <c r="K41" s="764"/>
      <c r="L41" s="764"/>
      <c r="M41" s="764"/>
      <c r="N41" s="764"/>
      <c r="O41" s="764"/>
      <c r="P41" s="764"/>
      <c r="Q41" s="764"/>
      <c r="R41" s="765"/>
      <c r="S41" s="209"/>
      <c r="T41" s="773"/>
      <c r="U41" s="774"/>
      <c r="V41" s="775"/>
      <c r="W41" s="196"/>
    </row>
    <row r="42" spans="2:23" s="194" customFormat="1" ht="20.100000000000001" customHeight="1" x14ac:dyDescent="0.25">
      <c r="B42" s="763"/>
      <c r="C42" s="764"/>
      <c r="D42" s="764"/>
      <c r="E42" s="764"/>
      <c r="F42" s="764"/>
      <c r="G42" s="764"/>
      <c r="H42" s="764"/>
      <c r="I42" s="764"/>
      <c r="J42" s="764"/>
      <c r="K42" s="764"/>
      <c r="L42" s="764"/>
      <c r="M42" s="764"/>
      <c r="N42" s="764"/>
      <c r="O42" s="764"/>
      <c r="P42" s="764"/>
      <c r="Q42" s="764"/>
      <c r="R42" s="765"/>
      <c r="S42" s="209"/>
      <c r="T42" s="776"/>
      <c r="U42" s="777"/>
      <c r="V42" s="778"/>
      <c r="W42" s="196"/>
    </row>
    <row r="43" spans="2:23" s="194" customFormat="1" ht="20.100000000000001" customHeight="1" x14ac:dyDescent="0.25">
      <c r="B43" s="763"/>
      <c r="C43" s="764"/>
      <c r="D43" s="764"/>
      <c r="E43" s="764"/>
      <c r="F43" s="764"/>
      <c r="G43" s="764"/>
      <c r="H43" s="764"/>
      <c r="I43" s="764"/>
      <c r="J43" s="764"/>
      <c r="K43" s="764"/>
      <c r="L43" s="764"/>
      <c r="M43" s="764"/>
      <c r="N43" s="764"/>
      <c r="O43" s="764"/>
      <c r="P43" s="764"/>
      <c r="Q43" s="764"/>
      <c r="R43" s="765"/>
      <c r="S43" s="209"/>
      <c r="T43" s="779" t="s">
        <v>174</v>
      </c>
      <c r="U43" s="780"/>
      <c r="V43" s="781"/>
      <c r="W43" s="196"/>
    </row>
    <row r="44" spans="2:23" s="195" customFormat="1" ht="20.100000000000001" customHeight="1" x14ac:dyDescent="0.25">
      <c r="B44" s="763"/>
      <c r="C44" s="764"/>
      <c r="D44" s="764"/>
      <c r="E44" s="764"/>
      <c r="F44" s="764"/>
      <c r="G44" s="764"/>
      <c r="H44" s="764"/>
      <c r="I44" s="764"/>
      <c r="J44" s="764"/>
      <c r="K44" s="764"/>
      <c r="L44" s="764"/>
      <c r="M44" s="764"/>
      <c r="N44" s="764"/>
      <c r="O44" s="764"/>
      <c r="P44" s="764"/>
      <c r="Q44" s="764"/>
      <c r="R44" s="765"/>
      <c r="S44" s="209"/>
      <c r="T44" s="782"/>
      <c r="U44" s="783"/>
      <c r="V44" s="784"/>
      <c r="W44" s="199"/>
    </row>
    <row r="45" spans="2:23" s="195" customFormat="1" ht="20.100000000000001" customHeight="1" x14ac:dyDescent="0.25">
      <c r="B45" s="763"/>
      <c r="C45" s="764"/>
      <c r="D45" s="764"/>
      <c r="E45" s="764"/>
      <c r="F45" s="764"/>
      <c r="G45" s="764"/>
      <c r="H45" s="764"/>
      <c r="I45" s="764"/>
      <c r="J45" s="764"/>
      <c r="K45" s="764"/>
      <c r="L45" s="764"/>
      <c r="M45" s="764"/>
      <c r="N45" s="764"/>
      <c r="O45" s="764"/>
      <c r="P45" s="764"/>
      <c r="Q45" s="764"/>
      <c r="R45" s="765"/>
      <c r="S45" s="209"/>
      <c r="T45" s="782"/>
      <c r="U45" s="783"/>
      <c r="V45" s="784"/>
      <c r="W45" s="210"/>
    </row>
    <row r="46" spans="2:23" s="195" customFormat="1" ht="20.100000000000001" customHeight="1" x14ac:dyDescent="0.25">
      <c r="B46" s="766"/>
      <c r="C46" s="767"/>
      <c r="D46" s="767"/>
      <c r="E46" s="767"/>
      <c r="F46" s="767"/>
      <c r="G46" s="767"/>
      <c r="H46" s="767"/>
      <c r="I46" s="767"/>
      <c r="J46" s="767"/>
      <c r="K46" s="767"/>
      <c r="L46" s="767"/>
      <c r="M46" s="767"/>
      <c r="N46" s="767"/>
      <c r="O46" s="767"/>
      <c r="P46" s="767"/>
      <c r="Q46" s="767"/>
      <c r="R46" s="768"/>
      <c r="S46" s="209"/>
      <c r="T46" s="785"/>
      <c r="U46" s="786"/>
      <c r="V46" s="787"/>
      <c r="W46" s="210"/>
    </row>
    <row r="47" spans="2:23" s="195" customFormat="1" ht="15.75" x14ac:dyDescent="0.25">
      <c r="B47" s="211"/>
      <c r="C47" s="212"/>
      <c r="D47" s="212"/>
      <c r="E47" s="212"/>
      <c r="F47" s="212"/>
      <c r="G47" s="212"/>
      <c r="H47" s="212"/>
      <c r="I47" s="212"/>
      <c r="J47" s="212"/>
      <c r="K47" s="212"/>
      <c r="L47" s="212"/>
      <c r="M47" s="212"/>
      <c r="N47" s="212"/>
      <c r="O47" s="212"/>
      <c r="P47" s="212"/>
      <c r="Q47" s="212"/>
      <c r="R47" s="198"/>
      <c r="T47" s="213"/>
      <c r="U47" s="213"/>
      <c r="V47" s="213"/>
      <c r="W47" s="214"/>
    </row>
    <row r="48" spans="2:23" s="195" customFormat="1" ht="15.75" x14ac:dyDescent="0.25">
      <c r="B48" s="211"/>
      <c r="C48" s="212"/>
      <c r="D48" s="212"/>
      <c r="E48" s="212"/>
      <c r="F48" s="212"/>
      <c r="G48" s="212"/>
      <c r="H48" s="212"/>
      <c r="I48" s="212"/>
      <c r="J48" s="212"/>
      <c r="K48" s="212"/>
      <c r="L48" s="212"/>
      <c r="M48" s="212"/>
      <c r="N48" s="212"/>
      <c r="O48" s="212"/>
      <c r="P48" s="212"/>
      <c r="Q48" s="212"/>
      <c r="R48" s="198"/>
      <c r="T48" s="213"/>
      <c r="U48" s="213"/>
      <c r="V48" s="213"/>
      <c r="W48" s="214"/>
    </row>
    <row r="49" spans="1:24" s="195" customFormat="1" ht="15.75" x14ac:dyDescent="0.25">
      <c r="B49" s="211"/>
      <c r="C49" s="212"/>
      <c r="D49" s="212"/>
      <c r="E49" s="212"/>
      <c r="F49" s="212"/>
      <c r="G49" s="212"/>
      <c r="H49" s="212"/>
      <c r="I49" s="212"/>
      <c r="J49" s="212"/>
      <c r="K49" s="212"/>
      <c r="L49" s="212"/>
      <c r="M49" s="212"/>
      <c r="N49" s="212"/>
      <c r="O49" s="212"/>
      <c r="P49" s="212"/>
      <c r="Q49" s="212"/>
      <c r="R49" s="198"/>
      <c r="T49" s="213"/>
      <c r="U49" s="213"/>
      <c r="V49" s="213"/>
      <c r="W49" s="214"/>
    </row>
    <row r="50" spans="1:24" s="195" customFormat="1" ht="15.75" x14ac:dyDescent="0.25">
      <c r="B50" s="211"/>
      <c r="C50" s="212"/>
      <c r="D50" s="212"/>
      <c r="E50" s="212"/>
      <c r="F50" s="212"/>
      <c r="G50" s="212"/>
      <c r="H50" s="212"/>
      <c r="I50" s="212"/>
      <c r="J50" s="212"/>
      <c r="K50" s="212"/>
      <c r="L50" s="212"/>
      <c r="M50" s="212"/>
      <c r="N50" s="212"/>
      <c r="O50" s="212"/>
      <c r="P50" s="212"/>
      <c r="Q50" s="212"/>
      <c r="R50" s="198"/>
      <c r="T50" s="213"/>
      <c r="U50" s="213"/>
      <c r="V50" s="213"/>
      <c r="W50" s="214"/>
    </row>
    <row r="51" spans="1:24" s="195" customFormat="1" ht="16.5" thickBot="1" x14ac:dyDescent="0.3">
      <c r="B51" s="215"/>
      <c r="C51" s="216"/>
      <c r="D51" s="217"/>
      <c r="E51" s="216"/>
      <c r="F51" s="216"/>
      <c r="G51" s="218"/>
      <c r="H51" s="218"/>
      <c r="I51" s="218"/>
      <c r="J51" s="218"/>
      <c r="K51" s="218"/>
      <c r="L51" s="218"/>
      <c r="M51" s="218"/>
      <c r="N51" s="218"/>
      <c r="O51" s="218"/>
      <c r="P51" s="218"/>
      <c r="Q51" s="218"/>
      <c r="R51" s="218"/>
      <c r="S51" s="218"/>
      <c r="T51" s="219"/>
      <c r="U51" s="219"/>
      <c r="V51" s="219"/>
      <c r="W51" s="220"/>
    </row>
    <row r="52" spans="1:24" ht="20.100000000000001" customHeight="1" thickTop="1" x14ac:dyDescent="0.25">
      <c r="B52" s="613" t="s">
        <v>104</v>
      </c>
      <c r="C52" s="614"/>
      <c r="D52" s="614"/>
      <c r="E52" s="614"/>
      <c r="F52" s="615"/>
      <c r="G52" s="657"/>
      <c r="H52" s="817"/>
      <c r="I52" s="661" t="s">
        <v>154</v>
      </c>
      <c r="J52" s="819"/>
      <c r="K52" s="819"/>
      <c r="L52" s="820"/>
      <c r="M52" s="88">
        <v>4</v>
      </c>
      <c r="N52" s="825" t="s">
        <v>165</v>
      </c>
      <c r="O52" s="826"/>
      <c r="P52" s="827"/>
      <c r="Q52" s="112">
        <v>45118</v>
      </c>
      <c r="R52" s="88" t="s">
        <v>46</v>
      </c>
      <c r="S52" s="88"/>
      <c r="T52" s="841"/>
      <c r="U52" s="842"/>
      <c r="V52" s="843"/>
      <c r="W52" s="88"/>
    </row>
    <row r="53" spans="1:24" ht="20.100000000000001" customHeight="1" x14ac:dyDescent="0.25">
      <c r="B53" s="616"/>
      <c r="C53" s="614"/>
      <c r="D53" s="614"/>
      <c r="E53" s="614"/>
      <c r="F53" s="615"/>
      <c r="G53" s="657"/>
      <c r="H53" s="817"/>
      <c r="I53" s="821"/>
      <c r="J53" s="819"/>
      <c r="K53" s="819"/>
      <c r="L53" s="820"/>
      <c r="M53" s="4">
        <v>3</v>
      </c>
      <c r="N53" s="828" t="s">
        <v>162</v>
      </c>
      <c r="O53" s="829"/>
      <c r="P53" s="830"/>
      <c r="Q53" s="113">
        <v>44702</v>
      </c>
      <c r="R53" s="4" t="s">
        <v>46</v>
      </c>
      <c r="S53" s="4"/>
      <c r="T53" s="566"/>
      <c r="U53" s="844"/>
      <c r="V53" s="567"/>
      <c r="W53" s="4"/>
    </row>
    <row r="54" spans="1:24" ht="20.100000000000001" customHeight="1" x14ac:dyDescent="0.25">
      <c r="B54" s="616"/>
      <c r="C54" s="614"/>
      <c r="D54" s="614"/>
      <c r="E54" s="614"/>
      <c r="F54" s="615"/>
      <c r="G54" s="657"/>
      <c r="H54" s="817"/>
      <c r="I54" s="821"/>
      <c r="J54" s="819"/>
      <c r="K54" s="819"/>
      <c r="L54" s="820"/>
      <c r="M54" s="4">
        <v>2</v>
      </c>
      <c r="N54" s="828" t="s">
        <v>161</v>
      </c>
      <c r="O54" s="829"/>
      <c r="P54" s="830"/>
      <c r="Q54" s="113">
        <v>44314</v>
      </c>
      <c r="R54" s="4" t="s">
        <v>46</v>
      </c>
      <c r="S54" s="4">
        <v>3</v>
      </c>
      <c r="T54" s="566">
        <f>+Q52</f>
        <v>45118</v>
      </c>
      <c r="U54" s="844"/>
      <c r="V54" s="567"/>
      <c r="W54" s="4" t="s">
        <v>48</v>
      </c>
    </row>
    <row r="55" spans="1:24" ht="20.100000000000001" customHeight="1" x14ac:dyDescent="0.25">
      <c r="B55" s="616"/>
      <c r="C55" s="614"/>
      <c r="D55" s="614"/>
      <c r="E55" s="614"/>
      <c r="F55" s="615"/>
      <c r="G55" s="657"/>
      <c r="H55" s="817"/>
      <c r="I55" s="821"/>
      <c r="J55" s="819"/>
      <c r="K55" s="819"/>
      <c r="L55" s="820"/>
      <c r="M55" s="4">
        <v>1</v>
      </c>
      <c r="N55" s="828" t="s">
        <v>160</v>
      </c>
      <c r="O55" s="829"/>
      <c r="P55" s="830"/>
      <c r="Q55" s="113">
        <v>44147</v>
      </c>
      <c r="R55" s="4" t="s">
        <v>46</v>
      </c>
      <c r="S55" s="4">
        <v>2</v>
      </c>
      <c r="T55" s="566">
        <v>44702</v>
      </c>
      <c r="U55" s="844"/>
      <c r="V55" s="567"/>
      <c r="W55" s="4" t="s">
        <v>164</v>
      </c>
    </row>
    <row r="56" spans="1:24" ht="20.100000000000001" customHeight="1" x14ac:dyDescent="0.25">
      <c r="B56" s="616"/>
      <c r="C56" s="614"/>
      <c r="D56" s="614"/>
      <c r="E56" s="614"/>
      <c r="F56" s="615"/>
      <c r="G56" s="657"/>
      <c r="H56" s="817"/>
      <c r="I56" s="821"/>
      <c r="J56" s="819"/>
      <c r="K56" s="819"/>
      <c r="L56" s="820"/>
      <c r="M56" s="4">
        <v>0</v>
      </c>
      <c r="N56" s="828" t="s">
        <v>103</v>
      </c>
      <c r="O56" s="829"/>
      <c r="P56" s="830"/>
      <c r="Q56" s="113">
        <v>45113</v>
      </c>
      <c r="R56" s="4" t="s">
        <v>163</v>
      </c>
      <c r="S56" s="4">
        <v>1</v>
      </c>
      <c r="T56" s="566">
        <v>44314</v>
      </c>
      <c r="U56" s="844"/>
      <c r="V56" s="567"/>
      <c r="W56" s="4" t="s">
        <v>48</v>
      </c>
    </row>
    <row r="57" spans="1:24" s="3" customFormat="1" ht="20.100000000000001" customHeight="1" x14ac:dyDescent="0.25">
      <c r="B57" s="617"/>
      <c r="C57" s="618"/>
      <c r="D57" s="618"/>
      <c r="E57" s="618"/>
      <c r="F57" s="619"/>
      <c r="G57" s="658"/>
      <c r="H57" s="818"/>
      <c r="I57" s="822"/>
      <c r="J57" s="823"/>
      <c r="K57" s="823"/>
      <c r="L57" s="824"/>
      <c r="M57" s="16" t="s">
        <v>102</v>
      </c>
      <c r="N57" s="838" t="s">
        <v>101</v>
      </c>
      <c r="O57" s="839"/>
      <c r="P57" s="840"/>
      <c r="Q57" s="114" t="s">
        <v>5</v>
      </c>
      <c r="R57" s="16" t="s">
        <v>98</v>
      </c>
      <c r="S57" s="16" t="s">
        <v>99</v>
      </c>
      <c r="T57" s="408" t="s">
        <v>100</v>
      </c>
      <c r="U57" s="409"/>
      <c r="V57" s="410"/>
      <c r="W57" s="16" t="s">
        <v>98</v>
      </c>
    </row>
    <row r="58" spans="1:24" s="12" customFormat="1" ht="16.5" thickBot="1" x14ac:dyDescent="0.3">
      <c r="A58" s="72"/>
      <c r="B58" s="72"/>
      <c r="C58" s="73"/>
      <c r="D58" s="73"/>
      <c r="E58" s="73"/>
      <c r="F58" s="73"/>
      <c r="G58" s="72"/>
      <c r="H58" s="72"/>
      <c r="I58" s="72"/>
      <c r="J58" s="72"/>
      <c r="K58" s="72"/>
      <c r="L58" s="72"/>
      <c r="M58" s="72"/>
      <c r="N58" s="72"/>
      <c r="O58" s="72"/>
      <c r="P58" s="72"/>
      <c r="Q58" s="72"/>
      <c r="R58" s="72"/>
      <c r="S58" s="72"/>
      <c r="T58" s="72"/>
      <c r="U58" s="72"/>
      <c r="V58" s="72"/>
      <c r="W58" s="72"/>
      <c r="X58" s="72"/>
    </row>
    <row r="59" spans="1:24" ht="15.75" thickTop="1" x14ac:dyDescent="0.25">
      <c r="W59" s="86"/>
    </row>
  </sheetData>
  <mergeCells count="82">
    <mergeCell ref="C35:F35"/>
    <mergeCell ref="K20:L20"/>
    <mergeCell ref="M20:O20"/>
    <mergeCell ref="R19:R20"/>
    <mergeCell ref="S19:S20"/>
    <mergeCell ref="O30:P30"/>
    <mergeCell ref="O27:P27"/>
    <mergeCell ref="O28:P29"/>
    <mergeCell ref="B26:K32"/>
    <mergeCell ref="C33:F33"/>
    <mergeCell ref="H33:K33"/>
    <mergeCell ref="L26:N27"/>
    <mergeCell ref="H34:K34"/>
    <mergeCell ref="C34:F34"/>
    <mergeCell ref="L33:M33"/>
    <mergeCell ref="L35:M35"/>
    <mergeCell ref="L34:M34"/>
    <mergeCell ref="H35:K35"/>
    <mergeCell ref="P34:P35"/>
    <mergeCell ref="I20:J20"/>
    <mergeCell ref="T57:V57"/>
    <mergeCell ref="N57:P57"/>
    <mergeCell ref="T52:V52"/>
    <mergeCell ref="T53:V53"/>
    <mergeCell ref="T55:V55"/>
    <mergeCell ref="T56:V56"/>
    <mergeCell ref="T54:V54"/>
    <mergeCell ref="T34:V34"/>
    <mergeCell ref="T33:V33"/>
    <mergeCell ref="T35:V35"/>
    <mergeCell ref="T19:U20"/>
    <mergeCell ref="O32:P32"/>
    <mergeCell ref="B52:F57"/>
    <mergeCell ref="G52:H57"/>
    <mergeCell ref="I52:L57"/>
    <mergeCell ref="N52:P52"/>
    <mergeCell ref="N53:P53"/>
    <mergeCell ref="N54:P54"/>
    <mergeCell ref="N55:P55"/>
    <mergeCell ref="N56:P56"/>
    <mergeCell ref="P16:P18"/>
    <mergeCell ref="T16:U18"/>
    <mergeCell ref="S16:S18"/>
    <mergeCell ref="R16:R18"/>
    <mergeCell ref="Q16:Q18"/>
    <mergeCell ref="B40:R46"/>
    <mergeCell ref="L37:V37"/>
    <mergeCell ref="T40:V42"/>
    <mergeCell ref="T43:V46"/>
    <mergeCell ref="S26:V26"/>
    <mergeCell ref="S27:V29"/>
    <mergeCell ref="Q27:R27"/>
    <mergeCell ref="Q28:R28"/>
    <mergeCell ref="Q29:R29"/>
    <mergeCell ref="B37:K37"/>
    <mergeCell ref="O26:R26"/>
    <mergeCell ref="B36:K36"/>
    <mergeCell ref="L36:N36"/>
    <mergeCell ref="O36:P36"/>
    <mergeCell ref="Q36:R36"/>
    <mergeCell ref="S36:V36"/>
    <mergeCell ref="D20:E20"/>
    <mergeCell ref="G20:H20"/>
    <mergeCell ref="V2:W2"/>
    <mergeCell ref="V6:W6"/>
    <mergeCell ref="T6:U6"/>
    <mergeCell ref="T2:U2"/>
    <mergeCell ref="W15:W18"/>
    <mergeCell ref="T15:U15"/>
    <mergeCell ref="B3:K6"/>
    <mergeCell ref="R3:W5"/>
    <mergeCell ref="D19:E19"/>
    <mergeCell ref="G19:H19"/>
    <mergeCell ref="I19:J19"/>
    <mergeCell ref="K19:L19"/>
    <mergeCell ref="M19:O19"/>
    <mergeCell ref="M15:O18"/>
    <mergeCell ref="B15:B18"/>
    <mergeCell ref="C15:F18"/>
    <mergeCell ref="G15:H18"/>
    <mergeCell ref="I15:J18"/>
    <mergeCell ref="K15:L18"/>
  </mergeCells>
  <printOptions horizontalCentered="1"/>
  <pageMargins left="0" right="0" top="1" bottom="0" header="1" footer="0"/>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TAHAP 1</vt:lpstr>
      <vt:lpstr>upd</vt:lpstr>
      <vt:lpstr>Sheet2</vt:lpstr>
      <vt:lpstr>TAPAH 2.2 (Rincian)</vt:lpstr>
      <vt:lpstr>TAHAP 2.1 (SPD)</vt:lpstr>
      <vt:lpstr>'TAHAP 1'!Print_Area</vt:lpstr>
      <vt:lpstr>'TAHAP 2.1 (SPD)'!Print_Area</vt:lpstr>
      <vt:lpstr>'TAPAH 2.2 (Rincian)'!Print_Area</vt:lpstr>
      <vt:lpstr>upd!Print_Area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GA-12</cp:lastModifiedBy>
  <cp:lastPrinted>2024-08-12T01:58:48Z</cp:lastPrinted>
  <dcterms:created xsi:type="dcterms:W3CDTF">2023-06-18T02:33:15Z</dcterms:created>
  <dcterms:modified xsi:type="dcterms:W3CDTF">2024-08-12T03:10:38Z</dcterms:modified>
</cp:coreProperties>
</file>