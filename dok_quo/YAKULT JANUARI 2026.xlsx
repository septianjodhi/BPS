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PI MB\CAMPUR FILE EXCEL\"/>
    </mc:Choice>
  </mc:AlternateContent>
  <xr:revisionPtr revIDLastSave="0" documentId="13_ncr:1_{6515E69F-79E5-4EBD-98EA-083A30E1E5F4}" xr6:coauthVersionLast="47" xr6:coauthVersionMax="47" xr10:uidLastSave="{00000000-0000-0000-0000-000000000000}"/>
  <bookViews>
    <workbookView xWindow="-120" yWindow="-120" windowWidth="29040" windowHeight="15720" xr2:uid="{089045DE-1CD9-457B-B7E3-C15670DF66A5}"/>
  </bookViews>
  <sheets>
    <sheet name="YAKULT JAN 2026" sheetId="1" r:id="rId1"/>
  </sheets>
  <definedNames>
    <definedName name="_xlnm.Print_Area" localSheetId="0">'YAKULT JAN 2026'!$A$2:$L$46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6" i="1" l="1"/>
  <c r="K45" i="1"/>
  <c r="I45" i="1"/>
  <c r="F45" i="1"/>
  <c r="E45" i="1"/>
  <c r="J19" i="1"/>
  <c r="J22" i="1" s="1"/>
  <c r="J26" i="1" s="1"/>
  <c r="J29" i="1" s="1"/>
  <c r="J33" i="1" s="1"/>
  <c r="J36" i="1" s="1"/>
  <c r="J40" i="1" s="1"/>
  <c r="A5" i="1"/>
</calcChain>
</file>

<file path=xl/sharedStrings.xml><?xml version="1.0" encoding="utf-8"?>
<sst xmlns="http://schemas.openxmlformats.org/spreadsheetml/2006/main" count="57" uniqueCount="31">
  <si>
    <t>PT. SEMARANG AUTOCOMP MANUFACTURING INDONESIA - GENERAL AFFAIRS</t>
  </si>
  <si>
    <t>KONTROL SUPLEMEN KARYAWAN</t>
  </si>
  <si>
    <t>ESTIMASI PERHITUNGAN KEBUTUHAN YAKULT</t>
  </si>
  <si>
    <t>MONTH</t>
  </si>
  <si>
    <t>NO</t>
  </si>
  <si>
    <t>HARI</t>
  </si>
  <si>
    <t>TANGGAL</t>
  </si>
  <si>
    <t>SHIFT MALAM</t>
  </si>
  <si>
    <t>Yakult</t>
  </si>
  <si>
    <t>PEMASUKAN</t>
  </si>
  <si>
    <t>PEMBAGIAN</t>
  </si>
  <si>
    <t>Keterangan</t>
  </si>
  <si>
    <t>Budget Bulan ini</t>
  </si>
  <si>
    <t>PO</t>
  </si>
  <si>
    <t>Estimasi didatangkan</t>
  </si>
  <si>
    <t>Sisa Pengiriman</t>
  </si>
  <si>
    <t>Qty</t>
  </si>
  <si>
    <t>Fee 5%</t>
  </si>
  <si>
    <t>Periode</t>
  </si>
  <si>
    <t>JAN</t>
  </si>
  <si>
    <t>Estimasi</t>
  </si>
  <si>
    <t>JANUARI 2026</t>
  </si>
  <si>
    <t>KAMIS</t>
  </si>
  <si>
    <t>JUMAT</t>
  </si>
  <si>
    <t>SABTU</t>
  </si>
  <si>
    <t>MINGGU</t>
  </si>
  <si>
    <t>SENIN</t>
  </si>
  <si>
    <t>SELASA</t>
  </si>
  <si>
    <t>RABU</t>
  </si>
  <si>
    <t xml:space="preserve">Penambahan fee 1000 PCS </t>
  </si>
  <si>
    <t>SISA STOCK (BOX(40pcs/box))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</si>
</sst>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20"/>
      <color theme="1"/>
      <name val="Cambria"/>
      <family val="1"/>
    </font>
    <font>
      <b/>
      <sz val="22"/>
      <color theme="1"/>
      <name val="Cambria"/>
      <family val="1"/>
    </font>
    <font>
      <sz val="12"/>
      <color theme="1"/>
      <name val="Cambria"/>
      <family val="1"/>
    </font>
    <font>
      <b/>
      <sz val="16"/>
      <color rgb="FF0000CC"/>
      <name val="Comic Sans MS"/>
      <family val="4"/>
    </font>
    <font>
      <sz val="11"/>
      <name val="Cambria"/>
      <family val="1"/>
    </font>
    <font>
      <b/>
      <sz val="14"/>
      <color theme="1"/>
      <name val="Cambria"/>
      <family val="1"/>
    </font>
    <font>
      <sz val="18"/>
      <color theme="1"/>
      <name val="Cambria"/>
      <family val="1"/>
    </font>
    <font>
      <b/>
      <sz val="11"/>
      <name val="Cambria"/>
      <family val="1"/>
    </font>
    <font>
      <sz val="16"/>
      <color theme="1"/>
      <name val="Cambria"/>
      <family val="1"/>
    </font>
    <font>
      <sz val="12"/>
      <name val="Cambria"/>
      <family val="1"/>
    </font>
    <font>
      <sz val="11"/>
      <color rgb="FFFF0000"/>
      <name val="Cambria"/>
      <family val="1"/>
    </font>
    <font>
      <b/>
      <sz val="14"/>
      <name val="Cambria"/>
      <family val="1"/>
    </font>
    <font>
      <i/>
      <sz val="11"/>
      <name val="Cambria"/>
      <family val="1"/>
    </font>
    <font>
      <b/>
      <sz val="16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5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shrinkToFit="1"/>
    </xf>
    <xf numFmtId="0" fontId="7" fillId="0" borderId="7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 wrapText="1" shrinkToFit="1"/>
    </xf>
    <xf numFmtId="0" fontId="6" fillId="0" borderId="6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 shrinkToFit="1"/>
    </xf>
    <xf numFmtId="0" fontId="6" fillId="0" borderId="21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shrinkToFit="1"/>
    </xf>
    <xf numFmtId="0" fontId="7" fillId="0" borderId="22" xfId="0" applyFont="1" applyBorder="1" applyAlignment="1">
      <alignment horizontal="center" vertical="center" wrapText="1" shrinkToFit="1"/>
    </xf>
    <xf numFmtId="0" fontId="1" fillId="0" borderId="23" xfId="0" applyFont="1" applyBorder="1" applyAlignment="1">
      <alignment horizontal="center" vertical="center" textRotation="255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 shrinkToFit="1"/>
    </xf>
    <xf numFmtId="0" fontId="6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 shrinkToFit="1"/>
    </xf>
    <xf numFmtId="0" fontId="8" fillId="0" borderId="27" xfId="0" applyFont="1" applyBorder="1" applyAlignment="1">
      <alignment horizontal="center" vertical="center" textRotation="255" wrapText="1"/>
    </xf>
    <xf numFmtId="0" fontId="4" fillId="0" borderId="28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2" fontId="4" fillId="0" borderId="24" xfId="0" applyNumberFormat="1" applyFont="1" applyBorder="1" applyAlignment="1">
      <alignment vertical="top"/>
    </xf>
    <xf numFmtId="2" fontId="4" fillId="0" borderId="24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8" fillId="0" borderId="31" xfId="0" quotePrefix="1" applyFont="1" applyBorder="1" applyAlignment="1">
      <alignment horizontal="center" vertical="center" textRotation="255" wrapText="1"/>
    </xf>
    <xf numFmtId="0" fontId="1" fillId="0" borderId="21" xfId="0" applyFont="1" applyBorder="1" applyAlignment="1">
      <alignment horizontal="center" vertical="top"/>
    </xf>
    <xf numFmtId="0" fontId="11" fillId="3" borderId="21" xfId="0" applyFont="1" applyFill="1" applyBorder="1" applyAlignment="1">
      <alignment vertical="top"/>
    </xf>
    <xf numFmtId="164" fontId="6" fillId="0" borderId="20" xfId="0" applyNumberFormat="1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 shrinkToFit="1"/>
    </xf>
    <xf numFmtId="0" fontId="12" fillId="4" borderId="34" xfId="0" applyFont="1" applyFill="1" applyBorder="1" applyAlignment="1">
      <alignment horizontal="center" vertical="top"/>
    </xf>
    <xf numFmtId="0" fontId="6" fillId="0" borderId="35" xfId="0" applyFont="1" applyBorder="1" applyAlignment="1">
      <alignment horizontal="left" vertical="center"/>
    </xf>
    <xf numFmtId="0" fontId="12" fillId="0" borderId="0" xfId="0" applyFont="1" applyAlignment="1">
      <alignment vertical="top"/>
    </xf>
    <xf numFmtId="0" fontId="8" fillId="0" borderId="11" xfId="0" applyFont="1" applyBorder="1" applyAlignment="1">
      <alignment horizontal="center" vertical="center" textRotation="255" wrapText="1"/>
    </xf>
    <xf numFmtId="0" fontId="1" fillId="0" borderId="36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 shrinkToFit="1"/>
    </xf>
    <xf numFmtId="0" fontId="1" fillId="4" borderId="33" xfId="0" applyFont="1" applyFill="1" applyBorder="1" applyAlignment="1">
      <alignment horizontal="center" vertical="top"/>
    </xf>
    <xf numFmtId="0" fontId="6" fillId="0" borderId="35" xfId="0" applyFont="1" applyBorder="1" applyAlignment="1">
      <alignment horizontal="left" vertical="top"/>
    </xf>
    <xf numFmtId="0" fontId="11" fillId="0" borderId="3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7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 shrinkToFit="1"/>
    </xf>
    <xf numFmtId="0" fontId="1" fillId="0" borderId="35" xfId="0" applyFont="1" applyBorder="1" applyAlignment="1">
      <alignment horizontal="center" vertical="top"/>
    </xf>
    <xf numFmtId="0" fontId="11" fillId="0" borderId="33" xfId="0" applyFont="1" applyBorder="1" applyAlignment="1">
      <alignment horizontal="center" vertical="top" shrinkToFit="1"/>
    </xf>
    <xf numFmtId="0" fontId="6" fillId="4" borderId="33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13" fillId="0" borderId="33" xfId="0" applyFont="1" applyBorder="1" applyAlignment="1">
      <alignment vertical="top"/>
    </xf>
    <xf numFmtId="0" fontId="11" fillId="0" borderId="21" xfId="0" applyFont="1" applyBorder="1" applyAlignment="1">
      <alignment vertical="top"/>
    </xf>
    <xf numFmtId="0" fontId="6" fillId="0" borderId="35" xfId="0" applyFont="1" applyBorder="1" applyAlignment="1">
      <alignment horizontal="center" vertical="top"/>
    </xf>
    <xf numFmtId="0" fontId="6" fillId="0" borderId="33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1" fillId="3" borderId="33" xfId="0" applyFont="1" applyFill="1" applyBorder="1" applyAlignment="1">
      <alignment vertical="top"/>
    </xf>
    <xf numFmtId="0" fontId="14" fillId="0" borderId="0" xfId="0" applyFont="1" applyAlignment="1">
      <alignment vertical="top"/>
    </xf>
    <xf numFmtId="0" fontId="11" fillId="5" borderId="33" xfId="0" applyFont="1" applyFill="1" applyBorder="1" applyAlignment="1">
      <alignment vertical="top"/>
    </xf>
    <xf numFmtId="0" fontId="11" fillId="5" borderId="6" xfId="0" applyFont="1" applyFill="1" applyBorder="1" applyAlignment="1">
      <alignment vertical="top"/>
    </xf>
    <xf numFmtId="0" fontId="13" fillId="5" borderId="33" xfId="0" applyFont="1" applyFill="1" applyBorder="1" applyAlignment="1">
      <alignment vertical="top"/>
    </xf>
    <xf numFmtId="0" fontId="11" fillId="5" borderId="21" xfId="0" applyFont="1" applyFill="1" applyBorder="1" applyAlignment="1">
      <alignment vertical="top"/>
    </xf>
    <xf numFmtId="0" fontId="6" fillId="5" borderId="0" xfId="0" applyFont="1" applyFill="1" applyAlignment="1">
      <alignment vertical="top"/>
    </xf>
    <xf numFmtId="0" fontId="6" fillId="0" borderId="12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 shrinkToFit="1"/>
    </xf>
    <xf numFmtId="0" fontId="6" fillId="4" borderId="6" xfId="0" applyFont="1" applyFill="1" applyBorder="1" applyAlignment="1">
      <alignment horizontal="center" vertical="top"/>
    </xf>
    <xf numFmtId="0" fontId="4" fillId="0" borderId="37" xfId="0" applyFont="1" applyBorder="1" applyAlignment="1">
      <alignment horizontal="center" vertical="top"/>
    </xf>
    <xf numFmtId="0" fontId="4" fillId="0" borderId="38" xfId="0" applyFont="1" applyBorder="1" applyAlignment="1">
      <alignment horizontal="center" vertical="top"/>
    </xf>
    <xf numFmtId="0" fontId="4" fillId="0" borderId="39" xfId="0" applyFont="1" applyBorder="1" applyAlignment="1">
      <alignment horizontal="center" vertical="top"/>
    </xf>
    <xf numFmtId="0" fontId="4" fillId="0" borderId="40" xfId="0" applyFont="1" applyBorder="1" applyAlignment="1">
      <alignment horizontal="center" vertical="top"/>
    </xf>
    <xf numFmtId="0" fontId="4" fillId="0" borderId="41" xfId="0" applyFont="1" applyBorder="1" applyAlignment="1">
      <alignment horizontal="center" vertical="top"/>
    </xf>
    <xf numFmtId="0" fontId="4" fillId="0" borderId="34" xfId="0" applyFont="1" applyBorder="1" applyAlignment="1">
      <alignment horizontal="center" vertical="top"/>
    </xf>
    <xf numFmtId="0" fontId="4" fillId="6" borderId="38" xfId="0" applyFont="1" applyFill="1" applyBorder="1" applyAlignment="1">
      <alignment horizontal="center" vertical="top"/>
    </xf>
    <xf numFmtId="0" fontId="4" fillId="0" borderId="37" xfId="0" applyFont="1" applyBorder="1" applyAlignment="1">
      <alignment horizontal="center" vertical="top"/>
    </xf>
    <xf numFmtId="0" fontId="15" fillId="2" borderId="39" xfId="0" applyFont="1" applyFill="1" applyBorder="1" applyAlignment="1">
      <alignment horizontal="center" vertical="top"/>
    </xf>
    <xf numFmtId="0" fontId="8" fillId="0" borderId="42" xfId="0" applyFont="1" applyBorder="1" applyAlignment="1">
      <alignment horizontal="center" vertical="center" textRotation="255" wrapText="1"/>
    </xf>
    <xf numFmtId="0" fontId="1" fillId="0" borderId="43" xfId="0" applyFont="1" applyBorder="1" applyAlignment="1">
      <alignment horizontal="center" vertical="top"/>
    </xf>
    <xf numFmtId="0" fontId="1" fillId="0" borderId="44" xfId="0" applyFont="1" applyBorder="1" applyAlignment="1">
      <alignment horizontal="center" vertical="top"/>
    </xf>
    <xf numFmtId="0" fontId="1" fillId="0" borderId="45" xfId="0" applyFont="1" applyBorder="1" applyAlignment="1">
      <alignment horizontal="center" vertical="top"/>
    </xf>
    <xf numFmtId="2" fontId="4" fillId="0" borderId="46" xfId="0" applyNumberFormat="1" applyFont="1" applyBorder="1" applyAlignment="1">
      <alignment vertical="top"/>
    </xf>
    <xf numFmtId="2" fontId="4" fillId="0" borderId="47" xfId="0" applyNumberFormat="1" applyFont="1" applyBorder="1" applyAlignment="1">
      <alignment vertical="top"/>
    </xf>
    <xf numFmtId="2" fontId="4" fillId="0" borderId="48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273842</xdr:colOff>
      <xdr:row>45</xdr:row>
      <xdr:rowOff>59531</xdr:rowOff>
    </xdr:from>
    <xdr:to>
      <xdr:col>10</xdr:col>
      <xdr:colOff>935788</xdr:colOff>
      <xdr:row>46</xdr:row>
      <xdr:rowOff>100262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CCB888A2-6BFF-4A62-8DE9-640BF13B8B8D}"/>
            </a:ext>
          </a:extLst>
        </xdr:cNvPr>
        <xdr:cNvSpPr/>
      </xdr:nvSpPr>
      <xdr:spPr>
        <a:xfrm>
          <a:off x="5303042" y="11241881"/>
          <a:ext cx="2081171" cy="421731"/>
        </a:xfrm>
        <a:prstGeom prst="wedgeRectCallout">
          <a:avLst>
            <a:gd name="adj1" fmla="val -39776"/>
            <a:gd name="adj2" fmla="val -96591"/>
          </a:avLst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saldo</a:t>
          </a:r>
          <a:r>
            <a:rPr lang="en-US" sz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sebelum  tambah fee</a:t>
          </a:r>
          <a:endParaRPr lang="en-US" sz="1200"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AAB6-4B0C-4CB8-839B-32568CC41F04}">
  <sheetPr>
    <pageSetUpPr fitToPage="1"/>
  </sheetPr>
  <dimension ref="A1:O46"/>
  <sheetViews>
    <sheetView showGridLines="0" tabSelected="1" zoomScale="57" zoomScaleNormal="57" workbookViewId="0">
      <pane xSplit="4" ySplit="12" topLeftCell="E13" activePane="bottomRight" state="frozen"/>
      <selection pane="topRight" activeCell="E1" sqref="E1"/>
      <selection pane="bottomLeft" activeCell="A9" sqref="A9"/>
      <selection pane="bottomRight" activeCell="S22" sqref="S22"/>
    </sheetView>
  </sheetViews>
  <sheetFormatPr defaultRowHeight="14.25" x14ac:dyDescent="0.25"/>
  <cols>
    <col min="1" max="1" width="7.7109375" style="1" customWidth="1"/>
    <col min="2" max="2" width="7.7109375" style="2" customWidth="1"/>
    <col min="3" max="3" width="10.7109375" style="2" customWidth="1"/>
    <col min="4" max="4" width="13.7109375" style="2" customWidth="1"/>
    <col min="5" max="5" width="9.42578125" style="2" customWidth="1"/>
    <col min="6" max="8" width="8.7109375" style="2" customWidth="1"/>
    <col min="9" max="9" width="9.7109375" style="2" customWidth="1"/>
    <col min="10" max="10" width="11.5703125" style="2" customWidth="1"/>
    <col min="11" max="11" width="14.28515625" style="2" customWidth="1"/>
    <col min="12" max="12" width="47.7109375" style="2" customWidth="1"/>
    <col min="13" max="13" width="1.7109375" style="2" customWidth="1"/>
    <col min="14" max="16384" width="9.140625" style="2"/>
  </cols>
  <sheetData>
    <row r="1" spans="1:12" hidden="1" x14ac:dyDescent="0.25"/>
    <row r="2" spans="1:12" x14ac:dyDescent="0.25">
      <c r="A2" s="3" t="s">
        <v>0</v>
      </c>
    </row>
    <row r="3" spans="1:12" ht="26.25" thickBot="1" x14ac:dyDescent="0.3">
      <c r="A3" s="4" t="s">
        <v>1</v>
      </c>
    </row>
    <row r="4" spans="1:12" ht="15" hidden="1" thickBot="1" x14ac:dyDescent="0.3"/>
    <row r="5" spans="1:12" ht="15" thickTop="1" x14ac:dyDescent="0.25">
      <c r="A5" s="5">
        <f ca="1">NOW()</f>
        <v>46021.471667013888</v>
      </c>
      <c r="B5" s="6"/>
      <c r="C5" s="6"/>
      <c r="D5" s="7"/>
      <c r="E5" s="8"/>
    </row>
    <row r="6" spans="1:12" s="11" customFormat="1" ht="30" customHeight="1" x14ac:dyDescent="0.25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s="1" customFormat="1" ht="18" customHeight="1" x14ac:dyDescent="0.25">
      <c r="A7" s="12" t="s">
        <v>3</v>
      </c>
      <c r="B7" s="13" t="s">
        <v>4</v>
      </c>
      <c r="C7" s="13" t="s">
        <v>5</v>
      </c>
      <c r="D7" s="14" t="s">
        <v>6</v>
      </c>
      <c r="E7" s="15" t="s">
        <v>7</v>
      </c>
      <c r="F7" s="16"/>
      <c r="G7" s="16"/>
      <c r="H7" s="16"/>
      <c r="I7" s="16"/>
      <c r="J7" s="16"/>
      <c r="K7" s="16"/>
      <c r="L7" s="17"/>
    </row>
    <row r="8" spans="1:12" s="24" customFormat="1" ht="24.95" customHeight="1" x14ac:dyDescent="0.25">
      <c r="A8" s="18"/>
      <c r="B8" s="19"/>
      <c r="C8" s="19"/>
      <c r="D8" s="20"/>
      <c r="E8" s="21" t="s">
        <v>8</v>
      </c>
      <c r="F8" s="22"/>
      <c r="G8" s="22"/>
      <c r="H8" s="22"/>
      <c r="I8" s="22"/>
      <c r="J8" s="22"/>
      <c r="K8" s="22"/>
      <c r="L8" s="23"/>
    </row>
    <row r="9" spans="1:12" s="1" customFormat="1" ht="20.100000000000001" customHeight="1" x14ac:dyDescent="0.25">
      <c r="A9" s="18"/>
      <c r="B9" s="19"/>
      <c r="C9" s="19"/>
      <c r="D9" s="20"/>
      <c r="E9" s="25" t="s">
        <v>9</v>
      </c>
      <c r="F9" s="26"/>
      <c r="G9" s="26"/>
      <c r="H9" s="26"/>
      <c r="I9" s="26"/>
      <c r="J9" s="27"/>
      <c r="K9" s="28" t="s">
        <v>10</v>
      </c>
      <c r="L9" s="29" t="s">
        <v>11</v>
      </c>
    </row>
    <row r="10" spans="1:12" s="1" customFormat="1" ht="20.100000000000001" customHeight="1" x14ac:dyDescent="0.25">
      <c r="A10" s="18"/>
      <c r="B10" s="19"/>
      <c r="C10" s="19"/>
      <c r="D10" s="20"/>
      <c r="E10" s="30" t="s">
        <v>12</v>
      </c>
      <c r="F10" s="31" t="s">
        <v>13</v>
      </c>
      <c r="G10" s="32"/>
      <c r="H10" s="33"/>
      <c r="I10" s="34" t="s">
        <v>14</v>
      </c>
      <c r="J10" s="35" t="s">
        <v>15</v>
      </c>
      <c r="K10" s="36" t="s">
        <v>7</v>
      </c>
      <c r="L10" s="37"/>
    </row>
    <row r="11" spans="1:12" s="1" customFormat="1" ht="39.950000000000003" customHeight="1" x14ac:dyDescent="0.25">
      <c r="A11" s="18"/>
      <c r="B11" s="19"/>
      <c r="C11" s="19"/>
      <c r="D11" s="20"/>
      <c r="E11" s="38"/>
      <c r="F11" s="39" t="s">
        <v>16</v>
      </c>
      <c r="G11" s="39" t="s">
        <v>17</v>
      </c>
      <c r="H11" s="39" t="s">
        <v>18</v>
      </c>
      <c r="I11" s="40"/>
      <c r="J11" s="41"/>
      <c r="K11" s="42" t="s">
        <v>16</v>
      </c>
      <c r="L11" s="43"/>
    </row>
    <row r="12" spans="1:12" s="1" customFormat="1" ht="20.100000000000001" customHeight="1" thickBot="1" x14ac:dyDescent="0.3">
      <c r="A12" s="44"/>
      <c r="B12" s="45"/>
      <c r="C12" s="45"/>
      <c r="D12" s="46"/>
      <c r="E12" s="47"/>
      <c r="F12" s="48"/>
      <c r="G12" s="48"/>
      <c r="H12" s="48"/>
      <c r="I12" s="49"/>
      <c r="J12" s="50"/>
      <c r="K12" s="51"/>
      <c r="L12" s="70"/>
    </row>
    <row r="13" spans="1:12" s="60" customFormat="1" ht="30" customHeight="1" thickTop="1" thickBot="1" x14ac:dyDescent="0.3">
      <c r="A13" s="52"/>
      <c r="B13" s="53"/>
      <c r="C13" s="54"/>
      <c r="D13" s="54"/>
      <c r="E13" s="55">
        <v>20000</v>
      </c>
      <c r="F13" s="56">
        <v>1000</v>
      </c>
      <c r="G13" s="57" t="s">
        <v>19</v>
      </c>
      <c r="H13" s="58"/>
      <c r="I13" s="58"/>
      <c r="J13" s="58"/>
      <c r="K13" s="59" t="s">
        <v>20</v>
      </c>
      <c r="L13" s="70"/>
    </row>
    <row r="14" spans="1:12" s="71" customFormat="1" ht="20.100000000000001" customHeight="1" thickTop="1" x14ac:dyDescent="0.25">
      <c r="A14" s="61" t="s">
        <v>21</v>
      </c>
      <c r="B14" s="62">
        <v>1</v>
      </c>
      <c r="C14" s="63" t="s">
        <v>22</v>
      </c>
      <c r="D14" s="64">
        <v>46023</v>
      </c>
      <c r="E14" s="65"/>
      <c r="F14" s="66"/>
      <c r="G14" s="66"/>
      <c r="H14" s="66"/>
      <c r="I14" s="67"/>
      <c r="J14" s="68"/>
      <c r="K14" s="69"/>
      <c r="L14" s="70"/>
    </row>
    <row r="15" spans="1:12" ht="20.100000000000001" customHeight="1" x14ac:dyDescent="0.25">
      <c r="A15" s="72"/>
      <c r="B15" s="62">
        <v>2</v>
      </c>
      <c r="C15" s="63" t="s">
        <v>23</v>
      </c>
      <c r="D15" s="64">
        <v>46024</v>
      </c>
      <c r="E15" s="73"/>
      <c r="F15" s="66"/>
      <c r="G15" s="66"/>
      <c r="H15" s="66"/>
      <c r="I15" s="67"/>
      <c r="J15" s="74"/>
      <c r="K15" s="75"/>
      <c r="L15" s="76"/>
    </row>
    <row r="16" spans="1:12" ht="20.100000000000001" customHeight="1" x14ac:dyDescent="0.25">
      <c r="A16" s="72"/>
      <c r="B16" s="62">
        <v>3</v>
      </c>
      <c r="C16" s="77" t="s">
        <v>24</v>
      </c>
      <c r="D16" s="64">
        <v>46025</v>
      </c>
      <c r="E16" s="73"/>
      <c r="F16" s="78"/>
      <c r="G16" s="66"/>
      <c r="H16" s="66"/>
      <c r="I16" s="79"/>
      <c r="J16" s="74"/>
      <c r="K16" s="75"/>
      <c r="L16" s="76"/>
    </row>
    <row r="17" spans="1:12" ht="20.100000000000001" customHeight="1" x14ac:dyDescent="0.25">
      <c r="A17" s="72"/>
      <c r="B17" s="62">
        <v>4</v>
      </c>
      <c r="C17" s="77" t="s">
        <v>25</v>
      </c>
      <c r="D17" s="64">
        <v>46026</v>
      </c>
      <c r="E17" s="73"/>
      <c r="F17" s="80"/>
      <c r="G17" s="80"/>
      <c r="H17" s="80"/>
      <c r="I17" s="81"/>
      <c r="J17" s="82"/>
      <c r="K17" s="75"/>
      <c r="L17" s="83"/>
    </row>
    <row r="18" spans="1:12" ht="20.100000000000001" customHeight="1" x14ac:dyDescent="0.25">
      <c r="A18" s="72"/>
      <c r="B18" s="62">
        <v>5</v>
      </c>
      <c r="C18" s="77" t="s">
        <v>26</v>
      </c>
      <c r="D18" s="64">
        <v>46027</v>
      </c>
      <c r="E18" s="73"/>
      <c r="F18" s="80"/>
      <c r="G18" s="80"/>
      <c r="H18" s="80"/>
      <c r="J18" s="82"/>
      <c r="K18" s="75"/>
      <c r="L18" s="83"/>
    </row>
    <row r="19" spans="1:12" s="86" customFormat="1" ht="20.100000000000001" customHeight="1" x14ac:dyDescent="0.25">
      <c r="A19" s="72"/>
      <c r="B19" s="62">
        <v>6</v>
      </c>
      <c r="C19" s="77" t="s">
        <v>27</v>
      </c>
      <c r="D19" s="64">
        <v>46028</v>
      </c>
      <c r="E19" s="73"/>
      <c r="F19" s="66"/>
      <c r="G19" s="66"/>
      <c r="H19" s="66"/>
      <c r="I19" s="81">
        <v>3500</v>
      </c>
      <c r="J19" s="84">
        <f>20000-I19</f>
        <v>16500</v>
      </c>
      <c r="K19" s="85"/>
      <c r="L19" s="83"/>
    </row>
    <row r="20" spans="1:12" s="86" customFormat="1" ht="20.100000000000001" customHeight="1" x14ac:dyDescent="0.25">
      <c r="A20" s="72"/>
      <c r="B20" s="62">
        <v>7</v>
      </c>
      <c r="C20" s="87" t="s">
        <v>28</v>
      </c>
      <c r="D20" s="64">
        <v>46029</v>
      </c>
      <c r="E20" s="73"/>
      <c r="F20" s="66"/>
      <c r="G20" s="66"/>
      <c r="H20" s="66"/>
      <c r="I20" s="36"/>
      <c r="J20" s="84"/>
      <c r="K20" s="85"/>
      <c r="L20" s="83"/>
    </row>
    <row r="21" spans="1:12" s="86" customFormat="1" ht="20.100000000000001" customHeight="1" x14ac:dyDescent="0.25">
      <c r="A21" s="72"/>
      <c r="B21" s="62">
        <v>8</v>
      </c>
      <c r="C21" s="88" t="s">
        <v>22</v>
      </c>
      <c r="D21" s="64">
        <v>46030</v>
      </c>
      <c r="E21" s="73"/>
      <c r="F21" s="66"/>
      <c r="G21" s="66"/>
      <c r="H21" s="66"/>
      <c r="I21" s="36"/>
      <c r="J21" s="84"/>
      <c r="K21" s="85"/>
      <c r="L21" s="89"/>
    </row>
    <row r="22" spans="1:12" s="86" customFormat="1" ht="20.100000000000001" customHeight="1" x14ac:dyDescent="0.25">
      <c r="A22" s="72"/>
      <c r="B22" s="62">
        <v>9</v>
      </c>
      <c r="C22" s="88" t="s">
        <v>23</v>
      </c>
      <c r="D22" s="64">
        <v>46031</v>
      </c>
      <c r="E22" s="73"/>
      <c r="F22" s="66"/>
      <c r="G22" s="66"/>
      <c r="H22" s="66"/>
      <c r="I22" s="36">
        <v>2500</v>
      </c>
      <c r="J22" s="84">
        <f>J19-I22</f>
        <v>14000</v>
      </c>
      <c r="K22" s="85"/>
      <c r="L22" s="89"/>
    </row>
    <row r="23" spans="1:12" s="86" customFormat="1" ht="20.100000000000001" customHeight="1" x14ac:dyDescent="0.25">
      <c r="A23" s="72"/>
      <c r="B23" s="62">
        <v>10</v>
      </c>
      <c r="C23" s="77" t="s">
        <v>24</v>
      </c>
      <c r="D23" s="64">
        <v>46032</v>
      </c>
      <c r="E23" s="73"/>
      <c r="F23" s="66"/>
      <c r="G23" s="66"/>
      <c r="H23" s="66"/>
      <c r="I23" s="36"/>
      <c r="J23" s="84"/>
      <c r="K23" s="85"/>
      <c r="L23" s="89"/>
    </row>
    <row r="24" spans="1:12" s="86" customFormat="1" ht="20.100000000000001" customHeight="1" x14ac:dyDescent="0.25">
      <c r="A24" s="72"/>
      <c r="B24" s="62">
        <v>11</v>
      </c>
      <c r="C24" s="77" t="s">
        <v>25</v>
      </c>
      <c r="D24" s="64">
        <v>46033</v>
      </c>
      <c r="E24" s="73"/>
      <c r="F24" s="66"/>
      <c r="G24" s="66"/>
      <c r="H24" s="66"/>
      <c r="I24" s="36"/>
      <c r="J24" s="84"/>
      <c r="K24" s="85"/>
      <c r="L24" s="89"/>
    </row>
    <row r="25" spans="1:12" s="86" customFormat="1" ht="20.100000000000001" customHeight="1" x14ac:dyDescent="0.25">
      <c r="A25" s="72"/>
      <c r="B25" s="62">
        <v>12</v>
      </c>
      <c r="C25" s="77" t="s">
        <v>26</v>
      </c>
      <c r="D25" s="64">
        <v>46034</v>
      </c>
      <c r="E25" s="73"/>
      <c r="F25" s="66"/>
      <c r="G25" s="66"/>
      <c r="H25" s="66"/>
      <c r="I25" s="90"/>
      <c r="J25" s="90"/>
      <c r="K25" s="85"/>
      <c r="L25" s="89"/>
    </row>
    <row r="26" spans="1:12" s="86" customFormat="1" ht="20.100000000000001" customHeight="1" x14ac:dyDescent="0.25">
      <c r="A26" s="72"/>
      <c r="B26" s="62">
        <v>13</v>
      </c>
      <c r="C26" s="77" t="s">
        <v>27</v>
      </c>
      <c r="D26" s="64">
        <v>46035</v>
      </c>
      <c r="E26" s="73"/>
      <c r="F26" s="66"/>
      <c r="G26" s="66"/>
      <c r="H26" s="66"/>
      <c r="I26" s="36">
        <v>3500</v>
      </c>
      <c r="J26" s="84">
        <f>J22-I26</f>
        <v>10500</v>
      </c>
      <c r="K26" s="85"/>
      <c r="L26" s="89"/>
    </row>
    <row r="27" spans="1:12" s="86" customFormat="1" ht="20.100000000000001" customHeight="1" x14ac:dyDescent="0.25">
      <c r="A27" s="72"/>
      <c r="B27" s="62">
        <v>14</v>
      </c>
      <c r="C27" s="87" t="s">
        <v>28</v>
      </c>
      <c r="D27" s="64">
        <v>46036</v>
      </c>
      <c r="E27" s="73"/>
      <c r="F27" s="66"/>
      <c r="G27" s="66"/>
      <c r="H27" s="66"/>
      <c r="I27" s="36"/>
      <c r="J27" s="84"/>
      <c r="K27" s="85"/>
      <c r="L27" s="89"/>
    </row>
    <row r="28" spans="1:12" s="86" customFormat="1" ht="20.100000000000001" customHeight="1" x14ac:dyDescent="0.25">
      <c r="A28" s="72"/>
      <c r="B28" s="62">
        <v>15</v>
      </c>
      <c r="C28" s="88" t="s">
        <v>22</v>
      </c>
      <c r="D28" s="64">
        <v>46037</v>
      </c>
      <c r="E28" s="73"/>
      <c r="F28" s="66"/>
      <c r="G28" s="66"/>
      <c r="H28" s="66"/>
      <c r="I28" s="36"/>
      <c r="J28" s="84"/>
      <c r="K28" s="85"/>
      <c r="L28" s="89"/>
    </row>
    <row r="29" spans="1:12" s="86" customFormat="1" ht="20.100000000000001" customHeight="1" x14ac:dyDescent="0.25">
      <c r="A29" s="72"/>
      <c r="B29" s="62">
        <v>16</v>
      </c>
      <c r="C29" s="88" t="s">
        <v>23</v>
      </c>
      <c r="D29" s="64">
        <v>46038</v>
      </c>
      <c r="E29" s="73"/>
      <c r="F29" s="66"/>
      <c r="G29" s="66"/>
      <c r="H29" s="66"/>
      <c r="I29" s="36">
        <v>2500</v>
      </c>
      <c r="J29" s="84">
        <f>J26-I29</f>
        <v>8000</v>
      </c>
      <c r="K29" s="85"/>
      <c r="L29" s="89"/>
    </row>
    <row r="30" spans="1:12" s="86" customFormat="1" ht="20.100000000000001" customHeight="1" x14ac:dyDescent="0.25">
      <c r="A30" s="72"/>
      <c r="B30" s="62">
        <v>17</v>
      </c>
      <c r="C30" s="77" t="s">
        <v>24</v>
      </c>
      <c r="D30" s="64">
        <v>46039</v>
      </c>
      <c r="E30" s="73"/>
      <c r="F30" s="66"/>
      <c r="G30" s="66"/>
      <c r="H30" s="66"/>
      <c r="I30" s="36"/>
      <c r="J30" s="84"/>
      <c r="K30" s="85"/>
      <c r="L30" s="89"/>
    </row>
    <row r="31" spans="1:12" s="86" customFormat="1" ht="20.100000000000001" customHeight="1" x14ac:dyDescent="0.25">
      <c r="A31" s="72"/>
      <c r="B31" s="62">
        <v>18</v>
      </c>
      <c r="C31" s="77" t="s">
        <v>25</v>
      </c>
      <c r="D31" s="64">
        <v>46040</v>
      </c>
      <c r="E31" s="73"/>
      <c r="F31" s="66"/>
      <c r="G31" s="66"/>
      <c r="H31" s="66"/>
      <c r="I31" s="36"/>
      <c r="J31" s="84"/>
      <c r="K31" s="85"/>
      <c r="L31" s="89"/>
    </row>
    <row r="32" spans="1:12" s="86" customFormat="1" ht="20.100000000000001" customHeight="1" x14ac:dyDescent="0.25">
      <c r="A32" s="72"/>
      <c r="B32" s="62">
        <v>19</v>
      </c>
      <c r="C32" s="77" t="s">
        <v>26</v>
      </c>
      <c r="D32" s="64">
        <v>46041</v>
      </c>
      <c r="E32" s="73"/>
      <c r="F32" s="66"/>
      <c r="G32" s="66"/>
      <c r="H32" s="66"/>
      <c r="I32" s="90"/>
      <c r="J32" s="90"/>
      <c r="K32" s="85"/>
      <c r="L32" s="89"/>
    </row>
    <row r="33" spans="1:15" s="86" customFormat="1" ht="20.100000000000001" customHeight="1" x14ac:dyDescent="0.25">
      <c r="A33" s="72"/>
      <c r="B33" s="62">
        <v>20</v>
      </c>
      <c r="C33" s="91" t="s">
        <v>27</v>
      </c>
      <c r="D33" s="64">
        <v>46042</v>
      </c>
      <c r="E33" s="73"/>
      <c r="F33" s="66"/>
      <c r="G33" s="66"/>
      <c r="H33" s="66"/>
      <c r="I33" s="36">
        <v>2500</v>
      </c>
      <c r="J33" s="84">
        <f>J29-I33</f>
        <v>5500</v>
      </c>
      <c r="K33" s="85"/>
      <c r="L33" s="89"/>
    </row>
    <row r="34" spans="1:15" s="86" customFormat="1" ht="20.100000000000001" customHeight="1" x14ac:dyDescent="0.25">
      <c r="A34" s="72"/>
      <c r="B34" s="62">
        <v>21</v>
      </c>
      <c r="C34" s="87" t="s">
        <v>28</v>
      </c>
      <c r="D34" s="64">
        <v>46043</v>
      </c>
      <c r="E34" s="73"/>
      <c r="F34" s="66"/>
      <c r="G34" s="66"/>
      <c r="H34" s="66"/>
      <c r="I34" s="36"/>
      <c r="J34" s="84"/>
      <c r="K34" s="85"/>
      <c r="L34" s="89"/>
    </row>
    <row r="35" spans="1:15" s="86" customFormat="1" ht="20.100000000000001" customHeight="1" x14ac:dyDescent="0.25">
      <c r="A35" s="72"/>
      <c r="B35" s="62">
        <v>22</v>
      </c>
      <c r="C35" s="77" t="s">
        <v>22</v>
      </c>
      <c r="D35" s="64">
        <v>46044</v>
      </c>
      <c r="E35" s="73"/>
      <c r="F35" s="66"/>
      <c r="G35" s="66"/>
      <c r="H35" s="66"/>
      <c r="I35" s="36"/>
      <c r="J35" s="84"/>
      <c r="K35" s="85"/>
      <c r="L35" s="89"/>
    </row>
    <row r="36" spans="1:15" s="86" customFormat="1" ht="20.100000000000001" customHeight="1" x14ac:dyDescent="0.25">
      <c r="A36" s="72"/>
      <c r="B36" s="62">
        <v>23</v>
      </c>
      <c r="C36" s="77" t="s">
        <v>23</v>
      </c>
      <c r="D36" s="64">
        <v>46045</v>
      </c>
      <c r="E36" s="73"/>
      <c r="F36" s="66"/>
      <c r="G36" s="66"/>
      <c r="H36" s="66"/>
      <c r="I36" s="36">
        <v>2000</v>
      </c>
      <c r="J36" s="84">
        <f>J33-I36</f>
        <v>3500</v>
      </c>
      <c r="K36" s="85"/>
      <c r="L36" s="89"/>
    </row>
    <row r="37" spans="1:15" s="86" customFormat="1" ht="20.100000000000001" customHeight="1" x14ac:dyDescent="0.25">
      <c r="A37" s="72"/>
      <c r="B37" s="62">
        <v>24</v>
      </c>
      <c r="C37" s="92" t="s">
        <v>24</v>
      </c>
      <c r="D37" s="64">
        <v>46046</v>
      </c>
      <c r="E37" s="73"/>
      <c r="F37" s="66"/>
      <c r="G37" s="66"/>
      <c r="H37" s="66"/>
      <c r="I37" s="36"/>
      <c r="J37" s="84"/>
      <c r="K37" s="85"/>
      <c r="L37" s="89"/>
      <c r="N37" s="93"/>
      <c r="O37" s="93"/>
    </row>
    <row r="38" spans="1:15" s="86" customFormat="1" ht="20.100000000000001" customHeight="1" x14ac:dyDescent="0.25">
      <c r="A38" s="72"/>
      <c r="B38" s="62">
        <v>25</v>
      </c>
      <c r="C38" s="92" t="s">
        <v>25</v>
      </c>
      <c r="D38" s="64">
        <v>46047</v>
      </c>
      <c r="E38" s="73"/>
      <c r="F38" s="66"/>
      <c r="G38" s="66"/>
      <c r="H38" s="66"/>
      <c r="I38" s="36"/>
      <c r="J38" s="84"/>
      <c r="K38" s="85"/>
      <c r="L38" s="89"/>
    </row>
    <row r="39" spans="1:15" s="86" customFormat="1" ht="20.100000000000001" customHeight="1" x14ac:dyDescent="0.25">
      <c r="A39" s="72"/>
      <c r="B39" s="62">
        <v>26</v>
      </c>
      <c r="C39" s="94" t="s">
        <v>26</v>
      </c>
      <c r="D39" s="64">
        <v>46048</v>
      </c>
      <c r="E39" s="73"/>
      <c r="F39" s="66"/>
      <c r="G39" s="66"/>
      <c r="H39" s="66"/>
      <c r="I39" s="36"/>
      <c r="J39" s="84"/>
      <c r="K39" s="85"/>
      <c r="L39" s="89"/>
    </row>
    <row r="40" spans="1:15" s="86" customFormat="1" ht="20.100000000000001" customHeight="1" x14ac:dyDescent="0.25">
      <c r="A40" s="72"/>
      <c r="B40" s="62">
        <v>27</v>
      </c>
      <c r="C40" s="95" t="s">
        <v>27</v>
      </c>
      <c r="D40" s="64">
        <v>46049</v>
      </c>
      <c r="E40" s="73"/>
      <c r="F40" s="66"/>
      <c r="G40" s="66"/>
      <c r="H40" s="66"/>
      <c r="I40" s="67">
        <v>3500</v>
      </c>
      <c r="J40" s="84">
        <f>J36-I40</f>
        <v>0</v>
      </c>
      <c r="K40" s="85"/>
      <c r="L40" s="70"/>
    </row>
    <row r="41" spans="1:15" s="86" customFormat="1" ht="20.100000000000001" customHeight="1" x14ac:dyDescent="0.25">
      <c r="A41" s="72"/>
      <c r="B41" s="62">
        <v>28</v>
      </c>
      <c r="C41" s="96" t="s">
        <v>28</v>
      </c>
      <c r="D41" s="64">
        <v>46050</v>
      </c>
      <c r="E41" s="73"/>
      <c r="F41" s="66"/>
      <c r="G41" s="66"/>
      <c r="H41" s="66"/>
      <c r="I41" s="66"/>
      <c r="J41" s="84"/>
      <c r="K41" s="85"/>
      <c r="L41" s="70"/>
    </row>
    <row r="42" spans="1:15" s="86" customFormat="1" ht="20.100000000000001" customHeight="1" x14ac:dyDescent="0.25">
      <c r="A42" s="72"/>
      <c r="B42" s="62">
        <v>29</v>
      </c>
      <c r="C42" s="97" t="s">
        <v>22</v>
      </c>
      <c r="D42" s="64">
        <v>46051</v>
      </c>
      <c r="E42" s="73"/>
      <c r="F42" s="66"/>
      <c r="G42" s="66"/>
      <c r="H42" s="66"/>
      <c r="I42" s="66"/>
      <c r="J42" s="84"/>
      <c r="K42" s="85"/>
      <c r="L42" s="70"/>
    </row>
    <row r="43" spans="1:15" s="86" customFormat="1" ht="20.100000000000001" customHeight="1" x14ac:dyDescent="0.25">
      <c r="A43" s="72"/>
      <c r="B43" s="62">
        <v>30</v>
      </c>
      <c r="C43" s="97" t="s">
        <v>23</v>
      </c>
      <c r="D43" s="64">
        <v>46052</v>
      </c>
      <c r="E43" s="73"/>
      <c r="F43" s="66"/>
      <c r="G43" s="66"/>
      <c r="H43" s="66"/>
      <c r="I43" s="90">
        <v>0</v>
      </c>
      <c r="J43" s="84">
        <v>1000</v>
      </c>
      <c r="K43" s="85"/>
      <c r="L43" s="70" t="s">
        <v>29</v>
      </c>
    </row>
    <row r="44" spans="1:15" s="86" customFormat="1" ht="20.100000000000001" customHeight="1" thickBot="1" x14ac:dyDescent="0.3">
      <c r="A44" s="72"/>
      <c r="B44" s="62">
        <v>31</v>
      </c>
      <c r="C44" s="98" t="s">
        <v>24</v>
      </c>
      <c r="D44" s="64">
        <v>46053</v>
      </c>
      <c r="E44" s="73"/>
      <c r="F44" s="99"/>
      <c r="G44" s="66"/>
      <c r="H44" s="66"/>
      <c r="I44" s="67"/>
      <c r="J44" s="100"/>
      <c r="K44" s="101"/>
      <c r="L44" s="89"/>
    </row>
    <row r="45" spans="1:15" ht="20.100000000000001" customHeight="1" x14ac:dyDescent="0.25">
      <c r="A45" s="72"/>
      <c r="B45" s="102"/>
      <c r="C45" s="103"/>
      <c r="D45" s="104"/>
      <c r="E45" s="105">
        <f>+E14</f>
        <v>0</v>
      </c>
      <c r="F45" s="102">
        <f>SUM(F14:F44)</f>
        <v>0</v>
      </c>
      <c r="G45" s="103"/>
      <c r="H45" s="106"/>
      <c r="I45" s="107">
        <f>SUM(I14:I44)</f>
        <v>20000</v>
      </c>
      <c r="J45" s="108">
        <v>21000</v>
      </c>
      <c r="K45" s="109">
        <f>SUM(K16:K44)</f>
        <v>0</v>
      </c>
      <c r="L45" s="110">
        <v>0</v>
      </c>
    </row>
    <row r="46" spans="1:15" s="60" customFormat="1" ht="30" customHeight="1" thickBot="1" x14ac:dyDescent="0.3">
      <c r="A46" s="111"/>
      <c r="B46" s="112" t="s">
        <v>30</v>
      </c>
      <c r="C46" s="113"/>
      <c r="D46" s="114"/>
      <c r="E46" s="115"/>
      <c r="F46" s="116"/>
      <c r="G46" s="116"/>
      <c r="H46" s="116"/>
      <c r="I46" s="116"/>
      <c r="J46" s="116"/>
      <c r="K46" s="116"/>
      <c r="L46" s="117">
        <f>+L45/40</f>
        <v>0</v>
      </c>
    </row>
  </sheetData>
  <mergeCells count="19">
    <mergeCell ref="E10:E11"/>
    <mergeCell ref="F10:H10"/>
    <mergeCell ref="I10:I11"/>
    <mergeCell ref="J10:J11"/>
    <mergeCell ref="A14:A46"/>
    <mergeCell ref="E14:E44"/>
    <mergeCell ref="B45:D45"/>
    <mergeCell ref="F45:H45"/>
    <mergeCell ref="B46:D46"/>
    <mergeCell ref="A5:D5"/>
    <mergeCell ref="A6:L6"/>
    <mergeCell ref="A7:A12"/>
    <mergeCell ref="B7:B12"/>
    <mergeCell ref="C7:C12"/>
    <mergeCell ref="D7:D12"/>
    <mergeCell ref="E7:L7"/>
    <mergeCell ref="E8:L8"/>
    <mergeCell ref="E9:J9"/>
    <mergeCell ref="L9:L11"/>
  </mergeCells>
  <conditionalFormatting sqref="K45 E45:G45 J14:J24 J26:J31 J33:J45">
    <cfRule type="cellIs" dxfId="7" priority="8" operator="lessThan">
      <formula>0</formula>
    </cfRule>
  </conditionalFormatting>
  <conditionalFormatting sqref="C42:C43 C14:C18 C20:C25 C27:C38">
    <cfRule type="containsText" dxfId="6" priority="6" operator="containsText" text="SABTU">
      <formula>NOT(ISERROR(SEARCH("SABTU",C14)))</formula>
    </cfRule>
    <cfRule type="containsText" dxfId="5" priority="7" operator="containsText" text="MINGGU">
      <formula>NOT(ISERROR(SEARCH("MINGGU",C14)))</formula>
    </cfRule>
  </conditionalFormatting>
  <conditionalFormatting sqref="I45 L45">
    <cfRule type="cellIs" dxfId="4" priority="5" operator="lessThan">
      <formula>0</formula>
    </cfRule>
  </conditionalFormatting>
  <conditionalFormatting sqref="I44 I17 I19:I24 I26:I31 I33:I42">
    <cfRule type="cellIs" dxfId="3" priority="4" operator="greaterThan">
      <formula>0</formula>
    </cfRule>
  </conditionalFormatting>
  <conditionalFormatting sqref="I14:I16">
    <cfRule type="cellIs" dxfId="2" priority="3" operator="greaterThan">
      <formula>0</formula>
    </cfRule>
  </conditionalFormatting>
  <conditionalFormatting sqref="C39:C41">
    <cfRule type="containsText" dxfId="1" priority="1" operator="containsText" text="SABTU">
      <formula>NOT(ISERROR(SEARCH("SABTU",C39)))</formula>
    </cfRule>
    <cfRule type="containsText" dxfId="0" priority="2" operator="containsText" text="MINGGU">
      <formula>NOT(ISERROR(SEARCH("MINGGU",C39)))</formula>
    </cfRule>
  </conditionalFormatting>
  <printOptions horizontalCentered="1" verticalCentered="1"/>
  <pageMargins left="0" right="0" top="0" bottom="0" header="0" footer="0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YAKULT JAN 2026</vt:lpstr>
      <vt:lpstr>'YAKULT JAN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GA-07</dc:creator>
  <cp:lastModifiedBy>GA-07</cp:lastModifiedBy>
  <dcterms:created xsi:type="dcterms:W3CDTF">2025-12-30T03:55:15Z</dcterms:created>
  <dcterms:modified xsi:type="dcterms:W3CDTF">2025-12-30T04:19:17Z</dcterms:modified>
</cp:coreProperties>
</file>