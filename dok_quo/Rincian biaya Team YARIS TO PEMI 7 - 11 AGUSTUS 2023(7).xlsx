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ING DATA SAMI-193\1. ADMINISTRASI\"/>
    </mc:Choice>
  </mc:AlternateContent>
  <xr:revisionPtr revIDLastSave="0" documentId="13_ncr:1_{5A5AEFE4-106E-46A3-8FBF-39F31C838906}" xr6:coauthVersionLast="47" xr6:coauthVersionMax="47" xr10:uidLastSave="{00000000-0000-0000-0000-000000000000}"/>
  <bookViews>
    <workbookView xWindow="-120" yWindow="-120" windowWidth="29040" windowHeight="15720" tabRatio="793" activeTab="3" xr2:uid="{00000000-000D-0000-FFFF-FFFF00000000}"/>
  </bookViews>
  <sheets>
    <sheet name="BUDGET PR" sheetId="25" r:id="rId1"/>
    <sheet name="BIAYA" sheetId="26" r:id="rId2"/>
    <sheet name="BIAYA (2)" sheetId="27" r:id="rId3"/>
    <sheet name="BIAYA (PP)" sheetId="29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_____C210343">'[1]DIRECT EFFICIENCY'!#REF!</definedName>
    <definedName name="______C210343">'[2]DIRECT EFFICIENCY'!#REF!</definedName>
    <definedName name="_____C210343">'[3]DIRECT EFFICIENCY'!#REF!</definedName>
    <definedName name="____C210343">'[3]DIRECT EFFICIENCY'!#REF!</definedName>
    <definedName name="___C210343">'[4]DIRECT EFFICIENCY'!#REF!</definedName>
    <definedName name="__123Graph_A" hidden="1">[5]MOTO!#REF!</definedName>
    <definedName name="__123Graph_ANEONﾚｰﾀﾞｰ" hidden="1">[6]集計ﾘｽﾄ!#REF!</definedName>
    <definedName name="__123Graph_B" hidden="1">[7]ﾀﾘﾌ!#REF!</definedName>
    <definedName name="__123Graph_C" hidden="1">[7]ﾀﾘﾌ!#REF!</definedName>
    <definedName name="__123Graph_E" hidden="1">'[8]schedule - 08'!#REF!</definedName>
    <definedName name="__123Graph_LBL_A" hidden="1">[9]静ﾊﾟﾀﾝ分析!$AA$37:$AG$37</definedName>
    <definedName name="__123Graph_X" hidden="1">[5]MOTO!#REF!</definedName>
    <definedName name="__1Excel_BuiltIn__FilterDatabase_1_1">#REF!</definedName>
    <definedName name="__1Excel_BuiltIn__FilterDatabase_1_1_9">#REF!</definedName>
    <definedName name="__C210343">'[3]DIRECT EFFICIENCY'!#REF!</definedName>
    <definedName name="__IntlFixup" hidden="1">TRUE</definedName>
    <definedName name="__PL1" hidden="1">'[10]S-PLAN'!$I$582:$P$582</definedName>
    <definedName name="_1__123Graph_Aｸﾞﾗﾌ_10" hidden="1">[11]報告№②ー１!$AF$36:$AT$36</definedName>
    <definedName name="_10__123Graph_Cｸﾞﾗﾌ_2" hidden="1">[11]報告№②ー１!#REF!</definedName>
    <definedName name="_108__123Graph_Aｸﾞﾗﾌ_12" hidden="1">[11]報告№②ー１!#REF!</definedName>
    <definedName name="_109__123Graph_Bｸﾞﾗﾌ_1" hidden="1">#REF!</definedName>
    <definedName name="_11__123Graph_Cｸﾞﾗﾌ_4" hidden="1">[11]報告№②ー１!$AF$38:$AT$38</definedName>
    <definedName name="_110__123Graph_Bｸﾞﾗﾌ_10" hidden="1">[11]報告№②ー１!$AF$37:$AT$37</definedName>
    <definedName name="_111__123Graph_Bｸﾞﾗﾌ_11" hidden="1">[11]報告№②ー１!$AF$59:$AT$59</definedName>
    <definedName name="_12__123Graph_Cｸﾞﾗﾌ_5" hidden="1">[11]報告№②ー１!#REF!</definedName>
    <definedName name="_120__123Graph_Bｸﾞﾗﾌ_12" hidden="1">[11]報告№②ー１!#REF!</definedName>
    <definedName name="_124__123Graph_Bｸﾞﾗﾌ_13" hidden="1">#REF!</definedName>
    <definedName name="_125__123Graph_Cｸﾞﾗﾌ_1" hidden="1">[11]報告№②ー１!$AF$38:$AT$38</definedName>
    <definedName name="_126__123Graph_Cｸﾞﾗﾌ_10" hidden="1">[11]報告№②ー１!$AF$38:$AT$38</definedName>
    <definedName name="_13__123Graph_Cｸﾞﾗﾌ_7" hidden="1">[11]報告№②ー１!$AF$38:$AT$38</definedName>
    <definedName name="_135__123Graph_Cｸﾞﾗﾌ_2" hidden="1">[11]報告№②ー１!#REF!</definedName>
    <definedName name="_136__123Graph_Cｸﾞﾗﾌ_4" hidden="1">[11]報告№②ー１!$AF$38:$AT$38</definedName>
    <definedName name="_14__123Graph_Cｸﾞﾗﾌ_8" hidden="1">[11]報告№②ー１!#REF!</definedName>
    <definedName name="_145__123Graph_Cｸﾞﾗﾌ_5" hidden="1">[11]報告№②ー１!#REF!</definedName>
    <definedName name="_146__123Graph_Cｸﾞﾗﾌ_7" hidden="1">[11]報告№②ー１!$AF$38:$AT$38</definedName>
    <definedName name="_15__123Graph_AC04C_ALL_L1" hidden="1">[5]MOTO!#REF!</definedName>
    <definedName name="_15__123Graph_Dｸﾞﾗﾌ_1" hidden="1">[11]報告№②ー１!$AF$39:$AT$39</definedName>
    <definedName name="_155__123Graph_Cｸﾞﾗﾌ_8" hidden="1">[11]報告№②ー１!#REF!</definedName>
    <definedName name="_156__123Graph_Dｸﾞﾗﾌ_1" hidden="1">[11]報告№②ー１!$AF$39:$AT$39</definedName>
    <definedName name="_157__123Graph_Dｸﾞﾗﾌ_10" hidden="1">[11]報告№②ー１!$AF$39:$AT$39</definedName>
    <definedName name="_16__123Graph_Dｸﾞﾗﾌ_10" hidden="1">[11]報告№②ー１!$AF$39:$AT$39</definedName>
    <definedName name="_166__123Graph_Dｸﾞﾗﾌ_2" hidden="1">[11]報告№②ー１!#REF!</definedName>
    <definedName name="_167__123Graph_Dｸﾞﾗﾌ_4" hidden="1">[11]報告№②ー１!$AF$39:$AT$39</definedName>
    <definedName name="_17__123Graph_Dｸﾞﾗﾌ_2" hidden="1">[11]報告№②ー１!#REF!</definedName>
    <definedName name="_176__123Graph_Dｸﾞﾗﾌ_5" hidden="1">[11]報告№②ー１!#REF!</definedName>
    <definedName name="_177__123Graph_Dｸﾞﾗﾌ_7" hidden="1">[11]報告№②ー１!$AF$39:$AT$39</definedName>
    <definedName name="_18__123Graph_Dｸﾞﾗﾌ_4" hidden="1">[11]報告№②ー１!$AF$39:$AT$39</definedName>
    <definedName name="_186__123Graph_Dｸﾞﾗﾌ_8" hidden="1">[11]報告№②ー１!#REF!</definedName>
    <definedName name="_187__123Graph_Eｸﾞﾗﾌ_1" hidden="1">#REF!</definedName>
    <definedName name="_188__123Graph_Eｸﾞﾗﾌ_10" hidden="1">[11]報告№②ー１!$AF$40:$AT$40</definedName>
    <definedName name="_189__123Graph_Fｸﾞﾗﾌ_10" hidden="1">[11]報告№②ー１!$AF$41:$AT$41</definedName>
    <definedName name="_19__123Graph_Dｸﾞﾗﾌ_5" hidden="1">[11]報告№②ー１!#REF!</definedName>
    <definedName name="_198__123Graph_LBL_AC04C_FF_L" hidden="1">[5]MOTO!#REF!</definedName>
    <definedName name="_1Excel_BuiltIn__FilterDatabase_1_1">#REF!</definedName>
    <definedName name="_1Excel_BuiltIn_Print_Area_1_1_1">#REF!</definedName>
    <definedName name="_2__123Graph_Aｸﾞﾗﾌ_11" hidden="1">[11]報告№②ー１!$AF$58:$AT$58</definedName>
    <definedName name="_20__123Graph_Dｸﾞﾗﾌ_7" hidden="1">[11]報告№②ー１!$AF$39:$AT$39</definedName>
    <definedName name="_207__123Graph_LBL_AC04C_FF_T" hidden="1">[5]MOTO!#REF!</definedName>
    <definedName name="_21__123Graph_Dｸﾞﾗﾌ_8" hidden="1">[11]報告№②ー１!#REF!</definedName>
    <definedName name="_216__123Graph_LBL_AC04C_FR_L1" hidden="1">[5]MOTO!#REF!</definedName>
    <definedName name="_22__123Graph_Eｸﾞﾗﾌ_10" hidden="1">[11]報告№②ー１!$AF$40:$AT$40</definedName>
    <definedName name="_225__123Graph_LBL_AC04C_FR_L2" hidden="1">[5]MOTO!#REF!</definedName>
    <definedName name="_23__123Graph_Fｸﾞﾗﾌ_10" hidden="1">[11]報告№②ー１!$AF$41:$AT$41</definedName>
    <definedName name="_234__123Graph_LBL_AC04C_FR_T1" hidden="1">[5]MOTO!#REF!</definedName>
    <definedName name="_24__123Graph_AC04C_ALL_L2" hidden="1">[5]MOTO!#REF!</definedName>
    <definedName name="_24__123Graph_Xｸﾞﾗﾌ_10" hidden="1">[11]報告№②ー１!$AF$35:$AT$35</definedName>
    <definedName name="_2428DS2_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2428DS2_" localSheetId="2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2428DS2_" localSheetId="3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2428DS2_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243__123Graph_LBL_AC04C_FR_T2" hidden="1">[5]MOTO!#REF!</definedName>
    <definedName name="_252__123Graph_XC04C_ALL_T1" hidden="1">[5]MOTO!#REF!</definedName>
    <definedName name="_261__123Graph_XC04C_ALL_T2" hidden="1">[5]MOTO!#REF!</definedName>
    <definedName name="_270__123Graph_XC04C_FF_L" hidden="1">[5]MOTO!#REF!</definedName>
    <definedName name="_279__123Graph_XC04C_FF_T" hidden="1">[5]MOTO!#REF!</definedName>
    <definedName name="_288__123Graph_XC04C_FR_L1" hidden="1">[5]MOTO!#REF!</definedName>
    <definedName name="_297__123Graph_XC04C_FR_L2" hidden="1">[5]MOTO!#REF!</definedName>
    <definedName name="_2Excel_BuiltIn__FilterDatabase_1_1">#REF!</definedName>
    <definedName name="_2Excel_BuiltIn__FilterDatabase_1_1_1">#REF!</definedName>
    <definedName name="_2Excel_BuiltIn__FilterDatabase_1_1_1_9">#REF!</definedName>
    <definedName name="_2Excel_BuiltIn__FilterDatabase_1_1_9">#REF!</definedName>
    <definedName name="_3__123Graph_Aｸﾞﾗﾌ_12" hidden="1">[11]報告№②ー１!#REF!</definedName>
    <definedName name="_306__123Graph_XC04C_FR_T1" hidden="1">[5]MOTO!#REF!</definedName>
    <definedName name="_315__123Graph_XC04C_FR_T2" hidden="1">[5]MOTO!#REF!</definedName>
    <definedName name="_316__123Graph_Xｸﾞﾗﾌ_10" hidden="1">[11]報告№②ー１!$AF$35:$AT$35</definedName>
    <definedName name="_33__123Graph_AC04C_ALL_T1" hidden="1">[5]MOTO!#REF!</definedName>
    <definedName name="_3Excel_BuiltIn__FilterDatabase_2_1">#REF!</definedName>
    <definedName name="_3Excel_BuiltIn__FilterDatabase_2_1_9">#REF!</definedName>
    <definedName name="_4__123Graph_Bｸﾞﾗﾌ_10" hidden="1">[11]報告№②ー１!$AF$37:$AT$37</definedName>
    <definedName name="_42__123Graph_AC04C_ALL_T2" hidden="1">[5]MOTO!#REF!</definedName>
    <definedName name="_4Excel_BuiltIn__FilterDatabase_1_1_1">#REF!</definedName>
    <definedName name="_4Excel_BuiltIn__FilterDatabase_1_1_1_9">#REF!</definedName>
    <definedName name="_5__123Graph_Bｸﾞﾗﾌ_11" hidden="1">[11]報告№②ー１!$AF$59:$AT$59</definedName>
    <definedName name="_51__123Graph_AC04C_FF_L" hidden="1">[5]MOTO!#REF!</definedName>
    <definedName name="_6__123Graph_Bｸﾞﾗﾌ_12" hidden="1">[11]報告№②ー１!#REF!</definedName>
    <definedName name="_60__123Graph_AC04C_FF_T" hidden="1">[5]MOTO!#REF!</definedName>
    <definedName name="_69__123Graph_AC04C_FR_L1" hidden="1">[5]MOTO!#REF!</definedName>
    <definedName name="_6Excel_BuiltIn__FilterDatabase_2_1">#REF!</definedName>
    <definedName name="_6Excel_BuiltIn__FilterDatabase_2_1_9">#REF!</definedName>
    <definedName name="_7__123Graph_Bｸﾞﾗﾌ_13" hidden="1">#REF!</definedName>
    <definedName name="_78__123Graph_AC04C_FR_L2" hidden="1">[5]MOTO!#REF!</definedName>
    <definedName name="_8__123Graph_Cｸﾞﾗﾌ_1" hidden="1">[11]報告№②ー１!$AF$38:$AT$38</definedName>
    <definedName name="_87__123Graph_AC04C_FR_T1" hidden="1">[5]MOTO!#REF!</definedName>
    <definedName name="_9__123Graph_Cｸﾞﾗﾌ_10" hidden="1">[11]報告№②ー１!$AF$38:$AT$38</definedName>
    <definedName name="_96__123Graph_AC04C_FR_T2" hidden="1">[5]MOTO!#REF!</definedName>
    <definedName name="_97__123Graph_Aｸﾞﾗﾌ_1" hidden="1">#REF!</definedName>
    <definedName name="_98__123Graph_Aｸﾞﾗﾌ_10" hidden="1">[11]報告№②ー１!$AF$36:$AT$36</definedName>
    <definedName name="_99__123Graph_Aｸﾞﾗﾌ_11" hidden="1">[11]報告№②ー１!$AF$58:$AT$58</definedName>
    <definedName name="_b1" hidden="1">'[10]S-PLAN'!$I$1293:$P$1293</definedName>
    <definedName name="_b1_" hidden="1">'[10]S-PLAN'!$I$1293:$P$1293</definedName>
    <definedName name="_b3" hidden="1">'[10]S-PLAN'!$I$1293:$P$1293</definedName>
    <definedName name="_C210343">'[2]DIRECT EFFICIENCY'!#REF!</definedName>
    <definedName name="_DS2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DS2" localSheetId="2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DS2" localSheetId="3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DS2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Fill" hidden="1">#REF!</definedName>
    <definedName name="_Key1" hidden="1">#REF!</definedName>
    <definedName name="_Key2" hidden="1">[12]原単位表!#REF!</definedName>
    <definedName name="_Order1" hidden="1">255</definedName>
    <definedName name="_Order2" hidden="1">0</definedName>
    <definedName name="_PL1" hidden="1">'[10]S-PLAN'!$I$582:$P$582</definedName>
    <definedName name="_Sort" hidden="1">#REF!</definedName>
    <definedName name="⑤2" localSheetId="1" hidden="1">{"'TOYOTA'!$A$1:$R$26"}</definedName>
    <definedName name="⑤2" localSheetId="2" hidden="1">{"'TOYOTA'!$A$1:$R$26"}</definedName>
    <definedName name="⑤2" localSheetId="3" hidden="1">{"'TOYOTA'!$A$1:$R$26"}</definedName>
    <definedName name="⑤2" hidden="1">{"'TOYOTA'!$A$1:$R$26"}</definedName>
    <definedName name="⑤3" localSheetId="1" hidden="1">{"'TOYOTA'!$A$1:$R$26"}</definedName>
    <definedName name="⑤3" localSheetId="2" hidden="1">{"'TOYOTA'!$A$1:$R$26"}</definedName>
    <definedName name="⑤3" localSheetId="3" hidden="1">{"'TOYOTA'!$A$1:$R$26"}</definedName>
    <definedName name="⑤3" hidden="1">{"'TOYOTA'!$A$1:$R$26"}</definedName>
    <definedName name="a" localSheetId="1">BIAYA!a</definedName>
    <definedName name="a" localSheetId="2">'BIAYA (2)'!a</definedName>
    <definedName name="a" localSheetId="3">'BIAYA (PP)'!a</definedName>
    <definedName name="a">[0]!a</definedName>
    <definedName name="aaa">#REF!</definedName>
    <definedName name="AccessDatabase" hidden="1">"C:\WINDOWS\Personal\COMMODITY  GROUP  FOR   VX - 133  &amp;   149.mdb"</definedName>
    <definedName name="ad" hidden="1">[13]MYZK02!$I$554:$P$554</definedName>
    <definedName name="ada" hidden="1">[13]MYZK02!$I$531:$P$531</definedName>
    <definedName name="aew" hidden="1">#REF!</definedName>
    <definedName name="AKA" localSheetId="1" hidden="1">{"'受発行文書'!$A$4:$D$28"}</definedName>
    <definedName name="AKA" localSheetId="2" hidden="1">{"'受発行文書'!$A$4:$D$28"}</definedName>
    <definedName name="AKA" localSheetId="3" hidden="1">{"'受発行文書'!$A$4:$D$28"}</definedName>
    <definedName name="AKA" hidden="1">{"'受発行文書'!$A$4:$D$28"}</definedName>
    <definedName name="AMSBPS">#REF!</definedName>
    <definedName name="AMSBPS_1">#REF!</definedName>
    <definedName name="ARC">#REF!</definedName>
    <definedName name="ARC_1">#REF!</definedName>
    <definedName name="ARCNic">#REF!</definedName>
    <definedName name="ARCNic_1">#REF!</definedName>
    <definedName name="ARCNicaragua">#REF!</definedName>
    <definedName name="ARCNicaragua_1">#REF!</definedName>
    <definedName name="AS2DocOpenMode" hidden="1">"AS2DocumentEdit"</definedName>
    <definedName name="ase" hidden="1">[13]MYZK02!$I$811:$P$811</definedName>
    <definedName name="asew" hidden="1">[13]MYZK02!$I$1259:$P$1259</definedName>
    <definedName name="ASSD">#REF!</definedName>
    <definedName name="ate" hidden="1">#REF!</definedName>
    <definedName name="aw" hidden="1">[13]MYZK02!$I$1302:$P$1302</definedName>
    <definedName name="awa" hidden="1">[13]MYZK02!$I$1307:$P$1307</definedName>
    <definedName name="awae" hidden="1">[13]MYZK02!$I$1129:$P$1129</definedName>
    <definedName name="awew" hidden="1">[13]MYZK02!$I$1293:$P$1293</definedName>
    <definedName name="awf" hidden="1">'[10]S-PLAN'!$I$1293:$P$1293</definedName>
    <definedName name="awse" hidden="1">[13]MYZK02!$I$1306:$P$1306</definedName>
    <definedName name="CAR">#REF!</definedName>
    <definedName name="CARA">#REF!</definedName>
    <definedName name="cd" hidden="1">#REF!</definedName>
    <definedName name="ce" hidden="1">#REF!</definedName>
    <definedName name="cfe" hidden="1">#REF!</definedName>
    <definedName name="CPNMB">"1"</definedName>
    <definedName name="CS000021_DAT">'[14]797T輸入部品リスト'!#REF!</definedName>
    <definedName name="da" localSheetId="1" hidden="1">{#N/A,#N/A,FALSE,"第１紙";#N/A,#N/A,FALSE,"第２紙以降"}</definedName>
    <definedName name="da" localSheetId="2" hidden="1">{#N/A,#N/A,FALSE,"第１紙";#N/A,#N/A,FALSE,"第２紙以降"}</definedName>
    <definedName name="da" localSheetId="3" hidden="1">{#N/A,#N/A,FALSE,"第１紙";#N/A,#N/A,FALSE,"第２紙以降"}</definedName>
    <definedName name="da" hidden="1">{#N/A,#N/A,FALSE,"第１紙";#N/A,#N/A,FALSE,"第２紙以降"}</definedName>
    <definedName name="dad" hidden="1">#REF!</definedName>
    <definedName name="dadf" hidden="1">#REF!</definedName>
    <definedName name="_xlnm.Database">#REF!</definedName>
    <definedName name="dav" hidden="1">#REF!</definedName>
    <definedName name="dc" hidden="1">#REF!</definedName>
    <definedName name="de" hidden="1">#REF!</definedName>
    <definedName name="dead" hidden="1">#REF!</definedName>
    <definedName name="deaw" hidden="1">#REF!</definedName>
    <definedName name="deca" hidden="1">#REF!</definedName>
    <definedName name="des" hidden="1">[13]MYZK02!$I$1305:$P$1305</definedName>
    <definedName name="desad" hidden="1">#REF!</definedName>
    <definedName name="dew" hidden="1">[13]MYZK02!$I$1293:$P$1293</definedName>
    <definedName name="dewq" hidden="1">#REF!</definedName>
    <definedName name="dews" hidden="1">#REF!</definedName>
    <definedName name="dfe" hidden="1">#REF!</definedName>
    <definedName name="dg" hidden="1">#REF!</definedName>
    <definedName name="ds" hidden="1">#REF!</definedName>
    <definedName name="DVNAM">""</definedName>
    <definedName name="DVTYP">"PRINTER"</definedName>
    <definedName name="dwa" hidden="1">[13]MYZK02!$I$828:$P$828</definedName>
    <definedName name="e" hidden="1">#REF!</definedName>
    <definedName name="eate" hidden="1">#REF!</definedName>
    <definedName name="eats" hidden="1">#REF!</definedName>
    <definedName name="ed" hidden="1">#REF!</definedName>
    <definedName name="EDIX" hidden="1">#REF!</definedName>
    <definedName name="edr" hidden="1">#REF!</definedName>
    <definedName name="EMI">#REF!</definedName>
    <definedName name="EMI_1">#REF!</definedName>
    <definedName name="ENG">[15]当初年計!#REF!</definedName>
    <definedName name="er" hidden="1">#REF!</definedName>
    <definedName name="ew" hidden="1">[13]MYZK02!$I$809:$P$809</definedName>
    <definedName name="ewa" hidden="1">[13]MYZK02!$I$1304:$P$1304</definedName>
    <definedName name="ewaw" hidden="1">[13]MYZK02!$I$1293:$P$1293</definedName>
    <definedName name="ewf" hidden="1">#REF!</definedName>
    <definedName name="ewg" hidden="1">[13]MYZK02!$I$1308:$P$1308</definedName>
    <definedName name="ewq" hidden="1">[13]MYZK02!$K$75:$P$75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_1_1_1">#REF!</definedName>
    <definedName name="Excel_BuiltIn__FilterDatabase_1_1_1_1_1">#REF!</definedName>
    <definedName name="Excel_BuiltIn__FilterDatabase_1_1_1_1_1_1">'[16]SAMI 201107'!$A$1:$AG$544</definedName>
    <definedName name="Excel_BuiltIn__FilterDatabase_1_1_1_1_1_1_1">'[16]SAMI 201107'!$A$1:$AG$544</definedName>
    <definedName name="Excel_BuiltIn__FilterDatabase_1_9">#REF!</definedName>
    <definedName name="Excel_BuiltIn__FilterDatabase_15">#REF!</definedName>
    <definedName name="Excel_BuiltIn__FilterDatabase_15_1">#REF!</definedName>
    <definedName name="Excel_BuiltIn__FilterDatabase_2">#REF!</definedName>
    <definedName name="Excel_BuiltIn__FilterDatabase_2_1">#REF!</definedName>
    <definedName name="Excel_BuiltIn__FilterDatabase_2_1_1">[17]RESIGN!#REF!</definedName>
    <definedName name="Excel_BuiltIn__FilterDatabase_2_1_1_1">'[16]SAMI 201107'!$A$1:$AG$544</definedName>
    <definedName name="Excel_BuiltIn__FilterDatabase_2_1_9">[17]RESIGN!#REF!</definedName>
    <definedName name="Excel_BuiltIn__FilterDatabase_2_3">#REF!</definedName>
    <definedName name="Excel_BuiltIn__FilterDatabase_2_3_9">#REF!</definedName>
    <definedName name="Excel_BuiltIn__FilterDatabase_3">#REF!</definedName>
    <definedName name="Excel_BuiltIn__FilterDatabase_3_1">'[2]FINAL ASSY EFFICIENCY'!#REF!</definedName>
    <definedName name="Excel_BuiltIn__FilterDatabase_3_1_1">"$'FINAL ASSY EFFICIENCY'.$#REF!$#REF!:#REF!#REF!"</definedName>
    <definedName name="Excel_BuiltIn__FilterDatabase_3_1_9">#REF!</definedName>
    <definedName name="Excel_BuiltIn__FilterDatabase_3_32">'[18]FINAL ASSY EFFICIENCY'!#REF!</definedName>
    <definedName name="Excel_BuiltIn__FilterDatabase_3_35">'[2]FINAL ASSY EFFICIENCY'!#REF!</definedName>
    <definedName name="Excel_BuiltIn__FilterDatabase_3_36">'[19]FINAL ASSY EFFICIENCY'!#REF!</definedName>
    <definedName name="Excel_BuiltIn__FilterDatabase_3_4">#REF!</definedName>
    <definedName name="Excel_BuiltIn__FilterDatabase_3_8">'[19]FINAL ASSY EFFICIENCY'!#REF!</definedName>
    <definedName name="Excel_BuiltIn__FilterDatabase_3_9">#REF!</definedName>
    <definedName name="Excel_BuiltIn__FilterDatabase_4">#REF!</definedName>
    <definedName name="Excel_BuiltIn__FilterDatabase_5">#REF!</definedName>
    <definedName name="Excel_BuiltIn_Database">#REF!</definedName>
    <definedName name="Excel_BuiltIn_Print_Area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2">#REF!</definedName>
    <definedName name="Excel_BuiltIn_Print_Area_1_1_4">#REF!</definedName>
    <definedName name="Excel_BuiltIn_Print_Area_1_1_5">#REF!</definedName>
    <definedName name="Excel_BuiltIn_Print_Area_1_3">#REF!</definedName>
    <definedName name="Excel_BuiltIn_Print_Area_1_3_3">#REF!</definedName>
    <definedName name="Excel_BuiltIn_Print_Area_10_1">#REF!</definedName>
    <definedName name="Excel_BuiltIn_Print_Area_11_1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9">#REF!</definedName>
    <definedName name="Excel_BuiltIn_Print_Area_12_1_1_9">#REF!</definedName>
    <definedName name="Excel_BuiltIn_Print_Area_13_1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">#REF!</definedName>
    <definedName name="Excel_BuiltIn_Print_Area_15_1_1_1_1_1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2">#REF!</definedName>
    <definedName name="Excel_BuiltIn_Print_Area_2_1">#REF!</definedName>
    <definedName name="Excel_BuiltIn_Print_Area_2_1_1_1_1_1_1_1_1_1">"$'PRE ASSY EFFICIENCY'.$#REF!$#REF!:$#REF!$#REF!"</definedName>
    <definedName name="Excel_BuiltIn_Print_Area_2_1_1_1_1_1_32">'[2]DIRECT EFFICIENCY'!#REF!</definedName>
    <definedName name="Excel_BuiltIn_Print_Area_2_1_1_1_1_32">'[2]DIRECT EFFICIENCY'!#REF!</definedName>
    <definedName name="Excel_BuiltIn_Print_Area_3_1">#REF!</definedName>
    <definedName name="Excel_BuiltIn_Print_Area_3_1_1_1_1">'[2]FINAL ASSY EFFICIENCY'!#REF!</definedName>
    <definedName name="Excel_BuiltIn_Print_Area_3_1_1_1_1_1_1_1">'[2]FINAL ASSY EFFICIENCY'!#REF!</definedName>
    <definedName name="Excel_BuiltIn_Print_Area_3_1_1_1_1_1_1_1_1">'[2]FINAL ASSY EFFICIENCY'!#REF!</definedName>
    <definedName name="Excel_BuiltIn_Print_Area_3_1_1_1_1_1_1_1_1_1">'[2]FINAL ASSY EFFICIENCY'!#REF!</definedName>
    <definedName name="Excel_BuiltIn_Print_Area_3_1_1_1_1_1_1_1_1_1_1">#REF!</definedName>
    <definedName name="Excel_BuiltIn_Print_Area_3_1_1_1_1_1_1_1_1_1_1_1">#REF!</definedName>
    <definedName name="Excel_BuiltIn_Print_Area_3_1_1_1_1_1_1_1_1_1_1_1_1">#REF!</definedName>
    <definedName name="Excel_BuiltIn_Print_Area_3_1_1_1_1_1_1_1_1_1_1_1_9">#REF!</definedName>
    <definedName name="Excel_BuiltIn_Print_Area_3_1_1_1_1_1_1_1_1_1_1_9">#REF!</definedName>
    <definedName name="Excel_BuiltIn_Print_Area_3_1_1_1_1_1_1_1_1_1_9">#REF!</definedName>
    <definedName name="Excel_BuiltIn_Print_Area_3_1_1_1_1_1_1_1_1_35">'[2]FINAL ASSY EFFICIENCY'!#REF!</definedName>
    <definedName name="Excel_BuiltIn_Print_Area_3_1_1_1_1_1_1_1_1_9">'[20]FINAL ASSY EFFICIENCY'!#REF!</definedName>
    <definedName name="Excel_BuiltIn_Print_Area_3_1_1_1_35">'[2]FINAL ASSY EFFICIENCY'!#REF!</definedName>
    <definedName name="Excel_BuiltIn_Print_Area_3_1_1_1_9">'[20]FINAL ASSY EFFICIENCY'!#REF!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_1">#REF!</definedName>
    <definedName name="Excel_BuiltIn_Print_Area_4_1_1_1_1_1_1">'[2]FINAL ASSY EFFICIENCY'!#REF!</definedName>
    <definedName name="Excel_BuiltIn_Print_Area_4_1_1_1_1_1_1_32">'[18]FINAL ASSY EFFICIENCY'!#REF!</definedName>
    <definedName name="Excel_BuiltIn_Print_Area_4_1_1_1_1_1_1_35">'[2]FINAL ASSY EFFICIENCY'!#REF!</definedName>
    <definedName name="Excel_BuiltIn_Print_Area_4_1_1_1_1_1_1_36">'[19]FINAL ASSY EFFICIENCY'!#REF!</definedName>
    <definedName name="Excel_BuiltIn_Print_Area_4_1_1_1_1_1_1_8">'[19]FINAL ASSY EFFICIENCY'!#REF!</definedName>
    <definedName name="Excel_BuiltIn_Print_Area_4_1_1_1_1_1_1_9">'[20]FINAL ASSY EFFICIENCY'!#REF!</definedName>
    <definedName name="Excel_BuiltIn_Print_Area_4_1_1_1_1_1_9">#REF!</definedName>
    <definedName name="Excel_BuiltIn_Print_Area_4_1_1_1_9">#REF!</definedName>
    <definedName name="Excel_BuiltIn_Print_Area_4_1_9">#REF!</definedName>
    <definedName name="Excel_BuiltIn_Print_Area_5_1">#REF!</definedName>
    <definedName name="Excel_BuiltIn_Print_Area_5_1_9">#REF!</definedName>
    <definedName name="Excel_BuiltIn_Print_Area_6_1">'[21]Breakdown Atokotei (1)'!#REF!</definedName>
    <definedName name="Excel_BuiltIn_Print_Area_6_1_1">'[21]Breakdown Atokotei (1)'!#REF!</definedName>
    <definedName name="Excel_BuiltIn_Print_Area_7_1">"$#REF!.$A$1:$S$38"</definedName>
    <definedName name="Excel_BuiltIn_Print_Area_7_1_1">#REF!</definedName>
    <definedName name="Excel_BuiltIn_Print_Area_7_1_1_9">#REF!</definedName>
    <definedName name="Excel_BuiltIn_Print_Area_8">#REF!</definedName>
    <definedName name="Excel_BuiltIn_Print_Area_8_1">'[22]Breakdown Mae'!#REF!</definedName>
    <definedName name="Excel_BuiltIn_Print_Area_8_1_9">#REF!</definedName>
    <definedName name="Excel_BuiltIn_Print_Area_9">'[21]Breakdown Ato'!#REF!</definedName>
    <definedName name="Excel_BuiltIn_Print_Area_9_1">#REF!</definedName>
    <definedName name="Eパーセル用配分案子供作成" localSheetId="1">BIAYA!Eパーセル用配分案子供作成</definedName>
    <definedName name="Eパーセル用配分案子供作成" localSheetId="2">'BIAYA (2)'!Eパーセル用配分案子供作成</definedName>
    <definedName name="Eパーセル用配分案子供作成" localSheetId="3">'BIAYA (PP)'!Eパーセル用配分案子供作成</definedName>
    <definedName name="Eパーセル用配分案子供作成">[0]!Eパーセル用配分案子供作成</definedName>
    <definedName name="F">#REF!</definedName>
    <definedName name="FC">#REF!</definedName>
    <definedName name="fd" hidden="1">#REF!</definedName>
    <definedName name="fea" hidden="1">[13]MYZK02!$K$1259:$P$1259</definedName>
    <definedName name="feaw" hidden="1">[13]MYZK02!$I$601:$P$601</definedName>
    <definedName name="FEJT5">#REF!</definedName>
    <definedName name="fes" hidden="1">[13]MYZK02!$I$811:$P$811</definedName>
    <definedName name="fesa" hidden="1">[13]MYZK02!$I$812:$P$812</definedName>
    <definedName name="few" hidden="1">#REF!</definedName>
    <definedName name="ｆｆｆｆｆｆｆｒｒｒｒ" localSheetId="1" hidden="1">{"'TOYOTA'!$A$1:$R$26"}</definedName>
    <definedName name="ｆｆｆｆｆｆｆｒｒｒｒ" localSheetId="2" hidden="1">{"'TOYOTA'!$A$1:$R$26"}</definedName>
    <definedName name="ｆｆｆｆｆｆｆｒｒｒｒ" localSheetId="3" hidden="1">{"'TOYOTA'!$A$1:$R$26"}</definedName>
    <definedName name="ｆｆｆｆｆｆｆｒｒｒｒ" hidden="1">{"'TOYOTA'!$A$1:$R$26"}</definedName>
    <definedName name="ffffffrrrrrr2" localSheetId="1" hidden="1">{"'TOYOTA'!$A$1:$R$26"}</definedName>
    <definedName name="ffffffrrrrrr2" localSheetId="2" hidden="1">{"'TOYOTA'!$A$1:$R$26"}</definedName>
    <definedName name="ffffffrrrrrr2" localSheetId="3" hidden="1">{"'TOYOTA'!$A$1:$R$26"}</definedName>
    <definedName name="ffffffrrrrrr2" hidden="1">{"'TOYOTA'!$A$1:$R$26"}</definedName>
    <definedName name="ｆｆｆｆｆっふぇ" localSheetId="1" hidden="1">{"'TOYOTA'!$A$1:$R$26"}</definedName>
    <definedName name="ｆｆｆｆｆっふぇ" localSheetId="2" hidden="1">{"'TOYOTA'!$A$1:$R$26"}</definedName>
    <definedName name="ｆｆｆｆｆっふぇ" localSheetId="3" hidden="1">{"'TOYOTA'!$A$1:$R$26"}</definedName>
    <definedName name="ｆｆｆｆｆっふぇ" hidden="1">{"'TOYOTA'!$A$1:$R$26"}</definedName>
    <definedName name="fffffっふぇ２" localSheetId="1" hidden="1">{"'TOYOTA'!$A$1:$R$26"}</definedName>
    <definedName name="fffffっふぇ２" localSheetId="2" hidden="1">{"'TOYOTA'!$A$1:$R$26"}</definedName>
    <definedName name="fffffっふぇ２" localSheetId="3" hidden="1">{"'TOYOTA'!$A$1:$R$26"}</definedName>
    <definedName name="fffffっふぇ２" hidden="1">{"'TOYOTA'!$A$1:$R$26"}</definedName>
    <definedName name="fg" hidden="1">#REF!</definedName>
    <definedName name="FMTYP">"*STD"</definedName>
    <definedName name="FSY">#REF!</definedName>
    <definedName name="FSY_1">#REF!</definedName>
    <definedName name="ｇｄｓ" localSheetId="1" hidden="1">{"'TOYOTA'!$A$1:$R$26"}</definedName>
    <definedName name="ｇｄｓ" localSheetId="2" hidden="1">{"'TOYOTA'!$A$1:$R$26"}</definedName>
    <definedName name="ｇｄｓ" localSheetId="3" hidden="1">{"'TOYOTA'!$A$1:$R$26"}</definedName>
    <definedName name="ｇｄｓ" hidden="1">{"'TOYOTA'!$A$1:$R$26"}</definedName>
    <definedName name="ges" hidden="1">[13]MYZK02!$I$595:$P$595</definedName>
    <definedName name="gf" hidden="1">#REF!</definedName>
    <definedName name="HNY">#REF!</definedName>
    <definedName name="HNY_1">#REF!</definedName>
    <definedName name="HSK3055U_DAT">#REF!</definedName>
    <definedName name="ht" hidden="1">#REF!</definedName>
    <definedName name="HTML_CodePage" hidden="1">932</definedName>
    <definedName name="HTML_Control" localSheetId="1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localSheetId="2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localSheetId="3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Description" hidden="1">""</definedName>
    <definedName name="HTML_Email" hidden="1">""</definedName>
    <definedName name="HTML_Header" hidden="1">"新車販売台数（概況・確報）"</definedName>
    <definedName name="HTML_LastUpdate" hidden="1">"03/01/24"</definedName>
    <definedName name="HTML_LineAfter" hidden="1">FALSE</definedName>
    <definedName name="HTML_LineBefore" hidden="1">FALSE</definedName>
    <definedName name="HTML_Name" hidden="1">"NEC-PCuser"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"\\ADIDS0\eigi\015M\ＰＪ管理\hakko.htm"</definedName>
    <definedName name="HTML_Title" hidden="1">"新車（概況・確報）"</definedName>
    <definedName name="HTML1_1" hidden="1">"[HS_PS管理工程図.xls]ＦＭＥＡ原紙!$E$15:$F$17"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"HS_PS管理工程図.xls"</definedName>
    <definedName name="HTML1_4" hidden="1">"ＦＭＥＡ原紙"</definedName>
    <definedName name="HTML1_5" hidden="1">""</definedName>
    <definedName name="HTML1_6" hidden="1">-4146</definedName>
    <definedName name="HTML1_7" hidden="1">-4146</definedName>
    <definedName name="HTML1_8" hidden="1">"97/04/07"</definedName>
    <definedName name="HTML1_9" hidden="1">"佐々木圭"</definedName>
    <definedName name="HTML2_1" hidden="1">"[HS_PS管理工程図.xls]ＦＭＥＡ原紙!$G$14:$L$19"</definedName>
    <definedName name="HTML2_10" hidden="1">""</definedName>
    <definedName name="HTML2_11" hidden="1">1</definedName>
    <definedName name="HTML2_12" hidden="1">"C:\WINDOWS\ﾃﾞｽｸﾄｯﾌﾟ\FFF.htm"</definedName>
    <definedName name="HTML2_2" hidden="1">-4146</definedName>
    <definedName name="HTML2_3" hidden="1">"C:\WINDOWS\ﾃﾞｽｸﾄｯﾌﾟ\ffz.htm"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"99/11/04"</definedName>
    <definedName name="HTML2_9" hidden="1">""</definedName>
    <definedName name="HTML3_1" hidden="1">"'[ALL.XLS]ﾏｽﾀ(P)'!$A$1958:$C$2003"</definedName>
    <definedName name="HTML3_10" hidden="1">""</definedName>
    <definedName name="HTML3_11" hidden="1">1</definedName>
    <definedName name="HTML3_12" hidden="1">"L:\Gijoshi\public\enics\UPG\SYOUBUN\MyHTML.htm"</definedName>
    <definedName name="HTML3_2" hidden="1">1</definedName>
    <definedName name="HTML3_3" hidden="1">"小分類"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"99/11/09"</definedName>
    <definedName name="HTML3_9" hidden="1">""</definedName>
    <definedName name="HTML4_1" hidden="1">"[電話帳検.XLS]参照用情ｼ本!$A$1:$E$5"</definedName>
    <definedName name="HTML4_10" hidden="1">""</definedName>
    <definedName name="HTML4_11" hidden="1">1</definedName>
    <definedName name="HTML4_12" hidden="1">"C:\WINDOWS\ﾃﾞｽｸﾄｯﾌﾟ\情シ本.htm"</definedName>
    <definedName name="HTML4_2" hidden="1">1</definedName>
    <definedName name="HTML4_3" hidden="1">""</definedName>
    <definedName name="HTML4_4" hidden="1">"情シ本(９７．４．１)"</definedName>
    <definedName name="HTML4_5" hidden="1">""</definedName>
    <definedName name="HTML4_6" hidden="1">-4146</definedName>
    <definedName name="HTML4_7" hidden="1">-4146</definedName>
    <definedName name="HTML4_8" hidden="1">"98/01/06"</definedName>
    <definedName name="HTML4_9" hidden="1">""</definedName>
    <definedName name="HTML5_1" hidden="1">"[電話帳検.XLS]管シ部0!$A$1:$E$74"</definedName>
    <definedName name="HTML5_10" hidden="1">""</definedName>
    <definedName name="HTML5_11" hidden="1">1</definedName>
    <definedName name="HTML5_12" hidden="1">"D:\tamachi\管シ部.HTM"</definedName>
    <definedName name="HTML5_2" hidden="1">1</definedName>
    <definedName name="HTML5_3" hidden="1">"管理システム部"</definedName>
    <definedName name="HTML5_4" hidden="1">"管理システム部（９７．４．１）"</definedName>
    <definedName name="HTML5_5" hidden="1">""</definedName>
    <definedName name="HTML5_6" hidden="1">-4146</definedName>
    <definedName name="HTML5_7" hidden="1">-4146</definedName>
    <definedName name="HTML5_8" hidden="1">"98/01/07"</definedName>
    <definedName name="HTML5_9" hidden="1">""</definedName>
    <definedName name="HTMLCount" hidden="1">2</definedName>
    <definedName name="hty" hidden="1">#REF!</definedName>
    <definedName name="JAI">#REF!</definedName>
    <definedName name="JAI_1">#REF!</definedName>
    <definedName name="JBNAM">"BCHDAYSM"</definedName>
    <definedName name="JBNMB">"346288"</definedName>
    <definedName name="jud" hidden="1">#REF!</definedName>
    <definedName name="kore" localSheetId="1" hidden="1">{#N/A,#N/A,FALSE,"第１紙";#N/A,#N/A,FALSE,"第２紙以降"}</definedName>
    <definedName name="kore" localSheetId="2" hidden="1">{#N/A,#N/A,FALSE,"第１紙";#N/A,#N/A,FALSE,"第２紙以降"}</definedName>
    <definedName name="kore" localSheetId="3" hidden="1">{#N/A,#N/A,FALSE,"第１紙";#N/A,#N/A,FALSE,"第２紙以降"}</definedName>
    <definedName name="kore" hidden="1">{#N/A,#N/A,FALSE,"第１紙";#N/A,#N/A,FALSE,"第２紙以降"}</definedName>
    <definedName name="LIG" hidden="1">[23]原単位表!#REF!</definedName>
    <definedName name="mato" localSheetId="1" hidden="1">{#N/A,#N/A,FALSE,"第１紙";#N/A,#N/A,FALSE,"第２紙以降"}</definedName>
    <definedName name="mato" localSheetId="2" hidden="1">{#N/A,#N/A,FALSE,"第１紙";#N/A,#N/A,FALSE,"第２紙以降"}</definedName>
    <definedName name="mato" localSheetId="3" hidden="1">{#N/A,#N/A,FALSE,"第１紙";#N/A,#N/A,FALSE,"第２紙以降"}</definedName>
    <definedName name="mato" hidden="1">{#N/A,#N/A,FALSE,"第１紙";#N/A,#N/A,FALSE,"第２紙以降"}</definedName>
    <definedName name="mdl_sht反騰法.btnイベントメモ修正_Action" localSheetId="1">[24]!mdl_sht反騰法.btnイベントメモ修正_Action</definedName>
    <definedName name="mdl_sht反騰法.btnイベントメモ修正_Action" localSheetId="2">[24]!mdl_sht反騰法.btnイベントメモ修正_Action</definedName>
    <definedName name="mdl_sht反騰法.btnイベントメモ修正_Action" localSheetId="3">[24]!mdl_sht反騰法.btnイベントメモ修正_Action</definedName>
    <definedName name="mdl_sht反騰法.btnイベントメモ修正_Action">[24]!mdl_sht反騰法.btnイベントメモ修正_Action</definedName>
    <definedName name="mdl_sht反騰法.btn実績デｰタ修正_Action" localSheetId="1">[24]!mdl_sht反騰法.btn実績デｰタ修正_Action</definedName>
    <definedName name="mdl_sht反騰法.btn実績デｰタ修正_Action" localSheetId="2">[24]!mdl_sht反騰法.btn実績デｰタ修正_Action</definedName>
    <definedName name="mdl_sht反騰法.btn実績デｰタ修正_Action" localSheetId="3">[24]!mdl_sht反騰法.btn実績デｰタ修正_Action</definedName>
    <definedName name="mdl_sht反騰法.btn実績デｰタ修正_Action">[24]!mdl_sht反騰法.btn実績デｰタ修正_Action</definedName>
    <definedName name="mdl_sht反騰法.btn対象年月変更_Action" localSheetId="1">[24]!mdl_sht反騰法.btn対象年月変更_Action</definedName>
    <definedName name="mdl_sht反騰法.btn対象年月変更_Action" localSheetId="2">[24]!mdl_sht反騰法.btn対象年月変更_Action</definedName>
    <definedName name="mdl_sht反騰法.btn対象年月変更_Action" localSheetId="3">[24]!mdl_sht反騰法.btn対象年月変更_Action</definedName>
    <definedName name="mdl_sht反騰法.btn対象年月変更_Action">[24]!mdl_sht反騰法.btn対象年月変更_Action</definedName>
    <definedName name="mdl_sht反騰法.btn対象車種変更_Action" localSheetId="1">[24]!mdl_sht反騰法.btn対象車種変更_Action</definedName>
    <definedName name="mdl_sht反騰法.btn対象車種変更_Action" localSheetId="2">[24]!mdl_sht反騰法.btn対象車種変更_Action</definedName>
    <definedName name="mdl_sht反騰法.btn対象車種変更_Action" localSheetId="3">[24]!mdl_sht反騰法.btn対象車種変更_Action</definedName>
    <definedName name="mdl_sht反騰法.btn対象車種変更_Action">[24]!mdl_sht反騰法.btn対象車種変更_Action</definedName>
    <definedName name="mdl_sht反騰法.btn月別構成_Action" localSheetId="1">[24]!mdl_sht反騰法.btn月別構成_Action</definedName>
    <definedName name="mdl_sht反騰法.btn月別構成_Action" localSheetId="2">[24]!mdl_sht反騰法.btn月別構成_Action</definedName>
    <definedName name="mdl_sht反騰法.btn月別構成_Action" localSheetId="3">[24]!mdl_sht反騰法.btn月別構成_Action</definedName>
    <definedName name="mdl_sht反騰法.btn月別構成_Action">[24]!mdl_sht反騰法.btn月別構成_Action</definedName>
    <definedName name="mdl_sht反騰法.drp任意反騰_Action" localSheetId="1">'[24]表紙(代表者)'!mdl_sht反騰法.drp任意反騰_Action</definedName>
    <definedName name="mdl_sht反騰法.drp任意反騰_Action" localSheetId="2">'[24]表紙(代表者)'!mdl_sht反騰法.drp任意反騰_Action</definedName>
    <definedName name="mdl_sht反騰法.drp任意反騰_Action" localSheetId="3">'[24]表紙(代表者)'!mdl_sht反騰法.drp任意反騰_Action</definedName>
    <definedName name="mdl_sht反騰法.drp任意反騰_Action">'[24]表紙(代表者)'!mdl_sht反騰法.drp任意反騰_Action</definedName>
    <definedName name="mdl_sht反騰法.drp単月反騰_Action" localSheetId="1">[24]!mdl_sht反騰法.drp単月反騰_Action</definedName>
    <definedName name="mdl_sht反騰法.drp単月反騰_Action" localSheetId="2">[24]!mdl_sht反騰法.drp単月反騰_Action</definedName>
    <definedName name="mdl_sht反騰法.drp単月反騰_Action" localSheetId="3">[24]!mdl_sht反騰法.drp単月反騰_Action</definedName>
    <definedName name="mdl_sht反騰法.drp単月反騰_Action">[24]!mdl_sht反騰法.drp単月反騰_Action</definedName>
    <definedName name="MINORITY">#REF!</definedName>
    <definedName name="MINORITY_1">#REF!</definedName>
    <definedName name="ＭＭＯ一覧表データ">#REF!</definedName>
    <definedName name="N2月以降内示差OR年計差切替え" localSheetId="1">BIAYA!N2月以降内示差OR年計差切替え</definedName>
    <definedName name="N2月以降内示差OR年計差切替え" localSheetId="2">'BIAYA (2)'!N2月以降内示差OR年計差切替え</definedName>
    <definedName name="N2月以降内示差OR年計差切替え" localSheetId="3">'BIAYA (PP)'!N2月以降内示差OR年計差切替え</definedName>
    <definedName name="N2月以降内示差OR年計差切替え">[0]!N2月以降内示差OR年計差切替え</definedName>
    <definedName name="nnnn" localSheetId="1">BIAYA!nnnn</definedName>
    <definedName name="nnnn" localSheetId="2">'BIAYA (2)'!nnnn</definedName>
    <definedName name="nnnn" localSheetId="3">'BIAYA (PP)'!nnnn</definedName>
    <definedName name="nnnn">[0]!nnnn</definedName>
    <definedName name="okkk" hidden="1">'[10]S-PLAN'!$I$1306:$P$1306</definedName>
    <definedName name="OQLIB">"V35ENV2"</definedName>
    <definedName name="OQNAM">"SMBATCHQ1"</definedName>
    <definedName name="PCDAT">"10/8/2004"</definedName>
    <definedName name="PCDT2">"20041008"</definedName>
    <definedName name="PCTIM">"8:27:13 AM"</definedName>
    <definedName name="PEMI">#REF!</definedName>
    <definedName name="PEMI_1">#REF!</definedName>
    <definedName name="_xlnm.Print_Area" localSheetId="1">BIAYA!$A$1:$O$38</definedName>
    <definedName name="_xlnm.Print_Area" localSheetId="2">'BIAYA (2)'!$B$4:$P$39</definedName>
    <definedName name="_xlnm.Print_Area" localSheetId="3">'BIAYA (PP)'!$B$4:$P$13</definedName>
    <definedName name="Print_Area_MI">#REF!</definedName>
    <definedName name="Print_Area_MI_1">#REF!</definedName>
    <definedName name="_xlnm.Print_Titles">[25]車両仕様!$A:$C,[25]車両仕様!$3:$4</definedName>
    <definedName name="Print_Titles_MI_1">#REF!</definedName>
    <definedName name="Q_naiji_tuika">#REF!</definedName>
    <definedName name="Q_両端">#REF!</definedName>
    <definedName name="qaw" hidden="1">[13]MYZK02!$I$1304:$P$1304</definedName>
    <definedName name="QQ">#REF!</definedName>
    <definedName name="ｑｑっくぁあ" localSheetId="1" hidden="1">{"'TOYOTA'!$A$1:$R$26"}</definedName>
    <definedName name="ｑｑっくぁあ" localSheetId="2" hidden="1">{"'TOYOTA'!$A$1:$R$26"}</definedName>
    <definedName name="ｑｑっくぁあ" localSheetId="3" hidden="1">{"'TOYOTA'!$A$1:$R$26"}</definedName>
    <definedName name="ｑｑっくぁあ" hidden="1">{"'TOYOTA'!$A$1:$R$26"}</definedName>
    <definedName name="ｑｗ" localSheetId="1" hidden="1">{"'TOYOTA'!$A$1:$R$26"}</definedName>
    <definedName name="ｑｗ" localSheetId="2" hidden="1">{"'TOYOTA'!$A$1:$R$26"}</definedName>
    <definedName name="ｑｗ" localSheetId="3" hidden="1">{"'TOYOTA'!$A$1:$R$26"}</definedName>
    <definedName name="ｑｗ" hidden="1">{"'TOYOTA'!$A$1:$R$26"}</definedName>
    <definedName name="re" hidden="1">#REF!</definedName>
    <definedName name="red" hidden="1">[13]MYZK02!$K$1293:$P$1293</definedName>
    <definedName name="redw" hidden="1">[13]MYZK02!$I$1293:$P$1293</definedName>
    <definedName name="refresh" hidden="1">#REF!</definedName>
    <definedName name="reg" hidden="1">'[10]S-PLAN'!$I$1293:$P$1293</definedName>
    <definedName name="ret" hidden="1">#REF!</definedName>
    <definedName name="rew" hidden="1">#REF!</definedName>
    <definedName name="rewq" hidden="1">'[10]S-PLAN'!$I$1293:$P$1293</definedName>
    <definedName name="rt" hidden="1">#REF!</definedName>
    <definedName name="S">#REF!</definedName>
    <definedName name="sa" hidden="1">#REF!</definedName>
    <definedName name="saa" hidden="1">[13]MYZK02!$I$582:$P$582</definedName>
    <definedName name="sad" hidden="1">#REF!</definedName>
    <definedName name="sade" hidden="1">'[10]S-PLAN'!$I$1306:$P$1306</definedName>
    <definedName name="sae" hidden="1">#REF!</definedName>
    <definedName name="SAI">#REF!</definedName>
    <definedName name="SAI_1">#REF!</definedName>
    <definedName name="SAMI">#REF!</definedName>
    <definedName name="SAMI_1">#REF!</definedName>
    <definedName name="SAPBEXdnldView" hidden="1">"AR2UQ0SQG0X5A7D6EPJI3IAMD"</definedName>
    <definedName name="SAPBEXsysID" hidden="1">"JAB"</definedName>
    <definedName name="saw" hidden="1">#REF!</definedName>
    <definedName name="SD">#REF!</definedName>
    <definedName name="sdw" hidden="1">#REF!</definedName>
    <definedName name="sea" hidden="1">[13]MYZK02!$I$859:$P$859</definedName>
    <definedName name="sead" hidden="1">#REF!</definedName>
    <definedName name="sear" hidden="1">#REF!</definedName>
    <definedName name="seaw" hidden="1">'[10]S-PLAN'!$I$582:$P$582</definedName>
    <definedName name="sed" hidden="1">[13]MYZK02!$I$812:$P$812</definedName>
    <definedName name="sencount" hidden="1">2</definedName>
    <definedName name="seq" hidden="1">#REF!</definedName>
    <definedName name="SHUTTLE" hidden="1">#REF!</definedName>
    <definedName name="SOTO">#REF!</definedName>
    <definedName name="SPDAT">"10/7/2004"</definedName>
    <definedName name="SPDT2">"20041007"</definedName>
    <definedName name="SPNAM">"VGAP19P"</definedName>
    <definedName name="SPNMB">"61"</definedName>
    <definedName name="SPTIM">"235621"</definedName>
    <definedName name="ｓｒ５００">#REF!</definedName>
    <definedName name="STATE">"*READY"</definedName>
    <definedName name="sw" hidden="1">#REF!</definedName>
    <definedName name="SYA">#REF!</definedName>
    <definedName name="SYA_1">#REF!</definedName>
    <definedName name="t" hidden="1">#REF!</definedName>
    <definedName name="T_DB_加工費">#REF!</definedName>
    <definedName name="T_回路DB_片端">#REF!</definedName>
    <definedName name="T_片端DB_改">#REF!</definedName>
    <definedName name="TAP">#REF!</definedName>
    <definedName name="TAP_1">#REF!</definedName>
    <definedName name="taw" hidden="1">#REF!</definedName>
    <definedName name="tblDispPlanProcess">#REF!</definedName>
    <definedName name="tera" hidden="1">#REF!</definedName>
    <definedName name="TextRefCopyRangeCount" hidden="1">2</definedName>
    <definedName name="TJY">#REF!</definedName>
    <definedName name="TJY_1">#REF!</definedName>
    <definedName name="TOTAL">#REF!</definedName>
    <definedName name="TOTPG">"57"</definedName>
    <definedName name="tr" hidden="1">#REF!</definedName>
    <definedName name="trae" hidden="1">#REF!</definedName>
    <definedName name="tre" hidden="1">#REF!</definedName>
    <definedName name="TYA">#REF!</definedName>
    <definedName name="TYA_1">#REF!</definedName>
    <definedName name="TYC">#REF!</definedName>
    <definedName name="TYC_1">#REF!</definedName>
    <definedName name="USDAT">"VGAP19"</definedName>
    <definedName name="USNAM">"SMBATCH"</definedName>
    <definedName name="vf" hidden="1">#REF!</definedName>
    <definedName name="volvo採算" localSheetId="1" hidden="1">{#N/A,#N/A,FALSE,"第１紙";#N/A,#N/A,FALSE,"第２紙以降"}</definedName>
    <definedName name="volvo採算" localSheetId="2" hidden="1">{#N/A,#N/A,FALSE,"第１紙";#N/A,#N/A,FALSE,"第２紙以降"}</definedName>
    <definedName name="volvo採算" localSheetId="3" hidden="1">{#N/A,#N/A,FALSE,"第１紙";#N/A,#N/A,FALSE,"第２紙以降"}</definedName>
    <definedName name="volvo採算" hidden="1">{#N/A,#N/A,FALSE,"第１紙";#N/A,#N/A,FALSE,"第２紙以降"}</definedName>
    <definedName name="waa" hidden="1">[13]MYZK02!$I$828:$P$828</definedName>
    <definedName name="wad" hidden="1">#REF!</definedName>
    <definedName name="waw" hidden="1">#REF!</definedName>
    <definedName name="wd" hidden="1">#REF!</definedName>
    <definedName name="wde" hidden="1">[13]MYZK02!$I$879:$P$879</definedName>
    <definedName name="wdw" hidden="1">[13]MYZK02!$I$1293:$P$1293</definedName>
    <definedName name="we" hidden="1">[13]MYZK02!$I$809:$P$809</definedName>
    <definedName name="WIP" localSheetId="1" hidden="1">{"'受発行文書'!$A$4:$D$28"}</definedName>
    <definedName name="WIP" localSheetId="2" hidden="1">{"'受発行文書'!$A$4:$D$28"}</definedName>
    <definedName name="WIP" localSheetId="3" hidden="1">{"'受発行文書'!$A$4:$D$28"}</definedName>
    <definedName name="WIP" hidden="1">{"'受発行文書'!$A$4:$D$28"}</definedName>
    <definedName name="wrn.３ヶ月生産計画連絡書.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wrn.３ヶ月生産計画連絡書." localSheetId="2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wrn.３ヶ月生産計画連絡書." localSheetId="3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wrn.３ヶ月生産計画連絡書.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wrn.DOM." localSheetId="1" hidden="1">{"DOM",#N/A,FALSE,"A8CONTENT"}</definedName>
    <definedName name="wrn.DOM." localSheetId="2" hidden="1">{"DOM",#N/A,FALSE,"A8CONTENT"}</definedName>
    <definedName name="wrn.DOM." localSheetId="3" hidden="1">{"DOM",#N/A,FALSE,"A8CONTENT"}</definedName>
    <definedName name="wrn.DOM." hidden="1">{"DOM",#N/A,FALSE,"A8CONTENT"}</definedName>
    <definedName name="wrn.EXPORT." localSheetId="1" hidden="1">{"EXPORT",#N/A,FALSE,"A8CONTENT"}</definedName>
    <definedName name="wrn.EXPORT." localSheetId="2" hidden="1">{"EXPORT",#N/A,FALSE,"A8CONTENT"}</definedName>
    <definedName name="wrn.EXPORT." localSheetId="3" hidden="1">{"EXPORT",#N/A,FALSE,"A8CONTENT"}</definedName>
    <definedName name="wrn.EXPORT." hidden="1">{"EXPORT",#N/A,FALSE,"A8CONTENT"}</definedName>
    <definedName name="wrn.ＧＬ用." localSheetId="1" hidden="1">{"GL用",#N/A,FALSE,"97年度上期計画 (TAL見込み)"}</definedName>
    <definedName name="wrn.ＧＬ用." localSheetId="2" hidden="1">{"GL用",#N/A,FALSE,"97年度上期計画 (TAL見込み)"}</definedName>
    <definedName name="wrn.ＧＬ用." localSheetId="3" hidden="1">{"GL用",#N/A,FALSE,"97年度上期計画 (TAL見込み)"}</definedName>
    <definedName name="wrn.ＧＬ用." hidden="1">{"GL用",#N/A,FALSE,"97年度上期計画 (TAL見込み)"}</definedName>
    <definedName name="wrn.企画台数." localSheetId="1" hidden="1">{"企画台数送付状",#N/A,TRUE,"送付状";"企画台数全世界",#N/A,TRUE,"企画台数(全世界)";"企画台数国内",#N/A,TRUE,"企画台数(国内)";"企画台数海外",#N/A,TRUE,"企画台数(海外)";"企画台数米州",#N/A,TRUE,"企画台数(米州)";"企画台数USA",#N/A,TRUE,"企画台数(USA)";"企画台数USA以外",#N/A,TRUE,"企画台数(USA以外)";"企画台数欧州",#N/A,TRUE,"企画台数(欧州)";"企画台数豪亜",#N/A,TRUE,"企画台数(豪亜)"}</definedName>
    <definedName name="wrn.企画台数." localSheetId="2" hidden="1">{"企画台数送付状",#N/A,TRUE,"送付状";"企画台数全世界",#N/A,TRUE,"企画台数(全世界)";"企画台数国内",#N/A,TRUE,"企画台数(国内)";"企画台数海外",#N/A,TRUE,"企画台数(海外)";"企画台数米州",#N/A,TRUE,"企画台数(米州)";"企画台数USA",#N/A,TRUE,"企画台数(USA)";"企画台数USA以外",#N/A,TRUE,"企画台数(USA以外)";"企画台数欧州",#N/A,TRUE,"企画台数(欧州)";"企画台数豪亜",#N/A,TRUE,"企画台数(豪亜)"}</definedName>
    <definedName name="wrn.企画台数." localSheetId="3" hidden="1">{"企画台数送付状",#N/A,TRUE,"送付状";"企画台数全世界",#N/A,TRUE,"企画台数(全世界)";"企画台数国内",#N/A,TRUE,"企画台数(国内)";"企画台数海外",#N/A,TRUE,"企画台数(海外)";"企画台数米州",#N/A,TRUE,"企画台数(米州)";"企画台数USA",#N/A,TRUE,"企画台数(USA)";"企画台数USA以外",#N/A,TRUE,"企画台数(USA以外)";"企画台数欧州",#N/A,TRUE,"企画台数(欧州)";"企画台数豪亜",#N/A,TRUE,"企画台数(豪亜)"}</definedName>
    <definedName name="wrn.企画台数." hidden="1">{"企画台数送付状",#N/A,TRUE,"送付状";"企画台数全世界",#N/A,TRUE,"企画台数(全世界)";"企画台数国内",#N/A,TRUE,"企画台数(国内)";"企画台数海外",#N/A,TRUE,"企画台数(海外)";"企画台数米州",#N/A,TRUE,"企画台数(米州)";"企画台数USA",#N/A,TRUE,"企画台数(USA)";"企画台数USA以外",#N/A,TRUE,"企画台数(USA以外)";"企画台数欧州",#N/A,TRUE,"企画台数(欧州)";"企画台数豪亜",#N/A,TRUE,"企画台数(豪亜)"}</definedName>
    <definedName name="wrn.国別." localSheetId="1" hidden="1">{"国別",#N/A,FALSE,"96下期"}</definedName>
    <definedName name="wrn.国別." localSheetId="2" hidden="1">{"国別",#N/A,FALSE,"96下期"}</definedName>
    <definedName name="wrn.国別." localSheetId="3" hidden="1">{"国別",#N/A,FALSE,"96下期"}</definedName>
    <definedName name="wrn.国別." hidden="1">{"国別",#N/A,FALSE,"96下期"}</definedName>
    <definedName name="wrn.当月生産計画連絡書." localSheetId="1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wrn.当月生産計画連絡書." localSheetId="2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wrn.当月生産計画連絡書." localSheetId="3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wrn.当月生産計画連絡書.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wrn.機種." localSheetId="1" hidden="1">{#N/A,#N/A,FALSE,"96下期"}</definedName>
    <definedName name="wrn.機種." localSheetId="2" hidden="1">{#N/A,#N/A,FALSE,"96下期"}</definedName>
    <definedName name="wrn.機種." localSheetId="3" hidden="1">{#N/A,#N/A,FALSE,"96下期"}</definedName>
    <definedName name="wrn.機種." hidden="1">{#N/A,#N/A,FALSE,"96下期"}</definedName>
    <definedName name="wrn.生産計画サマリー." localSheetId="1" hidden="1">{"生産計画サマリー",#N/A,FALSE,"ｻﾏﾘｰ"}</definedName>
    <definedName name="wrn.生産計画サマリー." localSheetId="2" hidden="1">{"生産計画サマリー",#N/A,FALSE,"ｻﾏﾘｰ"}</definedName>
    <definedName name="wrn.生産計画サマリー." localSheetId="3" hidden="1">{"生産計画サマリー",#N/A,FALSE,"ｻﾏﾘｰ"}</definedName>
    <definedName name="wrn.生産計画サマリー." hidden="1">{"生産計画サマリー",#N/A,FALSE,"ｻﾏﾘｰ"}</definedName>
    <definedName name="wrn.部品表." localSheetId="1" hidden="1">{#N/A,#N/A,FALSE,"第１紙";#N/A,#N/A,FALSE,"第２紙以降"}</definedName>
    <definedName name="wrn.部品表." localSheetId="2" hidden="1">{#N/A,#N/A,FALSE,"第１紙";#N/A,#N/A,FALSE,"第２紙以降"}</definedName>
    <definedName name="wrn.部品表." localSheetId="3" hidden="1">{#N/A,#N/A,FALSE,"第１紙";#N/A,#N/A,FALSE,"第２紙以降"}</definedName>
    <definedName name="wrn.部品表." hidden="1">{#N/A,#N/A,FALSE,"第１紙";#N/A,#N/A,FALSE,"第２紙以降"}</definedName>
    <definedName name="ws" hidden="1">#REF!</definedName>
    <definedName name="www" hidden="1">#REF!</definedName>
    <definedName name="ｘ" hidden="1">#REF!</definedName>
    <definedName name="xf" hidden="1">#REF!</definedName>
    <definedName name="YARMEX">#REF!</definedName>
    <definedName name="YARMEX_1">#REF!</definedName>
    <definedName name="YAS">#REF!</definedName>
    <definedName name="YAS_1">#REF!</definedName>
    <definedName name="YBL">#REF!</definedName>
    <definedName name="YBL_1">#REF!</definedName>
    <definedName name="YCSA">#REF!</definedName>
    <definedName name="YCSA_1">#REF!</definedName>
    <definedName name="YES">#REF!</definedName>
    <definedName name="YES_1">#REF!</definedName>
    <definedName name="YEV">#REF!</definedName>
    <definedName name="YEV_1">#REF!</definedName>
    <definedName name="YHV">#REF!</definedName>
    <definedName name="YHV_1">#REF!</definedName>
    <definedName name="YMO">#REF!</definedName>
    <definedName name="YMO_1">#REF!</definedName>
    <definedName name="YOT">#REF!</definedName>
    <definedName name="YOT_1">#REF!</definedName>
    <definedName name="YRL">#REF!</definedName>
    <definedName name="YRL_1">#REF!</definedName>
    <definedName name="YSK">#REF!</definedName>
    <definedName name="YSK_1">#REF!</definedName>
    <definedName name="YSP">#REF!</definedName>
    <definedName name="YSP_1">#REF!</definedName>
    <definedName name="yt" hidden="1">#REF!</definedName>
    <definedName name="YTM">#REF!</definedName>
    <definedName name="YTM_1">#REF!</definedName>
    <definedName name="YUL">#REF!</definedName>
    <definedName name="YUL_1">#REF!</definedName>
    <definedName name="YYA">#REF!</definedName>
    <definedName name="YYA_1">#REF!</definedName>
    <definedName name="Z_8247C79C_515D_4AD2_AA93_EF971B55936A_.wvu.Cols" hidden="1">#REF!</definedName>
    <definedName name="ｚｚ" localSheetId="1" hidden="1">{"GL用",#N/A,FALSE,"97年度上期計画 (TAL見込み)"}</definedName>
    <definedName name="ｚｚ" localSheetId="2" hidden="1">{"GL用",#N/A,FALSE,"97年度上期計画 (TAL見込み)"}</definedName>
    <definedName name="ｚｚ" localSheetId="3" hidden="1">{"GL用",#N/A,FALSE,"97年度上期計画 (TAL見込み)"}</definedName>
    <definedName name="ｚｚ" hidden="1">{"GL用",#N/A,FALSE,"97年度上期計画 (TAL見込み)"}</definedName>
    <definedName name="ｚｚｚ" hidden="1">[26]集計ﾘｽﾄ!#REF!</definedName>
    <definedName name="ｚｚｚ２" hidden="1">[26]集計ﾘｽﾄ!#REF!</definedName>
    <definedName name="あ" localSheetId="1">[24]!mdl_sht反騰法.btn月別構成_Action</definedName>
    <definedName name="あ" localSheetId="2">[24]!mdl_sht反騰法.btn月別構成_Action</definedName>
    <definedName name="あ" localSheetId="3">[24]!mdl_sht反騰法.btn月別構成_Action</definedName>
    <definedName name="あ">[24]!mdl_sht反騰法.btn月別構成_Action</definedName>
    <definedName name="あｗ" localSheetId="1" hidden="1">{"'TOYOTA'!$A$1:$R$26"}</definedName>
    <definedName name="あｗ" localSheetId="2" hidden="1">{"'TOYOTA'!$A$1:$R$26"}</definedName>
    <definedName name="あｗ" localSheetId="3" hidden="1">{"'TOYOTA'!$A$1:$R$26"}</definedName>
    <definedName name="あｗ" hidden="1">{"'TOYOTA'!$A$1:$R$26"}</definedName>
    <definedName name="ああ" localSheetId="1">[24]!mdl_sht反騰法.btn対象車種変更_Action</definedName>
    <definedName name="ああ" localSheetId="2">[24]!mdl_sht反騰法.btn対象車種変更_Action</definedName>
    <definedName name="ああ" localSheetId="3">[24]!mdl_sht反騰法.btn対象車種変更_Action</definedName>
    <definedName name="ああ">[24]!mdl_sht反騰法.btn対象車種変更_Action</definedName>
    <definedName name="ああああ" localSheetId="1">[24]!mdl_sht反騰法.btn実績デｰタ修正_Action</definedName>
    <definedName name="ああああ" localSheetId="2">[24]!mdl_sht反騰法.btn実績デｰタ修正_Action</definedName>
    <definedName name="ああああ" localSheetId="3">[24]!mdl_sht反騰法.btn実績デｰタ修正_Action</definedName>
    <definedName name="ああああ">[24]!mdl_sht反騰法.btn実績デｰタ修正_Action</definedName>
    <definedName name="あああああｑ" localSheetId="1" hidden="1">{"'TOYOTA'!$A$1:$R$26"}</definedName>
    <definedName name="あああああｑ" localSheetId="2" hidden="1">{"'TOYOTA'!$A$1:$R$26"}</definedName>
    <definedName name="あああああｑ" localSheetId="3" hidden="1">{"'TOYOTA'!$A$1:$R$26"}</definedName>
    <definedName name="あああああｑ" hidden="1">{"'TOYOTA'!$A$1:$R$26"}</definedName>
    <definedName name="ああああああｑ" localSheetId="1" hidden="1">{"'TOYOTA'!$A$1:$R$26"}</definedName>
    <definedName name="ああああああｑ" localSheetId="2" hidden="1">{"'TOYOTA'!$A$1:$R$26"}</definedName>
    <definedName name="ああああああｑ" localSheetId="3" hidden="1">{"'TOYOTA'!$A$1:$R$26"}</definedName>
    <definedName name="ああああああｑ" hidden="1">{"'TOYOTA'!$A$1:$R$26"}</definedName>
    <definedName name="あああああああああああ" localSheetId="1" hidden="1">{"'TOYOTA'!$A$1:$R$26"}</definedName>
    <definedName name="あああああああああああ" localSheetId="2" hidden="1">{"'TOYOTA'!$A$1:$R$26"}</definedName>
    <definedName name="あああああああああああ" localSheetId="3" hidden="1">{"'TOYOTA'!$A$1:$R$26"}</definedName>
    <definedName name="あああああああああああ" hidden="1">{"'TOYOTA'!$A$1:$R$26"}</definedName>
    <definedName name="あああああくぁあっくぁ" localSheetId="1" hidden="1">{"'TOYOTA'!$A$1:$R$26"}</definedName>
    <definedName name="あああああくぁあっくぁ" localSheetId="2" hidden="1">{"'TOYOTA'!$A$1:$R$26"}</definedName>
    <definedName name="あああああくぁあっくぁ" localSheetId="3" hidden="1">{"'TOYOTA'!$A$1:$R$26"}</definedName>
    <definedName name="あああああくぁあっくぁ" hidden="1">{"'TOYOTA'!$A$1:$R$26"}</definedName>
    <definedName name="うああ" localSheetId="1" hidden="1">{"'TOYOTA'!$A$1:$R$26"}</definedName>
    <definedName name="うああ" localSheetId="2" hidden="1">{"'TOYOTA'!$A$1:$R$26"}</definedName>
    <definedName name="うああ" localSheetId="3" hidden="1">{"'TOYOTA'!$A$1:$R$26"}</definedName>
    <definedName name="うああ" hidden="1">{"'TOYOTA'!$A$1:$R$26"}</definedName>
    <definedName name="え" hidden="1">#REF!</definedName>
    <definedName name="オーダ1取込" localSheetId="1">BIAYA!オーダ1取込</definedName>
    <definedName name="オーダ1取込" localSheetId="2">'BIAYA (2)'!オーダ1取込</definedName>
    <definedName name="オーダ1取込" localSheetId="3">'BIAYA (PP)'!オーダ1取込</definedName>
    <definedName name="オーダ1取込">[0]!オーダ1取込</definedName>
    <definedName name="がえあ" localSheetId="1" hidden="1">{"'TOYOTA'!$A$1:$R$26"}</definedName>
    <definedName name="がえあ" localSheetId="2" hidden="1">{"'TOYOTA'!$A$1:$R$26"}</definedName>
    <definedName name="がえあ" localSheetId="3" hidden="1">{"'TOYOTA'!$A$1:$R$26"}</definedName>
    <definedName name="がえあ" hidden="1">{"'TOYOTA'!$A$1:$R$26"}</definedName>
    <definedName name="がげあｇ" localSheetId="1" hidden="1">{"'TOYOTA'!$A$1:$R$26"}</definedName>
    <definedName name="がげあｇ" localSheetId="2" hidden="1">{"'TOYOTA'!$A$1:$R$26"}</definedName>
    <definedName name="がげあｇ" localSheetId="3" hidden="1">{"'TOYOTA'!$A$1:$R$26"}</definedName>
    <definedName name="がげあｇ" hidden="1">{"'TOYOTA'!$A$1:$R$26"}</definedName>
    <definedName name="ｶﾞｿﾘﾝ" localSheetId="1" hidden="1">{"GL用",#N/A,FALSE,"97年度上期計画 (TAL見込み)"}</definedName>
    <definedName name="ｶﾞｿﾘﾝ" localSheetId="2" hidden="1">{"GL用",#N/A,FALSE,"97年度上期計画 (TAL見込み)"}</definedName>
    <definedName name="ｶﾞｿﾘﾝ" localSheetId="3" hidden="1">{"GL用",#N/A,FALSE,"97年度上期計画 (TAL見込み)"}</definedName>
    <definedName name="ｶﾞｿﾘﾝ" hidden="1">{"GL用",#N/A,FALSE,"97年度上期計画 (TAL見込み)"}</definedName>
    <definedName name="かり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かり" localSheetId="2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かり" localSheetId="3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かり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クエリ1">#REF!</definedName>
    <definedName name="クエリ2">#REF!</definedName>
    <definedName name="コード">#REF!</definedName>
    <definedName name="コード２">#REF!</definedName>
    <definedName name="コメントなし">#REF!</definedName>
    <definedName name="だ" hidden="1">#REF!</definedName>
    <definedName name="っっｒ" localSheetId="1" hidden="1">{#N/A,#N/A,FALSE,"第１紙";#N/A,#N/A,FALSE,"第２紙以降"}</definedName>
    <definedName name="っっｒ" localSheetId="2" hidden="1">{#N/A,#N/A,FALSE,"第１紙";#N/A,#N/A,FALSE,"第２紙以降"}</definedName>
    <definedName name="っっｒ" localSheetId="3" hidden="1">{#N/A,#N/A,FALSE,"第１紙";#N/A,#N/A,FALSE,"第２紙以降"}</definedName>
    <definedName name="っっｒ" hidden="1">{#N/A,#N/A,FALSE,"第１紙";#N/A,#N/A,FALSE,"第２紙以降"}</definedName>
    <definedName name="で" localSheetId="1" hidden="1">{"'TOYOTA'!$A$1:$R$26"}</definedName>
    <definedName name="で" localSheetId="2" hidden="1">{"'TOYOTA'!$A$1:$R$26"}</definedName>
    <definedName name="で" localSheetId="3" hidden="1">{"'TOYOTA'!$A$1:$R$26"}</definedName>
    <definedName name="で" hidden="1">{"'TOYOTA'!$A$1:$R$26"}</definedName>
    <definedName name="ディーゼル" localSheetId="1" hidden="1">{"GL用",#N/A,FALSE,"97年度上期計画 (TAL見込み)"}</definedName>
    <definedName name="ディーゼル" localSheetId="2" hidden="1">{"GL用",#N/A,FALSE,"97年度上期計画 (TAL見込み)"}</definedName>
    <definedName name="ディーゼル" localSheetId="3" hidden="1">{"GL用",#N/A,FALSE,"97年度上期計画 (TAL見込み)"}</definedName>
    <definedName name="ディーゼル" hidden="1">{"GL用",#N/A,FALSE,"97年度上期計画 (TAL見込み)"}</definedName>
    <definedName name="ﾊﾟｰﾂ正方形グラフ" localSheetId="1" hidden="1">{#N/A,#N/A,FALSE,"96下期"}</definedName>
    <definedName name="ﾊﾟｰﾂ正方形グラフ" localSheetId="2" hidden="1">{#N/A,#N/A,FALSE,"96下期"}</definedName>
    <definedName name="ﾊﾟｰﾂ正方形グラフ" localSheetId="3" hidden="1">{#N/A,#N/A,FALSE,"96下期"}</definedName>
    <definedName name="ﾊﾟｰﾂ正方形グラフ" hidden="1">{#N/A,#N/A,FALSE,"96下期"}</definedName>
    <definedName name="ぴ" localSheetId="1" hidden="1">{"'TOYOTA'!$A$1:$R$26"}</definedName>
    <definedName name="ぴ" localSheetId="2" hidden="1">{"'TOYOTA'!$A$1:$R$26"}</definedName>
    <definedName name="ぴ" localSheetId="3" hidden="1">{"'TOYOTA'!$A$1:$R$26"}</definedName>
    <definedName name="ぴ" hidden="1">{"'TOYOTA'!$A$1:$R$26"}</definedName>
    <definedName name="ﾌｨﾙ" hidden="1">#REF!</definedName>
    <definedName name="ﾏｸﾛ.子供→ライン別へ直数" localSheetId="1">BIAYA!ﾏｸﾛ.子供→ライン別へ直数</definedName>
    <definedName name="ﾏｸﾛ.子供→ライン別へ直数" localSheetId="2">'BIAYA (2)'!ﾏｸﾛ.子供→ライン別へ直数</definedName>
    <definedName name="ﾏｸﾛ.子供→ライン別へ直数" localSheetId="3">'BIAYA (PP)'!ﾏｸﾛ.子供→ライン別へ直数</definedName>
    <definedName name="ﾏｸﾛ.子供→ライン別へ直数">[0]!ﾏｸﾛ.子供→ライン別へ直数</definedName>
    <definedName name="ﾏｸﾛ.子供→ライン別へ配分案稼働" localSheetId="1">BIAYA!ﾏｸﾛ.子供→ライン別へ配分案稼働</definedName>
    <definedName name="ﾏｸﾛ.子供→ライン別へ配分案稼働" localSheetId="2">'BIAYA (2)'!ﾏｸﾛ.子供→ライン別へ配分案稼働</definedName>
    <definedName name="ﾏｸﾛ.子供→ライン別へ配分案稼働" localSheetId="3">'BIAYA (PP)'!ﾏｸﾛ.子供→ライン別へ配分案稼働</definedName>
    <definedName name="ﾏｸﾛ.子供→ライン別へ配分案稼働">[0]!ﾏｸﾛ.子供→ライン別へ配分案稼働</definedName>
    <definedName name="ライン別をオーダー差を閉じる" localSheetId="1">BIAYA!ライン別をオーダー差を閉じる</definedName>
    <definedName name="ライン別をオーダー差を閉じる" localSheetId="2">'BIAYA (2)'!ライン別をオーダー差を閉じる</definedName>
    <definedName name="ライン別をオーダー差を閉じる" localSheetId="3">'BIAYA (PP)'!ライン別をオーダー差を閉じる</definedName>
    <definedName name="ライン別をオーダー差を閉じる">[0]!ライン別をオーダー差を閉じる</definedName>
    <definedName name="わ" localSheetId="1" hidden="1">{"'TOYOTA'!$A$1:$R$26"}</definedName>
    <definedName name="わ" localSheetId="2" hidden="1">{"'TOYOTA'!$A$1:$R$26"}</definedName>
    <definedName name="わ" localSheetId="3" hidden="1">{"'TOYOTA'!$A$1:$R$26"}</definedName>
    <definedName name="わ" hidden="1">{"'TOYOTA'!$A$1:$R$26"}</definedName>
    <definedName name="ん" localSheetId="1" hidden="1">{"国別",#N/A,FALSE,"96下期"}</definedName>
    <definedName name="ん" localSheetId="2" hidden="1">{"国別",#N/A,FALSE,"96下期"}</definedName>
    <definedName name="ん" localSheetId="3" hidden="1">{"国別",#N/A,FALSE,"96下期"}</definedName>
    <definedName name="ん" hidden="1">{"国別",#N/A,FALSE,"96下期"}</definedName>
    <definedName name="一覧" localSheetId="1" hidden="1">{#N/A,#N/A,FALSE,"第１紙";#N/A,#N/A,FALSE,"第２紙以降"}</definedName>
    <definedName name="一覧" localSheetId="2" hidden="1">{#N/A,#N/A,FALSE,"第１紙";#N/A,#N/A,FALSE,"第２紙以降"}</definedName>
    <definedName name="一覧" localSheetId="3" hidden="1">{#N/A,#N/A,FALSE,"第１紙";#N/A,#N/A,FALSE,"第２紙以降"}</definedName>
    <definedName name="一覧" hidden="1">{#N/A,#N/A,FALSE,"第１紙";#N/A,#N/A,FALSE,"第２紙以降"}</definedName>
    <definedName name="仮" localSheetId="1" hidden="1">{"生産計画サマリー",#N/A,FALSE,"ｻﾏﾘｰ"}</definedName>
    <definedName name="仮" localSheetId="2" hidden="1">{"生産計画サマリー",#N/A,FALSE,"ｻﾏﾘｰ"}</definedName>
    <definedName name="仮" localSheetId="3" hidden="1">{"生産計画サマリー",#N/A,FALSE,"ｻﾏﾘｰ"}</definedName>
    <definedName name="仮" hidden="1">{"生産計画サマリー",#N/A,FALSE,"ｻﾏﾘｰ"}</definedName>
    <definedName name="仮１" localSheetId="1" hidden="1">{"生産計画サマリー",#N/A,FALSE,"ｻﾏﾘｰ"}</definedName>
    <definedName name="仮１" localSheetId="2" hidden="1">{"生産計画サマリー",#N/A,FALSE,"ｻﾏﾘｰ"}</definedName>
    <definedName name="仮１" localSheetId="3" hidden="1">{"生産計画サマリー",#N/A,FALSE,"ｻﾏﾘｰ"}</definedName>
    <definedName name="仮１" hidden="1">{"生産計画サマリー",#N/A,FALSE,"ｻﾏﾘｰ"}</definedName>
    <definedName name="切り" localSheetId="1" hidden="1">{"生産計画サマリー",#N/A,FALSE,"ｻﾏﾘｰ"}</definedName>
    <definedName name="切り" localSheetId="2" hidden="1">{"生産計画サマリー",#N/A,FALSE,"ｻﾏﾘｰ"}</definedName>
    <definedName name="切り" localSheetId="3" hidden="1">{"生産計画サマリー",#N/A,FALSE,"ｻﾏﾘｰ"}</definedName>
    <definedName name="切り" hidden="1">{"生産計画サマリー",#N/A,FALSE,"ｻﾏﾘｰ"}</definedName>
    <definedName name="切り1" localSheetId="1" hidden="1">{"生産計画サマリー",#N/A,FALSE,"ｻﾏﾘｰ"}</definedName>
    <definedName name="切り1" localSheetId="2" hidden="1">{"生産計画サマリー",#N/A,FALSE,"ｻﾏﾘｰ"}</definedName>
    <definedName name="切り1" localSheetId="3" hidden="1">{"生産計画サマリー",#N/A,FALSE,"ｻﾏﾘｰ"}</definedName>
    <definedName name="切り1" hidden="1">{"生産計画サマリー",#N/A,FALSE,"ｻﾏﾘｰ"}</definedName>
    <definedName name="単線共通分析ﾃｰﾌﾞﾙ">#REF!</definedName>
    <definedName name="印刷" localSheetId="1">[27]!印刷</definedName>
    <definedName name="印刷" localSheetId="2">[27]!印刷</definedName>
    <definedName name="印刷" localSheetId="3">[27]!印刷</definedName>
    <definedName name="印刷">[27]!印刷</definedName>
    <definedName name="印刷1" localSheetId="1">[28]!印刷1</definedName>
    <definedName name="印刷1" localSheetId="2">[28]!印刷1</definedName>
    <definedName name="印刷1" localSheetId="3">[28]!印刷1</definedName>
    <definedName name="印刷1">[28]!印刷1</definedName>
    <definedName name="合計">#REF!</definedName>
    <definedName name="名称ｔｂｌ">#REF!</definedName>
    <definedName name="国ＴＢＬ">#REF!</definedName>
    <definedName name="子供→ライン別へフォロｰ平日パタｰン" localSheetId="1">BIAYA!子供→ライン別へフォロｰ平日パタｰン</definedName>
    <definedName name="子供→ライン別へフォロｰ平日パタｰン" localSheetId="2">'BIAYA (2)'!子供→ライン別へフォロｰ平日パタｰン</definedName>
    <definedName name="子供→ライン別へフォロｰ平日パタｰン" localSheetId="3">'BIAYA (PP)'!子供→ライン別へフォロｰ平日パタｰン</definedName>
    <definedName name="子供→ライン別へフォロｰ平日パタｰン">[0]!子供→ライン別へフォロｰ平日パタｰン</definedName>
    <definedName name="子供→ライン別へフォロｰ稼働" localSheetId="1">BIAYA!子供→ライン別へフォロｰ稼働</definedName>
    <definedName name="子供→ライン別へフォロｰ稼働" localSheetId="2">'BIAYA (2)'!子供→ライン別へフォロｰ稼働</definedName>
    <definedName name="子供→ライン別へフォロｰ稼働" localSheetId="3">'BIAYA (PP)'!子供→ライン別へフォロｰ稼働</definedName>
    <definedName name="子供→ライン別へフォロｰ稼働">[0]!子供→ライン別へフォロｰ稼働</definedName>
    <definedName name="子供→ライン別へ直数" localSheetId="1">BIAYA!子供→ライン別へ直数</definedName>
    <definedName name="子供→ライン別へ直数" localSheetId="2">'BIAYA (2)'!子供→ライン別へ直数</definedName>
    <definedName name="子供→ライン別へ直数" localSheetId="3">'BIAYA (PP)'!子供→ライン別へ直数</definedName>
    <definedName name="子供→ライン別へ直数">[0]!子供→ライン別へ直数</definedName>
    <definedName name="子供→ライン別へ確定平日パタｰン" localSheetId="1">BIAYA!子供→ライン別へ確定平日パタｰン</definedName>
    <definedName name="子供→ライン別へ確定平日パタｰン" localSheetId="2">'BIAYA (2)'!子供→ライン別へ確定平日パタｰン</definedName>
    <definedName name="子供→ライン別へ確定平日パタｰン" localSheetId="3">'BIAYA (PP)'!子供→ライン別へ確定平日パタｰン</definedName>
    <definedName name="子供→ライン別へ確定平日パタｰン">[0]!子供→ライン別へ確定平日パタｰン</definedName>
    <definedName name="子供→ライン別へ確定稼働" localSheetId="1">BIAYA!子供→ライン別へ確定稼働</definedName>
    <definedName name="子供→ライン別へ確定稼働" localSheetId="2">'BIAYA (2)'!子供→ライン別へ確定稼働</definedName>
    <definedName name="子供→ライン別へ確定稼働" localSheetId="3">'BIAYA (PP)'!子供→ライン別へ確定稼働</definedName>
    <definedName name="子供→ライン別へ確定稼働">[0]!子供→ライン別へ確定稼働</definedName>
    <definedName name="子供→ライン別へ配分案平日パタｰン" localSheetId="1">BIAYA!子供→ライン別へ配分案平日パタｰン</definedName>
    <definedName name="子供→ライン別へ配分案平日パタｰン" localSheetId="2">'BIAYA (2)'!子供→ライン別へ配分案平日パタｰン</definedName>
    <definedName name="子供→ライン別へ配分案平日パタｰン" localSheetId="3">'BIAYA (PP)'!子供→ライン別へ配分案平日パタｰン</definedName>
    <definedName name="子供→ライン別へ配分案平日パタｰン">[0]!子供→ライン別へ配分案平日パタｰン</definedName>
    <definedName name="子供→ライン別へ配分案稼働" localSheetId="1">BIAYA!子供→ライン別へ配分案稼働</definedName>
    <definedName name="子供→ライン別へ配分案稼働" localSheetId="2">'BIAYA (2)'!子供→ライン別へ配分案稼働</definedName>
    <definedName name="子供→ライン別へ配分案稼働" localSheetId="3">'BIAYA (PP)'!子供→ライン別へ配分案稼働</definedName>
    <definedName name="子供→ライン別へ配分案稼働">[0]!子供→ライン別へ配分案稼働</definedName>
    <definedName name="工務部長会議">[29]生産!$AA$12:$AG$93</definedName>
    <definedName name="悲観値" localSheetId="1" hidden="1">{#N/A,#N/A,FALSE,"第１紙";#N/A,#N/A,FALSE,"第２紙以降"}</definedName>
    <definedName name="悲観値" localSheetId="2" hidden="1">{#N/A,#N/A,FALSE,"第１紙";#N/A,#N/A,FALSE,"第２紙以降"}</definedName>
    <definedName name="悲観値" localSheetId="3" hidden="1">{#N/A,#N/A,FALSE,"第１紙";#N/A,#N/A,FALSE,"第２紙以降"}</definedName>
    <definedName name="悲観値" hidden="1">{#N/A,#N/A,FALSE,"第１紙";#N/A,#N/A,FALSE,"第２紙以降"}</definedName>
    <definedName name="投入の狙い" hidden="1">#REF!</definedName>
    <definedName name="桁TBL">#REF!</definedName>
    <definedName name="桁記号TBL">#REF!</definedName>
    <definedName name="楽観値" localSheetId="1" hidden="1">{#N/A,#N/A,FALSE,"第１紙";#N/A,#N/A,FALSE,"第２紙以降"}</definedName>
    <definedName name="楽観値" localSheetId="2" hidden="1">{#N/A,#N/A,FALSE,"第１紙";#N/A,#N/A,FALSE,"第２紙以降"}</definedName>
    <definedName name="楽観値" localSheetId="3" hidden="1">{#N/A,#N/A,FALSE,"第１紙";#N/A,#N/A,FALSE,"第２紙以降"}</definedName>
    <definedName name="楽観値" hidden="1">{#N/A,#N/A,FALSE,"第１紙";#N/A,#N/A,FALSE,"第２紙以降"}</definedName>
    <definedName name="細目ｔｂｌ">#REF!</definedName>
    <definedName name="翌月準備" localSheetId="1">BIAYA!翌月準備</definedName>
    <definedName name="翌月準備" localSheetId="2">'BIAYA (2)'!翌月準備</definedName>
    <definedName name="翌月準備" localSheetId="3">'BIAYA (PP)'!翌月準備</definedName>
    <definedName name="翌月準備">[0]!翌月準備</definedName>
    <definedName name="表紙へ" localSheetId="1">[30]!表紙へ</definedName>
    <definedName name="表紙へ" localSheetId="2">[30]!表紙へ</definedName>
    <definedName name="表紙へ" localSheetId="3">[30]!表紙へ</definedName>
    <definedName name="表紙へ">[30]!表紙へ</definedName>
    <definedName name="設備･工数" localSheetId="1" hidden="1">{#N/A,#N/A,FALSE,"第１紙";#N/A,#N/A,FALSE,"第２紙以降"}</definedName>
    <definedName name="設備･工数" localSheetId="2" hidden="1">{#N/A,#N/A,FALSE,"第１紙";#N/A,#N/A,FALSE,"第２紙以降"}</definedName>
    <definedName name="設備･工数" localSheetId="3" hidden="1">{#N/A,#N/A,FALSE,"第１紙";#N/A,#N/A,FALSE,"第２紙以降"}</definedName>
    <definedName name="設備･工数" hidden="1">{#N/A,#N/A,FALSE,"第１紙";#N/A,#N/A,FALSE,"第２紙以降"}</definedName>
    <definedName name="設備･工数２" localSheetId="1" hidden="1">{#N/A,#N/A,FALSE,"第１紙";#N/A,#N/A,FALSE,"第２紙以降"}</definedName>
    <definedName name="設備･工数２" localSheetId="2" hidden="1">{#N/A,#N/A,FALSE,"第１紙";#N/A,#N/A,FALSE,"第２紙以降"}</definedName>
    <definedName name="設備･工数２" localSheetId="3" hidden="1">{#N/A,#N/A,FALSE,"第１紙";#N/A,#N/A,FALSE,"第２紙以降"}</definedName>
    <definedName name="設備･工数２" hidden="1">{#N/A,#N/A,FALSE,"第１紙";#N/A,#N/A,FALSE,"第２紙以降"}</definedName>
    <definedName name="試乗車マップ" hidden="1">#REF!</definedName>
    <definedName name="部品">#REF!</definedName>
    <definedName name="配分会議用">#REF!</definedName>
    <definedName name="開く目次" localSheetId="1">[28]!開く目次</definedName>
    <definedName name="開く目次" localSheetId="2">[28]!開く目次</definedName>
    <definedName name="開く目次" localSheetId="3">[28]!開く目次</definedName>
    <definedName name="開く目次">[28]!開く目次</definedName>
    <definedName name="開発工数" localSheetId="1" hidden="1">{"GL用",#N/A,FALSE,"97年度上期計画 (TAL見込み)"}</definedName>
    <definedName name="開発工数" localSheetId="2" hidden="1">{"GL用",#N/A,FALSE,"97年度上期計画 (TAL見込み)"}</definedName>
    <definedName name="開発工数" localSheetId="3" hidden="1">{"GL用",#N/A,FALSE,"97年度上期計画 (TAL見込み)"}</definedName>
    <definedName name="開発工数" hidden="1">{"GL用",#N/A,FALSE,"97年度上期計画 (TAL見込み)"}</definedName>
    <definedName name="類別選択" localSheetId="1">BIAYA!類別選択</definedName>
    <definedName name="類別選択" localSheetId="2">'BIAYA (2)'!類別選択</definedName>
    <definedName name="類別選択" localSheetId="3">'BIAYA (PP)'!類別選択</definedName>
    <definedName name="類別選択">[0]!類別選択</definedName>
  </definedNames>
  <calcPr calcId="181029"/>
</workbook>
</file>

<file path=xl/calcChain.xml><?xml version="1.0" encoding="utf-8"?>
<calcChain xmlns="http://schemas.openxmlformats.org/spreadsheetml/2006/main">
  <c r="P13" i="29" l="1"/>
  <c r="L15" i="29" l="1"/>
  <c r="O41" i="27"/>
  <c r="M41" i="27"/>
  <c r="N41" i="27"/>
  <c r="P12" i="29"/>
  <c r="L9" i="29"/>
  <c r="L12" i="29" s="1"/>
  <c r="P38" i="27"/>
  <c r="P39" i="27" s="1"/>
  <c r="L35" i="27"/>
  <c r="L34" i="27"/>
  <c r="M8" i="27"/>
  <c r="M37" i="27"/>
  <c r="N36" i="27"/>
  <c r="M36" i="27"/>
  <c r="M35" i="27"/>
  <c r="M34" i="27"/>
  <c r="N33" i="27"/>
  <c r="M33" i="27"/>
  <c r="N32" i="27"/>
  <c r="M32" i="27"/>
  <c r="N31" i="27"/>
  <c r="M31" i="27"/>
  <c r="N30" i="27"/>
  <c r="M30" i="27"/>
  <c r="N29" i="27"/>
  <c r="M29" i="27"/>
  <c r="N28" i="27"/>
  <c r="M28" i="27"/>
  <c r="N27" i="27"/>
  <c r="M27" i="27"/>
  <c r="N26" i="27"/>
  <c r="M26" i="27"/>
  <c r="N25" i="27"/>
  <c r="M25" i="27"/>
  <c r="N24" i="27"/>
  <c r="M24" i="27"/>
  <c r="N23" i="27"/>
  <c r="M23" i="27"/>
  <c r="N22" i="27"/>
  <c r="M22" i="27"/>
  <c r="N21" i="27"/>
  <c r="M21" i="27"/>
  <c r="N20" i="27"/>
  <c r="M20" i="27"/>
  <c r="N19" i="27"/>
  <c r="M19" i="27"/>
  <c r="N18" i="27"/>
  <c r="M18" i="27"/>
  <c r="N17" i="27"/>
  <c r="M17" i="27"/>
  <c r="N16" i="27"/>
  <c r="M16" i="27"/>
  <c r="N15" i="27"/>
  <c r="M15" i="27"/>
  <c r="N14" i="27"/>
  <c r="M14" i="27"/>
  <c r="N13" i="27"/>
  <c r="M13" i="27"/>
  <c r="N12" i="27"/>
  <c r="M12" i="27"/>
  <c r="N11" i="27"/>
  <c r="M11" i="27"/>
  <c r="N10" i="27"/>
  <c r="M10" i="27"/>
  <c r="N9" i="27"/>
  <c r="M9" i="27"/>
  <c r="L9" i="27"/>
  <c r="L8" i="27"/>
  <c r="H38" i="27"/>
  <c r="M36" i="26"/>
  <c r="N36" i="26"/>
  <c r="L36" i="26"/>
  <c r="H36" i="26"/>
  <c r="H18" i="25"/>
  <c r="H17" i="25"/>
  <c r="F18" i="25"/>
  <c r="F17" i="25"/>
  <c r="K7" i="25"/>
  <c r="K15" i="25"/>
  <c r="K14" i="25"/>
  <c r="K13" i="25"/>
  <c r="G5" i="25"/>
  <c r="H7" i="25"/>
  <c r="I7" i="25" s="1"/>
  <c r="G15" i="25"/>
  <c r="H14" i="25"/>
  <c r="H13" i="25"/>
  <c r="N12" i="29" l="1"/>
  <c r="O12" i="29"/>
  <c r="M12" i="29"/>
  <c r="O38" i="27"/>
  <c r="O39" i="27" s="1"/>
  <c r="N38" i="27"/>
  <c r="M38" i="27"/>
  <c r="M39" i="27" s="1"/>
  <c r="L38" i="27"/>
  <c r="L39" i="27" s="1"/>
</calcChain>
</file>

<file path=xl/sharedStrings.xml><?xml version="1.0" encoding="utf-8"?>
<sst xmlns="http://schemas.openxmlformats.org/spreadsheetml/2006/main" count="365" uniqueCount="119">
  <si>
    <t>NO</t>
  </si>
  <si>
    <t>NIK</t>
  </si>
  <si>
    <t>NAMA</t>
  </si>
  <si>
    <t>-</t>
  </si>
  <si>
    <t>TOTAL</t>
  </si>
  <si>
    <t>HOTEL</t>
  </si>
  <si>
    <t>JABATAN</t>
  </si>
  <si>
    <t>I</t>
  </si>
  <si>
    <t>II</t>
  </si>
  <si>
    <t>III</t>
  </si>
  <si>
    <t>IV</t>
  </si>
  <si>
    <t>A</t>
  </si>
  <si>
    <t>WHO</t>
  </si>
  <si>
    <t>GOL</t>
  </si>
  <si>
    <t>QA</t>
  </si>
  <si>
    <t>MTC</t>
  </si>
  <si>
    <t>PP</t>
  </si>
  <si>
    <t xml:space="preserve">SPV </t>
  </si>
  <si>
    <t xml:space="preserve">LL </t>
  </si>
  <si>
    <t>Sub linecho</t>
  </si>
  <si>
    <t>WARTI</t>
  </si>
  <si>
    <t>KHOLIS FATKHIYATUR ROHMANIYAH</t>
  </si>
  <si>
    <t>LQC</t>
  </si>
  <si>
    <t>MARGARETA PUJI RAHAYU</t>
  </si>
  <si>
    <t>SITI ANJARWATI</t>
  </si>
  <si>
    <t>DYNA SEPTIANI</t>
  </si>
  <si>
    <t>NUR FATMAWATI</t>
  </si>
  <si>
    <t>GL</t>
  </si>
  <si>
    <t>MUKHASANAH</t>
  </si>
  <si>
    <t>SITI NELI ROHMAH</t>
  </si>
  <si>
    <t>WULANDARI</t>
  </si>
  <si>
    <t>ZAINAL KAFIDZIN</t>
  </si>
  <si>
    <t>TRI RUMIYATI</t>
  </si>
  <si>
    <t>JANATUN</t>
  </si>
  <si>
    <t>WAHYUNI</t>
  </si>
  <si>
    <t>B01176</t>
  </si>
  <si>
    <t>ANDRIYONO</t>
  </si>
  <si>
    <t>SITI KHAIZAH</t>
  </si>
  <si>
    <t>AGUS WIDODO</t>
  </si>
  <si>
    <t>SUTRISNO</t>
  </si>
  <si>
    <t>PRD 
CPA</t>
  </si>
  <si>
    <t>MEI DWI ASTUTI</t>
  </si>
  <si>
    <t>IKA SULISTYOWATI</t>
  </si>
  <si>
    <t>NUR KHOLIS</t>
  </si>
  <si>
    <t>PE</t>
  </si>
  <si>
    <t>GIYARNA</t>
  </si>
  <si>
    <t>SUROKO</t>
  </si>
  <si>
    <t>ZAINAL ARIFIN</t>
  </si>
  <si>
    <t>M.HUSNUL MUBAROK</t>
  </si>
  <si>
    <t>UMI SOLICHATUN</t>
  </si>
  <si>
    <t>SURYANI</t>
  </si>
  <si>
    <t>HERLAMBANG DIAN INDRA S</t>
  </si>
  <si>
    <t>RETNO BUDIARSIH</t>
  </si>
  <si>
    <t>Check in</t>
  </si>
  <si>
    <t>Check out</t>
  </si>
  <si>
    <t>Keterangan</t>
  </si>
  <si>
    <t xml:space="preserve">Mulai tgl 9 Agustus hanya diisi Herlambang Dian </t>
  </si>
  <si>
    <t>DEPT.</t>
  </si>
  <si>
    <t>QTY KAMAR</t>
  </si>
  <si>
    <t>PRD</t>
  </si>
  <si>
    <t>SUSANTO</t>
  </si>
  <si>
    <t>HENDRIA AYUNITA SAPUTRA</t>
  </si>
  <si>
    <t>ITEM</t>
  </si>
  <si>
    <t>PLOT KAMAR TRAINING KE PEMI TANGGAL 7 - 11 AGUSTUS 2023</t>
  </si>
  <si>
    <t>BIG BUS</t>
  </si>
  <si>
    <t>KET</t>
  </si>
  <si>
    <t>YARIS KLOTER 1</t>
  </si>
  <si>
    <t>Semarang - Jakarta (Pulang Pergi)</t>
  </si>
  <si>
    <t>Hotel - PEMI (Pulang Pergi)</t>
  </si>
  <si>
    <t>Periode 7 - 9 Agustus 2023</t>
  </si>
  <si>
    <t>Periode 7 - 11 Agustus 2023</t>
  </si>
  <si>
    <t>TOTAL BIAYA</t>
  </si>
  <si>
    <t>B</t>
  </si>
  <si>
    <t>C = B / A</t>
  </si>
  <si>
    <t>JUMLAH ORANG</t>
  </si>
  <si>
    <t>TICKET PESAWAT</t>
  </si>
  <si>
    <t>CKG - SRG tgl 9 Agustus 2023</t>
  </si>
  <si>
    <t>RUTE</t>
  </si>
  <si>
    <t xml:space="preserve">All member </t>
  </si>
  <si>
    <t>MHM, HAS, Koko, Zainal</t>
  </si>
  <si>
    <t>YARIS KLOTER 2</t>
  </si>
  <si>
    <t>TIKET BERANGKAT</t>
  </si>
  <si>
    <t>TIKET PULANG</t>
  </si>
  <si>
    <t xml:space="preserve">YDS - AKA - MUN - Masbikhin </t>
  </si>
  <si>
    <t>SRG - CKG (1-08-2023)</t>
  </si>
  <si>
    <t>CKG - SRG (3-08-2023)</t>
  </si>
  <si>
    <t>Periode 01-08-2023</t>
  </si>
  <si>
    <t>Per-Hari</t>
  </si>
  <si>
    <t>PER-ORANG</t>
  </si>
  <si>
    <t>JUMLAH
ORANG / KAMAR</t>
  </si>
  <si>
    <t>26 Member (13 Kamar x 4 Hari)</t>
  </si>
  <si>
    <t>HAS-Zainal , Giyarna-Koko (2 Kamar x 2 Hari)</t>
  </si>
  <si>
    <t>BUS Medium</t>
  </si>
  <si>
    <t>BUS Besar</t>
  </si>
  <si>
    <t>BUS PENJEMPUTAN</t>
  </si>
  <si>
    <t>(BIAYA) TAGIHAN</t>
  </si>
  <si>
    <t>9-11 Agustus 2023</t>
  </si>
  <si>
    <t>7-8 Agustus 2023</t>
  </si>
  <si>
    <t>Semarang - Jakarta</t>
  </si>
  <si>
    <t>Jakarta - Semarang</t>
  </si>
  <si>
    <t>BIG BUS (31.000.000)</t>
  </si>
  <si>
    <t>8-9 Agustus 2023</t>
  </si>
  <si>
    <t>7 Agustus 2023</t>
  </si>
  <si>
    <t>11 Agustus 2023</t>
  </si>
  <si>
    <t>Hotel - PEMI</t>
  </si>
  <si>
    <t>BUS PENJEMPUTAN (4.500.000)</t>
  </si>
  <si>
    <t>SUB TOTAL</t>
  </si>
  <si>
    <t>TIKET PESAWAT</t>
  </si>
  <si>
    <t>8-10 Agustus 2023</t>
  </si>
  <si>
    <t>RENT031</t>
  </si>
  <si>
    <t>RENT032</t>
  </si>
  <si>
    <t>RENT033</t>
  </si>
  <si>
    <t>TO020 (MHM)</t>
  </si>
  <si>
    <t>TO019 (UMI,SYN)</t>
  </si>
  <si>
    <t xml:space="preserve">BUS PENJEMPUTAN </t>
  </si>
  <si>
    <t>11 Aug'23</t>
  </si>
  <si>
    <t>7 Aug'23</t>
  </si>
  <si>
    <t>8-10 Aug'23</t>
  </si>
  <si>
    <t>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</si>
</sst>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409]dd\-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Meiryo UI"/>
      <family val="2"/>
    </font>
    <font>
      <sz val="11"/>
      <color theme="1"/>
      <name val="Meiryo UI"/>
      <family val="2"/>
    </font>
    <font>
      <b/>
      <sz val="11"/>
      <color theme="1"/>
      <name val="Meiryo UI"/>
      <family val="2"/>
    </font>
    <font>
      <b/>
      <sz val="22"/>
      <color theme="1"/>
      <name val="Cambria"/>
      <family val="2"/>
      <scheme val="major"/>
    </font>
    <font>
      <sz val="14"/>
      <color theme="1"/>
      <name val="Calibri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24"/>
      <color theme="1"/>
      <name val="Calibri"/>
      <family val="2"/>
    </font>
    <font>
      <b/>
      <u val="double"/>
      <sz val="14"/>
      <color theme="1"/>
      <name val="Calibri"/>
      <family val="2"/>
      <scheme val="minor"/>
    </font>
    <font>
      <sz val="11"/>
      <color rgb="FF0000CC"/>
      <name val="Calibri"/>
      <family val="2"/>
      <scheme val="minor"/>
    </font>
    <font>
      <sz val="11"/>
      <color theme="1"/>
      <name val="Courier New"/>
      <family val="3"/>
    </font>
    <font>
      <b/>
      <sz val="12"/>
      <color theme="1"/>
      <name val="Courier New"/>
      <family val="3"/>
    </font>
    <font>
      <sz val="12"/>
      <color theme="1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221">
    <xf numFmtId="0" fontId="0" fillId="0" borderId="0" xfId="0"/>
    <xf numFmtId="0" fontId="3" fillId="0" borderId="0" xfId="0" applyFont="1" applyAlignment="1">
      <alignment horizontal="center" vertical="top"/>
    </xf>
    <xf numFmtId="0" fontId="8" fillId="3" borderId="0" xfId="0" applyFont="1" applyFill="1"/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wrapText="1"/>
    </xf>
    <xf numFmtId="0" fontId="12" fillId="3" borderId="0" xfId="0" applyFont="1" applyFill="1"/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7" fontId="8" fillId="3" borderId="0" xfId="0" applyNumberFormat="1" applyFont="1" applyFill="1"/>
    <xf numFmtId="0" fontId="0" fillId="0" borderId="0" xfId="0" applyAlignment="1">
      <alignment vertical="top"/>
    </xf>
    <xf numFmtId="0" fontId="11" fillId="3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5" xfId="0" applyBorder="1" applyAlignment="1">
      <alignment horizontal="center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vertical="top"/>
    </xf>
    <xf numFmtId="0" fontId="0" fillId="0" borderId="0" xfId="0" applyAlignment="1">
      <alignment horizontal="center" vertical="top"/>
    </xf>
    <xf numFmtId="166" fontId="0" fillId="0" borderId="0" xfId="1" applyNumberFormat="1" applyFont="1" applyAlignment="1">
      <alignment vertical="top"/>
    </xf>
    <xf numFmtId="166" fontId="0" fillId="0" borderId="1" xfId="1" applyNumberFormat="1" applyFont="1" applyBorder="1" applyAlignment="1">
      <alignment vertical="top"/>
    </xf>
    <xf numFmtId="166" fontId="0" fillId="0" borderId="6" xfId="1" applyNumberFormat="1" applyFont="1" applyBorder="1" applyAlignment="1">
      <alignment vertical="top"/>
    </xf>
    <xf numFmtId="0" fontId="3" fillId="0" borderId="8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 wrapText="1"/>
    </xf>
    <xf numFmtId="0" fontId="15" fillId="0" borderId="0" xfId="0" applyFont="1" applyAlignment="1">
      <alignment horizontal="left" vertical="top"/>
    </xf>
    <xf numFmtId="166" fontId="3" fillId="0" borderId="0" xfId="1" applyNumberFormat="1" applyFont="1" applyAlignment="1">
      <alignment horizontal="center" vertical="top"/>
    </xf>
    <xf numFmtId="0" fontId="5" fillId="0" borderId="9" xfId="0" applyFont="1" applyBorder="1" applyAlignment="1">
      <alignment horizontal="center" vertical="top" wrapText="1"/>
    </xf>
    <xf numFmtId="166" fontId="5" fillId="0" borderId="7" xfId="1" applyNumberFormat="1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 wrapText="1"/>
    </xf>
    <xf numFmtId="166" fontId="16" fillId="0" borderId="3" xfId="1" applyNumberFormat="1" applyFont="1" applyBorder="1" applyAlignment="1">
      <alignment vertical="top"/>
    </xf>
    <xf numFmtId="166" fontId="16" fillId="0" borderId="1" xfId="1" applyNumberFormat="1" applyFont="1" applyBorder="1" applyAlignment="1">
      <alignment vertical="top"/>
    </xf>
    <xf numFmtId="166" fontId="16" fillId="0" borderId="6" xfId="1" applyNumberFormat="1" applyFont="1" applyBorder="1" applyAlignment="1">
      <alignment vertical="top"/>
    </xf>
    <xf numFmtId="166" fontId="0" fillId="0" borderId="0" xfId="0" applyNumberFormat="1" applyAlignment="1">
      <alignment vertical="top"/>
    </xf>
    <xf numFmtId="166" fontId="17" fillId="0" borderId="0" xfId="1" applyNumberFormat="1" applyFont="1" applyAlignment="1">
      <alignment vertical="top"/>
    </xf>
    <xf numFmtId="0" fontId="17" fillId="0" borderId="0" xfId="0" applyFont="1" applyAlignment="1">
      <alignment vertical="top"/>
    </xf>
    <xf numFmtId="166" fontId="18" fillId="0" borderId="0" xfId="1" applyNumberFormat="1" applyFont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166" fontId="17" fillId="0" borderId="0" xfId="1" applyNumberFormat="1" applyFont="1" applyAlignment="1">
      <alignment horizontal="center" vertical="top"/>
    </xf>
    <xf numFmtId="166" fontId="0" fillId="0" borderId="5" xfId="1" applyNumberFormat="1" applyFont="1" applyBorder="1" applyAlignment="1">
      <alignment vertical="top"/>
    </xf>
    <xf numFmtId="166" fontId="16" fillId="0" borderId="5" xfId="1" applyNumberFormat="1" applyFont="1" applyBorder="1" applyAlignment="1">
      <alignment vertical="top"/>
    </xf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vertical="top"/>
    </xf>
    <xf numFmtId="166" fontId="0" fillId="0" borderId="2" xfId="1" applyNumberFormat="1" applyFont="1" applyBorder="1" applyAlignment="1">
      <alignment vertical="top"/>
    </xf>
    <xf numFmtId="166" fontId="16" fillId="0" borderId="2" xfId="1" applyNumberFormat="1" applyFont="1" applyBorder="1" applyAlignment="1">
      <alignment vertical="top"/>
    </xf>
    <xf numFmtId="0" fontId="0" fillId="0" borderId="0" xfId="0" applyAlignment="1">
      <alignment horizontal="right" vertical="top"/>
    </xf>
    <xf numFmtId="166" fontId="0" fillId="0" borderId="0" xfId="1" applyNumberFormat="1" applyFont="1" applyAlignment="1">
      <alignment horizontal="right" vertical="top"/>
    </xf>
    <xf numFmtId="167" fontId="11" fillId="3" borderId="1" xfId="0" applyNumberFormat="1" applyFont="1" applyFill="1" applyBorder="1" applyAlignment="1">
      <alignment horizontal="center" vertical="center"/>
    </xf>
    <xf numFmtId="166" fontId="2" fillId="3" borderId="0" xfId="1" applyNumberFormat="1" applyFont="1" applyFill="1" applyAlignment="1">
      <alignment horizontal="left" vertical="center"/>
    </xf>
    <xf numFmtId="166" fontId="6" fillId="3" borderId="0" xfId="1" applyNumberFormat="1" applyFont="1" applyFill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vertical="center"/>
    </xf>
    <xf numFmtId="0" fontId="14" fillId="3" borderId="6" xfId="0" applyFont="1" applyFill="1" applyBorder="1" applyAlignment="1">
      <alignment horizontal="center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166" fontId="6" fillId="2" borderId="5" xfId="1" applyNumberFormat="1" applyFont="1" applyFill="1" applyBorder="1" applyAlignment="1">
      <alignment horizontal="center" vertical="center" wrapText="1"/>
    </xf>
    <xf numFmtId="166" fontId="4" fillId="2" borderId="6" xfId="1" applyNumberFormat="1" applyFont="1" applyFill="1" applyBorder="1" applyAlignment="1">
      <alignment horizontal="left" vertical="center" wrapText="1"/>
    </xf>
    <xf numFmtId="166" fontId="6" fillId="2" borderId="5" xfId="1" applyNumberFormat="1" applyFont="1" applyFill="1" applyBorder="1" applyAlignment="1">
      <alignment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1" xfId="1" applyNumberFormat="1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14" fillId="3" borderId="18" xfId="0" applyFont="1" applyFill="1" applyBorder="1" applyAlignment="1">
      <alignment horizontal="center" vertical="center"/>
    </xf>
    <xf numFmtId="166" fontId="4" fillId="2" borderId="18" xfId="1" applyNumberFormat="1" applyFont="1" applyFill="1" applyBorder="1" applyAlignment="1">
      <alignment horizontal="left" vertical="center" wrapText="1"/>
    </xf>
    <xf numFmtId="166" fontId="4" fillId="6" borderId="1" xfId="1" applyNumberFormat="1" applyFont="1" applyFill="1" applyBorder="1" applyAlignment="1">
      <alignment horizontal="left" vertical="center" wrapText="1"/>
    </xf>
    <xf numFmtId="166" fontId="3" fillId="2" borderId="21" xfId="1" applyNumberFormat="1" applyFont="1" applyFill="1" applyBorder="1" applyAlignment="1">
      <alignment horizontal="center" vertical="center" wrapText="1"/>
    </xf>
    <xf numFmtId="166" fontId="3" fillId="2" borderId="22" xfId="1" applyNumberFormat="1" applyFont="1" applyFill="1" applyBorder="1" applyAlignment="1">
      <alignment horizontal="center" vertical="center" wrapText="1"/>
    </xf>
    <xf numFmtId="166" fontId="6" fillId="2" borderId="23" xfId="1" applyNumberFormat="1" applyFont="1" applyFill="1" applyBorder="1" applyAlignment="1">
      <alignment vertical="center" wrapText="1"/>
    </xf>
    <xf numFmtId="166" fontId="6" fillId="2" borderId="24" xfId="1" applyNumberFormat="1" applyFont="1" applyFill="1" applyBorder="1" applyAlignment="1">
      <alignment horizontal="center" vertical="center" wrapText="1"/>
    </xf>
    <xf numFmtId="166" fontId="4" fillId="2" borderId="25" xfId="1" applyNumberFormat="1" applyFont="1" applyFill="1" applyBorder="1" applyAlignment="1">
      <alignment horizontal="left" vertical="center" wrapText="1"/>
    </xf>
    <xf numFmtId="166" fontId="4" fillId="2" borderId="26" xfId="1" applyNumberFormat="1" applyFont="1" applyFill="1" applyBorder="1" applyAlignment="1">
      <alignment horizontal="left" vertical="center" wrapText="1"/>
    </xf>
    <xf numFmtId="0" fontId="11" fillId="3" borderId="16" xfId="0" applyFont="1" applyFill="1" applyBorder="1" applyAlignment="1">
      <alignment vertical="center" wrapText="1"/>
    </xf>
    <xf numFmtId="166" fontId="6" fillId="2" borderId="31" xfId="1" applyNumberFormat="1" applyFont="1" applyFill="1" applyBorder="1" applyAlignment="1">
      <alignment vertical="center" wrapText="1"/>
    </xf>
    <xf numFmtId="166" fontId="6" fillId="2" borderId="32" xfId="1" applyNumberFormat="1" applyFont="1" applyFill="1" applyBorder="1" applyAlignment="1">
      <alignment vertical="center" wrapText="1"/>
    </xf>
    <xf numFmtId="166" fontId="4" fillId="2" borderId="34" xfId="1" applyNumberFormat="1" applyFont="1" applyFill="1" applyBorder="1" applyAlignment="1">
      <alignment horizontal="left" vertical="center" wrapText="1"/>
    </xf>
    <xf numFmtId="166" fontId="4" fillId="6" borderId="35" xfId="1" applyNumberFormat="1" applyFont="1" applyFill="1" applyBorder="1" applyAlignment="1">
      <alignment horizontal="left" vertical="center" wrapText="1"/>
    </xf>
    <xf numFmtId="166" fontId="3" fillId="2" borderId="38" xfId="1" applyNumberFormat="1" applyFont="1" applyFill="1" applyBorder="1" applyAlignment="1">
      <alignment horizontal="center" vertical="center" wrapText="1"/>
    </xf>
    <xf numFmtId="166" fontId="3" fillId="2" borderId="32" xfId="1" applyNumberFormat="1" applyFont="1" applyFill="1" applyBorder="1" applyAlignment="1">
      <alignment horizontal="center" vertical="center" wrapText="1"/>
    </xf>
    <xf numFmtId="166" fontId="19" fillId="0" borderId="0" xfId="1" applyNumberFormat="1" applyFont="1" applyAlignment="1">
      <alignment vertical="top"/>
    </xf>
    <xf numFmtId="0" fontId="11" fillId="3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vertical="center"/>
    </xf>
    <xf numFmtId="0" fontId="11" fillId="3" borderId="17" xfId="0" applyFont="1" applyFill="1" applyBorder="1" applyAlignment="1">
      <alignment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0" borderId="36" xfId="0" applyFont="1" applyBorder="1" applyAlignment="1">
      <alignment vertical="center"/>
    </xf>
    <xf numFmtId="0" fontId="11" fillId="0" borderId="36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vertical="center" wrapText="1"/>
    </xf>
    <xf numFmtId="0" fontId="8" fillId="6" borderId="37" xfId="0" applyFont="1" applyFill="1" applyBorder="1"/>
    <xf numFmtId="166" fontId="6" fillId="2" borderId="33" xfId="1" applyNumberFormat="1" applyFont="1" applyFill="1" applyBorder="1" applyAlignment="1">
      <alignment vertical="center" wrapText="1"/>
    </xf>
    <xf numFmtId="166" fontId="6" fillId="2" borderId="45" xfId="1" applyNumberFormat="1" applyFont="1" applyFill="1" applyBorder="1" applyAlignment="1">
      <alignment vertical="center" wrapText="1"/>
    </xf>
    <xf numFmtId="166" fontId="6" fillId="2" borderId="46" xfId="1" applyNumberFormat="1" applyFont="1" applyFill="1" applyBorder="1" applyAlignment="1">
      <alignment horizontal="center" vertical="center" wrapText="1"/>
    </xf>
    <xf numFmtId="166" fontId="3" fillId="2" borderId="27" xfId="1" applyNumberFormat="1" applyFont="1" applyFill="1" applyBorder="1" applyAlignment="1">
      <alignment horizontal="center" vertical="center" wrapText="1"/>
    </xf>
    <xf numFmtId="166" fontId="3" fillId="2" borderId="28" xfId="1" applyNumberFormat="1" applyFont="1" applyFill="1" applyBorder="1" applyAlignment="1">
      <alignment horizontal="center" vertical="center" wrapText="1"/>
    </xf>
    <xf numFmtId="166" fontId="3" fillId="2" borderId="35" xfId="1" applyNumberFormat="1" applyFont="1" applyFill="1" applyBorder="1" applyAlignment="1">
      <alignment horizontal="center" vertical="center" wrapText="1"/>
    </xf>
    <xf numFmtId="166" fontId="3" fillId="2" borderId="3" xfId="1" applyNumberFormat="1" applyFont="1" applyFill="1" applyBorder="1" applyAlignment="1">
      <alignment horizontal="center" vertical="center" wrapText="1"/>
    </xf>
    <xf numFmtId="166" fontId="3" fillId="2" borderId="19" xfId="1" applyNumberFormat="1" applyFont="1" applyFill="1" applyBorder="1" applyAlignment="1">
      <alignment horizontal="center" vertical="center" wrapText="1"/>
    </xf>
    <xf numFmtId="166" fontId="4" fillId="6" borderId="27" xfId="1" applyNumberFormat="1" applyFont="1" applyFill="1" applyBorder="1" applyAlignment="1">
      <alignment horizontal="center" vertical="center" wrapText="1"/>
    </xf>
    <xf numFmtId="166" fontId="3" fillId="2" borderId="55" xfId="1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6" fontId="0" fillId="0" borderId="14" xfId="1" applyNumberFormat="1" applyFont="1" applyBorder="1" applyAlignment="1">
      <alignment horizontal="center" vertical="top"/>
    </xf>
    <xf numFmtId="166" fontId="0" fillId="0" borderId="6" xfId="1" applyNumberFormat="1" applyFont="1" applyBorder="1" applyAlignment="1">
      <alignment horizontal="center" vertical="top"/>
    </xf>
    <xf numFmtId="166" fontId="16" fillId="0" borderId="14" xfId="1" applyNumberFormat="1" applyFont="1" applyBorder="1" applyAlignment="1">
      <alignment horizontal="center" vertical="top"/>
    </xf>
    <xf numFmtId="166" fontId="16" fillId="0" borderId="6" xfId="1" applyNumberFormat="1" applyFont="1" applyBorder="1" applyAlignment="1">
      <alignment horizontal="center" vertical="top"/>
    </xf>
    <xf numFmtId="166" fontId="0" fillId="0" borderId="10" xfId="1" applyNumberFormat="1" applyFont="1" applyBorder="1" applyAlignment="1">
      <alignment horizontal="center" vertical="top"/>
    </xf>
    <xf numFmtId="0" fontId="11" fillId="3" borderId="1" xfId="0" applyFont="1" applyFill="1" applyBorder="1" applyAlignment="1">
      <alignment horizontal="center" vertical="center"/>
    </xf>
    <xf numFmtId="167" fontId="11" fillId="3" borderId="1" xfId="0" applyNumberFormat="1" applyFont="1" applyFill="1" applyBorder="1" applyAlignment="1">
      <alignment horizontal="center" vertical="center"/>
    </xf>
    <xf numFmtId="167" fontId="11" fillId="5" borderId="1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left" vertical="center" wrapText="1"/>
    </xf>
    <xf numFmtId="0" fontId="11" fillId="3" borderId="6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167" fontId="11" fillId="3" borderId="7" xfId="0" applyNumberFormat="1" applyFont="1" applyFill="1" applyBorder="1" applyAlignment="1">
      <alignment horizontal="center" vertical="center"/>
    </xf>
    <xf numFmtId="167" fontId="11" fillId="5" borderId="7" xfId="0" applyNumberFormat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left" wrapText="1"/>
    </xf>
    <xf numFmtId="0" fontId="12" fillId="3" borderId="8" xfId="0" applyFont="1" applyFill="1" applyBorder="1" applyAlignment="1">
      <alignment horizontal="left" wrapText="1"/>
    </xf>
    <xf numFmtId="0" fontId="12" fillId="3" borderId="6" xfId="0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166" fontId="6" fillId="2" borderId="5" xfId="1" applyNumberFormat="1" applyFont="1" applyFill="1" applyBorder="1" applyAlignment="1">
      <alignment horizontal="left" vertical="center" wrapText="1"/>
    </xf>
    <xf numFmtId="166" fontId="6" fillId="2" borderId="6" xfId="1" applyNumberFormat="1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167" fontId="7" fillId="3" borderId="1" xfId="0" applyNumberFormat="1" applyFont="1" applyFill="1" applyBorder="1" applyAlignment="1">
      <alignment horizontal="center" vertical="center"/>
    </xf>
    <xf numFmtId="167" fontId="7" fillId="3" borderId="5" xfId="0" applyNumberFormat="1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horizontal="left" vertical="center"/>
    </xf>
    <xf numFmtId="0" fontId="13" fillId="3" borderId="12" xfId="0" applyFont="1" applyFill="1" applyBorder="1" applyAlignment="1">
      <alignment horizontal="lef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6" fontId="3" fillId="2" borderId="4" xfId="1" applyNumberFormat="1" applyFont="1" applyFill="1" applyBorder="1" applyAlignment="1">
      <alignment horizontal="center" vertical="center" wrapText="1"/>
    </xf>
    <xf numFmtId="166" fontId="6" fillId="2" borderId="5" xfId="1" applyNumberFormat="1" applyFont="1" applyFill="1" applyBorder="1" applyAlignment="1">
      <alignment horizontal="center" vertical="center" wrapText="1"/>
    </xf>
    <xf numFmtId="166" fontId="6" fillId="2" borderId="10" xfId="1" applyNumberFormat="1" applyFont="1" applyFill="1" applyBorder="1" applyAlignment="1">
      <alignment horizontal="center" vertical="center" wrapText="1"/>
    </xf>
    <xf numFmtId="166" fontId="6" fillId="2" borderId="8" xfId="1" applyNumberFormat="1" applyFont="1" applyFill="1" applyBorder="1" applyAlignment="1">
      <alignment horizontal="center" vertical="center" wrapText="1"/>
    </xf>
    <xf numFmtId="167" fontId="12" fillId="3" borderId="11" xfId="0" applyNumberFormat="1" applyFont="1" applyFill="1" applyBorder="1" applyAlignment="1">
      <alignment horizontal="center"/>
    </xf>
    <xf numFmtId="167" fontId="12" fillId="3" borderId="13" xfId="0" applyNumberFormat="1" applyFont="1" applyFill="1" applyBorder="1" applyAlignment="1">
      <alignment horizontal="center"/>
    </xf>
    <xf numFmtId="167" fontId="12" fillId="3" borderId="12" xfId="0" applyNumberFormat="1" applyFont="1" applyFill="1" applyBorder="1" applyAlignment="1">
      <alignment horizontal="center"/>
    </xf>
    <xf numFmtId="166" fontId="6" fillId="2" borderId="8" xfId="1" applyNumberFormat="1" applyFont="1" applyFill="1" applyBorder="1" applyAlignment="1">
      <alignment horizontal="left" vertical="center" wrapText="1"/>
    </xf>
    <xf numFmtId="166" fontId="3" fillId="2" borderId="29" xfId="1" applyNumberFormat="1" applyFont="1" applyFill="1" applyBorder="1" applyAlignment="1">
      <alignment horizontal="center" vertical="top" wrapText="1"/>
    </xf>
    <xf numFmtId="166" fontId="3" fillId="2" borderId="30" xfId="1" applyNumberFormat="1" applyFont="1" applyFill="1" applyBorder="1" applyAlignment="1">
      <alignment horizontal="center" vertical="top" wrapText="1"/>
    </xf>
    <xf numFmtId="166" fontId="3" fillId="2" borderId="35" xfId="1" applyNumberFormat="1" applyFont="1" applyFill="1" applyBorder="1" applyAlignment="1">
      <alignment horizontal="center" vertical="top" wrapText="1"/>
    </xf>
    <xf numFmtId="0" fontId="13" fillId="6" borderId="27" xfId="0" applyFont="1" applyFill="1" applyBorder="1" applyAlignment="1">
      <alignment horizontal="left" vertical="center"/>
    </xf>
    <xf numFmtId="0" fontId="13" fillId="6" borderId="37" xfId="0" applyFont="1" applyFill="1" applyBorder="1" applyAlignment="1">
      <alignment horizontal="left" vertical="center"/>
    </xf>
    <xf numFmtId="167" fontId="8" fillId="6" borderId="52" xfId="0" applyNumberFormat="1" applyFont="1" applyFill="1" applyBorder="1" applyAlignment="1">
      <alignment horizontal="center"/>
    </xf>
    <xf numFmtId="167" fontId="8" fillId="6" borderId="53" xfId="0" applyNumberFormat="1" applyFont="1" applyFill="1" applyBorder="1" applyAlignment="1">
      <alignment horizontal="center"/>
    </xf>
    <xf numFmtId="167" fontId="8" fillId="6" borderId="54" xfId="0" applyNumberFormat="1" applyFont="1" applyFill="1" applyBorder="1" applyAlignment="1">
      <alignment horizontal="center"/>
    </xf>
    <xf numFmtId="166" fontId="3" fillId="2" borderId="39" xfId="1" applyNumberFormat="1" applyFont="1" applyFill="1" applyBorder="1" applyAlignment="1">
      <alignment horizontal="center" vertical="center" wrapText="1"/>
    </xf>
    <xf numFmtId="166" fontId="3" fillId="2" borderId="40" xfId="1" applyNumberFormat="1" applyFont="1" applyFill="1" applyBorder="1" applyAlignment="1">
      <alignment horizontal="center" vertical="center" wrapText="1"/>
    </xf>
    <xf numFmtId="166" fontId="3" fillId="2" borderId="41" xfId="1" applyNumberFormat="1" applyFont="1" applyFill="1" applyBorder="1" applyAlignment="1">
      <alignment horizontal="center" vertical="center" wrapText="1"/>
    </xf>
    <xf numFmtId="0" fontId="7" fillId="4" borderId="43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48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left" vertical="center"/>
    </xf>
    <xf numFmtId="0" fontId="13" fillId="3" borderId="18" xfId="0" applyFont="1" applyFill="1" applyBorder="1" applyAlignment="1">
      <alignment horizontal="left" vertical="center"/>
    </xf>
    <xf numFmtId="167" fontId="12" fillId="3" borderId="18" xfId="0" applyNumberFormat="1" applyFont="1" applyFill="1" applyBorder="1" applyAlignment="1">
      <alignment horizontal="center"/>
    </xf>
    <xf numFmtId="167" fontId="12" fillId="3" borderId="26" xfId="0" applyNumberFormat="1" applyFont="1" applyFill="1" applyBorder="1" applyAlignment="1">
      <alignment horizontal="center"/>
    </xf>
    <xf numFmtId="166" fontId="3" fillId="2" borderId="19" xfId="1" applyNumberFormat="1" applyFont="1" applyFill="1" applyBorder="1" applyAlignment="1">
      <alignment horizontal="center" vertical="center" wrapText="1"/>
    </xf>
    <xf numFmtId="166" fontId="3" fillId="2" borderId="20" xfId="1" applyNumberFormat="1" applyFont="1" applyFill="1" applyBorder="1" applyAlignment="1">
      <alignment horizontal="center" vertical="center" wrapText="1"/>
    </xf>
    <xf numFmtId="166" fontId="4" fillId="6" borderId="27" xfId="1" applyNumberFormat="1" applyFont="1" applyFill="1" applyBorder="1" applyAlignment="1">
      <alignment horizontal="center" vertical="center" wrapText="1"/>
    </xf>
    <xf numFmtId="166" fontId="4" fillId="6" borderId="28" xfId="1" applyNumberFormat="1" applyFont="1" applyFill="1" applyBorder="1" applyAlignment="1">
      <alignment horizontal="center" vertical="center" wrapText="1"/>
    </xf>
    <xf numFmtId="0" fontId="11" fillId="3" borderId="42" xfId="0" applyFont="1" applyFill="1" applyBorder="1" applyAlignment="1">
      <alignment horizontal="center" vertical="center" wrapText="1"/>
    </xf>
    <xf numFmtId="0" fontId="11" fillId="3" borderId="45" xfId="0" applyFont="1" applyFill="1" applyBorder="1" applyAlignment="1">
      <alignment horizontal="center" vertical="center" wrapText="1"/>
    </xf>
    <xf numFmtId="0" fontId="11" fillId="3" borderId="51" xfId="0" applyFont="1" applyFill="1" applyBorder="1" applyAlignment="1">
      <alignment horizontal="center" vertical="center" wrapText="1"/>
    </xf>
    <xf numFmtId="0" fontId="7" fillId="4" borderId="42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43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48" xfId="0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center" vertical="center" wrapText="1"/>
    </xf>
    <xf numFmtId="0" fontId="7" fillId="3" borderId="49" xfId="0" applyFont="1" applyFill="1" applyBorder="1" applyAlignment="1">
      <alignment horizontal="center" vertical="center" wrapText="1"/>
    </xf>
    <xf numFmtId="167" fontId="7" fillId="3" borderId="43" xfId="0" applyNumberFormat="1" applyFont="1" applyFill="1" applyBorder="1" applyAlignment="1">
      <alignment horizontal="center" vertical="center"/>
    </xf>
    <xf numFmtId="167" fontId="7" fillId="3" borderId="10" xfId="0" applyNumberFormat="1" applyFont="1" applyFill="1" applyBorder="1" applyAlignment="1">
      <alignment horizontal="center" vertical="center"/>
    </xf>
    <xf numFmtId="167" fontId="7" fillId="3" borderId="48" xfId="0" applyNumberFormat="1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167" fontId="11" fillId="3" borderId="5" xfId="0" applyNumberFormat="1" applyFont="1" applyFill="1" applyBorder="1" applyAlignment="1">
      <alignment horizontal="center" vertical="center"/>
    </xf>
    <xf numFmtId="167" fontId="11" fillId="5" borderId="5" xfId="0" applyNumberFormat="1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left" wrapText="1"/>
    </xf>
    <xf numFmtId="0" fontId="12" fillId="3" borderId="46" xfId="0" applyFont="1" applyFill="1" applyBorder="1" applyAlignment="1">
      <alignment horizontal="left" wrapText="1"/>
    </xf>
    <xf numFmtId="166" fontId="6" fillId="2" borderId="31" xfId="1" applyNumberFormat="1" applyFont="1" applyFill="1" applyBorder="1" applyAlignment="1">
      <alignment horizontal="left" vertical="center" wrapText="1"/>
    </xf>
    <xf numFmtId="166" fontId="6" fillId="2" borderId="33" xfId="1" applyNumberFormat="1" applyFont="1" applyFill="1" applyBorder="1" applyAlignment="1">
      <alignment horizontal="left" vertical="center" wrapText="1"/>
    </xf>
    <xf numFmtId="166" fontId="6" fillId="2" borderId="32" xfId="1" applyNumberFormat="1" applyFont="1" applyFill="1" applyBorder="1" applyAlignment="1">
      <alignment horizontal="left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left" wrapText="1"/>
    </xf>
    <xf numFmtId="0" fontId="11" fillId="3" borderId="21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167" fontId="11" fillId="3" borderId="36" xfId="0" applyNumberFormat="1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left" wrapText="1"/>
    </xf>
    <xf numFmtId="0" fontId="11" fillId="3" borderId="6" xfId="0" applyFont="1" applyFill="1" applyBorder="1" applyAlignment="1">
      <alignment horizontal="center" vertical="center"/>
    </xf>
    <xf numFmtId="167" fontId="11" fillId="3" borderId="6" xfId="0" applyNumberFormat="1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left" wrapText="1"/>
    </xf>
    <xf numFmtId="0" fontId="12" fillId="3" borderId="17" xfId="0" applyFont="1" applyFill="1" applyBorder="1" applyAlignment="1">
      <alignment horizontal="left" wrapText="1"/>
    </xf>
    <xf numFmtId="0" fontId="7" fillId="4" borderId="6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167" fontId="7" fillId="3" borderId="6" xfId="0" applyNumberFormat="1" applyFont="1" applyFill="1" applyBorder="1" applyAlignment="1">
      <alignment horizontal="center" vertical="center"/>
    </xf>
    <xf numFmtId="166" fontId="3" fillId="2" borderId="1" xfId="1" applyNumberFormat="1" applyFont="1" applyFill="1" applyBorder="1" applyAlignment="1">
      <alignment horizontal="center" vertical="center" wrapText="1"/>
    </xf>
    <xf numFmtId="166" fontId="3" fillId="2" borderId="5" xfId="1" applyNumberFormat="1" applyFont="1" applyFill="1" applyBorder="1" applyAlignment="1">
      <alignment vertical="top" wrapText="1"/>
    </xf>
    <xf numFmtId="166" fontId="3" fillId="2" borderId="10" xfId="1" applyNumberFormat="1" applyFont="1" applyFill="1" applyBorder="1" applyAlignment="1">
      <alignment vertical="top" wrapText="1"/>
    </xf>
    <xf numFmtId="0" fontId="11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</cellXfs>
  <cellStyles count="4">
    <cellStyle name="Comma" xfId="1" builtinId="3"/>
    <cellStyle name="Comma [0] 2" xfId="2" xr:uid="{00000000-0005-0000-0000-000002000000}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colors>
    <mruColors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d\Documents%20and%20Settings\PRD-BBF\Local%20Settings\Temporary%20Internet%20Files\Content.IE5\ZX0K4ZBN\Master%20Data%20Produksi\A.%20Data%20Bulanan\9.%20Tahun%202011\10.%20Oktober%202011\Efficiency\1.%20Efficiency%20Oktober%2020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630DC20\1.%20Efficiency%20Oktober%2020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Share%20SAMI-69\Share%20SAMI-69\7.%20Data%20Sementara\November%202011\Efficiency\1.%20Efficiency%20November%2020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Share%20SAMI-69\Share%20SAMI-69\2.%20Data%20Adm%20Produksi\Ty@$\COBA%20EFF%20VERSI%20ASIH\Summary%20Efficiency%20November%20201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post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1\K01\Documents%20and%20Settings\n151349\Local%20Settings\Temporary%20Internet%20Files\OLK2\data\&#65336;&#65315;&#65297;&#26989;&#21209;\&#65404;&#65433;&#65418;&#65438;&#65392;&#65405;&#65412;&#65392;&#65437;\B15-4&#38598;&#35336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00S002\&#20225;&#30011;\&#65403;&#65420;&#65439;&#65431;&#65394;&#65409;&#65386;&#65392;&#65437;\&#27491;&#24335;&#37197;&#24067;&#29992;99102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ynaconnection.com/Core/Shared/Groups/Oof/fin/workarea/LEASSCH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HGP-QAD\&#24444;&#25105;\&#24863;&#24615;&#35413;&#20385;&#27861;\&#65393;&#65395;&#65408;&#65392;&#65418;&#65437;&#65412;&#65438;&#65433;&#25805;&#20316;&#33655;&#37325;\&#65393;&#65395;&#65408;&#65392;&#65418;&#65437;&#65412;&#65438;&#65433;&#35413;&#20385;&#65297;&#27425;&#65423;&#65412;&#6542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19\NEW%20BUSINESS%20PLAN\Revised%20%234\PEMI%20S-PLAN-D%202005%201%20~%20%206%20R3rev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H1PC3190\&#20849;&#26377;\gijyutu1\&#31532;&#65297;&#25216;&#34899;&#37096;\&#29983;&#28310;\&#20234;&#34276;\&#65305;&#26376;&#65298;&#65302;&#26085;&#23550;&#2454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ldir0\061W&#65398;&#65394;&#65404;&#65389;\061W&#65398;&#65394;&#65404;&#6538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19\NEW%20BUSINESS%20PLAN\Revised%20%234\S-PLAN%20JAI%20ok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1.100\Inetpub\&#29983;&#35336;&#23460;&#65298;&#65319;&#65418;&#65394;&#65431;&#65391;&#65400;&#65405;\&#36664;&#20837;&#37096;&#21697;\&#36664;&#20837;&#37096;&#21697;&#20250;&#3569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240.95\s02_&#24037;&#21209;&#37096;\&#31227;&#31649;&#20250;&#35696;\2013\&#9679;2013&#24180;8&#26376;&#32013;&#20837;&#20998;&#65374;&#12288;&#12463;&#12521;&#12454;&#12531;&#12497;&#12488;&#12459;&#12540;%2082132-&#12288;&#65288;TJY&#8658;&#20061;&#24030;&#12495;&#12540;&#12493;&#12473;&#65289;\&#20061;&#24030;&#22320;&#21306;&#20986;&#24373;\&#40575;&#20816;&#23798;&#20986;&#24373;\&#20877;&#32232;&#31227;&#31649;&#20250;&#35696;\&#20877;&#32232;&#31227;&#31649;&#20250;&#35696;\&#20877;&#32232;&#31227;&#31649;&#20250;&#35696;\&#23696;&#38428;&#8658;PEMI&#65288;IMV&#12456;&#12531;&#12472;&#12531;&#65289;\IMV&#12456;&#12531;&#12472;&#12531;WH&#65288;&#23696;&#38428;&#8658;PEMI&#65289;_2&#26376;29&#2608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24\hr-24\YULI%20F\FOR%20FKA\Recruitment%20Plan%20NOP%20%20'07%20rev%2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IT\Local%20Settings\Temporary%20Internet%20Files\Content.IE5\5M4XJW6J\MH%20AUG%20%20'0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7.%20Data%20Sementara\OKTOBER%202010\Efficiency\Documents%20and%20Settings\SAMI%2016\My%20Documents\1.%20Efficiency%20Januari%202010%20NEW%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7.%20Data%20Sementara\OKTOBER%202010\Efficiency\Master%20Data%20Produksi\A.%20Data%20Bulanan\7.%20Tahun%202009\12.%20Desember%202009\Efficiency\1.%20Efficiency%20Bulan%20Desember%20200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user\My%20Documents\Mansur's%20Documents\Dokumen%20Term%2069%20th\Production%20Report\january\1.%20Efficiency%20Januari%202010%20NEW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prd-08\Local%20Settings\Temporary%20Internet%20Files\Content.IE5\69N4767J\KHE%20&amp;%20PSS\10.%20Oktober%202013\2.%20Pareto%20defect%20HLD%20Juli-10%20OK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prd-08\Local%20Settings\Temporary%20Internet%20Files\Content.IE5\69N4767J\KHE%20&amp;%20PSS\10.%20Oktober%202013\4.%20Pareto%20defect%20HDA%20Oktober-1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373;&#65300;&#65400;&#65438;&#65433;&#65392;&#65420;&#65439;\DESIGN_4\WINDOWS\TEMP\aldir0\061W&#65398;&#65394;&#65404;&#65389;\061W&#65398;&#65394;&#65404;&#653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36554;&#31278;\&#65405;&#65408;&#65392;&#65434;&#65391;&#65412;\&#21463;&#27880;&#20104;&#28204;\&#65405;&#65408;&#65392;&#65434;&#65391;&#65412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6554;&#20001;&#20181;&#27096;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1\K01\Documents%20and%20Settings\n151349\&#12487;&#12473;&#12463;&#12488;&#12483;&#12503;\&#37096;&#21697;&#31278;&#39006;\'02\data\&#65336;&#65315;&#65297;&#26989;&#21209;\&#65404;&#65433;&#65418;&#65438;&#65392;&#65405;&#65412;&#65392;&#65437;\B15-4&#38598;&#35336;&#3492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B00S010\&#29983;&#31649;&#23460;\&#12471;&#12473;&#12486;&#12512;\&#65423;&#65414;&#65389;&#65393;&#65433;\&#37096;&#21697;&#65319;\&#31435;&#19978;&#12426;&#38306;&#20418;\&#12477;&#12540;&#12479;&#12540;&#30331;&#37682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B00S010\&#29983;&#31649;&#23460;\&#29983;&#29987;&#31649;&#29702;&#12471;&#12473;&#12486;&#12512;\&#30446;&#27425;&#23567;&#23798;.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3999\cockpit_iwate-plant$\121_&#24180;&#35336;&#65288;&#12521;&#12452;&#12531;&#25285;&#65289;\03&#20462;&#27491;&#24180;&#35336;\&#24180;&#35336;&#23376;&#20379;\03&#20462;&#27491;&#12467;&#12531;&#12497;&#12463;&#12488;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isankikakubu\&#29983;&#28310;&#31649;&#29702;\&#12471;&#12473;&#12486;&#12512;\&#65423;&#65414;&#65389;&#65393;&#65433;\&#37096;&#21697;&#65319;\&#31435;&#19978;&#12426;&#38306;&#20418;\&#38306;&#20418;&#37096;&#32626;&#26696;&#208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ICIENCY REPORT"/>
      <sheetName val="DIRECT  EFF BY CONVEYOR"/>
      <sheetName val="CUTTING TUBE"/>
      <sheetName val="FINAL ASSY EFFICIENCY"/>
      <sheetName val="PRE ASSY EFFICIENCY"/>
      <sheetName val="DIRECT EFFICIENCY"/>
      <sheetName val="DIRECT EFFICIENCY CONVEYOR"/>
      <sheetName val="FA EFF B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ICIENCY REPORT"/>
      <sheetName val="DIRECT  EFF BY CONVEYOR"/>
      <sheetName val="CUTTING TUBE"/>
      <sheetName val="FINAL ASSY EFFICIENCY"/>
      <sheetName val="PRE ASSY EFFICIENCY"/>
      <sheetName val="DIRECT EFFICIENCY"/>
      <sheetName val="DIRECT EFFICIENCY CONVEYOR"/>
      <sheetName val="FA EFF B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ICIENCY REPORT"/>
      <sheetName val="CUTTING TUBE"/>
      <sheetName val="FINAL ASSY EFFICIENCY"/>
      <sheetName val="PRE ASSY EFFICIENCY"/>
      <sheetName val="DIRECT  EFF BY CONVEYOR"/>
      <sheetName val="DIRECT EFFICIENCY"/>
      <sheetName val="FA EFF BY CONVEYOR"/>
      <sheetName val="DIRECT EFFICIENC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OUTPUT CUTTING"/>
      <sheetName val="COOPER BASE SCRAP cum 1 bulan"/>
      <sheetName val="QCC Level Identification Ch (2"/>
      <sheetName val="DATA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TING TUBE"/>
      <sheetName val="PRE ASSY EFFICIENCY"/>
      <sheetName val="FINAL ASSY EFFICIENCY"/>
      <sheetName val="FA EFF BY CONVEYOR"/>
      <sheetName val="DIRECT EFFICIENCY"/>
      <sheetName val="COOPER BASE cum 1 bulan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972低減 10月"/>
      <sheetName val="48810真"/>
      <sheetName val="設計通知"/>
      <sheetName val="過不足ﾏﾄﾒ"/>
      <sheetName val="14mmQfup"/>
      <sheetName val="ﾊﾞﾙﾌﾞﾘｰｸ"/>
      <sheetName val="事務所引越見積書"/>
      <sheetName val="計算ｼｰﾄ"/>
      <sheetName val="MPL 技連"/>
      <sheetName val="342E BLOCK"/>
      <sheetName val="MI項目一覧"/>
      <sheetName val="工数"/>
      <sheetName val="#REF"/>
      <sheetName val="att 1.2 NMUK REQUIREMENTS"/>
      <sheetName val="P1；依頼書"/>
      <sheetName val="dongia (2)"/>
      <sheetName val="日産ｺﾓﾝR"/>
      <sheetName val="総合B"/>
      <sheetName val="車体構成"/>
      <sheetName val="V1+V2"/>
      <sheetName val="代表部番リスト（票時）"/>
      <sheetName val="M5A0_01-01-22"/>
      <sheetName val="Constants"/>
      <sheetName val="P.2_VAR組合せ表"/>
      <sheetName val="DIEZEL動弁相場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選択"/>
      <sheetName val="342A Block"/>
      <sheetName val="集計結果"/>
      <sheetName val="間接員勤務"/>
      <sheetName val="ﾕｰｻﾞｰ設定"/>
      <sheetName val="Note記入方法"/>
      <sheetName val="90檢討稿_實際"/>
      <sheetName val="tZR_39區分(案)0226"/>
      <sheetName val="PRO1"/>
      <sheetName val="material"/>
      <sheetName val="pro"/>
      <sheetName val="Sheet1"/>
      <sheetName val="ﾏｯﾁﾝｸﾞ"/>
      <sheetName val="Messwerte"/>
      <sheetName val="aux 2004"/>
      <sheetName val="表紙"/>
      <sheetName val="日程"/>
      <sheetName val="進捗"/>
      <sheetName val="印刷"/>
      <sheetName val="生涯利益計画ｼｰﾄ"/>
      <sheetName val="X11EdailyV61"/>
      <sheetName val="N719(NC)"/>
      <sheetName val="日程管理表"/>
      <sheetName val="89"/>
      <sheetName val="IP標時xls"/>
      <sheetName val="カチオン・コストテーブル"/>
      <sheetName val="A"/>
      <sheetName val="Apr"/>
      <sheetName val="XV0個人"/>
      <sheetName val="星取表"/>
      <sheetName val="SCH"/>
      <sheetName val="CY01"/>
      <sheetName val="CY02"/>
      <sheetName val="ｴﾝｼﾞﾝﾃﾞｰﾀ"/>
      <sheetName val="New全DataNA"/>
      <sheetName val="Profile EUR OUTPUT"/>
      <sheetName val="Profile UK"/>
      <sheetName val="100_00"/>
      <sheetName val="作業中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プルダウン項目"/>
      <sheetName val="{Ref} Hitachi report Q-Us "/>
      <sheetName val="Europe PU-1"/>
      <sheetName val="DB"/>
      <sheetName val="PCAT"/>
      <sheetName val="【FY15】計画_実績まとめ"/>
      <sheetName val="RABPLEM"/>
      <sheetName val="FOREX"/>
      <sheetName val="車会集約"/>
      <sheetName val="aA32"/>
      <sheetName val="【□5】Note記入方法"/>
      <sheetName val="【□6】Note記入方法"/>
      <sheetName val="After Sales Supplier #'s"/>
      <sheetName val="Sheet3"/>
      <sheetName val="積港比率"/>
      <sheetName val="MM利益・原価企画方針書ｶｸ１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IP仕様一覧表"/>
      <sheetName val="094_APP別"/>
      <sheetName val="採用時期"/>
      <sheetName val="参照条件"/>
      <sheetName val="sheet17"/>
      <sheetName val="手順書ﾌﾟﾛｸﾞﾗﾑ説明"/>
      <sheetName val="新目標"/>
      <sheetName val="G"/>
      <sheetName val="一覧"/>
      <sheetName val="Cover &amp; list"/>
      <sheetName val="カテゴリ"/>
      <sheetName val="1３年度品質メモ"/>
      <sheetName val="入力補助"/>
      <sheetName val="支給率表"/>
      <sheetName val="ルール目的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段ﾎﾞｰﾙ箱図番･荷姿ｺｰﾄﾞ"/>
      <sheetName val="F4301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MOTGc"/>
      <sheetName val="MOTOc_x0000_ࠀ_x0000_笰ごꒈ_x0012_ꐸ_x0012_뜝瞮_x0000_猰ごࠀ_x0000_ꒀ_x0012_嘻瞦咚瞦_x0000_৿_x0000_ꑠ"/>
      <sheetName val="（X11J专用件）"/>
      <sheetName val="B3"/>
      <sheetName val="Euro"/>
      <sheetName val="PRC"/>
      <sheetName val="US"/>
      <sheetName val="Update 6.01"/>
      <sheetName val="055"/>
      <sheetName val="kt"/>
      <sheetName val="HI"/>
      <sheetName val="ﾃﾞｰﾀ"/>
      <sheetName val="貼付DATA"/>
      <sheetName val="全体集計"/>
      <sheetName val="FDR BUDGET 2001 EISENACH"/>
      <sheetName val="Plan"/>
      <sheetName val="Sheet1 (2)"/>
      <sheetName val="SELECT"/>
      <sheetName val="試作DPロット日程"/>
      <sheetName val="参考１．Hardware"/>
      <sheetName val="基準ﾘｽﾄ"/>
      <sheetName val="MOTOc _ _ご__x0012___x0012___    _ご_ __x0012_____ "/>
      <sheetName val="MOTOc _ _ご__x0012___x0012___ _ご_ __x0012_____ _ _"/>
      <sheetName val="県別ﾏﾙﾁ"/>
      <sheetName val="ES3"/>
      <sheetName val="GS3"/>
      <sheetName val="GS4"/>
      <sheetName val="LS4"/>
      <sheetName val="RX3 CBU"/>
      <sheetName val="SC4"/>
      <sheetName val="GSTTL"/>
      <sheetName val="TOTAL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Tooling breakdown"/>
      <sheetName val="Roll Out - Limit"/>
      <sheetName val="Exploded"/>
      <sheetName val="contract AGER"/>
      <sheetName val="contract APOR"/>
      <sheetName val="market AGER"/>
      <sheetName val="market APOR"/>
      <sheetName val="Import"/>
      <sheetName val="Exploded End Items"/>
      <sheetName val="A-100전제"/>
      <sheetName val="차체 품안표"/>
      <sheetName val="CFLOW"/>
      <sheetName val="CUSTOMER (DETAIL)"/>
      <sheetName val="WG_00"/>
      <sheetName val="2000_ALL"/>
      <sheetName val="SUS_00"/>
      <sheetName val="ﾊﾟｲﾌﾟ"/>
      <sheetName val="他材料費"/>
      <sheetName val="冷延鋼板"/>
      <sheetName val="熱延鋼板"/>
      <sheetName val="①評価項目_メーカー"/>
      <sheetName val="Labor"/>
      <sheetName val="Kalk_PKO"/>
      <sheetName val="発注書"/>
      <sheetName val="res_mc"/>
      <sheetName val="품의서"/>
      <sheetName val="●현황"/>
      <sheetName val="●목차"/>
      <sheetName val="BOM TOP"/>
      <sheetName val="Glcost"/>
      <sheetName val="DECKBLATT"/>
      <sheetName val="Kalkulation"/>
      <sheetName val="Material Input Status"/>
      <sheetName val="HUNIT"/>
      <sheetName val="Header"/>
      <sheetName val="NPV1200"/>
      <sheetName val="input"/>
      <sheetName val="Sheet2"/>
      <sheetName val="神奈川生産部"/>
      <sheetName val="添付１"/>
      <sheetName val="Vehicle Parts List"/>
      <sheetName val="RIEPILOGO"/>
      <sheetName val="RFQI"/>
      <sheetName val="Kapitaleinsatz &amp; Umsatz"/>
      <sheetName val="Herstellkosten (Referenz)"/>
      <sheetName val="Working Capital"/>
      <sheetName val="99年度原単位"/>
      <sheetName val="１１月"/>
      <sheetName val="Seatbelt Guides"/>
      <sheetName val="Stowage Tray"/>
      <sheetName val="Constant"/>
      <sheetName val="WACC"/>
      <sheetName val="NCAB"/>
      <sheetName val="K440 can wake-up logic"/>
      <sheetName val="３発デ－タ"/>
      <sheetName val="Titel"/>
      <sheetName val="Hyp"/>
      <sheetName val="PRICE STRAT FOR 3F"/>
      <sheetName val="fkp"/>
      <sheetName val="材料使用量原紙"/>
      <sheetName val="Ideas Entered"/>
      <sheetName val="Table"/>
      <sheetName val="Config"/>
      <sheetName val="DATA_HEAD"/>
      <sheetName val="DATA_LIST"/>
      <sheetName val="DATA_HISTORY"/>
      <sheetName val="J or E"/>
      <sheetName val="saxo"/>
      <sheetName val="MessageList"/>
      <sheetName val="TCA"/>
      <sheetName val="表紙Ｐ２"/>
      <sheetName val="square1"/>
      <sheetName val="Build Sheets"/>
      <sheetName val="d&amp;F"/>
      <sheetName val="full (2)"/>
      <sheetName val="ES4"/>
      <sheetName val="基本（編集禁止）"/>
      <sheetName val="ｺﾝﾄ構想再審査"/>
      <sheetName val="SUM14ZC1"/>
      <sheetName val="JOB_FO"/>
      <sheetName val="00-1"/>
      <sheetName val="HYO"/>
      <sheetName val="Sep"/>
      <sheetName val="TT (13)"/>
      <sheetName val="AS-A"/>
      <sheetName val="T4-C_CAB"/>
      <sheetName val="ETRS"/>
      <sheetName val="cover_org"/>
      <sheetName val="Forecast"/>
      <sheetName val="原価表"/>
      <sheetName val="基礎ﾃﾞｰﾀ"/>
      <sheetName val="推移データ"/>
      <sheetName val="工数集計"/>
      <sheetName val="BOM_TOP"/>
      <sheetName val="Material_Input_Status"/>
      <sheetName val="Vehicle_Parts_List"/>
      <sheetName val="TKBN_TKBNA"/>
      <sheetName val="MATRIZ POR AREA"/>
      <sheetName val="ALPL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CASHFLOW"/>
      <sheetName val="Sales"/>
      <sheetName val="算出一覧ＣⅡ"/>
      <sheetName val="原単位表"/>
      <sheetName val="３月ＫＤ"/>
      <sheetName val="部品精度"/>
      <sheetName val="ｼｽﾃﾑ設定"/>
      <sheetName val="依頼書　Ｐ１"/>
      <sheetName val="Plan Sheet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一般"/>
      <sheetName val="管理"/>
      <sheetName val="管理職"/>
      <sheetName val="New DYNA"/>
      <sheetName val="Table Master"/>
      <sheetName val="COST"/>
      <sheetName val="チーム案2英語"/>
      <sheetName val="Report Key"/>
      <sheetName val="Original ED&amp;D summary"/>
      <sheetName val="生産計画"/>
      <sheetName val="ﾊﾞﾗﾝｽｼｰﾄ"/>
      <sheetName val="年度予算申請"/>
      <sheetName val="問題課題(pattern 3)"/>
      <sheetName val="FY99 Volume"/>
      <sheetName val="Tbom-tot"/>
      <sheetName val="Tables"/>
      <sheetName val="Kapitaleinsatz_&amp;_Umsatz"/>
      <sheetName val="Herstellkosten_(Referenz)"/>
      <sheetName val="Working_Capital"/>
      <sheetName val="K440_can_wake-up_logic"/>
      <sheetName val="挿入リスト"/>
      <sheetName val="Stamping Tool building Hrs"/>
      <sheetName val="Stamping Burden"/>
      <sheetName val="Parameters"/>
      <sheetName val="391.各"/>
      <sheetName val="PRICE_STRAT_FOR_3F"/>
      <sheetName val="Seatbelt_Guides"/>
      <sheetName val="Stowage_Tray"/>
      <sheetName val="Ideas_Entered"/>
      <sheetName val="J_or_E"/>
      <sheetName val="Plan_Sheet"/>
      <sheetName val="E TOPICS"/>
      <sheetName val="ﾊﾀﾀﾞ内示"/>
      <sheetName val="702.515.881t"/>
      <sheetName val="計算"/>
      <sheetName val="ＴＡ２"/>
      <sheetName val="組立費算出シート"/>
      <sheetName val="LCD(SEG)回路組立"/>
      <sheetName val="07実績"/>
      <sheetName val="Change"/>
      <sheetName val="Precios"/>
      <sheetName val="Process Summary"/>
      <sheetName val="Price J60E6"/>
      <sheetName val="JT3.0견적-구1"/>
      <sheetName val="ラミ"/>
      <sheetName val="Productivity"/>
      <sheetName val="MATRIZ_POR_AREA"/>
      <sheetName val="月度報告書"/>
      <sheetName val="Total Income Statement"/>
      <sheetName val="Croisements (Ai - Ej - Mk) X85"/>
      <sheetName val="Iss-unp"/>
      <sheetName val="Iss-wo"/>
      <sheetName val="Rct-unp"/>
      <sheetName val="EPW 0630"/>
      <sheetName val="FB sepa S2"/>
      <sheetName val="計算結果"/>
      <sheetName val="DV Release"/>
      <sheetName val="SourceData"/>
      <sheetName val="PREMISAS"/>
      <sheetName val="指数比較"/>
      <sheetName val="Budget"/>
      <sheetName val="Analyst"/>
      <sheetName val="Inputs and Data"/>
      <sheetName val="入力表"/>
      <sheetName val="工程別見積り"/>
      <sheetName val="金型サイズ"/>
      <sheetName val="工程別見積り (SP)"/>
      <sheetName val="Std_parts"/>
      <sheetName val="会社情報"/>
      <sheetName val="進め方"/>
      <sheetName val="HPS Slit Coil (Centralia)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設計通知書原紙"/>
      <sheetName val="主要WH売上"/>
      <sheetName val="ｸﾗｾﾝｼｽﾃﾑFMEA"/>
      <sheetName val="Japanese Summary"/>
      <sheetName val="BOM系"/>
      <sheetName val="Features"/>
      <sheetName val="P5_VC Vehicle Spec"/>
      <sheetName val="GG S&amp;O List"/>
      <sheetName val="PROFILE"/>
      <sheetName val="リスト"/>
      <sheetName val="３ドア"/>
      <sheetName val="転造盤まとめ"/>
      <sheetName val="結果一覧 ｼｰﾄ"/>
      <sheetName val="415T原"/>
      <sheetName val="A33(引三引四)"/>
      <sheetName val="系統選單"/>
      <sheetName val="SU BOM 20071213"/>
      <sheetName val="型上げ"/>
      <sheetName val="PARAMETRES"/>
      <sheetName val="設備保全"/>
      <sheetName val="システム記号リスト"/>
      <sheetName val="NYTO-model"/>
      <sheetName val="LESCI J77"/>
      <sheetName val="Read me first"/>
      <sheetName val="ﾌﾗｸﾞ"/>
      <sheetName val="CAMCAL1"/>
      <sheetName val="残業計画"/>
      <sheetName val="EUR"/>
      <sheetName val="DD96.1.18"/>
      <sheetName val="WIRE"/>
      <sheetName val="元データー"/>
      <sheetName val="MOTEUR"/>
      <sheetName val="organization data"/>
      <sheetName val="Labor cost"/>
      <sheetName val="list"/>
      <sheetName val="部品情報"/>
      <sheetName val="コード表"/>
      <sheetName val="Ideal Cost"/>
      <sheetName val="PRIX 2009"/>
      <sheetName val="Antivol D2"/>
      <sheetName val="X61B ZH2E L1 #1"/>
      <sheetName val="74上"/>
      <sheetName val="月次データ"/>
      <sheetName val="DETA1121ｋｋｋ"/>
      <sheetName val="Fert.ablauf"/>
      <sheetName val="RES"/>
      <sheetName val="LOTUS"/>
      <sheetName val="cc 0214 2300"/>
      <sheetName val="进口工装"/>
      <sheetName val="mster"/>
      <sheetName val="财务计算"/>
      <sheetName val="gds"/>
      <sheetName val="083"/>
      <sheetName val="ＶＡ"/>
      <sheetName val="MOTOc_x005f_x0000___x005f_x0000__ご__x005f_x0012__"/>
      <sheetName val="MOTOc_x005f_x0000_ࠀ_x005f_x0000_笰ごꒈ_x005f_x0012_ꐸ"/>
      <sheetName val="欧州 構想書集約"/>
      <sheetName val="プルダウンリスト"/>
      <sheetName val="現行PN61G耐力"/>
      <sheetName val="MOTOc_x005f_x0000_ࠀ笰ごꒈ_x005f_x0012_ꐸ_x005f_x0012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IRR比較"/>
      <sheetName val="プルダウン設定"/>
      <sheetName val="Lista"/>
      <sheetName val="プルダウン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UU1 memo"/>
      <sheetName val="Dictionary"/>
      <sheetName val="lining"/>
      <sheetName val="pad assy"/>
      <sheetName val="Summary"/>
      <sheetName val="Pre."/>
      <sheetName val="条件表"/>
      <sheetName val="MOTOc_x005f_x0000_?_x005f_x0000_?ご?_x005f_x0012_?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END_ITEM"/>
      <sheetName val="T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InternalExternal"/>
      <sheetName val="OCCURRENCE_FACTOR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WTC BODY一覧原紙"/>
      <sheetName val="amp_spr"/>
      <sheetName val="ＢＭＰ塗装直材"/>
      <sheetName val="??・??×?"/>
      <sheetName val="Rubriques MC"/>
      <sheetName val="表5-2 地区別CO2排出実績"/>
      <sheetName val="REN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Fuel gauge data (V-up)"/>
      <sheetName val="RS"/>
      <sheetName val="SPEC NOTE BLOCK(3)"/>
      <sheetName val="TF仕様比較"/>
      <sheetName val="詳細図2（車体）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MPL_技連"/>
      <sheetName val="342E_BLOCK"/>
      <sheetName val="dongia_(2)"/>
      <sheetName val="P_2_VAR組合せ表"/>
      <sheetName val="342A_Block"/>
      <sheetName val="aux_2004"/>
      <sheetName val="att_1_2_NMUK_REQUIREMENTS"/>
      <sheetName val="Profile_EUR_OUTPUT"/>
      <sheetName val="Profile_UK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{Ref}_Hitachi_report_Q-Us_"/>
      <sheetName val="972低減_10月"/>
      <sheetName val="Europe_PU-1"/>
      <sheetName val="After_Sales_Supplier_#'s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Cover_&amp;_list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MOTOc????ご????????&gt;ご????????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MOTOcࠀ笰ごꒈꐸ뜝瞮猰ごࠀꒀ嘻瞦咚瞦৿ꑠ"/>
      <sheetName val="Sheet1_(2)"/>
      <sheetName val="FDR_BUDGET_2001_EISENACH"/>
      <sheetName val="Update_6_01"/>
      <sheetName val="MOTOc____ご_________ご_______1"/>
      <sheetName val="MOTOc____ご______ご__________1"/>
      <sheetName val="RX3_CBU"/>
      <sheetName val="Stock_Price"/>
      <sheetName val="진행_DATA_(2)"/>
      <sheetName val="Vol_&amp;_Assumpt"/>
      <sheetName val="Tooling_breakdown"/>
      <sheetName val="Roll_Out_-_Limit"/>
      <sheetName val="contract_AGER"/>
      <sheetName val="contract_APOR"/>
      <sheetName val="market_AGER"/>
      <sheetName val="market_APOR"/>
      <sheetName val="Exploded_End_Items"/>
      <sheetName val="차체_품안표"/>
      <sheetName val="CUSTOMER_(DETAIL)"/>
      <sheetName val="BOM_TOP1"/>
      <sheetName val="Material_Input_Status1"/>
      <sheetName val="Vehicle_Parts_List1"/>
      <sheetName val="Kapitaleinsatz_&amp;_Umsatz1"/>
      <sheetName val="Herstellkosten_(Referenz)1"/>
      <sheetName val="Working_Capital1"/>
      <sheetName val="Seatbelt_Guides1"/>
      <sheetName val="Stowage_Tray1"/>
      <sheetName val="K440_can_wake-up_logic1"/>
      <sheetName val="PRICE_STRAT_FOR_3F1"/>
      <sheetName val="Ideas_Entered1"/>
      <sheetName val="J_or_E1"/>
      <sheetName val="Build_Sheets"/>
      <sheetName val="full_(2)"/>
      <sheetName val="TT_(13)"/>
      <sheetName val="MATRIZ_POR_AREA1"/>
      <sheetName val="VAC_BLK_CALC_"/>
      <sheetName val="Blank_AQR_(old)"/>
      <sheetName val="CAP_PLAN"/>
      <sheetName val="PKG_&amp;_FRT"/>
      <sheetName val="PROCESS_INFO"/>
      <sheetName val="Plan_Sheet1"/>
      <sheetName val="ebom_excel"/>
      <sheetName val="qad_bom"/>
      <sheetName val="Trim_Dev_Materials"/>
      <sheetName val="Non_Labour_Forecast"/>
      <sheetName val="Costed_Parts_Matrix"/>
      <sheetName val="Engineering_Assumptions"/>
      <sheetName val="Labour_Forecast"/>
      <sheetName val="Default_Rates"/>
      <sheetName val="New_DYNA"/>
      <sheetName val="Table_Master"/>
      <sheetName val="Report_Key"/>
      <sheetName val="Original_ED&amp;D_summary"/>
      <sheetName val="問題課題(pattern_3)"/>
      <sheetName val="FY99_Volume"/>
      <sheetName val="Stamping_Tool_building_Hrs"/>
      <sheetName val="Stamping_Burden"/>
      <sheetName val="391_各"/>
      <sheetName val="E_TOPICS"/>
      <sheetName val="702_515_881t"/>
      <sheetName val="Process_Summary"/>
      <sheetName val="Price_J60E6"/>
      <sheetName val="JT3_0견적-구1"/>
      <sheetName val="Total_Income_Statement"/>
      <sheetName val="Croisements_(Ai_-_Ej_-_Mk)_X85"/>
      <sheetName val="EPW_0630"/>
      <sheetName val="FB_sepa_S2"/>
      <sheetName val="DV_Release"/>
      <sheetName val="Inputs_and_Data"/>
      <sheetName val="工程別見積り_(SP)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Japanese_Summary"/>
      <sheetName val="P5_VC_Vehicle_Spec"/>
      <sheetName val="結果一覧_ｼｰﾄ"/>
      <sheetName val="SU_BOM_20071213"/>
      <sheetName val="LESCI_J77"/>
      <sheetName val="Read_me_first"/>
      <sheetName val="DD96_1_18"/>
      <sheetName val="organization_data"/>
      <sheetName val="Labor_cost"/>
      <sheetName val="Ideal_Cost"/>
      <sheetName val="PRIX_2009"/>
      <sheetName val="Antivol_D2"/>
      <sheetName val="X61B_ZH2E_L1_#1"/>
      <sheetName val="Fert_ablauf"/>
      <sheetName val="cc_0214_2300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GG_S&amp;O_List"/>
      <sheetName val="欧州_構想書集約"/>
      <sheetName val="Sheet5"/>
      <sheetName val="MPC"/>
      <sheetName val="IRR1"/>
      <sheetName val="Invest"/>
      <sheetName val="TB P12"/>
      <sheetName val="プルダウン内容"/>
      <sheetName val="オリジナル"/>
      <sheetName val="選択リスト"/>
      <sheetName val="THAI向け INST"/>
      <sheetName val="MEX向け INST"/>
      <sheetName val="MEX向け INST PACKING LIST"/>
      <sheetName val="SCH ?¥_x001a_ O"/>
      <sheetName val="현금경비중역"/>
      <sheetName val="Eng"/>
      <sheetName val="Materials"/>
      <sheetName val="Price"/>
      <sheetName val="ECN-Mold Progress"/>
      <sheetName val="XX98CALB"/>
      <sheetName val="Sales by Customer"/>
      <sheetName val="Ford"/>
      <sheetName val="TSM6709G"/>
      <sheetName val="WEIGHT"/>
      <sheetName val="MRSTE"/>
      <sheetName val="集計ﾘｽﾄ"/>
      <sheetName val="Ref"/>
      <sheetName val="部品ﾘｽﾄ"/>
      <sheetName val="ﾀﾘﾌ"/>
      <sheetName val="実績"/>
      <sheetName val="INDEX"/>
      <sheetName val="#REF!"/>
      <sheetName val="Specific Data"/>
      <sheetName val="Input Sheet"/>
      <sheetName val="Plants"/>
      <sheetName val="FIN5"/>
      <sheetName val="VTooling"/>
      <sheetName val="投资"/>
      <sheetName val="B-code"/>
      <sheetName val="Plant Data"/>
      <sheetName val="BoM"/>
      <sheetName val="P&amp;L"/>
      <sheetName val=" DATA"/>
      <sheetName val="resume"/>
      <sheetName val="IPL"/>
      <sheetName val="Product Validation"/>
      <sheetName val="Laser Weld"/>
      <sheetName val="LOAD HOURS"/>
      <sheetName val="Portfolio"/>
      <sheetName val="Gates"/>
      <sheetName val="List Data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中実"/>
      <sheetName val="liste"/>
      <sheetName val="設定"/>
      <sheetName val="配布版"/>
      <sheetName val="VIM Data"/>
      <sheetName val="U3J12"/>
      <sheetName val="Inpanel"/>
      <sheetName val="Interior Trim"/>
      <sheetName val="Part by Part"/>
      <sheetName val="システム"/>
      <sheetName val="加藤(評)"/>
      <sheetName val="5 UPS Data"/>
      <sheetName val="Data 0101"/>
      <sheetName val="工数海外比率"/>
      <sheetName val="minimum lot size"/>
      <sheetName val="値マスタ"/>
      <sheetName val="#ofclose"/>
      <sheetName val="FORM"/>
      <sheetName val="Key Function in Master FMEA"/>
      <sheetName val="Workdays"/>
      <sheetName val="Parameter"/>
      <sheetName val="VARIÁVEIS"/>
      <sheetName val="Coating"/>
      <sheetName val="Material Tables"/>
      <sheetName val="Weld Tool"/>
      <sheetName val="BOM Input"/>
      <sheetName val="Parts List"/>
      <sheetName val="Standards"/>
      <sheetName val="ＨＸ準備費一覧"/>
      <sheetName val="CONS0004"/>
      <sheetName val="ALL PARTS PRICE LIST"/>
      <sheetName val="W12B_RS"/>
      <sheetName val="MASTER"/>
      <sheetName val="保証項目一覧"/>
      <sheetName val="Ass'y-A (Day)"/>
      <sheetName val="67630,40-640AM"/>
      <sheetName val="達成729"/>
      <sheetName val="115墌娃敖"/>
      <sheetName val="PART"/>
      <sheetName val="PRESENTATION"/>
      <sheetName val="VA"/>
      <sheetName val="H2"/>
      <sheetName val="summary-1"/>
      <sheetName val="DATA_DELIVERY"/>
      <sheetName val="資材費"/>
      <sheetName val="売上"/>
      <sheetName val="ptpcost1"/>
      <sheetName val="ML"/>
      <sheetName val="収入(億円)"/>
      <sheetName val="094W原紙 "/>
      <sheetName val="Annual Sales"/>
      <sheetName val="Full list 020425"/>
      <sheetName val="上申資料1_2"/>
      <sheetName val="配布"/>
      <sheetName val="上申資料1"/>
      <sheetName val="FUNCTION CHART"/>
      <sheetName val="CAUDIT"/>
      <sheetName val="IVP und Afa"/>
      <sheetName val="MT_EL-PARTS-LIST"/>
      <sheetName val="設備能力"/>
      <sheetName val="見積取纏め表"/>
      <sheetName val="ASSETS"/>
      <sheetName val="Ref IMM Sizes"/>
      <sheetName val="Prog INFO"/>
      <sheetName val="i30型まとめ"/>
      <sheetName val="IAC Quote Processes"/>
      <sheetName val="Sq Area INPUT"/>
      <sheetName val="6호기"/>
      <sheetName val="資材納入日程表"/>
      <sheetName val="入力規制"/>
      <sheetName val="???"/>
      <sheetName val="Feuil1"/>
      <sheetName val="DEP"/>
      <sheetName val="Degreasing"/>
      <sheetName val="Primer"/>
      <sheetName val="Sandblasting"/>
      <sheetName val="参考"/>
      <sheetName val="CRITERIA5"/>
      <sheetName val="Übersicht"/>
      <sheetName val="BURDEN"/>
      <sheetName val="SELL"/>
      <sheetName val="R&amp;D"/>
      <sheetName val="Marginal'05-'08(Jul-Dec)"/>
      <sheetName val="?????"/>
      <sheetName val="????"/>
      <sheetName val="BU Summary Data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Data Table"/>
      <sheetName val="4. Project Plan"/>
      <sheetName val="SLRC"/>
      <sheetName val="Variables"/>
      <sheetName val="H16-2設備管理渡辺殿拠出資料1"/>
      <sheetName val="W-현원가"/>
      <sheetName val="MOTOR"/>
      <sheetName val="Anlagen"/>
      <sheetName val="Macro1"/>
      <sheetName val="Aztek"/>
      <sheetName val="PROTECTOR단가"/>
      <sheetName val="JCAE Sale Price"/>
      <sheetName val="R FJS CAR (old)"/>
      <sheetName val="構想書原紙"/>
      <sheetName val="Dashboard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Income Statem"/>
      <sheetName val="Mechanical Handle Grained"/>
      <sheetName val="概要"/>
      <sheetName val="01.3.28現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Incr Inv Tool"/>
      <sheetName val="JUL"/>
      <sheetName val="国"/>
      <sheetName val="海"/>
      <sheetName val="①"/>
      <sheetName val="FW_STEXCEL"/>
      <sheetName val="HL extract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153W"/>
      <sheetName val="生産総枠"/>
      <sheetName val="X11EglobalV5"/>
      <sheetName val="issue destination"/>
      <sheetName val="company"/>
      <sheetName val="损益表（按单位)01"/>
      <sheetName val="PSA T7"/>
      <sheetName val="MOTOc__ご_____ご________"/>
      <sheetName val="MOTOc__ご_____ご______"/>
      <sheetName val="Input_Sheet"/>
      <sheetName val="MOTOc__ご____&gt;ご________"/>
      <sheetName val="PL"/>
      <sheetName val="加工費予算(月別)"/>
      <sheetName val="LIST2(LIST2)"/>
      <sheetName val="部品名称集計(PARA3)"/>
      <sheetName val="ﾗｲﾝｺｰﾄﾞ集計(PARA4)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フォーム１"/>
      <sheetName val="SQL"/>
      <sheetName val="Format info"/>
      <sheetName val="テレビＣＭ"/>
      <sheetName val="?d?l?? (full-SUV)"/>
      <sheetName val="設定1"/>
      <sheetName val="RM cost Evapo Standarti"/>
      <sheetName val="RS Sound Add  Module"/>
      <sheetName val="Preisliste"/>
      <sheetName val="分析(前年)"/>
      <sheetName val="61B (J)"/>
      <sheetName val="X61B (E)"/>
      <sheetName val="残った要件"/>
      <sheetName val="・・・・"/>
      <sheetName val="・延鋼・"/>
      <sheetName val="熱延鋼・"/>
      <sheetName val="風速雰囲気まとめ表"/>
      <sheetName val="Dﾚﾝｼﾞ AC=ON"/>
      <sheetName val="Item"/>
      <sheetName val="ｶｯﾄ角調査"/>
      <sheetName val="MOTOc?ࠀ?笰ごꒈ_x0012_ꐸ뵓뜝瞮????猰ごࠀ?ꒀ_x0012_嘻瞦咚瞦?"/>
      <sheetName val="カメラ"/>
      <sheetName val="Notes"/>
      <sheetName val="Oracle領域見積り用"/>
      <sheetName val="分科会構成"/>
      <sheetName val="ﾊﾞｯｸﾃﾞｰﾀ"/>
      <sheetName val="grafdata"/>
      <sheetName val="TXTデータ"/>
      <sheetName val="N-T"/>
      <sheetName val="Forjas, Queretaro, Mexico"/>
      <sheetName val="SERCOR"/>
      <sheetName val="TB_P12"/>
      <sheetName val="Forjas,_Queretaro,_Mexico"/>
      <sheetName val="ECB"/>
      <sheetName val="cycle time reduction"/>
      <sheetName val="Base Info"/>
      <sheetName val="TASK"/>
      <sheetName val="原価ｾﾝﾀ"/>
      <sheetName val="見積依頼部品一覧"/>
      <sheetName val="Cómputo B"/>
      <sheetName val="0.Cuota"/>
      <sheetName val="inver"/>
      <sheetName val="Param"/>
      <sheetName val="LPIM BLK CALC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Cover"/>
      <sheetName val="Reference "/>
      <sheetName val="Entity"/>
      <sheetName val="mix"/>
      <sheetName val="Volumes"/>
      <sheetName val="645a 9-18 PTO 4.3"/>
      <sheetName val="Rules"/>
      <sheetName val="Operating Plan Changes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카메라"/>
      <sheetName val="costes internos"/>
      <sheetName val="Embout"/>
      <sheetName val="価格一覧表"/>
      <sheetName val="PN LIST (2)"/>
      <sheetName val="APPENDIX_1"/>
      <sheetName val="General"/>
      <sheetName val="PN LIST P33B"/>
      <sheetName val=""/>
      <sheetName val="Data_0101"/>
      <sheetName val="[48810真.xl_x0000__x0000_Glcest"/>
      <sheetName val="[48810真.xls_x0000__x0000__x0000__x0000_"/>
      <sheetName val="_48810真.xl"/>
      <sheetName val="_48810真.xls"/>
      <sheetName val="賃率総括"/>
      <sheetName val="PARA74"/>
      <sheetName val="重工償却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TMMI SEQUOIA 2011"/>
      <sheetName val="Issues log"/>
      <sheetName val="一般職評価"/>
      <sheetName val="●受注累計"/>
      <sheetName val="KVO圖面開示可要收估不決定廠商"/>
      <sheetName val="SM-SA(180K)"/>
      <sheetName val="KR282ﾚｼﾞﾝ"/>
      <sheetName val="Poland HL"/>
      <sheetName val="____"/>
      <sheetName val="_____"/>
      <sheetName val="TONGKE-H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full_(2)1"/>
      <sheetName val="MPL_技連1"/>
      <sheetName val="342E_BLOCK1"/>
      <sheetName val="Build_Sheets1"/>
      <sheetName val="Trim_Dev_Materials1"/>
      <sheetName val="Non_Labour_Forecast1"/>
      <sheetName val="Costed_Parts_Matrix1"/>
      <sheetName val="Engineering_Assumptions1"/>
      <sheetName val="Labour_Forecast1"/>
      <sheetName val="RM_cost_Evapo_Standarti"/>
      <sheetName val="RS_Sound_Add__Module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Table_Master1"/>
      <sheetName val="VIM_Data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Inputs_and_Data1"/>
      <sheetName val="cycle_time_reduction"/>
      <sheetName val="Base_Info"/>
      <sheetName val="Income_Statem"/>
      <sheetName val="Mechanical_Handle_Grained"/>
      <sheetName val="Laser_Weld"/>
      <sheetName val="LOAD_HOURS"/>
      <sheetName val="5_UPS_Data"/>
      <sheetName val="minimum_lot_size"/>
      <sheetName val="Interior_Trim"/>
      <sheetName val="_DATA"/>
      <sheetName val="表5-2_地区別CO2排出実績"/>
      <sheetName val="ECN-Mold_Progress"/>
      <sheetName val="Part_by_Part"/>
      <sheetName val="Specific_Data"/>
      <sheetName val="FACT_B"/>
      <sheetName val="Notice_Link"/>
      <sheetName val="ALPL_030514"/>
      <sheetName val="Chart Data Formulas"/>
      <sheetName val="Just for calculation"/>
      <sheetName val="part list C5"/>
      <sheetName val="140N Part Local (SE)"/>
      <sheetName val="採否比較金額"/>
      <sheetName val="評価比較件数"/>
      <sheetName val="Validations"/>
      <sheetName val="1"/>
      <sheetName val="A3C Data"/>
      <sheetName val="勤務ｼﾌﾄﾍﾞｰｽ表 下期"/>
      <sheetName val="AM 6M 94"/>
      <sheetName val="ｺｽﾄ比較 (総括)"/>
      <sheetName val="590P追加"/>
      <sheetName val="Barcode.D&amp;F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Product_Validation"/>
      <sheetName val="List_Data"/>
      <sheetName val="Process_means"/>
      <sheetName val="Fixture_List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Ass'y-A_(Day)"/>
      <sheetName val="name"/>
      <sheetName val="10-21_23個_金曜日　"/>
      <sheetName val="価格マスタ"/>
      <sheetName val="部品名称"/>
      <sheetName val="常備・重量"/>
      <sheetName val="奖金ok"/>
      <sheetName val="ソフト性能比較_詳細"/>
      <sheetName val="索赔（按车型）A4"/>
      <sheetName val="销售收入A4"/>
      <sheetName val="MOTGc_x0000_ࠀ_x0000_笰ごꒈ_x0012_ꐸ_x0012_뜝瞮_x0000_猰ごࠀ_x0000_ꒀ_x0012_嘻瞦咚瞦_x0000_৿_x0000_ꑠ"/>
      <sheetName val="HEV Price Walk"/>
      <sheetName val="Information"/>
      <sheetName val="JIT - 130.000"/>
      <sheetName val="R BOM Model"/>
      <sheetName val="JIT - 266.000"/>
      <sheetName val="Parts"/>
      <sheetName val="Model Sum - 130.000"/>
      <sheetName val="ﾏｽﾀ"/>
      <sheetName val="TEMP"/>
      <sheetName val="熱効率変化計算"/>
      <sheetName val="Tab4"/>
      <sheetName val="MOTOc__ご____&gt;ご______"/>
      <sheetName val="隠し"/>
      <sheetName val="TABLO-3"/>
      <sheetName val="DAILYPACE"/>
      <sheetName val="Result"/>
      <sheetName val="_00N_Off_Tool_Outlook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加工ZV"/>
      <sheetName val="04下常備データ"/>
      <sheetName val="設備Pe"/>
      <sheetName val="Ear-391"/>
      <sheetName val="_d_l__ (full-SUV)"/>
      <sheetName val="UNIT"/>
      <sheetName val="INV"/>
      <sheetName val="Handl_Komm"/>
      <sheetName val="Machine"/>
      <sheetName val="Données transversales pays"/>
      <sheetName val="Initialisation"/>
      <sheetName val="DEPTEXP"/>
      <sheetName val="Forração PP DE"/>
      <sheetName val="工数比較２"/>
      <sheetName val="Parameters SSR"/>
      <sheetName val="改进计划"/>
      <sheetName val="01重点管理ｴﾘｱ"/>
      <sheetName val="技能講習取得ﾘｽﾄ"/>
      <sheetName val="GLOBAL POWERTRAIN"/>
      <sheetName val="PIC PSI"/>
      <sheetName val="投資まとめ"/>
      <sheetName val="入力-Ａ"/>
      <sheetName val="入力-Ｂ"/>
      <sheetName val="Sheet7"/>
      <sheetName val="HS HB NE dr 1"/>
      <sheetName val="拡販アイテム２課"/>
      <sheetName val="ＰＬ(RS)"/>
      <sheetName val="00下期DBﾍﾞｰｽ"/>
      <sheetName val="ODV要素作業"/>
      <sheetName val="20023001"/>
      <sheetName val="Cooling Unit"/>
      <sheetName val="分類例"/>
      <sheetName val="base"/>
      <sheetName val="MOTOc_x005f_x005f_x005f_x0000_?_x005f_x005f_x0000"/>
      <sheetName val="MOTOc_x005f_x005f_x005f_x005f_x005f_x005f_x005f_x0000_?"/>
      <sheetName val="MOTOc_x005f_x005f_x005f_x005f_x005f_x005f_x005f_x0000_ࠀ"/>
      <sheetName val="MOTOc_x005f_x005f_x005f_x005f_x005f_x005f_x005f_x005f_x"/>
      <sheetName val="Cap'l Input"/>
      <sheetName val="Point 2"/>
      <sheetName val="(7. FR &amp; RR axle mass)"/>
      <sheetName val="Components"/>
      <sheetName val="インデックス容量計算シート"/>
      <sheetName val="Sheet1 (7)"/>
      <sheetName val="FR管理工程図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部品費(5K)"/>
      <sheetName val="GN_08"/>
      <sheetName val="合格率"/>
      <sheetName val="WIBLE"/>
      <sheetName val="受療率変動3"/>
      <sheetName val="人口"/>
      <sheetName val="受療率変動5"/>
      <sheetName val="企展会議040602"/>
      <sheetName val="132下実施期GAP"/>
      <sheetName val="尾门板总成 "/>
      <sheetName val="PCQIS Warrty data"/>
      <sheetName val="償却前提"/>
      <sheetName val="415T戟L"/>
      <sheetName val="screw"/>
      <sheetName val="OPER. SPECS"/>
      <sheetName val="RAW MATERIAL"/>
      <sheetName val="Neuteileinfo"/>
      <sheetName val="효율계획(당월)"/>
      <sheetName val="전체실적"/>
      <sheetName val="サイクル_Cell ID"/>
      <sheetName val="xDATA (1)"/>
      <sheetName val="condiciones"/>
      <sheetName val="PRECIOS_DESDE"/>
      <sheetName val="PRECIOS_CNR"/>
      <sheetName val="PRECIOS_MAINLAND"/>
      <sheetName val="BIW_Graphics_DATA"/>
      <sheetName val="Sheet 0"/>
      <sheetName val="pad_assy"/>
      <sheetName val="Pre_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pulldown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Lists"/>
      <sheetName val="応力線図"/>
      <sheetName val="分项统计"/>
      <sheetName val="基本情報"/>
      <sheetName val="マスターシート"/>
      <sheetName val="Topics"/>
      <sheetName val="SupplierNoveltyLevel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00___x0000__ご__x0012__"/>
      <sheetName val="MOTOc_x0000_ࠀ_x0000_笰ごꒈ_x0012_ꐸ"/>
      <sheetName val="MOTOc_x0000_ࠀ笰ごꒈ_x0012_ꐸ_x0012_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Method of supply and picking"/>
      <sheetName val="9003"/>
      <sheetName val="TOEIC"/>
      <sheetName val="Category Code "/>
      <sheetName val="details"/>
      <sheetName val="FNFRコード"/>
      <sheetName val="P7～"/>
      <sheetName val="Business Plan"/>
      <sheetName val="Purchasing"/>
      <sheetName val="ｉ１１９"/>
      <sheetName val="48810真.xls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Package.Presentation"/>
      <sheetName val="既定値"/>
      <sheetName val="FR"/>
      <sheetName val="Exchange Rate"/>
      <sheetName val="Extrude"/>
      <sheetName val="リンク元"/>
      <sheetName val="After_Sales_Supplier_#'s1"/>
      <sheetName val="Stock_Price1"/>
      <sheetName val="진행_DATA_(2)1"/>
      <sheetName val="Vol_&amp;_Assumpt1"/>
      <sheetName val="Roll_Out_-_Limit1"/>
      <sheetName val="ebom_excel1"/>
      <sheetName val="qad_bom1"/>
      <sheetName val="Default_Rates1"/>
      <sheetName val="FY99_Volume1"/>
      <sheetName val="MOTOc_?_?ご?_x005f_x0012_?_x005f_x0012_??___"/>
      <sheetName val="MOTOc_?_?ご?_x005f_x0012_?_x005f_x0012_??_?ご"/>
      <sheetName val="Inv_"/>
      <sheetName val="3_結果まとめ"/>
      <sheetName val="WTC_BODY一覧原紙"/>
      <sheetName val="Rubriques_MC"/>
      <sheetName val="Hyp_DDRH"/>
      <sheetName val="A-B(exp_)"/>
      <sheetName val="信息费用预算表(A4)_"/>
      <sheetName val="THAI向け_INST"/>
      <sheetName val="MEX向け_INST"/>
      <sheetName val="MEX向け_INST_PACKING_LIST"/>
      <sheetName val="SCH_?¥_O"/>
      <sheetName val="Sales_by_Customer"/>
      <sheetName val="Input_Sheet1"/>
      <sheetName val="Plant_Data"/>
      <sheetName val="Key_Function_in_Master_FMEA"/>
      <sheetName val="094W原紙_"/>
      <sheetName val="Annual_Sales"/>
      <sheetName val="Full_list_020425"/>
      <sheetName val="FUNCTION_CHART"/>
      <sheetName val="IVP_und_Afa"/>
      <sheetName val="Ref_IMM_Sizes"/>
      <sheetName val="Prog_INFO"/>
      <sheetName val="IAC_Quote_Processes"/>
      <sheetName val="Sq_Area_INPUT"/>
      <sheetName val="Data_Table"/>
      <sheetName val="4__Project_Plan"/>
      <sheetName val="JCAE_Sale_Price"/>
      <sheetName val="R_FJS_CAR_(old)"/>
      <sheetName val="Sheet6_(3)"/>
      <sheetName val="01_3_28現在"/>
      <sheetName val="Incr_Inv_Tool"/>
      <sheetName val="HL_extract"/>
      <sheetName val="CHHS_AVSS6"/>
      <sheetName val="Budget_base"/>
      <sheetName val="issue_destination"/>
      <sheetName val="PSA_T7"/>
      <sheetName val="contents_(English)"/>
      <sheetName val="設変通知書_(E)"/>
      <sheetName val="Rev_#1_&amp;_#2"/>
      <sheetName val="Format_info"/>
      <sheetName val="?d?l??_(full-SUV)"/>
      <sheetName val="61B_(J)"/>
      <sheetName val="X61B_(E)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MOTGcࠀ笰ごꒈꐸ뜝瞮猰ごࠀꒀ嘻瞦咚瞦৿ꑠ"/>
      <sheetName val="Dﾚﾝｼﾞ_AC=ON"/>
      <sheetName val="040 適用車種コード情報"/>
      <sheetName val="140 loabor"/>
      <sheetName val="Pre-concept AX0"/>
      <sheetName val="8-3"/>
      <sheetName val="5"/>
      <sheetName val="MONTHLY"/>
      <sheetName val="set date"/>
      <sheetName val="Costs"/>
      <sheetName val="협조전"/>
      <sheetName val="PAKAGE4362"/>
      <sheetName val="소유주(원)"/>
      <sheetName val="보고서"/>
      <sheetName val="Rates"/>
      <sheetName val="Eflex bom"/>
      <sheetName val="FBC86-07"/>
      <sheetName val="89年度"/>
      <sheetName val="附表8"/>
      <sheetName val="Cal.Mat TB"/>
      <sheetName val="KUR"/>
      <sheetName val="2-row_Opt_table"/>
      <sheetName val="P10"/>
      <sheetName val="Time"/>
      <sheetName val="GAMME99"/>
      <sheetName val="静ﾊﾟﾀﾝ分析"/>
      <sheetName val="S-PLAN"/>
      <sheetName val="[48810真.xl"/>
      <sheetName val="[48810真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 refreshError="1"/>
      <sheetData sheetId="727" refreshError="1"/>
      <sheetData sheetId="728" refreshError="1"/>
      <sheetData sheetId="729"/>
      <sheetData sheetId="730" refreshError="1"/>
      <sheetData sheetId="731" refreshError="1"/>
      <sheetData sheetId="732" refreshError="1"/>
      <sheetData sheetId="733" refreshError="1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/>
      <sheetData sheetId="1080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ﾘｽﾄ"/>
      <sheetName val="MOTO"/>
    </sheetNames>
    <sheetDataSet>
      <sheetData sheetId="0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ﾀﾘﾌ"/>
      <sheetName val="第１紙原紙KGC"/>
      <sheetName val="表紙"/>
      <sheetName val="MOTO"/>
      <sheetName val="投資･工数推移"/>
      <sheetName val="見積130923最終"/>
      <sheetName val="ｻﾝﾌﾟﾙ取出日程"/>
      <sheetName val="正式配布用991025"/>
      <sheetName val="生産台数"/>
      <sheetName val="SAMI現地調達価格"/>
      <sheetName val="物流費 (見直し前) "/>
      <sheetName val="まとめ (2)"/>
      <sheetName val="別紙５（仕上げ１２０Ｌ山積）"/>
      <sheetName val="VQS⑦-⑭"/>
      <sheetName val="VQS⑮"/>
      <sheetName val="#REF"/>
      <sheetName val="Sheet1"/>
      <sheetName val="DATA_HEAD"/>
      <sheetName val="元データー"/>
      <sheetName val="DATA_HISTORY"/>
      <sheetName val="隠し"/>
      <sheetName val="月度報告書"/>
      <sheetName val="Table1"/>
      <sheetName val="DAILYPACE"/>
      <sheetName val="部門"/>
      <sheetName val="６２３Ｔ"/>
      <sheetName val="CP LH"/>
      <sheetName val="投資ﾌｫﾛｰ"/>
      <sheetName val="生涯利益計画ｼｰﾄ"/>
      <sheetName val="Budget "/>
      <sheetName val="データー"/>
      <sheetName val="伝票"/>
      <sheetName val="神奈川生産部"/>
      <sheetName val="Sum"/>
      <sheetName val="可動率低下要因"/>
      <sheetName val="生産能力表"/>
      <sheetName val="O.A. declination factor"/>
      <sheetName val="Monthly August"/>
      <sheetName val="MM利益・原価企画方針書ｶｸ１"/>
      <sheetName val="ﾀﾘﾌﾏ積集計・向事"/>
      <sheetName val="395WW売価見積"/>
      <sheetName val="FOOK"/>
      <sheetName val="3ｶ月比A"/>
      <sheetName val="対象ライン"/>
      <sheetName val="ﾎｲ-ﾙ"/>
      <sheetName val="シェル台ｾﾂﾄ流し改 (2)"/>
      <sheetName val="材質ﾃﾞｰﾀ"/>
      <sheetName val="ドア①グラフ"/>
      <sheetName val="849E15(20010)"/>
      <sheetName val="マスタデータ"/>
      <sheetName val="PS549"/>
      <sheetName val="ｲﾝﾄﾞﾈｼｱ"/>
      <sheetName val="SCH"/>
      <sheetName val="集計（CKD+海生）"/>
      <sheetName val="数量"/>
      <sheetName val="見積"/>
      <sheetName val="ﾏｯﾄ計画"/>
      <sheetName val="差の解析"/>
      <sheetName val="部品"/>
      <sheetName val="Monthly July 2015"/>
      <sheetName val="Competency"/>
      <sheetName val="製造数量"/>
      <sheetName val="Monthly November"/>
      <sheetName val="Monthly March"/>
      <sheetName val="Monthly xxx"/>
      <sheetName val="硬度测量结果"/>
      <sheetName val="Definition2"/>
      <sheetName val="Definition"/>
      <sheetName val="部品表"/>
      <sheetName val="Sheet2"/>
      <sheetName val="Transpose volume"/>
      <sheetName val="リスト　"/>
      <sheetName val="別パレ対応品 (2)"/>
      <sheetName val="Para"/>
      <sheetName val="現状比較"/>
      <sheetName val="部品仕様"/>
      <sheetName val="規定教育項目"/>
      <sheetName val="各担当者"/>
      <sheetName val="等级判定基准"/>
      <sheetName val="PP area"/>
      <sheetName val="Summary"/>
      <sheetName val="Table"/>
      <sheetName val="Code"/>
      <sheetName val="LIST"/>
      <sheetName val="テンプレート"/>
      <sheetName val="改善アイテムマスター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01"/>
      <sheetName val="schedule - 97-02"/>
      <sheetName val="schedule - 08"/>
      <sheetName val="May Rent"/>
      <sheetName val="June Rent"/>
      <sheetName val="July Rent"/>
      <sheetName val="August Rent"/>
      <sheetName val="September Rent"/>
      <sheetName val="October Rent"/>
      <sheetName val="November Rent"/>
      <sheetName val="Closed Leases"/>
      <sheetName val="Current - Graph"/>
      <sheetName val="Sheet1"/>
      <sheetName val="payment (2)"/>
      <sheetName val="ﾀﾘﾌ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１次ﾏﾄﾒ"/>
      <sheetName val="ｶﾛｰﾗ"/>
      <sheetName val="ｼﾋﾞｯｸ"/>
      <sheetName val="ﾗｳﾑ"/>
      <sheetName val="ﾚｼﾞｪﾝﾄﾞ"/>
      <sheetName val="ｼﾋﾞｯｸ再測"/>
      <sheetName val="ｱｺｰﾄﾞ"/>
      <sheetName val="ｸﾞﾗﾌ"/>
      <sheetName val="Sheet9"/>
      <sheetName val="Sheet4"/>
      <sheetName val="Sheet1"/>
      <sheetName val="荷重評点相関"/>
      <sheetName val="静ﾊﾟﾀﾝ分析"/>
      <sheetName val="ODYSSEYTOP5"/>
      <sheetName val="ODYSSEYTOP5AFOFF"/>
      <sheetName val="ODYSSEYBYRESPONSE"/>
      <sheetName val="ODYSSEYBYCATEGORY"/>
      <sheetName val="Graph By Production"/>
      <sheetName val=" Category By Production"/>
      <sheetName val="Response by Production"/>
      <sheetName val="Response for Ride"/>
      <sheetName val="Response for Features"/>
      <sheetName val="Response for Seats"/>
      <sheetName val="月　売上"/>
      <sheetName val="MOTO"/>
      <sheetName val="ｱｳﾀｰﾊﾝﾄﾞﾙ評価１次ﾏﾄﾒ"/>
      <sheetName val="リスト内容"/>
      <sheetName val="M側ﾌﾟﾚｰﾄ改修②"/>
      <sheetName val="04年度長期操業予測_金額_0408月3発反映_長計修正"/>
      <sheetName val="FAV"/>
      <sheetName val="投資利益率計算"/>
      <sheetName val="Unit req list QIP-Dan"/>
      <sheetName val="定量化結果"/>
      <sheetName val="To_Do_ﾘｽﾄ_11年6月～"/>
      <sheetName val="schedule - 08"/>
      <sheetName val="データベース"/>
      <sheetName val="CHHS AVSS6"/>
      <sheetName val="計算DATA"/>
      <sheetName val="Graph_By_Production"/>
      <sheetName val="_Category_By_Production"/>
      <sheetName val="Response_by_Production"/>
      <sheetName val="Response_for_Ride"/>
      <sheetName val="Response_for_Features"/>
      <sheetName val="Response_for_Seats"/>
      <sheetName val="静ﾊﾟﾀﾝ分析 _x0000__x0000__x0000__x0000__x0000_@_x0000__x0000__x0000__x0000__x0000__x0000__x0000__x0000__x0000__x0000__x0000_"/>
      <sheetName val="Process Score"/>
      <sheetName val="System Sheet"/>
      <sheetName val="Product Audit"/>
      <sheetName val="J21KPL"/>
      <sheetName val="Do not Deleate"/>
      <sheetName val="Event"/>
      <sheetName val="マスタ"/>
      <sheetName val="BOLT強度計算"/>
      <sheetName val="達成729"/>
      <sheetName val="MAP Bumper Capacity Conditions"/>
      <sheetName val="SGM"/>
      <sheetName val="1-2-1"/>
      <sheetName val="締め代と荷重"/>
      <sheetName val="燃費計算 "/>
      <sheetName val="選択肢マスタ"/>
      <sheetName val="RUN SCREEN"/>
      <sheetName val="URData"/>
      <sheetName val="プルダウンリスト"/>
      <sheetName val="LIST"/>
      <sheetName val="SRP FH"/>
      <sheetName val="Profit"/>
      <sheetName val="初期03"/>
      <sheetName val="ＬⅠ 1X従来加工①"/>
      <sheetName val="単価98"/>
      <sheetName val="メカ油圧（リスト）"/>
      <sheetName val="K-8(1086)"/>
      <sheetName val="③委研費総額"/>
      <sheetName val="Graph_By_Production1"/>
      <sheetName val="_Category_By_Production1"/>
      <sheetName val="Response_by_Production1"/>
      <sheetName val="Response_for_Ride1"/>
      <sheetName val="Response_for_Features1"/>
      <sheetName val="Response_for_Seats1"/>
      <sheetName val="Unit_req_list_QIP-Dan"/>
      <sheetName val="静ﾊﾟﾀﾝ分析_@"/>
      <sheetName val="Graph_By_Production2"/>
      <sheetName val="_Category_By_Production2"/>
      <sheetName val="Response_by_Production2"/>
      <sheetName val="Response_for_Ride2"/>
      <sheetName val="Response_for_Features2"/>
      <sheetName val="Response_for_Seats2"/>
      <sheetName val="Unit_req_list_QIP-Dan1"/>
      <sheetName val="静ﾊﾟﾀﾝ分析 ?????@???????????"/>
      <sheetName val="静ﾊﾟﾀﾝ分析 "/>
      <sheetName val="INVESTMENT WKSHT"/>
      <sheetName val="各BLのD開発工数レベル分類"/>
      <sheetName val="静ﾊﾟﾀﾝ分析 _x005f_x0000__x005f_x0000__x005f_x0000__x"/>
      <sheetName val="静ﾊﾟﾀﾝ分析 _x0000__x0000__x0000__x0000__x0000_@_x0000__x0000__x0000__x0000__x0000__x0000__x0000__x0000__x0000__x0000__x0000_ _x0000_?*_x0000_"/>
      <sheetName val="静ﾊﾟﾀﾝ分析 _x005f_x005f_x005f_x0000__x005f_x005f_x00"/>
      <sheetName val="静ﾊﾟﾀﾝ分析 _x005f_x005f_x005f_x005f_x005f_x005f_x000"/>
      <sheetName val="静ﾊﾟﾀﾝ分析 _____@___________"/>
      <sheetName val="静ﾊﾟﾀﾝ分析 _x005f_x005f_x005f_x005f_x005f_x005f_x005"/>
      <sheetName val="手順"/>
      <sheetName val="▲4　J78用制御基板"/>
      <sheetName val="プルダウン"/>
      <sheetName val="Sheet13"/>
      <sheetName val="ＭⅢ"/>
      <sheetName val="ＣＡＭＹ　ＭⅢ"/>
      <sheetName val="総括"/>
      <sheetName val="数据库"/>
      <sheetName val="ｺｰﾄﾞﾏｽﾀ"/>
      <sheetName val="県別ﾏﾙﾁ"/>
      <sheetName val="ZAIKO SUII"/>
      <sheetName val="SCH"/>
      <sheetName val="リスト・集計"/>
      <sheetName val="カメラ"/>
      <sheetName val="BRIO ALL"/>
      <sheetName val="Table"/>
      <sheetName val="車両仕様"/>
      <sheetName val="静ﾊﾟﾀﾝ分析 _x0000__x0000__x0000__x"/>
      <sheetName val="静ﾊﾟﾀﾝ分析 _x005f_x0000__x00"/>
      <sheetName val="静ﾊﾟﾀﾝ分析 _x005f_x005f_x000"/>
      <sheetName val="静ﾊﾟﾀﾝ分析 _x005f_x005f_x005"/>
      <sheetName val=""/>
      <sheetName val="Mex+GPP"/>
      <sheetName val="リンク先②"/>
      <sheetName val="1課(PC誘導）"/>
      <sheetName val="ｓａｍ"/>
      <sheetName val="工数集計"/>
      <sheetName val="PCT4(日) (2)"/>
      <sheetName val="３発デ－タ"/>
      <sheetName val="aaa"/>
      <sheetName val="SBC部品在庫"/>
      <sheetName val="Shift B"/>
      <sheetName val="Shift A"/>
      <sheetName val="週報 "/>
      <sheetName val="Ｆコスト"/>
      <sheetName val="Sou"/>
      <sheetName val="相互干渉線図"/>
      <sheetName val="Drop Down List"/>
      <sheetName val="Hoja3"/>
      <sheetName val="選択リスト"/>
      <sheetName val="選択肢マスター"/>
      <sheetName val="表紙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>
        <row r="37">
          <cell r="AA37" t="str">
            <v>COROLLA FR/R</v>
          </cell>
          <cell r="AB37" t="str">
            <v>COROLLA FR/L</v>
          </cell>
          <cell r="AC37" t="str">
            <v>COROLLA RR/L</v>
          </cell>
          <cell r="AD37" t="str">
            <v>ACCORD FR/R</v>
          </cell>
          <cell r="AE37" t="str">
            <v>ACCORD FR/L</v>
          </cell>
          <cell r="AF37" t="str">
            <v>ACCORD RR/R</v>
          </cell>
          <cell r="AG37" t="str">
            <v>ACCORD RR/R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C target profit request"/>
      <sheetName val="PEMI  investment"/>
      <sheetName val="export asumption"/>
      <sheetName val="domestic asumption"/>
      <sheetName val="note"/>
      <sheetName val="check file"/>
      <sheetName val="S-PLAN"/>
      <sheetName val="GRAPH"/>
      <sheetName val="ass"/>
      <sheetName val="tb"/>
      <sheetName val="tb1"/>
      <sheetName val="B1"/>
      <sheetName val="B2"/>
      <sheetName val="PL"/>
      <sheetName val="BS"/>
      <sheetName val="Report"/>
      <sheetName val="S-PLAN (3)"/>
      <sheetName val="S-PLAN (4)"/>
      <sheetName val="S-PLAN (5)"/>
      <sheetName val="S-PLAN (6)"/>
      <sheetName val="S-PLAN (7)"/>
      <sheetName val="MYZK02"/>
      <sheetName val="AtoA(Germany)"/>
      <sheetName val="ACCOUNT"/>
      <sheetName val="MAT-IN"/>
      <sheetName val="投資ﾌｫﾛｰ"/>
      <sheetName val="00年9月"/>
      <sheetName val="LIST"/>
      <sheetName val="MASTER"/>
      <sheetName val="MASTER  LIST"/>
      <sheetName val="data"/>
      <sheetName val="Sheet1"/>
      <sheetName val="Sheet2"/>
      <sheetName val="YC_target_profit_request"/>
      <sheetName val="PEMI__investment"/>
      <sheetName val="export_asumption"/>
      <sheetName val="domestic_asumption"/>
      <sheetName val="check_file"/>
      <sheetName val="S-PLAN_(3)"/>
      <sheetName val="S-PLAN_(4)"/>
      <sheetName val="S-PLAN_(5)"/>
      <sheetName val="S-PLAN_(6)"/>
      <sheetName val="S-PLAN_(7)"/>
      <sheetName val="MASTER__LIST"/>
      <sheetName val="MTRX96"/>
      <sheetName val="為替レート"/>
      <sheetName val="ﾀﾘﾌ"/>
      <sheetName val="吊上げパ_20_"/>
      <sheetName val="YC_target_profit_request1"/>
      <sheetName val="PEMI__investment1"/>
      <sheetName val="export_asumption1"/>
      <sheetName val="domestic_asumption1"/>
      <sheetName val="check_file1"/>
      <sheetName val="S-PLAN_(3)1"/>
      <sheetName val="S-PLAN_(4)1"/>
      <sheetName val="S-PLAN_(5)1"/>
      <sheetName val="S-PLAN_(6)1"/>
      <sheetName val="S-PLAN_(7)1"/>
      <sheetName val="MASTER__LIST1"/>
      <sheetName val="YC_target_profit_request2"/>
      <sheetName val="PEMI__investment2"/>
      <sheetName val="export_asumption2"/>
      <sheetName val="domestic_asumption2"/>
      <sheetName val="check_file2"/>
      <sheetName val="S-PLAN_(3)2"/>
      <sheetName val="S-PLAN_(4)2"/>
      <sheetName val="S-PLAN_(5)2"/>
      <sheetName val="S-PLAN_(6)2"/>
      <sheetName val="S-PLAN_(7)2"/>
      <sheetName val="MASTER__LIST2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&lt;&lt; Sales &amp; Manufacture Plan &gt;&gt;</v>
          </cell>
        </row>
        <row r="582">
          <cell r="I582">
            <v>145460.71085714351</v>
          </cell>
          <cell r="J582">
            <v>-197133.9576999998</v>
          </cell>
          <cell r="K582">
            <v>569114.10757069895</v>
          </cell>
          <cell r="L582">
            <v>34618.086485486128</v>
          </cell>
          <cell r="M582">
            <v>83838.105213806615</v>
          </cell>
          <cell r="N582">
            <v>-24545.66182428872</v>
          </cell>
          <cell r="O582">
            <v>-76375.518838141201</v>
          </cell>
          <cell r="P582">
            <v>-18871.942167578731</v>
          </cell>
        </row>
        <row r="1293">
          <cell r="I1293" t="str">
            <v>04/7-14</v>
          </cell>
          <cell r="J1293" t="str">
            <v>04/12</v>
          </cell>
          <cell r="K1293" t="str">
            <v>05/1</v>
          </cell>
          <cell r="L1293" t="str">
            <v>05/2</v>
          </cell>
          <cell r="M1293" t="str">
            <v>05/3</v>
          </cell>
          <cell r="N1293" t="str">
            <v>05/4</v>
          </cell>
          <cell r="O1293" t="str">
            <v>05/5</v>
          </cell>
          <cell r="P1293" t="str">
            <v>05/6</v>
          </cell>
        </row>
        <row r="1306"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報告№②ー１"/>
      <sheetName val="報告№②－２"/>
      <sheetName val="報告№②－３"/>
      <sheetName val="報告№②－４"/>
      <sheetName val="報告№③"/>
      <sheetName val="報告№③－１"/>
      <sheetName val="報告№③－２"/>
      <sheetName val="報告№③－３"/>
      <sheetName val="報告№④"/>
      <sheetName val="報告№⑤"/>
      <sheetName val="報告№⑥－１"/>
      <sheetName val="報告№⑥－２"/>
      <sheetName val="報告№⑥－３"/>
      <sheetName val="報告№⑦"/>
      <sheetName val="報告№⑧"/>
      <sheetName val="14mmQfup"/>
      <sheetName val="過不足ﾏﾄﾒ"/>
      <sheetName val="ﾊﾞﾙﾌﾞﾘｰｸ"/>
      <sheetName val="89"/>
      <sheetName val="設備"/>
      <sheetName val="sheet17"/>
      <sheetName val="总切断数据"/>
      <sheetName val="穿栓"/>
      <sheetName val="497W熔着线"/>
      <sheetName val="447W熔着线"/>
      <sheetName val="ボンダー仕掛けデータ line 1"/>
      <sheetName val="Policy Target &amp; Result 1"/>
      <sheetName val="Europe PU-1"/>
      <sheetName val="损益计算成行"/>
      <sheetName val="收益改善分向别"/>
      <sheetName val="日本向经费"/>
      <sheetName val="制造外 收益 费用"/>
      <sheetName val="生产工数"/>
      <sheetName val="出荷工数"/>
      <sheetName val="台湾向经费 "/>
      <sheetName val="国内向经费"/>
      <sheetName val="收益改善 三个向别合计"/>
      <sheetName val="B1．（课长、系长管理）部门别周间管理表"/>
      <sheetName val="Sheet1"/>
      <sheetName val="SRP FH"/>
      <sheetName val="Profit"/>
      <sheetName val="後工程分析"/>
      <sheetName val="M"/>
      <sheetName val="９月２６日対応"/>
      <sheetName val="UK allocations"/>
      <sheetName val="PRE"/>
      <sheetName val="【Input】見積基礎情報（海外生産分)"/>
      <sheetName val="国"/>
      <sheetName val="海"/>
      <sheetName val="班部番別"/>
      <sheetName val="16R構造寸法"/>
      <sheetName val="??????"/>
      <sheetName val="Rev. 2"/>
      <sheetName val="Rev. 4"/>
      <sheetName val="oktober"/>
      <sheetName val="MAT-IN"/>
      <sheetName val="採算"/>
      <sheetName val="投資･工数推移"/>
      <sheetName val="Stock_Nov05"/>
      <sheetName val="PRตัวเลือก"/>
      <sheetName val="基準ｲﾝﾌﾟｯﾄ"/>
      <sheetName val="リスト"/>
      <sheetName val="リストBOX"/>
      <sheetName val="Policy_Target_&amp;_Result_1"/>
      <sheetName val="ボンダー仕掛けデータ_line_1"/>
      <sheetName val="Europe_PU-1"/>
      <sheetName val="制造外_收益_费用"/>
      <sheetName val="台湾向经费_"/>
      <sheetName val="收益改善_三个向别合计"/>
      <sheetName val="SRP_FH"/>
      <sheetName val="UK_allocations"/>
      <sheetName val="Rev__2"/>
      <sheetName val="Rev__4"/>
      <sheetName val="SCRAP"/>
      <sheetName val="入力イメージ"/>
      <sheetName val="科目一覧"/>
      <sheetName val="科目・車種メーカー一覧"/>
      <sheetName val="Wire color"/>
      <sheetName val="Pre-Assy Productin Flow"/>
      <sheetName val="Final-Assy Production Flow"/>
      <sheetName val="Production Condition"/>
      <sheetName val="Circuit Configuration "/>
      <sheetName val="Pre-Assy MP"/>
      <sheetName val="Final-Assy MP"/>
      <sheetName val="Specification"/>
      <sheetName val="Production transfer "/>
      <sheetName val="Machine"/>
      <sheetName val="Pre-Assy analysis"/>
      <sheetName val="Final-Assy analysis"/>
      <sheetName val="Revision Record 1"/>
      <sheetName val="GUM"/>
      <sheetName val="GUM Allocation"/>
      <sheetName val="821211G480-00000"/>
      <sheetName val="Sheet2"/>
      <sheetName val="報告№②ー１ ྨ_x0000__x0000_@_x0000__x0000__x0000__x0000__x0000__x0000__x0000__x0000_ೖ$_x0000__x0000__x0000__x0000__x0000__x0000__x0000__x0000_"/>
      <sheetName val="ERM TW NEW ANALYSIS  "/>
      <sheetName val="______"/>
      <sheetName val="detail"/>
      <sheetName val="別紙「牧之原」"/>
      <sheetName val="33-11"/>
      <sheetName val="HIB_集計"/>
      <sheetName val="33-10"/>
      <sheetName val="33-09"/>
      <sheetName val="33-08"/>
      <sheetName val="33-07"/>
      <sheetName val="33-06"/>
      <sheetName val="33-05"/>
      <sheetName val="33-04"/>
      <sheetName val="労務費"/>
      <sheetName val="報告№②ー１ ྨ_x005f_x0000__x005f_x0000_@_x005f_x0000__"/>
      <sheetName val="ctdg"/>
      <sheetName val="売上高表(半期別)"/>
      <sheetName val="TBP350A"/>
      <sheetName val="大日程計算"/>
      <sheetName val="計算6"/>
      <sheetName val="KH-Q1,Q2,01"/>
      <sheetName val="報告№②ー１ ྨ"/>
      <sheetName val="ボンダー仕掛けデータ_line_11"/>
      <sheetName val="Europe_PU-11"/>
      <sheetName val="制造外_收益_费用1"/>
      <sheetName val="台湾向经费_1"/>
      <sheetName val="收益改善_三个向别合计1"/>
      <sheetName val="Policy_Target_&amp;_Result_11"/>
      <sheetName val="UK_allocations1"/>
      <sheetName val="Rev__21"/>
      <sheetName val="SRP_FH1"/>
      <sheetName val="Rev__41"/>
      <sheetName val="Wire_color"/>
      <sheetName val="Pre-Assy_Productin_Flow"/>
      <sheetName val="Final-Assy_Production_Flow"/>
      <sheetName val="Production_Condition"/>
      <sheetName val="Circuit_Configuration_"/>
      <sheetName val="Pre-Assy_MP"/>
      <sheetName val="Final-Assy_MP"/>
      <sheetName val="Production_transfer_"/>
      <sheetName val="Pre-Assy_analysis"/>
      <sheetName val="Final-Assy_analysis"/>
      <sheetName val="Revision_Record_1"/>
      <sheetName val="GUM_Allocation"/>
      <sheetName val="報告№②ー１_ྨ@ೖ$"/>
      <sheetName val="DTCT"/>
      <sheetName val="INVOICE"/>
      <sheetName val="工程導入アイテム一覧 (2)"/>
      <sheetName val="接圧確認治具一覧"/>
      <sheetName val="ベンドアップ治具使用一覧"/>
      <sheetName val="組合せLA治具使用一覧"/>
      <sheetName val="アライメントゲージ使用一覧"/>
      <sheetName val="抜き治具一覧"/>
      <sheetName val="シングル圧着組合せ一覧"/>
      <sheetName val="ダブリ圧着組合せ一覧"/>
      <sheetName val="③SSC(T60RH)"/>
      <sheetName val="③SSC（T60LH)"/>
      <sheetName val="③SSC(T50RH)"/>
      <sheetName val="③JIG（T60RH)"/>
      <sheetName val="③JIG（T60LH)"/>
      <sheetName val="③JIG(T50RH)"/>
      <sheetName val="③GROMMET"/>
      <sheetName val="③CLIP（T60RH)"/>
      <sheetName val="③CLIP（T60LH)"/>
      <sheetName val="④CLIP（T50RH）"/>
      <sheetName val="⑤CC1(T60LH)"/>
      <sheetName val="⑤CC1(T60RH)"/>
      <sheetName val="⑤CC1(T50RH)"/>
      <sheetName val="⑥Fin.（T50RH)"/>
      <sheetName val="③FIN(T60RH)"/>
      <sheetName val="③FIN（T60LH)"/>
      <sheetName val="⑦CC2(T50RH) "/>
      <sheetName val="⑤CC2(T60LH)"/>
      <sheetName val="⑤CC2(T60RH)"/>
      <sheetName val="YC-D"/>
      <sheetName val="CB100"/>
      <sheetName val="FU10"/>
      <sheetName val="RA40"/>
      <sheetName val="別紙 HW31"/>
      <sheetName val="別紙 WK13"/>
      <sheetName val="別紙_MK10"/>
      <sheetName val="別紙_MK30"/>
      <sheetName val="別紙_BB50"/>
      <sheetName val="別紙_PF70"/>
      <sheetName val="別紙_GW11 12_WP81 82 WP91 92"/>
      <sheetName val="別紙_UP31"/>
      <sheetName val="別紙_CJ20"/>
      <sheetName val="別紙_CAB1"/>
      <sheetName val="別紙_9-X10C"/>
      <sheetName val="別紙__9-X10J"/>
      <sheetName val="アプリ"/>
      <sheetName val="SINGLE CRIMP  ANALYSIS"/>
      <sheetName val="FINAL ANALYSIS"/>
      <sheetName val="Result"/>
      <sheetName val="TOTAL"/>
      <sheetName val="TOTAL-PRE"/>
      <sheetName val="Khai bao dau vao"/>
      <sheetName val="ｲﾝﾄﾞﾈｼｱ"/>
      <sheetName val="Supp.List"/>
      <sheetName val="設備点検基準書"/>
      <sheetName val="点検前"/>
      <sheetName val="シリーズ対応表"/>
      <sheetName val="日常点検表"/>
      <sheetName val="定期点検表"/>
      <sheetName val="日1"/>
      <sheetName val="日2"/>
      <sheetName val="日3"/>
      <sheetName val="日4"/>
      <sheetName val="定1"/>
      <sheetName val="定2"/>
      <sheetName val="定3"/>
      <sheetName val="定4"/>
      <sheetName val="定5"/>
      <sheetName val="定6"/>
      <sheetName val="定7"/>
      <sheetName val="定8"/>
      <sheetName val="定9"/>
      <sheetName val="定10"/>
      <sheetName val="定11"/>
      <sheetName val="定12"/>
      <sheetName val="週金額資料庫"/>
      <sheetName val="表紙(代表者)"/>
      <sheetName val="ﾊﾟｲﾌﾟ"/>
      <sheetName val="他材料費"/>
      <sheetName val="熱延鋼板"/>
      <sheetName val="冷延鋼板"/>
      <sheetName val="屏蔽线 高速"/>
      <sheetName val="12.経営環境費用"/>
      <sheetName val="List"/>
      <sheetName val="1.81期実績+見通し"/>
      <sheetName val="機能リスト"/>
      <sheetName val="MGA-05-03"/>
      <sheetName val="ﾄﾖﾀUNIT"/>
      <sheetName val="dongia (2)"/>
      <sheetName val="giathanh1"/>
      <sheetName val="CTdongia"/>
      <sheetName val="工数データ"/>
      <sheetName val="3"/>
      <sheetName val=" D2"/>
      <sheetName val="3DOT THEO DL BARCODE"/>
      <sheetName val="Policy_Target_&amp;_Result_12"/>
      <sheetName val="ボンダー仕掛けデータ_line_12"/>
      <sheetName val="Europe_PU-12"/>
      <sheetName val="制造外_收益_费用2"/>
      <sheetName val="台湾向经费_2"/>
      <sheetName val="收益改善_三个向别合计2"/>
      <sheetName val="SRP_FH2"/>
      <sheetName val="UK_allocations2"/>
      <sheetName val="Rev__22"/>
      <sheetName val="Rev__42"/>
      <sheetName val="Wire_color1"/>
      <sheetName val="Pre-Assy_Productin_Flow1"/>
      <sheetName val="Final-Assy_Production_Flow1"/>
      <sheetName val="Production_Condition1"/>
      <sheetName val="Circuit_Configuration_1"/>
      <sheetName val="Pre-Assy_MP1"/>
      <sheetName val="Final-Assy_MP1"/>
      <sheetName val="Production_transfer_1"/>
      <sheetName val="Pre-Assy_analysis1"/>
      <sheetName val="Final-Assy_analysis1"/>
      <sheetName val="Revision_Record_11"/>
      <sheetName val="GUM_Allocation1"/>
      <sheetName val="ERM_TW_NEW_ANALYSIS__"/>
      <sheetName val="報告№②ー１_ྨ_x005f_x0000__x005f_x0000_@_x005f_x0000__"/>
      <sheetName val="SINGLE_CRIMP__ANALYSIS"/>
      <sheetName val="FINAL_ANALYSIS"/>
      <sheetName val="報告№②ー１_ྨ"/>
      <sheetName val="工程導入アイテム一覧_(2)"/>
      <sheetName val="⑥Fin_（T50RH)"/>
      <sheetName val="⑦CC2(T50RH)_"/>
      <sheetName val="別紙_HW31"/>
      <sheetName val="別紙_WK13"/>
      <sheetName val="別紙_GW11_12_WP81_82_WP91_92"/>
      <sheetName val="Khai_bao_dau_va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単位表"/>
      <sheetName val="[061Wｶｲｼｭ.XLSꁝ덮㐁ཤ表"/>
      <sheetName val="内機"/>
      <sheetName val="Table"/>
      <sheetName val="TH&amp;B2e&amp;EGN"/>
      <sheetName val="原単位表C最終報告資"/>
      <sheetName val="工数集計"/>
      <sheetName val="原単位表ﾌﾄﾒ."/>
      <sheetName val="CMF"/>
      <sheetName val="MOTO"/>
      <sheetName val="MPL 技連"/>
      <sheetName val="342E BLOCK"/>
      <sheetName val="W_LBOOK"/>
      <sheetName val="MASTER"/>
      <sheetName val="Sales"/>
      <sheetName val="部署別利用頻度0401"/>
      <sheetName val="フォーム2"/>
      <sheetName val="第１紙原紙"/>
      <sheetName val="第１紙原紙KGC"/>
      <sheetName val="第２紙原紙"/>
      <sheetName val="第３紙原紙"/>
      <sheetName val="第４紙ビット"/>
      <sheetName val="第５紙ビット"/>
      <sheetName val="フォーム1"/>
      <sheetName val="表紙"/>
      <sheetName val="ＣＡＭＹ　ＭⅢ"/>
      <sheetName val="パラメータ"/>
      <sheetName val="#0"/>
      <sheetName val="価格一覧表"/>
      <sheetName val="ＳＱＬ"/>
      <sheetName val="T_ＣＡＤ情報"/>
      <sheetName val="T_ORG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定量化結果"/>
      <sheetName val="一覧１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ﾃﾞｰﾀﾍﾞｰｽ"/>
      <sheetName val="設計通知書原紙"/>
      <sheetName val="061Wｶｲｼｭ"/>
      <sheetName val="元データ"/>
      <sheetName val="_061Wｶｲｼｭ.XLSꁝ덮㐁ཤ表"/>
      <sheetName val="車両ｽﾍﾟｯｸ表"/>
      <sheetName val="1"/>
      <sheetName val="総合B"/>
      <sheetName val="静ﾊﾟﾀﾝ分析"/>
      <sheetName val="HPS Slit Coil (Centralia)"/>
      <sheetName val="段ﾎﾞｰﾙ箱図番･荷姿ｺｰﾄﾞ"/>
      <sheetName val="生涯利益計画ｼｰﾄ"/>
      <sheetName val="Sheet1"/>
      <sheetName val="FRT"/>
      <sheetName val="15A"/>
      <sheetName val="094W原紙 "/>
      <sheetName val="県別ﾏﾙﾁ"/>
      <sheetName val="Top22(GBP)"/>
      <sheetName val="Installation"/>
      <sheetName val="全品番DETAILS-LOT"/>
      <sheetName val="生産コード一覧"/>
      <sheetName val="HYO"/>
      <sheetName val="list"/>
      <sheetName val="システム記号リスト"/>
      <sheetName val="第２紙"/>
      <sheetName val="ヘルプ"/>
      <sheetName val="0P-1"/>
      <sheetName val="PL"/>
      <sheetName val="Color"/>
      <sheetName val="FLETES"/>
      <sheetName val="資繰"/>
      <sheetName val="各種設定"/>
      <sheetName val="選択項目"/>
      <sheetName val="３月ＫＤ"/>
      <sheetName val="工数海外比率"/>
      <sheetName val="labcodes"/>
      <sheetName val="Mth"/>
      <sheetName val="Qtr"/>
      <sheetName val="カメラ"/>
      <sheetName val="Ladder Report (2)"/>
      <sheetName val="14. Staff Benefits"/>
      <sheetName val="WIRE"/>
      <sheetName val="MM利益・原価企画方針書ｶｸ１"/>
      <sheetName val="ﾊﾟｲﾌﾟ"/>
      <sheetName val="他材料費"/>
      <sheetName val="熱延鋼板"/>
      <sheetName val="冷延鋼板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原紙"/>
      <sheetName val="ﾀﾞｲｵｰﾄﾞ変更"/>
      <sheetName val="ŽÔ—¼Ž¿—Êˆê——"/>
      <sheetName val="合格率"/>
      <sheetName val="设备分析资料表2"/>
      <sheetName val="Referent information"/>
      <sheetName val="①評価項目_メーカー"/>
      <sheetName val="ﾀﾘﾌ"/>
      <sheetName val="3???????"/>
      <sheetName val="ＭⅢ"/>
      <sheetName val="Req"/>
      <sheetName val="A"/>
      <sheetName val="PRENSAS 1"/>
      <sheetName val="???????"/>
      <sheetName val="SWS投資基準_計算"/>
      <sheetName val="094_APP別"/>
      <sheetName val="74上"/>
      <sheetName val="DATA"/>
      <sheetName val="原単位表ﾌﾄﾒ_"/>
      <sheetName val="金属スライド"/>
      <sheetName val="Ka"/>
      <sheetName val="[061Wｶｲｼｭ_XLSꁝ덮㐁ཤ表"/>
      <sheetName val="MPL_技連"/>
      <sheetName val="342E_BLOCK"/>
      <sheetName val="①ﾌﾟﾙﾀﾞｳﾝﾘｽﾄ"/>
      <sheetName val="タブ用"/>
      <sheetName val="前提1-综合"/>
      <sheetName val="QC APPROVE SHEET"/>
      <sheetName val="W_TEXT"/>
      <sheetName val="7110"/>
      <sheetName val="Sheet2"/>
      <sheetName val="ATR KMH's"/>
      <sheetName val="ヘッダ"/>
      <sheetName val="A-100전제"/>
      <sheetName val="データ"/>
      <sheetName val="売上総益ﾃﾞｰﾀ"/>
      <sheetName val="2001USA Sales"/>
      <sheetName val="Lists"/>
      <sheetName val="SV5 Margins"/>
      <sheetName val="Format"/>
      <sheetName val="T_GetCar_Type_Code"/>
      <sheetName val="T_GetCustomer_Cd"/>
      <sheetName val="T_GetModel_No"/>
      <sheetName val="T_GetPProduct_No"/>
      <sheetName val="T_GetProduct_Line_Cd"/>
      <sheetName val="T_GetProduct_Site_Cd"/>
      <sheetName val="Tabela"/>
      <sheetName val="納品書"/>
      <sheetName val="ﾕｰｻﾞｰ設定"/>
      <sheetName val="3_______"/>
      <sheetName val="_______"/>
      <sheetName val="部品構成82111"/>
      <sheetName val="DASH用係数"/>
      <sheetName val="Summonth MP"/>
      <sheetName val="Summonth SC"/>
      <sheetName val="Monthly"/>
      <sheetName val="800T Follow-up Data"/>
      <sheetName val="国"/>
      <sheetName val="海"/>
      <sheetName val="Price list"/>
      <sheetName val="リスト類"/>
      <sheetName val="?????"/>
      <sheetName val="Material Price"/>
      <sheetName val="※ﾌﾟﾙﾀﾞｳﾝ用"/>
      <sheetName val="#REF"/>
      <sheetName val="Optional per Versione"/>
      <sheetName val="b`lx@lV"/>
      <sheetName val="Jan26-Feb22PT"/>
      <sheetName val="Cust"/>
      <sheetName val="MAT-IN"/>
      <sheetName val="検証確認シート"/>
      <sheetName val="Hide-rev-lists"/>
      <sheetName val="config_00"/>
      <sheetName val="月次概況"/>
      <sheetName val="3ｹ月機能"/>
      <sheetName val="CmpLes"/>
      <sheetName val="選択肢"/>
      <sheetName val="内売@設定資料0630"/>
      <sheetName val="入力イメージ"/>
      <sheetName val="79期 計画（最終△1）"/>
      <sheetName val="管理統制費 "/>
      <sheetName val="矢崎購入"/>
      <sheetName val="内-榛原"/>
      <sheetName val="追加1"/>
      <sheetName val="追加2"/>
      <sheetName val="品番情報"/>
      <sheetName val="選択用リスト、承認枠"/>
      <sheetName val="計画アイテム"/>
      <sheetName val="原単位表ﾌﾄﾒ_1"/>
      <sheetName val="HPS_Slit_Coil_(Centralia)"/>
      <sheetName val="_061Wｶｲｼｭ_XLSꁝ덮㐁ཤ表"/>
      <sheetName val="094W原紙_"/>
      <sheetName val="Ladder_Report_(2)"/>
      <sheetName val="14__Staff_Benefits"/>
      <sheetName val="Referent_information"/>
      <sheetName val="QC_APPROVE_SHEET"/>
      <sheetName val="PRENSAS_1"/>
      <sheetName val="不良項目"/>
      <sheetName val="Fixed Assets"/>
      <sheetName val="図面台帳"/>
      <sheetName val="config_03"/>
      <sheetName val="RMB86"/>
      <sheetName val="ｺｽﾄ比較 (総括)"/>
      <sheetName val="MMCCommonFixRate"/>
      <sheetName val="ProductionFixed"/>
      <sheetName val="Read me first"/>
      <sheetName val="ESM ver2"/>
      <sheetName val="【更新禁止】入力制御"/>
      <sheetName val="【更新禁止】マスタ制御"/>
      <sheetName val="[061Wｶｲｼｭ_XLSꁝ덮㐁ཤ表1"/>
      <sheetName val="MPL_技連1"/>
      <sheetName val="342E_BLOCK1"/>
      <sheetName val="ATR_KMH's"/>
      <sheetName val="SV5_Margins"/>
      <sheetName val="2001USA_Sales"/>
      <sheetName val="800T_Follow-up_Data"/>
      <sheetName val="_RemoteViewSysMain"/>
      <sheetName val="Description"/>
      <sheetName val="_____"/>
      <sheetName val="Basic information"/>
      <sheetName val="Price_list"/>
      <sheetName val="frm1"/>
      <sheetName val="T_排他"/>
      <sheetName val="T_事計品番"/>
      <sheetName val="T_事計品番読込"/>
      <sheetName val="Defect Item Master"/>
      <sheetName val="Sheet3"/>
      <sheetName val="ﾘｽﾄ"/>
      <sheetName val="T_GetMas_Hinban"/>
      <sheetName val="N(02a)"/>
      <sheetName val="T_GetOperating_Schedule"/>
      <sheetName val="pki"/>
      <sheetName val="person"/>
      <sheetName val="T_Car_Type_Code"/>
      <sheetName val="T_Haibun_Kbn"/>
      <sheetName val="T_Product_Site_Cd"/>
      <sheetName val="C"/>
      <sheetName val="Summary"/>
      <sheetName val="NWEA1180"/>
      <sheetName val="リスト"/>
      <sheetName val="压探针用治具其他"/>
      <sheetName val="尼龙带"/>
      <sheetName val="枠冶具"/>
      <sheetName val="金日FJK0508"/>
      <sheetName val="金日SDM-S0504"/>
      <sheetName val="出荷実績"/>
      <sheetName val="ﾃﾝﾌﾟﾚｰﾄ"/>
      <sheetName val="組立図板"/>
      <sheetName val="計算DATA"/>
      <sheetName val="集計結果詳細"/>
      <sheetName val="クエリ5"/>
      <sheetName val="５月購入実績"/>
      <sheetName val="BC01_Mpplan2"/>
      <sheetName val="frm2-1"/>
      <sheetName val="frm2-2"/>
      <sheetName val="frm3"/>
      <sheetName val="JUEVES 31"/>
      <sheetName val="MIERCOLES2"/>
      <sheetName val="VIERNES2"/>
      <sheetName val="JUEVES2"/>
      <sheetName val="LUNES2"/>
      <sheetName val="MARTES 29"/>
      <sheetName val="LUNES3"/>
      <sheetName val="MARTES3"/>
      <sheetName val="MIERCOLES3"/>
      <sheetName val="JUEVES3"/>
      <sheetName val="VIERNES3"/>
      <sheetName val="SEMANA"/>
      <sheetName val="MIERCOLES 30"/>
      <sheetName val="LUNES28"/>
      <sheetName val="MARTES2"/>
      <sheetName val="車種別損益表"/>
      <sheetName val="生産日報"/>
      <sheetName val="ｸﾘｱﾗﾝｽ算出(112-107)"/>
      <sheetName val="图2~3"/>
      <sheetName val="検証1"/>
      <sheetName val="検証489 "/>
      <sheetName val="初期03"/>
      <sheetName val="北米3in1"/>
      <sheetName val="北米標準ｺﾝﾋﾞ"/>
      <sheetName val="COVER明細"/>
      <sheetName val="週示0610"/>
      <sheetName val="Sheet22"/>
      <sheetName val="400L"/>
      <sheetName val="最新基準単価 "/>
      <sheetName val="金日HZR0505"/>
      <sheetName val="TB"/>
      <sheetName val="値引き効果額品番登録・照会"/>
      <sheetName val="J21KPL"/>
      <sheetName val="スコアカード (2)"/>
      <sheetName val="原単位表ﾌﾄﾒ_2"/>
      <sheetName val="_061Wｶｲｼｭ_XLSꁝ덮㐁ཤ表1"/>
      <sheetName val="HPS_Slit_Coil_(Centralia)1"/>
      <sheetName val="094W原紙_1"/>
      <sheetName val="14__Staff_Benefits1"/>
      <sheetName val="Ladder_Report_(2)1"/>
      <sheetName val="Referent_information1"/>
      <sheetName val="PRENSAS_11"/>
      <sheetName val="QC_APPROVE_SHEET1"/>
      <sheetName val="Material_Price"/>
      <sheetName val="Optional_per_Versione"/>
      <sheetName val="Basic_information"/>
      <sheetName val="Defect_Item_Master"/>
      <sheetName val="[061Wｶｲｼｭ_XLSꁝ덮㐁ཤ表2"/>
      <sheetName val="MPL_技連2"/>
      <sheetName val="342E_BLOCK2"/>
      <sheetName val="ATR_KMH's1"/>
      <sheetName val="SV5_Margins1"/>
      <sheetName val="2001USA_Sales1"/>
      <sheetName val="800T_Follow-up_Data1"/>
      <sheetName val="Canada"/>
      <sheetName val="分析"/>
      <sheetName val="TEMPLATE"/>
      <sheetName val="１．InfoCube (YKCH0010)案１"/>
      <sheetName val="１．InfoCube (YKCH0010) 案２"/>
      <sheetName val="ｺｽﾄ比較_(総括)"/>
      <sheetName val="説明資料1"/>
      <sheetName val="通常申請ﾌｫｰﾏｯﾄ"/>
      <sheetName val="説明資料3"/>
      <sheetName val="余剰データ"/>
      <sheetName val="Air申請"/>
      <sheetName val=" D2"/>
      <sheetName val="frm5"/>
      <sheetName val="Price_list1"/>
      <sheetName val="Summonth_MP"/>
      <sheetName val="Summonth_SC"/>
      <sheetName val="採否比較金額"/>
      <sheetName val="評価比較件数"/>
      <sheetName val="アルミ防食コスト試算"/>
      <sheetName val="引継data（内製）"/>
      <sheetName val="Unit req list QIP-Dan"/>
      <sheetName val="Production PLAN"/>
      <sheetName val="ASSY PLAN-ACTUAL"/>
      <sheetName val="Box-Bag-Opp"/>
      <sheetName val="Check Po"/>
      <sheetName val="sec."/>
      <sheetName val="Urgent plan"/>
      <sheetName val="Adjust CVR"/>
      <sheetName val="Time line"/>
      <sheetName val="CVR_14-May"/>
      <sheetName val="Plan repair part _CVR"/>
      <sheetName val="x Database"/>
      <sheetName val="Macro1"/>
      <sheetName val="1-2.グラフ"/>
      <sheetName val="4-1.グラフ 19まで完成版"/>
      <sheetName val="_061Wｶｲｼｭ_XLSꁝ덮㐁ཤ表2"/>
      <sheetName val="外観検査員の調査 (金森)"/>
      <sheetName val="AlbPrint"/>
      <sheetName val="条件表"/>
      <sheetName val="CONTRACT NOTE"/>
      <sheetName val="検索･参照"/>
      <sheetName val="Production Database 399"/>
      <sheetName val="3.４Ｒ損益"/>
      <sheetName val="MIA2"/>
      <sheetName val="141-1"/>
      <sheetName val="SH_ENTITY"/>
      <sheetName val="SH_GROUP"/>
      <sheetName val="SH_ICP"/>
      <sheetName val="SH_PROFILE"/>
      <sheetName val="SH_PRODUCTS"/>
      <sheetName val="MYZK02"/>
      <sheetName val="1.実行"/>
      <sheetName val="2.原単位"/>
      <sheetName val="3.マスター"/>
      <sheetName val="4.Format"/>
      <sheetName val="5.構成分析シート"/>
      <sheetName val="8211116K00_00000"/>
      <sheetName val="8211116K10_00000"/>
      <sheetName val="8211116K20_00000"/>
      <sheetName val="8211116K30_00000"/>
      <sheetName val="8214116G60_00000"/>
      <sheetName val="8214116G70_00000"/>
      <sheetName val="8214116G80_00000"/>
      <sheetName val="8216116D90_00000"/>
      <sheetName val="8216116E00_00000"/>
      <sheetName val="141"/>
      <sheetName val="選択リスト"/>
      <sheetName val="ARA37"/>
      <sheetName val="長計対比"/>
      <sheetName val="BPCS Table"/>
      <sheetName val="Current Yr Int Sales"/>
      <sheetName val="RK1"/>
      <sheetName val="当月報告書"/>
      <sheetName val="ﾍﾞｰｽﾃﾞｰﾀ"/>
      <sheetName val="累計"/>
      <sheetName val="3発"/>
      <sheetName val="介護 月次報告"/>
      <sheetName val="農業 月次報告"/>
      <sheetName val="まとめ"/>
      <sheetName val="整合後2021,12,24"/>
      <sheetName val="構想"/>
      <sheetName val="回路　表示用 "/>
      <sheetName val="回路　まとめ"/>
      <sheetName val="回路　750"/>
      <sheetName val="情報"/>
      <sheetName val="人工 "/>
      <sheetName val="設備"/>
      <sheetName val="人・設備能力"/>
      <sheetName val="㎡あたり工数、能率 (2)"/>
      <sheetName val="前工程旧レイアウト "/>
      <sheetName val="前工程新レイアウト"/>
      <sheetName val="134　レイアウト"/>
      <sheetName val="135レイアウト"/>
      <sheetName val="人工"/>
      <sheetName val="積上　10PL（サーミスタ端子挿入）T2"/>
      <sheetName val="積上　10PL（サーミスタ組立）T2 "/>
      <sheetName val="積上　10PL（コンベアー組立）T2 "/>
      <sheetName val="積上　10PL（VS端子挿入）T2 "/>
      <sheetName val="積上　10PL（導通検査）T2"/>
      <sheetName val="積上　10PL（サーミスタブサブ）U2"/>
      <sheetName val="積上　10PL（コンベアー組立導通検査）U2"/>
      <sheetName val="積上　10PL（VS端子挿入）U2 134"/>
      <sheetName val="積上　10PL（ファイナル検査）U2"/>
      <sheetName val="㎡あたり工数、能率"/>
      <sheetName val="生産構想図作り方流れ"/>
      <sheetName val="電線"/>
      <sheetName val="チューブ"/>
      <sheetName val="部品"/>
      <sheetName val="副資材"/>
      <sheetName val="新スケジュール"/>
      <sheetName val="99年度原単位"/>
      <sheetName val="ｺｽﾄ比較_(総括)1"/>
      <sheetName val="Read_me_first"/>
      <sheetName val="ESM_ver2"/>
      <sheetName val="JUEVES_31"/>
      <sheetName val="MARTES_29"/>
      <sheetName val="MIERCOLES_30"/>
      <sheetName val="検証489_"/>
      <sheetName val="Fixed_Assets"/>
      <sheetName val="79期_計画（最終△1）"/>
      <sheetName val="管理統制費_"/>
      <sheetName val="Price range IT"/>
      <sheetName val="2"/>
      <sheetName val="QA"/>
      <sheetName val="main"/>
      <sheetName val="amp_spr"/>
      <sheetName val="C214 9306#25"/>
      <sheetName val="wms20.03.06"/>
      <sheetName val="StdHrs07.02.06"/>
      <sheetName val="Yaris 316W 23.03.2006"/>
      <sheetName val="301N見積検討"/>
      <sheetName val="従推"/>
      <sheetName val="ESTABLISH"/>
      <sheetName val="検索条件メイク"/>
      <sheetName val="印刷不要)P3受注量元データ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/>
      <sheetData sheetId="394"/>
      <sheetData sheetId="395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v Wear &amp; Tear BP Revise"/>
      <sheetName val="MYZK02"/>
      <sheetName val="GRAPH"/>
      <sheetName val="Nov TB"/>
      <sheetName val="Asumption"/>
      <sheetName val="Wear &amp; Tear Each Dept-Sect"/>
      <sheetName val="TB SUMARRY"/>
      <sheetName val="Inventory Turn Over"/>
      <sheetName val="Invesment"/>
      <sheetName val="Packing"/>
      <sheetName val="QTY MAZDA PREMACY"/>
      <sheetName val="OTY FUGA"/>
      <sheetName val="QTY QUEST"/>
      <sheetName val="QTY MAXIMA"/>
      <sheetName val="UMH MAZDA PREMACY"/>
      <sheetName val="UMH FUGA"/>
      <sheetName val="UMH QUEST"/>
      <sheetName val="UMH MAXIMA"/>
      <sheetName val="STF"/>
      <sheetName val="GUIDELINE"/>
      <sheetName val="PL"/>
      <sheetName val="BS"/>
      <sheetName val="Data1"/>
      <sheetName val="ACCOUNT"/>
      <sheetName val="094_APP別"/>
      <sheetName val="A"/>
      <sheetName val="00年9月"/>
      <sheetName val="Inv_Wear_&amp;_Tear_BP_Revise"/>
      <sheetName val="Nov_TB"/>
      <sheetName val="Wear_&amp;_Tear_Each_Dept-Sect"/>
      <sheetName val="TB_SUMARRY"/>
      <sheetName val="Inventory_Turn_Over"/>
      <sheetName val="QTY_MAZDA_PREMACY"/>
      <sheetName val="OTY_FUGA"/>
      <sheetName val="QTY_QUEST"/>
      <sheetName val="QTY_MAXIMA"/>
      <sheetName val="UMH_MAZDA_PREMACY"/>
      <sheetName val="UMH_FUGA"/>
      <sheetName val="UMH_QUEST"/>
      <sheetName val="UMH_MAXIMA"/>
      <sheetName val="M010"/>
      <sheetName val="原単位表"/>
      <sheetName val="S-PLAN"/>
      <sheetName val="M020"/>
      <sheetName val="I060"/>
      <sheetName val="M022"/>
      <sheetName val="M013"/>
      <sheetName val="M031"/>
      <sheetName val="M030"/>
      <sheetName val="Inv_Wear_&amp;_Tear_BP_Revise1"/>
      <sheetName val="Nov_TB1"/>
      <sheetName val="Wear_&amp;_Tear_Each_Dept-Sect1"/>
      <sheetName val="TB_SUMARRY1"/>
      <sheetName val="Inventory_Turn_Over1"/>
      <sheetName val="QTY_MAZDA_PREMACY1"/>
      <sheetName val="OTY_FUGA1"/>
      <sheetName val="QTY_QUEST1"/>
      <sheetName val="QTY_MAXIMA1"/>
      <sheetName val="UMH_MAZDA_PREMACY1"/>
      <sheetName val="UMH_FUGA1"/>
      <sheetName val="UMH_QUEST1"/>
      <sheetName val="UMH_MAXIMA1"/>
      <sheetName val="Inv_Wear_&amp;_Tear_BP_Revise2"/>
      <sheetName val="Nov_TB2"/>
      <sheetName val="Wear_&amp;_Tear_Each_Dept-Sect2"/>
      <sheetName val="TB_SUMARRY2"/>
      <sheetName val="Inventory_Turn_Over2"/>
      <sheetName val="QTY_MAZDA_PREMACY2"/>
      <sheetName val="OTY_FUGA2"/>
      <sheetName val="QTY_QUEST2"/>
      <sheetName val="QTY_MAXIMA2"/>
      <sheetName val="UMH_MAZDA_PREMACY2"/>
      <sheetName val="UMH_FUGA2"/>
      <sheetName val="UMH_QUEST2"/>
      <sheetName val="UMH_MAXIMA2"/>
    </sheetNames>
    <sheetDataSet>
      <sheetData sheetId="0" refreshError="1"/>
      <sheetData sheetId="1" refreshError="1"/>
      <sheetData sheetId="2" refreshError="1">
        <row r="1">
          <cell r="A1" t="str">
            <v>&lt;&lt; Sales &amp; Manufacture Plan &gt;&gt;</v>
          </cell>
        </row>
        <row r="75">
          <cell r="K75">
            <v>82444.691860465115</v>
          </cell>
          <cell r="L75">
            <v>468002.62209302327</v>
          </cell>
          <cell r="M75">
            <v>37943.361223359068</v>
          </cell>
          <cell r="N75">
            <v>37058.170831103533</v>
          </cell>
          <cell r="O75">
            <v>80802.5</v>
          </cell>
          <cell r="P75">
            <v>29902.5</v>
          </cell>
        </row>
        <row r="531">
          <cell r="I531">
            <v>565869.07999999996</v>
          </cell>
          <cell r="J531">
            <v>565869.1</v>
          </cell>
          <cell r="K531">
            <v>760549.3698181021</v>
          </cell>
          <cell r="L531">
            <v>705016.13763368898</v>
          </cell>
          <cell r="M531">
            <v>715161.43433637021</v>
          </cell>
          <cell r="N531">
            <v>958056</v>
          </cell>
          <cell r="O531">
            <v>924768</v>
          </cell>
          <cell r="P531">
            <v>901512</v>
          </cell>
        </row>
        <row r="554">
          <cell r="I554">
            <v>774596.16999999993</v>
          </cell>
          <cell r="J554">
            <v>557709.2723999999</v>
          </cell>
          <cell r="K554">
            <v>828817.93189999997</v>
          </cell>
          <cell r="L554">
            <v>681644.65960000001</v>
          </cell>
          <cell r="M554">
            <v>720374.46809999994</v>
          </cell>
          <cell r="N554">
            <v>1045704.8594999998</v>
          </cell>
          <cell r="O554">
            <v>906277.54889999982</v>
          </cell>
          <cell r="P554">
            <v>890785.62550000008</v>
          </cell>
        </row>
        <row r="582">
          <cell r="I582">
            <v>261002.5002999999</v>
          </cell>
          <cell r="J582">
            <v>89590.849199999881</v>
          </cell>
          <cell r="K582">
            <v>117840.64468522303</v>
          </cell>
          <cell r="L582">
            <v>-11401.832424787164</v>
          </cell>
          <cell r="M582">
            <v>23446.142576716404</v>
          </cell>
          <cell r="N582">
            <v>233241.92340523814</v>
          </cell>
          <cell r="O582">
            <v>131589.57221660047</v>
          </cell>
          <cell r="P582">
            <v>97146.725423010823</v>
          </cell>
        </row>
        <row r="595">
          <cell r="I595">
            <v>239702.92029999988</v>
          </cell>
          <cell r="J595">
            <v>72688.549199999878</v>
          </cell>
          <cell r="K595">
            <v>102994.04468522302</v>
          </cell>
          <cell r="L595">
            <v>-28312.432424787166</v>
          </cell>
          <cell r="M595">
            <v>-58067.657423283599</v>
          </cell>
          <cell r="N595">
            <v>221868.42340523814</v>
          </cell>
          <cell r="O595">
            <v>119157.87221660049</v>
          </cell>
          <cell r="P595">
            <v>84611.325423010829</v>
          </cell>
        </row>
        <row r="601">
          <cell r="J601">
            <v>72688.549199999878</v>
          </cell>
          <cell r="K601">
            <v>102994.04468522302</v>
          </cell>
          <cell r="L601">
            <v>-28312.432424787166</v>
          </cell>
          <cell r="M601">
            <v>-58067.657423283599</v>
          </cell>
          <cell r="N601">
            <v>221868.42340523814</v>
          </cell>
          <cell r="O601">
            <v>119157.87221660049</v>
          </cell>
          <cell r="P601">
            <v>84611.325423010829</v>
          </cell>
        </row>
        <row r="809"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</row>
        <row r="811">
          <cell r="I811">
            <v>0</v>
          </cell>
          <cell r="J811">
            <v>4.6800000127404928E-2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2.8372534434311092E-2</v>
          </cell>
          <cell r="P811">
            <v>4.4962211861275136E-2</v>
          </cell>
        </row>
        <row r="812">
          <cell r="I812">
            <v>1690781.3399999999</v>
          </cell>
          <cell r="J812">
            <v>1448582.3223999999</v>
          </cell>
          <cell r="K812">
            <v>1533978.8844818978</v>
          </cell>
          <cell r="L812">
            <v>1491607.4064482087</v>
          </cell>
          <cell r="M812">
            <v>1478820.4402118386</v>
          </cell>
          <cell r="N812">
            <v>1547469.2997118384</v>
          </cell>
          <cell r="O812">
            <v>1509978.8486118382</v>
          </cell>
          <cell r="P812">
            <v>1480252.4741118383</v>
          </cell>
        </row>
        <row r="828">
          <cell r="I828">
            <v>14104574.290000001</v>
          </cell>
          <cell r="J828">
            <v>13961010.290000001</v>
          </cell>
          <cell r="K828">
            <v>13898956.481860468</v>
          </cell>
          <cell r="L828">
            <v>14217549.203953488</v>
          </cell>
          <cell r="M828">
            <v>14105687.465176847</v>
          </cell>
          <cell r="N828">
            <v>13992554.43600795</v>
          </cell>
          <cell r="O828">
            <v>13922324.136007952</v>
          </cell>
          <cell r="P828">
            <v>13800882.336007953</v>
          </cell>
        </row>
        <row r="859">
          <cell r="I859">
            <v>7295277.21</v>
          </cell>
          <cell r="J859">
            <v>8416800.2100000009</v>
          </cell>
          <cell r="K859">
            <v>9103423.5136148669</v>
          </cell>
          <cell r="L859">
            <v>9445838.6430848707</v>
          </cell>
          <cell r="M859">
            <v>9410428.7266945392</v>
          </cell>
          <cell r="N859">
            <v>9501976.2507796306</v>
          </cell>
          <cell r="O859">
            <v>9311670.3100000005</v>
          </cell>
          <cell r="P859">
            <v>9345346.6100000013</v>
          </cell>
        </row>
        <row r="879"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</row>
        <row r="1129">
          <cell r="I1129">
            <v>0.33700000000000002</v>
          </cell>
          <cell r="J1129">
            <v>0.161</v>
          </cell>
          <cell r="K1129">
            <v>0.14199999999999999</v>
          </cell>
          <cell r="L1129">
            <v>-1.7000000000000001E-2</v>
          </cell>
          <cell r="M1129">
            <v>3.3000000000000002E-2</v>
          </cell>
          <cell r="N1129">
            <v>0.223</v>
          </cell>
          <cell r="O1129">
            <v>0.14499999999999999</v>
          </cell>
          <cell r="P1129">
            <v>0.109</v>
          </cell>
        </row>
        <row r="1259">
          <cell r="I1259">
            <v>8.8999999999999996E-2</v>
          </cell>
          <cell r="J1259">
            <v>9.6000000000000002E-2</v>
          </cell>
          <cell r="K1259">
            <v>0.10100000000000001</v>
          </cell>
          <cell r="L1259">
            <v>9.8000000000000004E-2</v>
          </cell>
          <cell r="M1259">
            <v>9.5000000000000001E-2</v>
          </cell>
          <cell r="N1259">
            <v>0.107</v>
          </cell>
          <cell r="O1259">
            <v>0.115</v>
          </cell>
          <cell r="P1259">
            <v>0.121</v>
          </cell>
        </row>
        <row r="1293">
          <cell r="I1293" t="str">
            <v>^04/7~11</v>
          </cell>
          <cell r="J1293" t="str">
            <v>04/12</v>
          </cell>
          <cell r="K1293" t="str">
            <v>05/1</v>
          </cell>
          <cell r="L1293" t="str">
            <v>05/2</v>
          </cell>
          <cell r="M1293" t="str">
            <v>05/3</v>
          </cell>
          <cell r="N1293" t="str">
            <v>/5/4</v>
          </cell>
          <cell r="O1293" t="str">
            <v>05/5</v>
          </cell>
          <cell r="P1293" t="str">
            <v>05/6</v>
          </cell>
        </row>
        <row r="1302">
          <cell r="J1302">
            <v>72688.549199999878</v>
          </cell>
          <cell r="K1302">
            <v>102994.04468522302</v>
          </cell>
          <cell r="L1302">
            <v>-28312.432424787166</v>
          </cell>
          <cell r="M1302">
            <v>5932.3425767164008</v>
          </cell>
          <cell r="N1302">
            <v>221868.42340523814</v>
          </cell>
          <cell r="O1302">
            <v>119157.87221660049</v>
          </cell>
          <cell r="P1302">
            <v>84611.325423010829</v>
          </cell>
        </row>
        <row r="1304">
          <cell r="I1304">
            <v>355804.16000000003</v>
          </cell>
          <cell r="J1304">
            <v>166546.27000000002</v>
          </cell>
          <cell r="K1304">
            <v>180746.17</v>
          </cell>
          <cell r="L1304">
            <v>176695.67</v>
          </cell>
          <cell r="M1304">
            <v>177435.57</v>
          </cell>
          <cell r="N1304">
            <v>195152.27000000002</v>
          </cell>
          <cell r="O1304">
            <v>192724.16999999998</v>
          </cell>
          <cell r="P1304">
            <v>191027.87</v>
          </cell>
        </row>
        <row r="1305">
          <cell r="I1305">
            <v>2437112.08</v>
          </cell>
          <cell r="J1305">
            <v>941862.06000000017</v>
          </cell>
          <cell r="K1305">
            <v>669966.99186046526</v>
          </cell>
          <cell r="L1305">
            <v>619640.77209302329</v>
          </cell>
          <cell r="M1305">
            <v>579762.11122335913</v>
          </cell>
          <cell r="N1305">
            <v>425889.73749777029</v>
          </cell>
          <cell r="O1305">
            <v>323700.88333333342</v>
          </cell>
          <cell r="P1305">
            <v>110783.10000000009</v>
          </cell>
        </row>
        <row r="1306">
          <cell r="I1306">
            <v>5145000</v>
          </cell>
          <cell r="J1306">
            <v>5145000</v>
          </cell>
          <cell r="K1306">
            <v>4730500</v>
          </cell>
          <cell r="L1306">
            <v>4730500</v>
          </cell>
          <cell r="M1306">
            <v>4730500</v>
          </cell>
          <cell r="N1306">
            <v>4730500</v>
          </cell>
          <cell r="O1306">
            <v>4730500</v>
          </cell>
          <cell r="P1306">
            <v>4730500</v>
          </cell>
        </row>
        <row r="1307"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</row>
        <row r="1308">
          <cell r="I1308">
            <v>312147.55999999994</v>
          </cell>
          <cell r="J1308">
            <v>179993.99</v>
          </cell>
          <cell r="K1308">
            <v>308994.61698181019</v>
          </cell>
          <cell r="L1308">
            <v>261855.58376336889</v>
          </cell>
          <cell r="M1308">
            <v>281448.31343363703</v>
          </cell>
          <cell r="N1308">
            <v>338031.87</v>
          </cell>
          <cell r="O1308">
            <v>367931.97</v>
          </cell>
          <cell r="P1308">
            <v>286441.67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97T輸入部品リスト"/>
      <sheetName val="方針"/>
      <sheetName val="2･16会議通知"/>
      <sheetName val="702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移管調整議事"/>
      <sheetName val="品番情報"/>
      <sheetName val="製造部署移管日程（82121-）差替計画"/>
      <sheetName val="製造部署変更スケジュール（82121-）差替計画"/>
      <sheetName val="単線共通分析"/>
      <sheetName val="材料分析"/>
      <sheetName val="長期計画"/>
      <sheetName val="当初年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I 201107"/>
      <sheetName val="MAPPING REV.2"/>
      <sheetName val="AKAN RESIGN"/>
      <sheetName val="rkp all"/>
      <sheetName val="rkp prd"/>
      <sheetName val="PRD ONLY"/>
      <sheetName val="Sheet4"/>
      <sheetName val="DIRECT EFFICIENCY"/>
      <sheetName val="FEB 14-joint sa 5 (2)"/>
      <sheetName val="FINAL ASSY EFFICIENCY"/>
      <sheetName val="CONTROL 19"/>
      <sheetName val="GRAFIK."/>
    </sheetNames>
    <sheetDataSet>
      <sheetData sheetId="0" refreshError="1">
        <row r="1">
          <cell r="B1" t="str">
            <v>NIK</v>
          </cell>
          <cell r="C1" t="str">
            <v>NAMA</v>
          </cell>
          <cell r="D1" t="str">
            <v>BATCH</v>
          </cell>
          <cell r="E1" t="str">
            <v>TGL MASUK</v>
          </cell>
          <cell r="F1" t="str">
            <v>AWAL PKWT</v>
          </cell>
          <cell r="G1" t="str">
            <v>AKHIR PKWT</v>
          </cell>
          <cell r="H1" t="str">
            <v>DEPT</v>
          </cell>
          <cell r="I1" t="str">
            <v>SECT</v>
          </cell>
          <cell r="J1" t="str">
            <v>CAR LINE</v>
          </cell>
          <cell r="K1" t="str">
            <v>FAMILY</v>
          </cell>
          <cell r="L1" t="str">
            <v>AREA</v>
          </cell>
          <cell r="M1" t="str">
            <v>JOB</v>
          </cell>
          <cell r="N1" t="str">
            <v>KD AREA</v>
          </cell>
          <cell r="O1" t="str">
            <v>SHIFT</v>
          </cell>
          <cell r="P1" t="str">
            <v>DL/IDL</v>
          </cell>
          <cell r="Q1" t="str">
            <v>STATUS</v>
          </cell>
          <cell r="R1" t="str">
            <v>KET STATUS</v>
          </cell>
          <cell r="S1" t="str">
            <v>JBTN</v>
          </cell>
          <cell r="T1" t="str">
            <v>JK</v>
          </cell>
          <cell r="U1" t="str">
            <v>KD SPV</v>
          </cell>
          <cell r="V1" t="str">
            <v>KD ES</v>
          </cell>
          <cell r="W1" t="str">
            <v>KD ADM</v>
          </cell>
          <cell r="X1" t="str">
            <v>KD TKN</v>
          </cell>
          <cell r="Y1" t="str">
            <v>KD GL</v>
          </cell>
          <cell r="Z1" t="str">
            <v>KD OPT</v>
          </cell>
          <cell r="AA1" t="str">
            <v>KD DRVR</v>
          </cell>
          <cell r="AB1" t="str">
            <v>KD DL</v>
          </cell>
          <cell r="AC1" t="str">
            <v>KD IDL</v>
          </cell>
          <cell r="AD1" t="str">
            <v>KD FPS</v>
          </cell>
          <cell r="AE1" t="str">
            <v>KD FPI</v>
          </cell>
          <cell r="AF1" t="str">
            <v>KD MALE</v>
          </cell>
          <cell r="AG1" t="str">
            <v>NEW</v>
          </cell>
        </row>
        <row r="2">
          <cell r="A2">
            <v>1</v>
          </cell>
          <cell r="B2">
            <v>3682</v>
          </cell>
          <cell r="C2" t="str">
            <v xml:space="preserve">BUNGKUS PRIHADI </v>
          </cell>
          <cell r="D2" t="str">
            <v>MANAGEMENT</v>
          </cell>
          <cell r="E2" t="str">
            <v>-</v>
          </cell>
          <cell r="F2" t="str">
            <v>-</v>
          </cell>
          <cell r="G2" t="str">
            <v>-</v>
          </cell>
          <cell r="H2" t="str">
            <v>ALL</v>
          </cell>
          <cell r="I2" t="str">
            <v>MANAGEMENT</v>
          </cell>
          <cell r="J2" t="str">
            <v>ALL</v>
          </cell>
          <cell r="K2" t="str">
            <v>-</v>
          </cell>
          <cell r="L2" t="str">
            <v>MANAGEMENT</v>
          </cell>
          <cell r="M2" t="str">
            <v>DFM ADM &amp; TECHNICAL</v>
          </cell>
          <cell r="N2" t="str">
            <v>MANAGEMENT</v>
          </cell>
          <cell r="O2" t="str">
            <v>NS</v>
          </cell>
          <cell r="P2" t="str">
            <v>FPS</v>
          </cell>
          <cell r="Q2" t="str">
            <v>PERMANENT</v>
          </cell>
          <cell r="R2" t="str">
            <v>PRM</v>
          </cell>
          <cell r="S2" t="str">
            <v>DFM ADM &amp; TECHNICAL</v>
          </cell>
          <cell r="T2" t="str">
            <v>L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1</v>
          </cell>
          <cell r="AE2">
            <v>0</v>
          </cell>
          <cell r="AF2">
            <v>1</v>
          </cell>
          <cell r="AG2">
            <v>0</v>
          </cell>
        </row>
        <row r="3">
          <cell r="A3">
            <v>1</v>
          </cell>
          <cell r="B3">
            <v>3684</v>
          </cell>
          <cell r="C3" t="str">
            <v>AKIRA TAKIZAWA</v>
          </cell>
          <cell r="D3" t="str">
            <v>MANAGEMENT</v>
          </cell>
          <cell r="E3" t="str">
            <v>-</v>
          </cell>
          <cell r="F3" t="str">
            <v>-</v>
          </cell>
          <cell r="G3" t="str">
            <v>-</v>
          </cell>
          <cell r="H3" t="str">
            <v>ALL</v>
          </cell>
          <cell r="I3" t="str">
            <v>MANAGEMENT</v>
          </cell>
          <cell r="J3" t="str">
            <v>ALL</v>
          </cell>
          <cell r="K3" t="str">
            <v>-</v>
          </cell>
          <cell r="L3" t="str">
            <v>MANAGEMENT</v>
          </cell>
          <cell r="M3" t="str">
            <v>FACTORY MANAGER</v>
          </cell>
          <cell r="N3" t="str">
            <v>MANAGEMENT</v>
          </cell>
          <cell r="O3" t="str">
            <v>NS</v>
          </cell>
          <cell r="P3" t="str">
            <v>IDL</v>
          </cell>
          <cell r="Q3" t="str">
            <v>EXPAT</v>
          </cell>
          <cell r="R3" t="str">
            <v>EXP</v>
          </cell>
          <cell r="S3" t="str">
            <v>FACTORY MANAGER</v>
          </cell>
          <cell r="T3" t="str">
            <v>L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1</v>
          </cell>
          <cell r="AD3">
            <v>0</v>
          </cell>
          <cell r="AE3">
            <v>0</v>
          </cell>
          <cell r="AF3">
            <v>1</v>
          </cell>
          <cell r="AG3">
            <v>0</v>
          </cell>
        </row>
        <row r="4">
          <cell r="A4">
            <v>1</v>
          </cell>
          <cell r="B4">
            <v>4647</v>
          </cell>
          <cell r="C4" t="str">
            <v>VINCENTIUS HARGO PAMUNGKAS</v>
          </cell>
          <cell r="D4" t="str">
            <v>MANAGEMENT</v>
          </cell>
          <cell r="E4">
            <v>38873</v>
          </cell>
          <cell r="F4" t="str">
            <v>-</v>
          </cell>
          <cell r="G4" t="str">
            <v>-</v>
          </cell>
          <cell r="H4" t="str">
            <v>FA</v>
          </cell>
          <cell r="I4" t="str">
            <v>MANAGEMENT</v>
          </cell>
          <cell r="J4" t="str">
            <v>ALL</v>
          </cell>
          <cell r="K4" t="str">
            <v>-</v>
          </cell>
          <cell r="L4" t="str">
            <v>MANAGEMENT</v>
          </cell>
          <cell r="M4" t="str">
            <v>DEPT HEAD FA</v>
          </cell>
          <cell r="N4" t="str">
            <v>MANAGEMENT</v>
          </cell>
          <cell r="O4" t="str">
            <v>NS</v>
          </cell>
          <cell r="P4" t="str">
            <v>IDL</v>
          </cell>
          <cell r="Q4" t="str">
            <v>PERMANENT</v>
          </cell>
          <cell r="R4" t="str">
            <v>PRM</v>
          </cell>
          <cell r="S4" t="str">
            <v>DEPT HEAD FA</v>
          </cell>
          <cell r="T4" t="str">
            <v>L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</v>
          </cell>
          <cell r="AD4">
            <v>0</v>
          </cell>
          <cell r="AE4">
            <v>0</v>
          </cell>
          <cell r="AF4">
            <v>1</v>
          </cell>
          <cell r="AG4">
            <v>0</v>
          </cell>
        </row>
        <row r="5">
          <cell r="A5">
            <v>1</v>
          </cell>
          <cell r="B5">
            <v>3683</v>
          </cell>
          <cell r="C5" t="str">
            <v>AZAZUDDIN IBNU SALAM</v>
          </cell>
          <cell r="D5" t="str">
            <v>MANAGEMENT</v>
          </cell>
          <cell r="E5" t="str">
            <v>-</v>
          </cell>
          <cell r="F5" t="str">
            <v>-</v>
          </cell>
          <cell r="G5" t="str">
            <v>-</v>
          </cell>
          <cell r="H5" t="str">
            <v>LOG</v>
          </cell>
          <cell r="I5" t="str">
            <v>MANAGEMENT</v>
          </cell>
          <cell r="J5" t="str">
            <v>ALL</v>
          </cell>
          <cell r="K5" t="str">
            <v>-</v>
          </cell>
          <cell r="L5" t="str">
            <v>MANAGEMENT</v>
          </cell>
          <cell r="M5" t="str">
            <v>DEPT HEAD LOGISTIC</v>
          </cell>
          <cell r="N5" t="str">
            <v>MANAGEMENT</v>
          </cell>
          <cell r="O5" t="str">
            <v>NS</v>
          </cell>
          <cell r="P5" t="str">
            <v>FPS</v>
          </cell>
          <cell r="Q5" t="str">
            <v>PERMANENT</v>
          </cell>
          <cell r="R5" t="str">
            <v>PRM</v>
          </cell>
          <cell r="S5" t="str">
            <v>DEPT HEAD LOGISTIC</v>
          </cell>
          <cell r="T5" t="str">
            <v>L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</v>
          </cell>
          <cell r="AE5">
            <v>0</v>
          </cell>
          <cell r="AF5">
            <v>1</v>
          </cell>
          <cell r="AG5">
            <v>0</v>
          </cell>
        </row>
        <row r="6">
          <cell r="A6">
            <v>1</v>
          </cell>
          <cell r="B6">
            <v>876</v>
          </cell>
          <cell r="C6" t="str">
            <v>IMADA YASUJI</v>
          </cell>
          <cell r="D6" t="str">
            <v>MANAGEMENT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PE</v>
          </cell>
          <cell r="I6" t="str">
            <v>MANAGEMENT</v>
          </cell>
          <cell r="J6" t="str">
            <v>ALL</v>
          </cell>
          <cell r="K6" t="str">
            <v>-</v>
          </cell>
          <cell r="L6" t="str">
            <v>MANAGEMENT</v>
          </cell>
          <cell r="M6" t="str">
            <v>ADVISOR PE</v>
          </cell>
          <cell r="N6" t="str">
            <v>MANAGEMENT</v>
          </cell>
          <cell r="O6" t="str">
            <v>NS</v>
          </cell>
          <cell r="P6" t="str">
            <v>FPS</v>
          </cell>
          <cell r="Q6" t="str">
            <v>EXPAT</v>
          </cell>
          <cell r="R6" t="str">
            <v>EXP</v>
          </cell>
          <cell r="S6" t="str">
            <v>ADVISOR PE</v>
          </cell>
          <cell r="T6" t="str">
            <v>L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</v>
          </cell>
          <cell r="AE6">
            <v>0</v>
          </cell>
          <cell r="AF6">
            <v>1</v>
          </cell>
          <cell r="AG6">
            <v>0</v>
          </cell>
        </row>
        <row r="7">
          <cell r="A7">
            <v>1</v>
          </cell>
          <cell r="B7">
            <v>10</v>
          </cell>
          <cell r="C7" t="str">
            <v>MANSUR ISNAENI</v>
          </cell>
          <cell r="D7" t="str">
            <v>MANAGEMENT</v>
          </cell>
          <cell r="E7">
            <v>38108</v>
          </cell>
          <cell r="F7" t="str">
            <v>-</v>
          </cell>
          <cell r="G7" t="str">
            <v>-</v>
          </cell>
          <cell r="H7" t="str">
            <v>PRD</v>
          </cell>
          <cell r="I7" t="str">
            <v>MANAGEMENT</v>
          </cell>
          <cell r="J7" t="str">
            <v>ALL</v>
          </cell>
          <cell r="K7" t="str">
            <v>-</v>
          </cell>
          <cell r="L7" t="str">
            <v>MANAGEMENT</v>
          </cell>
          <cell r="M7" t="str">
            <v>DEPT HEAD PRD</v>
          </cell>
          <cell r="N7" t="str">
            <v>MANAGEMENT</v>
          </cell>
          <cell r="O7" t="str">
            <v>NS</v>
          </cell>
          <cell r="P7" t="str">
            <v>FPI</v>
          </cell>
          <cell r="Q7" t="str">
            <v>PERMANENT</v>
          </cell>
          <cell r="R7" t="str">
            <v>PRM</v>
          </cell>
          <cell r="S7" t="str">
            <v>DEPT HEAD PRD</v>
          </cell>
          <cell r="T7" t="str">
            <v>L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</v>
          </cell>
          <cell r="AF7">
            <v>1</v>
          </cell>
          <cell r="AG7">
            <v>0</v>
          </cell>
        </row>
        <row r="8">
          <cell r="A8">
            <v>1</v>
          </cell>
          <cell r="B8">
            <v>3713</v>
          </cell>
          <cell r="C8" t="str">
            <v>SHIBUYA HIROYASU</v>
          </cell>
          <cell r="D8" t="str">
            <v>MANAGEMENT</v>
          </cell>
          <cell r="E8" t="str">
            <v>-</v>
          </cell>
          <cell r="F8" t="str">
            <v>-</v>
          </cell>
          <cell r="G8" t="str">
            <v>-</v>
          </cell>
          <cell r="H8" t="str">
            <v>PRD</v>
          </cell>
          <cell r="I8" t="str">
            <v>MANAGEMENT</v>
          </cell>
          <cell r="J8" t="str">
            <v>ALL</v>
          </cell>
          <cell r="K8" t="str">
            <v>-</v>
          </cell>
          <cell r="L8" t="str">
            <v>MANAGEMENT</v>
          </cell>
          <cell r="M8" t="str">
            <v>ADVISOR PRD</v>
          </cell>
          <cell r="N8" t="str">
            <v>MANAGEMENT</v>
          </cell>
          <cell r="O8" t="str">
            <v>NS</v>
          </cell>
          <cell r="P8" t="str">
            <v>FPI</v>
          </cell>
          <cell r="Q8" t="str">
            <v>EXPAT</v>
          </cell>
          <cell r="R8" t="str">
            <v>EXP</v>
          </cell>
          <cell r="S8" t="str">
            <v>ADVISOR PRD</v>
          </cell>
          <cell r="T8" t="str">
            <v>L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1</v>
          </cell>
          <cell r="AF8">
            <v>1</v>
          </cell>
          <cell r="AG8">
            <v>0</v>
          </cell>
        </row>
        <row r="9">
          <cell r="A9">
            <v>1</v>
          </cell>
          <cell r="B9">
            <v>3717</v>
          </cell>
          <cell r="C9" t="str">
            <v>SHIMIZU SADAYUKI</v>
          </cell>
          <cell r="D9" t="str">
            <v>MANAGEMENT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QA</v>
          </cell>
          <cell r="I9" t="str">
            <v>MANAGEMENT</v>
          </cell>
          <cell r="J9" t="str">
            <v>ALL</v>
          </cell>
          <cell r="K9" t="str">
            <v>-</v>
          </cell>
          <cell r="L9" t="str">
            <v>MANAGEMENT</v>
          </cell>
          <cell r="M9" t="str">
            <v>ADVISOR QA</v>
          </cell>
          <cell r="N9" t="str">
            <v>MANAGEMENT</v>
          </cell>
          <cell r="O9" t="str">
            <v>NS</v>
          </cell>
          <cell r="P9" t="str">
            <v>FPS</v>
          </cell>
          <cell r="Q9" t="str">
            <v>EXPAT</v>
          </cell>
          <cell r="R9" t="str">
            <v>EXP</v>
          </cell>
          <cell r="S9" t="str">
            <v>ADVISOR QA</v>
          </cell>
          <cell r="T9" t="str">
            <v>L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</v>
          </cell>
          <cell r="AE9">
            <v>0</v>
          </cell>
          <cell r="AF9">
            <v>1</v>
          </cell>
          <cell r="AG9">
            <v>0</v>
          </cell>
        </row>
        <row r="10">
          <cell r="A10">
            <v>1</v>
          </cell>
          <cell r="B10">
            <v>41</v>
          </cell>
          <cell r="C10" t="str">
            <v>EDY SUHARYANTO</v>
          </cell>
          <cell r="D10" t="str">
            <v>ES-1</v>
          </cell>
          <cell r="E10">
            <v>37529</v>
          </cell>
          <cell r="F10" t="str">
            <v>-</v>
          </cell>
          <cell r="G10" t="str">
            <v>-</v>
          </cell>
          <cell r="H10" t="str">
            <v>PGA</v>
          </cell>
          <cell r="I10" t="str">
            <v>GA</v>
          </cell>
          <cell r="J10" t="str">
            <v>ALL</v>
          </cell>
          <cell r="K10" t="str">
            <v>-</v>
          </cell>
          <cell r="L10" t="str">
            <v>GA</v>
          </cell>
          <cell r="M10" t="str">
            <v>-</v>
          </cell>
          <cell r="N10" t="str">
            <v>GA</v>
          </cell>
          <cell r="O10" t="str">
            <v>NS</v>
          </cell>
          <cell r="P10" t="str">
            <v>IDL</v>
          </cell>
          <cell r="Q10" t="str">
            <v>PERMANENT</v>
          </cell>
          <cell r="R10" t="str">
            <v>PRM</v>
          </cell>
          <cell r="S10" t="str">
            <v>ES</v>
          </cell>
          <cell r="T10" t="str">
            <v>L</v>
          </cell>
          <cell r="U10">
            <v>0</v>
          </cell>
          <cell r="V10">
            <v>1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1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A11">
            <v>1</v>
          </cell>
          <cell r="B11">
            <v>159</v>
          </cell>
          <cell r="C11" t="str">
            <v>BHADRA SASANGKAYOGA</v>
          </cell>
          <cell r="D11" t="str">
            <v>SPV</v>
          </cell>
          <cell r="E11">
            <v>37662</v>
          </cell>
          <cell r="F11" t="str">
            <v>-</v>
          </cell>
          <cell r="G11" t="str">
            <v>-</v>
          </cell>
          <cell r="H11" t="str">
            <v>PGA</v>
          </cell>
          <cell r="I11" t="str">
            <v>GA</v>
          </cell>
          <cell r="J11" t="str">
            <v>ALL</v>
          </cell>
          <cell r="K11" t="str">
            <v>-</v>
          </cell>
          <cell r="L11" t="str">
            <v>GA</v>
          </cell>
          <cell r="M11" t="str">
            <v>-</v>
          </cell>
          <cell r="N11" t="str">
            <v>GA</v>
          </cell>
          <cell r="O11" t="str">
            <v>NS</v>
          </cell>
          <cell r="P11" t="str">
            <v>IDL</v>
          </cell>
          <cell r="Q11" t="str">
            <v>PERMANENT</v>
          </cell>
          <cell r="R11" t="str">
            <v>PRM</v>
          </cell>
          <cell r="S11" t="str">
            <v>SPV</v>
          </cell>
          <cell r="T11" t="str">
            <v>L</v>
          </cell>
          <cell r="U11">
            <v>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A12">
            <v>1</v>
          </cell>
          <cell r="B12">
            <v>549</v>
          </cell>
          <cell r="C12" t="str">
            <v>CHOERUDIN</v>
          </cell>
          <cell r="D12" t="str">
            <v>OPT-14</v>
          </cell>
          <cell r="E12">
            <v>37767</v>
          </cell>
          <cell r="F12" t="str">
            <v>-</v>
          </cell>
          <cell r="G12" t="str">
            <v>-</v>
          </cell>
          <cell r="H12" t="str">
            <v>PGA</v>
          </cell>
          <cell r="I12" t="str">
            <v>GA</v>
          </cell>
          <cell r="J12" t="str">
            <v>ALL</v>
          </cell>
          <cell r="K12" t="str">
            <v>-</v>
          </cell>
          <cell r="L12" t="str">
            <v>GA</v>
          </cell>
          <cell r="M12" t="str">
            <v>-</v>
          </cell>
          <cell r="N12" t="str">
            <v>GA</v>
          </cell>
          <cell r="O12" t="str">
            <v>A</v>
          </cell>
          <cell r="P12" t="str">
            <v>IDL</v>
          </cell>
          <cell r="Q12" t="str">
            <v>PERMANENT</v>
          </cell>
          <cell r="R12" t="str">
            <v>PRM</v>
          </cell>
          <cell r="S12" t="str">
            <v>OPT</v>
          </cell>
          <cell r="T12" t="str">
            <v>L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</v>
          </cell>
          <cell r="AA12">
            <v>0</v>
          </cell>
          <cell r="AB12">
            <v>0</v>
          </cell>
          <cell r="AC12">
            <v>1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A13">
            <v>1</v>
          </cell>
          <cell r="B13">
            <v>586</v>
          </cell>
          <cell r="C13" t="str">
            <v>DIAN BERLIAN PERDAN S</v>
          </cell>
          <cell r="D13" t="str">
            <v>OPT-15</v>
          </cell>
          <cell r="E13">
            <v>37774</v>
          </cell>
          <cell r="F13" t="str">
            <v>-</v>
          </cell>
          <cell r="G13" t="str">
            <v>-</v>
          </cell>
          <cell r="H13" t="str">
            <v>PGA</v>
          </cell>
          <cell r="I13" t="str">
            <v>GA</v>
          </cell>
          <cell r="J13" t="str">
            <v>ALL</v>
          </cell>
          <cell r="K13" t="str">
            <v>-</v>
          </cell>
          <cell r="L13" t="str">
            <v>GA</v>
          </cell>
          <cell r="M13" t="str">
            <v>-</v>
          </cell>
          <cell r="N13" t="str">
            <v>GA</v>
          </cell>
          <cell r="O13" t="str">
            <v>B</v>
          </cell>
          <cell r="P13" t="str">
            <v>IDL</v>
          </cell>
          <cell r="Q13" t="str">
            <v>PERMANENT</v>
          </cell>
          <cell r="R13" t="str">
            <v>PRM</v>
          </cell>
          <cell r="S13" t="str">
            <v>OPT</v>
          </cell>
          <cell r="T13" t="str">
            <v>L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</v>
          </cell>
          <cell r="AA13">
            <v>0</v>
          </cell>
          <cell r="AB13">
            <v>0</v>
          </cell>
          <cell r="AC13">
            <v>1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A14">
            <v>1</v>
          </cell>
          <cell r="B14">
            <v>591</v>
          </cell>
          <cell r="C14" t="str">
            <v>NORMA NILA HAPSARI</v>
          </cell>
          <cell r="D14" t="str">
            <v>ADM-5</v>
          </cell>
          <cell r="E14">
            <v>37774</v>
          </cell>
          <cell r="F14" t="str">
            <v>-</v>
          </cell>
          <cell r="G14" t="str">
            <v>-</v>
          </cell>
          <cell r="H14" t="str">
            <v>PGA</v>
          </cell>
          <cell r="I14" t="str">
            <v>GA</v>
          </cell>
          <cell r="J14" t="str">
            <v>ALL</v>
          </cell>
          <cell r="K14" t="str">
            <v>-</v>
          </cell>
          <cell r="L14" t="str">
            <v>GA</v>
          </cell>
          <cell r="M14" t="str">
            <v>-</v>
          </cell>
          <cell r="N14" t="str">
            <v>GA</v>
          </cell>
          <cell r="O14" t="str">
            <v>NS</v>
          </cell>
          <cell r="P14" t="str">
            <v>IDL</v>
          </cell>
          <cell r="Q14" t="str">
            <v>PERMANENT</v>
          </cell>
          <cell r="R14" t="str">
            <v>PRM</v>
          </cell>
          <cell r="S14" t="str">
            <v>ADM</v>
          </cell>
          <cell r="T14" t="str">
            <v>P</v>
          </cell>
          <cell r="U14">
            <v>0</v>
          </cell>
          <cell r="V14">
            <v>0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1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</row>
        <row r="15">
          <cell r="A15">
            <v>1</v>
          </cell>
          <cell r="B15">
            <v>1060</v>
          </cell>
          <cell r="C15" t="str">
            <v>NUR KOSIM</v>
          </cell>
          <cell r="D15" t="str">
            <v>OPT-26</v>
          </cell>
          <cell r="E15">
            <v>37879</v>
          </cell>
          <cell r="F15" t="str">
            <v>-</v>
          </cell>
          <cell r="G15" t="str">
            <v>-</v>
          </cell>
          <cell r="H15" t="str">
            <v>PGA</v>
          </cell>
          <cell r="I15" t="str">
            <v>GA</v>
          </cell>
          <cell r="J15" t="str">
            <v>ALL</v>
          </cell>
          <cell r="K15" t="str">
            <v>-</v>
          </cell>
          <cell r="L15" t="str">
            <v>GA</v>
          </cell>
          <cell r="M15" t="str">
            <v>-</v>
          </cell>
          <cell r="N15" t="str">
            <v>GA</v>
          </cell>
          <cell r="O15" t="str">
            <v>NS</v>
          </cell>
          <cell r="P15" t="str">
            <v>IDL</v>
          </cell>
          <cell r="Q15" t="str">
            <v>PERMANENT</v>
          </cell>
          <cell r="R15" t="str">
            <v>PRM</v>
          </cell>
          <cell r="S15" t="str">
            <v>OPT</v>
          </cell>
          <cell r="T15" t="str">
            <v>L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</v>
          </cell>
          <cell r="AA15">
            <v>0</v>
          </cell>
          <cell r="AB15">
            <v>0</v>
          </cell>
          <cell r="AC15">
            <v>1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A16">
            <v>1</v>
          </cell>
          <cell r="B16">
            <v>1575</v>
          </cell>
          <cell r="C16" t="str">
            <v>MUSMAN</v>
          </cell>
          <cell r="D16" t="str">
            <v>DRIVER</v>
          </cell>
          <cell r="E16">
            <v>38018</v>
          </cell>
          <cell r="F16" t="str">
            <v>-</v>
          </cell>
          <cell r="G16" t="str">
            <v>-</v>
          </cell>
          <cell r="H16" t="str">
            <v>PGA</v>
          </cell>
          <cell r="I16" t="str">
            <v>GA</v>
          </cell>
          <cell r="J16" t="str">
            <v>ALL</v>
          </cell>
          <cell r="K16" t="str">
            <v>-</v>
          </cell>
          <cell r="L16" t="str">
            <v>GA</v>
          </cell>
          <cell r="M16" t="str">
            <v>-</v>
          </cell>
          <cell r="N16" t="str">
            <v>DRIVER</v>
          </cell>
          <cell r="O16" t="str">
            <v>NS</v>
          </cell>
          <cell r="P16" t="str">
            <v>IDL</v>
          </cell>
          <cell r="Q16" t="str">
            <v>PERMANENT</v>
          </cell>
          <cell r="R16" t="str">
            <v>PRM</v>
          </cell>
          <cell r="S16" t="str">
            <v>DRIVER</v>
          </cell>
          <cell r="T16" t="str">
            <v>L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1</v>
          </cell>
          <cell r="AB16">
            <v>0</v>
          </cell>
          <cell r="AC16">
            <v>1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A17">
            <v>1</v>
          </cell>
          <cell r="B17">
            <v>3531</v>
          </cell>
          <cell r="C17" t="str">
            <v>ENI DWI MULYANI</v>
          </cell>
          <cell r="D17" t="str">
            <v>ES-18</v>
          </cell>
          <cell r="E17">
            <v>38264</v>
          </cell>
          <cell r="F17" t="str">
            <v>-</v>
          </cell>
          <cell r="G17" t="str">
            <v>-</v>
          </cell>
          <cell r="H17" t="str">
            <v>PGA</v>
          </cell>
          <cell r="I17" t="str">
            <v>GA</v>
          </cell>
          <cell r="J17" t="str">
            <v>ALL</v>
          </cell>
          <cell r="K17" t="str">
            <v>-</v>
          </cell>
          <cell r="L17" t="str">
            <v>GA</v>
          </cell>
          <cell r="M17" t="str">
            <v>-</v>
          </cell>
          <cell r="N17" t="str">
            <v>GA</v>
          </cell>
          <cell r="O17" t="str">
            <v>NS</v>
          </cell>
          <cell r="P17" t="str">
            <v>IDL</v>
          </cell>
          <cell r="Q17" t="str">
            <v>PERMANENT</v>
          </cell>
          <cell r="R17" t="str">
            <v>PRM</v>
          </cell>
          <cell r="S17" t="str">
            <v>ES</v>
          </cell>
          <cell r="T17" t="str">
            <v>P</v>
          </cell>
          <cell r="U17">
            <v>0</v>
          </cell>
          <cell r="V17">
            <v>1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A18">
            <v>1</v>
          </cell>
          <cell r="B18">
            <v>4644</v>
          </cell>
          <cell r="C18" t="str">
            <v>ABIDAH SETIARINI</v>
          </cell>
          <cell r="D18" t="str">
            <v>ES-24</v>
          </cell>
          <cell r="E18">
            <v>38824</v>
          </cell>
          <cell r="F18" t="str">
            <v>-</v>
          </cell>
          <cell r="G18" t="str">
            <v>-</v>
          </cell>
          <cell r="H18" t="str">
            <v>PGA</v>
          </cell>
          <cell r="I18" t="str">
            <v>GA</v>
          </cell>
          <cell r="J18" t="str">
            <v>ALL</v>
          </cell>
          <cell r="K18" t="str">
            <v>-</v>
          </cell>
          <cell r="L18" t="str">
            <v>GA</v>
          </cell>
          <cell r="M18" t="str">
            <v>-</v>
          </cell>
          <cell r="N18" t="str">
            <v>GA</v>
          </cell>
          <cell r="O18" t="str">
            <v>NS</v>
          </cell>
          <cell r="P18" t="str">
            <v>IDL</v>
          </cell>
          <cell r="Q18" t="str">
            <v>PERMANENT</v>
          </cell>
          <cell r="R18" t="str">
            <v>PRM</v>
          </cell>
          <cell r="S18" t="str">
            <v>ES</v>
          </cell>
          <cell r="T18" t="str">
            <v>P</v>
          </cell>
          <cell r="U18">
            <v>0</v>
          </cell>
          <cell r="V18">
            <v>1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</row>
        <row r="19">
          <cell r="A19">
            <v>1</v>
          </cell>
          <cell r="B19">
            <v>345</v>
          </cell>
          <cell r="C19" t="str">
            <v>DEBORA KRISTIANA S</v>
          </cell>
          <cell r="D19" t="str">
            <v>ADM-2</v>
          </cell>
          <cell r="E19">
            <v>37725</v>
          </cell>
          <cell r="F19" t="str">
            <v>-</v>
          </cell>
          <cell r="G19" t="str">
            <v>-</v>
          </cell>
          <cell r="H19" t="str">
            <v>PGA</v>
          </cell>
          <cell r="I19" t="str">
            <v>HR</v>
          </cell>
          <cell r="J19" t="str">
            <v>ALL</v>
          </cell>
          <cell r="K19" t="str">
            <v>-</v>
          </cell>
          <cell r="L19" t="str">
            <v>HR</v>
          </cell>
          <cell r="M19" t="str">
            <v>-</v>
          </cell>
          <cell r="N19" t="str">
            <v>HR</v>
          </cell>
          <cell r="O19" t="str">
            <v>NS</v>
          </cell>
          <cell r="P19" t="str">
            <v>IDL</v>
          </cell>
          <cell r="Q19" t="str">
            <v>PERMANENT</v>
          </cell>
          <cell r="R19" t="str">
            <v>PRM</v>
          </cell>
          <cell r="S19" t="str">
            <v>ADM</v>
          </cell>
          <cell r="T19" t="str">
            <v>P</v>
          </cell>
          <cell r="U19">
            <v>0</v>
          </cell>
          <cell r="V19">
            <v>0</v>
          </cell>
          <cell r="W19">
            <v>1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</row>
        <row r="20">
          <cell r="A20">
            <v>1</v>
          </cell>
          <cell r="B20">
            <v>783</v>
          </cell>
          <cell r="C20" t="str">
            <v>SITI MACHMUDAH</v>
          </cell>
          <cell r="D20" t="str">
            <v>ES-6</v>
          </cell>
          <cell r="E20">
            <v>37830</v>
          </cell>
          <cell r="F20" t="str">
            <v>-</v>
          </cell>
          <cell r="G20" t="str">
            <v>-</v>
          </cell>
          <cell r="H20" t="str">
            <v>PGA</v>
          </cell>
          <cell r="I20" t="str">
            <v>HR</v>
          </cell>
          <cell r="J20" t="str">
            <v>ALL</v>
          </cell>
          <cell r="K20" t="str">
            <v>-</v>
          </cell>
          <cell r="L20" t="str">
            <v>HR</v>
          </cell>
          <cell r="M20" t="str">
            <v>-</v>
          </cell>
          <cell r="N20" t="str">
            <v>HR</v>
          </cell>
          <cell r="O20" t="str">
            <v>NS</v>
          </cell>
          <cell r="P20" t="str">
            <v>IDL</v>
          </cell>
          <cell r="Q20" t="str">
            <v>PERMANENT</v>
          </cell>
          <cell r="R20" t="str">
            <v>PRM</v>
          </cell>
          <cell r="S20" t="str">
            <v>ES</v>
          </cell>
          <cell r="T20" t="str">
            <v>P</v>
          </cell>
          <cell r="U20">
            <v>0</v>
          </cell>
          <cell r="V20">
            <v>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1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A21">
            <v>1</v>
          </cell>
          <cell r="B21">
            <v>921</v>
          </cell>
          <cell r="C21" t="str">
            <v>YULI FITRIYANTO</v>
          </cell>
          <cell r="D21" t="str">
            <v>ADM-6</v>
          </cell>
          <cell r="E21">
            <v>37858</v>
          </cell>
          <cell r="F21" t="str">
            <v>-</v>
          </cell>
          <cell r="G21" t="str">
            <v>-</v>
          </cell>
          <cell r="H21" t="str">
            <v>PGA</v>
          </cell>
          <cell r="I21" t="str">
            <v>HR</v>
          </cell>
          <cell r="J21" t="str">
            <v>ALL</v>
          </cell>
          <cell r="K21" t="str">
            <v>-</v>
          </cell>
          <cell r="L21" t="str">
            <v>HR</v>
          </cell>
          <cell r="M21" t="str">
            <v>-</v>
          </cell>
          <cell r="N21" t="str">
            <v>HR</v>
          </cell>
          <cell r="O21" t="str">
            <v>NS</v>
          </cell>
          <cell r="P21" t="str">
            <v>IDL</v>
          </cell>
          <cell r="Q21" t="str">
            <v>PERMANENT</v>
          </cell>
          <cell r="R21" t="str">
            <v>PRM</v>
          </cell>
          <cell r="S21" t="str">
            <v>ADM</v>
          </cell>
          <cell r="T21" t="str">
            <v>L</v>
          </cell>
          <cell r="U21">
            <v>0</v>
          </cell>
          <cell r="V21">
            <v>0</v>
          </cell>
          <cell r="W21">
            <v>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1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A22">
            <v>1</v>
          </cell>
          <cell r="B22">
            <v>5553</v>
          </cell>
          <cell r="C22" t="str">
            <v>HENY YULIASTUTI</v>
          </cell>
          <cell r="D22" t="str">
            <v>ADM-30</v>
          </cell>
          <cell r="E22">
            <v>39052</v>
          </cell>
          <cell r="F22">
            <v>39052</v>
          </cell>
          <cell r="G22">
            <v>39416</v>
          </cell>
          <cell r="H22" t="str">
            <v>PGA</v>
          </cell>
          <cell r="I22" t="str">
            <v>HR</v>
          </cell>
          <cell r="J22" t="str">
            <v>ALL</v>
          </cell>
          <cell r="K22" t="str">
            <v>-</v>
          </cell>
          <cell r="L22" t="str">
            <v>HR</v>
          </cell>
          <cell r="M22" t="str">
            <v>-</v>
          </cell>
          <cell r="N22" t="str">
            <v>HR</v>
          </cell>
          <cell r="O22" t="str">
            <v>NS</v>
          </cell>
          <cell r="P22" t="str">
            <v>IDL</v>
          </cell>
          <cell r="Q22" t="str">
            <v>CONTRACT</v>
          </cell>
          <cell r="R22" t="str">
            <v>C3</v>
          </cell>
          <cell r="S22" t="str">
            <v>ADM</v>
          </cell>
          <cell r="T22" t="str">
            <v>P</v>
          </cell>
          <cell r="U22">
            <v>0</v>
          </cell>
          <cell r="V22">
            <v>0</v>
          </cell>
          <cell r="W22">
            <v>1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1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A23">
            <v>1</v>
          </cell>
          <cell r="B23">
            <v>1908</v>
          </cell>
          <cell r="C23" t="str">
            <v>AGUS FREDDY KURNIAWAN</v>
          </cell>
          <cell r="D23" t="str">
            <v>ES-13</v>
          </cell>
          <cell r="E23">
            <v>38103</v>
          </cell>
          <cell r="F23" t="str">
            <v>-</v>
          </cell>
          <cell r="G23" t="str">
            <v>-</v>
          </cell>
          <cell r="H23" t="str">
            <v>PGA</v>
          </cell>
          <cell r="I23" t="str">
            <v>IT</v>
          </cell>
          <cell r="J23" t="str">
            <v>ALL</v>
          </cell>
          <cell r="K23" t="str">
            <v>-</v>
          </cell>
          <cell r="L23" t="str">
            <v>IT</v>
          </cell>
          <cell r="M23" t="str">
            <v>-</v>
          </cell>
          <cell r="N23" t="str">
            <v>IT</v>
          </cell>
          <cell r="O23" t="str">
            <v>NS</v>
          </cell>
          <cell r="P23" t="str">
            <v>IDL</v>
          </cell>
          <cell r="Q23" t="str">
            <v>PERMANENT</v>
          </cell>
          <cell r="R23" t="str">
            <v>PRM</v>
          </cell>
          <cell r="S23" t="str">
            <v>ES</v>
          </cell>
          <cell r="T23" t="str">
            <v>L</v>
          </cell>
          <cell r="U23">
            <v>0</v>
          </cell>
          <cell r="V23">
            <v>1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1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A24">
            <v>1</v>
          </cell>
          <cell r="B24">
            <v>3687</v>
          </cell>
          <cell r="C24" t="str">
            <v>HARJAH ARIF</v>
          </cell>
          <cell r="D24" t="str">
            <v>SPV</v>
          </cell>
          <cell r="E24">
            <v>38488</v>
          </cell>
          <cell r="F24" t="str">
            <v>-</v>
          </cell>
          <cell r="G24" t="str">
            <v>-</v>
          </cell>
          <cell r="H24" t="str">
            <v>PGA</v>
          </cell>
          <cell r="I24" t="str">
            <v>IT</v>
          </cell>
          <cell r="J24" t="str">
            <v>ALL</v>
          </cell>
          <cell r="K24" t="str">
            <v>-</v>
          </cell>
          <cell r="L24" t="str">
            <v>IT</v>
          </cell>
          <cell r="M24" t="str">
            <v>-</v>
          </cell>
          <cell r="N24" t="str">
            <v>IT</v>
          </cell>
          <cell r="O24" t="str">
            <v>NS</v>
          </cell>
          <cell r="P24" t="str">
            <v>IDL</v>
          </cell>
          <cell r="Q24" t="str">
            <v>PERMANENT</v>
          </cell>
          <cell r="R24" t="str">
            <v>PRM</v>
          </cell>
          <cell r="S24" t="str">
            <v>SPV</v>
          </cell>
          <cell r="T24" t="str">
            <v>L</v>
          </cell>
          <cell r="U24">
            <v>1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1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A25">
            <v>1</v>
          </cell>
          <cell r="B25">
            <v>4351</v>
          </cell>
          <cell r="C25" t="str">
            <v>MIR'ATUL HIDAYAH</v>
          </cell>
          <cell r="D25" t="str">
            <v>ADM-23</v>
          </cell>
          <cell r="E25">
            <v>38741</v>
          </cell>
          <cell r="F25">
            <v>39234</v>
          </cell>
          <cell r="G25">
            <v>39599</v>
          </cell>
          <cell r="H25" t="str">
            <v>PGA</v>
          </cell>
          <cell r="I25" t="str">
            <v>IT</v>
          </cell>
          <cell r="J25" t="str">
            <v>ALL</v>
          </cell>
          <cell r="K25" t="str">
            <v>-</v>
          </cell>
          <cell r="L25" t="str">
            <v>IT</v>
          </cell>
          <cell r="M25" t="str">
            <v>-</v>
          </cell>
          <cell r="N25" t="str">
            <v>IT</v>
          </cell>
          <cell r="O25" t="str">
            <v>NS</v>
          </cell>
          <cell r="P25" t="str">
            <v>IDL</v>
          </cell>
          <cell r="Q25" t="str">
            <v>CONTRACT</v>
          </cell>
          <cell r="R25" t="str">
            <v>C2</v>
          </cell>
          <cell r="S25" t="str">
            <v>ADM</v>
          </cell>
          <cell r="T25" t="str">
            <v>P</v>
          </cell>
          <cell r="U25">
            <v>0</v>
          </cell>
          <cell r="V25">
            <v>0</v>
          </cell>
          <cell r="W25">
            <v>1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A26">
            <v>1</v>
          </cell>
          <cell r="B26">
            <v>430</v>
          </cell>
          <cell r="C26" t="str">
            <v>TEGUH NUR HIDAYAH</v>
          </cell>
          <cell r="D26" t="str">
            <v>OPT-11</v>
          </cell>
          <cell r="E26">
            <v>37739</v>
          </cell>
          <cell r="F26" t="str">
            <v>-</v>
          </cell>
          <cell r="G26" t="str">
            <v>-</v>
          </cell>
          <cell r="H26" t="str">
            <v>PGA</v>
          </cell>
          <cell r="I26" t="str">
            <v>LP</v>
          </cell>
          <cell r="J26" t="str">
            <v>ALL</v>
          </cell>
          <cell r="K26" t="str">
            <v>-</v>
          </cell>
          <cell r="L26" t="str">
            <v>LP</v>
          </cell>
          <cell r="M26" t="str">
            <v>-</v>
          </cell>
          <cell r="N26" t="str">
            <v>LP</v>
          </cell>
          <cell r="O26" t="str">
            <v>NS</v>
          </cell>
          <cell r="P26" t="str">
            <v>IDL</v>
          </cell>
          <cell r="Q26" t="str">
            <v>PERMANENT</v>
          </cell>
          <cell r="R26" t="str">
            <v>PRM</v>
          </cell>
          <cell r="S26" t="str">
            <v>OPT</v>
          </cell>
          <cell r="T26" t="str">
            <v>P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1</v>
          </cell>
          <cell r="AA26">
            <v>0</v>
          </cell>
          <cell r="AB26">
            <v>0</v>
          </cell>
          <cell r="AC26">
            <v>1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A27">
            <v>1</v>
          </cell>
          <cell r="B27">
            <v>587</v>
          </cell>
          <cell r="C27" t="str">
            <v>EKA NUR RAHMAWATI</v>
          </cell>
          <cell r="D27" t="str">
            <v>ADM-5</v>
          </cell>
          <cell r="E27">
            <v>37774</v>
          </cell>
          <cell r="F27" t="str">
            <v>-</v>
          </cell>
          <cell r="G27" t="str">
            <v>-</v>
          </cell>
          <cell r="H27" t="str">
            <v>PGA</v>
          </cell>
          <cell r="I27" t="str">
            <v>LP</v>
          </cell>
          <cell r="J27" t="str">
            <v>ALL</v>
          </cell>
          <cell r="K27" t="str">
            <v>-</v>
          </cell>
          <cell r="L27" t="str">
            <v>LP</v>
          </cell>
          <cell r="M27" t="str">
            <v>-</v>
          </cell>
          <cell r="N27" t="str">
            <v>LP</v>
          </cell>
          <cell r="O27" t="str">
            <v>NS</v>
          </cell>
          <cell r="P27" t="str">
            <v>IDL</v>
          </cell>
          <cell r="Q27" t="str">
            <v>PERMANENT</v>
          </cell>
          <cell r="R27" t="str">
            <v>PRM</v>
          </cell>
          <cell r="S27" t="str">
            <v>ADM</v>
          </cell>
          <cell r="T27" t="str">
            <v>P</v>
          </cell>
          <cell r="U27">
            <v>0</v>
          </cell>
          <cell r="V27">
            <v>0</v>
          </cell>
          <cell r="W27">
            <v>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1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A28">
            <v>1</v>
          </cell>
          <cell r="B28">
            <v>594</v>
          </cell>
          <cell r="C28" t="str">
            <v>ULFA ADHIM</v>
          </cell>
          <cell r="D28" t="str">
            <v>ADM-5</v>
          </cell>
          <cell r="E28">
            <v>37774</v>
          </cell>
          <cell r="F28" t="str">
            <v>-</v>
          </cell>
          <cell r="G28" t="str">
            <v>-</v>
          </cell>
          <cell r="H28" t="str">
            <v>PGA</v>
          </cell>
          <cell r="I28" t="str">
            <v>LP</v>
          </cell>
          <cell r="J28" t="str">
            <v>ALL</v>
          </cell>
          <cell r="K28" t="str">
            <v>-</v>
          </cell>
          <cell r="L28" t="str">
            <v>LP</v>
          </cell>
          <cell r="M28" t="str">
            <v>-</v>
          </cell>
          <cell r="N28" t="str">
            <v>LP</v>
          </cell>
          <cell r="O28" t="str">
            <v>NS</v>
          </cell>
          <cell r="P28" t="str">
            <v>IDL</v>
          </cell>
          <cell r="Q28" t="str">
            <v>PERMANENT</v>
          </cell>
          <cell r="R28" t="str">
            <v>PRM</v>
          </cell>
          <cell r="S28" t="str">
            <v>ADM</v>
          </cell>
          <cell r="T28" t="str">
            <v>P</v>
          </cell>
          <cell r="U28">
            <v>0</v>
          </cell>
          <cell r="V28">
            <v>0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A29">
            <v>1</v>
          </cell>
          <cell r="B29">
            <v>1562</v>
          </cell>
          <cell r="C29" t="str">
            <v>DIAN WAHYUNI</v>
          </cell>
          <cell r="D29" t="str">
            <v>ES - 11</v>
          </cell>
          <cell r="E29">
            <v>38012</v>
          </cell>
          <cell r="F29" t="str">
            <v>-</v>
          </cell>
          <cell r="G29" t="str">
            <v>-</v>
          </cell>
          <cell r="H29" t="str">
            <v>PGA</v>
          </cell>
          <cell r="I29" t="str">
            <v>LP</v>
          </cell>
          <cell r="J29" t="str">
            <v>ALL</v>
          </cell>
          <cell r="K29" t="str">
            <v>-</v>
          </cell>
          <cell r="L29" t="str">
            <v>LP</v>
          </cell>
          <cell r="M29" t="str">
            <v>-</v>
          </cell>
          <cell r="N29" t="str">
            <v>LP</v>
          </cell>
          <cell r="O29" t="str">
            <v>NS</v>
          </cell>
          <cell r="P29" t="str">
            <v>IDL</v>
          </cell>
          <cell r="Q29" t="str">
            <v>PERMANENT</v>
          </cell>
          <cell r="R29" t="str">
            <v>PRM</v>
          </cell>
          <cell r="S29" t="str">
            <v>ES</v>
          </cell>
          <cell r="T29" t="str">
            <v>P</v>
          </cell>
          <cell r="U29">
            <v>0</v>
          </cell>
          <cell r="V29">
            <v>1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A30">
            <v>1</v>
          </cell>
          <cell r="B30">
            <v>5476</v>
          </cell>
          <cell r="C30" t="str">
            <v>PAULUS TEDDY PAMUNGKAS</v>
          </cell>
          <cell r="D30" t="str">
            <v>ADM-28</v>
          </cell>
          <cell r="E30">
            <v>38991</v>
          </cell>
          <cell r="F30" t="str">
            <v>-</v>
          </cell>
          <cell r="G30" t="str">
            <v>-</v>
          </cell>
          <cell r="H30" t="str">
            <v>PGA</v>
          </cell>
          <cell r="I30" t="str">
            <v>LP</v>
          </cell>
          <cell r="J30" t="str">
            <v>ALL</v>
          </cell>
          <cell r="K30" t="str">
            <v>-</v>
          </cell>
          <cell r="L30" t="str">
            <v>LP</v>
          </cell>
          <cell r="M30" t="str">
            <v>-</v>
          </cell>
          <cell r="N30" t="str">
            <v>LP</v>
          </cell>
          <cell r="O30" t="str">
            <v>NS</v>
          </cell>
          <cell r="P30" t="str">
            <v>IDL</v>
          </cell>
          <cell r="Q30" t="str">
            <v>PERMANENT</v>
          </cell>
          <cell r="R30" t="str">
            <v>PRM</v>
          </cell>
          <cell r="S30" t="str">
            <v>ADM</v>
          </cell>
          <cell r="T30" t="str">
            <v>L</v>
          </cell>
          <cell r="U30">
            <v>0</v>
          </cell>
          <cell r="V30">
            <v>0</v>
          </cell>
          <cell r="W30">
            <v>1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1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A31">
            <v>1</v>
          </cell>
          <cell r="B31">
            <v>3</v>
          </cell>
          <cell r="C31" t="str">
            <v>ARDILES ARADEA</v>
          </cell>
          <cell r="D31" t="str">
            <v>SPV</v>
          </cell>
          <cell r="E31">
            <v>37412</v>
          </cell>
          <cell r="F31" t="str">
            <v>-</v>
          </cell>
          <cell r="G31" t="str">
            <v>-</v>
          </cell>
          <cell r="H31" t="str">
            <v>PGA</v>
          </cell>
          <cell r="I31" t="str">
            <v>QCC &amp; SS</v>
          </cell>
          <cell r="J31" t="str">
            <v>ALL</v>
          </cell>
          <cell r="K31" t="str">
            <v>-</v>
          </cell>
          <cell r="L31" t="str">
            <v>QCC</v>
          </cell>
          <cell r="M31" t="str">
            <v>SUPERVISOR</v>
          </cell>
          <cell r="N31" t="str">
            <v>FPS SPV</v>
          </cell>
          <cell r="O31" t="str">
            <v>NS</v>
          </cell>
          <cell r="P31" t="str">
            <v>FPS</v>
          </cell>
          <cell r="Q31" t="str">
            <v>PERMANENT</v>
          </cell>
          <cell r="R31" t="str">
            <v>PRM</v>
          </cell>
          <cell r="S31" t="str">
            <v>SPV</v>
          </cell>
          <cell r="T31" t="str">
            <v>L</v>
          </cell>
          <cell r="U31">
            <v>1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1</v>
          </cell>
          <cell r="AE31">
            <v>0</v>
          </cell>
          <cell r="AF31">
            <v>1</v>
          </cell>
          <cell r="AG31">
            <v>0</v>
          </cell>
        </row>
        <row r="32">
          <cell r="A32">
            <v>1</v>
          </cell>
          <cell r="B32">
            <v>1009</v>
          </cell>
          <cell r="C32" t="str">
            <v>MEI RUBIRITANTI</v>
          </cell>
          <cell r="D32" t="str">
            <v>ADM-7</v>
          </cell>
          <cell r="E32">
            <v>37872</v>
          </cell>
          <cell r="F32" t="str">
            <v>-</v>
          </cell>
          <cell r="G32" t="str">
            <v>-</v>
          </cell>
          <cell r="H32" t="str">
            <v>FA</v>
          </cell>
          <cell r="I32" t="str">
            <v>ACC</v>
          </cell>
          <cell r="J32" t="str">
            <v>ALL</v>
          </cell>
          <cell r="K32" t="str">
            <v>-</v>
          </cell>
          <cell r="L32" t="str">
            <v>FA</v>
          </cell>
          <cell r="M32" t="str">
            <v>-</v>
          </cell>
          <cell r="N32" t="str">
            <v>FA</v>
          </cell>
          <cell r="O32" t="str">
            <v>NS</v>
          </cell>
          <cell r="P32" t="str">
            <v>IDL</v>
          </cell>
          <cell r="Q32" t="str">
            <v>PERMANENT</v>
          </cell>
          <cell r="R32" t="str">
            <v>PRM</v>
          </cell>
          <cell r="S32" t="str">
            <v>ADM</v>
          </cell>
          <cell r="T32" t="str">
            <v>P</v>
          </cell>
          <cell r="U32">
            <v>0</v>
          </cell>
          <cell r="V32">
            <v>0</v>
          </cell>
          <cell r="W32">
            <v>1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1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A33">
            <v>1</v>
          </cell>
          <cell r="B33">
            <v>1011</v>
          </cell>
          <cell r="C33" t="str">
            <v>YULI SUPRIYATININGSIH</v>
          </cell>
          <cell r="D33" t="str">
            <v>ADM-7</v>
          </cell>
          <cell r="E33">
            <v>37872</v>
          </cell>
          <cell r="F33" t="str">
            <v>-</v>
          </cell>
          <cell r="G33" t="str">
            <v>-</v>
          </cell>
          <cell r="H33" t="str">
            <v>FA</v>
          </cell>
          <cell r="I33" t="str">
            <v>ACC</v>
          </cell>
          <cell r="J33" t="str">
            <v>ALL</v>
          </cell>
          <cell r="K33" t="str">
            <v>-</v>
          </cell>
          <cell r="L33" t="str">
            <v>FA</v>
          </cell>
          <cell r="M33" t="str">
            <v>-</v>
          </cell>
          <cell r="N33" t="str">
            <v>FA</v>
          </cell>
          <cell r="O33" t="str">
            <v>NS</v>
          </cell>
          <cell r="P33" t="str">
            <v>IDL</v>
          </cell>
          <cell r="Q33" t="str">
            <v>PERMANENT</v>
          </cell>
          <cell r="R33" t="str">
            <v>PRM</v>
          </cell>
          <cell r="S33" t="str">
            <v>ADM</v>
          </cell>
          <cell r="T33" t="str">
            <v>P</v>
          </cell>
          <cell r="U33">
            <v>0</v>
          </cell>
          <cell r="V33">
            <v>0</v>
          </cell>
          <cell r="W33">
            <v>1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A34">
            <v>1</v>
          </cell>
          <cell r="B34">
            <v>3714</v>
          </cell>
          <cell r="C34" t="str">
            <v>DWI SURYANTO</v>
          </cell>
          <cell r="D34" t="str">
            <v>SPV</v>
          </cell>
          <cell r="E34">
            <v>38504</v>
          </cell>
          <cell r="F34" t="str">
            <v>-</v>
          </cell>
          <cell r="G34" t="str">
            <v>-</v>
          </cell>
          <cell r="H34" t="str">
            <v>FA</v>
          </cell>
          <cell r="I34" t="str">
            <v>ACC</v>
          </cell>
          <cell r="J34" t="str">
            <v>ALL</v>
          </cell>
          <cell r="K34" t="str">
            <v>-</v>
          </cell>
          <cell r="L34" t="str">
            <v>FA</v>
          </cell>
          <cell r="M34" t="str">
            <v>-</v>
          </cell>
          <cell r="N34" t="str">
            <v>FA</v>
          </cell>
          <cell r="O34" t="str">
            <v>NS</v>
          </cell>
          <cell r="P34" t="str">
            <v>IDL</v>
          </cell>
          <cell r="Q34" t="str">
            <v>PERMANENT</v>
          </cell>
          <cell r="R34" t="str">
            <v>PRM</v>
          </cell>
          <cell r="S34" t="str">
            <v>SPV</v>
          </cell>
          <cell r="T34" t="str">
            <v>L</v>
          </cell>
          <cell r="U34">
            <v>1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A35">
            <v>1</v>
          </cell>
          <cell r="B35">
            <v>4350</v>
          </cell>
          <cell r="C35" t="str">
            <v>NUR RAHAYU</v>
          </cell>
          <cell r="D35" t="str">
            <v>ADM-23</v>
          </cell>
          <cell r="E35">
            <v>38741</v>
          </cell>
          <cell r="F35">
            <v>39234</v>
          </cell>
          <cell r="G35">
            <v>39599</v>
          </cell>
          <cell r="H35" t="str">
            <v>FA</v>
          </cell>
          <cell r="I35" t="str">
            <v>FA</v>
          </cell>
          <cell r="J35" t="str">
            <v>ALL</v>
          </cell>
          <cell r="K35" t="str">
            <v>-</v>
          </cell>
          <cell r="L35" t="str">
            <v>FA</v>
          </cell>
          <cell r="M35" t="str">
            <v>-</v>
          </cell>
          <cell r="N35" t="str">
            <v>FA</v>
          </cell>
          <cell r="O35" t="str">
            <v>NS</v>
          </cell>
          <cell r="P35" t="str">
            <v>IDL</v>
          </cell>
          <cell r="Q35" t="str">
            <v>CONTRACT</v>
          </cell>
          <cell r="R35" t="str">
            <v>C2</v>
          </cell>
          <cell r="S35" t="str">
            <v>ADM</v>
          </cell>
          <cell r="T35" t="str">
            <v>P</v>
          </cell>
          <cell r="U35">
            <v>0</v>
          </cell>
          <cell r="V35">
            <v>0</v>
          </cell>
          <cell r="W35">
            <v>1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A36">
            <v>1</v>
          </cell>
          <cell r="B36">
            <v>4446</v>
          </cell>
          <cell r="C36" t="str">
            <v>SITI NUR NGAIFAH</v>
          </cell>
          <cell r="D36" t="str">
            <v>ADM-24</v>
          </cell>
          <cell r="E36">
            <v>38758</v>
          </cell>
          <cell r="F36">
            <v>39234</v>
          </cell>
          <cell r="G36">
            <v>39599</v>
          </cell>
          <cell r="H36" t="str">
            <v>FA</v>
          </cell>
          <cell r="I36" t="str">
            <v>FA</v>
          </cell>
          <cell r="J36" t="str">
            <v>ALL</v>
          </cell>
          <cell r="K36" t="str">
            <v>-</v>
          </cell>
          <cell r="L36" t="str">
            <v>FA</v>
          </cell>
          <cell r="M36" t="str">
            <v>-</v>
          </cell>
          <cell r="N36" t="str">
            <v>FA</v>
          </cell>
          <cell r="O36" t="str">
            <v>NS</v>
          </cell>
          <cell r="P36" t="str">
            <v>IDL</v>
          </cell>
          <cell r="Q36" t="str">
            <v>CONTRACT</v>
          </cell>
          <cell r="R36" t="str">
            <v>C2</v>
          </cell>
          <cell r="S36" t="str">
            <v>ADM</v>
          </cell>
          <cell r="T36" t="str">
            <v>P</v>
          </cell>
          <cell r="U36">
            <v>0</v>
          </cell>
          <cell r="V36">
            <v>0</v>
          </cell>
          <cell r="W36">
            <v>1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1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A37">
            <v>1</v>
          </cell>
          <cell r="B37">
            <v>1109</v>
          </cell>
          <cell r="C37" t="str">
            <v>DIAN PUSPITA SARI</v>
          </cell>
          <cell r="D37" t="str">
            <v>ADM-8</v>
          </cell>
          <cell r="E37">
            <v>37887</v>
          </cell>
          <cell r="F37" t="str">
            <v>-</v>
          </cell>
          <cell r="G37" t="str">
            <v>-</v>
          </cell>
          <cell r="H37" t="str">
            <v>MOTO</v>
          </cell>
          <cell r="I37" t="str">
            <v>5S &amp; 4M</v>
          </cell>
          <cell r="J37" t="str">
            <v>ALL</v>
          </cell>
          <cell r="K37" t="str">
            <v>-</v>
          </cell>
          <cell r="L37" t="str">
            <v>5S &amp; 4M</v>
          </cell>
          <cell r="M37" t="str">
            <v>ADM</v>
          </cell>
          <cell r="N37" t="str">
            <v>NYS</v>
          </cell>
          <cell r="O37" t="str">
            <v>NS</v>
          </cell>
          <cell r="P37" t="str">
            <v>FPS</v>
          </cell>
          <cell r="Q37" t="str">
            <v>PERMANENT</v>
          </cell>
          <cell r="R37" t="str">
            <v>PRM</v>
          </cell>
          <cell r="S37" t="str">
            <v>ADM</v>
          </cell>
          <cell r="T37" t="str">
            <v>P</v>
          </cell>
          <cell r="U37">
            <v>0</v>
          </cell>
          <cell r="V37">
            <v>0</v>
          </cell>
          <cell r="W37">
            <v>1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1</v>
          </cell>
          <cell r="AE37">
            <v>0</v>
          </cell>
          <cell r="AF37">
            <v>0</v>
          </cell>
          <cell r="AG37">
            <v>0</v>
          </cell>
        </row>
        <row r="38">
          <cell r="A38">
            <v>1</v>
          </cell>
          <cell r="B38">
            <v>2412</v>
          </cell>
          <cell r="C38" t="str">
            <v>NUNING DIAN PERTIWI</v>
          </cell>
          <cell r="D38" t="str">
            <v>ES-16</v>
          </cell>
          <cell r="E38">
            <v>38189</v>
          </cell>
          <cell r="F38" t="str">
            <v>-</v>
          </cell>
          <cell r="G38" t="str">
            <v>-</v>
          </cell>
          <cell r="H38" t="str">
            <v>MOTO</v>
          </cell>
          <cell r="I38" t="str">
            <v>5S &amp; 4M</v>
          </cell>
          <cell r="J38" t="str">
            <v>ALL</v>
          </cell>
          <cell r="K38" t="str">
            <v>-</v>
          </cell>
          <cell r="L38" t="str">
            <v>5S &amp; 4M</v>
          </cell>
          <cell r="M38" t="str">
            <v>LEADER</v>
          </cell>
          <cell r="N38" t="str">
            <v>NYS</v>
          </cell>
          <cell r="O38" t="str">
            <v>NS</v>
          </cell>
          <cell r="P38" t="str">
            <v>FPS</v>
          </cell>
          <cell r="Q38" t="str">
            <v>PERMANENT</v>
          </cell>
          <cell r="R38" t="str">
            <v>PRM</v>
          </cell>
          <cell r="S38" t="str">
            <v>ES</v>
          </cell>
          <cell r="T38" t="str">
            <v>P</v>
          </cell>
          <cell r="U38">
            <v>0</v>
          </cell>
          <cell r="V38">
            <v>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1</v>
          </cell>
          <cell r="AE38">
            <v>0</v>
          </cell>
          <cell r="AF38">
            <v>0</v>
          </cell>
          <cell r="AG38">
            <v>0</v>
          </cell>
        </row>
        <row r="39">
          <cell r="A39">
            <v>1</v>
          </cell>
          <cell r="B39">
            <v>2413</v>
          </cell>
          <cell r="C39" t="str">
            <v>ANGGUN WIBOWO</v>
          </cell>
          <cell r="D39" t="str">
            <v>ES-16</v>
          </cell>
          <cell r="E39">
            <v>38189</v>
          </cell>
          <cell r="F39" t="str">
            <v>-</v>
          </cell>
          <cell r="G39" t="str">
            <v>-</v>
          </cell>
          <cell r="H39" t="str">
            <v>MOTO</v>
          </cell>
          <cell r="I39" t="str">
            <v>5S &amp; 4M</v>
          </cell>
          <cell r="J39" t="str">
            <v>ALL</v>
          </cell>
          <cell r="K39" t="str">
            <v>-</v>
          </cell>
          <cell r="L39" t="str">
            <v>5S &amp; 4M</v>
          </cell>
          <cell r="M39" t="str">
            <v>LEADER</v>
          </cell>
          <cell r="N39" t="str">
            <v>NYS</v>
          </cell>
          <cell r="O39" t="str">
            <v>NS</v>
          </cell>
          <cell r="P39" t="str">
            <v>FPS</v>
          </cell>
          <cell r="Q39" t="str">
            <v>PERMANENT</v>
          </cell>
          <cell r="R39" t="str">
            <v>PRM</v>
          </cell>
          <cell r="S39" t="str">
            <v>ES</v>
          </cell>
          <cell r="T39" t="str">
            <v>L</v>
          </cell>
          <cell r="U39">
            <v>0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1</v>
          </cell>
          <cell r="AE39">
            <v>0</v>
          </cell>
          <cell r="AF39">
            <v>1</v>
          </cell>
          <cell r="AG39">
            <v>0</v>
          </cell>
        </row>
        <row r="40">
          <cell r="A40">
            <v>1</v>
          </cell>
          <cell r="B40">
            <v>2421</v>
          </cell>
          <cell r="C40" t="str">
            <v>BAGUS KUSUMA PUTRA</v>
          </cell>
          <cell r="D40" t="str">
            <v>SPV</v>
          </cell>
          <cell r="E40">
            <v>38194</v>
          </cell>
          <cell r="F40" t="str">
            <v>-</v>
          </cell>
          <cell r="G40" t="str">
            <v>-</v>
          </cell>
          <cell r="H40" t="str">
            <v>MOTO</v>
          </cell>
          <cell r="I40" t="str">
            <v>5S &amp; 4M</v>
          </cell>
          <cell r="J40" t="str">
            <v>ALL</v>
          </cell>
          <cell r="K40" t="str">
            <v>-</v>
          </cell>
          <cell r="L40" t="str">
            <v>5S &amp; 4M</v>
          </cell>
          <cell r="M40" t="str">
            <v>SPV</v>
          </cell>
          <cell r="N40" t="str">
            <v>FPS SPV</v>
          </cell>
          <cell r="O40" t="str">
            <v>NS</v>
          </cell>
          <cell r="P40" t="str">
            <v>FPS</v>
          </cell>
          <cell r="Q40" t="str">
            <v>PERMANENT</v>
          </cell>
          <cell r="R40" t="str">
            <v>PRM</v>
          </cell>
          <cell r="S40" t="str">
            <v>SPV</v>
          </cell>
          <cell r="T40" t="str">
            <v>L</v>
          </cell>
          <cell r="U40">
            <v>1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1</v>
          </cell>
          <cell r="AE40">
            <v>0</v>
          </cell>
          <cell r="AF40">
            <v>1</v>
          </cell>
          <cell r="AG40">
            <v>0</v>
          </cell>
        </row>
        <row r="41">
          <cell r="A41">
            <v>1</v>
          </cell>
          <cell r="B41">
            <v>6198</v>
          </cell>
          <cell r="C41" t="str">
            <v>RIYANTI</v>
          </cell>
          <cell r="D41" t="str">
            <v>ADM-33</v>
          </cell>
          <cell r="E41">
            <v>39173</v>
          </cell>
          <cell r="F41">
            <v>39173</v>
          </cell>
          <cell r="G41">
            <v>39538</v>
          </cell>
          <cell r="H41" t="str">
            <v>MOTO</v>
          </cell>
          <cell r="I41" t="str">
            <v>5S &amp; 4M</v>
          </cell>
          <cell r="J41" t="str">
            <v>ALL</v>
          </cell>
          <cell r="K41" t="str">
            <v>-</v>
          </cell>
          <cell r="L41" t="str">
            <v>5S &amp; 4M</v>
          </cell>
          <cell r="M41" t="str">
            <v>ADM</v>
          </cell>
          <cell r="N41" t="str">
            <v>NYS</v>
          </cell>
          <cell r="O41" t="str">
            <v>NS</v>
          </cell>
          <cell r="P41" t="str">
            <v>FPS</v>
          </cell>
          <cell r="Q41" t="str">
            <v>CONTRACT</v>
          </cell>
          <cell r="R41" t="str">
            <v>C3</v>
          </cell>
          <cell r="S41" t="str">
            <v>ADM</v>
          </cell>
          <cell r="T41" t="str">
            <v>P</v>
          </cell>
          <cell r="U41">
            <v>0</v>
          </cell>
          <cell r="V41">
            <v>0</v>
          </cell>
          <cell r="W41">
            <v>1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1</v>
          </cell>
          <cell r="AE41">
            <v>0</v>
          </cell>
          <cell r="AF41">
            <v>0</v>
          </cell>
          <cell r="AG41">
            <v>0</v>
          </cell>
        </row>
        <row r="42">
          <cell r="A42">
            <v>1</v>
          </cell>
          <cell r="B42">
            <v>13</v>
          </cell>
          <cell r="C42" t="str">
            <v>JOKO ADI WALUYO</v>
          </cell>
          <cell r="D42" t="str">
            <v>SPV</v>
          </cell>
          <cell r="E42">
            <v>37412</v>
          </cell>
          <cell r="F42" t="str">
            <v>-</v>
          </cell>
          <cell r="G42" t="str">
            <v>-</v>
          </cell>
          <cell r="H42" t="str">
            <v>MOTO</v>
          </cell>
          <cell r="I42" t="str">
            <v>LICENSE &amp; TRN</v>
          </cell>
          <cell r="J42" t="str">
            <v>ALL</v>
          </cell>
          <cell r="K42" t="str">
            <v>-</v>
          </cell>
          <cell r="L42" t="str">
            <v>TRN</v>
          </cell>
          <cell r="M42" t="str">
            <v>SPV</v>
          </cell>
          <cell r="N42" t="str">
            <v>TRN</v>
          </cell>
          <cell r="O42" t="str">
            <v>NS</v>
          </cell>
          <cell r="P42" t="str">
            <v>IDL</v>
          </cell>
          <cell r="Q42" t="str">
            <v>PERMANENT</v>
          </cell>
          <cell r="R42" t="str">
            <v>PRM</v>
          </cell>
          <cell r="S42" t="str">
            <v>SPV</v>
          </cell>
          <cell r="T42" t="str">
            <v>L</v>
          </cell>
          <cell r="U42">
            <v>1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1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A43">
            <v>1</v>
          </cell>
          <cell r="B43">
            <v>290</v>
          </cell>
          <cell r="C43" t="str">
            <v>FARIS YATIMAH HANDAYANI</v>
          </cell>
          <cell r="D43" t="str">
            <v>OPT-8</v>
          </cell>
          <cell r="E43">
            <v>37718</v>
          </cell>
          <cell r="F43" t="str">
            <v>-</v>
          </cell>
          <cell r="G43" t="str">
            <v>-</v>
          </cell>
          <cell r="H43" t="str">
            <v>MOTO</v>
          </cell>
          <cell r="I43" t="str">
            <v>LICENSE &amp; TRN</v>
          </cell>
          <cell r="J43" t="str">
            <v>ALL</v>
          </cell>
          <cell r="K43" t="str">
            <v>-</v>
          </cell>
          <cell r="L43" t="str">
            <v>TRN</v>
          </cell>
          <cell r="M43" t="str">
            <v>TRN</v>
          </cell>
          <cell r="N43" t="str">
            <v>TRN</v>
          </cell>
          <cell r="O43" t="str">
            <v>NS</v>
          </cell>
          <cell r="P43" t="str">
            <v>IDL</v>
          </cell>
          <cell r="Q43" t="str">
            <v>PERMANENT</v>
          </cell>
          <cell r="R43" t="str">
            <v>PRM</v>
          </cell>
          <cell r="S43" t="str">
            <v>ES</v>
          </cell>
          <cell r="T43" t="str">
            <v>P</v>
          </cell>
          <cell r="U43">
            <v>0</v>
          </cell>
          <cell r="V43">
            <v>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1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A44">
            <v>1</v>
          </cell>
          <cell r="B44">
            <v>392</v>
          </cell>
          <cell r="C44" t="str">
            <v>NOVIETA PRASETYANINGTYAS</v>
          </cell>
          <cell r="D44" t="str">
            <v>ADM-3</v>
          </cell>
          <cell r="E44">
            <v>37732</v>
          </cell>
          <cell r="F44" t="str">
            <v>-</v>
          </cell>
          <cell r="G44" t="str">
            <v>-</v>
          </cell>
          <cell r="H44" t="str">
            <v>MOTO</v>
          </cell>
          <cell r="I44" t="str">
            <v>LICENSE &amp; TRN</v>
          </cell>
          <cell r="J44" t="str">
            <v>ALL</v>
          </cell>
          <cell r="K44" t="str">
            <v>-</v>
          </cell>
          <cell r="L44" t="str">
            <v>TRN</v>
          </cell>
          <cell r="M44" t="str">
            <v>ADM</v>
          </cell>
          <cell r="N44" t="str">
            <v>TRN</v>
          </cell>
          <cell r="O44" t="str">
            <v>NS</v>
          </cell>
          <cell r="P44" t="str">
            <v>IDL</v>
          </cell>
          <cell r="Q44" t="str">
            <v>PERMANENT</v>
          </cell>
          <cell r="R44" t="str">
            <v>PRM</v>
          </cell>
          <cell r="S44" t="str">
            <v>ADM</v>
          </cell>
          <cell r="T44" t="str">
            <v>P</v>
          </cell>
          <cell r="U44">
            <v>0</v>
          </cell>
          <cell r="V44">
            <v>0</v>
          </cell>
          <cell r="W44">
            <v>1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1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A45">
            <v>1</v>
          </cell>
          <cell r="B45">
            <v>1114</v>
          </cell>
          <cell r="C45" t="str">
            <v>AFRI SUNDORO</v>
          </cell>
          <cell r="D45" t="str">
            <v>ADM-8</v>
          </cell>
          <cell r="E45">
            <v>37887</v>
          </cell>
          <cell r="F45" t="str">
            <v>-</v>
          </cell>
          <cell r="G45" t="str">
            <v>-</v>
          </cell>
          <cell r="H45" t="str">
            <v>MOTO</v>
          </cell>
          <cell r="I45" t="str">
            <v>LICENSE &amp; TRN</v>
          </cell>
          <cell r="J45" t="str">
            <v>ALL</v>
          </cell>
          <cell r="K45" t="str">
            <v>-</v>
          </cell>
          <cell r="L45" t="str">
            <v>TRN</v>
          </cell>
          <cell r="M45" t="str">
            <v>ADM</v>
          </cell>
          <cell r="N45" t="str">
            <v>TRN</v>
          </cell>
          <cell r="O45" t="str">
            <v>NS</v>
          </cell>
          <cell r="P45" t="str">
            <v>IDL</v>
          </cell>
          <cell r="Q45" t="str">
            <v>PERMANENT</v>
          </cell>
          <cell r="R45" t="str">
            <v>PRM</v>
          </cell>
          <cell r="S45" t="str">
            <v>ADM</v>
          </cell>
          <cell r="T45" t="str">
            <v>L</v>
          </cell>
          <cell r="U45">
            <v>0</v>
          </cell>
          <cell r="V45">
            <v>0</v>
          </cell>
          <cell r="W45">
            <v>1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A46">
            <v>1</v>
          </cell>
          <cell r="B46">
            <v>1160</v>
          </cell>
          <cell r="C46" t="str">
            <v>FAJAR ADIDEWA</v>
          </cell>
          <cell r="D46" t="str">
            <v>ES-9</v>
          </cell>
          <cell r="E46">
            <v>37900</v>
          </cell>
          <cell r="F46" t="str">
            <v>-</v>
          </cell>
          <cell r="G46" t="str">
            <v>-</v>
          </cell>
          <cell r="H46" t="str">
            <v>MOTO</v>
          </cell>
          <cell r="I46" t="str">
            <v>LICENSE &amp; TRN</v>
          </cell>
          <cell r="J46" t="str">
            <v>ALL</v>
          </cell>
          <cell r="K46" t="str">
            <v>-</v>
          </cell>
          <cell r="L46" t="str">
            <v>TRN</v>
          </cell>
          <cell r="M46" t="str">
            <v>LEADER</v>
          </cell>
          <cell r="N46" t="str">
            <v>TRN</v>
          </cell>
          <cell r="O46" t="str">
            <v>NS</v>
          </cell>
          <cell r="P46" t="str">
            <v>IDL</v>
          </cell>
          <cell r="Q46" t="str">
            <v>PERMANENT</v>
          </cell>
          <cell r="R46" t="str">
            <v>PRM</v>
          </cell>
          <cell r="S46" t="str">
            <v>ES</v>
          </cell>
          <cell r="T46" t="str">
            <v>L</v>
          </cell>
          <cell r="U46">
            <v>0</v>
          </cell>
          <cell r="V46">
            <v>1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1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A47">
            <v>1</v>
          </cell>
          <cell r="B47">
            <v>5759</v>
          </cell>
          <cell r="C47" t="str">
            <v>DINA NORISTHA</v>
          </cell>
          <cell r="D47" t="str">
            <v>OPT-135</v>
          </cell>
          <cell r="E47">
            <v>39114</v>
          </cell>
          <cell r="F47">
            <v>39114</v>
          </cell>
          <cell r="G47">
            <v>39478</v>
          </cell>
          <cell r="H47" t="str">
            <v>MOTO</v>
          </cell>
          <cell r="I47" t="str">
            <v>LICENSE &amp; TRN</v>
          </cell>
          <cell r="J47" t="str">
            <v>ALL</v>
          </cell>
          <cell r="K47" t="str">
            <v>-</v>
          </cell>
          <cell r="L47" t="str">
            <v>TRN</v>
          </cell>
          <cell r="M47" t="str">
            <v>ADM</v>
          </cell>
          <cell r="N47" t="str">
            <v>TRN</v>
          </cell>
          <cell r="O47" t="str">
            <v>NS</v>
          </cell>
          <cell r="P47" t="str">
            <v>IDL</v>
          </cell>
          <cell r="Q47" t="str">
            <v>CONTRACT</v>
          </cell>
          <cell r="R47" t="str">
            <v>C3</v>
          </cell>
          <cell r="S47" t="str">
            <v>OPT</v>
          </cell>
          <cell r="T47" t="str">
            <v>P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1</v>
          </cell>
          <cell r="AA47">
            <v>0</v>
          </cell>
          <cell r="AB47">
            <v>0</v>
          </cell>
          <cell r="AC47">
            <v>1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A48">
            <v>1</v>
          </cell>
          <cell r="B48">
            <v>1110</v>
          </cell>
          <cell r="C48" t="str">
            <v>JAYANTI DWI HASTUTI W.</v>
          </cell>
          <cell r="D48" t="str">
            <v>ADM-8</v>
          </cell>
          <cell r="E48">
            <v>37887</v>
          </cell>
          <cell r="F48" t="str">
            <v>-</v>
          </cell>
          <cell r="G48" t="str">
            <v>-</v>
          </cell>
          <cell r="H48" t="str">
            <v>QS</v>
          </cell>
          <cell r="I48" t="str">
            <v>QS</v>
          </cell>
          <cell r="J48" t="str">
            <v>ALL</v>
          </cell>
          <cell r="K48" t="str">
            <v>-</v>
          </cell>
          <cell r="L48" t="str">
            <v>QS</v>
          </cell>
          <cell r="M48" t="str">
            <v>-</v>
          </cell>
          <cell r="N48" t="str">
            <v>QS</v>
          </cell>
          <cell r="O48" t="str">
            <v>NS</v>
          </cell>
          <cell r="P48" t="str">
            <v>FPS</v>
          </cell>
          <cell r="Q48" t="str">
            <v>PERMANENT</v>
          </cell>
          <cell r="R48" t="str">
            <v>PRM</v>
          </cell>
          <cell r="S48" t="str">
            <v>ADM</v>
          </cell>
          <cell r="T48" t="str">
            <v>P</v>
          </cell>
          <cell r="U48">
            <v>0</v>
          </cell>
          <cell r="V48">
            <v>0</v>
          </cell>
          <cell r="W48">
            <v>1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1</v>
          </cell>
          <cell r="AE48">
            <v>0</v>
          </cell>
          <cell r="AF48">
            <v>0</v>
          </cell>
          <cell r="AG48">
            <v>0</v>
          </cell>
        </row>
        <row r="49">
          <cell r="A49">
            <v>1</v>
          </cell>
          <cell r="B49">
            <v>1249</v>
          </cell>
          <cell r="C49" t="str">
            <v>RUS ARIA ASMARANI</v>
          </cell>
          <cell r="D49" t="str">
            <v>ES-10</v>
          </cell>
          <cell r="E49">
            <v>37914</v>
          </cell>
          <cell r="F49" t="str">
            <v>-</v>
          </cell>
          <cell r="G49" t="str">
            <v>-</v>
          </cell>
          <cell r="H49" t="str">
            <v>QS</v>
          </cell>
          <cell r="I49" t="str">
            <v>QS</v>
          </cell>
          <cell r="J49" t="str">
            <v>ALL</v>
          </cell>
          <cell r="K49" t="str">
            <v>-</v>
          </cell>
          <cell r="L49" t="str">
            <v>QS</v>
          </cell>
          <cell r="M49" t="str">
            <v>-</v>
          </cell>
          <cell r="N49" t="str">
            <v>QS</v>
          </cell>
          <cell r="O49" t="str">
            <v>NS</v>
          </cell>
          <cell r="P49" t="str">
            <v>FPS</v>
          </cell>
          <cell r="Q49" t="str">
            <v>PERMANENT</v>
          </cell>
          <cell r="R49" t="str">
            <v>PRM</v>
          </cell>
          <cell r="S49" t="str">
            <v>ES</v>
          </cell>
          <cell r="T49" t="str">
            <v>P</v>
          </cell>
          <cell r="U49">
            <v>0</v>
          </cell>
          <cell r="V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1</v>
          </cell>
          <cell r="AE49">
            <v>0</v>
          </cell>
          <cell r="AF49">
            <v>0</v>
          </cell>
          <cell r="AG49">
            <v>0</v>
          </cell>
        </row>
        <row r="50">
          <cell r="A50">
            <v>1</v>
          </cell>
          <cell r="B50">
            <v>3718</v>
          </cell>
          <cell r="C50" t="str">
            <v>MUHAMMAD FATKUL</v>
          </cell>
          <cell r="D50" t="str">
            <v>SPV</v>
          </cell>
          <cell r="E50">
            <v>38621</v>
          </cell>
          <cell r="F50" t="str">
            <v>-</v>
          </cell>
          <cell r="G50" t="str">
            <v>-</v>
          </cell>
          <cell r="H50" t="str">
            <v>QS</v>
          </cell>
          <cell r="I50" t="str">
            <v>QS</v>
          </cell>
          <cell r="J50" t="str">
            <v>ALL</v>
          </cell>
          <cell r="K50" t="str">
            <v>-</v>
          </cell>
          <cell r="L50" t="str">
            <v>QS</v>
          </cell>
          <cell r="M50" t="str">
            <v>SUPERVISOR</v>
          </cell>
          <cell r="N50" t="str">
            <v>FPS SPV</v>
          </cell>
          <cell r="O50" t="str">
            <v>NS</v>
          </cell>
          <cell r="P50" t="str">
            <v>FPS</v>
          </cell>
          <cell r="Q50" t="str">
            <v>PERMANENT</v>
          </cell>
          <cell r="R50" t="str">
            <v>PRM</v>
          </cell>
          <cell r="S50" t="str">
            <v>SPV</v>
          </cell>
          <cell r="T50" t="str">
            <v>L</v>
          </cell>
          <cell r="U50">
            <v>1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1</v>
          </cell>
          <cell r="AE50">
            <v>0</v>
          </cell>
          <cell r="AF50">
            <v>1</v>
          </cell>
          <cell r="AG50">
            <v>0</v>
          </cell>
        </row>
        <row r="51">
          <cell r="A51">
            <v>1</v>
          </cell>
          <cell r="B51">
            <v>4642</v>
          </cell>
          <cell r="C51" t="str">
            <v>JAROT WAHYU WIBOWO</v>
          </cell>
          <cell r="D51" t="str">
            <v>OPT-114</v>
          </cell>
          <cell r="E51">
            <v>38812</v>
          </cell>
          <cell r="F51">
            <v>39295</v>
          </cell>
          <cell r="G51">
            <v>39660</v>
          </cell>
          <cell r="H51" t="str">
            <v>QS</v>
          </cell>
          <cell r="I51" t="str">
            <v>QS</v>
          </cell>
          <cell r="J51" t="str">
            <v>ALL</v>
          </cell>
          <cell r="K51" t="str">
            <v>-</v>
          </cell>
          <cell r="L51" t="str">
            <v>QS</v>
          </cell>
          <cell r="M51" t="str">
            <v>-</v>
          </cell>
          <cell r="N51" t="str">
            <v>QS</v>
          </cell>
          <cell r="O51" t="str">
            <v>NS</v>
          </cell>
          <cell r="P51" t="str">
            <v>FPS</v>
          </cell>
          <cell r="Q51" t="str">
            <v>CONTRACT</v>
          </cell>
          <cell r="R51" t="str">
            <v>C2</v>
          </cell>
          <cell r="S51" t="str">
            <v>TKN</v>
          </cell>
          <cell r="T51" t="str">
            <v>L</v>
          </cell>
          <cell r="U51">
            <v>0</v>
          </cell>
          <cell r="V51">
            <v>0</v>
          </cell>
          <cell r="W51">
            <v>0</v>
          </cell>
          <cell r="X51">
            <v>1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1</v>
          </cell>
          <cell r="AE51">
            <v>0</v>
          </cell>
          <cell r="AF51">
            <v>1</v>
          </cell>
          <cell r="AG51">
            <v>0</v>
          </cell>
        </row>
        <row r="52">
          <cell r="A52">
            <v>1</v>
          </cell>
          <cell r="B52">
            <v>5475</v>
          </cell>
          <cell r="C52" t="str">
            <v>ERMA LATIFAH</v>
          </cell>
          <cell r="D52" t="str">
            <v>ADM-28</v>
          </cell>
          <cell r="E52">
            <v>38991</v>
          </cell>
          <cell r="F52" t="str">
            <v>-</v>
          </cell>
          <cell r="G52" t="str">
            <v>-</v>
          </cell>
          <cell r="H52" t="str">
            <v>QS</v>
          </cell>
          <cell r="I52" t="str">
            <v>QS</v>
          </cell>
          <cell r="J52" t="str">
            <v>ALL</v>
          </cell>
          <cell r="K52" t="str">
            <v>-</v>
          </cell>
          <cell r="L52" t="str">
            <v>QS</v>
          </cell>
          <cell r="M52" t="str">
            <v>-</v>
          </cell>
          <cell r="N52" t="str">
            <v>QS</v>
          </cell>
          <cell r="O52" t="str">
            <v>NS</v>
          </cell>
          <cell r="P52" t="str">
            <v>FPS</v>
          </cell>
          <cell r="Q52" t="str">
            <v>PERMANENT</v>
          </cell>
          <cell r="R52" t="str">
            <v>PRM</v>
          </cell>
          <cell r="S52" t="str">
            <v>ADM</v>
          </cell>
          <cell r="T52" t="str">
            <v>P</v>
          </cell>
          <cell r="U52">
            <v>0</v>
          </cell>
          <cell r="V52">
            <v>0</v>
          </cell>
          <cell r="W52">
            <v>1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1</v>
          </cell>
          <cell r="AE52">
            <v>0</v>
          </cell>
          <cell r="AF52">
            <v>0</v>
          </cell>
          <cell r="AG52">
            <v>0</v>
          </cell>
        </row>
        <row r="53">
          <cell r="A53">
            <v>1</v>
          </cell>
          <cell r="B53">
            <v>346</v>
          </cell>
          <cell r="C53" t="str">
            <v>ISROFATUN</v>
          </cell>
          <cell r="D53" t="str">
            <v>ADM-2</v>
          </cell>
          <cell r="E53">
            <v>37725</v>
          </cell>
          <cell r="F53" t="str">
            <v>-</v>
          </cell>
          <cell r="G53" t="str">
            <v>-</v>
          </cell>
          <cell r="H53" t="str">
            <v>LOG</v>
          </cell>
          <cell r="I53" t="str">
            <v>EXIM</v>
          </cell>
          <cell r="J53" t="str">
            <v>ALL</v>
          </cell>
          <cell r="K53" t="str">
            <v>-</v>
          </cell>
          <cell r="L53" t="str">
            <v>EXIM</v>
          </cell>
          <cell r="M53" t="str">
            <v>EXIM</v>
          </cell>
          <cell r="N53" t="str">
            <v>EXIM</v>
          </cell>
          <cell r="O53" t="str">
            <v>NS</v>
          </cell>
          <cell r="P53" t="str">
            <v>FPS</v>
          </cell>
          <cell r="Q53" t="str">
            <v>PERMANENT</v>
          </cell>
          <cell r="R53" t="str">
            <v>PRM</v>
          </cell>
          <cell r="S53" t="str">
            <v>ADM</v>
          </cell>
          <cell r="T53" t="str">
            <v>P</v>
          </cell>
          <cell r="U53">
            <v>0</v>
          </cell>
          <cell r="V53">
            <v>0</v>
          </cell>
          <cell r="W53">
            <v>1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1</v>
          </cell>
          <cell r="AE53">
            <v>0</v>
          </cell>
          <cell r="AF53">
            <v>0</v>
          </cell>
          <cell r="AG53">
            <v>0</v>
          </cell>
        </row>
        <row r="54">
          <cell r="A54">
            <v>1</v>
          </cell>
          <cell r="B54">
            <v>395</v>
          </cell>
          <cell r="C54" t="str">
            <v>TRI NOVI PUJIYANTI</v>
          </cell>
          <cell r="D54" t="str">
            <v>ADM-3</v>
          </cell>
          <cell r="E54">
            <v>37732</v>
          </cell>
          <cell r="F54" t="str">
            <v>-</v>
          </cell>
          <cell r="G54" t="str">
            <v>-</v>
          </cell>
          <cell r="H54" t="str">
            <v>LOG</v>
          </cell>
          <cell r="I54" t="str">
            <v>EXIM</v>
          </cell>
          <cell r="J54" t="str">
            <v>ALL</v>
          </cell>
          <cell r="K54" t="str">
            <v>-</v>
          </cell>
          <cell r="L54" t="str">
            <v>EXIM</v>
          </cell>
          <cell r="M54" t="str">
            <v>LOADING DOCK</v>
          </cell>
          <cell r="N54" t="str">
            <v>EXIM</v>
          </cell>
          <cell r="O54" t="str">
            <v>NS</v>
          </cell>
          <cell r="P54" t="str">
            <v>FPS</v>
          </cell>
          <cell r="Q54" t="str">
            <v>PERMANENT</v>
          </cell>
          <cell r="R54" t="str">
            <v>PRM</v>
          </cell>
          <cell r="S54" t="str">
            <v>ADM</v>
          </cell>
          <cell r="T54" t="str">
            <v>P</v>
          </cell>
          <cell r="U54">
            <v>0</v>
          </cell>
          <cell r="V54">
            <v>0</v>
          </cell>
          <cell r="W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1</v>
          </cell>
          <cell r="AE54">
            <v>0</v>
          </cell>
          <cell r="AF54">
            <v>0</v>
          </cell>
          <cell r="AG54">
            <v>0</v>
          </cell>
        </row>
        <row r="55">
          <cell r="A55">
            <v>1</v>
          </cell>
          <cell r="B55">
            <v>505</v>
          </cell>
          <cell r="C55" t="str">
            <v>AGNES ARI DUANTO</v>
          </cell>
          <cell r="D55" t="str">
            <v>OPT-13</v>
          </cell>
          <cell r="E55">
            <v>37760</v>
          </cell>
          <cell r="F55" t="str">
            <v>-</v>
          </cell>
          <cell r="G55" t="str">
            <v>-</v>
          </cell>
          <cell r="H55" t="str">
            <v>LOG</v>
          </cell>
          <cell r="I55" t="str">
            <v>EXIM</v>
          </cell>
          <cell r="J55" t="str">
            <v>ALL</v>
          </cell>
          <cell r="K55" t="str">
            <v>-</v>
          </cell>
          <cell r="L55" t="str">
            <v>EXIM</v>
          </cell>
          <cell r="M55" t="str">
            <v>LOADING DOCK</v>
          </cell>
          <cell r="N55" t="str">
            <v>EXIM</v>
          </cell>
          <cell r="O55" t="str">
            <v>NS</v>
          </cell>
          <cell r="P55" t="str">
            <v>FPS</v>
          </cell>
          <cell r="Q55" t="str">
            <v>PERMANENT</v>
          </cell>
          <cell r="R55" t="str">
            <v>PRM</v>
          </cell>
          <cell r="S55" t="str">
            <v>OPT</v>
          </cell>
          <cell r="T55" t="str">
            <v>L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</v>
          </cell>
          <cell r="AA55">
            <v>0</v>
          </cell>
          <cell r="AB55">
            <v>0</v>
          </cell>
          <cell r="AC55">
            <v>0</v>
          </cell>
          <cell r="AD55">
            <v>1</v>
          </cell>
          <cell r="AE55">
            <v>0</v>
          </cell>
          <cell r="AF55">
            <v>1</v>
          </cell>
          <cell r="AG55">
            <v>0</v>
          </cell>
        </row>
        <row r="56">
          <cell r="A56">
            <v>1</v>
          </cell>
          <cell r="B56">
            <v>508</v>
          </cell>
          <cell r="C56" t="str">
            <v>SUKADI</v>
          </cell>
          <cell r="D56" t="str">
            <v>OPT-13</v>
          </cell>
          <cell r="E56">
            <v>37760</v>
          </cell>
          <cell r="F56" t="str">
            <v>-</v>
          </cell>
          <cell r="G56" t="str">
            <v>-</v>
          </cell>
          <cell r="H56" t="str">
            <v>LOG</v>
          </cell>
          <cell r="I56" t="str">
            <v>EXIM</v>
          </cell>
          <cell r="J56" t="str">
            <v>ALL</v>
          </cell>
          <cell r="K56" t="str">
            <v>-</v>
          </cell>
          <cell r="L56" t="str">
            <v>EXIM</v>
          </cell>
          <cell r="M56" t="str">
            <v>LOADING DOCK</v>
          </cell>
          <cell r="N56" t="str">
            <v>EXIM</v>
          </cell>
          <cell r="O56" t="str">
            <v>NS</v>
          </cell>
          <cell r="P56" t="str">
            <v>FPS</v>
          </cell>
          <cell r="Q56" t="str">
            <v>PERMANENT</v>
          </cell>
          <cell r="R56" t="str">
            <v>PRM</v>
          </cell>
          <cell r="S56" t="str">
            <v>OPT</v>
          </cell>
          <cell r="T56" t="str">
            <v>L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</v>
          </cell>
          <cell r="AA56">
            <v>0</v>
          </cell>
          <cell r="AB56">
            <v>0</v>
          </cell>
          <cell r="AC56">
            <v>0</v>
          </cell>
          <cell r="AD56">
            <v>1</v>
          </cell>
          <cell r="AE56">
            <v>0</v>
          </cell>
          <cell r="AF56">
            <v>1</v>
          </cell>
          <cell r="AG56">
            <v>0</v>
          </cell>
        </row>
        <row r="57">
          <cell r="A57">
            <v>1</v>
          </cell>
          <cell r="B57">
            <v>551</v>
          </cell>
          <cell r="C57" t="str">
            <v>MOHAMMAD RUSAN</v>
          </cell>
          <cell r="D57" t="str">
            <v>OPT-14</v>
          </cell>
          <cell r="E57">
            <v>37767</v>
          </cell>
          <cell r="F57" t="str">
            <v>-</v>
          </cell>
          <cell r="G57" t="str">
            <v>-</v>
          </cell>
          <cell r="H57" t="str">
            <v>LOG</v>
          </cell>
          <cell r="I57" t="str">
            <v>EXIM</v>
          </cell>
          <cell r="J57" t="str">
            <v>ALL</v>
          </cell>
          <cell r="K57" t="str">
            <v>-</v>
          </cell>
          <cell r="L57" t="str">
            <v>EXIM</v>
          </cell>
          <cell r="M57" t="str">
            <v>LOADING DOCK</v>
          </cell>
          <cell r="N57" t="str">
            <v>EXIM</v>
          </cell>
          <cell r="O57" t="str">
            <v>NS</v>
          </cell>
          <cell r="P57" t="str">
            <v>FPS</v>
          </cell>
          <cell r="Q57" t="str">
            <v>PERMANENT</v>
          </cell>
          <cell r="R57" t="str">
            <v>PRM</v>
          </cell>
          <cell r="S57" t="str">
            <v>OPT</v>
          </cell>
          <cell r="T57" t="str">
            <v>L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</v>
          </cell>
          <cell r="AA57">
            <v>0</v>
          </cell>
          <cell r="AB57">
            <v>0</v>
          </cell>
          <cell r="AC57">
            <v>0</v>
          </cell>
          <cell r="AD57">
            <v>1</v>
          </cell>
          <cell r="AE57">
            <v>0</v>
          </cell>
          <cell r="AF57">
            <v>1</v>
          </cell>
          <cell r="AG57">
            <v>0</v>
          </cell>
        </row>
        <row r="58">
          <cell r="A58">
            <v>1</v>
          </cell>
          <cell r="B58">
            <v>585</v>
          </cell>
          <cell r="C58" t="str">
            <v>ABDUL GHONI</v>
          </cell>
          <cell r="D58" t="str">
            <v>OPT-15</v>
          </cell>
          <cell r="E58">
            <v>37774</v>
          </cell>
          <cell r="F58" t="str">
            <v>-</v>
          </cell>
          <cell r="G58" t="str">
            <v>-</v>
          </cell>
          <cell r="H58" t="str">
            <v>LOG</v>
          </cell>
          <cell r="I58" t="str">
            <v>EXIM</v>
          </cell>
          <cell r="J58" t="str">
            <v>ALL</v>
          </cell>
          <cell r="K58" t="str">
            <v>-</v>
          </cell>
          <cell r="L58" t="str">
            <v>EXIM</v>
          </cell>
          <cell r="M58" t="str">
            <v>LOADING DOCK</v>
          </cell>
          <cell r="N58" t="str">
            <v>EXIM</v>
          </cell>
          <cell r="O58" t="str">
            <v>NS</v>
          </cell>
          <cell r="P58" t="str">
            <v>FPS</v>
          </cell>
          <cell r="Q58" t="str">
            <v>PERMANENT</v>
          </cell>
          <cell r="R58" t="str">
            <v>PRM</v>
          </cell>
          <cell r="S58" t="str">
            <v>OPT</v>
          </cell>
          <cell r="T58" t="str">
            <v>L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</v>
          </cell>
          <cell r="AA58">
            <v>0</v>
          </cell>
          <cell r="AB58">
            <v>0</v>
          </cell>
          <cell r="AC58">
            <v>0</v>
          </cell>
          <cell r="AD58">
            <v>1</v>
          </cell>
          <cell r="AE58">
            <v>0</v>
          </cell>
          <cell r="AF58">
            <v>1</v>
          </cell>
          <cell r="AG58">
            <v>0</v>
          </cell>
        </row>
        <row r="59">
          <cell r="A59">
            <v>1</v>
          </cell>
          <cell r="B59">
            <v>702</v>
          </cell>
          <cell r="C59" t="str">
            <v>ARI KRISTANTO</v>
          </cell>
          <cell r="D59" t="str">
            <v>ES-4</v>
          </cell>
          <cell r="E59">
            <v>37802</v>
          </cell>
          <cell r="F59" t="str">
            <v>-</v>
          </cell>
          <cell r="G59" t="str">
            <v>-</v>
          </cell>
          <cell r="H59" t="str">
            <v>LOG</v>
          </cell>
          <cell r="I59" t="str">
            <v>EXIM</v>
          </cell>
          <cell r="J59" t="str">
            <v>ALL</v>
          </cell>
          <cell r="K59" t="str">
            <v>-</v>
          </cell>
          <cell r="L59" t="str">
            <v>EXIM</v>
          </cell>
          <cell r="M59" t="str">
            <v>LOADING DOCK</v>
          </cell>
          <cell r="N59" t="str">
            <v>EXIM</v>
          </cell>
          <cell r="O59" t="str">
            <v>NS</v>
          </cell>
          <cell r="P59" t="str">
            <v>FPS</v>
          </cell>
          <cell r="Q59" t="str">
            <v>PERMANENT</v>
          </cell>
          <cell r="R59" t="str">
            <v>PRM</v>
          </cell>
          <cell r="S59" t="str">
            <v>ES</v>
          </cell>
          <cell r="T59" t="str">
            <v>L</v>
          </cell>
          <cell r="U59">
            <v>0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1</v>
          </cell>
          <cell r="AE59">
            <v>0</v>
          </cell>
          <cell r="AF59">
            <v>1</v>
          </cell>
          <cell r="AG59">
            <v>0</v>
          </cell>
        </row>
        <row r="60">
          <cell r="A60">
            <v>1</v>
          </cell>
          <cell r="B60">
            <v>796</v>
          </cell>
          <cell r="C60" t="str">
            <v>YOEN YOEDONO SOEBROTO</v>
          </cell>
          <cell r="D60" t="str">
            <v>SPV</v>
          </cell>
          <cell r="E60">
            <v>37837</v>
          </cell>
          <cell r="F60" t="str">
            <v>-</v>
          </cell>
          <cell r="G60" t="str">
            <v>-</v>
          </cell>
          <cell r="H60" t="str">
            <v>LOG</v>
          </cell>
          <cell r="I60" t="str">
            <v>EXIM</v>
          </cell>
          <cell r="J60" t="str">
            <v>ALL</v>
          </cell>
          <cell r="K60" t="str">
            <v>-</v>
          </cell>
          <cell r="L60" t="str">
            <v>EXIM</v>
          </cell>
          <cell r="M60" t="str">
            <v>EXIM</v>
          </cell>
          <cell r="N60" t="str">
            <v>FPS SPV</v>
          </cell>
          <cell r="O60" t="str">
            <v>NS</v>
          </cell>
          <cell r="P60" t="str">
            <v>FPS</v>
          </cell>
          <cell r="Q60" t="str">
            <v>PERMANENT</v>
          </cell>
          <cell r="R60" t="str">
            <v>PRM</v>
          </cell>
          <cell r="S60" t="str">
            <v>SPV</v>
          </cell>
          <cell r="T60" t="str">
            <v>L</v>
          </cell>
          <cell r="U60">
            <v>1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1</v>
          </cell>
          <cell r="AE60">
            <v>0</v>
          </cell>
          <cell r="AF60">
            <v>1</v>
          </cell>
          <cell r="AG60">
            <v>0</v>
          </cell>
        </row>
        <row r="61">
          <cell r="A61">
            <v>1</v>
          </cell>
          <cell r="B61">
            <v>2227</v>
          </cell>
          <cell r="C61" t="str">
            <v>FITRIA ENDAH PRATIWI</v>
          </cell>
          <cell r="D61" t="str">
            <v>ES-14</v>
          </cell>
          <cell r="E61">
            <v>38168</v>
          </cell>
          <cell r="F61" t="str">
            <v>-</v>
          </cell>
          <cell r="G61" t="str">
            <v>-</v>
          </cell>
          <cell r="H61" t="str">
            <v>LOG</v>
          </cell>
          <cell r="I61" t="str">
            <v>EXIM</v>
          </cell>
          <cell r="J61" t="str">
            <v>ALL</v>
          </cell>
          <cell r="K61" t="str">
            <v>-</v>
          </cell>
          <cell r="L61" t="str">
            <v>EXIM</v>
          </cell>
          <cell r="M61" t="str">
            <v>EXIM</v>
          </cell>
          <cell r="N61" t="str">
            <v>EXIM</v>
          </cell>
          <cell r="O61" t="str">
            <v>NS</v>
          </cell>
          <cell r="P61" t="str">
            <v>FPS</v>
          </cell>
          <cell r="Q61" t="str">
            <v>PERMANENT</v>
          </cell>
          <cell r="R61" t="str">
            <v>PRM</v>
          </cell>
          <cell r="S61" t="str">
            <v>ES</v>
          </cell>
          <cell r="T61" t="str">
            <v>P</v>
          </cell>
          <cell r="U61">
            <v>0</v>
          </cell>
          <cell r="V61">
            <v>1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1</v>
          </cell>
          <cell r="AE61">
            <v>0</v>
          </cell>
          <cell r="AF61">
            <v>0</v>
          </cell>
          <cell r="AG61">
            <v>0</v>
          </cell>
        </row>
        <row r="62">
          <cell r="A62">
            <v>1</v>
          </cell>
          <cell r="B62">
            <v>4440</v>
          </cell>
          <cell r="C62" t="str">
            <v>DONI PURWANTO</v>
          </cell>
          <cell r="D62" t="str">
            <v>OPT-108</v>
          </cell>
          <cell r="E62">
            <v>38754</v>
          </cell>
          <cell r="F62">
            <v>39234</v>
          </cell>
          <cell r="G62">
            <v>39599</v>
          </cell>
          <cell r="H62" t="str">
            <v>LOG</v>
          </cell>
          <cell r="I62" t="str">
            <v>EXIM</v>
          </cell>
          <cell r="J62" t="str">
            <v>ALL</v>
          </cell>
          <cell r="K62" t="str">
            <v>-</v>
          </cell>
          <cell r="L62" t="str">
            <v>EXIM</v>
          </cell>
          <cell r="M62" t="str">
            <v>LOADING DOCK</v>
          </cell>
          <cell r="N62" t="str">
            <v>EXIM</v>
          </cell>
          <cell r="O62" t="str">
            <v>A</v>
          </cell>
          <cell r="P62" t="str">
            <v>FPS</v>
          </cell>
          <cell r="Q62" t="str">
            <v>CONTRACT</v>
          </cell>
          <cell r="R62" t="str">
            <v>C2</v>
          </cell>
          <cell r="S62" t="str">
            <v>OPT</v>
          </cell>
          <cell r="T62" t="str">
            <v>L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>
            <v>0</v>
          </cell>
          <cell r="AB62">
            <v>0</v>
          </cell>
          <cell r="AC62">
            <v>0</v>
          </cell>
          <cell r="AD62">
            <v>1</v>
          </cell>
          <cell r="AE62">
            <v>0</v>
          </cell>
          <cell r="AF62">
            <v>1</v>
          </cell>
          <cell r="AG62">
            <v>0</v>
          </cell>
        </row>
        <row r="63">
          <cell r="A63">
            <v>1</v>
          </cell>
          <cell r="B63">
            <v>4442</v>
          </cell>
          <cell r="C63" t="str">
            <v>SULISTYO PRAYITNO UTOMO</v>
          </cell>
          <cell r="D63" t="str">
            <v>OPT-108</v>
          </cell>
          <cell r="E63">
            <v>38754</v>
          </cell>
          <cell r="F63">
            <v>39234</v>
          </cell>
          <cell r="G63">
            <v>39599</v>
          </cell>
          <cell r="H63" t="str">
            <v>LOG</v>
          </cell>
          <cell r="I63" t="str">
            <v>EXIM</v>
          </cell>
          <cell r="J63" t="str">
            <v>ALL</v>
          </cell>
          <cell r="K63" t="str">
            <v>-</v>
          </cell>
          <cell r="L63" t="str">
            <v>EXIM</v>
          </cell>
          <cell r="M63" t="str">
            <v>LOADING DOCK</v>
          </cell>
          <cell r="N63" t="str">
            <v>EXIM</v>
          </cell>
          <cell r="O63" t="str">
            <v>B</v>
          </cell>
          <cell r="P63" t="str">
            <v>FPS</v>
          </cell>
          <cell r="Q63" t="str">
            <v>CONTRACT</v>
          </cell>
          <cell r="R63" t="str">
            <v>C2</v>
          </cell>
          <cell r="S63" t="str">
            <v>OPT</v>
          </cell>
          <cell r="T63" t="str">
            <v>L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</v>
          </cell>
          <cell r="AA63">
            <v>0</v>
          </cell>
          <cell r="AB63">
            <v>0</v>
          </cell>
          <cell r="AC63">
            <v>0</v>
          </cell>
          <cell r="AD63">
            <v>1</v>
          </cell>
          <cell r="AE63">
            <v>0</v>
          </cell>
          <cell r="AF63">
            <v>1</v>
          </cell>
          <cell r="AG63">
            <v>0</v>
          </cell>
        </row>
        <row r="64">
          <cell r="A64">
            <v>1</v>
          </cell>
          <cell r="B64">
            <v>5480</v>
          </cell>
          <cell r="C64" t="str">
            <v>TOYI'IN</v>
          </cell>
          <cell r="D64" t="str">
            <v>ADM-28</v>
          </cell>
          <cell r="E64">
            <v>38991</v>
          </cell>
          <cell r="F64" t="str">
            <v>-</v>
          </cell>
          <cell r="G64" t="str">
            <v>-</v>
          </cell>
          <cell r="H64" t="str">
            <v>LOG</v>
          </cell>
          <cell r="I64" t="str">
            <v>EXIM</v>
          </cell>
          <cell r="J64" t="str">
            <v>ALL</v>
          </cell>
          <cell r="K64" t="str">
            <v>-</v>
          </cell>
          <cell r="L64" t="str">
            <v>EXIM</v>
          </cell>
          <cell r="M64" t="str">
            <v>EXIM</v>
          </cell>
          <cell r="N64" t="str">
            <v>EXIM</v>
          </cell>
          <cell r="O64" t="str">
            <v>NS</v>
          </cell>
          <cell r="P64" t="str">
            <v>FPS</v>
          </cell>
          <cell r="Q64" t="str">
            <v>PERMANENT</v>
          </cell>
          <cell r="R64" t="str">
            <v>PRM</v>
          </cell>
          <cell r="S64" t="str">
            <v>ADM</v>
          </cell>
          <cell r="T64" t="str">
            <v>L</v>
          </cell>
          <cell r="U64">
            <v>0</v>
          </cell>
          <cell r="V64">
            <v>0</v>
          </cell>
          <cell r="W64">
            <v>1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1</v>
          </cell>
          <cell r="AE64">
            <v>0</v>
          </cell>
          <cell r="AF64">
            <v>1</v>
          </cell>
          <cell r="AG64">
            <v>0</v>
          </cell>
        </row>
        <row r="65">
          <cell r="A65">
            <v>1</v>
          </cell>
          <cell r="B65">
            <v>5537</v>
          </cell>
          <cell r="C65" t="str">
            <v>AGUS SANTOSO</v>
          </cell>
          <cell r="D65" t="str">
            <v>OPT-130</v>
          </cell>
          <cell r="E65">
            <v>39052</v>
          </cell>
          <cell r="F65">
            <v>39052</v>
          </cell>
          <cell r="G65">
            <v>39416</v>
          </cell>
          <cell r="H65" t="str">
            <v>LOG</v>
          </cell>
          <cell r="I65" t="str">
            <v>EXIM</v>
          </cell>
          <cell r="J65" t="str">
            <v>ALL</v>
          </cell>
          <cell r="K65" t="str">
            <v>-</v>
          </cell>
          <cell r="L65" t="str">
            <v>EXIM</v>
          </cell>
          <cell r="M65" t="str">
            <v>LOADING DOCK</v>
          </cell>
          <cell r="N65" t="str">
            <v>EXIM</v>
          </cell>
          <cell r="O65" t="str">
            <v>A</v>
          </cell>
          <cell r="P65" t="str">
            <v>FPS</v>
          </cell>
          <cell r="Q65" t="str">
            <v>CONTRACT</v>
          </cell>
          <cell r="R65" t="str">
            <v>C3</v>
          </cell>
          <cell r="S65" t="str">
            <v>OPT</v>
          </cell>
          <cell r="T65" t="str">
            <v>L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</v>
          </cell>
          <cell r="AA65">
            <v>0</v>
          </cell>
          <cell r="AB65">
            <v>0</v>
          </cell>
          <cell r="AC65">
            <v>0</v>
          </cell>
          <cell r="AD65">
            <v>1</v>
          </cell>
          <cell r="AE65">
            <v>0</v>
          </cell>
          <cell r="AF65">
            <v>1</v>
          </cell>
          <cell r="AG65">
            <v>0</v>
          </cell>
        </row>
        <row r="66">
          <cell r="A66">
            <v>1</v>
          </cell>
          <cell r="B66">
            <v>5973</v>
          </cell>
          <cell r="C66" t="str">
            <v>ELY RATNAWATI</v>
          </cell>
          <cell r="D66" t="str">
            <v>ADM-31</v>
          </cell>
          <cell r="E66">
            <v>39129</v>
          </cell>
          <cell r="F66">
            <v>39129</v>
          </cell>
          <cell r="G66">
            <v>39493</v>
          </cell>
          <cell r="H66" t="str">
            <v>LOG</v>
          </cell>
          <cell r="I66" t="str">
            <v>EXIM</v>
          </cell>
          <cell r="J66" t="str">
            <v>ALL</v>
          </cell>
          <cell r="K66" t="str">
            <v>-</v>
          </cell>
          <cell r="L66" t="str">
            <v>EXIM</v>
          </cell>
          <cell r="M66" t="str">
            <v>LOADING DOCK</v>
          </cell>
          <cell r="N66" t="str">
            <v>EXIM</v>
          </cell>
          <cell r="O66" t="str">
            <v>B</v>
          </cell>
          <cell r="P66" t="str">
            <v>FPS</v>
          </cell>
          <cell r="Q66" t="str">
            <v>CONTRACT</v>
          </cell>
          <cell r="R66" t="str">
            <v>C3</v>
          </cell>
          <cell r="S66" t="str">
            <v>ADM</v>
          </cell>
          <cell r="T66" t="str">
            <v>P</v>
          </cell>
          <cell r="U66">
            <v>0</v>
          </cell>
          <cell r="V66">
            <v>0</v>
          </cell>
          <cell r="W66">
            <v>1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1</v>
          </cell>
          <cell r="AE66">
            <v>0</v>
          </cell>
          <cell r="AF66">
            <v>0</v>
          </cell>
          <cell r="AG66">
            <v>0</v>
          </cell>
        </row>
        <row r="67">
          <cell r="A67">
            <v>1</v>
          </cell>
          <cell r="B67">
            <v>6177</v>
          </cell>
          <cell r="C67" t="str">
            <v>BUDI SULISTIYO</v>
          </cell>
          <cell r="D67" t="str">
            <v>OPT-141</v>
          </cell>
          <cell r="E67">
            <v>39173</v>
          </cell>
          <cell r="F67">
            <v>39173</v>
          </cell>
          <cell r="G67">
            <v>39538</v>
          </cell>
          <cell r="H67" t="str">
            <v>LOG</v>
          </cell>
          <cell r="I67" t="str">
            <v>EXIM</v>
          </cell>
          <cell r="J67" t="str">
            <v>ALL</v>
          </cell>
          <cell r="K67" t="str">
            <v>-</v>
          </cell>
          <cell r="L67" t="str">
            <v>EXIM</v>
          </cell>
          <cell r="M67" t="str">
            <v>LOADING DOCK</v>
          </cell>
          <cell r="N67" t="str">
            <v>EXIM</v>
          </cell>
          <cell r="O67" t="str">
            <v>B</v>
          </cell>
          <cell r="P67" t="str">
            <v>FPS</v>
          </cell>
          <cell r="Q67" t="str">
            <v>CONTRACT</v>
          </cell>
          <cell r="R67" t="str">
            <v>C3</v>
          </cell>
          <cell r="S67" t="str">
            <v>OPT</v>
          </cell>
          <cell r="T67" t="str">
            <v>L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</v>
          </cell>
          <cell r="AA67">
            <v>0</v>
          </cell>
          <cell r="AB67">
            <v>0</v>
          </cell>
          <cell r="AC67">
            <v>0</v>
          </cell>
          <cell r="AD67">
            <v>1</v>
          </cell>
          <cell r="AE67">
            <v>0</v>
          </cell>
          <cell r="AF67">
            <v>1</v>
          </cell>
          <cell r="AG67">
            <v>0</v>
          </cell>
        </row>
        <row r="68">
          <cell r="A68">
            <v>1</v>
          </cell>
          <cell r="B68">
            <v>6203</v>
          </cell>
          <cell r="C68" t="str">
            <v>PURWANTI</v>
          </cell>
          <cell r="D68" t="str">
            <v>ADM-34</v>
          </cell>
          <cell r="E68">
            <v>38809</v>
          </cell>
          <cell r="F68">
            <v>39295</v>
          </cell>
          <cell r="G68">
            <v>39660</v>
          </cell>
          <cell r="H68" t="str">
            <v>LOG</v>
          </cell>
          <cell r="I68" t="str">
            <v>EXIM</v>
          </cell>
          <cell r="J68" t="str">
            <v>ALL</v>
          </cell>
          <cell r="K68" t="str">
            <v>-</v>
          </cell>
          <cell r="L68" t="str">
            <v>EXIM</v>
          </cell>
          <cell r="M68" t="str">
            <v>EXIM</v>
          </cell>
          <cell r="N68" t="str">
            <v>EXIM</v>
          </cell>
          <cell r="O68" t="str">
            <v>NS</v>
          </cell>
          <cell r="P68" t="str">
            <v>FPS</v>
          </cell>
          <cell r="Q68" t="str">
            <v>CONTRACT</v>
          </cell>
          <cell r="R68" t="str">
            <v>C1</v>
          </cell>
          <cell r="S68" t="str">
            <v>ADM</v>
          </cell>
          <cell r="T68" t="str">
            <v>P</v>
          </cell>
          <cell r="U68">
            <v>0</v>
          </cell>
          <cell r="V68">
            <v>0</v>
          </cell>
          <cell r="W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1</v>
          </cell>
          <cell r="AE68">
            <v>0</v>
          </cell>
          <cell r="AF68">
            <v>0</v>
          </cell>
          <cell r="AG68">
            <v>0</v>
          </cell>
        </row>
        <row r="69">
          <cell r="A69">
            <v>1</v>
          </cell>
          <cell r="B69" t="str">
            <v>PCS 17</v>
          </cell>
          <cell r="C69" t="str">
            <v>ERICK KURNIAWAN P</v>
          </cell>
          <cell r="D69" t="str">
            <v>OUTSOURCING</v>
          </cell>
          <cell r="E69" t="str">
            <v>05/10/2006</v>
          </cell>
          <cell r="F69" t="str">
            <v>-</v>
          </cell>
          <cell r="G69" t="str">
            <v>-</v>
          </cell>
          <cell r="H69" t="str">
            <v>LOG</v>
          </cell>
          <cell r="I69" t="str">
            <v>EXIM</v>
          </cell>
          <cell r="J69" t="str">
            <v>ALL</v>
          </cell>
          <cell r="K69" t="str">
            <v>-</v>
          </cell>
          <cell r="L69" t="str">
            <v>EXIM</v>
          </cell>
          <cell r="M69" t="str">
            <v>LOADING DOCK</v>
          </cell>
          <cell r="N69" t="str">
            <v>EXIM</v>
          </cell>
          <cell r="O69" t="str">
            <v>A</v>
          </cell>
          <cell r="P69" t="str">
            <v>FPS</v>
          </cell>
          <cell r="Q69" t="str">
            <v>OUTSOURCING</v>
          </cell>
          <cell r="R69" t="str">
            <v>OSC OTH</v>
          </cell>
          <cell r="S69" t="str">
            <v>PCS</v>
          </cell>
          <cell r="T69" t="str">
            <v>L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1</v>
          </cell>
          <cell r="AE69">
            <v>0</v>
          </cell>
          <cell r="AF69">
            <v>1</v>
          </cell>
          <cell r="AG69">
            <v>0</v>
          </cell>
        </row>
        <row r="70">
          <cell r="A70">
            <v>1</v>
          </cell>
          <cell r="B70" t="str">
            <v>PCS 18</v>
          </cell>
          <cell r="C70" t="str">
            <v>IRAWAN YUSUF</v>
          </cell>
          <cell r="D70" t="str">
            <v>OUTSOURCING</v>
          </cell>
          <cell r="E70" t="str">
            <v>04/09/2006</v>
          </cell>
          <cell r="F70" t="str">
            <v>-</v>
          </cell>
          <cell r="G70" t="str">
            <v>-</v>
          </cell>
          <cell r="H70" t="str">
            <v>LOG</v>
          </cell>
          <cell r="I70" t="str">
            <v>EXIM</v>
          </cell>
          <cell r="J70" t="str">
            <v>ALL</v>
          </cell>
          <cell r="K70" t="str">
            <v>-</v>
          </cell>
          <cell r="L70" t="str">
            <v>EXIM</v>
          </cell>
          <cell r="M70" t="str">
            <v>LOADING DOCK</v>
          </cell>
          <cell r="N70" t="str">
            <v>EXIM</v>
          </cell>
          <cell r="O70" t="str">
            <v>B</v>
          </cell>
          <cell r="P70" t="str">
            <v>FPS</v>
          </cell>
          <cell r="Q70" t="str">
            <v>OUTSOURCING</v>
          </cell>
          <cell r="R70" t="str">
            <v>OSC OTH</v>
          </cell>
          <cell r="S70" t="str">
            <v>PCS</v>
          </cell>
          <cell r="T70" t="str">
            <v>L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1</v>
          </cell>
          <cell r="AE70">
            <v>0</v>
          </cell>
          <cell r="AF70">
            <v>1</v>
          </cell>
          <cell r="AG70">
            <v>0</v>
          </cell>
        </row>
        <row r="71">
          <cell r="A71">
            <v>1</v>
          </cell>
          <cell r="B71" t="str">
            <v>PCS 21</v>
          </cell>
          <cell r="C71" t="str">
            <v>MOH.CROIRIL LUFI</v>
          </cell>
          <cell r="D71" t="str">
            <v>OUTSOURCING</v>
          </cell>
          <cell r="E71" t="str">
            <v>04/09/2006</v>
          </cell>
          <cell r="F71" t="str">
            <v>-</v>
          </cell>
          <cell r="G71" t="str">
            <v>-</v>
          </cell>
          <cell r="H71" t="str">
            <v>LOG</v>
          </cell>
          <cell r="I71" t="str">
            <v>EXIM</v>
          </cell>
          <cell r="J71" t="str">
            <v>ALL</v>
          </cell>
          <cell r="K71" t="str">
            <v>-</v>
          </cell>
          <cell r="L71" t="str">
            <v>EXIM</v>
          </cell>
          <cell r="M71" t="str">
            <v>LOADING DOCK</v>
          </cell>
          <cell r="N71" t="str">
            <v>EXIM</v>
          </cell>
          <cell r="O71" t="str">
            <v>A</v>
          </cell>
          <cell r="P71" t="str">
            <v>FPS</v>
          </cell>
          <cell r="Q71" t="str">
            <v>OUTSOURCING</v>
          </cell>
          <cell r="R71" t="str">
            <v>OSC OTH</v>
          </cell>
          <cell r="S71" t="str">
            <v>PCS</v>
          </cell>
          <cell r="T71" t="str">
            <v>L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1</v>
          </cell>
          <cell r="AE71">
            <v>0</v>
          </cell>
          <cell r="AF71">
            <v>1</v>
          </cell>
          <cell r="AG71">
            <v>0</v>
          </cell>
        </row>
        <row r="72">
          <cell r="A72">
            <v>1</v>
          </cell>
          <cell r="B72" t="str">
            <v>PCS 22</v>
          </cell>
          <cell r="C72" t="str">
            <v>NUR AZIS</v>
          </cell>
          <cell r="D72" t="str">
            <v>OUTSOURCING</v>
          </cell>
          <cell r="E72" t="str">
            <v>04/09/2006</v>
          </cell>
          <cell r="F72" t="str">
            <v>-</v>
          </cell>
          <cell r="G72" t="str">
            <v>-</v>
          </cell>
          <cell r="H72" t="str">
            <v>LOG</v>
          </cell>
          <cell r="I72" t="str">
            <v>EXIM</v>
          </cell>
          <cell r="J72" t="str">
            <v>ALL</v>
          </cell>
          <cell r="K72" t="str">
            <v>-</v>
          </cell>
          <cell r="L72" t="str">
            <v>EXIM</v>
          </cell>
          <cell r="M72" t="str">
            <v>LOADING DOCK</v>
          </cell>
          <cell r="N72" t="str">
            <v>EXIM</v>
          </cell>
          <cell r="O72" t="str">
            <v>B</v>
          </cell>
          <cell r="P72" t="str">
            <v>FPS</v>
          </cell>
          <cell r="Q72" t="str">
            <v>OUTSOURCING</v>
          </cell>
          <cell r="R72" t="str">
            <v>OSC OTH</v>
          </cell>
          <cell r="S72" t="str">
            <v>PCS</v>
          </cell>
          <cell r="T72" t="str">
            <v>L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1</v>
          </cell>
          <cell r="AE72">
            <v>0</v>
          </cell>
          <cell r="AF72">
            <v>1</v>
          </cell>
          <cell r="AG72">
            <v>0</v>
          </cell>
        </row>
        <row r="73">
          <cell r="A73">
            <v>1</v>
          </cell>
          <cell r="B73" t="str">
            <v>PCS 27</v>
          </cell>
          <cell r="C73" t="str">
            <v>TIMBUL SUSANTO</v>
          </cell>
          <cell r="D73" t="str">
            <v>OUTSOURCING</v>
          </cell>
          <cell r="E73" t="str">
            <v>04/09/2006</v>
          </cell>
          <cell r="F73" t="str">
            <v>-</v>
          </cell>
          <cell r="G73" t="str">
            <v>-</v>
          </cell>
          <cell r="H73" t="str">
            <v>LOG</v>
          </cell>
          <cell r="I73" t="str">
            <v>EXIM</v>
          </cell>
          <cell r="J73" t="str">
            <v>ALL</v>
          </cell>
          <cell r="K73" t="str">
            <v>-</v>
          </cell>
          <cell r="L73" t="str">
            <v>EXIM</v>
          </cell>
          <cell r="M73" t="str">
            <v>LOADING DOCK</v>
          </cell>
          <cell r="N73" t="str">
            <v>EXIM</v>
          </cell>
          <cell r="O73" t="str">
            <v>A</v>
          </cell>
          <cell r="P73" t="str">
            <v>FPS</v>
          </cell>
          <cell r="Q73" t="str">
            <v>OUTSOURCING</v>
          </cell>
          <cell r="R73" t="str">
            <v>OSC OTH</v>
          </cell>
          <cell r="S73" t="str">
            <v>PCS</v>
          </cell>
          <cell r="T73" t="str">
            <v>L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1</v>
          </cell>
          <cell r="AE73">
            <v>0</v>
          </cell>
          <cell r="AF73">
            <v>1</v>
          </cell>
          <cell r="AG73">
            <v>0</v>
          </cell>
        </row>
        <row r="74">
          <cell r="A74">
            <v>1</v>
          </cell>
          <cell r="B74" t="str">
            <v>SM 06.11.113</v>
          </cell>
          <cell r="C74" t="str">
            <v>Deni Dwi Hartanto</v>
          </cell>
          <cell r="D74" t="str">
            <v>OUTSOURCING</v>
          </cell>
          <cell r="E74">
            <v>39406</v>
          </cell>
          <cell r="F74" t="str">
            <v>-</v>
          </cell>
          <cell r="G74" t="str">
            <v>-</v>
          </cell>
          <cell r="H74" t="str">
            <v>LOG</v>
          </cell>
          <cell r="I74" t="str">
            <v>EXIM</v>
          </cell>
          <cell r="J74" t="str">
            <v>ALL</v>
          </cell>
          <cell r="K74" t="str">
            <v>-</v>
          </cell>
          <cell r="L74" t="str">
            <v>EXIM</v>
          </cell>
          <cell r="M74" t="str">
            <v>EXIM</v>
          </cell>
          <cell r="N74" t="str">
            <v>EXIM</v>
          </cell>
          <cell r="O74" t="str">
            <v>NS</v>
          </cell>
          <cell r="P74" t="str">
            <v>FPS</v>
          </cell>
          <cell r="Q74" t="str">
            <v>OUTSOURCING</v>
          </cell>
          <cell r="R74" t="str">
            <v>OSC OTH</v>
          </cell>
          <cell r="S74" t="str">
            <v>AMP</v>
          </cell>
          <cell r="T74" t="str">
            <v>L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1</v>
          </cell>
          <cell r="AE74">
            <v>0</v>
          </cell>
          <cell r="AF74">
            <v>1</v>
          </cell>
          <cell r="AG74">
            <v>0</v>
          </cell>
        </row>
        <row r="75">
          <cell r="A75">
            <v>1</v>
          </cell>
          <cell r="B75">
            <v>12</v>
          </cell>
          <cell r="C75" t="str">
            <v>ARI WIJAYANTI</v>
          </cell>
          <cell r="D75" t="str">
            <v>SPV</v>
          </cell>
          <cell r="E75">
            <v>37412</v>
          </cell>
          <cell r="F75" t="str">
            <v>-</v>
          </cell>
          <cell r="G75" t="str">
            <v>-</v>
          </cell>
          <cell r="H75" t="str">
            <v>LOG</v>
          </cell>
          <cell r="I75" t="str">
            <v>IC</v>
          </cell>
          <cell r="J75" t="str">
            <v>ALL</v>
          </cell>
          <cell r="K75" t="str">
            <v>-</v>
          </cell>
          <cell r="L75" t="str">
            <v>IC</v>
          </cell>
          <cell r="M75" t="str">
            <v>SUPERVISOR</v>
          </cell>
          <cell r="N75" t="str">
            <v>FPS SPV</v>
          </cell>
          <cell r="O75" t="str">
            <v>NS</v>
          </cell>
          <cell r="P75" t="str">
            <v>FPS</v>
          </cell>
          <cell r="Q75" t="str">
            <v>PERMANENT</v>
          </cell>
          <cell r="R75" t="str">
            <v>PRM</v>
          </cell>
          <cell r="S75" t="str">
            <v>SPV</v>
          </cell>
          <cell r="T75" t="str">
            <v>P</v>
          </cell>
          <cell r="U75">
            <v>1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1</v>
          </cell>
          <cell r="AE75">
            <v>0</v>
          </cell>
          <cell r="AF75">
            <v>0</v>
          </cell>
          <cell r="AG75">
            <v>0</v>
          </cell>
        </row>
        <row r="76">
          <cell r="A76">
            <v>1</v>
          </cell>
          <cell r="B76">
            <v>37</v>
          </cell>
          <cell r="C76" t="str">
            <v>SUWANDI</v>
          </cell>
          <cell r="D76" t="str">
            <v>ES-1</v>
          </cell>
          <cell r="E76">
            <v>37529</v>
          </cell>
          <cell r="F76" t="str">
            <v>-</v>
          </cell>
          <cell r="G76" t="str">
            <v>-</v>
          </cell>
          <cell r="H76" t="str">
            <v>LOG</v>
          </cell>
          <cell r="I76" t="str">
            <v>IC</v>
          </cell>
          <cell r="J76" t="str">
            <v>ALL</v>
          </cell>
          <cell r="K76" t="str">
            <v>-</v>
          </cell>
          <cell r="L76" t="str">
            <v>IC</v>
          </cell>
          <cell r="M76" t="str">
            <v>-</v>
          </cell>
          <cell r="N76" t="str">
            <v>IC</v>
          </cell>
          <cell r="O76" t="str">
            <v>NS</v>
          </cell>
          <cell r="P76" t="str">
            <v>FPS</v>
          </cell>
          <cell r="Q76" t="str">
            <v>PERMANENT</v>
          </cell>
          <cell r="R76" t="str">
            <v>PRM</v>
          </cell>
          <cell r="S76" t="str">
            <v>ES</v>
          </cell>
          <cell r="T76" t="str">
            <v>L</v>
          </cell>
          <cell r="U76">
            <v>0</v>
          </cell>
          <cell r="V76">
            <v>1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1</v>
          </cell>
          <cell r="AE76">
            <v>0</v>
          </cell>
          <cell r="AF76">
            <v>1</v>
          </cell>
          <cell r="AG76">
            <v>0</v>
          </cell>
        </row>
        <row r="77">
          <cell r="A77">
            <v>1</v>
          </cell>
          <cell r="B77">
            <v>195</v>
          </cell>
          <cell r="C77" t="str">
            <v>YUDIA APRIANINGRUM  M.K</v>
          </cell>
          <cell r="D77" t="str">
            <v>ADM-1</v>
          </cell>
          <cell r="E77">
            <v>37679</v>
          </cell>
          <cell r="F77" t="str">
            <v>-</v>
          </cell>
          <cell r="G77" t="str">
            <v>-</v>
          </cell>
          <cell r="H77" t="str">
            <v>LOG</v>
          </cell>
          <cell r="I77" t="str">
            <v>IC</v>
          </cell>
          <cell r="J77" t="str">
            <v>ALL</v>
          </cell>
          <cell r="K77" t="str">
            <v>-</v>
          </cell>
          <cell r="L77" t="str">
            <v>IC</v>
          </cell>
          <cell r="M77" t="str">
            <v>-</v>
          </cell>
          <cell r="N77" t="str">
            <v>IC</v>
          </cell>
          <cell r="O77" t="str">
            <v>NS</v>
          </cell>
          <cell r="P77" t="str">
            <v>FPS</v>
          </cell>
          <cell r="Q77" t="str">
            <v>PERMANENT</v>
          </cell>
          <cell r="R77" t="str">
            <v>PRM</v>
          </cell>
          <cell r="S77" t="str">
            <v>ADM</v>
          </cell>
          <cell r="T77" t="str">
            <v>P</v>
          </cell>
          <cell r="U77">
            <v>0</v>
          </cell>
          <cell r="V77">
            <v>0</v>
          </cell>
          <cell r="W77">
            <v>1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1</v>
          </cell>
          <cell r="AE77">
            <v>0</v>
          </cell>
          <cell r="AF77">
            <v>0</v>
          </cell>
          <cell r="AG77">
            <v>0</v>
          </cell>
        </row>
        <row r="78">
          <cell r="A78">
            <v>1</v>
          </cell>
          <cell r="B78">
            <v>590</v>
          </cell>
          <cell r="C78" t="str">
            <v>MAKHASIN</v>
          </cell>
          <cell r="D78" t="str">
            <v>ADM-5</v>
          </cell>
          <cell r="E78">
            <v>37774</v>
          </cell>
          <cell r="F78" t="str">
            <v>-</v>
          </cell>
          <cell r="G78" t="str">
            <v>-</v>
          </cell>
          <cell r="H78" t="str">
            <v>LOG</v>
          </cell>
          <cell r="I78" t="str">
            <v>IC</v>
          </cell>
          <cell r="J78" t="str">
            <v>ALL</v>
          </cell>
          <cell r="K78" t="str">
            <v>-</v>
          </cell>
          <cell r="L78" t="str">
            <v>IC</v>
          </cell>
          <cell r="M78" t="str">
            <v>-</v>
          </cell>
          <cell r="N78" t="str">
            <v>IC</v>
          </cell>
          <cell r="O78" t="str">
            <v>NS</v>
          </cell>
          <cell r="P78" t="str">
            <v>FPS</v>
          </cell>
          <cell r="Q78" t="str">
            <v>PERMANENT</v>
          </cell>
          <cell r="R78" t="str">
            <v>PRM</v>
          </cell>
          <cell r="S78" t="str">
            <v>ADM</v>
          </cell>
          <cell r="T78" t="str">
            <v>L</v>
          </cell>
          <cell r="U78">
            <v>0</v>
          </cell>
          <cell r="V78">
            <v>0</v>
          </cell>
          <cell r="W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1</v>
          </cell>
          <cell r="AE78">
            <v>0</v>
          </cell>
          <cell r="AF78">
            <v>1</v>
          </cell>
          <cell r="AG78">
            <v>0</v>
          </cell>
        </row>
        <row r="79">
          <cell r="A79">
            <v>1</v>
          </cell>
          <cell r="B79">
            <v>597</v>
          </cell>
          <cell r="C79" t="str">
            <v>ENI RINAWATI</v>
          </cell>
          <cell r="D79" t="str">
            <v>SPV</v>
          </cell>
          <cell r="E79">
            <v>37774</v>
          </cell>
          <cell r="F79" t="str">
            <v>-</v>
          </cell>
          <cell r="G79" t="str">
            <v>-</v>
          </cell>
          <cell r="H79" t="str">
            <v>LOG</v>
          </cell>
          <cell r="I79" t="str">
            <v>IC</v>
          </cell>
          <cell r="J79" t="str">
            <v>ALL</v>
          </cell>
          <cell r="K79" t="str">
            <v>-</v>
          </cell>
          <cell r="L79" t="str">
            <v>IC</v>
          </cell>
          <cell r="M79" t="str">
            <v>SUPERVISOR</v>
          </cell>
          <cell r="N79" t="str">
            <v>FPS SPV</v>
          </cell>
          <cell r="O79" t="str">
            <v>NS</v>
          </cell>
          <cell r="P79" t="str">
            <v>FPS</v>
          </cell>
          <cell r="Q79" t="str">
            <v>PERMANENT</v>
          </cell>
          <cell r="R79" t="str">
            <v>PRM</v>
          </cell>
          <cell r="S79" t="str">
            <v>SPV</v>
          </cell>
          <cell r="T79" t="str">
            <v>P</v>
          </cell>
          <cell r="U79">
            <v>1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1</v>
          </cell>
          <cell r="AE79">
            <v>0</v>
          </cell>
          <cell r="AF79">
            <v>0</v>
          </cell>
          <cell r="AG79">
            <v>0</v>
          </cell>
        </row>
        <row r="80">
          <cell r="A80">
            <v>1</v>
          </cell>
          <cell r="B80">
            <v>3638</v>
          </cell>
          <cell r="C80" t="str">
            <v>ADVIN WIDILISTYANINGSIH</v>
          </cell>
          <cell r="D80" t="str">
            <v>ES-19</v>
          </cell>
          <cell r="E80">
            <v>38285</v>
          </cell>
          <cell r="F80" t="str">
            <v>-</v>
          </cell>
          <cell r="G80" t="str">
            <v>-</v>
          </cell>
          <cell r="H80" t="str">
            <v>LOG</v>
          </cell>
          <cell r="I80" t="str">
            <v>IC</v>
          </cell>
          <cell r="J80" t="str">
            <v>ALL</v>
          </cell>
          <cell r="K80" t="str">
            <v>-</v>
          </cell>
          <cell r="L80" t="str">
            <v>IC</v>
          </cell>
          <cell r="M80" t="str">
            <v>-</v>
          </cell>
          <cell r="N80" t="str">
            <v>IC</v>
          </cell>
          <cell r="O80" t="str">
            <v>NS</v>
          </cell>
          <cell r="P80" t="str">
            <v>FPS</v>
          </cell>
          <cell r="Q80" t="str">
            <v>PERMANENT</v>
          </cell>
          <cell r="R80" t="str">
            <v>PRM</v>
          </cell>
          <cell r="S80" t="str">
            <v>ES</v>
          </cell>
          <cell r="T80" t="str">
            <v>P</v>
          </cell>
          <cell r="U80">
            <v>0</v>
          </cell>
          <cell r="V80">
            <v>1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1</v>
          </cell>
          <cell r="AE80">
            <v>0</v>
          </cell>
          <cell r="AF80">
            <v>0</v>
          </cell>
          <cell r="AG80">
            <v>0</v>
          </cell>
        </row>
        <row r="81">
          <cell r="A81">
            <v>1</v>
          </cell>
          <cell r="B81">
            <v>4960</v>
          </cell>
          <cell r="C81" t="str">
            <v>WAHYUDI</v>
          </cell>
          <cell r="D81" t="str">
            <v>ES-25</v>
          </cell>
          <cell r="E81">
            <v>38936</v>
          </cell>
          <cell r="F81" t="str">
            <v>-</v>
          </cell>
          <cell r="G81" t="str">
            <v>-</v>
          </cell>
          <cell r="H81" t="str">
            <v>LOG</v>
          </cell>
          <cell r="I81" t="str">
            <v>IC</v>
          </cell>
          <cell r="J81" t="str">
            <v>ALL</v>
          </cell>
          <cell r="K81" t="str">
            <v>-</v>
          </cell>
          <cell r="L81" t="str">
            <v>IC</v>
          </cell>
          <cell r="M81" t="str">
            <v>-</v>
          </cell>
          <cell r="N81" t="str">
            <v>IC</v>
          </cell>
          <cell r="O81" t="str">
            <v>NS</v>
          </cell>
          <cell r="P81" t="str">
            <v>FPS</v>
          </cell>
          <cell r="Q81" t="str">
            <v>PERMANENT</v>
          </cell>
          <cell r="R81" t="str">
            <v>PRM</v>
          </cell>
          <cell r="S81" t="str">
            <v>ES</v>
          </cell>
          <cell r="T81" t="str">
            <v>L</v>
          </cell>
          <cell r="U81">
            <v>0</v>
          </cell>
          <cell r="V81">
            <v>1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1</v>
          </cell>
          <cell r="AE81">
            <v>0</v>
          </cell>
          <cell r="AF81">
            <v>1</v>
          </cell>
          <cell r="AG81">
            <v>0</v>
          </cell>
        </row>
        <row r="82">
          <cell r="A82">
            <v>1</v>
          </cell>
          <cell r="B82">
            <v>5477</v>
          </cell>
          <cell r="C82" t="str">
            <v>SITI KHOIRIYAH</v>
          </cell>
          <cell r="D82" t="str">
            <v>ADM-28</v>
          </cell>
          <cell r="E82">
            <v>38991</v>
          </cell>
          <cell r="F82" t="str">
            <v>-</v>
          </cell>
          <cell r="G82" t="str">
            <v>-</v>
          </cell>
          <cell r="H82" t="str">
            <v>LOG</v>
          </cell>
          <cell r="I82" t="str">
            <v>IC</v>
          </cell>
          <cell r="J82" t="str">
            <v>ALL</v>
          </cell>
          <cell r="K82" t="str">
            <v>-</v>
          </cell>
          <cell r="L82" t="str">
            <v>IC</v>
          </cell>
          <cell r="M82" t="str">
            <v>-</v>
          </cell>
          <cell r="N82" t="str">
            <v>IC</v>
          </cell>
          <cell r="O82" t="str">
            <v>NS</v>
          </cell>
          <cell r="P82" t="str">
            <v>FPS</v>
          </cell>
          <cell r="Q82" t="str">
            <v>PERMANENT</v>
          </cell>
          <cell r="R82" t="str">
            <v>PRM</v>
          </cell>
          <cell r="S82" t="str">
            <v>ADM</v>
          </cell>
          <cell r="T82" t="str">
            <v>P</v>
          </cell>
          <cell r="U82">
            <v>0</v>
          </cell>
          <cell r="V82">
            <v>0</v>
          </cell>
          <cell r="W82">
            <v>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1</v>
          </cell>
          <cell r="AE82">
            <v>0</v>
          </cell>
          <cell r="AF82">
            <v>0</v>
          </cell>
          <cell r="AG82">
            <v>0</v>
          </cell>
        </row>
        <row r="83">
          <cell r="A83">
            <v>1</v>
          </cell>
          <cell r="B83">
            <v>5527</v>
          </cell>
          <cell r="C83" t="str">
            <v>AMALIA ULFA</v>
          </cell>
          <cell r="D83" t="str">
            <v>ADM-29</v>
          </cell>
          <cell r="E83">
            <v>39022</v>
          </cell>
          <cell r="F83" t="str">
            <v>-</v>
          </cell>
          <cell r="G83" t="str">
            <v>-</v>
          </cell>
          <cell r="H83" t="str">
            <v>LOG</v>
          </cell>
          <cell r="I83" t="str">
            <v>IC</v>
          </cell>
          <cell r="J83" t="str">
            <v>ALL</v>
          </cell>
          <cell r="K83" t="str">
            <v>-</v>
          </cell>
          <cell r="L83" t="str">
            <v>IC</v>
          </cell>
          <cell r="M83" t="str">
            <v>-</v>
          </cell>
          <cell r="N83" t="str">
            <v>IC</v>
          </cell>
          <cell r="O83" t="str">
            <v>NS</v>
          </cell>
          <cell r="P83" t="str">
            <v>FPS</v>
          </cell>
          <cell r="Q83" t="str">
            <v>PERMANENT</v>
          </cell>
          <cell r="R83" t="str">
            <v>PRM</v>
          </cell>
          <cell r="S83" t="str">
            <v>ADM</v>
          </cell>
          <cell r="T83" t="str">
            <v>P</v>
          </cell>
          <cell r="U83">
            <v>0</v>
          </cell>
          <cell r="V83">
            <v>0</v>
          </cell>
          <cell r="W83">
            <v>1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1</v>
          </cell>
          <cell r="AE83">
            <v>0</v>
          </cell>
          <cell r="AF83">
            <v>0</v>
          </cell>
          <cell r="AG83">
            <v>0</v>
          </cell>
        </row>
        <row r="84">
          <cell r="A84">
            <v>1</v>
          </cell>
          <cell r="B84">
            <v>5528</v>
          </cell>
          <cell r="C84" t="str">
            <v>NUNIK MANDARWATI</v>
          </cell>
          <cell r="D84" t="str">
            <v>ADM-29</v>
          </cell>
          <cell r="E84">
            <v>39022</v>
          </cell>
          <cell r="F84" t="str">
            <v>-</v>
          </cell>
          <cell r="G84" t="str">
            <v>-</v>
          </cell>
          <cell r="H84" t="str">
            <v>LOG</v>
          </cell>
          <cell r="I84" t="str">
            <v>IC</v>
          </cell>
          <cell r="J84" t="str">
            <v>ALL</v>
          </cell>
          <cell r="K84" t="str">
            <v>-</v>
          </cell>
          <cell r="L84" t="str">
            <v>IC</v>
          </cell>
          <cell r="M84" t="str">
            <v>-</v>
          </cell>
          <cell r="N84" t="str">
            <v>IC</v>
          </cell>
          <cell r="O84" t="str">
            <v>NS</v>
          </cell>
          <cell r="P84" t="str">
            <v>FPS</v>
          </cell>
          <cell r="Q84" t="str">
            <v>PERMANENT</v>
          </cell>
          <cell r="R84" t="str">
            <v>PRM</v>
          </cell>
          <cell r="S84" t="str">
            <v>ADM</v>
          </cell>
          <cell r="T84" t="str">
            <v>P</v>
          </cell>
          <cell r="U84">
            <v>0</v>
          </cell>
          <cell r="V84">
            <v>0</v>
          </cell>
          <cell r="W84">
            <v>1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1</v>
          </cell>
          <cell r="AE84">
            <v>0</v>
          </cell>
          <cell r="AF84">
            <v>0</v>
          </cell>
          <cell r="AG84">
            <v>0</v>
          </cell>
        </row>
        <row r="85">
          <cell r="A85">
            <v>1</v>
          </cell>
          <cell r="B85">
            <v>5908</v>
          </cell>
          <cell r="C85" t="str">
            <v>INDRI SULISTYONINGSIH</v>
          </cell>
          <cell r="D85" t="str">
            <v>OPT-137</v>
          </cell>
          <cell r="E85">
            <v>39129</v>
          </cell>
          <cell r="F85">
            <v>39129</v>
          </cell>
          <cell r="G85">
            <v>39493</v>
          </cell>
          <cell r="H85" t="str">
            <v>LOG</v>
          </cell>
          <cell r="I85" t="str">
            <v>IC</v>
          </cell>
          <cell r="J85" t="str">
            <v>ALL</v>
          </cell>
          <cell r="K85" t="str">
            <v>-</v>
          </cell>
          <cell r="L85" t="str">
            <v>IC</v>
          </cell>
          <cell r="M85" t="str">
            <v>-</v>
          </cell>
          <cell r="N85" t="str">
            <v>IC</v>
          </cell>
          <cell r="O85" t="str">
            <v>NS</v>
          </cell>
          <cell r="P85" t="str">
            <v>FPS</v>
          </cell>
          <cell r="Q85" t="str">
            <v>CONTRACT</v>
          </cell>
          <cell r="R85" t="str">
            <v>C3</v>
          </cell>
          <cell r="S85" t="str">
            <v>OPT</v>
          </cell>
          <cell r="T85" t="str">
            <v>P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</v>
          </cell>
          <cell r="AA85">
            <v>0</v>
          </cell>
          <cell r="AB85">
            <v>0</v>
          </cell>
          <cell r="AC85">
            <v>0</v>
          </cell>
          <cell r="AD85">
            <v>1</v>
          </cell>
          <cell r="AE85">
            <v>0</v>
          </cell>
          <cell r="AF85">
            <v>0</v>
          </cell>
          <cell r="AG85">
            <v>0</v>
          </cell>
        </row>
        <row r="86">
          <cell r="A86">
            <v>1</v>
          </cell>
          <cell r="B86">
            <v>6199</v>
          </cell>
          <cell r="C86" t="str">
            <v>SHINTYANA WAHYU I.</v>
          </cell>
          <cell r="D86" t="str">
            <v>ADM-33</v>
          </cell>
          <cell r="E86">
            <v>39173</v>
          </cell>
          <cell r="F86">
            <v>39173</v>
          </cell>
          <cell r="G86">
            <v>39538</v>
          </cell>
          <cell r="H86" t="str">
            <v>LOG</v>
          </cell>
          <cell r="I86" t="str">
            <v>IC</v>
          </cell>
          <cell r="J86" t="str">
            <v>ALL</v>
          </cell>
          <cell r="K86" t="str">
            <v>-</v>
          </cell>
          <cell r="L86" t="str">
            <v>IC</v>
          </cell>
          <cell r="M86" t="str">
            <v>-</v>
          </cell>
          <cell r="N86" t="str">
            <v>IC</v>
          </cell>
          <cell r="O86" t="str">
            <v>NS</v>
          </cell>
          <cell r="P86" t="str">
            <v>FPS</v>
          </cell>
          <cell r="Q86" t="str">
            <v>CONTRACT</v>
          </cell>
          <cell r="R86" t="str">
            <v>C3</v>
          </cell>
          <cell r="S86" t="str">
            <v>ADM</v>
          </cell>
          <cell r="T86" t="str">
            <v>P</v>
          </cell>
          <cell r="U86">
            <v>0</v>
          </cell>
          <cell r="V86">
            <v>0</v>
          </cell>
          <cell r="W86">
            <v>1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1</v>
          </cell>
          <cell r="AE86">
            <v>0</v>
          </cell>
          <cell r="AF86">
            <v>0</v>
          </cell>
          <cell r="AG86">
            <v>0</v>
          </cell>
        </row>
        <row r="87">
          <cell r="A87">
            <v>1</v>
          </cell>
          <cell r="B87">
            <v>6200</v>
          </cell>
          <cell r="C87" t="str">
            <v>SITI SOFIATUN</v>
          </cell>
          <cell r="D87" t="str">
            <v>ADM-33</v>
          </cell>
          <cell r="E87">
            <v>39173</v>
          </cell>
          <cell r="F87">
            <v>39173</v>
          </cell>
          <cell r="G87">
            <v>39538</v>
          </cell>
          <cell r="H87" t="str">
            <v>LOG</v>
          </cell>
          <cell r="I87" t="str">
            <v>IC</v>
          </cell>
          <cell r="J87" t="str">
            <v>ALL</v>
          </cell>
          <cell r="K87" t="str">
            <v>-</v>
          </cell>
          <cell r="L87" t="str">
            <v>IC</v>
          </cell>
          <cell r="M87" t="str">
            <v>-</v>
          </cell>
          <cell r="N87" t="str">
            <v>IC</v>
          </cell>
          <cell r="O87" t="str">
            <v>NS</v>
          </cell>
          <cell r="P87" t="str">
            <v>FPS</v>
          </cell>
          <cell r="Q87" t="str">
            <v>CONTRACT</v>
          </cell>
          <cell r="R87" t="str">
            <v>C3</v>
          </cell>
          <cell r="S87" t="str">
            <v>ADM</v>
          </cell>
          <cell r="T87" t="str">
            <v>P</v>
          </cell>
          <cell r="U87">
            <v>0</v>
          </cell>
          <cell r="V87">
            <v>0</v>
          </cell>
          <cell r="W87">
            <v>1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1</v>
          </cell>
          <cell r="AE87">
            <v>0</v>
          </cell>
          <cell r="AF87">
            <v>0</v>
          </cell>
          <cell r="AG87">
            <v>0</v>
          </cell>
        </row>
        <row r="88">
          <cell r="A88">
            <v>1</v>
          </cell>
          <cell r="B88">
            <v>6201</v>
          </cell>
          <cell r="C88" t="str">
            <v>WIWIK UTAMI</v>
          </cell>
          <cell r="D88" t="str">
            <v>ADM-33</v>
          </cell>
          <cell r="E88">
            <v>39173</v>
          </cell>
          <cell r="F88">
            <v>39173</v>
          </cell>
          <cell r="G88">
            <v>39538</v>
          </cell>
          <cell r="H88" t="str">
            <v>LOG</v>
          </cell>
          <cell r="I88" t="str">
            <v>IC</v>
          </cell>
          <cell r="J88" t="str">
            <v>ALL</v>
          </cell>
          <cell r="K88" t="str">
            <v>-</v>
          </cell>
          <cell r="L88" t="str">
            <v>IC</v>
          </cell>
          <cell r="M88" t="str">
            <v>-</v>
          </cell>
          <cell r="N88" t="str">
            <v>IC</v>
          </cell>
          <cell r="O88" t="str">
            <v>NS</v>
          </cell>
          <cell r="P88" t="str">
            <v>FPS</v>
          </cell>
          <cell r="Q88" t="str">
            <v>CONTRACT</v>
          </cell>
          <cell r="R88" t="str">
            <v>C3</v>
          </cell>
          <cell r="S88" t="str">
            <v>ADM</v>
          </cell>
          <cell r="T88" t="str">
            <v>P</v>
          </cell>
          <cell r="U88">
            <v>0</v>
          </cell>
          <cell r="V88">
            <v>0</v>
          </cell>
          <cell r="W88">
            <v>1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1</v>
          </cell>
          <cell r="AE88">
            <v>0</v>
          </cell>
          <cell r="AF88">
            <v>0</v>
          </cell>
          <cell r="AG88">
            <v>0</v>
          </cell>
        </row>
        <row r="89">
          <cell r="A89">
            <v>1</v>
          </cell>
          <cell r="B89">
            <v>119</v>
          </cell>
          <cell r="C89" t="str">
            <v>SRI SURAMI</v>
          </cell>
          <cell r="D89" t="str">
            <v>OPT-3</v>
          </cell>
          <cell r="E89">
            <v>37627</v>
          </cell>
          <cell r="F89" t="str">
            <v>-</v>
          </cell>
          <cell r="G89" t="str">
            <v>-</v>
          </cell>
          <cell r="H89" t="str">
            <v>LOG</v>
          </cell>
          <cell r="I89" t="str">
            <v>PPC</v>
          </cell>
          <cell r="J89" t="str">
            <v>ALL</v>
          </cell>
          <cell r="K89" t="str">
            <v>-</v>
          </cell>
          <cell r="L89" t="str">
            <v>PPC</v>
          </cell>
          <cell r="M89" t="str">
            <v>Opt WOS</v>
          </cell>
          <cell r="N89" t="str">
            <v>PPC</v>
          </cell>
          <cell r="O89" t="str">
            <v>B</v>
          </cell>
          <cell r="P89" t="str">
            <v>FPS</v>
          </cell>
          <cell r="Q89" t="str">
            <v>PERMANENT</v>
          </cell>
          <cell r="R89" t="str">
            <v>PRM</v>
          </cell>
          <cell r="S89" t="str">
            <v>OPT</v>
          </cell>
          <cell r="T89" t="str">
            <v>P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</v>
          </cell>
          <cell r="AA89">
            <v>0</v>
          </cell>
          <cell r="AB89">
            <v>0</v>
          </cell>
          <cell r="AC89">
            <v>0</v>
          </cell>
          <cell r="AD89">
            <v>1</v>
          </cell>
          <cell r="AE89">
            <v>0</v>
          </cell>
          <cell r="AF89">
            <v>0</v>
          </cell>
          <cell r="AG89">
            <v>0</v>
          </cell>
        </row>
        <row r="90">
          <cell r="A90">
            <v>1</v>
          </cell>
          <cell r="B90">
            <v>160</v>
          </cell>
          <cell r="C90" t="str">
            <v>ARIYAWATI</v>
          </cell>
          <cell r="D90" t="str">
            <v>OPT-5</v>
          </cell>
          <cell r="E90">
            <v>37679</v>
          </cell>
          <cell r="F90" t="str">
            <v>-</v>
          </cell>
          <cell r="G90" t="str">
            <v>-</v>
          </cell>
          <cell r="H90" t="str">
            <v>LOG</v>
          </cell>
          <cell r="I90" t="str">
            <v>PPC</v>
          </cell>
          <cell r="J90" t="str">
            <v>ALL</v>
          </cell>
          <cell r="K90" t="str">
            <v>-</v>
          </cell>
          <cell r="L90" t="str">
            <v>PPC</v>
          </cell>
          <cell r="M90" t="str">
            <v>Adm</v>
          </cell>
          <cell r="N90" t="str">
            <v>PPC</v>
          </cell>
          <cell r="O90" t="str">
            <v>NS</v>
          </cell>
          <cell r="P90" t="str">
            <v>FPS</v>
          </cell>
          <cell r="Q90" t="str">
            <v>PERMANENT</v>
          </cell>
          <cell r="R90" t="str">
            <v>PRM</v>
          </cell>
          <cell r="S90" t="str">
            <v>OPT</v>
          </cell>
          <cell r="T90" t="str">
            <v>P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</v>
          </cell>
          <cell r="AA90">
            <v>0</v>
          </cell>
          <cell r="AB90">
            <v>0</v>
          </cell>
          <cell r="AC90">
            <v>0</v>
          </cell>
          <cell r="AD90">
            <v>1</v>
          </cell>
          <cell r="AE90">
            <v>0</v>
          </cell>
          <cell r="AF90">
            <v>0</v>
          </cell>
          <cell r="AG90">
            <v>0</v>
          </cell>
        </row>
        <row r="91">
          <cell r="A91">
            <v>1</v>
          </cell>
          <cell r="B91">
            <v>928</v>
          </cell>
          <cell r="C91" t="str">
            <v>SITI NUR KUMALASARI</v>
          </cell>
          <cell r="D91" t="str">
            <v>ES-7</v>
          </cell>
          <cell r="E91">
            <v>37858</v>
          </cell>
          <cell r="F91" t="str">
            <v>-</v>
          </cell>
          <cell r="G91" t="str">
            <v>-</v>
          </cell>
          <cell r="H91" t="str">
            <v>LOG</v>
          </cell>
          <cell r="I91" t="str">
            <v>PPC</v>
          </cell>
          <cell r="J91" t="str">
            <v>ALL</v>
          </cell>
          <cell r="K91" t="str">
            <v>-</v>
          </cell>
          <cell r="L91" t="str">
            <v>PPC</v>
          </cell>
          <cell r="M91" t="str">
            <v>Leader</v>
          </cell>
          <cell r="N91" t="str">
            <v>PPC</v>
          </cell>
          <cell r="O91" t="str">
            <v>NS</v>
          </cell>
          <cell r="P91" t="str">
            <v>FPS</v>
          </cell>
          <cell r="Q91" t="str">
            <v>PERMANENT</v>
          </cell>
          <cell r="R91" t="str">
            <v>PRM</v>
          </cell>
          <cell r="S91" t="str">
            <v>ES</v>
          </cell>
          <cell r="T91" t="str">
            <v>P</v>
          </cell>
          <cell r="U91">
            <v>0</v>
          </cell>
          <cell r="V91">
            <v>1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1</v>
          </cell>
          <cell r="AE91">
            <v>0</v>
          </cell>
          <cell r="AF91">
            <v>0</v>
          </cell>
          <cell r="AG91">
            <v>0</v>
          </cell>
        </row>
        <row r="92">
          <cell r="A92">
            <v>1</v>
          </cell>
          <cell r="B92">
            <v>1003</v>
          </cell>
          <cell r="C92" t="str">
            <v>SRI PENI HANDAYANI</v>
          </cell>
          <cell r="D92" t="str">
            <v>OPT-25</v>
          </cell>
          <cell r="E92">
            <v>37872</v>
          </cell>
          <cell r="F92" t="str">
            <v>-</v>
          </cell>
          <cell r="G92" t="str">
            <v>-</v>
          </cell>
          <cell r="H92" t="str">
            <v>LOG</v>
          </cell>
          <cell r="I92" t="str">
            <v>PPC</v>
          </cell>
          <cell r="J92" t="str">
            <v>ALL</v>
          </cell>
          <cell r="K92" t="str">
            <v>-</v>
          </cell>
          <cell r="L92" t="str">
            <v>PPC</v>
          </cell>
          <cell r="M92" t="str">
            <v>Adm Umum</v>
          </cell>
          <cell r="N92" t="str">
            <v>PPC</v>
          </cell>
          <cell r="O92" t="str">
            <v>NS</v>
          </cell>
          <cell r="P92" t="str">
            <v>FPS</v>
          </cell>
          <cell r="Q92" t="str">
            <v>PERMANENT</v>
          </cell>
          <cell r="R92" t="str">
            <v>PRM</v>
          </cell>
          <cell r="S92" t="str">
            <v>OPT</v>
          </cell>
          <cell r="T92" t="str">
            <v>P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</v>
          </cell>
          <cell r="AA92">
            <v>0</v>
          </cell>
          <cell r="AB92">
            <v>0</v>
          </cell>
          <cell r="AC92">
            <v>0</v>
          </cell>
          <cell r="AD92">
            <v>1</v>
          </cell>
          <cell r="AE92">
            <v>0</v>
          </cell>
          <cell r="AF92">
            <v>0</v>
          </cell>
          <cell r="AG92">
            <v>0</v>
          </cell>
        </row>
        <row r="93">
          <cell r="A93">
            <v>1</v>
          </cell>
          <cell r="B93">
            <v>1366</v>
          </cell>
          <cell r="C93" t="str">
            <v>ANDY ARFIANTO</v>
          </cell>
          <cell r="D93" t="str">
            <v>SPV</v>
          </cell>
          <cell r="E93">
            <v>37963</v>
          </cell>
          <cell r="F93" t="str">
            <v>-</v>
          </cell>
          <cell r="G93" t="str">
            <v>-</v>
          </cell>
          <cell r="H93" t="str">
            <v>LOG</v>
          </cell>
          <cell r="I93" t="str">
            <v>PPC</v>
          </cell>
          <cell r="J93" t="str">
            <v>ALL</v>
          </cell>
          <cell r="K93" t="str">
            <v>-</v>
          </cell>
          <cell r="L93" t="str">
            <v>PPC</v>
          </cell>
          <cell r="M93" t="str">
            <v>Spv</v>
          </cell>
          <cell r="N93" t="str">
            <v>FPS SPV</v>
          </cell>
          <cell r="O93" t="str">
            <v>NS</v>
          </cell>
          <cell r="P93" t="str">
            <v>FPS</v>
          </cell>
          <cell r="Q93" t="str">
            <v>PERMANENT</v>
          </cell>
          <cell r="R93" t="str">
            <v>PRM</v>
          </cell>
          <cell r="S93" t="str">
            <v>SPV</v>
          </cell>
          <cell r="T93" t="str">
            <v>L</v>
          </cell>
          <cell r="U93">
            <v>1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1</v>
          </cell>
          <cell r="AE93">
            <v>0</v>
          </cell>
          <cell r="AF93">
            <v>1</v>
          </cell>
          <cell r="AG93">
            <v>0</v>
          </cell>
        </row>
        <row r="94">
          <cell r="A94">
            <v>1</v>
          </cell>
          <cell r="B94">
            <v>2405</v>
          </cell>
          <cell r="C94" t="str">
            <v>HERI DWI SUSANTO</v>
          </cell>
          <cell r="D94" t="str">
            <v>ES-16</v>
          </cell>
          <cell r="E94">
            <v>38189</v>
          </cell>
          <cell r="F94" t="str">
            <v>-</v>
          </cell>
          <cell r="G94" t="str">
            <v>-</v>
          </cell>
          <cell r="H94" t="str">
            <v>LOG</v>
          </cell>
          <cell r="I94" t="str">
            <v>PPC</v>
          </cell>
          <cell r="J94" t="str">
            <v>ALL</v>
          </cell>
          <cell r="K94" t="str">
            <v>-</v>
          </cell>
          <cell r="L94" t="str">
            <v>PPC</v>
          </cell>
          <cell r="M94" t="str">
            <v>Leader</v>
          </cell>
          <cell r="N94" t="str">
            <v>PPC</v>
          </cell>
          <cell r="O94" t="str">
            <v>NS</v>
          </cell>
          <cell r="P94" t="str">
            <v>FPS</v>
          </cell>
          <cell r="Q94" t="str">
            <v>PERMANENT</v>
          </cell>
          <cell r="R94" t="str">
            <v>PRM</v>
          </cell>
          <cell r="S94" t="str">
            <v>ES</v>
          </cell>
          <cell r="T94" t="str">
            <v>L</v>
          </cell>
          <cell r="U94">
            <v>0</v>
          </cell>
          <cell r="V94">
            <v>1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1</v>
          </cell>
          <cell r="AE94">
            <v>0</v>
          </cell>
          <cell r="AF94">
            <v>1</v>
          </cell>
          <cell r="AG94">
            <v>0</v>
          </cell>
        </row>
        <row r="95">
          <cell r="A95">
            <v>1</v>
          </cell>
          <cell r="B95">
            <v>2417</v>
          </cell>
          <cell r="C95" t="str">
            <v>DONY ADE CH.</v>
          </cell>
          <cell r="D95" t="str">
            <v>SPV</v>
          </cell>
          <cell r="E95">
            <v>38194</v>
          </cell>
          <cell r="F95" t="str">
            <v>-</v>
          </cell>
          <cell r="G95" t="str">
            <v>-</v>
          </cell>
          <cell r="H95" t="str">
            <v>LOG</v>
          </cell>
          <cell r="I95" t="str">
            <v>PPC</v>
          </cell>
          <cell r="J95" t="str">
            <v>ALL</v>
          </cell>
          <cell r="K95" t="str">
            <v>-</v>
          </cell>
          <cell r="L95" t="str">
            <v>PPC</v>
          </cell>
          <cell r="M95" t="str">
            <v>Spv</v>
          </cell>
          <cell r="N95" t="str">
            <v>FPS SPV</v>
          </cell>
          <cell r="O95" t="str">
            <v>NS</v>
          </cell>
          <cell r="P95" t="str">
            <v>FPS</v>
          </cell>
          <cell r="Q95" t="str">
            <v>PERMANENT</v>
          </cell>
          <cell r="R95" t="str">
            <v>PRM</v>
          </cell>
          <cell r="S95" t="str">
            <v>SPV</v>
          </cell>
          <cell r="T95" t="str">
            <v>L</v>
          </cell>
          <cell r="U95">
            <v>1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1</v>
          </cell>
          <cell r="AE95">
            <v>0</v>
          </cell>
          <cell r="AF95">
            <v>1</v>
          </cell>
          <cell r="AG95">
            <v>0</v>
          </cell>
        </row>
        <row r="96">
          <cell r="A96">
            <v>1</v>
          </cell>
          <cell r="B96">
            <v>3100</v>
          </cell>
          <cell r="C96" t="str">
            <v>JOHAN WIBOWO</v>
          </cell>
          <cell r="D96" t="str">
            <v>SPV</v>
          </cell>
          <cell r="E96">
            <v>38236</v>
          </cell>
          <cell r="F96" t="str">
            <v>-</v>
          </cell>
          <cell r="G96" t="str">
            <v>-</v>
          </cell>
          <cell r="H96" t="str">
            <v>LOG</v>
          </cell>
          <cell r="I96" t="str">
            <v>PPC</v>
          </cell>
          <cell r="J96" t="str">
            <v>ALL</v>
          </cell>
          <cell r="K96" t="str">
            <v>-</v>
          </cell>
          <cell r="L96" t="str">
            <v>PPC</v>
          </cell>
          <cell r="M96" t="str">
            <v>Spv</v>
          </cell>
          <cell r="N96" t="str">
            <v>FPS SPV</v>
          </cell>
          <cell r="O96" t="str">
            <v>NS</v>
          </cell>
          <cell r="P96" t="str">
            <v>FPS</v>
          </cell>
          <cell r="Q96" t="str">
            <v>PERMANENT</v>
          </cell>
          <cell r="R96" t="str">
            <v>PRM</v>
          </cell>
          <cell r="S96" t="str">
            <v>SPV</v>
          </cell>
          <cell r="T96" t="str">
            <v>L</v>
          </cell>
          <cell r="U96">
            <v>1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1</v>
          </cell>
          <cell r="AE96">
            <v>0</v>
          </cell>
          <cell r="AF96">
            <v>1</v>
          </cell>
          <cell r="AG96">
            <v>0</v>
          </cell>
        </row>
        <row r="97">
          <cell r="A97">
            <v>1</v>
          </cell>
          <cell r="B97">
            <v>4156</v>
          </cell>
          <cell r="C97" t="str">
            <v>NUR FUADAH</v>
          </cell>
          <cell r="D97" t="str">
            <v>OPT-105</v>
          </cell>
          <cell r="E97">
            <v>38729</v>
          </cell>
          <cell r="F97">
            <v>39203</v>
          </cell>
          <cell r="G97">
            <v>39568</v>
          </cell>
          <cell r="H97" t="str">
            <v>LOG</v>
          </cell>
          <cell r="I97" t="str">
            <v>PPC</v>
          </cell>
          <cell r="J97" t="str">
            <v>ALL</v>
          </cell>
          <cell r="K97" t="str">
            <v>-</v>
          </cell>
          <cell r="L97" t="str">
            <v>PPC</v>
          </cell>
          <cell r="M97" t="str">
            <v>Opt WOS</v>
          </cell>
          <cell r="N97" t="str">
            <v>PPC</v>
          </cell>
          <cell r="O97" t="str">
            <v>A</v>
          </cell>
          <cell r="P97" t="str">
            <v>FPS</v>
          </cell>
          <cell r="Q97" t="str">
            <v>CONTRACT</v>
          </cell>
          <cell r="R97" t="str">
            <v>C2</v>
          </cell>
          <cell r="S97" t="str">
            <v>OPT</v>
          </cell>
          <cell r="T97" t="str">
            <v>P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</v>
          </cell>
          <cell r="AA97">
            <v>0</v>
          </cell>
          <cell r="AB97">
            <v>0</v>
          </cell>
          <cell r="AC97">
            <v>0</v>
          </cell>
          <cell r="AD97">
            <v>1</v>
          </cell>
          <cell r="AE97">
            <v>0</v>
          </cell>
          <cell r="AF97">
            <v>0</v>
          </cell>
          <cell r="AG97">
            <v>0</v>
          </cell>
        </row>
        <row r="98">
          <cell r="A98">
            <v>1</v>
          </cell>
          <cell r="B98">
            <v>4353</v>
          </cell>
          <cell r="C98" t="str">
            <v>TURIKHAH</v>
          </cell>
          <cell r="D98" t="str">
            <v>ADM-23</v>
          </cell>
          <cell r="E98">
            <v>38741</v>
          </cell>
          <cell r="F98">
            <v>39234</v>
          </cell>
          <cell r="G98">
            <v>39599</v>
          </cell>
          <cell r="H98" t="str">
            <v>LOG</v>
          </cell>
          <cell r="I98" t="str">
            <v>PPC</v>
          </cell>
          <cell r="J98" t="str">
            <v>ALL</v>
          </cell>
          <cell r="K98" t="str">
            <v>-</v>
          </cell>
          <cell r="L98" t="str">
            <v>PPC</v>
          </cell>
          <cell r="M98" t="str">
            <v>Adm</v>
          </cell>
          <cell r="N98" t="str">
            <v>PPC</v>
          </cell>
          <cell r="O98" t="str">
            <v>NS</v>
          </cell>
          <cell r="P98" t="str">
            <v>FPS</v>
          </cell>
          <cell r="Q98" t="str">
            <v>CONTRACT</v>
          </cell>
          <cell r="R98" t="str">
            <v>C2</v>
          </cell>
          <cell r="S98" t="str">
            <v>ADM</v>
          </cell>
          <cell r="T98" t="str">
            <v>P</v>
          </cell>
          <cell r="U98">
            <v>0</v>
          </cell>
          <cell r="V98">
            <v>0</v>
          </cell>
          <cell r="W98">
            <v>1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1</v>
          </cell>
          <cell r="AE98">
            <v>0</v>
          </cell>
          <cell r="AF98">
            <v>0</v>
          </cell>
          <cell r="AG98">
            <v>0</v>
          </cell>
        </row>
        <row r="99">
          <cell r="A99">
            <v>1</v>
          </cell>
          <cell r="B99">
            <v>4445</v>
          </cell>
          <cell r="C99" t="str">
            <v>ROZIKIN</v>
          </cell>
          <cell r="D99" t="str">
            <v>ADM-24</v>
          </cell>
          <cell r="E99">
            <v>38758</v>
          </cell>
          <cell r="F99">
            <v>39234</v>
          </cell>
          <cell r="G99">
            <v>39599</v>
          </cell>
          <cell r="H99" t="str">
            <v>LOG</v>
          </cell>
          <cell r="I99" t="str">
            <v>PPC</v>
          </cell>
          <cell r="J99" t="str">
            <v>ALL</v>
          </cell>
          <cell r="K99" t="str">
            <v>-</v>
          </cell>
          <cell r="L99" t="str">
            <v>PPC</v>
          </cell>
          <cell r="M99" t="str">
            <v>Adm</v>
          </cell>
          <cell r="N99" t="str">
            <v>PPC</v>
          </cell>
          <cell r="O99" t="str">
            <v>NS</v>
          </cell>
          <cell r="P99" t="str">
            <v>FPS</v>
          </cell>
          <cell r="Q99" t="str">
            <v>CONTRACT</v>
          </cell>
          <cell r="R99" t="str">
            <v>C2</v>
          </cell>
          <cell r="S99" t="str">
            <v>ADM</v>
          </cell>
          <cell r="T99" t="str">
            <v>L</v>
          </cell>
          <cell r="U99">
            <v>0</v>
          </cell>
          <cell r="V99">
            <v>0</v>
          </cell>
          <cell r="W99">
            <v>1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1</v>
          </cell>
          <cell r="AE99">
            <v>0</v>
          </cell>
          <cell r="AF99">
            <v>1</v>
          </cell>
          <cell r="AG99">
            <v>0</v>
          </cell>
        </row>
        <row r="100">
          <cell r="A100">
            <v>1</v>
          </cell>
          <cell r="B100">
            <v>4447</v>
          </cell>
          <cell r="C100" t="str">
            <v>TEGUH RAHARJO</v>
          </cell>
          <cell r="D100" t="str">
            <v>ADM-24</v>
          </cell>
          <cell r="E100">
            <v>38758</v>
          </cell>
          <cell r="F100">
            <v>39234</v>
          </cell>
          <cell r="G100">
            <v>39599</v>
          </cell>
          <cell r="H100" t="str">
            <v>LOG</v>
          </cell>
          <cell r="I100" t="str">
            <v>PPC</v>
          </cell>
          <cell r="J100" t="str">
            <v>ALL</v>
          </cell>
          <cell r="K100" t="str">
            <v>-</v>
          </cell>
          <cell r="L100" t="str">
            <v>PPC</v>
          </cell>
          <cell r="M100" t="str">
            <v>Adm</v>
          </cell>
          <cell r="N100" t="str">
            <v>PPC</v>
          </cell>
          <cell r="O100" t="str">
            <v>NS</v>
          </cell>
          <cell r="P100" t="str">
            <v>FPS</v>
          </cell>
          <cell r="Q100" t="str">
            <v>CONTRACT</v>
          </cell>
          <cell r="R100" t="str">
            <v>C2</v>
          </cell>
          <cell r="S100" t="str">
            <v>ADM</v>
          </cell>
          <cell r="T100" t="str">
            <v>L</v>
          </cell>
          <cell r="U100">
            <v>0</v>
          </cell>
          <cell r="V100">
            <v>0</v>
          </cell>
          <cell r="W100">
            <v>1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1</v>
          </cell>
          <cell r="AE100">
            <v>0</v>
          </cell>
          <cell r="AF100">
            <v>1</v>
          </cell>
          <cell r="AG100">
            <v>0</v>
          </cell>
        </row>
        <row r="101">
          <cell r="A101">
            <v>1</v>
          </cell>
          <cell r="B101">
            <v>4482</v>
          </cell>
          <cell r="C101" t="str">
            <v>ARIS KUSMINARTI</v>
          </cell>
          <cell r="D101" t="str">
            <v>ADM-25</v>
          </cell>
          <cell r="E101">
            <v>38775</v>
          </cell>
          <cell r="F101">
            <v>39264</v>
          </cell>
          <cell r="G101">
            <v>39629</v>
          </cell>
          <cell r="H101" t="str">
            <v>LOG</v>
          </cell>
          <cell r="I101" t="str">
            <v>PPC</v>
          </cell>
          <cell r="J101" t="str">
            <v>ALL</v>
          </cell>
          <cell r="K101" t="str">
            <v>-</v>
          </cell>
          <cell r="L101" t="str">
            <v>PPC</v>
          </cell>
          <cell r="M101" t="str">
            <v>Adm</v>
          </cell>
          <cell r="N101" t="str">
            <v>PPC</v>
          </cell>
          <cell r="O101" t="str">
            <v>NS</v>
          </cell>
          <cell r="P101" t="str">
            <v>FPS</v>
          </cell>
          <cell r="Q101" t="str">
            <v>CONTRACT</v>
          </cell>
          <cell r="R101" t="str">
            <v>C2</v>
          </cell>
          <cell r="S101" t="str">
            <v>ADM</v>
          </cell>
          <cell r="T101" t="str">
            <v>P</v>
          </cell>
          <cell r="U101">
            <v>0</v>
          </cell>
          <cell r="V101">
            <v>0</v>
          </cell>
          <cell r="W101">
            <v>1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1</v>
          </cell>
          <cell r="AE101">
            <v>0</v>
          </cell>
          <cell r="AF101">
            <v>0</v>
          </cell>
          <cell r="AG101">
            <v>0</v>
          </cell>
        </row>
        <row r="102">
          <cell r="A102">
            <v>1</v>
          </cell>
          <cell r="B102">
            <v>4516</v>
          </cell>
          <cell r="C102" t="str">
            <v>ABDUL KARIS</v>
          </cell>
          <cell r="D102" t="str">
            <v>ADM-26</v>
          </cell>
          <cell r="E102">
            <v>38789</v>
          </cell>
          <cell r="F102">
            <v>39264</v>
          </cell>
          <cell r="G102">
            <v>39629</v>
          </cell>
          <cell r="H102" t="str">
            <v>LOG</v>
          </cell>
          <cell r="I102" t="str">
            <v>PPC</v>
          </cell>
          <cell r="J102" t="str">
            <v>ALL</v>
          </cell>
          <cell r="K102" t="str">
            <v>-</v>
          </cell>
          <cell r="L102" t="str">
            <v>PPC</v>
          </cell>
          <cell r="M102" t="str">
            <v>Adm</v>
          </cell>
          <cell r="N102" t="str">
            <v>PPC</v>
          </cell>
          <cell r="O102" t="str">
            <v>NS</v>
          </cell>
          <cell r="P102" t="str">
            <v>FPS</v>
          </cell>
          <cell r="Q102" t="str">
            <v>CONTRACT</v>
          </cell>
          <cell r="R102" t="str">
            <v>C2</v>
          </cell>
          <cell r="S102" t="str">
            <v>ADM</v>
          </cell>
          <cell r="T102" t="str">
            <v>L</v>
          </cell>
          <cell r="U102">
            <v>0</v>
          </cell>
          <cell r="V102">
            <v>0</v>
          </cell>
          <cell r="W102">
            <v>1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1</v>
          </cell>
          <cell r="AE102">
            <v>0</v>
          </cell>
          <cell r="AF102">
            <v>1</v>
          </cell>
          <cell r="AG102">
            <v>0</v>
          </cell>
        </row>
        <row r="103">
          <cell r="A103">
            <v>1</v>
          </cell>
          <cell r="B103">
            <v>4517</v>
          </cell>
          <cell r="C103" t="str">
            <v>RIYANTI</v>
          </cell>
          <cell r="D103" t="str">
            <v>ADM-26</v>
          </cell>
          <cell r="E103">
            <v>38789</v>
          </cell>
          <cell r="F103">
            <v>39264</v>
          </cell>
          <cell r="G103">
            <v>39629</v>
          </cell>
          <cell r="H103" t="str">
            <v>LOG</v>
          </cell>
          <cell r="I103" t="str">
            <v>PPC</v>
          </cell>
          <cell r="J103" t="str">
            <v>ALL</v>
          </cell>
          <cell r="K103" t="str">
            <v>-</v>
          </cell>
          <cell r="L103" t="str">
            <v>PPC</v>
          </cell>
          <cell r="M103" t="str">
            <v>Adm</v>
          </cell>
          <cell r="N103" t="str">
            <v>PPC</v>
          </cell>
          <cell r="O103" t="str">
            <v>NS</v>
          </cell>
          <cell r="P103" t="str">
            <v>FPS</v>
          </cell>
          <cell r="Q103" t="str">
            <v>CONTRACT</v>
          </cell>
          <cell r="R103" t="str">
            <v>C2</v>
          </cell>
          <cell r="S103" t="str">
            <v>ADM</v>
          </cell>
          <cell r="T103" t="str">
            <v>P</v>
          </cell>
          <cell r="U103">
            <v>0</v>
          </cell>
          <cell r="V103">
            <v>0</v>
          </cell>
          <cell r="W103">
            <v>1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1</v>
          </cell>
          <cell r="AE103">
            <v>0</v>
          </cell>
          <cell r="AF103">
            <v>0</v>
          </cell>
          <cell r="AG103">
            <v>0</v>
          </cell>
        </row>
        <row r="104">
          <cell r="A104">
            <v>1</v>
          </cell>
          <cell r="B104">
            <v>5400</v>
          </cell>
          <cell r="C104" t="str">
            <v>BEKTI UTAMI</v>
          </cell>
          <cell r="D104" t="str">
            <v>OPT-128</v>
          </cell>
          <cell r="E104">
            <v>38991</v>
          </cell>
          <cell r="F104" t="str">
            <v>-</v>
          </cell>
          <cell r="G104" t="str">
            <v>-</v>
          </cell>
          <cell r="H104" t="str">
            <v>LOG</v>
          </cell>
          <cell r="I104" t="str">
            <v>PPC</v>
          </cell>
          <cell r="J104" t="str">
            <v>ALL</v>
          </cell>
          <cell r="K104" t="str">
            <v>-</v>
          </cell>
          <cell r="L104" t="str">
            <v>PPC</v>
          </cell>
          <cell r="M104" t="str">
            <v>Opt WOS</v>
          </cell>
          <cell r="N104" t="str">
            <v>PPC</v>
          </cell>
          <cell r="O104" t="str">
            <v>B</v>
          </cell>
          <cell r="P104" t="str">
            <v>FPS</v>
          </cell>
          <cell r="Q104" t="str">
            <v>PERMANENT</v>
          </cell>
          <cell r="R104" t="str">
            <v>PRM</v>
          </cell>
          <cell r="S104" t="str">
            <v>OPT</v>
          </cell>
          <cell r="T104" t="str">
            <v>P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1</v>
          </cell>
          <cell r="AA104">
            <v>0</v>
          </cell>
          <cell r="AB104">
            <v>0</v>
          </cell>
          <cell r="AC104">
            <v>0</v>
          </cell>
          <cell r="AD104">
            <v>1</v>
          </cell>
          <cell r="AE104">
            <v>0</v>
          </cell>
          <cell r="AF104">
            <v>0</v>
          </cell>
          <cell r="AG104">
            <v>0</v>
          </cell>
        </row>
        <row r="105">
          <cell r="A105">
            <v>1</v>
          </cell>
          <cell r="B105">
            <v>5531</v>
          </cell>
          <cell r="C105" t="str">
            <v>ENI SUSANTI</v>
          </cell>
          <cell r="D105" t="str">
            <v>ES-26</v>
          </cell>
          <cell r="E105">
            <v>39037</v>
          </cell>
          <cell r="F105">
            <v>39037</v>
          </cell>
          <cell r="G105">
            <v>39386</v>
          </cell>
          <cell r="H105" t="str">
            <v>LOG</v>
          </cell>
          <cell r="I105" t="str">
            <v>PPC</v>
          </cell>
          <cell r="J105" t="str">
            <v>ALL</v>
          </cell>
          <cell r="K105" t="str">
            <v>-</v>
          </cell>
          <cell r="L105" t="str">
            <v>PPC</v>
          </cell>
          <cell r="M105" t="str">
            <v>Leader</v>
          </cell>
          <cell r="N105" t="str">
            <v>PPC</v>
          </cell>
          <cell r="O105" t="str">
            <v>NS</v>
          </cell>
          <cell r="P105" t="str">
            <v>FPS</v>
          </cell>
          <cell r="Q105" t="str">
            <v>CONTRACT</v>
          </cell>
          <cell r="R105" t="str">
            <v>C1</v>
          </cell>
          <cell r="S105" t="str">
            <v>ES</v>
          </cell>
          <cell r="T105" t="str">
            <v>P</v>
          </cell>
          <cell r="U105">
            <v>0</v>
          </cell>
          <cell r="V105">
            <v>1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1</v>
          </cell>
          <cell r="AE105">
            <v>0</v>
          </cell>
          <cell r="AF105">
            <v>0</v>
          </cell>
          <cell r="AG105">
            <v>0</v>
          </cell>
        </row>
        <row r="106">
          <cell r="A106">
            <v>1</v>
          </cell>
          <cell r="B106">
            <v>6099</v>
          </cell>
          <cell r="C106" t="str">
            <v>SUTIYANI</v>
          </cell>
          <cell r="D106" t="str">
            <v>OPT-139</v>
          </cell>
          <cell r="E106">
            <v>39142</v>
          </cell>
          <cell r="F106">
            <v>39142</v>
          </cell>
          <cell r="G106">
            <v>39506</v>
          </cell>
          <cell r="H106" t="str">
            <v>LOG</v>
          </cell>
          <cell r="I106" t="str">
            <v>PPC</v>
          </cell>
          <cell r="J106" t="str">
            <v>ALL</v>
          </cell>
          <cell r="K106" t="str">
            <v>-</v>
          </cell>
          <cell r="L106" t="str">
            <v>PPC</v>
          </cell>
          <cell r="M106" t="str">
            <v>Opt WOS</v>
          </cell>
          <cell r="N106" t="str">
            <v>PPC</v>
          </cell>
          <cell r="O106" t="str">
            <v>A</v>
          </cell>
          <cell r="P106" t="str">
            <v>FPS</v>
          </cell>
          <cell r="Q106" t="str">
            <v>CONTRACT</v>
          </cell>
          <cell r="R106" t="str">
            <v>C3</v>
          </cell>
          <cell r="S106" t="str">
            <v>OPT</v>
          </cell>
          <cell r="T106" t="str">
            <v>P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1</v>
          </cell>
          <cell r="AA106">
            <v>0</v>
          </cell>
          <cell r="AB106">
            <v>0</v>
          </cell>
          <cell r="AC106">
            <v>0</v>
          </cell>
          <cell r="AD106">
            <v>1</v>
          </cell>
          <cell r="AE106">
            <v>0</v>
          </cell>
          <cell r="AF106">
            <v>0</v>
          </cell>
          <cell r="AG106">
            <v>0</v>
          </cell>
        </row>
        <row r="107">
          <cell r="A107">
            <v>1</v>
          </cell>
          <cell r="B107">
            <v>182</v>
          </cell>
          <cell r="C107" t="str">
            <v>RETNONINGSIH</v>
          </cell>
          <cell r="D107" t="str">
            <v>OPT-5</v>
          </cell>
          <cell r="E107">
            <v>37679</v>
          </cell>
          <cell r="F107" t="str">
            <v>-</v>
          </cell>
          <cell r="G107" t="str">
            <v>-</v>
          </cell>
          <cell r="H107" t="str">
            <v>LOG</v>
          </cell>
          <cell r="I107" t="str">
            <v>RCV</v>
          </cell>
          <cell r="J107" t="str">
            <v>ALL</v>
          </cell>
          <cell r="K107" t="str">
            <v>-</v>
          </cell>
          <cell r="L107" t="str">
            <v>RCV</v>
          </cell>
          <cell r="M107" t="str">
            <v>INSPECTOR</v>
          </cell>
          <cell r="N107" t="str">
            <v>RCV</v>
          </cell>
          <cell r="O107" t="str">
            <v>A</v>
          </cell>
          <cell r="P107" t="str">
            <v>FPS</v>
          </cell>
          <cell r="Q107" t="str">
            <v>PERMANENT</v>
          </cell>
          <cell r="R107" t="str">
            <v>PRM</v>
          </cell>
          <cell r="S107" t="str">
            <v>OPT</v>
          </cell>
          <cell r="T107" t="str">
            <v>P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1</v>
          </cell>
          <cell r="AE107">
            <v>0</v>
          </cell>
          <cell r="AF107">
            <v>0</v>
          </cell>
          <cell r="AG107">
            <v>0</v>
          </cell>
        </row>
        <row r="108">
          <cell r="A108">
            <v>1</v>
          </cell>
          <cell r="B108">
            <v>295</v>
          </cell>
          <cell r="C108" t="str">
            <v>LAILATUL MUFAIZAH</v>
          </cell>
          <cell r="D108" t="str">
            <v>OPT-8</v>
          </cell>
          <cell r="E108">
            <v>37718</v>
          </cell>
          <cell r="F108" t="str">
            <v>-</v>
          </cell>
          <cell r="G108" t="str">
            <v>-</v>
          </cell>
          <cell r="H108" t="str">
            <v>LOG</v>
          </cell>
          <cell r="I108" t="str">
            <v>RCV</v>
          </cell>
          <cell r="J108" t="str">
            <v>ALL</v>
          </cell>
          <cell r="K108" t="str">
            <v>-</v>
          </cell>
          <cell r="L108" t="str">
            <v>RCV</v>
          </cell>
          <cell r="M108" t="str">
            <v>PERMANENT</v>
          </cell>
          <cell r="N108" t="str">
            <v>RCV</v>
          </cell>
          <cell r="O108" t="str">
            <v>NS</v>
          </cell>
          <cell r="P108" t="str">
            <v>FPS</v>
          </cell>
          <cell r="Q108" t="str">
            <v>PERMANENT</v>
          </cell>
          <cell r="R108" t="str">
            <v>PRM</v>
          </cell>
          <cell r="S108" t="str">
            <v>OPT</v>
          </cell>
          <cell r="T108" t="str">
            <v>P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</v>
          </cell>
          <cell r="AA108">
            <v>0</v>
          </cell>
          <cell r="AB108">
            <v>0</v>
          </cell>
          <cell r="AC108">
            <v>0</v>
          </cell>
          <cell r="AD108">
            <v>1</v>
          </cell>
          <cell r="AE108">
            <v>0</v>
          </cell>
          <cell r="AF108">
            <v>0</v>
          </cell>
          <cell r="AG108">
            <v>0</v>
          </cell>
        </row>
        <row r="109">
          <cell r="A109">
            <v>1</v>
          </cell>
          <cell r="B109">
            <v>589</v>
          </cell>
          <cell r="C109" t="str">
            <v>KURNIATI</v>
          </cell>
          <cell r="D109" t="str">
            <v>ADM-5</v>
          </cell>
          <cell r="E109">
            <v>37774</v>
          </cell>
          <cell r="F109" t="str">
            <v>-</v>
          </cell>
          <cell r="G109" t="str">
            <v>-</v>
          </cell>
          <cell r="H109" t="str">
            <v>LOG</v>
          </cell>
          <cell r="I109" t="str">
            <v>RCV</v>
          </cell>
          <cell r="J109" t="str">
            <v>ALL</v>
          </cell>
          <cell r="K109" t="str">
            <v>-</v>
          </cell>
          <cell r="L109" t="str">
            <v>RCV</v>
          </cell>
          <cell r="M109" t="str">
            <v>PERMANENT</v>
          </cell>
          <cell r="N109" t="str">
            <v>RCV</v>
          </cell>
          <cell r="O109" t="str">
            <v>NS</v>
          </cell>
          <cell r="P109" t="str">
            <v>FPS</v>
          </cell>
          <cell r="Q109" t="str">
            <v>PERMANENT</v>
          </cell>
          <cell r="R109" t="str">
            <v>PRM</v>
          </cell>
          <cell r="S109" t="str">
            <v>ADM</v>
          </cell>
          <cell r="T109" t="str">
            <v>P</v>
          </cell>
          <cell r="U109">
            <v>0</v>
          </cell>
          <cell r="V109">
            <v>0</v>
          </cell>
          <cell r="W109">
            <v>1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1</v>
          </cell>
          <cell r="AE109">
            <v>0</v>
          </cell>
          <cell r="AF109">
            <v>0</v>
          </cell>
          <cell r="AG109">
            <v>0</v>
          </cell>
        </row>
        <row r="110">
          <cell r="A110">
            <v>1</v>
          </cell>
          <cell r="B110">
            <v>726</v>
          </cell>
          <cell r="C110" t="str">
            <v>NOVI WIDARYANTI</v>
          </cell>
          <cell r="D110" t="str">
            <v>OPT-19</v>
          </cell>
          <cell r="E110">
            <v>37816</v>
          </cell>
          <cell r="F110" t="str">
            <v>-</v>
          </cell>
          <cell r="G110" t="str">
            <v>-</v>
          </cell>
          <cell r="H110" t="str">
            <v>LOG</v>
          </cell>
          <cell r="I110" t="str">
            <v>RCV</v>
          </cell>
          <cell r="J110" t="str">
            <v>ALL</v>
          </cell>
          <cell r="K110" t="str">
            <v>-</v>
          </cell>
          <cell r="L110" t="str">
            <v>RCV</v>
          </cell>
          <cell r="M110" t="str">
            <v>INSPECTOR</v>
          </cell>
          <cell r="N110" t="str">
            <v>RCV</v>
          </cell>
          <cell r="O110" t="str">
            <v>B</v>
          </cell>
          <cell r="P110" t="str">
            <v>FPS</v>
          </cell>
          <cell r="Q110" t="str">
            <v>PERMANENT</v>
          </cell>
          <cell r="R110" t="str">
            <v>PRM</v>
          </cell>
          <cell r="S110" t="str">
            <v>OPT</v>
          </cell>
          <cell r="T110" t="str">
            <v>P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1</v>
          </cell>
          <cell r="AA110">
            <v>0</v>
          </cell>
          <cell r="AB110">
            <v>0</v>
          </cell>
          <cell r="AC110">
            <v>0</v>
          </cell>
          <cell r="AD110">
            <v>1</v>
          </cell>
          <cell r="AE110">
            <v>0</v>
          </cell>
          <cell r="AF110">
            <v>0</v>
          </cell>
          <cell r="AG110">
            <v>0</v>
          </cell>
        </row>
        <row r="111">
          <cell r="A111">
            <v>1</v>
          </cell>
          <cell r="B111">
            <v>734</v>
          </cell>
          <cell r="C111" t="str">
            <v>ROMI LESTARI</v>
          </cell>
          <cell r="D111" t="str">
            <v>OPT-19</v>
          </cell>
          <cell r="E111">
            <v>37816</v>
          </cell>
          <cell r="F111" t="str">
            <v>-</v>
          </cell>
          <cell r="G111" t="str">
            <v>-</v>
          </cell>
          <cell r="H111" t="str">
            <v>LOG</v>
          </cell>
          <cell r="I111" t="str">
            <v>RCV</v>
          </cell>
          <cell r="J111" t="str">
            <v>ALL</v>
          </cell>
          <cell r="K111" t="str">
            <v>-</v>
          </cell>
          <cell r="L111" t="str">
            <v>RCV</v>
          </cell>
          <cell r="M111" t="str">
            <v>INSPECTOR</v>
          </cell>
          <cell r="N111" t="str">
            <v>RCV</v>
          </cell>
          <cell r="O111" t="str">
            <v>A</v>
          </cell>
          <cell r="P111" t="str">
            <v>FPS</v>
          </cell>
          <cell r="Q111" t="str">
            <v>PERMANENT</v>
          </cell>
          <cell r="R111" t="str">
            <v>PRM</v>
          </cell>
          <cell r="S111" t="str">
            <v>OPT</v>
          </cell>
          <cell r="T111" t="str">
            <v>P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1</v>
          </cell>
          <cell r="AA111">
            <v>0</v>
          </cell>
          <cell r="AB111">
            <v>0</v>
          </cell>
          <cell r="AC111">
            <v>0</v>
          </cell>
          <cell r="AD111">
            <v>1</v>
          </cell>
          <cell r="AE111">
            <v>0</v>
          </cell>
          <cell r="AF111">
            <v>0</v>
          </cell>
          <cell r="AG111">
            <v>0</v>
          </cell>
        </row>
        <row r="112">
          <cell r="A112">
            <v>1</v>
          </cell>
          <cell r="B112">
            <v>1113</v>
          </cell>
          <cell r="C112" t="str">
            <v>JOKO PAMUNGKAS S.N</v>
          </cell>
          <cell r="D112" t="str">
            <v>ADM-8</v>
          </cell>
          <cell r="E112">
            <v>37887</v>
          </cell>
          <cell r="F112" t="str">
            <v>-</v>
          </cell>
          <cell r="G112" t="str">
            <v>-</v>
          </cell>
          <cell r="H112" t="str">
            <v>LOG</v>
          </cell>
          <cell r="I112" t="str">
            <v>RCV</v>
          </cell>
          <cell r="J112" t="str">
            <v>ALL</v>
          </cell>
          <cell r="K112" t="str">
            <v>-</v>
          </cell>
          <cell r="L112" t="str">
            <v>RCV</v>
          </cell>
          <cell r="M112" t="str">
            <v>ADM Receiving</v>
          </cell>
          <cell r="N112" t="str">
            <v>RCV</v>
          </cell>
          <cell r="O112" t="str">
            <v>NS</v>
          </cell>
          <cell r="P112" t="str">
            <v>FPS</v>
          </cell>
          <cell r="Q112" t="str">
            <v>PERMANENT</v>
          </cell>
          <cell r="R112" t="str">
            <v>PRM</v>
          </cell>
          <cell r="S112" t="str">
            <v>ADM</v>
          </cell>
          <cell r="T112" t="str">
            <v>L</v>
          </cell>
          <cell r="U112">
            <v>0</v>
          </cell>
          <cell r="V112">
            <v>0</v>
          </cell>
          <cell r="W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1</v>
          </cell>
          <cell r="AE112">
            <v>0</v>
          </cell>
          <cell r="AF112">
            <v>1</v>
          </cell>
          <cell r="AG112">
            <v>0</v>
          </cell>
        </row>
        <row r="113">
          <cell r="A113">
            <v>1</v>
          </cell>
          <cell r="B113">
            <v>2411</v>
          </cell>
          <cell r="C113" t="str">
            <v>AGUS SUPRIYADI</v>
          </cell>
          <cell r="D113" t="str">
            <v>ES-16</v>
          </cell>
          <cell r="E113">
            <v>38189</v>
          </cell>
          <cell r="F113" t="str">
            <v>-</v>
          </cell>
          <cell r="G113" t="str">
            <v>-</v>
          </cell>
          <cell r="H113" t="str">
            <v>LOG</v>
          </cell>
          <cell r="I113" t="str">
            <v>RCV</v>
          </cell>
          <cell r="J113" t="str">
            <v>ALL</v>
          </cell>
          <cell r="K113" t="str">
            <v>-</v>
          </cell>
          <cell r="L113" t="str">
            <v>RCV</v>
          </cell>
          <cell r="M113" t="str">
            <v>LEADER Receiving</v>
          </cell>
          <cell r="N113" t="str">
            <v>RCV</v>
          </cell>
          <cell r="O113" t="str">
            <v>NS</v>
          </cell>
          <cell r="P113" t="str">
            <v>FPS</v>
          </cell>
          <cell r="Q113" t="str">
            <v>PERMANENT</v>
          </cell>
          <cell r="R113" t="str">
            <v>PRM</v>
          </cell>
          <cell r="S113" t="str">
            <v>ES</v>
          </cell>
          <cell r="T113" t="str">
            <v>L</v>
          </cell>
          <cell r="U113">
            <v>0</v>
          </cell>
          <cell r="V113">
            <v>1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1</v>
          </cell>
          <cell r="AE113">
            <v>0</v>
          </cell>
          <cell r="AF113">
            <v>1</v>
          </cell>
          <cell r="AG113">
            <v>0</v>
          </cell>
        </row>
        <row r="114">
          <cell r="A114">
            <v>1</v>
          </cell>
          <cell r="B114">
            <v>4262</v>
          </cell>
          <cell r="C114" t="str">
            <v>NURJANAH</v>
          </cell>
          <cell r="D114" t="str">
            <v>OPT-106</v>
          </cell>
          <cell r="E114">
            <v>38735</v>
          </cell>
          <cell r="F114">
            <v>39234</v>
          </cell>
          <cell r="G114">
            <v>39599</v>
          </cell>
          <cell r="H114" t="str">
            <v>LOG</v>
          </cell>
          <cell r="I114" t="str">
            <v>RCV</v>
          </cell>
          <cell r="J114" t="str">
            <v>ALL</v>
          </cell>
          <cell r="K114" t="str">
            <v>-</v>
          </cell>
          <cell r="L114" t="str">
            <v>RCV</v>
          </cell>
          <cell r="M114" t="str">
            <v>INSPECTOR</v>
          </cell>
          <cell r="N114" t="str">
            <v>RCV</v>
          </cell>
          <cell r="O114" t="str">
            <v>B</v>
          </cell>
          <cell r="P114" t="str">
            <v>FPS</v>
          </cell>
          <cell r="Q114" t="str">
            <v>CONTRACT</v>
          </cell>
          <cell r="R114" t="str">
            <v>C2</v>
          </cell>
          <cell r="S114" t="str">
            <v>OPT</v>
          </cell>
          <cell r="T114" t="str">
            <v>P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</v>
          </cell>
          <cell r="AA114">
            <v>0</v>
          </cell>
          <cell r="AB114">
            <v>0</v>
          </cell>
          <cell r="AC114">
            <v>0</v>
          </cell>
          <cell r="AD114">
            <v>1</v>
          </cell>
          <cell r="AE114">
            <v>0</v>
          </cell>
          <cell r="AF114">
            <v>0</v>
          </cell>
          <cell r="AG114">
            <v>0</v>
          </cell>
        </row>
        <row r="115">
          <cell r="A115">
            <v>1</v>
          </cell>
          <cell r="B115">
            <v>4500</v>
          </cell>
          <cell r="C115" t="str">
            <v>SUSIATININGRUM</v>
          </cell>
          <cell r="D115" t="str">
            <v>OPT-111</v>
          </cell>
          <cell r="E115">
            <v>38789</v>
          </cell>
          <cell r="F115">
            <v>39264</v>
          </cell>
          <cell r="G115">
            <v>39629</v>
          </cell>
          <cell r="H115" t="str">
            <v>LOG</v>
          </cell>
          <cell r="I115" t="str">
            <v>RCV</v>
          </cell>
          <cell r="J115" t="str">
            <v>ALL</v>
          </cell>
          <cell r="K115" t="str">
            <v>-</v>
          </cell>
          <cell r="L115" t="str">
            <v>RCV</v>
          </cell>
          <cell r="M115" t="str">
            <v>INSPECTOR</v>
          </cell>
          <cell r="N115" t="str">
            <v>RCV</v>
          </cell>
          <cell r="O115" t="str">
            <v>A</v>
          </cell>
          <cell r="P115" t="str">
            <v>FPS</v>
          </cell>
          <cell r="Q115" t="str">
            <v>CONTRACT</v>
          </cell>
          <cell r="R115" t="str">
            <v>C2</v>
          </cell>
          <cell r="S115" t="str">
            <v>OPT</v>
          </cell>
          <cell r="T115" t="str">
            <v>P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1</v>
          </cell>
          <cell r="AA115">
            <v>0</v>
          </cell>
          <cell r="AB115">
            <v>0</v>
          </cell>
          <cell r="AC115">
            <v>0</v>
          </cell>
          <cell r="AD115">
            <v>1</v>
          </cell>
          <cell r="AE115">
            <v>0</v>
          </cell>
          <cell r="AF115">
            <v>0</v>
          </cell>
          <cell r="AG115">
            <v>0</v>
          </cell>
        </row>
        <row r="116">
          <cell r="A116">
            <v>1</v>
          </cell>
          <cell r="B116">
            <v>5854</v>
          </cell>
          <cell r="C116" t="str">
            <v>FITRIYANI PUSPITASARI</v>
          </cell>
          <cell r="D116" t="str">
            <v>OPT-136</v>
          </cell>
          <cell r="E116">
            <v>39118</v>
          </cell>
          <cell r="F116">
            <v>39234</v>
          </cell>
          <cell r="G116">
            <v>39599</v>
          </cell>
          <cell r="H116" t="str">
            <v>LOG</v>
          </cell>
          <cell r="I116" t="str">
            <v>RCV</v>
          </cell>
          <cell r="J116" t="str">
            <v>ALL</v>
          </cell>
          <cell r="K116" t="str">
            <v>-</v>
          </cell>
          <cell r="L116" t="str">
            <v>RCV</v>
          </cell>
          <cell r="M116" t="str">
            <v>ADMIN</v>
          </cell>
          <cell r="N116" t="str">
            <v>RCV</v>
          </cell>
          <cell r="O116" t="str">
            <v>NS</v>
          </cell>
          <cell r="P116" t="str">
            <v>FPS</v>
          </cell>
          <cell r="Q116" t="str">
            <v>CONTRACT</v>
          </cell>
          <cell r="R116" t="str">
            <v>C1</v>
          </cell>
          <cell r="S116" t="str">
            <v>OPT</v>
          </cell>
          <cell r="T116" t="str">
            <v>P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1</v>
          </cell>
          <cell r="AA116">
            <v>0</v>
          </cell>
          <cell r="AB116">
            <v>0</v>
          </cell>
          <cell r="AC116">
            <v>0</v>
          </cell>
          <cell r="AD116">
            <v>1</v>
          </cell>
          <cell r="AE116">
            <v>0</v>
          </cell>
          <cell r="AF116">
            <v>0</v>
          </cell>
          <cell r="AG116">
            <v>0</v>
          </cell>
        </row>
        <row r="117">
          <cell r="A117">
            <v>1</v>
          </cell>
          <cell r="B117">
            <v>6140</v>
          </cell>
          <cell r="C117" t="str">
            <v>HINDUN MEILANI</v>
          </cell>
          <cell r="D117" t="str">
            <v>OPT-140</v>
          </cell>
          <cell r="E117">
            <v>39157</v>
          </cell>
          <cell r="F117">
            <v>39157</v>
          </cell>
          <cell r="G117">
            <v>39522</v>
          </cell>
          <cell r="H117" t="str">
            <v>LOG</v>
          </cell>
          <cell r="I117" t="str">
            <v>RCV</v>
          </cell>
          <cell r="J117" t="str">
            <v>ALL</v>
          </cell>
          <cell r="K117" t="str">
            <v>-</v>
          </cell>
          <cell r="L117" t="str">
            <v>RCV</v>
          </cell>
          <cell r="M117" t="str">
            <v>INSPECTOR</v>
          </cell>
          <cell r="N117" t="str">
            <v>RCV</v>
          </cell>
          <cell r="O117" t="str">
            <v>B</v>
          </cell>
          <cell r="P117" t="str">
            <v>FPS</v>
          </cell>
          <cell r="Q117" t="str">
            <v>CONTRACT</v>
          </cell>
          <cell r="R117" t="str">
            <v>C3</v>
          </cell>
          <cell r="S117" t="str">
            <v>OPT</v>
          </cell>
          <cell r="T117" t="str">
            <v>P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</v>
          </cell>
          <cell r="AA117">
            <v>0</v>
          </cell>
          <cell r="AB117">
            <v>0</v>
          </cell>
          <cell r="AC117">
            <v>0</v>
          </cell>
          <cell r="AD117">
            <v>1</v>
          </cell>
          <cell r="AE117">
            <v>0</v>
          </cell>
          <cell r="AF117">
            <v>0</v>
          </cell>
          <cell r="AG117">
            <v>0</v>
          </cell>
        </row>
        <row r="118">
          <cell r="A118">
            <v>1</v>
          </cell>
          <cell r="B118" t="str">
            <v>SM 06.11.109</v>
          </cell>
          <cell r="C118" t="str">
            <v>Achmad Zaenal Arifin</v>
          </cell>
          <cell r="D118" t="str">
            <v>OUTSOURCING</v>
          </cell>
          <cell r="E118" t="str">
            <v>20/11/2006</v>
          </cell>
          <cell r="F118" t="str">
            <v>-</v>
          </cell>
          <cell r="G118" t="str">
            <v>-</v>
          </cell>
          <cell r="H118" t="str">
            <v>LOG</v>
          </cell>
          <cell r="I118" t="str">
            <v>RCV</v>
          </cell>
          <cell r="J118" t="str">
            <v>ALL</v>
          </cell>
          <cell r="K118" t="str">
            <v>-</v>
          </cell>
          <cell r="L118" t="str">
            <v>RCV</v>
          </cell>
          <cell r="M118" t="str">
            <v>INSPECTOR</v>
          </cell>
          <cell r="N118" t="str">
            <v>RCV</v>
          </cell>
          <cell r="O118" t="str">
            <v>A</v>
          </cell>
          <cell r="P118" t="str">
            <v>FPS</v>
          </cell>
          <cell r="Q118" t="str">
            <v>OUTSOURCING</v>
          </cell>
          <cell r="R118" t="str">
            <v>OSC OTH</v>
          </cell>
          <cell r="S118" t="str">
            <v>AMP</v>
          </cell>
          <cell r="T118" t="str">
            <v>L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1</v>
          </cell>
          <cell r="AE118">
            <v>0</v>
          </cell>
          <cell r="AF118">
            <v>1</v>
          </cell>
          <cell r="AG118">
            <v>0</v>
          </cell>
        </row>
        <row r="119">
          <cell r="A119">
            <v>1</v>
          </cell>
          <cell r="B119">
            <v>146</v>
          </cell>
          <cell r="C119" t="str">
            <v>NUNUNG HANDAYANI</v>
          </cell>
          <cell r="D119" t="str">
            <v>OPT-4</v>
          </cell>
          <cell r="E119">
            <v>37637</v>
          </cell>
          <cell r="F119" t="str">
            <v>-</v>
          </cell>
          <cell r="G119" t="str">
            <v>-</v>
          </cell>
          <cell r="H119" t="str">
            <v>LOG</v>
          </cell>
          <cell r="I119" t="str">
            <v>WHS</v>
          </cell>
          <cell r="J119" t="str">
            <v>ALL</v>
          </cell>
          <cell r="K119" t="str">
            <v>-</v>
          </cell>
          <cell r="L119" t="str">
            <v>WHS</v>
          </cell>
          <cell r="M119" t="str">
            <v>ADM AS-400</v>
          </cell>
          <cell r="N119" t="str">
            <v>WHS</v>
          </cell>
          <cell r="O119" t="str">
            <v>A</v>
          </cell>
          <cell r="P119" t="str">
            <v>FPS</v>
          </cell>
          <cell r="Q119" t="str">
            <v>PERMANENT</v>
          </cell>
          <cell r="R119" t="str">
            <v>PRM</v>
          </cell>
          <cell r="S119" t="str">
            <v>OPT</v>
          </cell>
          <cell r="T119" t="str">
            <v>P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>
            <v>0</v>
          </cell>
          <cell r="AB119">
            <v>0</v>
          </cell>
          <cell r="AC119">
            <v>0</v>
          </cell>
          <cell r="AD119">
            <v>1</v>
          </cell>
          <cell r="AE119">
            <v>0</v>
          </cell>
          <cell r="AF119">
            <v>0</v>
          </cell>
          <cell r="AG119">
            <v>0</v>
          </cell>
        </row>
        <row r="120">
          <cell r="A120">
            <v>1</v>
          </cell>
          <cell r="B120">
            <v>166</v>
          </cell>
          <cell r="C120" t="str">
            <v>DEWIK WIDJI ASTUTI</v>
          </cell>
          <cell r="D120" t="str">
            <v>OPT-5</v>
          </cell>
          <cell r="E120">
            <v>37679</v>
          </cell>
          <cell r="F120" t="str">
            <v>-</v>
          </cell>
          <cell r="G120" t="str">
            <v>-</v>
          </cell>
          <cell r="H120" t="str">
            <v>LOG</v>
          </cell>
          <cell r="I120" t="str">
            <v>WHS</v>
          </cell>
          <cell r="J120" t="str">
            <v>ALL</v>
          </cell>
          <cell r="K120" t="str">
            <v>-</v>
          </cell>
          <cell r="L120" t="str">
            <v>WHS</v>
          </cell>
          <cell r="M120" t="str">
            <v>Prepare material Unloading ke free+fix (Box)</v>
          </cell>
          <cell r="N120" t="str">
            <v>WHS</v>
          </cell>
          <cell r="O120" t="str">
            <v>B</v>
          </cell>
          <cell r="P120" t="str">
            <v>FPS</v>
          </cell>
          <cell r="Q120" t="str">
            <v>PERMANENT</v>
          </cell>
          <cell r="R120" t="str">
            <v>PRM</v>
          </cell>
          <cell r="S120" t="str">
            <v>OPT</v>
          </cell>
          <cell r="T120" t="str">
            <v>P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A120">
            <v>0</v>
          </cell>
          <cell r="AB120">
            <v>0</v>
          </cell>
          <cell r="AC120">
            <v>0</v>
          </cell>
          <cell r="AD120">
            <v>1</v>
          </cell>
          <cell r="AE120">
            <v>0</v>
          </cell>
          <cell r="AF120">
            <v>0</v>
          </cell>
          <cell r="AG120">
            <v>0</v>
          </cell>
        </row>
        <row r="121">
          <cell r="A121">
            <v>1</v>
          </cell>
          <cell r="B121">
            <v>245</v>
          </cell>
          <cell r="C121" t="str">
            <v>EFI RETNOWATI</v>
          </cell>
          <cell r="D121" t="str">
            <v>OPT-7</v>
          </cell>
          <cell r="E121">
            <v>37704</v>
          </cell>
          <cell r="F121" t="str">
            <v>-</v>
          </cell>
          <cell r="G121" t="str">
            <v>-</v>
          </cell>
          <cell r="H121" t="str">
            <v>LOG</v>
          </cell>
          <cell r="I121" t="str">
            <v>WHS</v>
          </cell>
          <cell r="J121" t="str">
            <v>ALL</v>
          </cell>
          <cell r="K121" t="str">
            <v>-</v>
          </cell>
          <cell r="L121" t="str">
            <v>WHS</v>
          </cell>
          <cell r="M121" t="str">
            <v>Checkman Multitier Atas</v>
          </cell>
          <cell r="N121" t="str">
            <v>WHS</v>
          </cell>
          <cell r="O121" t="str">
            <v>NS</v>
          </cell>
          <cell r="P121" t="str">
            <v>FPS</v>
          </cell>
          <cell r="Q121" t="str">
            <v>PERMANENT</v>
          </cell>
          <cell r="R121" t="str">
            <v>PRM</v>
          </cell>
          <cell r="S121" t="str">
            <v>OPT</v>
          </cell>
          <cell r="T121" t="str">
            <v>P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</v>
          </cell>
          <cell r="AA121">
            <v>0</v>
          </cell>
          <cell r="AB121">
            <v>0</v>
          </cell>
          <cell r="AC121">
            <v>0</v>
          </cell>
          <cell r="AD121">
            <v>1</v>
          </cell>
          <cell r="AE121">
            <v>0</v>
          </cell>
          <cell r="AF121">
            <v>0</v>
          </cell>
          <cell r="AG121">
            <v>0</v>
          </cell>
        </row>
        <row r="122">
          <cell r="A122">
            <v>1</v>
          </cell>
          <cell r="B122">
            <v>453</v>
          </cell>
          <cell r="C122" t="str">
            <v>MASRIKHAH</v>
          </cell>
          <cell r="D122" t="str">
            <v>OPT-12</v>
          </cell>
          <cell r="E122">
            <v>37746</v>
          </cell>
          <cell r="F122" t="str">
            <v>-</v>
          </cell>
          <cell r="G122" t="str">
            <v>-</v>
          </cell>
          <cell r="H122" t="str">
            <v>LOG</v>
          </cell>
          <cell r="I122" t="str">
            <v>WHS</v>
          </cell>
          <cell r="J122" t="str">
            <v>ALL</v>
          </cell>
          <cell r="K122" t="str">
            <v>-</v>
          </cell>
          <cell r="L122" t="str">
            <v>WHS</v>
          </cell>
          <cell r="M122" t="str">
            <v>Storage FA VE m13-24</v>
          </cell>
          <cell r="N122" t="str">
            <v>WHS</v>
          </cell>
          <cell r="O122" t="str">
            <v>B</v>
          </cell>
          <cell r="P122" t="str">
            <v>FPS</v>
          </cell>
          <cell r="Q122" t="str">
            <v>PERMANENT</v>
          </cell>
          <cell r="R122" t="str">
            <v>PRM</v>
          </cell>
          <cell r="S122" t="str">
            <v>OPT</v>
          </cell>
          <cell r="T122" t="str">
            <v>P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1</v>
          </cell>
          <cell r="AA122">
            <v>0</v>
          </cell>
          <cell r="AB122">
            <v>0</v>
          </cell>
          <cell r="AC122">
            <v>0</v>
          </cell>
          <cell r="AD122">
            <v>1</v>
          </cell>
          <cell r="AE122">
            <v>0</v>
          </cell>
          <cell r="AF122">
            <v>0</v>
          </cell>
          <cell r="AG122">
            <v>0</v>
          </cell>
        </row>
        <row r="123">
          <cell r="A123">
            <v>1</v>
          </cell>
          <cell r="B123">
            <v>457</v>
          </cell>
          <cell r="C123" t="str">
            <v>SRI NURYANTI</v>
          </cell>
          <cell r="D123" t="str">
            <v>OPT-12</v>
          </cell>
          <cell r="E123">
            <v>37746</v>
          </cell>
          <cell r="F123" t="str">
            <v>-</v>
          </cell>
          <cell r="G123" t="str">
            <v>-</v>
          </cell>
          <cell r="H123" t="str">
            <v>LOG</v>
          </cell>
          <cell r="I123" t="str">
            <v>WHS</v>
          </cell>
          <cell r="J123" t="str">
            <v>ALL</v>
          </cell>
          <cell r="K123" t="str">
            <v>-</v>
          </cell>
          <cell r="L123" t="str">
            <v>WHS</v>
          </cell>
          <cell r="M123" t="str">
            <v>Storage FA VZ (CV 1, 9) M13-24</v>
          </cell>
          <cell r="N123" t="str">
            <v>WHS</v>
          </cell>
          <cell r="O123" t="str">
            <v>A</v>
          </cell>
          <cell r="P123" t="str">
            <v>FPS</v>
          </cell>
          <cell r="Q123" t="str">
            <v>PERMANENT</v>
          </cell>
          <cell r="R123" t="str">
            <v>PRM</v>
          </cell>
          <cell r="S123" t="str">
            <v>OPT</v>
          </cell>
          <cell r="T123" t="str">
            <v>P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1</v>
          </cell>
          <cell r="AA123">
            <v>0</v>
          </cell>
          <cell r="AB123">
            <v>0</v>
          </cell>
          <cell r="AC123">
            <v>0</v>
          </cell>
          <cell r="AD123">
            <v>1</v>
          </cell>
          <cell r="AE123">
            <v>0</v>
          </cell>
          <cell r="AF123">
            <v>0</v>
          </cell>
          <cell r="AG123">
            <v>0</v>
          </cell>
        </row>
        <row r="124">
          <cell r="A124">
            <v>1</v>
          </cell>
          <cell r="B124">
            <v>509</v>
          </cell>
          <cell r="C124" t="str">
            <v>SUYOKO</v>
          </cell>
          <cell r="D124" t="str">
            <v>OPT-13</v>
          </cell>
          <cell r="E124">
            <v>37760</v>
          </cell>
          <cell r="F124" t="str">
            <v>-</v>
          </cell>
          <cell r="G124" t="str">
            <v>-</v>
          </cell>
          <cell r="H124" t="str">
            <v>LOG</v>
          </cell>
          <cell r="I124" t="str">
            <v>WHS</v>
          </cell>
          <cell r="J124" t="str">
            <v>ALL</v>
          </cell>
          <cell r="K124" t="str">
            <v>-</v>
          </cell>
          <cell r="L124" t="str">
            <v>WHS</v>
          </cell>
          <cell r="M124" t="str">
            <v>Prepare material Unloading ke free+fix (Box)</v>
          </cell>
          <cell r="N124" t="str">
            <v>WHS</v>
          </cell>
          <cell r="O124" t="str">
            <v>A</v>
          </cell>
          <cell r="P124" t="str">
            <v>FPS</v>
          </cell>
          <cell r="Q124" t="str">
            <v>PERMANENT</v>
          </cell>
          <cell r="R124" t="str">
            <v>PRM</v>
          </cell>
          <cell r="S124" t="str">
            <v>OPT</v>
          </cell>
          <cell r="T124" t="str">
            <v>L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1</v>
          </cell>
          <cell r="AA124">
            <v>0</v>
          </cell>
          <cell r="AB124">
            <v>0</v>
          </cell>
          <cell r="AC124">
            <v>0</v>
          </cell>
          <cell r="AD124">
            <v>1</v>
          </cell>
          <cell r="AE124">
            <v>0</v>
          </cell>
          <cell r="AF124">
            <v>1</v>
          </cell>
          <cell r="AG124">
            <v>0</v>
          </cell>
        </row>
        <row r="125">
          <cell r="A125">
            <v>1</v>
          </cell>
          <cell r="B125">
            <v>765</v>
          </cell>
          <cell r="C125" t="str">
            <v>MURTININGSIH</v>
          </cell>
          <cell r="D125" t="str">
            <v>OPT-20</v>
          </cell>
          <cell r="E125">
            <v>37830</v>
          </cell>
          <cell r="F125" t="str">
            <v>-</v>
          </cell>
          <cell r="G125" t="str">
            <v>-</v>
          </cell>
          <cell r="H125" t="str">
            <v>LOG</v>
          </cell>
          <cell r="I125" t="str">
            <v>WHS</v>
          </cell>
          <cell r="J125" t="str">
            <v>ALL</v>
          </cell>
          <cell r="K125" t="str">
            <v>-</v>
          </cell>
          <cell r="L125" t="str">
            <v>WHS</v>
          </cell>
          <cell r="M125" t="str">
            <v>Storage FA Mazda, Nissan, Lambda M1-12</v>
          </cell>
          <cell r="N125" t="str">
            <v>WHS</v>
          </cell>
          <cell r="O125" t="str">
            <v>B</v>
          </cell>
          <cell r="P125" t="str">
            <v>FPS</v>
          </cell>
          <cell r="Q125" t="str">
            <v>PERMANENT</v>
          </cell>
          <cell r="R125" t="str">
            <v>PRM</v>
          </cell>
          <cell r="S125" t="str">
            <v>OPT</v>
          </cell>
          <cell r="T125" t="str">
            <v>P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1</v>
          </cell>
          <cell r="AA125">
            <v>0</v>
          </cell>
          <cell r="AB125">
            <v>0</v>
          </cell>
          <cell r="AC125">
            <v>0</v>
          </cell>
          <cell r="AD125">
            <v>1</v>
          </cell>
          <cell r="AE125">
            <v>0</v>
          </cell>
          <cell r="AF125">
            <v>0</v>
          </cell>
          <cell r="AG125">
            <v>0</v>
          </cell>
        </row>
        <row r="126">
          <cell r="A126">
            <v>1</v>
          </cell>
          <cell r="B126">
            <v>828</v>
          </cell>
          <cell r="C126" t="str">
            <v>DEASY MAHARANI</v>
          </cell>
          <cell r="D126" t="str">
            <v>OPT-21</v>
          </cell>
          <cell r="E126">
            <v>37837</v>
          </cell>
          <cell r="F126" t="str">
            <v>-</v>
          </cell>
          <cell r="G126" t="str">
            <v>-</v>
          </cell>
          <cell r="H126" t="str">
            <v>LOG</v>
          </cell>
          <cell r="I126" t="str">
            <v>WHS</v>
          </cell>
          <cell r="J126" t="str">
            <v>ALL</v>
          </cell>
          <cell r="K126" t="str">
            <v>-</v>
          </cell>
          <cell r="L126" t="str">
            <v>WHS</v>
          </cell>
          <cell r="M126" t="str">
            <v>Prepare material Unloading ke free+fix (Box)</v>
          </cell>
          <cell r="N126" t="str">
            <v>WHS</v>
          </cell>
          <cell r="O126" t="str">
            <v>A</v>
          </cell>
          <cell r="P126" t="str">
            <v>FPS</v>
          </cell>
          <cell r="Q126" t="str">
            <v>PERMANENT</v>
          </cell>
          <cell r="R126" t="str">
            <v>PRM</v>
          </cell>
          <cell r="S126" t="str">
            <v>OPT</v>
          </cell>
          <cell r="T126" t="str">
            <v>P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</v>
          </cell>
          <cell r="AA126">
            <v>0</v>
          </cell>
          <cell r="AB126">
            <v>0</v>
          </cell>
          <cell r="AC126">
            <v>0</v>
          </cell>
          <cell r="AD126">
            <v>1</v>
          </cell>
          <cell r="AE126">
            <v>0</v>
          </cell>
          <cell r="AF126">
            <v>0</v>
          </cell>
          <cell r="AG126">
            <v>0</v>
          </cell>
        </row>
        <row r="127">
          <cell r="A127">
            <v>1</v>
          </cell>
          <cell r="B127">
            <v>1058</v>
          </cell>
          <cell r="C127" t="str">
            <v>SIGIT WIJANARKO</v>
          </cell>
          <cell r="D127" t="str">
            <v>OPT-26</v>
          </cell>
          <cell r="E127">
            <v>37879</v>
          </cell>
          <cell r="F127" t="str">
            <v>-</v>
          </cell>
          <cell r="G127" t="str">
            <v>-</v>
          </cell>
          <cell r="H127" t="str">
            <v>LOG</v>
          </cell>
          <cell r="I127" t="str">
            <v>WHS</v>
          </cell>
          <cell r="J127" t="str">
            <v>ALL</v>
          </cell>
          <cell r="K127" t="str">
            <v>-</v>
          </cell>
          <cell r="L127" t="str">
            <v>WHS</v>
          </cell>
          <cell r="M127" t="str">
            <v>Storage + handling cutt/PA Mazda</v>
          </cell>
          <cell r="N127" t="str">
            <v>WHS</v>
          </cell>
          <cell r="O127" t="str">
            <v>B</v>
          </cell>
          <cell r="P127" t="str">
            <v>FPS</v>
          </cell>
          <cell r="Q127" t="str">
            <v>PERMANENT</v>
          </cell>
          <cell r="R127" t="str">
            <v>PRM</v>
          </cell>
          <cell r="S127" t="str">
            <v>OPT</v>
          </cell>
          <cell r="T127" t="str">
            <v>L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1</v>
          </cell>
          <cell r="AA127">
            <v>0</v>
          </cell>
          <cell r="AB127">
            <v>0</v>
          </cell>
          <cell r="AC127">
            <v>0</v>
          </cell>
          <cell r="AD127">
            <v>1</v>
          </cell>
          <cell r="AE127">
            <v>0</v>
          </cell>
          <cell r="AF127">
            <v>1</v>
          </cell>
          <cell r="AG127">
            <v>0</v>
          </cell>
        </row>
        <row r="128">
          <cell r="A128">
            <v>1</v>
          </cell>
          <cell r="B128">
            <v>1108</v>
          </cell>
          <cell r="C128" t="str">
            <v>JANGKUNG WIDODO</v>
          </cell>
          <cell r="D128" t="str">
            <v>OPT-27</v>
          </cell>
          <cell r="E128">
            <v>37887</v>
          </cell>
          <cell r="F128" t="str">
            <v>-</v>
          </cell>
          <cell r="G128" t="str">
            <v>-</v>
          </cell>
          <cell r="H128" t="str">
            <v>LOG</v>
          </cell>
          <cell r="I128" t="str">
            <v>WHS</v>
          </cell>
          <cell r="J128" t="str">
            <v>ALL</v>
          </cell>
          <cell r="K128" t="str">
            <v>-</v>
          </cell>
          <cell r="L128" t="str">
            <v>WHS</v>
          </cell>
          <cell r="M128" t="str">
            <v>Storage + handling cutt tube/prepare VO</v>
          </cell>
          <cell r="N128" t="str">
            <v>WHS</v>
          </cell>
          <cell r="O128" t="str">
            <v>A</v>
          </cell>
          <cell r="P128" t="str">
            <v>FPS</v>
          </cell>
          <cell r="Q128" t="str">
            <v>PERMANENT</v>
          </cell>
          <cell r="R128" t="str">
            <v>PRM</v>
          </cell>
          <cell r="S128" t="str">
            <v>OPT</v>
          </cell>
          <cell r="T128" t="str">
            <v>L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</v>
          </cell>
          <cell r="AA128">
            <v>0</v>
          </cell>
          <cell r="AB128">
            <v>0</v>
          </cell>
          <cell r="AC128">
            <v>0</v>
          </cell>
          <cell r="AD128">
            <v>1</v>
          </cell>
          <cell r="AE128">
            <v>0</v>
          </cell>
          <cell r="AF128">
            <v>1</v>
          </cell>
          <cell r="AG128">
            <v>0</v>
          </cell>
        </row>
        <row r="129">
          <cell r="A129">
            <v>1</v>
          </cell>
          <cell r="B129">
            <v>1111</v>
          </cell>
          <cell r="C129" t="str">
            <v>NURHIDAYAT</v>
          </cell>
          <cell r="D129" t="str">
            <v>ADM-8</v>
          </cell>
          <cell r="E129">
            <v>37887</v>
          </cell>
          <cell r="F129" t="str">
            <v>-</v>
          </cell>
          <cell r="G129" t="str">
            <v>-</v>
          </cell>
          <cell r="H129" t="str">
            <v>LOG</v>
          </cell>
          <cell r="I129" t="str">
            <v>WHS</v>
          </cell>
          <cell r="J129" t="str">
            <v>ALL</v>
          </cell>
          <cell r="K129" t="str">
            <v>-</v>
          </cell>
          <cell r="L129" t="str">
            <v>WHS</v>
          </cell>
          <cell r="M129" t="str">
            <v>General Administrasi</v>
          </cell>
          <cell r="N129" t="str">
            <v>WHS</v>
          </cell>
          <cell r="O129" t="str">
            <v>NS</v>
          </cell>
          <cell r="P129" t="str">
            <v>FPS</v>
          </cell>
          <cell r="Q129" t="str">
            <v>PERMANENT</v>
          </cell>
          <cell r="R129" t="str">
            <v>PRM</v>
          </cell>
          <cell r="S129" t="str">
            <v>ADM</v>
          </cell>
          <cell r="T129" t="str">
            <v>L</v>
          </cell>
          <cell r="U129">
            <v>0</v>
          </cell>
          <cell r="V129">
            <v>0</v>
          </cell>
          <cell r="W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1</v>
          </cell>
          <cell r="AE129">
            <v>0</v>
          </cell>
          <cell r="AF129">
            <v>1</v>
          </cell>
          <cell r="AG129">
            <v>0</v>
          </cell>
        </row>
        <row r="130">
          <cell r="A130">
            <v>1</v>
          </cell>
          <cell r="B130">
            <v>1205</v>
          </cell>
          <cell r="C130" t="str">
            <v>AULIYA RAHMAN</v>
          </cell>
          <cell r="D130" t="str">
            <v>OPT-29</v>
          </cell>
          <cell r="E130">
            <v>37907</v>
          </cell>
          <cell r="F130" t="str">
            <v>-</v>
          </cell>
          <cell r="G130" t="str">
            <v>-</v>
          </cell>
          <cell r="H130" t="str">
            <v>LOG</v>
          </cell>
          <cell r="I130" t="str">
            <v>WHS</v>
          </cell>
          <cell r="J130" t="str">
            <v>ALL</v>
          </cell>
          <cell r="K130" t="str">
            <v>-</v>
          </cell>
          <cell r="L130" t="str">
            <v>WHS</v>
          </cell>
          <cell r="M130" t="str">
            <v>Storage + handling cutt/PA Holden</v>
          </cell>
          <cell r="N130" t="str">
            <v>WHS</v>
          </cell>
          <cell r="O130" t="str">
            <v>B</v>
          </cell>
          <cell r="P130" t="str">
            <v>FPS</v>
          </cell>
          <cell r="Q130" t="str">
            <v>PERMANENT</v>
          </cell>
          <cell r="R130" t="str">
            <v>PRM</v>
          </cell>
          <cell r="S130" t="str">
            <v>OPT</v>
          </cell>
          <cell r="T130" t="str">
            <v>L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0</v>
          </cell>
          <cell r="AB130">
            <v>0</v>
          </cell>
          <cell r="AC130">
            <v>0</v>
          </cell>
          <cell r="AD130">
            <v>1</v>
          </cell>
          <cell r="AE130">
            <v>0</v>
          </cell>
          <cell r="AF130">
            <v>1</v>
          </cell>
          <cell r="AG130">
            <v>0</v>
          </cell>
        </row>
        <row r="131">
          <cell r="A131">
            <v>1</v>
          </cell>
          <cell r="B131">
            <v>1252</v>
          </cell>
          <cell r="C131" t="str">
            <v>MULYANAH</v>
          </cell>
          <cell r="D131" t="str">
            <v>OPT-31</v>
          </cell>
          <cell r="E131">
            <v>37921</v>
          </cell>
          <cell r="F131" t="str">
            <v>-</v>
          </cell>
          <cell r="G131" t="str">
            <v>-</v>
          </cell>
          <cell r="H131" t="str">
            <v>LOG</v>
          </cell>
          <cell r="I131" t="str">
            <v>WHS</v>
          </cell>
          <cell r="J131" t="str">
            <v>ALL</v>
          </cell>
          <cell r="K131" t="str">
            <v>-</v>
          </cell>
          <cell r="L131" t="str">
            <v>WHS</v>
          </cell>
          <cell r="M131" t="str">
            <v>Storage FA VZ (CV 1, 9) M1-12</v>
          </cell>
          <cell r="N131" t="str">
            <v>WHS</v>
          </cell>
          <cell r="O131" t="str">
            <v>A</v>
          </cell>
          <cell r="P131" t="str">
            <v>FPS</v>
          </cell>
          <cell r="Q131" t="str">
            <v>PERMANENT</v>
          </cell>
          <cell r="R131" t="str">
            <v>PRM</v>
          </cell>
          <cell r="S131" t="str">
            <v>OPT</v>
          </cell>
          <cell r="T131" t="str">
            <v>P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</v>
          </cell>
          <cell r="AA131">
            <v>0</v>
          </cell>
          <cell r="AB131">
            <v>0</v>
          </cell>
          <cell r="AC131">
            <v>0</v>
          </cell>
          <cell r="AD131">
            <v>1</v>
          </cell>
          <cell r="AE131">
            <v>0</v>
          </cell>
          <cell r="AF131">
            <v>0</v>
          </cell>
          <cell r="AG131">
            <v>0</v>
          </cell>
        </row>
        <row r="132">
          <cell r="A132">
            <v>1</v>
          </cell>
          <cell r="B132">
            <v>1259</v>
          </cell>
          <cell r="C132" t="str">
            <v>SETIANI</v>
          </cell>
          <cell r="D132" t="str">
            <v>OPT-31</v>
          </cell>
          <cell r="E132">
            <v>37921</v>
          </cell>
          <cell r="F132" t="str">
            <v>-</v>
          </cell>
          <cell r="G132" t="str">
            <v>-</v>
          </cell>
          <cell r="H132" t="str">
            <v>LOG</v>
          </cell>
          <cell r="I132" t="str">
            <v>WHS</v>
          </cell>
          <cell r="J132" t="str">
            <v>ALL</v>
          </cell>
          <cell r="K132" t="str">
            <v>-</v>
          </cell>
          <cell r="L132" t="str">
            <v>WHS</v>
          </cell>
          <cell r="M132" t="str">
            <v>Storage FA VE M13-24</v>
          </cell>
          <cell r="N132" t="str">
            <v>WHS</v>
          </cell>
          <cell r="O132" t="str">
            <v>A</v>
          </cell>
          <cell r="P132" t="str">
            <v>FPS</v>
          </cell>
          <cell r="Q132" t="str">
            <v>PERMANENT</v>
          </cell>
          <cell r="R132" t="str">
            <v>PRM</v>
          </cell>
          <cell r="S132" t="str">
            <v>OPT</v>
          </cell>
          <cell r="T132" t="str">
            <v>P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1</v>
          </cell>
          <cell r="AA132">
            <v>0</v>
          </cell>
          <cell r="AB132">
            <v>0</v>
          </cell>
          <cell r="AC132">
            <v>0</v>
          </cell>
          <cell r="AD132">
            <v>1</v>
          </cell>
          <cell r="AE132">
            <v>0</v>
          </cell>
          <cell r="AF132">
            <v>0</v>
          </cell>
          <cell r="AG132">
            <v>0</v>
          </cell>
        </row>
        <row r="133">
          <cell r="A133">
            <v>1</v>
          </cell>
          <cell r="B133">
            <v>1267</v>
          </cell>
          <cell r="C133" t="str">
            <v>WINARNI</v>
          </cell>
          <cell r="D133" t="str">
            <v>OPT-31</v>
          </cell>
          <cell r="E133">
            <v>37921</v>
          </cell>
          <cell r="F133" t="str">
            <v>-</v>
          </cell>
          <cell r="G133" t="str">
            <v>-</v>
          </cell>
          <cell r="H133" t="str">
            <v>LOG</v>
          </cell>
          <cell r="I133" t="str">
            <v>WHS</v>
          </cell>
          <cell r="J133" t="str">
            <v>ALL</v>
          </cell>
          <cell r="K133" t="str">
            <v>-</v>
          </cell>
          <cell r="L133" t="str">
            <v>WHS</v>
          </cell>
          <cell r="M133" t="str">
            <v>Storage FA VE M1-12</v>
          </cell>
          <cell r="N133" t="str">
            <v>WHS</v>
          </cell>
          <cell r="O133" t="str">
            <v>A</v>
          </cell>
          <cell r="P133" t="str">
            <v>FPS</v>
          </cell>
          <cell r="Q133" t="str">
            <v>PERMANENT</v>
          </cell>
          <cell r="R133" t="str">
            <v>PRM</v>
          </cell>
          <cell r="S133" t="str">
            <v>OPT</v>
          </cell>
          <cell r="T133" t="str">
            <v>P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</v>
          </cell>
          <cell r="AA133">
            <v>0</v>
          </cell>
          <cell r="AB133">
            <v>0</v>
          </cell>
          <cell r="AC133">
            <v>0</v>
          </cell>
          <cell r="AD133">
            <v>1</v>
          </cell>
          <cell r="AE133">
            <v>0</v>
          </cell>
          <cell r="AF133">
            <v>0</v>
          </cell>
          <cell r="AG133">
            <v>0</v>
          </cell>
        </row>
        <row r="134">
          <cell r="A134">
            <v>1</v>
          </cell>
          <cell r="B134">
            <v>2404</v>
          </cell>
          <cell r="C134" t="str">
            <v>IWAN SETYO PRABOWO</v>
          </cell>
          <cell r="D134" t="str">
            <v>ES-16</v>
          </cell>
          <cell r="E134">
            <v>38189</v>
          </cell>
          <cell r="F134" t="str">
            <v>-</v>
          </cell>
          <cell r="G134" t="str">
            <v>-</v>
          </cell>
          <cell r="H134" t="str">
            <v>LOG</v>
          </cell>
          <cell r="I134" t="str">
            <v>WHS</v>
          </cell>
          <cell r="J134" t="str">
            <v>ALL</v>
          </cell>
          <cell r="K134" t="str">
            <v>-</v>
          </cell>
          <cell r="L134" t="str">
            <v>WHS</v>
          </cell>
          <cell r="M134" t="str">
            <v>LL Material Supply Whs-B</v>
          </cell>
          <cell r="N134" t="str">
            <v>WHS</v>
          </cell>
          <cell r="O134" t="str">
            <v>B</v>
          </cell>
          <cell r="P134" t="str">
            <v>FPS</v>
          </cell>
          <cell r="Q134" t="str">
            <v>PERMANENT</v>
          </cell>
          <cell r="R134" t="str">
            <v>PRM</v>
          </cell>
          <cell r="S134" t="str">
            <v>ES</v>
          </cell>
          <cell r="T134" t="str">
            <v>L</v>
          </cell>
          <cell r="U134">
            <v>0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1</v>
          </cell>
          <cell r="AE134">
            <v>0</v>
          </cell>
          <cell r="AF134">
            <v>1</v>
          </cell>
          <cell r="AG134">
            <v>0</v>
          </cell>
        </row>
        <row r="135">
          <cell r="A135">
            <v>1</v>
          </cell>
          <cell r="B135">
            <v>3738</v>
          </cell>
          <cell r="C135" t="str">
            <v>YENNI RAKHMAWATI</v>
          </cell>
          <cell r="D135" t="str">
            <v>ES-20</v>
          </cell>
          <cell r="E135">
            <v>38642</v>
          </cell>
          <cell r="F135" t="str">
            <v>-</v>
          </cell>
          <cell r="G135" t="str">
            <v>-</v>
          </cell>
          <cell r="H135" t="str">
            <v>LOG</v>
          </cell>
          <cell r="I135" t="str">
            <v>WHS</v>
          </cell>
          <cell r="J135" t="str">
            <v>ALL</v>
          </cell>
          <cell r="K135" t="str">
            <v>-</v>
          </cell>
          <cell r="L135" t="str">
            <v>WHS</v>
          </cell>
          <cell r="M135" t="str">
            <v>LL Material dan Storage</v>
          </cell>
          <cell r="N135" t="str">
            <v>WHS</v>
          </cell>
          <cell r="O135" t="str">
            <v>NS</v>
          </cell>
          <cell r="P135" t="str">
            <v>FPS</v>
          </cell>
          <cell r="Q135" t="str">
            <v>PERMANENT</v>
          </cell>
          <cell r="R135" t="str">
            <v>PRM</v>
          </cell>
          <cell r="S135" t="str">
            <v>ES</v>
          </cell>
          <cell r="T135" t="str">
            <v>P</v>
          </cell>
          <cell r="U135">
            <v>0</v>
          </cell>
          <cell r="V135">
            <v>1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1</v>
          </cell>
          <cell r="AE135">
            <v>0</v>
          </cell>
          <cell r="AF135">
            <v>0</v>
          </cell>
          <cell r="AG135">
            <v>0</v>
          </cell>
        </row>
        <row r="136">
          <cell r="A136">
            <v>1</v>
          </cell>
          <cell r="B136">
            <v>4021</v>
          </cell>
          <cell r="C136" t="str">
            <v>ANGGRAINI</v>
          </cell>
          <cell r="D136" t="str">
            <v>OPT-104</v>
          </cell>
          <cell r="E136">
            <v>38722</v>
          </cell>
          <cell r="F136">
            <v>39203</v>
          </cell>
          <cell r="G136">
            <v>39568</v>
          </cell>
          <cell r="H136" t="str">
            <v>LOG</v>
          </cell>
          <cell r="I136" t="str">
            <v>WHS</v>
          </cell>
          <cell r="J136" t="str">
            <v>ALL</v>
          </cell>
          <cell r="K136" t="str">
            <v>-</v>
          </cell>
          <cell r="L136" t="str">
            <v>WHS</v>
          </cell>
          <cell r="M136" t="str">
            <v>Checkman Multitier bawah</v>
          </cell>
          <cell r="N136" t="str">
            <v>WHS</v>
          </cell>
          <cell r="O136" t="str">
            <v>NS</v>
          </cell>
          <cell r="P136" t="str">
            <v>FPS</v>
          </cell>
          <cell r="Q136" t="str">
            <v>CONTRACT</v>
          </cell>
          <cell r="R136" t="str">
            <v>C2</v>
          </cell>
          <cell r="S136" t="str">
            <v>OPT</v>
          </cell>
          <cell r="T136" t="str">
            <v>P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1</v>
          </cell>
          <cell r="AA136">
            <v>0</v>
          </cell>
          <cell r="AB136">
            <v>0</v>
          </cell>
          <cell r="AC136">
            <v>0</v>
          </cell>
          <cell r="AD136">
            <v>1</v>
          </cell>
          <cell r="AE136">
            <v>0</v>
          </cell>
          <cell r="AF136">
            <v>0</v>
          </cell>
          <cell r="AG136">
            <v>0</v>
          </cell>
        </row>
        <row r="137">
          <cell r="A137">
            <v>1</v>
          </cell>
          <cell r="B137">
            <v>4224</v>
          </cell>
          <cell r="C137" t="str">
            <v>DEFI HASTUTI</v>
          </cell>
          <cell r="D137" t="str">
            <v>OPT-106</v>
          </cell>
          <cell r="E137">
            <v>38735</v>
          </cell>
          <cell r="F137">
            <v>39234</v>
          </cell>
          <cell r="G137">
            <v>39599</v>
          </cell>
          <cell r="H137" t="str">
            <v>LOG</v>
          </cell>
          <cell r="I137" t="str">
            <v>WHS</v>
          </cell>
          <cell r="J137" t="str">
            <v>ALL</v>
          </cell>
          <cell r="K137" t="str">
            <v>-</v>
          </cell>
          <cell r="L137" t="str">
            <v>WHS</v>
          </cell>
          <cell r="M137" t="str">
            <v>Storage FA Mazda, Nissan, Lambda M13-24</v>
          </cell>
          <cell r="N137" t="str">
            <v>WHS</v>
          </cell>
          <cell r="O137" t="str">
            <v>B</v>
          </cell>
          <cell r="P137" t="str">
            <v>FPS</v>
          </cell>
          <cell r="Q137" t="str">
            <v>CONTRACT</v>
          </cell>
          <cell r="R137" t="str">
            <v>C2</v>
          </cell>
          <cell r="S137" t="str">
            <v>OPT</v>
          </cell>
          <cell r="T137" t="str">
            <v>P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1</v>
          </cell>
          <cell r="AA137">
            <v>0</v>
          </cell>
          <cell r="AB137">
            <v>0</v>
          </cell>
          <cell r="AC137">
            <v>0</v>
          </cell>
          <cell r="AD137">
            <v>1</v>
          </cell>
          <cell r="AE137">
            <v>0</v>
          </cell>
          <cell r="AF137">
            <v>0</v>
          </cell>
          <cell r="AG137">
            <v>0</v>
          </cell>
        </row>
        <row r="138">
          <cell r="A138">
            <v>1</v>
          </cell>
          <cell r="B138">
            <v>4259</v>
          </cell>
          <cell r="C138" t="str">
            <v>NINA WIDANINGSIH</v>
          </cell>
          <cell r="D138" t="str">
            <v>OPT-106</v>
          </cell>
          <cell r="E138">
            <v>38735</v>
          </cell>
          <cell r="F138">
            <v>39234</v>
          </cell>
          <cell r="G138">
            <v>39599</v>
          </cell>
          <cell r="H138" t="str">
            <v>LOG</v>
          </cell>
          <cell r="I138" t="str">
            <v>WHS</v>
          </cell>
          <cell r="J138" t="str">
            <v>ALL</v>
          </cell>
          <cell r="K138" t="str">
            <v>-</v>
          </cell>
          <cell r="L138" t="str">
            <v>WHS</v>
          </cell>
          <cell r="M138" t="str">
            <v>Storage FA Mazda, Nissan, Lambda M1-12</v>
          </cell>
          <cell r="N138" t="str">
            <v>WHS</v>
          </cell>
          <cell r="O138" t="str">
            <v>A</v>
          </cell>
          <cell r="P138" t="str">
            <v>FPS</v>
          </cell>
          <cell r="Q138" t="str">
            <v>CONTRACT</v>
          </cell>
          <cell r="R138" t="str">
            <v>C2</v>
          </cell>
          <cell r="S138" t="str">
            <v>OPT</v>
          </cell>
          <cell r="T138" t="str">
            <v>P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>
            <v>0</v>
          </cell>
          <cell r="AB138">
            <v>0</v>
          </cell>
          <cell r="AC138">
            <v>0</v>
          </cell>
          <cell r="AD138">
            <v>1</v>
          </cell>
          <cell r="AE138">
            <v>0</v>
          </cell>
          <cell r="AF138">
            <v>0</v>
          </cell>
          <cell r="AG138">
            <v>0</v>
          </cell>
        </row>
        <row r="139">
          <cell r="A139">
            <v>1</v>
          </cell>
          <cell r="B139">
            <v>4488</v>
          </cell>
          <cell r="C139" t="str">
            <v>AGUS NUGROHO</v>
          </cell>
          <cell r="D139" t="str">
            <v>SPV</v>
          </cell>
          <cell r="E139">
            <v>38789</v>
          </cell>
          <cell r="F139" t="str">
            <v>-</v>
          </cell>
          <cell r="G139" t="str">
            <v>-</v>
          </cell>
          <cell r="H139" t="str">
            <v>LOG</v>
          </cell>
          <cell r="I139" t="str">
            <v>WHS</v>
          </cell>
          <cell r="J139" t="str">
            <v>ALL</v>
          </cell>
          <cell r="K139" t="str">
            <v>-</v>
          </cell>
          <cell r="L139" t="str">
            <v>WHS</v>
          </cell>
          <cell r="M139" t="str">
            <v>Supervisor</v>
          </cell>
          <cell r="N139" t="str">
            <v>FPS SPV</v>
          </cell>
          <cell r="O139" t="str">
            <v>NS</v>
          </cell>
          <cell r="P139" t="str">
            <v>FPS</v>
          </cell>
          <cell r="Q139" t="str">
            <v>PERMANENT</v>
          </cell>
          <cell r="R139" t="str">
            <v>PRM</v>
          </cell>
          <cell r="S139" t="str">
            <v>SPV</v>
          </cell>
          <cell r="T139" t="str">
            <v>L</v>
          </cell>
          <cell r="U139">
            <v>1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1</v>
          </cell>
          <cell r="AE139">
            <v>0</v>
          </cell>
          <cell r="AF139">
            <v>1</v>
          </cell>
          <cell r="AG139">
            <v>0</v>
          </cell>
        </row>
        <row r="140">
          <cell r="A140">
            <v>1</v>
          </cell>
          <cell r="B140">
            <v>4502</v>
          </cell>
          <cell r="C140" t="str">
            <v>PANJI A.</v>
          </cell>
          <cell r="D140" t="str">
            <v>OPT-111</v>
          </cell>
          <cell r="E140">
            <v>38789</v>
          </cell>
          <cell r="F140">
            <v>39264</v>
          </cell>
          <cell r="G140">
            <v>39629</v>
          </cell>
          <cell r="H140" t="str">
            <v>LOG</v>
          </cell>
          <cell r="I140" t="str">
            <v>WHS</v>
          </cell>
          <cell r="J140" t="str">
            <v>ALL</v>
          </cell>
          <cell r="K140" t="str">
            <v>-</v>
          </cell>
          <cell r="L140" t="str">
            <v>WHS</v>
          </cell>
          <cell r="M140" t="str">
            <v>Handling CV 9, Lambda</v>
          </cell>
          <cell r="N140" t="str">
            <v>WHS</v>
          </cell>
          <cell r="O140" t="str">
            <v>B</v>
          </cell>
          <cell r="P140" t="str">
            <v>FPS</v>
          </cell>
          <cell r="Q140" t="str">
            <v>CONTRACT</v>
          </cell>
          <cell r="R140" t="str">
            <v>C2</v>
          </cell>
          <cell r="S140" t="str">
            <v>OPT</v>
          </cell>
          <cell r="T140" t="str">
            <v>L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1</v>
          </cell>
          <cell r="AA140">
            <v>0</v>
          </cell>
          <cell r="AB140">
            <v>0</v>
          </cell>
          <cell r="AC140">
            <v>0</v>
          </cell>
          <cell r="AD140">
            <v>1</v>
          </cell>
          <cell r="AE140">
            <v>0</v>
          </cell>
          <cell r="AF140">
            <v>1</v>
          </cell>
          <cell r="AG140">
            <v>0</v>
          </cell>
        </row>
        <row r="141">
          <cell r="A141">
            <v>1</v>
          </cell>
          <cell r="B141">
            <v>4509</v>
          </cell>
          <cell r="C141" t="str">
            <v>MUCHAMAD NURFAIZIN</v>
          </cell>
          <cell r="D141" t="str">
            <v>OPT-111</v>
          </cell>
          <cell r="E141">
            <v>38789</v>
          </cell>
          <cell r="F141">
            <v>39264</v>
          </cell>
          <cell r="G141">
            <v>39629</v>
          </cell>
          <cell r="H141" t="str">
            <v>LOG</v>
          </cell>
          <cell r="I141" t="str">
            <v>WHS</v>
          </cell>
          <cell r="J141" t="str">
            <v>ALL</v>
          </cell>
          <cell r="K141" t="str">
            <v>-</v>
          </cell>
          <cell r="L141" t="str">
            <v>WHS</v>
          </cell>
          <cell r="M141" t="str">
            <v>Handling VE CV 5, 7, 8, 10</v>
          </cell>
          <cell r="N141" t="str">
            <v>WHS</v>
          </cell>
          <cell r="O141" t="str">
            <v>B</v>
          </cell>
          <cell r="P141" t="str">
            <v>FPS</v>
          </cell>
          <cell r="Q141" t="str">
            <v>CONTRACT</v>
          </cell>
          <cell r="R141" t="str">
            <v>C2</v>
          </cell>
          <cell r="S141" t="str">
            <v>OPT</v>
          </cell>
          <cell r="T141" t="str">
            <v>L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1</v>
          </cell>
          <cell r="AE141">
            <v>0</v>
          </cell>
          <cell r="AF141">
            <v>1</v>
          </cell>
          <cell r="AG141">
            <v>0</v>
          </cell>
        </row>
        <row r="142">
          <cell r="A142">
            <v>1</v>
          </cell>
          <cell r="B142">
            <v>4512</v>
          </cell>
          <cell r="C142" t="str">
            <v>TEGUH SETIAWAN</v>
          </cell>
          <cell r="D142" t="str">
            <v>OPT-111</v>
          </cell>
          <cell r="E142">
            <v>38789</v>
          </cell>
          <cell r="F142">
            <v>39264</v>
          </cell>
          <cell r="G142">
            <v>39629</v>
          </cell>
          <cell r="H142" t="str">
            <v>LOG</v>
          </cell>
          <cell r="I142" t="str">
            <v>WHS</v>
          </cell>
          <cell r="J142" t="str">
            <v>ALL</v>
          </cell>
          <cell r="K142" t="str">
            <v>-</v>
          </cell>
          <cell r="L142" t="str">
            <v>WHS</v>
          </cell>
          <cell r="M142" t="str">
            <v>Handling VE CV 2, 3, 4, 6</v>
          </cell>
          <cell r="N142" t="str">
            <v>WHS</v>
          </cell>
          <cell r="O142" t="str">
            <v>B</v>
          </cell>
          <cell r="P142" t="str">
            <v>FPS</v>
          </cell>
          <cell r="Q142" t="str">
            <v>CONTRACT</v>
          </cell>
          <cell r="R142" t="str">
            <v>C2</v>
          </cell>
          <cell r="S142" t="str">
            <v>OPT</v>
          </cell>
          <cell r="T142" t="str">
            <v>L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</v>
          </cell>
          <cell r="AA142">
            <v>0</v>
          </cell>
          <cell r="AB142">
            <v>0</v>
          </cell>
          <cell r="AC142">
            <v>0</v>
          </cell>
          <cell r="AD142">
            <v>1</v>
          </cell>
          <cell r="AE142">
            <v>0</v>
          </cell>
          <cell r="AF142">
            <v>1</v>
          </cell>
          <cell r="AG142">
            <v>0</v>
          </cell>
        </row>
        <row r="143">
          <cell r="A143">
            <v>1</v>
          </cell>
          <cell r="B143">
            <v>4513</v>
          </cell>
          <cell r="C143" t="str">
            <v>YULFAN TAUFIK</v>
          </cell>
          <cell r="D143" t="str">
            <v>OPT-111</v>
          </cell>
          <cell r="E143">
            <v>38789</v>
          </cell>
          <cell r="F143">
            <v>39264</v>
          </cell>
          <cell r="G143">
            <v>39629</v>
          </cell>
          <cell r="H143" t="str">
            <v>LOG</v>
          </cell>
          <cell r="I143" t="str">
            <v>WHS</v>
          </cell>
          <cell r="J143" t="str">
            <v>ALL</v>
          </cell>
          <cell r="K143" t="str">
            <v>-</v>
          </cell>
          <cell r="L143" t="str">
            <v>WHS</v>
          </cell>
          <cell r="M143" t="str">
            <v>Handling VE CV 5, 7, 8, 10</v>
          </cell>
          <cell r="N143" t="str">
            <v>WHS</v>
          </cell>
          <cell r="O143" t="str">
            <v>A</v>
          </cell>
          <cell r="P143" t="str">
            <v>FPS</v>
          </cell>
          <cell r="Q143" t="str">
            <v>CONTRACT</v>
          </cell>
          <cell r="R143" t="str">
            <v>C2</v>
          </cell>
          <cell r="S143" t="str">
            <v>OPT</v>
          </cell>
          <cell r="T143" t="str">
            <v>L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1</v>
          </cell>
          <cell r="AA143">
            <v>0</v>
          </cell>
          <cell r="AB143">
            <v>0</v>
          </cell>
          <cell r="AC143">
            <v>0</v>
          </cell>
          <cell r="AD143">
            <v>1</v>
          </cell>
          <cell r="AE143">
            <v>0</v>
          </cell>
          <cell r="AF143">
            <v>1</v>
          </cell>
          <cell r="AG143">
            <v>0</v>
          </cell>
        </row>
        <row r="144">
          <cell r="A144">
            <v>1</v>
          </cell>
          <cell r="B144">
            <v>4959</v>
          </cell>
          <cell r="C144" t="str">
            <v>WAHYU ARI PUTRANTO</v>
          </cell>
          <cell r="D144" t="str">
            <v>ES-25</v>
          </cell>
          <cell r="E144">
            <v>38936</v>
          </cell>
          <cell r="F144" t="str">
            <v>-</v>
          </cell>
          <cell r="G144" t="str">
            <v>-</v>
          </cell>
          <cell r="H144" t="str">
            <v>LOG</v>
          </cell>
          <cell r="I144" t="str">
            <v>WHS</v>
          </cell>
          <cell r="J144" t="str">
            <v>ALL</v>
          </cell>
          <cell r="K144" t="str">
            <v>-</v>
          </cell>
          <cell r="L144" t="str">
            <v>WHS</v>
          </cell>
          <cell r="M144" t="str">
            <v>LL Material Supply Whs-A</v>
          </cell>
          <cell r="N144" t="str">
            <v>WHS</v>
          </cell>
          <cell r="O144" t="str">
            <v>A</v>
          </cell>
          <cell r="P144" t="str">
            <v>FPS</v>
          </cell>
          <cell r="Q144" t="str">
            <v>PERMANENT</v>
          </cell>
          <cell r="R144" t="str">
            <v>PRM</v>
          </cell>
          <cell r="S144" t="str">
            <v>ES</v>
          </cell>
          <cell r="T144" t="str">
            <v>L</v>
          </cell>
          <cell r="U144">
            <v>0</v>
          </cell>
          <cell r="V144">
            <v>1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1</v>
          </cell>
          <cell r="AE144">
            <v>0</v>
          </cell>
          <cell r="AF144">
            <v>1</v>
          </cell>
          <cell r="AG144">
            <v>0</v>
          </cell>
        </row>
        <row r="145">
          <cell r="A145">
            <v>1</v>
          </cell>
          <cell r="B145">
            <v>5227</v>
          </cell>
          <cell r="C145" t="str">
            <v xml:space="preserve">DINA MARYANI                  </v>
          </cell>
          <cell r="D145" t="str">
            <v>OPT-125</v>
          </cell>
          <cell r="E145">
            <v>38961</v>
          </cell>
          <cell r="F145" t="str">
            <v>-</v>
          </cell>
          <cell r="G145" t="str">
            <v>-</v>
          </cell>
          <cell r="H145" t="str">
            <v>LOG</v>
          </cell>
          <cell r="I145" t="str">
            <v>WHS</v>
          </cell>
          <cell r="J145" t="str">
            <v>ALL</v>
          </cell>
          <cell r="K145" t="str">
            <v>-</v>
          </cell>
          <cell r="L145" t="str">
            <v>WHS</v>
          </cell>
          <cell r="M145" t="str">
            <v>Prepare material request unloading+GDS ke fix</v>
          </cell>
          <cell r="N145" t="str">
            <v>WHS</v>
          </cell>
          <cell r="O145" t="str">
            <v>B</v>
          </cell>
          <cell r="P145" t="str">
            <v>FPS</v>
          </cell>
          <cell r="Q145" t="str">
            <v>PERMANENT</v>
          </cell>
          <cell r="R145" t="str">
            <v>PRM</v>
          </cell>
          <cell r="S145" t="str">
            <v>OPT</v>
          </cell>
          <cell r="T145" t="str">
            <v>P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1</v>
          </cell>
          <cell r="AA145">
            <v>0</v>
          </cell>
          <cell r="AB145">
            <v>0</v>
          </cell>
          <cell r="AC145">
            <v>0</v>
          </cell>
          <cell r="AD145">
            <v>1</v>
          </cell>
          <cell r="AE145">
            <v>0</v>
          </cell>
          <cell r="AF145">
            <v>0</v>
          </cell>
          <cell r="AG145">
            <v>0</v>
          </cell>
        </row>
        <row r="146">
          <cell r="A146">
            <v>1</v>
          </cell>
          <cell r="B146">
            <v>5289</v>
          </cell>
          <cell r="C146" t="str">
            <v>ESTRI LARASATI</v>
          </cell>
          <cell r="D146" t="str">
            <v>OPT-126</v>
          </cell>
          <cell r="E146">
            <v>38964</v>
          </cell>
          <cell r="F146">
            <v>39142</v>
          </cell>
          <cell r="G146">
            <v>39506</v>
          </cell>
          <cell r="H146" t="str">
            <v>LOG</v>
          </cell>
          <cell r="I146" t="str">
            <v>WHS</v>
          </cell>
          <cell r="J146" t="str">
            <v>ALL</v>
          </cell>
          <cell r="K146" t="str">
            <v>-</v>
          </cell>
          <cell r="L146" t="str">
            <v>WHS</v>
          </cell>
          <cell r="M146" t="str">
            <v>Storage FA VZ (CV 1, 9) M1-12</v>
          </cell>
          <cell r="N146" t="str">
            <v>WHS</v>
          </cell>
          <cell r="O146" t="str">
            <v>B</v>
          </cell>
          <cell r="P146" t="str">
            <v>FPS</v>
          </cell>
          <cell r="Q146" t="str">
            <v>CONTRACT</v>
          </cell>
          <cell r="R146" t="str">
            <v>C1</v>
          </cell>
          <cell r="S146" t="str">
            <v>OPT</v>
          </cell>
          <cell r="T146" t="str">
            <v>P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1</v>
          </cell>
          <cell r="AA146">
            <v>0</v>
          </cell>
          <cell r="AB146">
            <v>0</v>
          </cell>
          <cell r="AC146">
            <v>0</v>
          </cell>
          <cell r="AD146">
            <v>1</v>
          </cell>
          <cell r="AE146">
            <v>0</v>
          </cell>
          <cell r="AF146">
            <v>0</v>
          </cell>
          <cell r="AG146">
            <v>0</v>
          </cell>
        </row>
        <row r="147">
          <cell r="A147">
            <v>1</v>
          </cell>
          <cell r="B147">
            <v>5329</v>
          </cell>
          <cell r="C147" t="str">
            <v>WIYANTI</v>
          </cell>
          <cell r="D147" t="str">
            <v>OPT-126</v>
          </cell>
          <cell r="E147">
            <v>38964</v>
          </cell>
          <cell r="F147">
            <v>39142</v>
          </cell>
          <cell r="G147">
            <v>39506</v>
          </cell>
          <cell r="H147" t="str">
            <v>LOG</v>
          </cell>
          <cell r="I147" t="str">
            <v>WHS</v>
          </cell>
          <cell r="J147" t="str">
            <v>ALL</v>
          </cell>
          <cell r="K147" t="str">
            <v>-</v>
          </cell>
          <cell r="L147" t="str">
            <v>WHS</v>
          </cell>
          <cell r="M147" t="str">
            <v>Storage FA Mazda, Nissan, Lambda M13-24</v>
          </cell>
          <cell r="N147" t="str">
            <v>WHS</v>
          </cell>
          <cell r="O147" t="str">
            <v>A</v>
          </cell>
          <cell r="P147" t="str">
            <v>FPS</v>
          </cell>
          <cell r="Q147" t="str">
            <v>CONTRACT</v>
          </cell>
          <cell r="R147" t="str">
            <v>C1</v>
          </cell>
          <cell r="S147" t="str">
            <v>OPT</v>
          </cell>
          <cell r="T147" t="str">
            <v>P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</v>
          </cell>
          <cell r="AA147">
            <v>0</v>
          </cell>
          <cell r="AB147">
            <v>0</v>
          </cell>
          <cell r="AC147">
            <v>0</v>
          </cell>
          <cell r="AD147">
            <v>1</v>
          </cell>
          <cell r="AE147">
            <v>0</v>
          </cell>
          <cell r="AF147">
            <v>0</v>
          </cell>
          <cell r="AG147">
            <v>0</v>
          </cell>
        </row>
        <row r="148">
          <cell r="A148">
            <v>1</v>
          </cell>
          <cell r="B148">
            <v>5414</v>
          </cell>
          <cell r="C148" t="str">
            <v>FILA SUSILOWATI</v>
          </cell>
          <cell r="D148" t="str">
            <v>OPT-128</v>
          </cell>
          <cell r="E148">
            <v>38991</v>
          </cell>
          <cell r="F148" t="str">
            <v>-</v>
          </cell>
          <cell r="G148" t="str">
            <v>-</v>
          </cell>
          <cell r="H148" t="str">
            <v>LOG</v>
          </cell>
          <cell r="I148" t="str">
            <v>WHS</v>
          </cell>
          <cell r="J148" t="str">
            <v>ALL</v>
          </cell>
          <cell r="K148" t="str">
            <v>-</v>
          </cell>
          <cell r="L148" t="str">
            <v>WHS</v>
          </cell>
          <cell r="M148" t="str">
            <v>Checkman rak 29-45</v>
          </cell>
          <cell r="N148" t="str">
            <v>WHS</v>
          </cell>
          <cell r="O148" t="str">
            <v>NS</v>
          </cell>
          <cell r="P148" t="str">
            <v>FPS</v>
          </cell>
          <cell r="Q148" t="str">
            <v>PERMANENT</v>
          </cell>
          <cell r="R148" t="str">
            <v>PRM</v>
          </cell>
          <cell r="S148" t="str">
            <v>OPT</v>
          </cell>
          <cell r="T148" t="str">
            <v>P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1</v>
          </cell>
          <cell r="AA148">
            <v>0</v>
          </cell>
          <cell r="AB148">
            <v>0</v>
          </cell>
          <cell r="AC148">
            <v>0</v>
          </cell>
          <cell r="AD148">
            <v>1</v>
          </cell>
          <cell r="AE148">
            <v>0</v>
          </cell>
          <cell r="AF148">
            <v>0</v>
          </cell>
          <cell r="AG148">
            <v>0</v>
          </cell>
        </row>
        <row r="149">
          <cell r="A149">
            <v>1</v>
          </cell>
          <cell r="B149">
            <v>5431</v>
          </cell>
          <cell r="C149" t="str">
            <v>MOCHAMAT SOBIRIN</v>
          </cell>
          <cell r="D149" t="str">
            <v>OPT-128</v>
          </cell>
          <cell r="E149">
            <v>38991</v>
          </cell>
          <cell r="F149" t="str">
            <v>-</v>
          </cell>
          <cell r="G149" t="str">
            <v>-</v>
          </cell>
          <cell r="H149" t="str">
            <v>LOG</v>
          </cell>
          <cell r="I149" t="str">
            <v>WHS</v>
          </cell>
          <cell r="J149" t="str">
            <v>ALL</v>
          </cell>
          <cell r="K149" t="str">
            <v>-</v>
          </cell>
          <cell r="L149" t="str">
            <v>WHS</v>
          </cell>
          <cell r="M149" t="str">
            <v>Prepare material Unloading ke free+fix wire (+box)</v>
          </cell>
          <cell r="N149" t="str">
            <v>WHS</v>
          </cell>
          <cell r="O149" t="str">
            <v>A</v>
          </cell>
          <cell r="P149" t="str">
            <v>FPS</v>
          </cell>
          <cell r="Q149" t="str">
            <v>PERMANENT</v>
          </cell>
          <cell r="R149" t="str">
            <v>PRM</v>
          </cell>
          <cell r="S149" t="str">
            <v>OPT</v>
          </cell>
          <cell r="T149" t="str">
            <v>L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</v>
          </cell>
          <cell r="AA149">
            <v>0</v>
          </cell>
          <cell r="AB149">
            <v>0</v>
          </cell>
          <cell r="AC149">
            <v>0</v>
          </cell>
          <cell r="AD149">
            <v>1</v>
          </cell>
          <cell r="AE149">
            <v>0</v>
          </cell>
          <cell r="AF149">
            <v>1</v>
          </cell>
          <cell r="AG149">
            <v>0</v>
          </cell>
        </row>
        <row r="150">
          <cell r="A150">
            <v>1</v>
          </cell>
          <cell r="B150">
            <v>5459</v>
          </cell>
          <cell r="C150" t="str">
            <v>SUPRIYANTO</v>
          </cell>
          <cell r="D150" t="str">
            <v>OPT-128</v>
          </cell>
          <cell r="E150">
            <v>38991</v>
          </cell>
          <cell r="F150" t="str">
            <v>-</v>
          </cell>
          <cell r="G150" t="str">
            <v>-</v>
          </cell>
          <cell r="H150" t="str">
            <v>LOG</v>
          </cell>
          <cell r="I150" t="str">
            <v>WHS</v>
          </cell>
          <cell r="J150" t="str">
            <v>ALL</v>
          </cell>
          <cell r="K150" t="str">
            <v>-</v>
          </cell>
          <cell r="L150" t="str">
            <v>WHS</v>
          </cell>
          <cell r="M150" t="str">
            <v>Storage + handling cutt/PA Holden</v>
          </cell>
          <cell r="N150" t="str">
            <v>WHS</v>
          </cell>
          <cell r="O150" t="str">
            <v>A</v>
          </cell>
          <cell r="P150" t="str">
            <v>FPS</v>
          </cell>
          <cell r="Q150" t="str">
            <v>PERMANENT</v>
          </cell>
          <cell r="R150" t="str">
            <v>PRM</v>
          </cell>
          <cell r="S150" t="str">
            <v>OPT</v>
          </cell>
          <cell r="T150" t="str">
            <v>L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</v>
          </cell>
          <cell r="AA150">
            <v>0</v>
          </cell>
          <cell r="AB150">
            <v>0</v>
          </cell>
          <cell r="AC150">
            <v>0</v>
          </cell>
          <cell r="AD150">
            <v>1</v>
          </cell>
          <cell r="AE150">
            <v>0</v>
          </cell>
          <cell r="AF150">
            <v>1</v>
          </cell>
          <cell r="AG150">
            <v>0</v>
          </cell>
        </row>
        <row r="151">
          <cell r="A151">
            <v>1</v>
          </cell>
          <cell r="B151">
            <v>5540</v>
          </cell>
          <cell r="C151" t="str">
            <v>ARIF MUSTOFA</v>
          </cell>
          <cell r="D151" t="str">
            <v>OPT-130</v>
          </cell>
          <cell r="E151">
            <v>39052</v>
          </cell>
          <cell r="F151">
            <v>39052</v>
          </cell>
          <cell r="G151">
            <v>39416</v>
          </cell>
          <cell r="H151" t="str">
            <v>LOG</v>
          </cell>
          <cell r="I151" t="str">
            <v>WHS</v>
          </cell>
          <cell r="J151" t="str">
            <v>ALL</v>
          </cell>
          <cell r="K151" t="str">
            <v>-</v>
          </cell>
          <cell r="L151" t="str">
            <v>WHS</v>
          </cell>
          <cell r="M151" t="str">
            <v>ADM AS-400</v>
          </cell>
          <cell r="N151" t="str">
            <v>WHS</v>
          </cell>
          <cell r="O151" t="str">
            <v>B</v>
          </cell>
          <cell r="P151" t="str">
            <v>FPS</v>
          </cell>
          <cell r="Q151" t="str">
            <v>CONTRACT</v>
          </cell>
          <cell r="R151" t="str">
            <v>C3</v>
          </cell>
          <cell r="S151" t="str">
            <v>OPT</v>
          </cell>
          <cell r="T151" t="str">
            <v>L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0</v>
          </cell>
          <cell r="AB151">
            <v>0</v>
          </cell>
          <cell r="AC151">
            <v>0</v>
          </cell>
          <cell r="AD151">
            <v>1</v>
          </cell>
          <cell r="AE151">
            <v>0</v>
          </cell>
          <cell r="AF151">
            <v>1</v>
          </cell>
          <cell r="AG151">
            <v>0</v>
          </cell>
        </row>
        <row r="152">
          <cell r="A152">
            <v>1</v>
          </cell>
          <cell r="B152">
            <v>5549</v>
          </cell>
          <cell r="C152" t="str">
            <v>SRI WINARNI</v>
          </cell>
          <cell r="D152" t="str">
            <v>OPT-130</v>
          </cell>
          <cell r="E152">
            <v>39052</v>
          </cell>
          <cell r="F152">
            <v>39052</v>
          </cell>
          <cell r="G152">
            <v>39416</v>
          </cell>
          <cell r="H152" t="str">
            <v>LOG</v>
          </cell>
          <cell r="I152" t="str">
            <v>WHS</v>
          </cell>
          <cell r="J152" t="str">
            <v>ALL</v>
          </cell>
          <cell r="K152" t="str">
            <v>-</v>
          </cell>
          <cell r="L152" t="str">
            <v>WHS</v>
          </cell>
          <cell r="M152" t="str">
            <v>OPT Barcode</v>
          </cell>
          <cell r="N152" t="str">
            <v>WHS</v>
          </cell>
          <cell r="O152" t="str">
            <v>B</v>
          </cell>
          <cell r="P152" t="str">
            <v>FPS</v>
          </cell>
          <cell r="Q152" t="str">
            <v>CONTRACT</v>
          </cell>
          <cell r="R152" t="str">
            <v>C3</v>
          </cell>
          <cell r="S152" t="str">
            <v>OPT</v>
          </cell>
          <cell r="T152" t="str">
            <v>P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1</v>
          </cell>
          <cell r="AE152">
            <v>0</v>
          </cell>
          <cell r="AF152">
            <v>0</v>
          </cell>
          <cell r="AG152">
            <v>0</v>
          </cell>
        </row>
        <row r="153">
          <cell r="A153">
            <v>1</v>
          </cell>
          <cell r="B153">
            <v>5707</v>
          </cell>
          <cell r="C153" t="str">
            <v>ISTI KAROMAH</v>
          </cell>
          <cell r="D153" t="str">
            <v>OPT-134</v>
          </cell>
          <cell r="E153">
            <v>39098</v>
          </cell>
          <cell r="F153">
            <v>39098</v>
          </cell>
          <cell r="G153">
            <v>39462</v>
          </cell>
          <cell r="H153" t="str">
            <v>LOG</v>
          </cell>
          <cell r="I153" t="str">
            <v>WHS</v>
          </cell>
          <cell r="J153" t="str">
            <v>ALL</v>
          </cell>
          <cell r="K153" t="str">
            <v>-</v>
          </cell>
          <cell r="L153" t="str">
            <v>WHS</v>
          </cell>
          <cell r="M153" t="str">
            <v>Pembantu ADM up date Shortage card</v>
          </cell>
          <cell r="N153" t="str">
            <v>WHS</v>
          </cell>
          <cell r="O153" t="str">
            <v>NS</v>
          </cell>
          <cell r="P153" t="str">
            <v>FPS</v>
          </cell>
          <cell r="Q153" t="str">
            <v>CONTRACT</v>
          </cell>
          <cell r="R153" t="str">
            <v>C3</v>
          </cell>
          <cell r="S153" t="str">
            <v>OPT</v>
          </cell>
          <cell r="T153" t="str">
            <v>P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1</v>
          </cell>
          <cell r="AA153">
            <v>0</v>
          </cell>
          <cell r="AB153">
            <v>0</v>
          </cell>
          <cell r="AC153">
            <v>0</v>
          </cell>
          <cell r="AD153">
            <v>1</v>
          </cell>
          <cell r="AE153">
            <v>0</v>
          </cell>
          <cell r="AF153">
            <v>0</v>
          </cell>
          <cell r="AG153">
            <v>0</v>
          </cell>
        </row>
        <row r="154">
          <cell r="A154">
            <v>1</v>
          </cell>
          <cell r="B154">
            <v>5712</v>
          </cell>
          <cell r="C154" t="str">
            <v>MARYAM SUSANTI</v>
          </cell>
          <cell r="D154" t="str">
            <v>OPT-134</v>
          </cell>
          <cell r="E154">
            <v>39098</v>
          </cell>
          <cell r="F154">
            <v>39098</v>
          </cell>
          <cell r="G154">
            <v>39462</v>
          </cell>
          <cell r="H154" t="str">
            <v>LOG</v>
          </cell>
          <cell r="I154" t="str">
            <v>WHS</v>
          </cell>
          <cell r="J154" t="str">
            <v>ALL</v>
          </cell>
          <cell r="K154" t="str">
            <v>-</v>
          </cell>
          <cell r="L154" t="str">
            <v>WHS</v>
          </cell>
          <cell r="M154" t="str">
            <v>Prepare material request unloading+GDS ke fix</v>
          </cell>
          <cell r="N154" t="str">
            <v>WHS</v>
          </cell>
          <cell r="O154" t="str">
            <v>A</v>
          </cell>
          <cell r="P154" t="str">
            <v>FPS</v>
          </cell>
          <cell r="Q154" t="str">
            <v>CONTRACT</v>
          </cell>
          <cell r="R154" t="str">
            <v>C3</v>
          </cell>
          <cell r="S154" t="str">
            <v>OPT</v>
          </cell>
          <cell r="T154" t="str">
            <v>P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1</v>
          </cell>
          <cell r="AA154">
            <v>0</v>
          </cell>
          <cell r="AB154">
            <v>0</v>
          </cell>
          <cell r="AC154">
            <v>0</v>
          </cell>
          <cell r="AD154">
            <v>1</v>
          </cell>
          <cell r="AE154">
            <v>0</v>
          </cell>
          <cell r="AF154">
            <v>0</v>
          </cell>
          <cell r="AG154">
            <v>0</v>
          </cell>
        </row>
        <row r="155">
          <cell r="A155">
            <v>1</v>
          </cell>
          <cell r="B155">
            <v>5743</v>
          </cell>
          <cell r="C155" t="str">
            <v>SUTIYONO</v>
          </cell>
          <cell r="D155" t="str">
            <v>OPT-134</v>
          </cell>
          <cell r="E155">
            <v>39098</v>
          </cell>
          <cell r="F155">
            <v>39098</v>
          </cell>
          <cell r="G155">
            <v>39462</v>
          </cell>
          <cell r="H155" t="str">
            <v>LOG</v>
          </cell>
          <cell r="I155" t="str">
            <v>WHS</v>
          </cell>
          <cell r="J155" t="str">
            <v>ALL</v>
          </cell>
          <cell r="K155" t="str">
            <v>-</v>
          </cell>
          <cell r="L155" t="str">
            <v>WHS</v>
          </cell>
          <cell r="M155" t="str">
            <v>Storage + handling cutt/PA Holden</v>
          </cell>
          <cell r="N155" t="str">
            <v>WHS</v>
          </cell>
          <cell r="O155" t="str">
            <v>A</v>
          </cell>
          <cell r="P155" t="str">
            <v>FPS</v>
          </cell>
          <cell r="Q155" t="str">
            <v>CONTRACT</v>
          </cell>
          <cell r="R155" t="str">
            <v>C3</v>
          </cell>
          <cell r="S155" t="str">
            <v>OPT</v>
          </cell>
          <cell r="T155" t="str">
            <v>L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1</v>
          </cell>
          <cell r="AA155">
            <v>0</v>
          </cell>
          <cell r="AB155">
            <v>0</v>
          </cell>
          <cell r="AC155">
            <v>0</v>
          </cell>
          <cell r="AD155">
            <v>1</v>
          </cell>
          <cell r="AE155">
            <v>0</v>
          </cell>
          <cell r="AF155">
            <v>1</v>
          </cell>
          <cell r="AG155">
            <v>0</v>
          </cell>
        </row>
        <row r="156">
          <cell r="A156">
            <v>1</v>
          </cell>
          <cell r="B156">
            <v>5753</v>
          </cell>
          <cell r="C156" t="str">
            <v>ABDUL ROSIT</v>
          </cell>
          <cell r="D156" t="str">
            <v>OPT-135</v>
          </cell>
          <cell r="E156">
            <v>39114</v>
          </cell>
          <cell r="F156">
            <v>39114</v>
          </cell>
          <cell r="G156">
            <v>39478</v>
          </cell>
          <cell r="H156" t="str">
            <v>LOG</v>
          </cell>
          <cell r="I156" t="str">
            <v>WHS</v>
          </cell>
          <cell r="J156" t="str">
            <v>ALL</v>
          </cell>
          <cell r="K156" t="str">
            <v>-</v>
          </cell>
          <cell r="L156" t="str">
            <v>WHS</v>
          </cell>
          <cell r="M156" t="str">
            <v>Handling CV 1, Lambda</v>
          </cell>
          <cell r="N156" t="str">
            <v>WHS</v>
          </cell>
          <cell r="O156" t="str">
            <v>A</v>
          </cell>
          <cell r="P156" t="str">
            <v>FPS</v>
          </cell>
          <cell r="Q156" t="str">
            <v>CONTRACT</v>
          </cell>
          <cell r="R156" t="str">
            <v>C3</v>
          </cell>
          <cell r="S156" t="str">
            <v>OPT</v>
          </cell>
          <cell r="T156" t="str">
            <v>L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1</v>
          </cell>
          <cell r="AA156">
            <v>0</v>
          </cell>
          <cell r="AB156">
            <v>0</v>
          </cell>
          <cell r="AC156">
            <v>0</v>
          </cell>
          <cell r="AD156">
            <v>1</v>
          </cell>
          <cell r="AE156">
            <v>0</v>
          </cell>
          <cell r="AF156">
            <v>1</v>
          </cell>
          <cell r="AG156">
            <v>0</v>
          </cell>
        </row>
        <row r="157">
          <cell r="A157">
            <v>1</v>
          </cell>
          <cell r="B157">
            <v>5778</v>
          </cell>
          <cell r="C157" t="str">
            <v>JUMANTO</v>
          </cell>
          <cell r="D157" t="str">
            <v>OPT-135</v>
          </cell>
          <cell r="E157">
            <v>39114</v>
          </cell>
          <cell r="F157">
            <v>39114</v>
          </cell>
          <cell r="G157">
            <v>39478</v>
          </cell>
          <cell r="H157" t="str">
            <v>LOG</v>
          </cell>
          <cell r="I157" t="str">
            <v>WHS</v>
          </cell>
          <cell r="J157" t="str">
            <v>ALL</v>
          </cell>
          <cell r="K157" t="str">
            <v>-</v>
          </cell>
          <cell r="L157" t="str">
            <v>WHS</v>
          </cell>
          <cell r="M157" t="str">
            <v>Handling VE CV 2, 3, 4, 6</v>
          </cell>
          <cell r="N157" t="str">
            <v>WHS</v>
          </cell>
          <cell r="O157" t="str">
            <v>A</v>
          </cell>
          <cell r="P157" t="str">
            <v>FPS</v>
          </cell>
          <cell r="Q157" t="str">
            <v>CONTRACT</v>
          </cell>
          <cell r="R157" t="str">
            <v>C3</v>
          </cell>
          <cell r="S157" t="str">
            <v>OPT</v>
          </cell>
          <cell r="T157" t="str">
            <v>L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>
            <v>0</v>
          </cell>
          <cell r="AB157">
            <v>0</v>
          </cell>
          <cell r="AC157">
            <v>0</v>
          </cell>
          <cell r="AD157">
            <v>1</v>
          </cell>
          <cell r="AE157">
            <v>0</v>
          </cell>
          <cell r="AF157">
            <v>1</v>
          </cell>
          <cell r="AG157">
            <v>0</v>
          </cell>
        </row>
        <row r="158">
          <cell r="A158">
            <v>1</v>
          </cell>
          <cell r="B158">
            <v>5781</v>
          </cell>
          <cell r="C158" t="str">
            <v>LISAWATI</v>
          </cell>
          <cell r="D158" t="str">
            <v>OPT-135</v>
          </cell>
          <cell r="E158">
            <v>39114</v>
          </cell>
          <cell r="F158">
            <v>39114</v>
          </cell>
          <cell r="G158">
            <v>39478</v>
          </cell>
          <cell r="H158" t="str">
            <v>LOG</v>
          </cell>
          <cell r="I158" t="str">
            <v>WHS</v>
          </cell>
          <cell r="J158" t="str">
            <v>ALL</v>
          </cell>
          <cell r="K158" t="str">
            <v>-</v>
          </cell>
          <cell r="L158" t="str">
            <v>WHS</v>
          </cell>
          <cell r="M158" t="str">
            <v>Storage FA VE M1-12</v>
          </cell>
          <cell r="N158" t="str">
            <v>WHS</v>
          </cell>
          <cell r="O158" t="str">
            <v>B</v>
          </cell>
          <cell r="P158" t="str">
            <v>FPS</v>
          </cell>
          <cell r="Q158" t="str">
            <v>CONTRACT</v>
          </cell>
          <cell r="R158" t="str">
            <v>C3</v>
          </cell>
          <cell r="S158" t="str">
            <v>OPT</v>
          </cell>
          <cell r="T158" t="str">
            <v>P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1</v>
          </cell>
          <cell r="AA158">
            <v>0</v>
          </cell>
          <cell r="AB158">
            <v>0</v>
          </cell>
          <cell r="AC158">
            <v>0</v>
          </cell>
          <cell r="AD158">
            <v>1</v>
          </cell>
          <cell r="AE158">
            <v>0</v>
          </cell>
          <cell r="AF158">
            <v>0</v>
          </cell>
          <cell r="AG158">
            <v>0</v>
          </cell>
        </row>
        <row r="159">
          <cell r="A159">
            <v>1</v>
          </cell>
          <cell r="B159">
            <v>5827</v>
          </cell>
          <cell r="C159" t="str">
            <v>SUSILO WIJAYANTO</v>
          </cell>
          <cell r="D159" t="str">
            <v>OPT-135</v>
          </cell>
          <cell r="E159">
            <v>39114</v>
          </cell>
          <cell r="F159">
            <v>39114</v>
          </cell>
          <cell r="G159">
            <v>39478</v>
          </cell>
          <cell r="H159" t="str">
            <v>LOG</v>
          </cell>
          <cell r="I159" t="str">
            <v>WHS</v>
          </cell>
          <cell r="J159" t="str">
            <v>ALL</v>
          </cell>
          <cell r="K159" t="str">
            <v>-</v>
          </cell>
          <cell r="L159" t="str">
            <v>WHS</v>
          </cell>
          <cell r="M159" t="str">
            <v>Handling CV Mazda, Nissan</v>
          </cell>
          <cell r="N159" t="str">
            <v>WHS</v>
          </cell>
          <cell r="O159" t="str">
            <v>B</v>
          </cell>
          <cell r="P159" t="str">
            <v>FPS</v>
          </cell>
          <cell r="Q159" t="str">
            <v>CONTRACT</v>
          </cell>
          <cell r="R159" t="str">
            <v>C3</v>
          </cell>
          <cell r="S159" t="str">
            <v>OPT</v>
          </cell>
          <cell r="T159" t="str">
            <v>L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1</v>
          </cell>
          <cell r="AA159">
            <v>0</v>
          </cell>
          <cell r="AB159">
            <v>0</v>
          </cell>
          <cell r="AC159">
            <v>0</v>
          </cell>
          <cell r="AD159">
            <v>1</v>
          </cell>
          <cell r="AE159">
            <v>0</v>
          </cell>
          <cell r="AF159">
            <v>1</v>
          </cell>
          <cell r="AG159">
            <v>0</v>
          </cell>
        </row>
        <row r="160">
          <cell r="A160">
            <v>1</v>
          </cell>
          <cell r="B160">
            <v>5849</v>
          </cell>
          <cell r="C160" t="str">
            <v>DWI PUJIYATI</v>
          </cell>
          <cell r="D160" t="str">
            <v>OPT-136</v>
          </cell>
          <cell r="E160">
            <v>39118</v>
          </cell>
          <cell r="F160">
            <v>39234</v>
          </cell>
          <cell r="G160">
            <v>39599</v>
          </cell>
          <cell r="H160" t="str">
            <v>LOG</v>
          </cell>
          <cell r="I160" t="str">
            <v>WHS</v>
          </cell>
          <cell r="J160" t="str">
            <v>ALL</v>
          </cell>
          <cell r="K160" t="str">
            <v>-</v>
          </cell>
          <cell r="L160" t="str">
            <v>WHS</v>
          </cell>
          <cell r="M160" t="str">
            <v>Storagge Final Assy Lambda</v>
          </cell>
          <cell r="N160" t="str">
            <v>WHS</v>
          </cell>
          <cell r="O160" t="str">
            <v>B</v>
          </cell>
          <cell r="P160" t="str">
            <v>FPS</v>
          </cell>
          <cell r="Q160" t="str">
            <v>CONTRACT</v>
          </cell>
          <cell r="R160" t="str">
            <v>C1</v>
          </cell>
          <cell r="S160" t="str">
            <v>OPT</v>
          </cell>
          <cell r="T160" t="str">
            <v>P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</v>
          </cell>
          <cell r="AA160">
            <v>0</v>
          </cell>
          <cell r="AB160">
            <v>0</v>
          </cell>
          <cell r="AC160">
            <v>0</v>
          </cell>
          <cell r="AD160">
            <v>1</v>
          </cell>
          <cell r="AE160">
            <v>0</v>
          </cell>
          <cell r="AF160">
            <v>0</v>
          </cell>
          <cell r="AG160">
            <v>0</v>
          </cell>
        </row>
        <row r="161">
          <cell r="A161">
            <v>1</v>
          </cell>
          <cell r="B161">
            <v>5850</v>
          </cell>
          <cell r="C161" t="str">
            <v>EKA FITRIANI</v>
          </cell>
          <cell r="D161" t="str">
            <v>OPT-136</v>
          </cell>
          <cell r="E161">
            <v>39118</v>
          </cell>
          <cell r="F161">
            <v>39234</v>
          </cell>
          <cell r="G161">
            <v>39599</v>
          </cell>
          <cell r="H161" t="str">
            <v>LOG</v>
          </cell>
          <cell r="I161" t="str">
            <v>WHS</v>
          </cell>
          <cell r="J161" t="str">
            <v>ALL</v>
          </cell>
          <cell r="K161" t="str">
            <v>-</v>
          </cell>
          <cell r="L161" t="str">
            <v>WHS</v>
          </cell>
          <cell r="M161" t="str">
            <v>Checkman Rak selective</v>
          </cell>
          <cell r="N161" t="str">
            <v>WHS</v>
          </cell>
          <cell r="O161" t="str">
            <v>NS</v>
          </cell>
          <cell r="P161" t="str">
            <v>FPS</v>
          </cell>
          <cell r="Q161" t="str">
            <v>CONTRACT</v>
          </cell>
          <cell r="R161" t="str">
            <v>C1</v>
          </cell>
          <cell r="S161" t="str">
            <v>OPT</v>
          </cell>
          <cell r="T161" t="str">
            <v>P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</v>
          </cell>
          <cell r="AA161">
            <v>0</v>
          </cell>
          <cell r="AB161">
            <v>0</v>
          </cell>
          <cell r="AC161">
            <v>0</v>
          </cell>
          <cell r="AD161">
            <v>1</v>
          </cell>
          <cell r="AE161">
            <v>0</v>
          </cell>
          <cell r="AF161">
            <v>0</v>
          </cell>
          <cell r="AG161">
            <v>0</v>
          </cell>
        </row>
        <row r="162">
          <cell r="A162">
            <v>1</v>
          </cell>
          <cell r="B162">
            <v>5853</v>
          </cell>
          <cell r="C162" t="str">
            <v>FIDA ROYANI</v>
          </cell>
          <cell r="D162" t="str">
            <v>OPT-136</v>
          </cell>
          <cell r="E162">
            <v>39118</v>
          </cell>
          <cell r="F162">
            <v>39234</v>
          </cell>
          <cell r="G162">
            <v>39599</v>
          </cell>
          <cell r="H162" t="str">
            <v>LOG</v>
          </cell>
          <cell r="I162" t="str">
            <v>WHS</v>
          </cell>
          <cell r="J162" t="str">
            <v>ALL</v>
          </cell>
          <cell r="K162" t="str">
            <v>-</v>
          </cell>
          <cell r="L162" t="str">
            <v>WHS</v>
          </cell>
          <cell r="M162" t="str">
            <v>In spare card,distribusi invoice</v>
          </cell>
          <cell r="N162" t="str">
            <v>WHS</v>
          </cell>
          <cell r="O162" t="str">
            <v>NS</v>
          </cell>
          <cell r="P162" t="str">
            <v>FPS</v>
          </cell>
          <cell r="Q162" t="str">
            <v>CONTRACT</v>
          </cell>
          <cell r="R162" t="str">
            <v>C1</v>
          </cell>
          <cell r="S162" t="str">
            <v>OPT</v>
          </cell>
          <cell r="T162" t="str">
            <v>P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</v>
          </cell>
          <cell r="AA162">
            <v>0</v>
          </cell>
          <cell r="AB162">
            <v>0</v>
          </cell>
          <cell r="AC162">
            <v>0</v>
          </cell>
          <cell r="AD162">
            <v>1</v>
          </cell>
          <cell r="AE162">
            <v>0</v>
          </cell>
          <cell r="AF162">
            <v>0</v>
          </cell>
          <cell r="AG162">
            <v>0</v>
          </cell>
        </row>
        <row r="163">
          <cell r="A163">
            <v>1</v>
          </cell>
          <cell r="B163">
            <v>5869</v>
          </cell>
          <cell r="C163" t="str">
            <v>SARI NOVIANTI</v>
          </cell>
          <cell r="D163" t="str">
            <v>OPT-136</v>
          </cell>
          <cell r="E163">
            <v>39118</v>
          </cell>
          <cell r="F163">
            <v>39234</v>
          </cell>
          <cell r="G163">
            <v>39599</v>
          </cell>
          <cell r="H163" t="str">
            <v>LOG</v>
          </cell>
          <cell r="I163" t="str">
            <v>WHS</v>
          </cell>
          <cell r="J163" t="str">
            <v>ALL</v>
          </cell>
          <cell r="K163" t="str">
            <v>-</v>
          </cell>
          <cell r="L163" t="str">
            <v>WHS</v>
          </cell>
          <cell r="M163" t="str">
            <v>Barcode</v>
          </cell>
          <cell r="N163" t="str">
            <v>WHS</v>
          </cell>
          <cell r="O163" t="str">
            <v>A</v>
          </cell>
          <cell r="P163" t="str">
            <v>FPS</v>
          </cell>
          <cell r="Q163" t="str">
            <v>CONTRACT</v>
          </cell>
          <cell r="R163" t="str">
            <v>C1</v>
          </cell>
          <cell r="S163" t="str">
            <v>OPT</v>
          </cell>
          <cell r="T163" t="str">
            <v>P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1</v>
          </cell>
          <cell r="AA163">
            <v>0</v>
          </cell>
          <cell r="AB163">
            <v>0</v>
          </cell>
          <cell r="AC163">
            <v>0</v>
          </cell>
          <cell r="AD163">
            <v>1</v>
          </cell>
          <cell r="AE163">
            <v>0</v>
          </cell>
          <cell r="AF163">
            <v>0</v>
          </cell>
          <cell r="AG163">
            <v>0</v>
          </cell>
        </row>
        <row r="164">
          <cell r="A164">
            <v>1</v>
          </cell>
          <cell r="B164">
            <v>5870</v>
          </cell>
          <cell r="C164" t="str">
            <v>SETIOWATI</v>
          </cell>
          <cell r="D164" t="str">
            <v>OPT-136</v>
          </cell>
          <cell r="E164">
            <v>39118</v>
          </cell>
          <cell r="F164">
            <v>39234</v>
          </cell>
          <cell r="G164">
            <v>39599</v>
          </cell>
          <cell r="H164" t="str">
            <v>LOG</v>
          </cell>
          <cell r="I164" t="str">
            <v>WHS</v>
          </cell>
          <cell r="J164" t="str">
            <v>ALL</v>
          </cell>
          <cell r="K164" t="str">
            <v>-</v>
          </cell>
          <cell r="L164" t="str">
            <v>WHS</v>
          </cell>
          <cell r="M164" t="str">
            <v>Prepare material request unloading+GDS ke fix</v>
          </cell>
          <cell r="N164" t="str">
            <v>WHS</v>
          </cell>
          <cell r="O164" t="str">
            <v>NS</v>
          </cell>
          <cell r="P164" t="str">
            <v>FPS</v>
          </cell>
          <cell r="Q164" t="str">
            <v>CONTRACT</v>
          </cell>
          <cell r="R164" t="str">
            <v>C1</v>
          </cell>
          <cell r="S164" t="str">
            <v>OPT</v>
          </cell>
          <cell r="T164" t="str">
            <v>P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</v>
          </cell>
          <cell r="AA164">
            <v>0</v>
          </cell>
          <cell r="AB164">
            <v>0</v>
          </cell>
          <cell r="AC164">
            <v>0</v>
          </cell>
          <cell r="AD164">
            <v>1</v>
          </cell>
          <cell r="AE164">
            <v>0</v>
          </cell>
          <cell r="AF164">
            <v>0</v>
          </cell>
          <cell r="AG164">
            <v>0</v>
          </cell>
        </row>
        <row r="165">
          <cell r="A165">
            <v>1</v>
          </cell>
          <cell r="B165">
            <v>5899</v>
          </cell>
          <cell r="C165" t="str">
            <v>FAUZUN NADHIRIN</v>
          </cell>
          <cell r="D165" t="str">
            <v>OPT-137</v>
          </cell>
          <cell r="E165">
            <v>39129</v>
          </cell>
          <cell r="F165">
            <v>39129</v>
          </cell>
          <cell r="G165">
            <v>39493</v>
          </cell>
          <cell r="H165" t="str">
            <v>LOG</v>
          </cell>
          <cell r="I165" t="str">
            <v>WHS</v>
          </cell>
          <cell r="J165" t="str">
            <v>ALL</v>
          </cell>
          <cell r="K165" t="str">
            <v>-</v>
          </cell>
          <cell r="L165" t="str">
            <v>WHS</v>
          </cell>
          <cell r="M165" t="str">
            <v>Storage + handling cutt/PA Nissan, lambda</v>
          </cell>
          <cell r="N165" t="str">
            <v>WHS</v>
          </cell>
          <cell r="O165" t="str">
            <v>B</v>
          </cell>
          <cell r="P165" t="str">
            <v>FPS</v>
          </cell>
          <cell r="Q165" t="str">
            <v>CONTRACT</v>
          </cell>
          <cell r="R165" t="str">
            <v>C3</v>
          </cell>
          <cell r="S165" t="str">
            <v>OPT</v>
          </cell>
          <cell r="T165" t="str">
            <v>L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1</v>
          </cell>
          <cell r="AA165">
            <v>0</v>
          </cell>
          <cell r="AB165">
            <v>0</v>
          </cell>
          <cell r="AC165">
            <v>0</v>
          </cell>
          <cell r="AD165">
            <v>1</v>
          </cell>
          <cell r="AE165">
            <v>0</v>
          </cell>
          <cell r="AF165">
            <v>1</v>
          </cell>
          <cell r="AG165">
            <v>0</v>
          </cell>
        </row>
        <row r="166">
          <cell r="A166">
            <v>1</v>
          </cell>
          <cell r="B166">
            <v>5905</v>
          </cell>
          <cell r="C166" t="str">
            <v>HERU SETIAWAN</v>
          </cell>
          <cell r="D166" t="str">
            <v>OPT-137</v>
          </cell>
          <cell r="E166">
            <v>39129</v>
          </cell>
          <cell r="F166">
            <v>39129</v>
          </cell>
          <cell r="G166">
            <v>39493</v>
          </cell>
          <cell r="H166" t="str">
            <v>LOG</v>
          </cell>
          <cell r="I166" t="str">
            <v>WHS</v>
          </cell>
          <cell r="J166" t="str">
            <v>ALL</v>
          </cell>
          <cell r="K166" t="str">
            <v>-</v>
          </cell>
          <cell r="L166" t="str">
            <v>WHS</v>
          </cell>
          <cell r="M166" t="str">
            <v>Handling CV 9, Lambda</v>
          </cell>
          <cell r="N166" t="str">
            <v>WHS</v>
          </cell>
          <cell r="O166" t="str">
            <v>A</v>
          </cell>
          <cell r="P166" t="str">
            <v>FPS</v>
          </cell>
          <cell r="Q166" t="str">
            <v>CONTRACT</v>
          </cell>
          <cell r="R166" t="str">
            <v>C3</v>
          </cell>
          <cell r="S166" t="str">
            <v>OPT</v>
          </cell>
          <cell r="T166" t="str">
            <v>L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</v>
          </cell>
          <cell r="AA166">
            <v>0</v>
          </cell>
          <cell r="AB166">
            <v>0</v>
          </cell>
          <cell r="AC166">
            <v>0</v>
          </cell>
          <cell r="AD166">
            <v>1</v>
          </cell>
          <cell r="AE166">
            <v>0</v>
          </cell>
          <cell r="AF166">
            <v>1</v>
          </cell>
          <cell r="AG166">
            <v>0</v>
          </cell>
        </row>
        <row r="167">
          <cell r="A167">
            <v>1</v>
          </cell>
          <cell r="B167">
            <v>5919</v>
          </cell>
          <cell r="C167" t="str">
            <v>MARYANTI</v>
          </cell>
          <cell r="D167" t="str">
            <v>OPT-137</v>
          </cell>
          <cell r="E167">
            <v>39129</v>
          </cell>
          <cell r="F167">
            <v>39129</v>
          </cell>
          <cell r="G167">
            <v>39493</v>
          </cell>
          <cell r="H167" t="str">
            <v>LOG</v>
          </cell>
          <cell r="I167" t="str">
            <v>WHS</v>
          </cell>
          <cell r="J167" t="str">
            <v>ALL</v>
          </cell>
          <cell r="K167" t="str">
            <v>-</v>
          </cell>
          <cell r="L167" t="str">
            <v>WHS</v>
          </cell>
          <cell r="M167" t="str">
            <v>CONTRACT</v>
          </cell>
          <cell r="N167" t="str">
            <v>WHS</v>
          </cell>
          <cell r="O167" t="str">
            <v>A</v>
          </cell>
          <cell r="P167" t="str">
            <v>FPS</v>
          </cell>
          <cell r="Q167" t="str">
            <v>CONTRACT</v>
          </cell>
          <cell r="R167" t="str">
            <v>C3</v>
          </cell>
          <cell r="S167" t="str">
            <v>OPT</v>
          </cell>
          <cell r="T167" t="str">
            <v>P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1</v>
          </cell>
          <cell r="AA167">
            <v>0</v>
          </cell>
          <cell r="AB167">
            <v>0</v>
          </cell>
          <cell r="AC167">
            <v>0</v>
          </cell>
          <cell r="AD167">
            <v>1</v>
          </cell>
          <cell r="AE167">
            <v>0</v>
          </cell>
          <cell r="AF167">
            <v>0</v>
          </cell>
          <cell r="AG167">
            <v>0</v>
          </cell>
        </row>
        <row r="168">
          <cell r="A168">
            <v>1</v>
          </cell>
          <cell r="B168">
            <v>5923</v>
          </cell>
          <cell r="C168" t="str">
            <v>NUGRAHA</v>
          </cell>
          <cell r="D168" t="str">
            <v>OPT-137</v>
          </cell>
          <cell r="E168">
            <v>39129</v>
          </cell>
          <cell r="F168">
            <v>39129</v>
          </cell>
          <cell r="G168">
            <v>39493</v>
          </cell>
          <cell r="H168" t="str">
            <v>LOG</v>
          </cell>
          <cell r="I168" t="str">
            <v>WHS</v>
          </cell>
          <cell r="J168" t="str">
            <v>ALL</v>
          </cell>
          <cell r="K168" t="str">
            <v>-</v>
          </cell>
          <cell r="L168" t="str">
            <v>WHS</v>
          </cell>
          <cell r="M168" t="str">
            <v>Storage + handling cutt/PA Nissan, lambda</v>
          </cell>
          <cell r="N168" t="str">
            <v>WHS</v>
          </cell>
          <cell r="O168" t="str">
            <v>A</v>
          </cell>
          <cell r="P168" t="str">
            <v>FPS</v>
          </cell>
          <cell r="Q168" t="str">
            <v>CONTRACT</v>
          </cell>
          <cell r="R168" t="str">
            <v>C3</v>
          </cell>
          <cell r="S168" t="str">
            <v>OPT</v>
          </cell>
          <cell r="T168" t="str">
            <v>L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1</v>
          </cell>
          <cell r="AA168">
            <v>0</v>
          </cell>
          <cell r="AB168">
            <v>0</v>
          </cell>
          <cell r="AC168">
            <v>0</v>
          </cell>
          <cell r="AD168">
            <v>1</v>
          </cell>
          <cell r="AE168">
            <v>0</v>
          </cell>
          <cell r="AF168">
            <v>1</v>
          </cell>
          <cell r="AG168">
            <v>0</v>
          </cell>
        </row>
        <row r="169">
          <cell r="A169">
            <v>1</v>
          </cell>
          <cell r="B169">
            <v>5974</v>
          </cell>
          <cell r="C169" t="str">
            <v>LINA HANAFIYAH</v>
          </cell>
          <cell r="D169" t="str">
            <v>ADM-31</v>
          </cell>
          <cell r="E169">
            <v>39129</v>
          </cell>
          <cell r="F169">
            <v>39129</v>
          </cell>
          <cell r="G169">
            <v>39493</v>
          </cell>
          <cell r="H169" t="str">
            <v>LOG</v>
          </cell>
          <cell r="I169" t="str">
            <v>WHS</v>
          </cell>
          <cell r="J169" t="str">
            <v>ALL</v>
          </cell>
          <cell r="K169" t="str">
            <v>-</v>
          </cell>
          <cell r="L169" t="str">
            <v>WHS</v>
          </cell>
          <cell r="M169" t="str">
            <v>ADM AS-400</v>
          </cell>
          <cell r="N169" t="str">
            <v>WHS</v>
          </cell>
          <cell r="O169" t="str">
            <v>B</v>
          </cell>
          <cell r="P169" t="str">
            <v>FPS</v>
          </cell>
          <cell r="Q169" t="str">
            <v>CONTRACT</v>
          </cell>
          <cell r="R169" t="str">
            <v>C3</v>
          </cell>
          <cell r="S169" t="str">
            <v>ADM</v>
          </cell>
          <cell r="T169" t="str">
            <v>P</v>
          </cell>
          <cell r="U169">
            <v>0</v>
          </cell>
          <cell r="V169">
            <v>0</v>
          </cell>
          <cell r="W169">
            <v>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1</v>
          </cell>
          <cell r="AE169">
            <v>0</v>
          </cell>
          <cell r="AF169">
            <v>0</v>
          </cell>
          <cell r="AG169">
            <v>0</v>
          </cell>
        </row>
        <row r="170">
          <cell r="A170">
            <v>1</v>
          </cell>
          <cell r="B170">
            <v>5995</v>
          </cell>
          <cell r="C170" t="str">
            <v>FIDIYATUN</v>
          </cell>
          <cell r="D170" t="str">
            <v>OPT-138</v>
          </cell>
          <cell r="E170">
            <v>39132</v>
          </cell>
          <cell r="F170">
            <v>39264</v>
          </cell>
          <cell r="G170">
            <v>39629</v>
          </cell>
          <cell r="H170" t="str">
            <v>LOG</v>
          </cell>
          <cell r="I170" t="str">
            <v>WHS</v>
          </cell>
          <cell r="J170" t="str">
            <v>ALL</v>
          </cell>
          <cell r="K170" t="str">
            <v>-</v>
          </cell>
          <cell r="L170" t="str">
            <v>WHS</v>
          </cell>
          <cell r="M170" t="str">
            <v>Storagge Final Assy Lambda</v>
          </cell>
          <cell r="N170" t="str">
            <v>WHS</v>
          </cell>
          <cell r="O170" t="str">
            <v>A</v>
          </cell>
          <cell r="P170" t="str">
            <v>FPS</v>
          </cell>
          <cell r="Q170" t="str">
            <v>CONTRACT</v>
          </cell>
          <cell r="R170" t="str">
            <v>C1</v>
          </cell>
          <cell r="S170" t="str">
            <v>OPT</v>
          </cell>
          <cell r="T170" t="str">
            <v>P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1</v>
          </cell>
          <cell r="AA170">
            <v>0</v>
          </cell>
          <cell r="AB170">
            <v>0</v>
          </cell>
          <cell r="AC170">
            <v>0</v>
          </cell>
          <cell r="AD170">
            <v>1</v>
          </cell>
          <cell r="AE170">
            <v>0</v>
          </cell>
          <cell r="AF170">
            <v>0</v>
          </cell>
          <cell r="AG170">
            <v>0</v>
          </cell>
        </row>
        <row r="171">
          <cell r="A171">
            <v>1</v>
          </cell>
          <cell r="B171">
            <v>6028</v>
          </cell>
          <cell r="C171" t="str">
            <v>ADE ERLANGGA KUSUMAH</v>
          </cell>
          <cell r="D171" t="str">
            <v>OPT-139</v>
          </cell>
          <cell r="E171">
            <v>39142</v>
          </cell>
          <cell r="F171">
            <v>39142</v>
          </cell>
          <cell r="G171">
            <v>39506</v>
          </cell>
          <cell r="H171" t="str">
            <v>LOG</v>
          </cell>
          <cell r="I171" t="str">
            <v>WHS</v>
          </cell>
          <cell r="J171" t="str">
            <v>ALL</v>
          </cell>
          <cell r="K171" t="str">
            <v>-</v>
          </cell>
          <cell r="L171" t="str">
            <v>WHS</v>
          </cell>
          <cell r="M171" t="str">
            <v>Prepare material Unloading ke free+fix wire (+box)</v>
          </cell>
          <cell r="N171" t="str">
            <v>WHS</v>
          </cell>
          <cell r="O171" t="str">
            <v>B</v>
          </cell>
          <cell r="P171" t="str">
            <v>FPS</v>
          </cell>
          <cell r="Q171" t="str">
            <v>CONTRACT</v>
          </cell>
          <cell r="R171" t="str">
            <v>C3</v>
          </cell>
          <cell r="S171" t="str">
            <v>OPT</v>
          </cell>
          <cell r="T171" t="str">
            <v>L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</v>
          </cell>
          <cell r="AA171">
            <v>0</v>
          </cell>
          <cell r="AB171">
            <v>0</v>
          </cell>
          <cell r="AC171">
            <v>0</v>
          </cell>
          <cell r="AD171">
            <v>1</v>
          </cell>
          <cell r="AE171">
            <v>0</v>
          </cell>
          <cell r="AF171">
            <v>1</v>
          </cell>
          <cell r="AG171">
            <v>0</v>
          </cell>
        </row>
        <row r="172">
          <cell r="A172">
            <v>1</v>
          </cell>
          <cell r="B172">
            <v>6029</v>
          </cell>
          <cell r="C172" t="str">
            <v>AGUS VRIYANTO</v>
          </cell>
          <cell r="D172" t="str">
            <v>OPT-139</v>
          </cell>
          <cell r="E172">
            <v>39142</v>
          </cell>
          <cell r="F172">
            <v>39142</v>
          </cell>
          <cell r="G172">
            <v>39506</v>
          </cell>
          <cell r="H172" t="str">
            <v>LOG</v>
          </cell>
          <cell r="I172" t="str">
            <v>WHS</v>
          </cell>
          <cell r="J172" t="str">
            <v>ALL</v>
          </cell>
          <cell r="K172" t="str">
            <v>-</v>
          </cell>
          <cell r="L172" t="str">
            <v>WHS</v>
          </cell>
          <cell r="M172" t="str">
            <v>Prepare material Unloading ke free+fix (Box)</v>
          </cell>
          <cell r="N172" t="str">
            <v>WHS</v>
          </cell>
          <cell r="O172" t="str">
            <v>B</v>
          </cell>
          <cell r="P172" t="str">
            <v>FPS</v>
          </cell>
          <cell r="Q172" t="str">
            <v>CONTRACT</v>
          </cell>
          <cell r="R172" t="str">
            <v>C3</v>
          </cell>
          <cell r="S172" t="str">
            <v>OPT</v>
          </cell>
          <cell r="T172" t="str">
            <v>L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1</v>
          </cell>
          <cell r="AA172">
            <v>0</v>
          </cell>
          <cell r="AB172">
            <v>0</v>
          </cell>
          <cell r="AC172">
            <v>0</v>
          </cell>
          <cell r="AD172">
            <v>1</v>
          </cell>
          <cell r="AE172">
            <v>0</v>
          </cell>
          <cell r="AF172">
            <v>1</v>
          </cell>
          <cell r="AG172">
            <v>0</v>
          </cell>
        </row>
        <row r="173">
          <cell r="A173">
            <v>1</v>
          </cell>
          <cell r="B173">
            <v>6030</v>
          </cell>
          <cell r="C173" t="str">
            <v>AHMAD MAHFUDLON</v>
          </cell>
          <cell r="D173" t="str">
            <v>OPT-139</v>
          </cell>
          <cell r="E173">
            <v>39142</v>
          </cell>
          <cell r="F173">
            <v>39142</v>
          </cell>
          <cell r="G173">
            <v>39506</v>
          </cell>
          <cell r="H173" t="str">
            <v>LOG</v>
          </cell>
          <cell r="I173" t="str">
            <v>WHS</v>
          </cell>
          <cell r="J173" t="str">
            <v>ALL</v>
          </cell>
          <cell r="K173" t="str">
            <v>-</v>
          </cell>
          <cell r="L173" t="str">
            <v>WHS</v>
          </cell>
          <cell r="M173" t="str">
            <v>Storage + handling cutt tube/prepare VO</v>
          </cell>
          <cell r="N173" t="str">
            <v>WHS</v>
          </cell>
          <cell r="O173" t="str">
            <v>B</v>
          </cell>
          <cell r="P173" t="str">
            <v>FPS</v>
          </cell>
          <cell r="Q173" t="str">
            <v>CONTRACT</v>
          </cell>
          <cell r="R173" t="str">
            <v>C3</v>
          </cell>
          <cell r="S173" t="str">
            <v>OPT</v>
          </cell>
          <cell r="T173" t="str">
            <v>L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</v>
          </cell>
          <cell r="AA173">
            <v>0</v>
          </cell>
          <cell r="AB173">
            <v>0</v>
          </cell>
          <cell r="AC173">
            <v>0</v>
          </cell>
          <cell r="AD173">
            <v>1</v>
          </cell>
          <cell r="AE173">
            <v>0</v>
          </cell>
          <cell r="AF173">
            <v>1</v>
          </cell>
          <cell r="AG173">
            <v>0</v>
          </cell>
        </row>
        <row r="174">
          <cell r="A174">
            <v>1</v>
          </cell>
          <cell r="B174">
            <v>6032</v>
          </cell>
          <cell r="C174" t="str">
            <v>ANDUNG SETYO</v>
          </cell>
          <cell r="D174" t="str">
            <v>OPT-139</v>
          </cell>
          <cell r="E174">
            <v>39142</v>
          </cell>
          <cell r="F174">
            <v>39142</v>
          </cell>
          <cell r="G174">
            <v>39506</v>
          </cell>
          <cell r="H174" t="str">
            <v>LOG</v>
          </cell>
          <cell r="I174" t="str">
            <v>WHS</v>
          </cell>
          <cell r="J174" t="str">
            <v>ALL</v>
          </cell>
          <cell r="K174" t="str">
            <v>-</v>
          </cell>
          <cell r="L174" t="str">
            <v>WHS</v>
          </cell>
          <cell r="M174" t="str">
            <v>Storage + handling cutt/PA Holden</v>
          </cell>
          <cell r="N174" t="str">
            <v>WHS</v>
          </cell>
          <cell r="O174" t="str">
            <v>B</v>
          </cell>
          <cell r="P174" t="str">
            <v>FPS</v>
          </cell>
          <cell r="Q174" t="str">
            <v>CONTRACT</v>
          </cell>
          <cell r="R174" t="str">
            <v>C3</v>
          </cell>
          <cell r="S174" t="str">
            <v>OPT</v>
          </cell>
          <cell r="T174" t="str">
            <v>L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</v>
          </cell>
          <cell r="AA174">
            <v>0</v>
          </cell>
          <cell r="AB174">
            <v>0</v>
          </cell>
          <cell r="AC174">
            <v>0</v>
          </cell>
          <cell r="AD174">
            <v>1</v>
          </cell>
          <cell r="AE174">
            <v>0</v>
          </cell>
          <cell r="AF174">
            <v>1</v>
          </cell>
          <cell r="AG174">
            <v>0</v>
          </cell>
        </row>
        <row r="175">
          <cell r="A175">
            <v>1</v>
          </cell>
          <cell r="B175">
            <v>6034</v>
          </cell>
          <cell r="C175" t="str">
            <v>ARI PRAMUDYA WARDANI</v>
          </cell>
          <cell r="D175" t="str">
            <v>OPT-139</v>
          </cell>
          <cell r="E175">
            <v>39142</v>
          </cell>
          <cell r="F175">
            <v>39142</v>
          </cell>
          <cell r="G175">
            <v>39506</v>
          </cell>
          <cell r="H175" t="str">
            <v>LOG</v>
          </cell>
          <cell r="I175" t="str">
            <v>WHS</v>
          </cell>
          <cell r="J175" t="str">
            <v>ALL</v>
          </cell>
          <cell r="K175" t="str">
            <v>-</v>
          </cell>
          <cell r="L175" t="str">
            <v>WHS</v>
          </cell>
          <cell r="M175" t="str">
            <v>Storage FA VZ (CV 1, 9) M13-24</v>
          </cell>
          <cell r="N175" t="str">
            <v>WHS</v>
          </cell>
          <cell r="O175" t="str">
            <v>A</v>
          </cell>
          <cell r="P175" t="str">
            <v>FPS</v>
          </cell>
          <cell r="Q175" t="str">
            <v>CONTRACT</v>
          </cell>
          <cell r="R175" t="str">
            <v>C3</v>
          </cell>
          <cell r="S175" t="str">
            <v>OPT</v>
          </cell>
          <cell r="T175" t="str">
            <v>P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1</v>
          </cell>
          <cell r="AA175">
            <v>0</v>
          </cell>
          <cell r="AB175">
            <v>0</v>
          </cell>
          <cell r="AC175">
            <v>0</v>
          </cell>
          <cell r="AD175">
            <v>1</v>
          </cell>
          <cell r="AE175">
            <v>0</v>
          </cell>
          <cell r="AF175">
            <v>0</v>
          </cell>
          <cell r="AG175">
            <v>0</v>
          </cell>
        </row>
        <row r="176">
          <cell r="A176">
            <v>1</v>
          </cell>
          <cell r="B176">
            <v>6054</v>
          </cell>
          <cell r="C176" t="str">
            <v>FACHRURODZI</v>
          </cell>
          <cell r="D176" t="str">
            <v>OPT-139</v>
          </cell>
          <cell r="E176">
            <v>39142</v>
          </cell>
          <cell r="F176">
            <v>39142</v>
          </cell>
          <cell r="G176">
            <v>39506</v>
          </cell>
          <cell r="H176" t="str">
            <v>LOG</v>
          </cell>
          <cell r="I176" t="str">
            <v>WHS</v>
          </cell>
          <cell r="J176" t="str">
            <v>ALL</v>
          </cell>
          <cell r="K176" t="str">
            <v>-</v>
          </cell>
          <cell r="L176" t="str">
            <v>WHS</v>
          </cell>
          <cell r="M176" t="str">
            <v>Storage + handling cutt/PA Holden</v>
          </cell>
          <cell r="N176" t="str">
            <v>WHS</v>
          </cell>
          <cell r="O176" t="str">
            <v>B</v>
          </cell>
          <cell r="P176" t="str">
            <v>FPS</v>
          </cell>
          <cell r="Q176" t="str">
            <v>CONTRACT</v>
          </cell>
          <cell r="R176" t="str">
            <v>C3</v>
          </cell>
          <cell r="S176" t="str">
            <v>OPT</v>
          </cell>
          <cell r="T176" t="str">
            <v>L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</v>
          </cell>
          <cell r="AA176">
            <v>0</v>
          </cell>
          <cell r="AB176">
            <v>0</v>
          </cell>
          <cell r="AC176">
            <v>0</v>
          </cell>
          <cell r="AD176">
            <v>1</v>
          </cell>
          <cell r="AE176">
            <v>0</v>
          </cell>
          <cell r="AF176">
            <v>1</v>
          </cell>
          <cell r="AG176">
            <v>0</v>
          </cell>
        </row>
        <row r="177">
          <cell r="A177">
            <v>1</v>
          </cell>
          <cell r="B177">
            <v>6072</v>
          </cell>
          <cell r="C177" t="str">
            <v>NUR FATONI</v>
          </cell>
          <cell r="D177" t="str">
            <v>OPT-139</v>
          </cell>
          <cell r="E177">
            <v>39142</v>
          </cell>
          <cell r="F177">
            <v>39142</v>
          </cell>
          <cell r="G177">
            <v>39506</v>
          </cell>
          <cell r="H177" t="str">
            <v>LOG</v>
          </cell>
          <cell r="I177" t="str">
            <v>WHS</v>
          </cell>
          <cell r="J177" t="str">
            <v>ALL</v>
          </cell>
          <cell r="K177" t="str">
            <v>-</v>
          </cell>
          <cell r="L177" t="str">
            <v>WHS</v>
          </cell>
          <cell r="M177" t="str">
            <v>Storage + handling cutt/PA Mazda</v>
          </cell>
          <cell r="N177" t="str">
            <v>WHS</v>
          </cell>
          <cell r="O177" t="str">
            <v>A</v>
          </cell>
          <cell r="P177" t="str">
            <v>FPS</v>
          </cell>
          <cell r="Q177" t="str">
            <v>CONTRACT</v>
          </cell>
          <cell r="R177" t="str">
            <v>C3</v>
          </cell>
          <cell r="S177" t="str">
            <v>OPT</v>
          </cell>
          <cell r="T177" t="str">
            <v>L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1</v>
          </cell>
          <cell r="AA177">
            <v>0</v>
          </cell>
          <cell r="AB177">
            <v>0</v>
          </cell>
          <cell r="AC177">
            <v>0</v>
          </cell>
          <cell r="AD177">
            <v>1</v>
          </cell>
          <cell r="AE177">
            <v>0</v>
          </cell>
          <cell r="AF177">
            <v>1</v>
          </cell>
          <cell r="AG177">
            <v>0</v>
          </cell>
        </row>
        <row r="178">
          <cell r="A178">
            <v>1</v>
          </cell>
          <cell r="B178">
            <v>6157</v>
          </cell>
          <cell r="C178" t="str">
            <v>SARMI AISYAH</v>
          </cell>
          <cell r="D178" t="str">
            <v>OPT-140</v>
          </cell>
          <cell r="E178">
            <v>39157</v>
          </cell>
          <cell r="F178">
            <v>39157</v>
          </cell>
          <cell r="G178">
            <v>39522</v>
          </cell>
          <cell r="H178" t="str">
            <v>LOG</v>
          </cell>
          <cell r="I178" t="str">
            <v>WHS</v>
          </cell>
          <cell r="J178" t="str">
            <v>ALL</v>
          </cell>
          <cell r="K178" t="str">
            <v>-</v>
          </cell>
          <cell r="L178" t="str">
            <v>WHS</v>
          </cell>
          <cell r="M178" t="str">
            <v>Spare + list material GDS dari pink card</v>
          </cell>
          <cell r="N178" t="str">
            <v>WHS</v>
          </cell>
          <cell r="O178" t="str">
            <v>B</v>
          </cell>
          <cell r="P178" t="str">
            <v>FPS</v>
          </cell>
          <cell r="Q178" t="str">
            <v>CONTRACT</v>
          </cell>
          <cell r="R178" t="str">
            <v>C3</v>
          </cell>
          <cell r="S178" t="str">
            <v>OPT</v>
          </cell>
          <cell r="T178" t="str">
            <v>P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</v>
          </cell>
          <cell r="AA178">
            <v>0</v>
          </cell>
          <cell r="AB178">
            <v>0</v>
          </cell>
          <cell r="AC178">
            <v>0</v>
          </cell>
          <cell r="AD178">
            <v>1</v>
          </cell>
          <cell r="AE178">
            <v>0</v>
          </cell>
          <cell r="AF178">
            <v>0</v>
          </cell>
          <cell r="AG178">
            <v>0</v>
          </cell>
        </row>
        <row r="179">
          <cell r="A179">
            <v>1</v>
          </cell>
          <cell r="B179">
            <v>6181</v>
          </cell>
          <cell r="C179" t="str">
            <v>EKO PUJIYANTO</v>
          </cell>
          <cell r="D179" t="str">
            <v>OPT-141</v>
          </cell>
          <cell r="E179">
            <v>39173</v>
          </cell>
          <cell r="F179">
            <v>39173</v>
          </cell>
          <cell r="G179">
            <v>39538</v>
          </cell>
          <cell r="H179" t="str">
            <v>LOG</v>
          </cell>
          <cell r="I179" t="str">
            <v>WHS</v>
          </cell>
          <cell r="J179" t="str">
            <v>ALL</v>
          </cell>
          <cell r="K179" t="str">
            <v>-</v>
          </cell>
          <cell r="L179" t="str">
            <v>WHS</v>
          </cell>
          <cell r="M179" t="str">
            <v>Storage + handling cutt/PA Holden</v>
          </cell>
          <cell r="N179" t="str">
            <v>WHS</v>
          </cell>
          <cell r="O179" t="str">
            <v>A</v>
          </cell>
          <cell r="P179" t="str">
            <v>FPS</v>
          </cell>
          <cell r="Q179" t="str">
            <v>CONTRACT</v>
          </cell>
          <cell r="R179" t="str">
            <v>C3</v>
          </cell>
          <cell r="S179" t="str">
            <v>OPT</v>
          </cell>
          <cell r="T179" t="str">
            <v>L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1</v>
          </cell>
          <cell r="AA179">
            <v>0</v>
          </cell>
          <cell r="AB179">
            <v>0</v>
          </cell>
          <cell r="AC179">
            <v>0</v>
          </cell>
          <cell r="AD179">
            <v>1</v>
          </cell>
          <cell r="AE179">
            <v>0</v>
          </cell>
          <cell r="AF179">
            <v>1</v>
          </cell>
          <cell r="AG179">
            <v>0</v>
          </cell>
        </row>
        <row r="180">
          <cell r="A180">
            <v>1</v>
          </cell>
          <cell r="B180">
            <v>6196</v>
          </cell>
          <cell r="C180" t="str">
            <v>EKO SUSANTO</v>
          </cell>
          <cell r="D180" t="str">
            <v>ADM-33</v>
          </cell>
          <cell r="E180">
            <v>39173</v>
          </cell>
          <cell r="F180">
            <v>39173</v>
          </cell>
          <cell r="G180">
            <v>39538</v>
          </cell>
          <cell r="H180" t="str">
            <v>LOG</v>
          </cell>
          <cell r="I180" t="str">
            <v>WHS</v>
          </cell>
          <cell r="J180" t="str">
            <v>ALL</v>
          </cell>
          <cell r="K180" t="str">
            <v>-</v>
          </cell>
          <cell r="L180" t="str">
            <v>WHS</v>
          </cell>
          <cell r="M180" t="str">
            <v>ADM AS-400</v>
          </cell>
          <cell r="N180" t="str">
            <v>WHS</v>
          </cell>
          <cell r="O180" t="str">
            <v>A</v>
          </cell>
          <cell r="P180" t="str">
            <v>FPS</v>
          </cell>
          <cell r="Q180" t="str">
            <v>CONTRACT</v>
          </cell>
          <cell r="R180" t="str">
            <v>C3</v>
          </cell>
          <cell r="S180" t="str">
            <v>ADM</v>
          </cell>
          <cell r="T180" t="str">
            <v>L</v>
          </cell>
          <cell r="U180">
            <v>0</v>
          </cell>
          <cell r="V180">
            <v>0</v>
          </cell>
          <cell r="W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1</v>
          </cell>
          <cell r="AE180">
            <v>0</v>
          </cell>
          <cell r="AF180">
            <v>1</v>
          </cell>
          <cell r="AG180">
            <v>0</v>
          </cell>
        </row>
        <row r="181">
          <cell r="A181">
            <v>1</v>
          </cell>
          <cell r="B181" t="str">
            <v>PCS 16</v>
          </cell>
          <cell r="C181" t="str">
            <v>AGUS ROJIKHIN</v>
          </cell>
          <cell r="D181" t="str">
            <v>OUTSOURCING</v>
          </cell>
          <cell r="E181" t="str">
            <v>26/08/2006</v>
          </cell>
          <cell r="F181" t="str">
            <v>-</v>
          </cell>
          <cell r="G181" t="str">
            <v>-</v>
          </cell>
          <cell r="H181" t="str">
            <v>LOG</v>
          </cell>
          <cell r="I181" t="str">
            <v>WHS</v>
          </cell>
          <cell r="J181" t="str">
            <v>ALL</v>
          </cell>
          <cell r="K181" t="str">
            <v>-</v>
          </cell>
          <cell r="L181" t="str">
            <v>WHS</v>
          </cell>
          <cell r="M181" t="str">
            <v>Storage + handling cutt/PA Nissan, lambda</v>
          </cell>
          <cell r="N181" t="str">
            <v>WHS</v>
          </cell>
          <cell r="O181" t="str">
            <v>A</v>
          </cell>
          <cell r="P181" t="str">
            <v>FPS</v>
          </cell>
          <cell r="Q181" t="str">
            <v>OUTSOURCING</v>
          </cell>
          <cell r="R181" t="str">
            <v>OSC OTH</v>
          </cell>
          <cell r="S181" t="str">
            <v>PCS</v>
          </cell>
          <cell r="T181" t="str">
            <v>L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1</v>
          </cell>
          <cell r="AE181">
            <v>0</v>
          </cell>
          <cell r="AF181">
            <v>1</v>
          </cell>
          <cell r="AG181">
            <v>0</v>
          </cell>
        </row>
        <row r="182">
          <cell r="A182">
            <v>1</v>
          </cell>
          <cell r="B182" t="str">
            <v>PCS 19</v>
          </cell>
          <cell r="C182" t="str">
            <v>KUSTIYONO</v>
          </cell>
          <cell r="D182" t="str">
            <v>OUTSOURCING</v>
          </cell>
          <cell r="E182" t="str">
            <v>26/08/2006</v>
          </cell>
          <cell r="F182" t="str">
            <v>-</v>
          </cell>
          <cell r="G182" t="str">
            <v>-</v>
          </cell>
          <cell r="H182" t="str">
            <v>LOG</v>
          </cell>
          <cell r="I182" t="str">
            <v>WHS</v>
          </cell>
          <cell r="J182" t="str">
            <v>ALL</v>
          </cell>
          <cell r="K182" t="str">
            <v>-</v>
          </cell>
          <cell r="L182" t="str">
            <v>WHS</v>
          </cell>
          <cell r="M182" t="str">
            <v>Storage + handling cutt/PA Nissan, lambda</v>
          </cell>
          <cell r="N182" t="str">
            <v>WHS</v>
          </cell>
          <cell r="O182" t="str">
            <v>B</v>
          </cell>
          <cell r="P182" t="str">
            <v>FPS</v>
          </cell>
          <cell r="Q182" t="str">
            <v>OUTSOURCING</v>
          </cell>
          <cell r="R182" t="str">
            <v>OSC OTH</v>
          </cell>
          <cell r="S182" t="str">
            <v>PCS</v>
          </cell>
          <cell r="T182" t="str">
            <v>L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1</v>
          </cell>
          <cell r="AE182">
            <v>0</v>
          </cell>
          <cell r="AF182">
            <v>1</v>
          </cell>
          <cell r="AG182">
            <v>0</v>
          </cell>
        </row>
        <row r="183">
          <cell r="A183">
            <v>1</v>
          </cell>
          <cell r="B183" t="str">
            <v>PCS 24</v>
          </cell>
          <cell r="C183" t="str">
            <v>PUJI SUSANTO</v>
          </cell>
          <cell r="D183" t="str">
            <v>OUTSOURCING</v>
          </cell>
          <cell r="E183" t="str">
            <v>26/08/2006</v>
          </cell>
          <cell r="F183" t="str">
            <v>-</v>
          </cell>
          <cell r="G183" t="str">
            <v>-</v>
          </cell>
          <cell r="H183" t="str">
            <v>LOG</v>
          </cell>
          <cell r="I183" t="str">
            <v>WHS</v>
          </cell>
          <cell r="J183" t="str">
            <v>ALL</v>
          </cell>
          <cell r="K183" t="str">
            <v>-</v>
          </cell>
          <cell r="L183" t="str">
            <v>WHS</v>
          </cell>
          <cell r="M183" t="str">
            <v>Bantu prepare material Unloading ke free+fix (Box)</v>
          </cell>
          <cell r="N183" t="str">
            <v>WHS</v>
          </cell>
          <cell r="O183" t="str">
            <v>A</v>
          </cell>
          <cell r="P183" t="str">
            <v>FPS</v>
          </cell>
          <cell r="Q183" t="str">
            <v>OUTSOURCING</v>
          </cell>
          <cell r="R183" t="str">
            <v>OSC OTH</v>
          </cell>
          <cell r="S183" t="str">
            <v>PCS</v>
          </cell>
          <cell r="T183" t="str">
            <v>L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1</v>
          </cell>
          <cell r="AE183">
            <v>0</v>
          </cell>
          <cell r="AF183">
            <v>1</v>
          </cell>
          <cell r="AG183">
            <v>0</v>
          </cell>
        </row>
        <row r="184">
          <cell r="A184">
            <v>1</v>
          </cell>
          <cell r="B184" t="str">
            <v>PCS 25</v>
          </cell>
          <cell r="C184" t="str">
            <v>PURMANTO</v>
          </cell>
          <cell r="D184" t="str">
            <v>OUTSOURCING</v>
          </cell>
          <cell r="E184" t="str">
            <v>26/08/2006</v>
          </cell>
          <cell r="F184" t="str">
            <v>-</v>
          </cell>
          <cell r="G184" t="str">
            <v>-</v>
          </cell>
          <cell r="H184" t="str">
            <v>LOG</v>
          </cell>
          <cell r="I184" t="str">
            <v>WHS</v>
          </cell>
          <cell r="J184" t="str">
            <v>ALL</v>
          </cell>
          <cell r="K184" t="str">
            <v>-</v>
          </cell>
          <cell r="L184" t="str">
            <v>WHS</v>
          </cell>
          <cell r="M184" t="str">
            <v>Bantu prepare material request unloading+GDS ke fix</v>
          </cell>
          <cell r="N184" t="str">
            <v>WHS</v>
          </cell>
          <cell r="O184" t="str">
            <v>A</v>
          </cell>
          <cell r="P184" t="str">
            <v>FPS</v>
          </cell>
          <cell r="Q184" t="str">
            <v>OUTSOURCING</v>
          </cell>
          <cell r="R184" t="str">
            <v>OSC OTH</v>
          </cell>
          <cell r="S184" t="str">
            <v>PCS</v>
          </cell>
          <cell r="T184" t="str">
            <v>L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1</v>
          </cell>
          <cell r="AE184">
            <v>0</v>
          </cell>
          <cell r="AF184">
            <v>1</v>
          </cell>
          <cell r="AG184">
            <v>0</v>
          </cell>
        </row>
        <row r="185">
          <cell r="A185">
            <v>1</v>
          </cell>
          <cell r="B185" t="str">
            <v>PCS 26</v>
          </cell>
          <cell r="C185" t="str">
            <v>SYAIFUL CHOERI</v>
          </cell>
          <cell r="D185" t="str">
            <v>OUTSOURCING</v>
          </cell>
          <cell r="E185" t="str">
            <v>26/08/2006</v>
          </cell>
          <cell r="F185" t="str">
            <v>-</v>
          </cell>
          <cell r="G185" t="str">
            <v>-</v>
          </cell>
          <cell r="H185" t="str">
            <v>LOG</v>
          </cell>
          <cell r="I185" t="str">
            <v>WHS</v>
          </cell>
          <cell r="J185" t="str">
            <v>ALL</v>
          </cell>
          <cell r="K185" t="str">
            <v>-</v>
          </cell>
          <cell r="L185" t="str">
            <v>WHS</v>
          </cell>
          <cell r="M185" t="str">
            <v>Bantu prepare material Unloading ke free+fix wire (+box)</v>
          </cell>
          <cell r="N185" t="str">
            <v>WHS</v>
          </cell>
          <cell r="O185" t="str">
            <v>B</v>
          </cell>
          <cell r="P185" t="str">
            <v>FPS</v>
          </cell>
          <cell r="Q185" t="str">
            <v>OUTSOURCING</v>
          </cell>
          <cell r="R185" t="str">
            <v>OSC OTH</v>
          </cell>
          <cell r="S185" t="str">
            <v>PCS</v>
          </cell>
          <cell r="T185" t="str">
            <v>L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1</v>
          </cell>
          <cell r="AE185">
            <v>0</v>
          </cell>
          <cell r="AF185">
            <v>1</v>
          </cell>
          <cell r="AG185">
            <v>0</v>
          </cell>
        </row>
        <row r="186">
          <cell r="A186">
            <v>1</v>
          </cell>
          <cell r="B186" t="str">
            <v>SM 06.11.112</v>
          </cell>
          <cell r="C186" t="str">
            <v>Slamet Musyafak</v>
          </cell>
          <cell r="D186" t="str">
            <v>OUTSOURCING</v>
          </cell>
          <cell r="E186" t="str">
            <v>20/11/2006</v>
          </cell>
          <cell r="F186" t="str">
            <v>-</v>
          </cell>
          <cell r="G186" t="str">
            <v>-</v>
          </cell>
          <cell r="H186" t="str">
            <v>LOG</v>
          </cell>
          <cell r="I186" t="str">
            <v>WHS</v>
          </cell>
          <cell r="J186" t="str">
            <v>ALL</v>
          </cell>
          <cell r="K186" t="str">
            <v>-</v>
          </cell>
          <cell r="L186" t="str">
            <v>WHS</v>
          </cell>
          <cell r="M186" t="str">
            <v>Storage + handling cutt/PA Mazda</v>
          </cell>
          <cell r="N186" t="str">
            <v>WHS</v>
          </cell>
          <cell r="O186" t="str">
            <v>B</v>
          </cell>
          <cell r="P186" t="str">
            <v>FPS</v>
          </cell>
          <cell r="Q186" t="str">
            <v>OUTSOURCING</v>
          </cell>
          <cell r="R186" t="str">
            <v>OSC OTH</v>
          </cell>
          <cell r="S186" t="str">
            <v>AMP</v>
          </cell>
          <cell r="T186" t="str">
            <v>L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1</v>
          </cell>
          <cell r="AE186">
            <v>0</v>
          </cell>
          <cell r="AF186">
            <v>1</v>
          </cell>
          <cell r="AG186">
            <v>0</v>
          </cell>
        </row>
        <row r="187">
          <cell r="A187">
            <v>1</v>
          </cell>
          <cell r="B187" t="str">
            <v>SM 06.11.114</v>
          </cell>
          <cell r="C187" t="str">
            <v>Hendarto Aprilia</v>
          </cell>
          <cell r="D187" t="str">
            <v>OUTSOURCING</v>
          </cell>
          <cell r="E187" t="str">
            <v>20/11/2006</v>
          </cell>
          <cell r="F187" t="str">
            <v>-</v>
          </cell>
          <cell r="G187" t="str">
            <v>-</v>
          </cell>
          <cell r="H187" t="str">
            <v>LOG</v>
          </cell>
          <cell r="I187" t="str">
            <v>WHS</v>
          </cell>
          <cell r="J187" t="str">
            <v>ALL</v>
          </cell>
          <cell r="K187" t="str">
            <v>-</v>
          </cell>
          <cell r="L187" t="str">
            <v>WHS</v>
          </cell>
          <cell r="M187" t="str">
            <v>Bantu prepare material request unloading+GDS ke fix</v>
          </cell>
          <cell r="N187" t="str">
            <v>WHS</v>
          </cell>
          <cell r="O187" t="str">
            <v>B</v>
          </cell>
          <cell r="P187" t="str">
            <v>FPS</v>
          </cell>
          <cell r="Q187" t="str">
            <v>OUTSOURCING</v>
          </cell>
          <cell r="R187" t="str">
            <v>OSC OTH</v>
          </cell>
          <cell r="S187" t="str">
            <v>AMP</v>
          </cell>
          <cell r="T187" t="str">
            <v>L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1</v>
          </cell>
          <cell r="AE187">
            <v>0</v>
          </cell>
          <cell r="AF187">
            <v>1</v>
          </cell>
          <cell r="AG187">
            <v>0</v>
          </cell>
        </row>
        <row r="188">
          <cell r="A188">
            <v>1</v>
          </cell>
          <cell r="B188" t="str">
            <v>SM 06.11.116</v>
          </cell>
          <cell r="C188" t="str">
            <v>Iwan Febriyanto</v>
          </cell>
          <cell r="D188" t="str">
            <v>OUTSOURCING</v>
          </cell>
          <cell r="E188" t="str">
            <v>20/11/2006</v>
          </cell>
          <cell r="F188" t="str">
            <v>-</v>
          </cell>
          <cell r="G188" t="str">
            <v>-</v>
          </cell>
          <cell r="H188" t="str">
            <v>LOG</v>
          </cell>
          <cell r="I188" t="str">
            <v>WHS</v>
          </cell>
          <cell r="J188" t="str">
            <v>ALL</v>
          </cell>
          <cell r="K188" t="str">
            <v>-</v>
          </cell>
          <cell r="L188" t="str">
            <v>WHS</v>
          </cell>
          <cell r="M188" t="str">
            <v>Storage + handling cutt/PA Mazda</v>
          </cell>
          <cell r="N188" t="str">
            <v>WHS</v>
          </cell>
          <cell r="O188" t="str">
            <v>B</v>
          </cell>
          <cell r="P188" t="str">
            <v>FPS</v>
          </cell>
          <cell r="Q188" t="str">
            <v>OUTSOURCING</v>
          </cell>
          <cell r="R188" t="str">
            <v>OSC OTH</v>
          </cell>
          <cell r="S188" t="str">
            <v>AMP</v>
          </cell>
          <cell r="T188" t="str">
            <v>L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1</v>
          </cell>
          <cell r="AE188">
            <v>0</v>
          </cell>
          <cell r="AF188">
            <v>1</v>
          </cell>
          <cell r="AG188">
            <v>0</v>
          </cell>
        </row>
        <row r="189">
          <cell r="A189">
            <v>1</v>
          </cell>
          <cell r="B189" t="str">
            <v>SM 06.11.117</v>
          </cell>
          <cell r="C189" t="str">
            <v>Luthfan Yazid</v>
          </cell>
          <cell r="D189" t="str">
            <v>OUTSOURCING</v>
          </cell>
          <cell r="E189" t="str">
            <v>20/11/2006</v>
          </cell>
          <cell r="F189" t="str">
            <v>-</v>
          </cell>
          <cell r="G189" t="str">
            <v>-</v>
          </cell>
          <cell r="H189" t="str">
            <v>LOG</v>
          </cell>
          <cell r="I189" t="str">
            <v>WHS</v>
          </cell>
          <cell r="J189" t="str">
            <v>ALL</v>
          </cell>
          <cell r="K189" t="str">
            <v>-</v>
          </cell>
          <cell r="L189" t="str">
            <v>WHS</v>
          </cell>
          <cell r="M189" t="str">
            <v>PIC GDS,Bantu Prepare Material</v>
          </cell>
          <cell r="N189" t="str">
            <v>WHS</v>
          </cell>
          <cell r="O189" t="str">
            <v>A</v>
          </cell>
          <cell r="P189" t="str">
            <v>FPS</v>
          </cell>
          <cell r="Q189" t="str">
            <v>OUTSOURCING</v>
          </cell>
          <cell r="R189" t="str">
            <v>OSC OTH</v>
          </cell>
          <cell r="S189" t="str">
            <v>AMP</v>
          </cell>
          <cell r="T189" t="str">
            <v>L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1</v>
          </cell>
          <cell r="AE189">
            <v>0</v>
          </cell>
          <cell r="AF189">
            <v>1</v>
          </cell>
          <cell r="AG189">
            <v>0</v>
          </cell>
        </row>
        <row r="190">
          <cell r="A190">
            <v>1</v>
          </cell>
          <cell r="B190" t="str">
            <v>SM 06.11.119</v>
          </cell>
          <cell r="C190" t="str">
            <v>Su'udin</v>
          </cell>
          <cell r="D190" t="str">
            <v>OUTSOURCING</v>
          </cell>
          <cell r="E190" t="str">
            <v>20/11/2006</v>
          </cell>
          <cell r="F190" t="str">
            <v>-</v>
          </cell>
          <cell r="G190" t="str">
            <v>-</v>
          </cell>
          <cell r="H190" t="str">
            <v>LOG</v>
          </cell>
          <cell r="I190" t="str">
            <v>WHS</v>
          </cell>
          <cell r="J190" t="str">
            <v>ALL</v>
          </cell>
          <cell r="K190" t="str">
            <v>-</v>
          </cell>
          <cell r="L190" t="str">
            <v>WHS</v>
          </cell>
          <cell r="M190" t="str">
            <v>Storage Final Assy</v>
          </cell>
          <cell r="N190" t="str">
            <v>WHS</v>
          </cell>
          <cell r="O190" t="str">
            <v>B</v>
          </cell>
          <cell r="P190" t="str">
            <v>FPS</v>
          </cell>
          <cell r="Q190" t="str">
            <v>OUTSOURCING</v>
          </cell>
          <cell r="R190" t="str">
            <v>OSC OTH</v>
          </cell>
          <cell r="S190" t="str">
            <v>AMP</v>
          </cell>
          <cell r="T190" t="str">
            <v>L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1</v>
          </cell>
          <cell r="AE190">
            <v>0</v>
          </cell>
          <cell r="AF190">
            <v>1</v>
          </cell>
          <cell r="AG190">
            <v>0</v>
          </cell>
        </row>
        <row r="191">
          <cell r="A191">
            <v>1</v>
          </cell>
          <cell r="B191" t="str">
            <v>SM 06.11.120</v>
          </cell>
          <cell r="C191" t="str">
            <v>Tri Yunianto</v>
          </cell>
          <cell r="D191" t="str">
            <v>OUTSOURCING</v>
          </cell>
          <cell r="E191" t="str">
            <v>20/11/2006</v>
          </cell>
          <cell r="F191" t="str">
            <v>-</v>
          </cell>
          <cell r="G191" t="str">
            <v>-</v>
          </cell>
          <cell r="H191" t="str">
            <v>LOG</v>
          </cell>
          <cell r="I191" t="str">
            <v>WHS</v>
          </cell>
          <cell r="J191" t="str">
            <v>ALL</v>
          </cell>
          <cell r="K191" t="str">
            <v>-</v>
          </cell>
          <cell r="L191" t="str">
            <v>WHS</v>
          </cell>
          <cell r="M191" t="str">
            <v>Material Handling Final Assy</v>
          </cell>
          <cell r="N191" t="str">
            <v>WHS</v>
          </cell>
          <cell r="O191" t="str">
            <v>A</v>
          </cell>
          <cell r="P191" t="str">
            <v>FPS</v>
          </cell>
          <cell r="Q191" t="str">
            <v>OUTSOURCING</v>
          </cell>
          <cell r="R191" t="str">
            <v>OSC OTH</v>
          </cell>
          <cell r="S191" t="str">
            <v>AMP</v>
          </cell>
          <cell r="T191" t="str">
            <v>L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1</v>
          </cell>
          <cell r="AE191">
            <v>0</v>
          </cell>
          <cell r="AF191">
            <v>1</v>
          </cell>
          <cell r="AG191">
            <v>0</v>
          </cell>
        </row>
        <row r="192">
          <cell r="A192">
            <v>1</v>
          </cell>
          <cell r="B192" t="str">
            <v>SM 06.11.122</v>
          </cell>
          <cell r="C192" t="str">
            <v>Wahyu Edi Fitrianto</v>
          </cell>
          <cell r="D192" t="str">
            <v>OUTSOURCING</v>
          </cell>
          <cell r="E192" t="str">
            <v>20/11/2006</v>
          </cell>
          <cell r="F192" t="str">
            <v>-</v>
          </cell>
          <cell r="G192" t="str">
            <v>-</v>
          </cell>
          <cell r="H192" t="str">
            <v>LOG</v>
          </cell>
          <cell r="I192" t="str">
            <v>WHS</v>
          </cell>
          <cell r="J192" t="str">
            <v>ALL</v>
          </cell>
          <cell r="K192" t="str">
            <v>-</v>
          </cell>
          <cell r="L192" t="str">
            <v>WHS</v>
          </cell>
          <cell r="M192" t="str">
            <v>Storage + handling cutt/PA Mazda</v>
          </cell>
          <cell r="N192" t="str">
            <v>WHS</v>
          </cell>
          <cell r="O192" t="str">
            <v>A</v>
          </cell>
          <cell r="P192" t="str">
            <v>FPS</v>
          </cell>
          <cell r="Q192" t="str">
            <v>OUTSOURCING</v>
          </cell>
          <cell r="R192" t="str">
            <v>OSC OTH</v>
          </cell>
          <cell r="S192" t="str">
            <v>AMP</v>
          </cell>
          <cell r="T192" t="str">
            <v>L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1</v>
          </cell>
          <cell r="AE192">
            <v>0</v>
          </cell>
          <cell r="AF192">
            <v>1</v>
          </cell>
          <cell r="AG192">
            <v>0</v>
          </cell>
        </row>
        <row r="193">
          <cell r="A193">
            <v>1</v>
          </cell>
          <cell r="B193" t="str">
            <v>SM 06.11.123</v>
          </cell>
          <cell r="C193" t="str">
            <v>Yuno Robiyanto</v>
          </cell>
          <cell r="D193" t="str">
            <v>OUTSOURCING</v>
          </cell>
          <cell r="E193" t="str">
            <v>20/11/2006</v>
          </cell>
          <cell r="F193" t="str">
            <v>-</v>
          </cell>
          <cell r="G193" t="str">
            <v>-</v>
          </cell>
          <cell r="H193" t="str">
            <v>LOG</v>
          </cell>
          <cell r="I193" t="str">
            <v>WHS</v>
          </cell>
          <cell r="J193" t="str">
            <v>ALL</v>
          </cell>
          <cell r="K193" t="str">
            <v>-</v>
          </cell>
          <cell r="L193" t="str">
            <v>WHS</v>
          </cell>
          <cell r="M193" t="str">
            <v>Spare + list material GDS dari pink card</v>
          </cell>
          <cell r="N193" t="str">
            <v>WHS</v>
          </cell>
          <cell r="O193" t="str">
            <v>A</v>
          </cell>
          <cell r="P193" t="str">
            <v>FPS</v>
          </cell>
          <cell r="Q193" t="str">
            <v>OUTSOURCING</v>
          </cell>
          <cell r="R193" t="str">
            <v>OSC OTH</v>
          </cell>
          <cell r="S193" t="str">
            <v>AMP</v>
          </cell>
          <cell r="T193" t="str">
            <v>L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1</v>
          </cell>
          <cell r="AE193">
            <v>0</v>
          </cell>
          <cell r="AF193">
            <v>1</v>
          </cell>
          <cell r="AG193">
            <v>0</v>
          </cell>
        </row>
        <row r="194">
          <cell r="A194">
            <v>1</v>
          </cell>
          <cell r="B194" t="str">
            <v>SM 060767 PL</v>
          </cell>
          <cell r="C194" t="str">
            <v>SAEFUDIN ZUHRI</v>
          </cell>
          <cell r="D194" t="str">
            <v>OUTSOURCING</v>
          </cell>
          <cell r="E194" t="str">
            <v>03/08/2006</v>
          </cell>
          <cell r="F194" t="str">
            <v>-</v>
          </cell>
          <cell r="G194" t="str">
            <v>-</v>
          </cell>
          <cell r="H194" t="str">
            <v>LOG</v>
          </cell>
          <cell r="I194" t="str">
            <v>WHS</v>
          </cell>
          <cell r="J194" t="str">
            <v>ALL</v>
          </cell>
          <cell r="K194" t="str">
            <v>-</v>
          </cell>
          <cell r="L194" t="str">
            <v>WHS</v>
          </cell>
          <cell r="M194" t="str">
            <v>Storage + handling cutt/PA Mazda</v>
          </cell>
          <cell r="N194" t="str">
            <v>WHS</v>
          </cell>
          <cell r="O194" t="str">
            <v>A</v>
          </cell>
          <cell r="P194" t="str">
            <v>FPS</v>
          </cell>
          <cell r="Q194" t="str">
            <v>OUTSOURCING</v>
          </cell>
          <cell r="R194" t="str">
            <v>OSC OTH</v>
          </cell>
          <cell r="S194" t="str">
            <v>AMP</v>
          </cell>
          <cell r="T194" t="str">
            <v>L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1</v>
          </cell>
          <cell r="AE194">
            <v>0</v>
          </cell>
          <cell r="AF194">
            <v>1</v>
          </cell>
          <cell r="AG194">
            <v>0</v>
          </cell>
        </row>
        <row r="195">
          <cell r="A195">
            <v>1</v>
          </cell>
          <cell r="B195" t="str">
            <v>SM 060768 PL</v>
          </cell>
          <cell r="C195" t="str">
            <v>SUTIONO</v>
          </cell>
          <cell r="D195" t="str">
            <v>OUTSOURCING</v>
          </cell>
          <cell r="E195" t="str">
            <v>03/08/2006</v>
          </cell>
          <cell r="F195" t="str">
            <v>-</v>
          </cell>
          <cell r="G195" t="str">
            <v>-</v>
          </cell>
          <cell r="H195" t="str">
            <v>LOG</v>
          </cell>
          <cell r="I195" t="str">
            <v>WHS</v>
          </cell>
          <cell r="J195" t="str">
            <v>ALL</v>
          </cell>
          <cell r="K195" t="str">
            <v>-</v>
          </cell>
          <cell r="L195" t="str">
            <v>WHS</v>
          </cell>
          <cell r="M195" t="str">
            <v>Storage + handling cutt/PA Holden</v>
          </cell>
          <cell r="N195" t="str">
            <v>WHS</v>
          </cell>
          <cell r="O195" t="str">
            <v>B</v>
          </cell>
          <cell r="P195" t="str">
            <v>FPS</v>
          </cell>
          <cell r="Q195" t="str">
            <v>OUTSOURCING</v>
          </cell>
          <cell r="R195" t="str">
            <v>OSC OTH</v>
          </cell>
          <cell r="S195" t="str">
            <v>AMP</v>
          </cell>
          <cell r="T195" t="str">
            <v>L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1</v>
          </cell>
          <cell r="AE195">
            <v>0</v>
          </cell>
          <cell r="AF195">
            <v>1</v>
          </cell>
          <cell r="AG195">
            <v>0</v>
          </cell>
        </row>
        <row r="196">
          <cell r="A196">
            <v>1</v>
          </cell>
          <cell r="B196" t="str">
            <v>SM 060769 PL</v>
          </cell>
          <cell r="C196" t="str">
            <v>BAHRUL ULUM</v>
          </cell>
          <cell r="D196" t="str">
            <v>OUTSOURCING</v>
          </cell>
          <cell r="E196" t="str">
            <v>03/08/2006</v>
          </cell>
          <cell r="F196" t="str">
            <v>-</v>
          </cell>
          <cell r="G196" t="str">
            <v>-</v>
          </cell>
          <cell r="H196" t="str">
            <v>LOG</v>
          </cell>
          <cell r="I196" t="str">
            <v>WHS</v>
          </cell>
          <cell r="J196" t="str">
            <v>ALL</v>
          </cell>
          <cell r="K196" t="str">
            <v>-</v>
          </cell>
          <cell r="L196" t="str">
            <v>WHS</v>
          </cell>
          <cell r="M196" t="str">
            <v>Storage + handling cutt/PA Mazda</v>
          </cell>
          <cell r="N196" t="str">
            <v>WHS</v>
          </cell>
          <cell r="O196" t="str">
            <v>B</v>
          </cell>
          <cell r="P196" t="str">
            <v>FPS</v>
          </cell>
          <cell r="Q196" t="str">
            <v>OUTSOURCING</v>
          </cell>
          <cell r="R196" t="str">
            <v>OSC OTH</v>
          </cell>
          <cell r="S196" t="str">
            <v>AMP</v>
          </cell>
          <cell r="T196" t="str">
            <v>L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1</v>
          </cell>
          <cell r="AE196">
            <v>0</v>
          </cell>
          <cell r="AF196">
            <v>1</v>
          </cell>
          <cell r="AG196">
            <v>0</v>
          </cell>
        </row>
        <row r="197">
          <cell r="A197">
            <v>1</v>
          </cell>
          <cell r="B197" t="str">
            <v>SM 060770 PL</v>
          </cell>
          <cell r="C197" t="str">
            <v>RUDY PRASTYANTO</v>
          </cell>
          <cell r="D197" t="str">
            <v>OUTSOURCING</v>
          </cell>
          <cell r="E197" t="str">
            <v>03/08/2006</v>
          </cell>
          <cell r="F197" t="str">
            <v>-</v>
          </cell>
          <cell r="G197" t="str">
            <v>-</v>
          </cell>
          <cell r="H197" t="str">
            <v>LOG</v>
          </cell>
          <cell r="I197" t="str">
            <v>WHS</v>
          </cell>
          <cell r="J197" t="str">
            <v>ALL</v>
          </cell>
          <cell r="K197" t="str">
            <v>-</v>
          </cell>
          <cell r="L197" t="str">
            <v>WHS</v>
          </cell>
          <cell r="M197" t="str">
            <v>Spare + list material GDS dari pink card</v>
          </cell>
          <cell r="N197" t="str">
            <v>WHS</v>
          </cell>
          <cell r="O197" t="str">
            <v>A</v>
          </cell>
          <cell r="P197" t="str">
            <v>FPS</v>
          </cell>
          <cell r="Q197" t="str">
            <v>OUTSOURCING</v>
          </cell>
          <cell r="R197" t="str">
            <v>OSC OTH</v>
          </cell>
          <cell r="S197" t="str">
            <v>AMP</v>
          </cell>
          <cell r="T197" t="str">
            <v>L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1</v>
          </cell>
          <cell r="AE197">
            <v>0</v>
          </cell>
          <cell r="AF197">
            <v>1</v>
          </cell>
          <cell r="AG197">
            <v>0</v>
          </cell>
        </row>
        <row r="198">
          <cell r="A198">
            <v>1</v>
          </cell>
          <cell r="B198" t="str">
            <v>SM 060771 PL</v>
          </cell>
          <cell r="C198" t="str">
            <v>EKO ANDY RUMANTYO</v>
          </cell>
          <cell r="D198" t="str">
            <v>OUTSOURCING</v>
          </cell>
          <cell r="E198" t="str">
            <v>03/08/2006</v>
          </cell>
          <cell r="F198" t="str">
            <v>-</v>
          </cell>
          <cell r="G198" t="str">
            <v>-</v>
          </cell>
          <cell r="H198" t="str">
            <v>LOG</v>
          </cell>
          <cell r="I198" t="str">
            <v>WHS</v>
          </cell>
          <cell r="J198" t="str">
            <v>ALL</v>
          </cell>
          <cell r="K198" t="str">
            <v>-</v>
          </cell>
          <cell r="L198" t="str">
            <v>WHS</v>
          </cell>
          <cell r="M198" t="str">
            <v>Storage + handling cutt/PA Holden</v>
          </cell>
          <cell r="N198" t="str">
            <v>WHS</v>
          </cell>
          <cell r="O198" t="str">
            <v>A</v>
          </cell>
          <cell r="P198" t="str">
            <v>FPS</v>
          </cell>
          <cell r="Q198" t="str">
            <v>OUTSOURCING</v>
          </cell>
          <cell r="R198" t="str">
            <v>OSC OTH</v>
          </cell>
          <cell r="S198" t="str">
            <v>AMP</v>
          </cell>
          <cell r="T198" t="str">
            <v>L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1</v>
          </cell>
          <cell r="AE198">
            <v>0</v>
          </cell>
          <cell r="AF198">
            <v>1</v>
          </cell>
          <cell r="AG198">
            <v>0</v>
          </cell>
        </row>
        <row r="199">
          <cell r="A199">
            <v>1</v>
          </cell>
          <cell r="B199" t="str">
            <v>SM 07.05.129</v>
          </cell>
          <cell r="C199" t="str">
            <v>Alvian Abdul G.</v>
          </cell>
          <cell r="D199" t="str">
            <v>OUTSOURCING</v>
          </cell>
          <cell r="E199" t="str">
            <v>20/11/2006</v>
          </cell>
          <cell r="F199" t="str">
            <v>-</v>
          </cell>
          <cell r="G199" t="str">
            <v>-</v>
          </cell>
          <cell r="H199" t="str">
            <v>LOG</v>
          </cell>
          <cell r="I199" t="str">
            <v>WHS</v>
          </cell>
          <cell r="J199" t="str">
            <v>ALL</v>
          </cell>
          <cell r="K199" t="str">
            <v>-</v>
          </cell>
          <cell r="L199" t="str">
            <v>WHS</v>
          </cell>
          <cell r="M199" t="str">
            <v>PIC GDS,Bantu Prepare Material</v>
          </cell>
          <cell r="N199" t="str">
            <v>WHS</v>
          </cell>
          <cell r="O199" t="str">
            <v>B</v>
          </cell>
          <cell r="P199" t="str">
            <v>FPS</v>
          </cell>
          <cell r="Q199" t="str">
            <v>OUTSOURCING</v>
          </cell>
          <cell r="R199" t="str">
            <v>OSC OTH</v>
          </cell>
          <cell r="S199" t="str">
            <v>AMP</v>
          </cell>
          <cell r="T199" t="str">
            <v>L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1</v>
          </cell>
          <cell r="AE199">
            <v>0</v>
          </cell>
          <cell r="AF199">
            <v>1</v>
          </cell>
          <cell r="AG199">
            <v>0</v>
          </cell>
        </row>
        <row r="200">
          <cell r="A200">
            <v>1</v>
          </cell>
          <cell r="B200">
            <v>193</v>
          </cell>
          <cell r="C200" t="str">
            <v>EKA NANINGSIH</v>
          </cell>
          <cell r="D200" t="str">
            <v>ADM-1</v>
          </cell>
          <cell r="E200">
            <v>37679</v>
          </cell>
          <cell r="F200" t="str">
            <v>-</v>
          </cell>
          <cell r="G200" t="str">
            <v>-</v>
          </cell>
          <cell r="H200" t="str">
            <v>NYS</v>
          </cell>
          <cell r="I200" t="str">
            <v>IMPROVEMENT</v>
          </cell>
          <cell r="J200" t="str">
            <v>ALL</v>
          </cell>
          <cell r="K200" t="str">
            <v>-</v>
          </cell>
          <cell r="L200" t="str">
            <v>NYS</v>
          </cell>
          <cell r="M200" t="str">
            <v>-</v>
          </cell>
          <cell r="N200" t="str">
            <v>NYS</v>
          </cell>
          <cell r="O200" t="str">
            <v>NS</v>
          </cell>
          <cell r="P200" t="str">
            <v>FPS</v>
          </cell>
          <cell r="Q200" t="str">
            <v>PERMANENT</v>
          </cell>
          <cell r="R200" t="str">
            <v>PRM</v>
          </cell>
          <cell r="S200" t="str">
            <v>ADM</v>
          </cell>
          <cell r="T200" t="str">
            <v>P</v>
          </cell>
          <cell r="U200">
            <v>0</v>
          </cell>
          <cell r="V200">
            <v>0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1</v>
          </cell>
          <cell r="AE200">
            <v>0</v>
          </cell>
          <cell r="AF200">
            <v>0</v>
          </cell>
          <cell r="AG200">
            <v>0</v>
          </cell>
        </row>
        <row r="201">
          <cell r="A201">
            <v>1</v>
          </cell>
          <cell r="B201">
            <v>1659</v>
          </cell>
          <cell r="C201" t="str">
            <v>NURLAN SIDIQ WAHONO</v>
          </cell>
          <cell r="D201" t="str">
            <v>ES-12</v>
          </cell>
          <cell r="E201">
            <v>38061</v>
          </cell>
          <cell r="F201" t="str">
            <v>-</v>
          </cell>
          <cell r="G201" t="str">
            <v>-</v>
          </cell>
          <cell r="H201" t="str">
            <v>NYS</v>
          </cell>
          <cell r="I201" t="str">
            <v>IMPROVEMENT</v>
          </cell>
          <cell r="J201" t="str">
            <v>ALL</v>
          </cell>
          <cell r="K201" t="str">
            <v>-</v>
          </cell>
          <cell r="L201" t="str">
            <v>NYS</v>
          </cell>
          <cell r="M201" t="str">
            <v>-</v>
          </cell>
          <cell r="N201" t="str">
            <v>NYS</v>
          </cell>
          <cell r="O201" t="str">
            <v>NS</v>
          </cell>
          <cell r="P201" t="str">
            <v>FPS</v>
          </cell>
          <cell r="Q201" t="str">
            <v>PERMANENT</v>
          </cell>
          <cell r="R201" t="str">
            <v>PRM</v>
          </cell>
          <cell r="S201" t="str">
            <v>ES</v>
          </cell>
          <cell r="T201" t="str">
            <v>L</v>
          </cell>
          <cell r="U201">
            <v>0</v>
          </cell>
          <cell r="V201">
            <v>1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1</v>
          </cell>
          <cell r="AE201">
            <v>0</v>
          </cell>
          <cell r="AF201">
            <v>1</v>
          </cell>
          <cell r="AG201">
            <v>0</v>
          </cell>
        </row>
        <row r="202">
          <cell r="A202">
            <v>1</v>
          </cell>
          <cell r="B202">
            <v>4492</v>
          </cell>
          <cell r="C202" t="str">
            <v>TRI WIBOWO</v>
          </cell>
          <cell r="D202" t="str">
            <v>SPV</v>
          </cell>
          <cell r="E202">
            <v>38789</v>
          </cell>
          <cell r="F202" t="str">
            <v>-</v>
          </cell>
          <cell r="G202" t="str">
            <v>-</v>
          </cell>
          <cell r="H202" t="str">
            <v>NYS</v>
          </cell>
          <cell r="I202" t="str">
            <v>IMPROVEMENT</v>
          </cell>
          <cell r="J202" t="str">
            <v>ALL</v>
          </cell>
          <cell r="K202" t="str">
            <v>-</v>
          </cell>
          <cell r="L202" t="str">
            <v>NYS</v>
          </cell>
          <cell r="M202" t="str">
            <v>-</v>
          </cell>
          <cell r="N202" t="str">
            <v>NYS</v>
          </cell>
          <cell r="O202" t="str">
            <v>NS</v>
          </cell>
          <cell r="P202" t="str">
            <v>FPS</v>
          </cell>
          <cell r="Q202" t="str">
            <v>PERMANENT</v>
          </cell>
          <cell r="R202" t="str">
            <v>PRM</v>
          </cell>
          <cell r="S202" t="str">
            <v>SPV</v>
          </cell>
          <cell r="T202" t="str">
            <v>L</v>
          </cell>
          <cell r="U202">
            <v>1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1</v>
          </cell>
          <cell r="AE202">
            <v>0</v>
          </cell>
          <cell r="AF202">
            <v>1</v>
          </cell>
          <cell r="AG202">
            <v>0</v>
          </cell>
        </row>
        <row r="203">
          <cell r="A203">
            <v>1</v>
          </cell>
          <cell r="B203">
            <v>5685</v>
          </cell>
          <cell r="C203" t="str">
            <v>AHMAD MUNHAMIR</v>
          </cell>
          <cell r="D203" t="str">
            <v>OPT-134</v>
          </cell>
          <cell r="E203">
            <v>39098</v>
          </cell>
          <cell r="F203">
            <v>39098</v>
          </cell>
          <cell r="G203">
            <v>39462</v>
          </cell>
          <cell r="H203" t="str">
            <v>NYS</v>
          </cell>
          <cell r="I203" t="str">
            <v>IMPROVEMENT</v>
          </cell>
          <cell r="J203" t="str">
            <v>ALL</v>
          </cell>
          <cell r="K203" t="str">
            <v>-</v>
          </cell>
          <cell r="L203" t="str">
            <v>NYS</v>
          </cell>
          <cell r="M203" t="str">
            <v>-</v>
          </cell>
          <cell r="N203" t="str">
            <v>NYS</v>
          </cell>
          <cell r="O203" t="str">
            <v>NS</v>
          </cell>
          <cell r="P203" t="str">
            <v>FPS</v>
          </cell>
          <cell r="Q203" t="str">
            <v>CONTRACT</v>
          </cell>
          <cell r="R203" t="str">
            <v>C3</v>
          </cell>
          <cell r="S203" t="str">
            <v>OPT</v>
          </cell>
          <cell r="T203" t="str">
            <v>L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1</v>
          </cell>
          <cell r="AA203">
            <v>0</v>
          </cell>
          <cell r="AB203">
            <v>0</v>
          </cell>
          <cell r="AC203">
            <v>0</v>
          </cell>
          <cell r="AD203">
            <v>1</v>
          </cell>
          <cell r="AE203">
            <v>0</v>
          </cell>
          <cell r="AF203">
            <v>1</v>
          </cell>
          <cell r="AG203">
            <v>0</v>
          </cell>
        </row>
        <row r="204">
          <cell r="A204">
            <v>1</v>
          </cell>
          <cell r="B204">
            <v>5812</v>
          </cell>
          <cell r="C204" t="str">
            <v>SITI RONDIYAH</v>
          </cell>
          <cell r="D204" t="str">
            <v>OPT-135</v>
          </cell>
          <cell r="E204">
            <v>39114</v>
          </cell>
          <cell r="F204">
            <v>39114</v>
          </cell>
          <cell r="G204">
            <v>39478</v>
          </cell>
          <cell r="H204" t="str">
            <v>NYS</v>
          </cell>
          <cell r="I204" t="str">
            <v>IMPROVEMENT</v>
          </cell>
          <cell r="J204" t="str">
            <v>ALL</v>
          </cell>
          <cell r="K204" t="str">
            <v>-</v>
          </cell>
          <cell r="L204" t="str">
            <v>NYS</v>
          </cell>
          <cell r="M204" t="str">
            <v>-</v>
          </cell>
          <cell r="N204" t="str">
            <v>NYS</v>
          </cell>
          <cell r="O204" t="str">
            <v>NS</v>
          </cell>
          <cell r="P204" t="str">
            <v>FPS</v>
          </cell>
          <cell r="Q204" t="str">
            <v>CONTRACT</v>
          </cell>
          <cell r="R204" t="str">
            <v>C3</v>
          </cell>
          <cell r="S204" t="str">
            <v>OPT</v>
          </cell>
          <cell r="T204" t="str">
            <v>P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0</v>
          </cell>
        </row>
        <row r="205">
          <cell r="A205">
            <v>1</v>
          </cell>
          <cell r="B205">
            <v>6050</v>
          </cell>
          <cell r="C205" t="str">
            <v>DWI UMI NURYATI</v>
          </cell>
          <cell r="D205" t="str">
            <v>OPT-139</v>
          </cell>
          <cell r="E205">
            <v>39142</v>
          </cell>
          <cell r="F205">
            <v>39142</v>
          </cell>
          <cell r="G205">
            <v>39506</v>
          </cell>
          <cell r="H205" t="str">
            <v>NYS</v>
          </cell>
          <cell r="I205" t="str">
            <v>IMPROVEMENT</v>
          </cell>
          <cell r="J205" t="str">
            <v>ALL</v>
          </cell>
          <cell r="K205" t="str">
            <v>-</v>
          </cell>
          <cell r="L205" t="str">
            <v>NYS</v>
          </cell>
          <cell r="M205" t="str">
            <v>-</v>
          </cell>
          <cell r="N205" t="str">
            <v>NYS</v>
          </cell>
          <cell r="O205" t="str">
            <v>NS</v>
          </cell>
          <cell r="P205" t="str">
            <v>FPS</v>
          </cell>
          <cell r="Q205" t="str">
            <v>CONTRACT</v>
          </cell>
          <cell r="R205" t="str">
            <v>C3</v>
          </cell>
          <cell r="S205" t="str">
            <v>OPT</v>
          </cell>
          <cell r="T205" t="str">
            <v>P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1</v>
          </cell>
          <cell r="AA205">
            <v>0</v>
          </cell>
          <cell r="AB205">
            <v>0</v>
          </cell>
          <cell r="AC205">
            <v>0</v>
          </cell>
          <cell r="AD205">
            <v>1</v>
          </cell>
          <cell r="AE205">
            <v>0</v>
          </cell>
          <cell r="AF205">
            <v>0</v>
          </cell>
          <cell r="AG205">
            <v>0</v>
          </cell>
        </row>
        <row r="206">
          <cell r="A206">
            <v>1</v>
          </cell>
          <cell r="B206">
            <v>6187</v>
          </cell>
          <cell r="C206" t="str">
            <v>HERMAWAN</v>
          </cell>
          <cell r="D206" t="str">
            <v>OPT-141</v>
          </cell>
          <cell r="E206">
            <v>39173</v>
          </cell>
          <cell r="F206">
            <v>39173</v>
          </cell>
          <cell r="G206">
            <v>39538</v>
          </cell>
          <cell r="H206" t="str">
            <v>NYS</v>
          </cell>
          <cell r="I206" t="str">
            <v>IMPROVEMENT</v>
          </cell>
          <cell r="J206" t="str">
            <v>ALL</v>
          </cell>
          <cell r="K206" t="str">
            <v>-</v>
          </cell>
          <cell r="L206" t="str">
            <v>NYS</v>
          </cell>
          <cell r="M206" t="str">
            <v>-</v>
          </cell>
          <cell r="N206" t="str">
            <v>NYS</v>
          </cell>
          <cell r="O206" t="str">
            <v>NS</v>
          </cell>
          <cell r="P206" t="str">
            <v>FPS</v>
          </cell>
          <cell r="Q206" t="str">
            <v>CONTRACT</v>
          </cell>
          <cell r="R206" t="str">
            <v>C3</v>
          </cell>
          <cell r="S206" t="str">
            <v>OPT</v>
          </cell>
          <cell r="T206" t="str">
            <v>L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1</v>
          </cell>
          <cell r="AA206">
            <v>0</v>
          </cell>
          <cell r="AB206">
            <v>0</v>
          </cell>
          <cell r="AC206">
            <v>0</v>
          </cell>
          <cell r="AD206">
            <v>1</v>
          </cell>
          <cell r="AE206">
            <v>0</v>
          </cell>
          <cell r="AF206">
            <v>1</v>
          </cell>
          <cell r="AG206">
            <v>0</v>
          </cell>
        </row>
        <row r="207">
          <cell r="A207">
            <v>1</v>
          </cell>
          <cell r="B207">
            <v>6197</v>
          </cell>
          <cell r="C207" t="str">
            <v>PURYANTO</v>
          </cell>
          <cell r="D207" t="str">
            <v>ADM-33</v>
          </cell>
          <cell r="E207">
            <v>39173</v>
          </cell>
          <cell r="F207">
            <v>39173</v>
          </cell>
          <cell r="G207">
            <v>39538</v>
          </cell>
          <cell r="H207" t="str">
            <v>NYS</v>
          </cell>
          <cell r="I207" t="str">
            <v>IMPROVEMENT</v>
          </cell>
          <cell r="J207" t="str">
            <v>ALL</v>
          </cell>
          <cell r="K207" t="str">
            <v>-</v>
          </cell>
          <cell r="L207" t="str">
            <v>NYS</v>
          </cell>
          <cell r="M207" t="str">
            <v>-</v>
          </cell>
          <cell r="N207" t="str">
            <v>NYS</v>
          </cell>
          <cell r="O207" t="str">
            <v>NS</v>
          </cell>
          <cell r="P207" t="str">
            <v>FPS</v>
          </cell>
          <cell r="Q207" t="str">
            <v>CONTRACT</v>
          </cell>
          <cell r="R207" t="str">
            <v>C3</v>
          </cell>
          <cell r="S207" t="str">
            <v>ADM</v>
          </cell>
          <cell r="T207" t="str">
            <v>L</v>
          </cell>
          <cell r="U207">
            <v>0</v>
          </cell>
          <cell r="V207">
            <v>0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1</v>
          </cell>
          <cell r="AE207">
            <v>0</v>
          </cell>
          <cell r="AF207">
            <v>1</v>
          </cell>
          <cell r="AG207">
            <v>0</v>
          </cell>
        </row>
        <row r="208">
          <cell r="A208">
            <v>1</v>
          </cell>
          <cell r="B208">
            <v>1068</v>
          </cell>
          <cell r="C208" t="str">
            <v>BUDI SANTOSO</v>
          </cell>
          <cell r="D208" t="str">
            <v>ES-8</v>
          </cell>
          <cell r="E208">
            <v>37879</v>
          </cell>
          <cell r="F208" t="str">
            <v>-</v>
          </cell>
          <cell r="G208" t="str">
            <v>-</v>
          </cell>
          <cell r="H208" t="str">
            <v>NYS</v>
          </cell>
          <cell r="I208" t="str">
            <v>PFP</v>
          </cell>
          <cell r="J208" t="str">
            <v>ALL</v>
          </cell>
          <cell r="K208" t="str">
            <v>-</v>
          </cell>
          <cell r="L208" t="str">
            <v>PFP</v>
          </cell>
          <cell r="M208" t="str">
            <v>-</v>
          </cell>
          <cell r="N208" t="str">
            <v>PFP</v>
          </cell>
          <cell r="O208" t="str">
            <v>NS</v>
          </cell>
          <cell r="P208" t="str">
            <v>FPS</v>
          </cell>
          <cell r="Q208" t="str">
            <v>PERMANENT</v>
          </cell>
          <cell r="R208" t="str">
            <v>PRM</v>
          </cell>
          <cell r="S208" t="str">
            <v>ES</v>
          </cell>
          <cell r="T208" t="str">
            <v>L</v>
          </cell>
          <cell r="U208">
            <v>0</v>
          </cell>
          <cell r="V208">
            <v>1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1</v>
          </cell>
          <cell r="AE208">
            <v>0</v>
          </cell>
          <cell r="AF208">
            <v>1</v>
          </cell>
          <cell r="AG208">
            <v>0</v>
          </cell>
        </row>
        <row r="209">
          <cell r="A209">
            <v>1</v>
          </cell>
          <cell r="B209">
            <v>1447</v>
          </cell>
          <cell r="C209" t="str">
            <v>PEBRI YANTO</v>
          </cell>
          <cell r="D209" t="str">
            <v>TKN-7</v>
          </cell>
          <cell r="E209">
            <v>37970</v>
          </cell>
          <cell r="F209" t="str">
            <v>-</v>
          </cell>
          <cell r="G209" t="str">
            <v>-</v>
          </cell>
          <cell r="H209" t="str">
            <v>NYS</v>
          </cell>
          <cell r="I209" t="str">
            <v>PFP</v>
          </cell>
          <cell r="J209" t="str">
            <v>ALL</v>
          </cell>
          <cell r="K209" t="str">
            <v>-</v>
          </cell>
          <cell r="L209" t="str">
            <v>PFP</v>
          </cell>
          <cell r="M209" t="str">
            <v>-</v>
          </cell>
          <cell r="N209" t="str">
            <v>PFP</v>
          </cell>
          <cell r="O209" t="str">
            <v>NS</v>
          </cell>
          <cell r="P209" t="str">
            <v>FPS</v>
          </cell>
          <cell r="Q209" t="str">
            <v>PERMANENT</v>
          </cell>
          <cell r="R209" t="str">
            <v>PRM</v>
          </cell>
          <cell r="S209" t="str">
            <v>TKN</v>
          </cell>
          <cell r="T209" t="str">
            <v>L</v>
          </cell>
          <cell r="U209">
            <v>0</v>
          </cell>
          <cell r="V209">
            <v>0</v>
          </cell>
          <cell r="W209">
            <v>0</v>
          </cell>
          <cell r="X209">
            <v>1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1</v>
          </cell>
          <cell r="AE209">
            <v>0</v>
          </cell>
          <cell r="AF209">
            <v>1</v>
          </cell>
          <cell r="AG209">
            <v>0</v>
          </cell>
        </row>
        <row r="210">
          <cell r="A210">
            <v>1</v>
          </cell>
          <cell r="B210">
            <v>2269</v>
          </cell>
          <cell r="C210" t="str">
            <v>ANIS NOVIYANTO</v>
          </cell>
          <cell r="D210" t="str">
            <v>ES-15</v>
          </cell>
          <cell r="E210">
            <v>38176</v>
          </cell>
          <cell r="F210" t="str">
            <v>-</v>
          </cell>
          <cell r="G210" t="str">
            <v>-</v>
          </cell>
          <cell r="H210" t="str">
            <v>NYS</v>
          </cell>
          <cell r="I210" t="str">
            <v>PFP</v>
          </cell>
          <cell r="J210" t="str">
            <v>ALL</v>
          </cell>
          <cell r="K210" t="str">
            <v>-</v>
          </cell>
          <cell r="L210" t="str">
            <v>PFP</v>
          </cell>
          <cell r="M210" t="str">
            <v>-</v>
          </cell>
          <cell r="N210" t="str">
            <v>PFP</v>
          </cell>
          <cell r="O210" t="str">
            <v>NS</v>
          </cell>
          <cell r="P210" t="str">
            <v>FPS</v>
          </cell>
          <cell r="Q210" t="str">
            <v>PERMANENT</v>
          </cell>
          <cell r="R210" t="str">
            <v>PRM</v>
          </cell>
          <cell r="S210" t="str">
            <v>ES</v>
          </cell>
          <cell r="T210" t="str">
            <v>L</v>
          </cell>
          <cell r="U210">
            <v>0</v>
          </cell>
          <cell r="V210">
            <v>1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1</v>
          </cell>
          <cell r="AE210">
            <v>0</v>
          </cell>
          <cell r="AF210">
            <v>1</v>
          </cell>
          <cell r="AG210">
            <v>0</v>
          </cell>
        </row>
        <row r="211">
          <cell r="A211">
            <v>1</v>
          </cell>
          <cell r="B211">
            <v>2273</v>
          </cell>
          <cell r="C211" t="str">
            <v>WINAYANGSIH</v>
          </cell>
          <cell r="D211" t="str">
            <v>ES-15</v>
          </cell>
          <cell r="E211">
            <v>38176</v>
          </cell>
          <cell r="F211" t="str">
            <v>-</v>
          </cell>
          <cell r="G211" t="str">
            <v>-</v>
          </cell>
          <cell r="H211" t="str">
            <v>NYS</v>
          </cell>
          <cell r="I211" t="str">
            <v>PFP</v>
          </cell>
          <cell r="J211" t="str">
            <v>ALL</v>
          </cell>
          <cell r="K211" t="str">
            <v>-</v>
          </cell>
          <cell r="L211" t="str">
            <v>PFP</v>
          </cell>
          <cell r="M211" t="str">
            <v>-</v>
          </cell>
          <cell r="N211" t="str">
            <v>PFP</v>
          </cell>
          <cell r="O211" t="str">
            <v>NS</v>
          </cell>
          <cell r="P211" t="str">
            <v>FPS</v>
          </cell>
          <cell r="Q211" t="str">
            <v>PERMANENT</v>
          </cell>
          <cell r="R211" t="str">
            <v>PRM</v>
          </cell>
          <cell r="S211" t="str">
            <v>ES</v>
          </cell>
          <cell r="T211" t="str">
            <v>P</v>
          </cell>
          <cell r="U211">
            <v>0</v>
          </cell>
          <cell r="V211">
            <v>1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1</v>
          </cell>
          <cell r="AE211">
            <v>0</v>
          </cell>
          <cell r="AF211">
            <v>0</v>
          </cell>
          <cell r="AG211">
            <v>0</v>
          </cell>
        </row>
        <row r="212">
          <cell r="A212">
            <v>1</v>
          </cell>
          <cell r="B212">
            <v>5556</v>
          </cell>
          <cell r="C212" t="str">
            <v>DEDDY YUDHA KUSUMA</v>
          </cell>
          <cell r="D212" t="str">
            <v>TKN-33</v>
          </cell>
          <cell r="E212">
            <v>39052</v>
          </cell>
          <cell r="F212">
            <v>39052</v>
          </cell>
          <cell r="G212">
            <v>39416</v>
          </cell>
          <cell r="H212" t="str">
            <v>NYS</v>
          </cell>
          <cell r="I212" t="str">
            <v>PFP</v>
          </cell>
          <cell r="J212" t="str">
            <v>ALL</v>
          </cell>
          <cell r="K212" t="str">
            <v>-</v>
          </cell>
          <cell r="L212" t="str">
            <v>PFP</v>
          </cell>
          <cell r="M212" t="str">
            <v>-</v>
          </cell>
          <cell r="N212" t="str">
            <v>PFP</v>
          </cell>
          <cell r="O212" t="str">
            <v>NS</v>
          </cell>
          <cell r="P212" t="str">
            <v>FPS</v>
          </cell>
          <cell r="Q212" t="str">
            <v>CONTRACT</v>
          </cell>
          <cell r="R212" t="str">
            <v>C3</v>
          </cell>
          <cell r="S212" t="str">
            <v>TKN</v>
          </cell>
          <cell r="T212" t="str">
            <v>L</v>
          </cell>
          <cell r="U212">
            <v>0</v>
          </cell>
          <cell r="V212">
            <v>0</v>
          </cell>
          <cell r="W212">
            <v>0</v>
          </cell>
          <cell r="X212">
            <v>1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1</v>
          </cell>
          <cell r="AE212">
            <v>0</v>
          </cell>
          <cell r="AF212">
            <v>1</v>
          </cell>
          <cell r="AG212">
            <v>0</v>
          </cell>
        </row>
        <row r="213">
          <cell r="A213">
            <v>1</v>
          </cell>
          <cell r="B213">
            <v>5783</v>
          </cell>
          <cell r="C213" t="str">
            <v>MARIYATUN</v>
          </cell>
          <cell r="D213" t="str">
            <v>OPT-135</v>
          </cell>
          <cell r="E213">
            <v>39114</v>
          </cell>
          <cell r="F213">
            <v>39114</v>
          </cell>
          <cell r="G213">
            <v>39478</v>
          </cell>
          <cell r="H213" t="str">
            <v>NYS</v>
          </cell>
          <cell r="I213" t="str">
            <v>PFP</v>
          </cell>
          <cell r="J213" t="str">
            <v>ALL</v>
          </cell>
          <cell r="K213" t="str">
            <v>-</v>
          </cell>
          <cell r="L213" t="str">
            <v>PFP</v>
          </cell>
          <cell r="M213" t="str">
            <v>-</v>
          </cell>
          <cell r="N213" t="str">
            <v>PFP</v>
          </cell>
          <cell r="O213" t="str">
            <v>NS</v>
          </cell>
          <cell r="P213" t="str">
            <v>FPS</v>
          </cell>
          <cell r="Q213" t="str">
            <v>CONTRACT</v>
          </cell>
          <cell r="R213" t="str">
            <v>C3</v>
          </cell>
          <cell r="S213" t="str">
            <v>OPT</v>
          </cell>
          <cell r="T213" t="str">
            <v>P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</v>
          </cell>
          <cell r="AA213">
            <v>0</v>
          </cell>
          <cell r="AB213">
            <v>0</v>
          </cell>
          <cell r="AC213">
            <v>0</v>
          </cell>
          <cell r="AD213">
            <v>1</v>
          </cell>
          <cell r="AE213">
            <v>0</v>
          </cell>
          <cell r="AF213">
            <v>0</v>
          </cell>
          <cell r="AG213">
            <v>0</v>
          </cell>
        </row>
        <row r="214">
          <cell r="A214">
            <v>1</v>
          </cell>
          <cell r="B214">
            <v>6109</v>
          </cell>
          <cell r="C214" t="str">
            <v>ARDIKA BAYU ROFIKO</v>
          </cell>
          <cell r="D214" t="str">
            <v>TKN-37</v>
          </cell>
          <cell r="E214">
            <v>39142</v>
          </cell>
          <cell r="F214">
            <v>39142</v>
          </cell>
          <cell r="G214">
            <v>39506</v>
          </cell>
          <cell r="H214" t="str">
            <v>NYS</v>
          </cell>
          <cell r="I214" t="str">
            <v>PFP</v>
          </cell>
          <cell r="J214" t="str">
            <v>ALL</v>
          </cell>
          <cell r="K214" t="str">
            <v>-</v>
          </cell>
          <cell r="L214" t="str">
            <v>PFP</v>
          </cell>
          <cell r="M214" t="str">
            <v>-</v>
          </cell>
          <cell r="N214" t="str">
            <v>PFP</v>
          </cell>
          <cell r="O214" t="str">
            <v>NS</v>
          </cell>
          <cell r="P214" t="str">
            <v>FPS</v>
          </cell>
          <cell r="Q214" t="str">
            <v>CONTRACT</v>
          </cell>
          <cell r="R214" t="str">
            <v>C3</v>
          </cell>
          <cell r="S214" t="str">
            <v>TKN</v>
          </cell>
          <cell r="T214" t="str">
            <v>L</v>
          </cell>
          <cell r="U214">
            <v>0</v>
          </cell>
          <cell r="V214">
            <v>0</v>
          </cell>
          <cell r="W214">
            <v>0</v>
          </cell>
          <cell r="X214">
            <v>1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1</v>
          </cell>
          <cell r="AE214">
            <v>0</v>
          </cell>
          <cell r="AF214">
            <v>1</v>
          </cell>
          <cell r="AG214">
            <v>0</v>
          </cell>
        </row>
        <row r="215">
          <cell r="A215">
            <v>1</v>
          </cell>
          <cell r="B215">
            <v>6114</v>
          </cell>
          <cell r="C215" t="str">
            <v>IMAM SUSILO</v>
          </cell>
          <cell r="D215" t="str">
            <v>TKN-37</v>
          </cell>
          <cell r="E215">
            <v>39142</v>
          </cell>
          <cell r="F215">
            <v>39142</v>
          </cell>
          <cell r="G215">
            <v>39506</v>
          </cell>
          <cell r="H215" t="str">
            <v>NYS</v>
          </cell>
          <cell r="I215" t="str">
            <v>PFP</v>
          </cell>
          <cell r="J215" t="str">
            <v>ALL</v>
          </cell>
          <cell r="K215" t="str">
            <v>-</v>
          </cell>
          <cell r="L215" t="str">
            <v>PFP</v>
          </cell>
          <cell r="M215" t="str">
            <v>-</v>
          </cell>
          <cell r="N215" t="str">
            <v>PFP</v>
          </cell>
          <cell r="O215" t="str">
            <v>NS</v>
          </cell>
          <cell r="P215" t="str">
            <v>FPS</v>
          </cell>
          <cell r="Q215" t="str">
            <v>CONTRACT</v>
          </cell>
          <cell r="R215" t="str">
            <v>C3</v>
          </cell>
          <cell r="S215" t="str">
            <v>TKN</v>
          </cell>
          <cell r="T215" t="str">
            <v>L</v>
          </cell>
          <cell r="U215">
            <v>0</v>
          </cell>
          <cell r="V215">
            <v>0</v>
          </cell>
          <cell r="W215">
            <v>0</v>
          </cell>
          <cell r="X215">
            <v>1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1</v>
          </cell>
          <cell r="AE215">
            <v>0</v>
          </cell>
          <cell r="AF215">
            <v>1</v>
          </cell>
          <cell r="AG215">
            <v>0</v>
          </cell>
        </row>
        <row r="216">
          <cell r="A216">
            <v>1</v>
          </cell>
          <cell r="B216">
            <v>6165</v>
          </cell>
          <cell r="C216" t="str">
            <v>SRI MULYANI</v>
          </cell>
          <cell r="D216" t="str">
            <v>OPT-140</v>
          </cell>
          <cell r="E216">
            <v>39157</v>
          </cell>
          <cell r="F216">
            <v>39157</v>
          </cell>
          <cell r="G216">
            <v>39522</v>
          </cell>
          <cell r="H216" t="str">
            <v>NYS</v>
          </cell>
          <cell r="I216" t="str">
            <v>PFP</v>
          </cell>
          <cell r="J216" t="str">
            <v>ALL</v>
          </cell>
          <cell r="K216" t="str">
            <v>-</v>
          </cell>
          <cell r="L216" t="str">
            <v>PFP</v>
          </cell>
          <cell r="M216" t="str">
            <v>-</v>
          </cell>
          <cell r="N216" t="str">
            <v>PFP</v>
          </cell>
          <cell r="O216" t="str">
            <v>NS</v>
          </cell>
          <cell r="P216" t="str">
            <v>FPS</v>
          </cell>
          <cell r="Q216" t="str">
            <v>CONTRACT</v>
          </cell>
          <cell r="R216" t="str">
            <v>C3</v>
          </cell>
          <cell r="S216" t="str">
            <v>OPT</v>
          </cell>
          <cell r="T216" t="str">
            <v>P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</v>
          </cell>
          <cell r="AA216">
            <v>0</v>
          </cell>
          <cell r="AB216">
            <v>0</v>
          </cell>
          <cell r="AC216">
            <v>0</v>
          </cell>
          <cell r="AD216">
            <v>1</v>
          </cell>
          <cell r="AE216">
            <v>0</v>
          </cell>
          <cell r="AF216">
            <v>0</v>
          </cell>
          <cell r="AG216">
            <v>0</v>
          </cell>
        </row>
        <row r="217">
          <cell r="A217">
            <v>1</v>
          </cell>
          <cell r="B217">
            <v>5684</v>
          </cell>
          <cell r="C217" t="str">
            <v>ABDUL AZIS AL HUDHA</v>
          </cell>
          <cell r="D217" t="str">
            <v>OPT-134</v>
          </cell>
          <cell r="E217">
            <v>39098</v>
          </cell>
          <cell r="F217">
            <v>39098</v>
          </cell>
          <cell r="G217">
            <v>39462</v>
          </cell>
          <cell r="H217" t="str">
            <v>NYS</v>
          </cell>
          <cell r="I217" t="str">
            <v>PFP</v>
          </cell>
          <cell r="J217" t="str">
            <v>ALL</v>
          </cell>
          <cell r="K217" t="str">
            <v>-</v>
          </cell>
          <cell r="L217" t="str">
            <v>PFP</v>
          </cell>
          <cell r="M217" t="str">
            <v>RELAYOUT</v>
          </cell>
          <cell r="N217" t="str">
            <v>PFP</v>
          </cell>
          <cell r="O217" t="str">
            <v>NS</v>
          </cell>
          <cell r="P217" t="str">
            <v>FPS</v>
          </cell>
          <cell r="Q217" t="str">
            <v>CONTRACT</v>
          </cell>
          <cell r="R217" t="str">
            <v>C3</v>
          </cell>
          <cell r="S217" t="str">
            <v>OPT</v>
          </cell>
          <cell r="T217" t="str">
            <v>L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1</v>
          </cell>
          <cell r="AA217">
            <v>0</v>
          </cell>
          <cell r="AB217">
            <v>0</v>
          </cell>
          <cell r="AC217">
            <v>0</v>
          </cell>
          <cell r="AD217">
            <v>1</v>
          </cell>
          <cell r="AE217">
            <v>0</v>
          </cell>
          <cell r="AF217">
            <v>1</v>
          </cell>
          <cell r="AG217">
            <v>0</v>
          </cell>
        </row>
        <row r="218">
          <cell r="A218">
            <v>1</v>
          </cell>
          <cell r="B218">
            <v>5692</v>
          </cell>
          <cell r="C218" t="str">
            <v>BUDI PURNOMO</v>
          </cell>
          <cell r="D218" t="str">
            <v>OPT-134</v>
          </cell>
          <cell r="E218">
            <v>39098</v>
          </cell>
          <cell r="F218">
            <v>39098</v>
          </cell>
          <cell r="G218">
            <v>39462</v>
          </cell>
          <cell r="H218" t="str">
            <v>NYS</v>
          </cell>
          <cell r="I218" t="str">
            <v>PFP</v>
          </cell>
          <cell r="J218" t="str">
            <v>ALL</v>
          </cell>
          <cell r="K218" t="str">
            <v>-</v>
          </cell>
          <cell r="L218" t="str">
            <v>PFP</v>
          </cell>
          <cell r="M218" t="str">
            <v>RELAYOUT</v>
          </cell>
          <cell r="N218" t="str">
            <v>PFP</v>
          </cell>
          <cell r="O218" t="str">
            <v>NS</v>
          </cell>
          <cell r="P218" t="str">
            <v>FPS</v>
          </cell>
          <cell r="Q218" t="str">
            <v>CONTRACT</v>
          </cell>
          <cell r="R218" t="str">
            <v>C3</v>
          </cell>
          <cell r="S218" t="str">
            <v>OPT</v>
          </cell>
          <cell r="T218" t="str">
            <v>L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</v>
          </cell>
          <cell r="AA218">
            <v>0</v>
          </cell>
          <cell r="AB218">
            <v>0</v>
          </cell>
          <cell r="AC218">
            <v>0</v>
          </cell>
          <cell r="AD218">
            <v>1</v>
          </cell>
          <cell r="AE218">
            <v>0</v>
          </cell>
          <cell r="AF218">
            <v>1</v>
          </cell>
          <cell r="AG218">
            <v>0</v>
          </cell>
        </row>
        <row r="219">
          <cell r="A219">
            <v>1</v>
          </cell>
          <cell r="B219">
            <v>3791</v>
          </cell>
          <cell r="C219" t="str">
            <v>M.HUSNUL MUBAROK</v>
          </cell>
          <cell r="D219" t="str">
            <v>OPT-102</v>
          </cell>
          <cell r="E219">
            <v>38707</v>
          </cell>
          <cell r="F219">
            <v>39083</v>
          </cell>
          <cell r="G219">
            <v>39447</v>
          </cell>
          <cell r="H219" t="str">
            <v>NYS</v>
          </cell>
          <cell r="I219" t="str">
            <v>PFP</v>
          </cell>
          <cell r="J219" t="str">
            <v>ALL</v>
          </cell>
          <cell r="K219" t="str">
            <v>-</v>
          </cell>
          <cell r="L219" t="str">
            <v>PFP</v>
          </cell>
          <cell r="M219" t="str">
            <v>RELAYOUT</v>
          </cell>
          <cell r="N219" t="str">
            <v>PFP</v>
          </cell>
          <cell r="O219" t="str">
            <v>NS</v>
          </cell>
          <cell r="P219" t="str">
            <v>FPS</v>
          </cell>
          <cell r="Q219" t="str">
            <v>CONTRACT</v>
          </cell>
          <cell r="R219" t="str">
            <v>C2</v>
          </cell>
          <cell r="S219" t="str">
            <v>GL</v>
          </cell>
          <cell r="T219" t="str">
            <v>L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1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1</v>
          </cell>
          <cell r="AG219">
            <v>0</v>
          </cell>
        </row>
        <row r="220">
          <cell r="A220">
            <v>1</v>
          </cell>
          <cell r="B220">
            <v>6107</v>
          </cell>
          <cell r="C220" t="str">
            <v>YUSUF DWI SUSILO</v>
          </cell>
          <cell r="D220" t="str">
            <v>OPT-139</v>
          </cell>
          <cell r="E220">
            <v>39142</v>
          </cell>
          <cell r="F220">
            <v>39142</v>
          </cell>
          <cell r="G220">
            <v>39506</v>
          </cell>
          <cell r="H220" t="str">
            <v>NYS</v>
          </cell>
          <cell r="I220" t="str">
            <v>PFP</v>
          </cell>
          <cell r="J220" t="str">
            <v>ALL</v>
          </cell>
          <cell r="K220" t="str">
            <v>-</v>
          </cell>
          <cell r="L220" t="str">
            <v>PFP</v>
          </cell>
          <cell r="M220" t="str">
            <v>RELAYOUT</v>
          </cell>
          <cell r="N220" t="str">
            <v>PFP</v>
          </cell>
          <cell r="O220" t="str">
            <v>NS</v>
          </cell>
          <cell r="P220" t="str">
            <v>FPS</v>
          </cell>
          <cell r="Q220" t="str">
            <v>CONTRACT</v>
          </cell>
          <cell r="R220" t="str">
            <v>C3</v>
          </cell>
          <cell r="S220" t="str">
            <v>GL</v>
          </cell>
          <cell r="T220" t="str">
            <v>L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1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1</v>
          </cell>
          <cell r="AG220">
            <v>0</v>
          </cell>
        </row>
        <row r="221">
          <cell r="A221">
            <v>1</v>
          </cell>
          <cell r="B221">
            <v>233</v>
          </cell>
          <cell r="C221" t="str">
            <v>MARDIYANTI WIDY ASTUTI</v>
          </cell>
          <cell r="D221" t="str">
            <v>OPT-6</v>
          </cell>
          <cell r="E221">
            <v>37697</v>
          </cell>
          <cell r="F221" t="str">
            <v>-</v>
          </cell>
          <cell r="G221" t="str">
            <v>-</v>
          </cell>
          <cell r="H221" t="str">
            <v>PD</v>
          </cell>
          <cell r="I221" t="str">
            <v>DE LAMBDA</v>
          </cell>
          <cell r="J221" t="str">
            <v>ALL</v>
          </cell>
          <cell r="K221" t="str">
            <v>-</v>
          </cell>
          <cell r="L221" t="str">
            <v>DE</v>
          </cell>
          <cell r="M221" t="str">
            <v>PLCT</v>
          </cell>
          <cell r="N221" t="str">
            <v>DE</v>
          </cell>
          <cell r="O221" t="str">
            <v>NS</v>
          </cell>
          <cell r="P221" t="str">
            <v>FPS</v>
          </cell>
          <cell r="Q221" t="str">
            <v>PERMANENT</v>
          </cell>
          <cell r="R221" t="str">
            <v>PRM</v>
          </cell>
          <cell r="S221" t="str">
            <v>OPT</v>
          </cell>
          <cell r="T221" t="str">
            <v>P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1</v>
          </cell>
          <cell r="AA221">
            <v>0</v>
          </cell>
          <cell r="AB221">
            <v>0</v>
          </cell>
          <cell r="AC221">
            <v>0</v>
          </cell>
          <cell r="AD221">
            <v>1</v>
          </cell>
          <cell r="AE221">
            <v>0</v>
          </cell>
          <cell r="AF221">
            <v>0</v>
          </cell>
          <cell r="AG221">
            <v>0</v>
          </cell>
        </row>
        <row r="222">
          <cell r="A222">
            <v>1</v>
          </cell>
          <cell r="B222">
            <v>515</v>
          </cell>
          <cell r="C222" t="str">
            <v>TRI HARYANTI</v>
          </cell>
          <cell r="D222" t="str">
            <v>OPT-14</v>
          </cell>
          <cell r="E222">
            <v>37767</v>
          </cell>
          <cell r="F222" t="str">
            <v>-</v>
          </cell>
          <cell r="G222" t="str">
            <v>-</v>
          </cell>
          <cell r="H222" t="str">
            <v>PD</v>
          </cell>
          <cell r="I222" t="str">
            <v>DE HOLDEN</v>
          </cell>
          <cell r="J222" t="str">
            <v>ALL</v>
          </cell>
          <cell r="K222" t="str">
            <v>-</v>
          </cell>
          <cell r="L222" t="str">
            <v>DE</v>
          </cell>
          <cell r="M222" t="str">
            <v>DRAFTER</v>
          </cell>
          <cell r="N222" t="str">
            <v>DE</v>
          </cell>
          <cell r="O222" t="str">
            <v>NS</v>
          </cell>
          <cell r="P222" t="str">
            <v>FPS</v>
          </cell>
          <cell r="Q222" t="str">
            <v>PERMANENT</v>
          </cell>
          <cell r="R222" t="str">
            <v>PRM</v>
          </cell>
          <cell r="S222" t="str">
            <v>OPT</v>
          </cell>
          <cell r="T222" t="str">
            <v>P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1</v>
          </cell>
          <cell r="AA222">
            <v>0</v>
          </cell>
          <cell r="AB222">
            <v>0</v>
          </cell>
          <cell r="AC222">
            <v>0</v>
          </cell>
          <cell r="AD222">
            <v>1</v>
          </cell>
          <cell r="AE222">
            <v>0</v>
          </cell>
          <cell r="AF222">
            <v>0</v>
          </cell>
          <cell r="AG222">
            <v>0</v>
          </cell>
        </row>
        <row r="223">
          <cell r="A223">
            <v>1</v>
          </cell>
          <cell r="B223">
            <v>554</v>
          </cell>
          <cell r="C223" t="str">
            <v>RETNO UTARI</v>
          </cell>
          <cell r="D223" t="str">
            <v>ADM-4</v>
          </cell>
          <cell r="E223">
            <v>37767</v>
          </cell>
          <cell r="F223" t="str">
            <v>-</v>
          </cell>
          <cell r="G223" t="str">
            <v>-</v>
          </cell>
          <cell r="H223" t="str">
            <v>PD</v>
          </cell>
          <cell r="I223" t="str">
            <v>DE HOLDEN</v>
          </cell>
          <cell r="J223" t="str">
            <v>ALL</v>
          </cell>
          <cell r="K223" t="str">
            <v>-</v>
          </cell>
          <cell r="L223" t="str">
            <v>DE</v>
          </cell>
          <cell r="M223" t="str">
            <v>AS 400 ADMIN</v>
          </cell>
          <cell r="N223" t="str">
            <v>DE</v>
          </cell>
          <cell r="O223" t="str">
            <v>NS</v>
          </cell>
          <cell r="P223" t="str">
            <v>FPS</v>
          </cell>
          <cell r="Q223" t="str">
            <v>PERMANENT</v>
          </cell>
          <cell r="R223" t="str">
            <v>PRM</v>
          </cell>
          <cell r="S223" t="str">
            <v>ADM</v>
          </cell>
          <cell r="T223" t="str">
            <v>P</v>
          </cell>
          <cell r="U223">
            <v>0</v>
          </cell>
          <cell r="V223">
            <v>0</v>
          </cell>
          <cell r="W223">
            <v>1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1</v>
          </cell>
          <cell r="AE223">
            <v>0</v>
          </cell>
          <cell r="AF223">
            <v>0</v>
          </cell>
          <cell r="AG223">
            <v>0</v>
          </cell>
        </row>
        <row r="224">
          <cell r="A224">
            <v>1</v>
          </cell>
          <cell r="B224">
            <v>596</v>
          </cell>
          <cell r="C224" t="str">
            <v>ANDRY SUSANTO</v>
          </cell>
          <cell r="D224" t="str">
            <v>ES-3</v>
          </cell>
          <cell r="E224">
            <v>37774</v>
          </cell>
          <cell r="F224" t="str">
            <v>-</v>
          </cell>
          <cell r="G224" t="str">
            <v>-</v>
          </cell>
          <cell r="H224" t="str">
            <v>PD</v>
          </cell>
          <cell r="I224" t="str">
            <v>DE HOLDEN</v>
          </cell>
          <cell r="J224" t="str">
            <v>ALL</v>
          </cell>
          <cell r="K224" t="str">
            <v>-</v>
          </cell>
          <cell r="L224" t="str">
            <v>DE</v>
          </cell>
          <cell r="M224" t="str">
            <v>LINE LEADER</v>
          </cell>
          <cell r="N224" t="str">
            <v>DE</v>
          </cell>
          <cell r="O224" t="str">
            <v>A</v>
          </cell>
          <cell r="P224" t="str">
            <v>FPS</v>
          </cell>
          <cell r="Q224" t="str">
            <v>PERMANENT</v>
          </cell>
          <cell r="R224" t="str">
            <v>PRM</v>
          </cell>
          <cell r="S224" t="str">
            <v>ES</v>
          </cell>
          <cell r="T224" t="str">
            <v>L</v>
          </cell>
          <cell r="U224">
            <v>0</v>
          </cell>
          <cell r="V224">
            <v>1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1</v>
          </cell>
          <cell r="AE224">
            <v>0</v>
          </cell>
          <cell r="AF224">
            <v>1</v>
          </cell>
          <cell r="AG224">
            <v>0</v>
          </cell>
        </row>
        <row r="225">
          <cell r="A225">
            <v>1</v>
          </cell>
          <cell r="B225">
            <v>1157</v>
          </cell>
          <cell r="C225" t="str">
            <v>BIMO HARYO SETYOKO</v>
          </cell>
          <cell r="D225" t="str">
            <v>SPV</v>
          </cell>
          <cell r="E225">
            <v>37900</v>
          </cell>
          <cell r="F225" t="str">
            <v>-</v>
          </cell>
          <cell r="G225" t="str">
            <v>-</v>
          </cell>
          <cell r="H225" t="str">
            <v>PD</v>
          </cell>
          <cell r="I225" t="str">
            <v>DE HOLDEN</v>
          </cell>
          <cell r="J225" t="str">
            <v>ALL</v>
          </cell>
          <cell r="K225" t="str">
            <v>-</v>
          </cell>
          <cell r="L225" t="str">
            <v>DE</v>
          </cell>
          <cell r="M225" t="str">
            <v>SUPERVISOR</v>
          </cell>
          <cell r="N225" t="str">
            <v>FPS SPV</v>
          </cell>
          <cell r="O225" t="str">
            <v>NS</v>
          </cell>
          <cell r="P225" t="str">
            <v>FPS</v>
          </cell>
          <cell r="Q225" t="str">
            <v>PERMANENT</v>
          </cell>
          <cell r="R225" t="str">
            <v>PRM</v>
          </cell>
          <cell r="S225" t="str">
            <v>SPV</v>
          </cell>
          <cell r="T225" t="str">
            <v>L</v>
          </cell>
          <cell r="U225">
            <v>1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1</v>
          </cell>
          <cell r="AE225">
            <v>0</v>
          </cell>
          <cell r="AF225">
            <v>1</v>
          </cell>
          <cell r="AG225">
            <v>0</v>
          </cell>
        </row>
        <row r="226">
          <cell r="A226">
            <v>1</v>
          </cell>
          <cell r="B226">
            <v>1833</v>
          </cell>
          <cell r="C226" t="str">
            <v>RISTANTO</v>
          </cell>
          <cell r="D226" t="str">
            <v>SPV</v>
          </cell>
          <cell r="E226">
            <v>38089</v>
          </cell>
          <cell r="F226" t="str">
            <v>-</v>
          </cell>
          <cell r="G226" t="str">
            <v>-</v>
          </cell>
          <cell r="H226" t="str">
            <v>PD</v>
          </cell>
          <cell r="I226" t="str">
            <v>DE LAMBDA</v>
          </cell>
          <cell r="J226" t="str">
            <v>ALL</v>
          </cell>
          <cell r="K226" t="str">
            <v>-</v>
          </cell>
          <cell r="L226" t="str">
            <v>DE</v>
          </cell>
          <cell r="M226" t="str">
            <v>SPV</v>
          </cell>
          <cell r="N226" t="str">
            <v>FPS SPV</v>
          </cell>
          <cell r="O226" t="str">
            <v>NS</v>
          </cell>
          <cell r="P226" t="str">
            <v>FPS</v>
          </cell>
          <cell r="Q226" t="str">
            <v>PERMANENT</v>
          </cell>
          <cell r="R226" t="str">
            <v>PRM</v>
          </cell>
          <cell r="S226" t="str">
            <v>SPV</v>
          </cell>
          <cell r="T226" t="str">
            <v>L</v>
          </cell>
          <cell r="U226">
            <v>1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1</v>
          </cell>
          <cell r="AE226">
            <v>0</v>
          </cell>
          <cell r="AF226">
            <v>1</v>
          </cell>
          <cell r="AG226">
            <v>0</v>
          </cell>
        </row>
        <row r="227">
          <cell r="A227">
            <v>1</v>
          </cell>
          <cell r="B227">
            <v>2277</v>
          </cell>
          <cell r="C227" t="str">
            <v>MOHAMMAD AFIF MASBUHIN</v>
          </cell>
          <cell r="D227" t="str">
            <v>ES-15</v>
          </cell>
          <cell r="E227">
            <v>38176</v>
          </cell>
          <cell r="F227" t="str">
            <v>-</v>
          </cell>
          <cell r="G227" t="str">
            <v>-</v>
          </cell>
          <cell r="H227" t="str">
            <v>PD</v>
          </cell>
          <cell r="I227" t="str">
            <v>DE HOLDEN</v>
          </cell>
          <cell r="J227" t="str">
            <v>ALL</v>
          </cell>
          <cell r="K227" t="str">
            <v>-</v>
          </cell>
          <cell r="L227" t="str">
            <v>DE</v>
          </cell>
          <cell r="M227" t="str">
            <v>LINE LEADER</v>
          </cell>
          <cell r="N227" t="str">
            <v>DE</v>
          </cell>
          <cell r="O227" t="str">
            <v>B</v>
          </cell>
          <cell r="P227" t="str">
            <v>FPS</v>
          </cell>
          <cell r="Q227" t="str">
            <v>PERMANENT</v>
          </cell>
          <cell r="R227" t="str">
            <v>PRM</v>
          </cell>
          <cell r="S227" t="str">
            <v>ES</v>
          </cell>
          <cell r="T227" t="str">
            <v>L</v>
          </cell>
          <cell r="U227">
            <v>0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1</v>
          </cell>
          <cell r="AE227">
            <v>0</v>
          </cell>
          <cell r="AF227">
            <v>1</v>
          </cell>
          <cell r="AG227">
            <v>0</v>
          </cell>
        </row>
        <row r="228">
          <cell r="A228">
            <v>1</v>
          </cell>
          <cell r="B228">
            <v>2408</v>
          </cell>
          <cell r="C228" t="str">
            <v>YULANDI</v>
          </cell>
          <cell r="D228" t="str">
            <v>ES-16</v>
          </cell>
          <cell r="E228">
            <v>38189</v>
          </cell>
          <cell r="F228" t="str">
            <v>-</v>
          </cell>
          <cell r="G228" t="str">
            <v>-</v>
          </cell>
          <cell r="H228" t="str">
            <v>PD</v>
          </cell>
          <cell r="I228" t="str">
            <v>DE MAZDA</v>
          </cell>
          <cell r="J228" t="str">
            <v>ALL</v>
          </cell>
          <cell r="K228" t="str">
            <v>-</v>
          </cell>
          <cell r="L228" t="str">
            <v>DE</v>
          </cell>
          <cell r="M228" t="str">
            <v>LL</v>
          </cell>
          <cell r="N228" t="str">
            <v>DE</v>
          </cell>
          <cell r="O228" t="str">
            <v>A</v>
          </cell>
          <cell r="P228" t="str">
            <v>FPS</v>
          </cell>
          <cell r="Q228" t="str">
            <v>PERMANENT</v>
          </cell>
          <cell r="R228" t="str">
            <v>PRM</v>
          </cell>
          <cell r="S228" t="str">
            <v>ES</v>
          </cell>
          <cell r="T228" t="str">
            <v>L</v>
          </cell>
          <cell r="U228">
            <v>0</v>
          </cell>
          <cell r="V228">
            <v>1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1</v>
          </cell>
          <cell r="AE228">
            <v>0</v>
          </cell>
          <cell r="AF228">
            <v>1</v>
          </cell>
          <cell r="AG228">
            <v>0</v>
          </cell>
        </row>
        <row r="229">
          <cell r="A229">
            <v>1</v>
          </cell>
          <cell r="B229">
            <v>3098</v>
          </cell>
          <cell r="C229" t="str">
            <v>MUHAMMAD YUSUF</v>
          </cell>
          <cell r="D229" t="str">
            <v>SPV</v>
          </cell>
          <cell r="E229">
            <v>38236</v>
          </cell>
          <cell r="F229" t="str">
            <v>-</v>
          </cell>
          <cell r="G229" t="str">
            <v>-</v>
          </cell>
          <cell r="H229" t="str">
            <v>PD</v>
          </cell>
          <cell r="I229" t="str">
            <v>DE HOLDEN</v>
          </cell>
          <cell r="J229" t="str">
            <v>ALL</v>
          </cell>
          <cell r="K229" t="str">
            <v>-</v>
          </cell>
          <cell r="L229" t="str">
            <v>DE</v>
          </cell>
          <cell r="M229" t="str">
            <v>SUPERVISOR</v>
          </cell>
          <cell r="N229" t="str">
            <v>FPS SPV</v>
          </cell>
          <cell r="O229" t="str">
            <v>NS</v>
          </cell>
          <cell r="P229" t="str">
            <v>FPS</v>
          </cell>
          <cell r="Q229" t="str">
            <v>PERMANENT</v>
          </cell>
          <cell r="R229" t="str">
            <v>PRM</v>
          </cell>
          <cell r="S229" t="str">
            <v>SPV</v>
          </cell>
          <cell r="T229" t="str">
            <v>L</v>
          </cell>
          <cell r="U229">
            <v>1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1</v>
          </cell>
          <cell r="AE229">
            <v>0</v>
          </cell>
          <cell r="AF229">
            <v>1</v>
          </cell>
          <cell r="AG229">
            <v>0</v>
          </cell>
        </row>
        <row r="230">
          <cell r="A230">
            <v>1</v>
          </cell>
          <cell r="B230">
            <v>3102</v>
          </cell>
          <cell r="C230" t="str">
            <v>HARI SASONGKO</v>
          </cell>
          <cell r="D230" t="str">
            <v>SPV</v>
          </cell>
          <cell r="E230">
            <v>38236</v>
          </cell>
          <cell r="F230" t="str">
            <v>-</v>
          </cell>
          <cell r="G230" t="str">
            <v>-</v>
          </cell>
          <cell r="H230" t="str">
            <v>PD</v>
          </cell>
          <cell r="I230" t="str">
            <v>DE MAZDA</v>
          </cell>
          <cell r="J230" t="str">
            <v>ALL</v>
          </cell>
          <cell r="K230" t="str">
            <v>-</v>
          </cell>
          <cell r="L230" t="str">
            <v>DE</v>
          </cell>
          <cell r="M230" t="str">
            <v>SPV</v>
          </cell>
          <cell r="N230" t="str">
            <v>FPS SPV</v>
          </cell>
          <cell r="O230" t="str">
            <v>NS</v>
          </cell>
          <cell r="P230" t="str">
            <v>FPS</v>
          </cell>
          <cell r="Q230" t="str">
            <v>PERMANENT</v>
          </cell>
          <cell r="R230" t="str">
            <v>PRM</v>
          </cell>
          <cell r="S230" t="str">
            <v>SPV</v>
          </cell>
          <cell r="T230" t="str">
            <v>L</v>
          </cell>
          <cell r="U230">
            <v>1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1</v>
          </cell>
          <cell r="AE230">
            <v>0</v>
          </cell>
          <cell r="AF230">
            <v>1</v>
          </cell>
          <cell r="AG230">
            <v>0</v>
          </cell>
        </row>
        <row r="231">
          <cell r="A231">
            <v>1</v>
          </cell>
          <cell r="B231">
            <v>3640</v>
          </cell>
          <cell r="C231" t="str">
            <v>AGUS NANANG SETYAWAN</v>
          </cell>
          <cell r="D231" t="str">
            <v>ES-19</v>
          </cell>
          <cell r="E231">
            <v>38285</v>
          </cell>
          <cell r="F231" t="str">
            <v>-</v>
          </cell>
          <cell r="G231" t="str">
            <v>-</v>
          </cell>
          <cell r="H231" t="str">
            <v>PD</v>
          </cell>
          <cell r="I231" t="str">
            <v>DE HOLDEN</v>
          </cell>
          <cell r="J231" t="str">
            <v>ALL</v>
          </cell>
          <cell r="K231" t="str">
            <v>-</v>
          </cell>
          <cell r="L231" t="str">
            <v>DE</v>
          </cell>
          <cell r="M231" t="str">
            <v>LINE LEADER</v>
          </cell>
          <cell r="N231" t="str">
            <v>DE</v>
          </cell>
          <cell r="O231" t="str">
            <v>A</v>
          </cell>
          <cell r="P231" t="str">
            <v>FPS</v>
          </cell>
          <cell r="Q231" t="str">
            <v>PERMANENT</v>
          </cell>
          <cell r="R231" t="str">
            <v>PRM</v>
          </cell>
          <cell r="S231" t="str">
            <v>ES</v>
          </cell>
          <cell r="T231" t="str">
            <v>L</v>
          </cell>
          <cell r="U231">
            <v>0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1</v>
          </cell>
          <cell r="AE231">
            <v>0</v>
          </cell>
          <cell r="AF231">
            <v>1</v>
          </cell>
          <cell r="AG231">
            <v>0</v>
          </cell>
        </row>
        <row r="232">
          <cell r="A232">
            <v>1</v>
          </cell>
          <cell r="B232">
            <v>3641</v>
          </cell>
          <cell r="C232" t="str">
            <v>AJI PAMUNGKAS</v>
          </cell>
          <cell r="D232" t="str">
            <v>ES-19</v>
          </cell>
          <cell r="E232">
            <v>38285</v>
          </cell>
          <cell r="F232" t="str">
            <v>-</v>
          </cell>
          <cell r="G232" t="str">
            <v>-</v>
          </cell>
          <cell r="H232" t="str">
            <v>PD</v>
          </cell>
          <cell r="I232" t="str">
            <v>DE MAZDA</v>
          </cell>
          <cell r="J232" t="str">
            <v>ALL</v>
          </cell>
          <cell r="K232" t="str">
            <v>DE</v>
          </cell>
          <cell r="L232" t="str">
            <v>DE</v>
          </cell>
          <cell r="M232" t="str">
            <v>LL</v>
          </cell>
          <cell r="N232" t="str">
            <v>DE</v>
          </cell>
          <cell r="O232" t="str">
            <v>B</v>
          </cell>
          <cell r="P232" t="str">
            <v>FPS</v>
          </cell>
          <cell r="Q232" t="str">
            <v>PERMANENT</v>
          </cell>
          <cell r="R232" t="str">
            <v>PRM</v>
          </cell>
          <cell r="S232" t="str">
            <v>ES</v>
          </cell>
          <cell r="T232" t="str">
            <v>L</v>
          </cell>
          <cell r="U232">
            <v>0</v>
          </cell>
          <cell r="V232">
            <v>1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1</v>
          </cell>
          <cell r="AE232">
            <v>0</v>
          </cell>
          <cell r="AF232">
            <v>1</v>
          </cell>
          <cell r="AG232">
            <v>0</v>
          </cell>
        </row>
        <row r="233">
          <cell r="A233">
            <v>1</v>
          </cell>
          <cell r="B233">
            <v>3645</v>
          </cell>
          <cell r="C233" t="str">
            <v>HERI PURWANTO</v>
          </cell>
          <cell r="D233" t="str">
            <v>ES-19</v>
          </cell>
          <cell r="E233">
            <v>38285</v>
          </cell>
          <cell r="F233" t="str">
            <v>-</v>
          </cell>
          <cell r="G233" t="str">
            <v>-</v>
          </cell>
          <cell r="H233" t="str">
            <v>PD</v>
          </cell>
          <cell r="I233" t="str">
            <v>DE LAMBDA</v>
          </cell>
          <cell r="J233" t="str">
            <v>ALL</v>
          </cell>
          <cell r="K233" t="str">
            <v>-</v>
          </cell>
          <cell r="L233" t="str">
            <v>DE</v>
          </cell>
          <cell r="M233" t="str">
            <v>LL</v>
          </cell>
          <cell r="N233" t="str">
            <v>DE</v>
          </cell>
          <cell r="O233" t="str">
            <v>NS</v>
          </cell>
          <cell r="P233" t="str">
            <v>FPS</v>
          </cell>
          <cell r="Q233" t="str">
            <v>PERMANENT</v>
          </cell>
          <cell r="R233" t="str">
            <v>PRM</v>
          </cell>
          <cell r="S233" t="str">
            <v>ES</v>
          </cell>
          <cell r="T233" t="str">
            <v>L</v>
          </cell>
          <cell r="U233">
            <v>0</v>
          </cell>
          <cell r="V233">
            <v>1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1</v>
          </cell>
          <cell r="AE233">
            <v>0</v>
          </cell>
          <cell r="AF233">
            <v>1</v>
          </cell>
          <cell r="AG233">
            <v>0</v>
          </cell>
        </row>
        <row r="234">
          <cell r="A234">
            <v>1</v>
          </cell>
          <cell r="B234">
            <v>3648</v>
          </cell>
          <cell r="C234" t="str">
            <v>MARYANTO</v>
          </cell>
          <cell r="D234" t="str">
            <v>ES-19</v>
          </cell>
          <cell r="E234">
            <v>38285</v>
          </cell>
          <cell r="F234" t="str">
            <v>-</v>
          </cell>
          <cell r="G234" t="str">
            <v>-</v>
          </cell>
          <cell r="H234" t="str">
            <v>PD</v>
          </cell>
          <cell r="I234" t="str">
            <v>DE LAMBDA</v>
          </cell>
          <cell r="J234" t="str">
            <v>ALL</v>
          </cell>
          <cell r="K234" t="str">
            <v>-</v>
          </cell>
          <cell r="L234" t="str">
            <v>DE</v>
          </cell>
          <cell r="M234" t="str">
            <v>LL</v>
          </cell>
          <cell r="N234" t="str">
            <v>DE</v>
          </cell>
          <cell r="O234" t="str">
            <v>NS</v>
          </cell>
          <cell r="P234" t="str">
            <v>FPS</v>
          </cell>
          <cell r="Q234" t="str">
            <v>PERMANENT</v>
          </cell>
          <cell r="R234" t="str">
            <v>PRM</v>
          </cell>
          <cell r="S234" t="str">
            <v>ES</v>
          </cell>
          <cell r="T234" t="str">
            <v>L</v>
          </cell>
          <cell r="U234">
            <v>0</v>
          </cell>
          <cell r="V234">
            <v>1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1</v>
          </cell>
          <cell r="AE234">
            <v>0</v>
          </cell>
          <cell r="AF234">
            <v>1</v>
          </cell>
          <cell r="AG234">
            <v>0</v>
          </cell>
        </row>
        <row r="235">
          <cell r="A235">
            <v>1</v>
          </cell>
          <cell r="B235">
            <v>5241</v>
          </cell>
          <cell r="C235" t="str">
            <v xml:space="preserve">AGUSTINAH                     </v>
          </cell>
          <cell r="D235" t="str">
            <v>OPT-125</v>
          </cell>
          <cell r="E235">
            <v>38961</v>
          </cell>
          <cell r="F235" t="str">
            <v>-</v>
          </cell>
          <cell r="G235" t="str">
            <v>-</v>
          </cell>
          <cell r="H235" t="str">
            <v>PD</v>
          </cell>
          <cell r="I235" t="str">
            <v>DE MAZDA</v>
          </cell>
          <cell r="J235" t="str">
            <v>ALL</v>
          </cell>
          <cell r="K235" t="str">
            <v>DE</v>
          </cell>
          <cell r="L235" t="str">
            <v>DE</v>
          </cell>
          <cell r="M235" t="str">
            <v>-</v>
          </cell>
          <cell r="N235" t="str">
            <v>DE</v>
          </cell>
          <cell r="O235" t="str">
            <v>A</v>
          </cell>
          <cell r="P235" t="str">
            <v>FPS</v>
          </cell>
          <cell r="Q235" t="str">
            <v>PERMANENT</v>
          </cell>
          <cell r="R235" t="str">
            <v>PRM</v>
          </cell>
          <cell r="S235" t="str">
            <v>OPT</v>
          </cell>
          <cell r="T235" t="str">
            <v>P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1</v>
          </cell>
          <cell r="AA235">
            <v>0</v>
          </cell>
          <cell r="AB235">
            <v>0</v>
          </cell>
          <cell r="AC235">
            <v>0</v>
          </cell>
          <cell r="AD235">
            <v>1</v>
          </cell>
          <cell r="AE235">
            <v>0</v>
          </cell>
          <cell r="AF235">
            <v>0</v>
          </cell>
          <cell r="AG235">
            <v>0</v>
          </cell>
        </row>
        <row r="236">
          <cell r="A236">
            <v>1</v>
          </cell>
          <cell r="B236">
            <v>5439</v>
          </cell>
          <cell r="C236" t="str">
            <v>RINY CUSYANINGSIH</v>
          </cell>
          <cell r="D236" t="str">
            <v>OPT-128</v>
          </cell>
          <cell r="E236">
            <v>38991</v>
          </cell>
          <cell r="F236" t="str">
            <v>-</v>
          </cell>
          <cell r="G236" t="str">
            <v>-</v>
          </cell>
          <cell r="H236" t="str">
            <v>PD</v>
          </cell>
          <cell r="I236" t="str">
            <v>DE HOLDEN</v>
          </cell>
          <cell r="J236" t="str">
            <v>ALL</v>
          </cell>
          <cell r="K236" t="str">
            <v>-</v>
          </cell>
          <cell r="L236" t="str">
            <v>DE</v>
          </cell>
          <cell r="M236" t="str">
            <v>EDITOR</v>
          </cell>
          <cell r="N236" t="str">
            <v>DE</v>
          </cell>
          <cell r="O236" t="str">
            <v>A</v>
          </cell>
          <cell r="P236" t="str">
            <v>FPS</v>
          </cell>
          <cell r="Q236" t="str">
            <v>PERMANENT</v>
          </cell>
          <cell r="R236" t="str">
            <v>PRM</v>
          </cell>
          <cell r="S236" t="str">
            <v>OPT</v>
          </cell>
          <cell r="T236" t="str">
            <v>P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1</v>
          </cell>
          <cell r="AA236">
            <v>0</v>
          </cell>
          <cell r="AB236">
            <v>0</v>
          </cell>
          <cell r="AC236">
            <v>0</v>
          </cell>
          <cell r="AD236">
            <v>1</v>
          </cell>
          <cell r="AE236">
            <v>0</v>
          </cell>
          <cell r="AF236">
            <v>0</v>
          </cell>
          <cell r="AG236">
            <v>0</v>
          </cell>
        </row>
        <row r="237">
          <cell r="A237">
            <v>1</v>
          </cell>
          <cell r="B237">
            <v>5473</v>
          </cell>
          <cell r="C237" t="str">
            <v>ABDUL MANAN</v>
          </cell>
          <cell r="D237" t="str">
            <v>ADM-28</v>
          </cell>
          <cell r="E237">
            <v>38991</v>
          </cell>
          <cell r="F237" t="str">
            <v>-</v>
          </cell>
          <cell r="G237" t="str">
            <v>-</v>
          </cell>
          <cell r="H237" t="str">
            <v>PD</v>
          </cell>
          <cell r="I237" t="str">
            <v>DE HOLDEN</v>
          </cell>
          <cell r="J237" t="str">
            <v>ALL</v>
          </cell>
          <cell r="K237" t="str">
            <v>-</v>
          </cell>
          <cell r="L237" t="str">
            <v>DE</v>
          </cell>
          <cell r="M237" t="str">
            <v>EDITOR</v>
          </cell>
          <cell r="N237" t="str">
            <v>DE</v>
          </cell>
          <cell r="O237" t="str">
            <v>B</v>
          </cell>
          <cell r="P237" t="str">
            <v>FPS</v>
          </cell>
          <cell r="Q237" t="str">
            <v>PERMANENT</v>
          </cell>
          <cell r="R237" t="str">
            <v>PRM</v>
          </cell>
          <cell r="S237" t="str">
            <v>ADM</v>
          </cell>
          <cell r="T237" t="str">
            <v>L</v>
          </cell>
          <cell r="U237">
            <v>0</v>
          </cell>
          <cell r="V237">
            <v>0</v>
          </cell>
          <cell r="W237">
            <v>1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1</v>
          </cell>
          <cell r="AE237">
            <v>0</v>
          </cell>
          <cell r="AF237">
            <v>1</v>
          </cell>
          <cell r="AG237">
            <v>0</v>
          </cell>
        </row>
        <row r="238">
          <cell r="A238">
            <v>1</v>
          </cell>
          <cell r="B238">
            <v>5479</v>
          </cell>
          <cell r="C238" t="str">
            <v>SURYA HINDRIYANI</v>
          </cell>
          <cell r="D238" t="str">
            <v>ADM-28</v>
          </cell>
          <cell r="E238">
            <v>38991</v>
          </cell>
          <cell r="F238" t="str">
            <v>-</v>
          </cell>
          <cell r="G238" t="str">
            <v>-</v>
          </cell>
          <cell r="H238" t="str">
            <v>PD</v>
          </cell>
          <cell r="I238" t="str">
            <v>DE MAZDA</v>
          </cell>
          <cell r="J238" t="str">
            <v>ALL</v>
          </cell>
          <cell r="K238" t="str">
            <v>-</v>
          </cell>
          <cell r="L238" t="str">
            <v>DE</v>
          </cell>
          <cell r="M238" t="str">
            <v>EDITOR</v>
          </cell>
          <cell r="N238" t="str">
            <v>DE</v>
          </cell>
          <cell r="O238" t="str">
            <v>B</v>
          </cell>
          <cell r="P238" t="str">
            <v>FPS</v>
          </cell>
          <cell r="Q238" t="str">
            <v>PERMANENT</v>
          </cell>
          <cell r="R238" t="str">
            <v>PRM</v>
          </cell>
          <cell r="S238" t="str">
            <v>ADM</v>
          </cell>
          <cell r="T238" t="str">
            <v>P</v>
          </cell>
          <cell r="U238">
            <v>0</v>
          </cell>
          <cell r="V238">
            <v>0</v>
          </cell>
          <cell r="W238">
            <v>1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1</v>
          </cell>
          <cell r="AE238">
            <v>0</v>
          </cell>
          <cell r="AF238">
            <v>0</v>
          </cell>
          <cell r="AG238">
            <v>0</v>
          </cell>
        </row>
        <row r="239">
          <cell r="A239">
            <v>1</v>
          </cell>
          <cell r="B239">
            <v>5554</v>
          </cell>
          <cell r="C239" t="str">
            <v>NUR HANIFAH</v>
          </cell>
          <cell r="D239" t="str">
            <v>ADM-30</v>
          </cell>
          <cell r="E239">
            <v>39052</v>
          </cell>
          <cell r="F239">
            <v>39052</v>
          </cell>
          <cell r="G239">
            <v>39416</v>
          </cell>
          <cell r="H239" t="str">
            <v>PD</v>
          </cell>
          <cell r="I239" t="str">
            <v>DE HOLDEN</v>
          </cell>
          <cell r="J239" t="str">
            <v>ALL</v>
          </cell>
          <cell r="K239" t="str">
            <v>-</v>
          </cell>
          <cell r="L239" t="str">
            <v>DE</v>
          </cell>
          <cell r="M239" t="str">
            <v>ADMIN</v>
          </cell>
          <cell r="N239" t="str">
            <v>DE</v>
          </cell>
          <cell r="O239" t="str">
            <v>NS</v>
          </cell>
          <cell r="P239" t="str">
            <v>FPS</v>
          </cell>
          <cell r="Q239" t="str">
            <v>CONTRACT</v>
          </cell>
          <cell r="R239" t="str">
            <v>C3</v>
          </cell>
          <cell r="S239" t="str">
            <v>ADM</v>
          </cell>
          <cell r="T239" t="str">
            <v>P</v>
          </cell>
          <cell r="U239">
            <v>0</v>
          </cell>
          <cell r="V239">
            <v>0</v>
          </cell>
          <cell r="W239">
            <v>1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1</v>
          </cell>
          <cell r="AE239">
            <v>0</v>
          </cell>
          <cell r="AF239">
            <v>0</v>
          </cell>
          <cell r="AG239">
            <v>0</v>
          </cell>
        </row>
        <row r="240">
          <cell r="A240">
            <v>1</v>
          </cell>
          <cell r="B240">
            <v>5925</v>
          </cell>
          <cell r="C240" t="str">
            <v>NUR ANISAH</v>
          </cell>
          <cell r="D240" t="str">
            <v>OPT-137</v>
          </cell>
          <cell r="E240">
            <v>39129</v>
          </cell>
          <cell r="F240">
            <v>39129</v>
          </cell>
          <cell r="G240">
            <v>39493</v>
          </cell>
          <cell r="H240" t="str">
            <v>PD</v>
          </cell>
          <cell r="I240" t="str">
            <v>DE HOLDEN</v>
          </cell>
          <cell r="J240" t="str">
            <v>ALL</v>
          </cell>
          <cell r="K240" t="str">
            <v>-</v>
          </cell>
          <cell r="L240" t="str">
            <v>DE</v>
          </cell>
          <cell r="M240" t="str">
            <v>ADMIN</v>
          </cell>
          <cell r="N240" t="str">
            <v>DE</v>
          </cell>
          <cell r="O240" t="str">
            <v>NS</v>
          </cell>
          <cell r="P240" t="str">
            <v>FPS</v>
          </cell>
          <cell r="Q240" t="str">
            <v>CONTRACT</v>
          </cell>
          <cell r="R240" t="str">
            <v>C3</v>
          </cell>
          <cell r="S240" t="str">
            <v>OPT</v>
          </cell>
          <cell r="T240" t="str">
            <v>P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</v>
          </cell>
          <cell r="AA240">
            <v>0</v>
          </cell>
          <cell r="AB240">
            <v>0</v>
          </cell>
          <cell r="AC240">
            <v>0</v>
          </cell>
          <cell r="AD240">
            <v>1</v>
          </cell>
          <cell r="AE240">
            <v>0</v>
          </cell>
          <cell r="AF240">
            <v>0</v>
          </cell>
          <cell r="AG240">
            <v>0</v>
          </cell>
        </row>
        <row r="241">
          <cell r="A241">
            <v>1</v>
          </cell>
          <cell r="B241">
            <v>6033</v>
          </cell>
          <cell r="C241" t="str">
            <v>ANGGA TYAS A.</v>
          </cell>
          <cell r="D241" t="str">
            <v>OPT-139</v>
          </cell>
          <cell r="E241">
            <v>39142</v>
          </cell>
          <cell r="F241">
            <v>39142</v>
          </cell>
          <cell r="G241">
            <v>39506</v>
          </cell>
          <cell r="H241" t="str">
            <v>PD</v>
          </cell>
          <cell r="I241" t="str">
            <v>DE LAMBDA</v>
          </cell>
          <cell r="J241" t="str">
            <v>ALL</v>
          </cell>
          <cell r="K241" t="str">
            <v>-</v>
          </cell>
          <cell r="L241" t="str">
            <v>DE</v>
          </cell>
          <cell r="M241" t="str">
            <v>EDITOR</v>
          </cell>
          <cell r="N241" t="str">
            <v>DE</v>
          </cell>
          <cell r="O241" t="str">
            <v>A</v>
          </cell>
          <cell r="P241" t="str">
            <v>FPS</v>
          </cell>
          <cell r="Q241" t="str">
            <v>CONTRACT</v>
          </cell>
          <cell r="R241" t="str">
            <v>C3</v>
          </cell>
          <cell r="S241" t="str">
            <v>OPT</v>
          </cell>
          <cell r="T241" t="str">
            <v>P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1</v>
          </cell>
          <cell r="AA241">
            <v>0</v>
          </cell>
          <cell r="AB241">
            <v>0</v>
          </cell>
          <cell r="AC241">
            <v>0</v>
          </cell>
          <cell r="AD241">
            <v>1</v>
          </cell>
          <cell r="AE241">
            <v>0</v>
          </cell>
          <cell r="AF241">
            <v>0</v>
          </cell>
          <cell r="AG241">
            <v>0</v>
          </cell>
        </row>
        <row r="242">
          <cell r="A242">
            <v>1</v>
          </cell>
          <cell r="B242">
            <v>6077</v>
          </cell>
          <cell r="C242" t="str">
            <v>PUJI RAHAYU</v>
          </cell>
          <cell r="D242" t="str">
            <v>OPT-139</v>
          </cell>
          <cell r="E242">
            <v>39142</v>
          </cell>
          <cell r="F242">
            <v>39142</v>
          </cell>
          <cell r="G242">
            <v>39506</v>
          </cell>
          <cell r="H242" t="str">
            <v>PD</v>
          </cell>
          <cell r="I242" t="str">
            <v>DE MAZDA</v>
          </cell>
          <cell r="J242" t="str">
            <v>ALL</v>
          </cell>
          <cell r="K242" t="str">
            <v>-</v>
          </cell>
          <cell r="L242" t="str">
            <v>DE</v>
          </cell>
          <cell r="M242" t="str">
            <v>EDITOR</v>
          </cell>
          <cell r="N242" t="str">
            <v>DE</v>
          </cell>
          <cell r="O242" t="str">
            <v>A</v>
          </cell>
          <cell r="P242" t="str">
            <v>FPS</v>
          </cell>
          <cell r="Q242" t="str">
            <v>CONTRACT</v>
          </cell>
          <cell r="R242" t="str">
            <v>C3</v>
          </cell>
          <cell r="S242" t="str">
            <v>OPT</v>
          </cell>
          <cell r="T242" t="str">
            <v>P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1</v>
          </cell>
          <cell r="AA242">
            <v>0</v>
          </cell>
          <cell r="AB242">
            <v>0</v>
          </cell>
          <cell r="AC242">
            <v>0</v>
          </cell>
          <cell r="AD242">
            <v>1</v>
          </cell>
          <cell r="AE242">
            <v>0</v>
          </cell>
          <cell r="AF242">
            <v>0</v>
          </cell>
          <cell r="AG242">
            <v>0</v>
          </cell>
        </row>
        <row r="243">
          <cell r="A243">
            <v>1</v>
          </cell>
          <cell r="B243">
            <v>47</v>
          </cell>
          <cell r="C243" t="str">
            <v>INO FEBRI K</v>
          </cell>
          <cell r="D243" t="str">
            <v>TKN-1</v>
          </cell>
          <cell r="E243">
            <v>37529</v>
          </cell>
          <cell r="F243" t="str">
            <v>-</v>
          </cell>
          <cell r="G243" t="str">
            <v>-</v>
          </cell>
          <cell r="H243" t="str">
            <v>PE</v>
          </cell>
          <cell r="I243" t="str">
            <v>CBP</v>
          </cell>
          <cell r="J243" t="str">
            <v>ALL</v>
          </cell>
          <cell r="K243" t="str">
            <v>-</v>
          </cell>
          <cell r="L243" t="str">
            <v>CBP</v>
          </cell>
          <cell r="M243" t="str">
            <v xml:space="preserve"> TEKNISI CHEKER</v>
          </cell>
          <cell r="N243" t="str">
            <v>CBP</v>
          </cell>
          <cell r="O243" t="str">
            <v>B</v>
          </cell>
          <cell r="P243" t="str">
            <v>FPS</v>
          </cell>
          <cell r="Q243" t="str">
            <v>PERMANENT</v>
          </cell>
          <cell r="R243" t="str">
            <v>PRM</v>
          </cell>
          <cell r="S243" t="str">
            <v>TKN</v>
          </cell>
          <cell r="T243" t="str">
            <v>L</v>
          </cell>
          <cell r="U243">
            <v>0</v>
          </cell>
          <cell r="V243">
            <v>0</v>
          </cell>
          <cell r="W243">
            <v>0</v>
          </cell>
          <cell r="X243">
            <v>1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1</v>
          </cell>
          <cell r="AE243">
            <v>0</v>
          </cell>
          <cell r="AF243">
            <v>1</v>
          </cell>
          <cell r="AG243">
            <v>0</v>
          </cell>
        </row>
        <row r="244">
          <cell r="A244">
            <v>1</v>
          </cell>
          <cell r="B244">
            <v>49</v>
          </cell>
          <cell r="C244" t="str">
            <v>M. SYAFIK</v>
          </cell>
          <cell r="D244" t="str">
            <v>TKN-1</v>
          </cell>
          <cell r="E244">
            <v>37529</v>
          </cell>
          <cell r="F244" t="str">
            <v>-</v>
          </cell>
          <cell r="G244" t="str">
            <v>-</v>
          </cell>
          <cell r="H244" t="str">
            <v>PE</v>
          </cell>
          <cell r="I244" t="str">
            <v>CBP</v>
          </cell>
          <cell r="J244" t="str">
            <v>ALL</v>
          </cell>
          <cell r="K244" t="str">
            <v>-</v>
          </cell>
          <cell r="L244" t="str">
            <v>CBP</v>
          </cell>
          <cell r="M244" t="str">
            <v xml:space="preserve"> TEKNISI CHEKER</v>
          </cell>
          <cell r="N244" t="str">
            <v>CBP</v>
          </cell>
          <cell r="O244" t="str">
            <v>A</v>
          </cell>
          <cell r="P244" t="str">
            <v>FPS</v>
          </cell>
          <cell r="Q244" t="str">
            <v>PERMANENT</v>
          </cell>
          <cell r="R244" t="str">
            <v>PRM</v>
          </cell>
          <cell r="S244" t="str">
            <v>TKN</v>
          </cell>
          <cell r="T244" t="str">
            <v>L</v>
          </cell>
          <cell r="U244">
            <v>0</v>
          </cell>
          <cell r="V244">
            <v>0</v>
          </cell>
          <cell r="W244">
            <v>0</v>
          </cell>
          <cell r="X244">
            <v>1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1</v>
          </cell>
          <cell r="AE244">
            <v>0</v>
          </cell>
          <cell r="AF244">
            <v>1</v>
          </cell>
          <cell r="AG244">
            <v>0</v>
          </cell>
        </row>
        <row r="245">
          <cell r="A245">
            <v>1</v>
          </cell>
          <cell r="B245">
            <v>1012</v>
          </cell>
          <cell r="C245" t="str">
            <v>MUH. ABDUL M.</v>
          </cell>
          <cell r="D245" t="str">
            <v>TKN-4</v>
          </cell>
          <cell r="E245">
            <v>37872</v>
          </cell>
          <cell r="F245" t="str">
            <v>-</v>
          </cell>
          <cell r="G245" t="str">
            <v>-</v>
          </cell>
          <cell r="H245" t="str">
            <v>PE</v>
          </cell>
          <cell r="I245" t="str">
            <v>CBP</v>
          </cell>
          <cell r="J245" t="str">
            <v>ALL</v>
          </cell>
          <cell r="K245" t="str">
            <v>-</v>
          </cell>
          <cell r="L245" t="str">
            <v>CBP</v>
          </cell>
          <cell r="M245" t="str">
            <v xml:space="preserve"> TEKNISI CHEKER</v>
          </cell>
          <cell r="N245" t="str">
            <v>CBP</v>
          </cell>
          <cell r="O245" t="str">
            <v>NS</v>
          </cell>
          <cell r="P245" t="str">
            <v>FPS</v>
          </cell>
          <cell r="Q245" t="str">
            <v>PERMANENT</v>
          </cell>
          <cell r="R245" t="str">
            <v>PRM</v>
          </cell>
          <cell r="S245" t="str">
            <v>TKN</v>
          </cell>
          <cell r="T245" t="str">
            <v>L</v>
          </cell>
          <cell r="U245">
            <v>0</v>
          </cell>
          <cell r="V245">
            <v>0</v>
          </cell>
          <cell r="W245">
            <v>0</v>
          </cell>
          <cell r="X245">
            <v>1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1</v>
          </cell>
          <cell r="AE245">
            <v>0</v>
          </cell>
          <cell r="AF245">
            <v>1</v>
          </cell>
          <cell r="AG245">
            <v>0</v>
          </cell>
        </row>
        <row r="246">
          <cell r="A246">
            <v>1</v>
          </cell>
          <cell r="B246">
            <v>1836</v>
          </cell>
          <cell r="C246" t="str">
            <v>WIRAWAN SETYAWAN</v>
          </cell>
          <cell r="D246" t="str">
            <v>SPV</v>
          </cell>
          <cell r="E246">
            <v>38089</v>
          </cell>
          <cell r="F246" t="str">
            <v>-</v>
          </cell>
          <cell r="G246" t="str">
            <v>-</v>
          </cell>
          <cell r="H246" t="str">
            <v>PE</v>
          </cell>
          <cell r="I246" t="str">
            <v>CBP</v>
          </cell>
          <cell r="J246" t="str">
            <v>ALL</v>
          </cell>
          <cell r="K246" t="str">
            <v>-</v>
          </cell>
          <cell r="L246" t="str">
            <v>CBP</v>
          </cell>
          <cell r="M246" t="str">
            <v>SPV</v>
          </cell>
          <cell r="N246" t="str">
            <v>FPS SPV</v>
          </cell>
          <cell r="O246" t="str">
            <v>NS</v>
          </cell>
          <cell r="P246" t="str">
            <v>FPS</v>
          </cell>
          <cell r="Q246" t="str">
            <v>PERMANENT</v>
          </cell>
          <cell r="R246" t="str">
            <v>PRM</v>
          </cell>
          <cell r="S246" t="str">
            <v>SPV</v>
          </cell>
          <cell r="T246" t="str">
            <v>L</v>
          </cell>
          <cell r="U246">
            <v>1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1</v>
          </cell>
          <cell r="AE246">
            <v>0</v>
          </cell>
          <cell r="AF246">
            <v>1</v>
          </cell>
          <cell r="AG246">
            <v>0</v>
          </cell>
        </row>
        <row r="247">
          <cell r="A247">
            <v>1</v>
          </cell>
          <cell r="B247">
            <v>3646</v>
          </cell>
          <cell r="C247" t="str">
            <v>JOKO SUSILO</v>
          </cell>
          <cell r="D247" t="str">
            <v>ES-19</v>
          </cell>
          <cell r="E247">
            <v>38285</v>
          </cell>
          <cell r="F247" t="str">
            <v>-</v>
          </cell>
          <cell r="G247" t="str">
            <v>-</v>
          </cell>
          <cell r="H247" t="str">
            <v>PE</v>
          </cell>
          <cell r="I247" t="str">
            <v>CBP</v>
          </cell>
          <cell r="J247" t="str">
            <v>ALL</v>
          </cell>
          <cell r="K247" t="str">
            <v>-</v>
          </cell>
          <cell r="L247" t="str">
            <v>CBP</v>
          </cell>
          <cell r="M247" t="str">
            <v xml:space="preserve"> L CHECKER</v>
          </cell>
          <cell r="N247" t="str">
            <v>CBP</v>
          </cell>
          <cell r="O247" t="str">
            <v>NS</v>
          </cell>
          <cell r="P247" t="str">
            <v>FPS</v>
          </cell>
          <cell r="Q247" t="str">
            <v>PERMANENT</v>
          </cell>
          <cell r="R247" t="str">
            <v>PRM</v>
          </cell>
          <cell r="S247" t="str">
            <v>ES</v>
          </cell>
          <cell r="T247" t="str">
            <v>L</v>
          </cell>
          <cell r="U247">
            <v>0</v>
          </cell>
          <cell r="V247">
            <v>1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1</v>
          </cell>
          <cell r="AE247">
            <v>0</v>
          </cell>
          <cell r="AF247">
            <v>1</v>
          </cell>
          <cell r="AG247">
            <v>0</v>
          </cell>
        </row>
        <row r="248">
          <cell r="A248">
            <v>1</v>
          </cell>
          <cell r="B248">
            <v>3772</v>
          </cell>
          <cell r="C248" t="str">
            <v>PAIMIN</v>
          </cell>
          <cell r="D248" t="str">
            <v>TKN-19</v>
          </cell>
          <cell r="E248">
            <v>38705</v>
          </cell>
          <cell r="F248">
            <v>39083</v>
          </cell>
          <cell r="G248">
            <v>39447</v>
          </cell>
          <cell r="H248" t="str">
            <v>PE</v>
          </cell>
          <cell r="I248" t="str">
            <v>CBP</v>
          </cell>
          <cell r="J248" t="str">
            <v>ALL</v>
          </cell>
          <cell r="K248" t="str">
            <v>-</v>
          </cell>
          <cell r="L248" t="str">
            <v>CBP</v>
          </cell>
          <cell r="M248" t="str">
            <v>TEKNISI CHECKER</v>
          </cell>
          <cell r="N248" t="str">
            <v>CBP</v>
          </cell>
          <cell r="O248" t="str">
            <v>NS</v>
          </cell>
          <cell r="P248" t="str">
            <v>FPS</v>
          </cell>
          <cell r="Q248" t="str">
            <v>CONTRACT</v>
          </cell>
          <cell r="R248" t="str">
            <v>C2</v>
          </cell>
          <cell r="S248" t="str">
            <v>TKN</v>
          </cell>
          <cell r="T248" t="str">
            <v>L</v>
          </cell>
          <cell r="U248">
            <v>0</v>
          </cell>
          <cell r="V248">
            <v>0</v>
          </cell>
          <cell r="W248">
            <v>0</v>
          </cell>
          <cell r="X248">
            <v>1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1</v>
          </cell>
          <cell r="AE248">
            <v>0</v>
          </cell>
          <cell r="AF248">
            <v>1</v>
          </cell>
          <cell r="AG248">
            <v>0</v>
          </cell>
        </row>
        <row r="249">
          <cell r="A249">
            <v>1</v>
          </cell>
          <cell r="B249">
            <v>3774</v>
          </cell>
          <cell r="C249" t="str">
            <v>YAZID NASRULLAH</v>
          </cell>
          <cell r="D249" t="str">
            <v>TKN-19</v>
          </cell>
          <cell r="E249">
            <v>38705</v>
          </cell>
          <cell r="F249">
            <v>39083</v>
          </cell>
          <cell r="G249">
            <v>39447</v>
          </cell>
          <cell r="H249" t="str">
            <v>PE</v>
          </cell>
          <cell r="I249" t="str">
            <v>CBP</v>
          </cell>
          <cell r="J249" t="str">
            <v>ALL</v>
          </cell>
          <cell r="K249" t="str">
            <v>-</v>
          </cell>
          <cell r="L249" t="str">
            <v>CBP</v>
          </cell>
          <cell r="M249" t="str">
            <v>TEKNISI CHECKER</v>
          </cell>
          <cell r="N249" t="str">
            <v>CBP</v>
          </cell>
          <cell r="O249" t="str">
            <v>NS</v>
          </cell>
          <cell r="P249" t="str">
            <v>FPS</v>
          </cell>
          <cell r="Q249" t="str">
            <v>CONTRACT</v>
          </cell>
          <cell r="R249" t="str">
            <v>C2</v>
          </cell>
          <cell r="S249" t="str">
            <v>TKN</v>
          </cell>
          <cell r="T249" t="str">
            <v>L</v>
          </cell>
          <cell r="U249">
            <v>0</v>
          </cell>
          <cell r="V249">
            <v>0</v>
          </cell>
          <cell r="W249">
            <v>0</v>
          </cell>
          <cell r="X249">
            <v>1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1</v>
          </cell>
          <cell r="AE249">
            <v>0</v>
          </cell>
          <cell r="AF249">
            <v>1</v>
          </cell>
          <cell r="AG249">
            <v>0</v>
          </cell>
        </row>
        <row r="250">
          <cell r="A250">
            <v>1</v>
          </cell>
          <cell r="B250">
            <v>4657</v>
          </cell>
          <cell r="C250" t="str">
            <v>DEDEK KUSMANA</v>
          </cell>
          <cell r="D250" t="str">
            <v>TKN-25</v>
          </cell>
          <cell r="E250">
            <v>38901</v>
          </cell>
          <cell r="F250" t="str">
            <v>-</v>
          </cell>
          <cell r="G250" t="str">
            <v>-</v>
          </cell>
          <cell r="H250" t="str">
            <v>PE</v>
          </cell>
          <cell r="I250" t="str">
            <v>CBP</v>
          </cell>
          <cell r="J250" t="str">
            <v>ALL</v>
          </cell>
          <cell r="K250" t="str">
            <v>-</v>
          </cell>
          <cell r="L250" t="str">
            <v>CBP</v>
          </cell>
          <cell r="M250" t="str">
            <v>TEKNISI CHECKER</v>
          </cell>
          <cell r="N250" t="str">
            <v>CBP</v>
          </cell>
          <cell r="O250" t="str">
            <v>NS</v>
          </cell>
          <cell r="P250" t="str">
            <v>FPS</v>
          </cell>
          <cell r="Q250" t="str">
            <v>PERMANENT</v>
          </cell>
          <cell r="R250" t="str">
            <v>PRM</v>
          </cell>
          <cell r="S250" t="str">
            <v>TKN</v>
          </cell>
          <cell r="T250" t="str">
            <v>L</v>
          </cell>
          <cell r="U250">
            <v>0</v>
          </cell>
          <cell r="V250">
            <v>0</v>
          </cell>
          <cell r="W250">
            <v>0</v>
          </cell>
          <cell r="X250">
            <v>1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1</v>
          </cell>
          <cell r="AE250">
            <v>0</v>
          </cell>
          <cell r="AF250">
            <v>1</v>
          </cell>
          <cell r="AG250">
            <v>0</v>
          </cell>
        </row>
        <row r="251">
          <cell r="A251">
            <v>1</v>
          </cell>
          <cell r="B251">
            <v>5226</v>
          </cell>
          <cell r="C251" t="str">
            <v xml:space="preserve">SUPRAYOGI                     </v>
          </cell>
          <cell r="D251" t="str">
            <v>TKN-27</v>
          </cell>
          <cell r="E251">
            <v>38961</v>
          </cell>
          <cell r="F251" t="str">
            <v>-</v>
          </cell>
          <cell r="G251" t="str">
            <v>-</v>
          </cell>
          <cell r="H251" t="str">
            <v>PE</v>
          </cell>
          <cell r="I251" t="str">
            <v>CBP</v>
          </cell>
          <cell r="J251" t="str">
            <v>ALL</v>
          </cell>
          <cell r="K251" t="str">
            <v>-</v>
          </cell>
          <cell r="L251" t="str">
            <v>CBP</v>
          </cell>
          <cell r="M251" t="str">
            <v>TEKNISI CHECKER</v>
          </cell>
          <cell r="N251" t="str">
            <v>CBP</v>
          </cell>
          <cell r="O251" t="str">
            <v>NS</v>
          </cell>
          <cell r="P251" t="str">
            <v>FPS</v>
          </cell>
          <cell r="Q251" t="str">
            <v>PERMANENT</v>
          </cell>
          <cell r="R251" t="str">
            <v>PRM</v>
          </cell>
          <cell r="S251" t="str">
            <v>TKN</v>
          </cell>
          <cell r="T251" t="str">
            <v>L</v>
          </cell>
          <cell r="U251">
            <v>0</v>
          </cell>
          <cell r="V251">
            <v>0</v>
          </cell>
          <cell r="W251">
            <v>0</v>
          </cell>
          <cell r="X251">
            <v>1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1</v>
          </cell>
          <cell r="AE251">
            <v>0</v>
          </cell>
          <cell r="AF251">
            <v>1</v>
          </cell>
          <cell r="AG251">
            <v>0</v>
          </cell>
        </row>
        <row r="252">
          <cell r="A252">
            <v>1</v>
          </cell>
          <cell r="B252">
            <v>5474</v>
          </cell>
          <cell r="C252" t="str">
            <v>DENDI CAHYONO</v>
          </cell>
          <cell r="D252" t="str">
            <v>ADM-28</v>
          </cell>
          <cell r="E252">
            <v>38991</v>
          </cell>
          <cell r="F252" t="str">
            <v>-</v>
          </cell>
          <cell r="G252" t="str">
            <v>-</v>
          </cell>
          <cell r="H252" t="str">
            <v>PE</v>
          </cell>
          <cell r="I252" t="str">
            <v>CBP</v>
          </cell>
          <cell r="J252" t="str">
            <v>ALL</v>
          </cell>
          <cell r="K252" t="str">
            <v>-</v>
          </cell>
          <cell r="L252" t="str">
            <v>CBP</v>
          </cell>
          <cell r="M252" t="str">
            <v xml:space="preserve"> ADM </v>
          </cell>
          <cell r="N252" t="str">
            <v>CBP</v>
          </cell>
          <cell r="O252" t="str">
            <v>NS</v>
          </cell>
          <cell r="P252" t="str">
            <v>FPS</v>
          </cell>
          <cell r="Q252" t="str">
            <v>PERMANENT</v>
          </cell>
          <cell r="R252" t="str">
            <v>PRM</v>
          </cell>
          <cell r="S252" t="str">
            <v>ADM</v>
          </cell>
          <cell r="T252" t="str">
            <v>L</v>
          </cell>
          <cell r="U252">
            <v>0</v>
          </cell>
          <cell r="V252">
            <v>0</v>
          </cell>
          <cell r="W252">
            <v>1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1</v>
          </cell>
          <cell r="AE252">
            <v>0</v>
          </cell>
          <cell r="AF252">
            <v>1</v>
          </cell>
          <cell r="AG252">
            <v>0</v>
          </cell>
        </row>
        <row r="253">
          <cell r="A253">
            <v>1</v>
          </cell>
          <cell r="B253">
            <v>5483</v>
          </cell>
          <cell r="C253" t="str">
            <v>AMANTO FERI PURNOMO</v>
          </cell>
          <cell r="D253" t="str">
            <v>TKN-31</v>
          </cell>
          <cell r="E253">
            <v>38991</v>
          </cell>
          <cell r="F253" t="str">
            <v>-</v>
          </cell>
          <cell r="G253" t="str">
            <v>-</v>
          </cell>
          <cell r="H253" t="str">
            <v>PE</v>
          </cell>
          <cell r="I253" t="str">
            <v>CBP</v>
          </cell>
          <cell r="J253" t="str">
            <v>ALL</v>
          </cell>
          <cell r="K253" t="str">
            <v>-</v>
          </cell>
          <cell r="L253" t="str">
            <v>CBP</v>
          </cell>
          <cell r="M253" t="str">
            <v xml:space="preserve"> TEKNISI CHEKER</v>
          </cell>
          <cell r="N253" t="str">
            <v>CBP</v>
          </cell>
          <cell r="O253" t="str">
            <v>B</v>
          </cell>
          <cell r="P253" t="str">
            <v>FPS</v>
          </cell>
          <cell r="Q253" t="str">
            <v>PERMANENT</v>
          </cell>
          <cell r="R253" t="str">
            <v>PRM</v>
          </cell>
          <cell r="S253" t="str">
            <v>TKN</v>
          </cell>
          <cell r="T253" t="str">
            <v>L</v>
          </cell>
          <cell r="U253">
            <v>0</v>
          </cell>
          <cell r="V253">
            <v>0</v>
          </cell>
          <cell r="W253">
            <v>0</v>
          </cell>
          <cell r="X253">
            <v>1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1</v>
          </cell>
          <cell r="AE253">
            <v>0</v>
          </cell>
          <cell r="AF253">
            <v>1</v>
          </cell>
          <cell r="AG253">
            <v>0</v>
          </cell>
        </row>
        <row r="254">
          <cell r="A254">
            <v>1</v>
          </cell>
          <cell r="B254">
            <v>5559</v>
          </cell>
          <cell r="C254" t="str">
            <v>MUHAMMAD ARIFIN</v>
          </cell>
          <cell r="D254" t="str">
            <v>TKN-33</v>
          </cell>
          <cell r="E254">
            <v>39052</v>
          </cell>
          <cell r="F254">
            <v>39052</v>
          </cell>
          <cell r="G254">
            <v>39416</v>
          </cell>
          <cell r="H254" t="str">
            <v>PE</v>
          </cell>
          <cell r="I254" t="str">
            <v>CBP</v>
          </cell>
          <cell r="J254" t="str">
            <v>ALL</v>
          </cell>
          <cell r="K254" t="str">
            <v>-</v>
          </cell>
          <cell r="L254" t="str">
            <v>CBP</v>
          </cell>
          <cell r="M254" t="str">
            <v xml:space="preserve"> TEKNISI CHEKER</v>
          </cell>
          <cell r="N254" t="str">
            <v>CBP</v>
          </cell>
          <cell r="O254" t="str">
            <v>A</v>
          </cell>
          <cell r="P254" t="str">
            <v>FPS</v>
          </cell>
          <cell r="Q254" t="str">
            <v>CONTRACT</v>
          </cell>
          <cell r="R254" t="str">
            <v>C3</v>
          </cell>
          <cell r="S254" t="str">
            <v>TKN</v>
          </cell>
          <cell r="T254" t="str">
            <v>L</v>
          </cell>
          <cell r="U254">
            <v>0</v>
          </cell>
          <cell r="V254">
            <v>0</v>
          </cell>
          <cell r="W254">
            <v>0</v>
          </cell>
          <cell r="X254">
            <v>1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1</v>
          </cell>
          <cell r="AE254">
            <v>0</v>
          </cell>
          <cell r="AF254">
            <v>1</v>
          </cell>
          <cell r="AG254">
            <v>0</v>
          </cell>
        </row>
        <row r="255">
          <cell r="A255">
            <v>1</v>
          </cell>
          <cell r="B255">
            <v>5560</v>
          </cell>
          <cell r="C255" t="str">
            <v>MUJIONO</v>
          </cell>
          <cell r="D255" t="str">
            <v>TKN-33</v>
          </cell>
          <cell r="E255">
            <v>39052</v>
          </cell>
          <cell r="F255">
            <v>39052</v>
          </cell>
          <cell r="G255">
            <v>39416</v>
          </cell>
          <cell r="H255" t="str">
            <v>PE</v>
          </cell>
          <cell r="I255" t="str">
            <v>CBP</v>
          </cell>
          <cell r="J255" t="str">
            <v>ALL</v>
          </cell>
          <cell r="K255" t="str">
            <v>-</v>
          </cell>
          <cell r="L255" t="str">
            <v>CBP</v>
          </cell>
          <cell r="M255" t="str">
            <v xml:space="preserve"> TEKNISI CHEKER</v>
          </cell>
          <cell r="N255" t="str">
            <v>CBP</v>
          </cell>
          <cell r="O255" t="str">
            <v>B</v>
          </cell>
          <cell r="P255" t="str">
            <v>FPS</v>
          </cell>
          <cell r="Q255" t="str">
            <v>CONTRACT</v>
          </cell>
          <cell r="R255" t="str">
            <v>C3</v>
          </cell>
          <cell r="S255" t="str">
            <v>TKN</v>
          </cell>
          <cell r="T255" t="str">
            <v>L</v>
          </cell>
          <cell r="U255">
            <v>0</v>
          </cell>
          <cell r="V255">
            <v>0</v>
          </cell>
          <cell r="W255">
            <v>0</v>
          </cell>
          <cell r="X255">
            <v>1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1</v>
          </cell>
          <cell r="AE255">
            <v>0</v>
          </cell>
          <cell r="AF255">
            <v>1</v>
          </cell>
          <cell r="AG255">
            <v>0</v>
          </cell>
        </row>
        <row r="256">
          <cell r="A256">
            <v>1</v>
          </cell>
          <cell r="B256">
            <v>5968</v>
          </cell>
          <cell r="C256" t="str">
            <v>EDY KOESMANTO</v>
          </cell>
          <cell r="D256" t="str">
            <v>TKN-35</v>
          </cell>
          <cell r="E256">
            <v>39129</v>
          </cell>
          <cell r="F256">
            <v>39129</v>
          </cell>
          <cell r="G256">
            <v>39493</v>
          </cell>
          <cell r="H256" t="str">
            <v>PE</v>
          </cell>
          <cell r="I256" t="str">
            <v>CBP</v>
          </cell>
          <cell r="J256" t="str">
            <v>ALL</v>
          </cell>
          <cell r="K256" t="str">
            <v>-</v>
          </cell>
          <cell r="L256" t="str">
            <v>CBP</v>
          </cell>
          <cell r="M256" t="str">
            <v xml:space="preserve"> TEKNISI CHEKER</v>
          </cell>
          <cell r="N256" t="str">
            <v>CBP</v>
          </cell>
          <cell r="O256" t="str">
            <v>B</v>
          </cell>
          <cell r="P256" t="str">
            <v>FPS</v>
          </cell>
          <cell r="Q256" t="str">
            <v>CONTRACT</v>
          </cell>
          <cell r="R256" t="str">
            <v>C3</v>
          </cell>
          <cell r="S256" t="str">
            <v>TKN</v>
          </cell>
          <cell r="T256" t="str">
            <v>L</v>
          </cell>
          <cell r="U256">
            <v>0</v>
          </cell>
          <cell r="V256">
            <v>0</v>
          </cell>
          <cell r="W256">
            <v>0</v>
          </cell>
          <cell r="X256">
            <v>1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1</v>
          </cell>
          <cell r="AE256">
            <v>0</v>
          </cell>
          <cell r="AF256">
            <v>1</v>
          </cell>
          <cell r="AG256">
            <v>0</v>
          </cell>
        </row>
        <row r="257">
          <cell r="A257">
            <v>1</v>
          </cell>
          <cell r="B257">
            <v>5969</v>
          </cell>
          <cell r="C257" t="str">
            <v>HENDRA SETIAWAN SUMARYONO</v>
          </cell>
          <cell r="D257" t="str">
            <v>TKN-35</v>
          </cell>
          <cell r="E257">
            <v>39129</v>
          </cell>
          <cell r="F257">
            <v>39129</v>
          </cell>
          <cell r="G257">
            <v>39493</v>
          </cell>
          <cell r="H257" t="str">
            <v>PE</v>
          </cell>
          <cell r="I257" t="str">
            <v>CBP</v>
          </cell>
          <cell r="J257" t="str">
            <v>ALL</v>
          </cell>
          <cell r="K257" t="str">
            <v>-</v>
          </cell>
          <cell r="L257" t="str">
            <v>CBP</v>
          </cell>
          <cell r="M257" t="str">
            <v xml:space="preserve"> TEKNISI CHEKER</v>
          </cell>
          <cell r="N257" t="str">
            <v>CBP</v>
          </cell>
          <cell r="O257" t="str">
            <v>B</v>
          </cell>
          <cell r="P257" t="str">
            <v>FPS</v>
          </cell>
          <cell r="Q257" t="str">
            <v>CONTRACT</v>
          </cell>
          <cell r="R257" t="str">
            <v>C3</v>
          </cell>
          <cell r="S257" t="str">
            <v>TKN</v>
          </cell>
          <cell r="T257" t="str">
            <v>L</v>
          </cell>
          <cell r="U257">
            <v>0</v>
          </cell>
          <cell r="V257">
            <v>0</v>
          </cell>
          <cell r="W257">
            <v>0</v>
          </cell>
          <cell r="X257">
            <v>1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1</v>
          </cell>
          <cell r="AE257">
            <v>0</v>
          </cell>
          <cell r="AF257">
            <v>1</v>
          </cell>
          <cell r="AG257">
            <v>0</v>
          </cell>
        </row>
        <row r="258">
          <cell r="A258">
            <v>1</v>
          </cell>
          <cell r="B258">
            <v>5971</v>
          </cell>
          <cell r="C258" t="str">
            <v>SUBANDRI</v>
          </cell>
          <cell r="D258" t="str">
            <v>TKN-35</v>
          </cell>
          <cell r="E258">
            <v>39129</v>
          </cell>
          <cell r="F258">
            <v>39129</v>
          </cell>
          <cell r="G258">
            <v>39493</v>
          </cell>
          <cell r="H258" t="str">
            <v>PE</v>
          </cell>
          <cell r="I258" t="str">
            <v>CBP</v>
          </cell>
          <cell r="J258" t="str">
            <v>ALL</v>
          </cell>
          <cell r="K258" t="str">
            <v>-</v>
          </cell>
          <cell r="L258" t="str">
            <v>CBP</v>
          </cell>
          <cell r="M258" t="str">
            <v xml:space="preserve"> TEKNISI CHEKER</v>
          </cell>
          <cell r="N258" t="str">
            <v>CBP</v>
          </cell>
          <cell r="O258" t="str">
            <v>A</v>
          </cell>
          <cell r="P258" t="str">
            <v>FPS</v>
          </cell>
          <cell r="Q258" t="str">
            <v>CONTRACT</v>
          </cell>
          <cell r="R258" t="str">
            <v>C3</v>
          </cell>
          <cell r="S258" t="str">
            <v>TKN</v>
          </cell>
          <cell r="T258" t="str">
            <v>L</v>
          </cell>
          <cell r="U258">
            <v>0</v>
          </cell>
          <cell r="V258">
            <v>0</v>
          </cell>
          <cell r="W258">
            <v>0</v>
          </cell>
          <cell r="X258">
            <v>1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1</v>
          </cell>
          <cell r="AE258">
            <v>0</v>
          </cell>
          <cell r="AF258">
            <v>1</v>
          </cell>
          <cell r="AG258">
            <v>0</v>
          </cell>
        </row>
        <row r="259">
          <cell r="A259">
            <v>1</v>
          </cell>
          <cell r="B259">
            <v>24</v>
          </cell>
          <cell r="C259" t="str">
            <v>HERY HARIYANTO</v>
          </cell>
          <cell r="D259" t="str">
            <v>ES-1</v>
          </cell>
          <cell r="E259">
            <v>37529</v>
          </cell>
          <cell r="F259" t="str">
            <v>-</v>
          </cell>
          <cell r="G259" t="str">
            <v>-</v>
          </cell>
          <cell r="H259" t="str">
            <v>PE</v>
          </cell>
          <cell r="I259" t="str">
            <v>CT</v>
          </cell>
          <cell r="J259" t="str">
            <v>ALL</v>
          </cell>
          <cell r="K259" t="str">
            <v>-</v>
          </cell>
          <cell r="L259" t="str">
            <v>CT</v>
          </cell>
          <cell r="M259" t="str">
            <v>Leader TCSS &amp; modification Applicator</v>
          </cell>
          <cell r="N259" t="str">
            <v>CT</v>
          </cell>
          <cell r="O259" t="str">
            <v>NS</v>
          </cell>
          <cell r="P259" t="str">
            <v>FPS</v>
          </cell>
          <cell r="Q259" t="str">
            <v>PERMANENT</v>
          </cell>
          <cell r="R259" t="str">
            <v>PRM</v>
          </cell>
          <cell r="S259" t="str">
            <v>ES</v>
          </cell>
          <cell r="T259" t="str">
            <v>L</v>
          </cell>
          <cell r="U259">
            <v>0</v>
          </cell>
          <cell r="V259">
            <v>1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1</v>
          </cell>
          <cell r="AE259">
            <v>0</v>
          </cell>
          <cell r="AF259">
            <v>1</v>
          </cell>
          <cell r="AG259">
            <v>0</v>
          </cell>
        </row>
        <row r="260">
          <cell r="A260">
            <v>1</v>
          </cell>
          <cell r="B260">
            <v>199</v>
          </cell>
          <cell r="C260" t="str">
            <v>HARYONO SUBROTO</v>
          </cell>
          <cell r="D260" t="str">
            <v>TKN-2</v>
          </cell>
          <cell r="E260">
            <v>37679</v>
          </cell>
          <cell r="F260" t="str">
            <v>-</v>
          </cell>
          <cell r="G260" t="str">
            <v>-</v>
          </cell>
          <cell r="H260" t="str">
            <v>PE</v>
          </cell>
          <cell r="I260" t="str">
            <v>CT</v>
          </cell>
          <cell r="J260" t="str">
            <v>ALL</v>
          </cell>
          <cell r="K260" t="str">
            <v>-</v>
          </cell>
          <cell r="L260" t="str">
            <v>CT</v>
          </cell>
          <cell r="M260" t="str">
            <v>Modification applicator</v>
          </cell>
          <cell r="N260" t="str">
            <v>CT</v>
          </cell>
          <cell r="O260" t="str">
            <v>NS</v>
          </cell>
          <cell r="P260" t="str">
            <v>FPS</v>
          </cell>
          <cell r="Q260" t="str">
            <v>PERMANENT</v>
          </cell>
          <cell r="R260" t="str">
            <v>PRM</v>
          </cell>
          <cell r="S260" t="str">
            <v>TKN</v>
          </cell>
          <cell r="T260" t="str">
            <v>L</v>
          </cell>
          <cell r="U260">
            <v>0</v>
          </cell>
          <cell r="V260">
            <v>0</v>
          </cell>
          <cell r="W260">
            <v>0</v>
          </cell>
          <cell r="X260">
            <v>1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1</v>
          </cell>
          <cell r="AE260">
            <v>0</v>
          </cell>
          <cell r="AF260">
            <v>1</v>
          </cell>
          <cell r="AG260">
            <v>0</v>
          </cell>
        </row>
        <row r="261">
          <cell r="A261">
            <v>1</v>
          </cell>
          <cell r="B261">
            <v>528</v>
          </cell>
          <cell r="C261" t="str">
            <v>SUGIYATI</v>
          </cell>
          <cell r="D261" t="str">
            <v>OPT-14</v>
          </cell>
          <cell r="E261">
            <v>37767</v>
          </cell>
          <cell r="F261" t="str">
            <v>-</v>
          </cell>
          <cell r="G261" t="str">
            <v>-</v>
          </cell>
          <cell r="H261" t="str">
            <v>PE</v>
          </cell>
          <cell r="I261" t="str">
            <v>CT</v>
          </cell>
          <cell r="J261" t="str">
            <v>ALL</v>
          </cell>
          <cell r="K261" t="str">
            <v>-</v>
          </cell>
          <cell r="L261" t="str">
            <v>CT</v>
          </cell>
          <cell r="M261" t="str">
            <v>Input TCSS &amp; initial process study</v>
          </cell>
          <cell r="N261" t="str">
            <v>CT</v>
          </cell>
          <cell r="O261" t="str">
            <v>NS</v>
          </cell>
          <cell r="P261" t="str">
            <v>FPS</v>
          </cell>
          <cell r="Q261" t="str">
            <v>PERMANENT</v>
          </cell>
          <cell r="R261" t="str">
            <v>PRM</v>
          </cell>
          <cell r="S261" t="str">
            <v>OPT</v>
          </cell>
          <cell r="T261" t="str">
            <v>P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1</v>
          </cell>
          <cell r="AA261">
            <v>0</v>
          </cell>
          <cell r="AB261">
            <v>0</v>
          </cell>
          <cell r="AC261">
            <v>0</v>
          </cell>
          <cell r="AD261">
            <v>1</v>
          </cell>
          <cell r="AE261">
            <v>0</v>
          </cell>
          <cell r="AF261">
            <v>0</v>
          </cell>
          <cell r="AG261">
            <v>0</v>
          </cell>
        </row>
        <row r="262">
          <cell r="A262">
            <v>1</v>
          </cell>
          <cell r="B262">
            <v>1203</v>
          </cell>
          <cell r="C262" t="str">
            <v>EKO RIYANTO</v>
          </cell>
          <cell r="D262" t="str">
            <v>TKN-5</v>
          </cell>
          <cell r="E262">
            <v>37907</v>
          </cell>
          <cell r="F262" t="str">
            <v>-</v>
          </cell>
          <cell r="G262" t="str">
            <v>-</v>
          </cell>
          <cell r="H262" t="str">
            <v>PE</v>
          </cell>
          <cell r="I262" t="str">
            <v>CT</v>
          </cell>
          <cell r="J262" t="str">
            <v>ALL</v>
          </cell>
          <cell r="K262" t="str">
            <v>-</v>
          </cell>
          <cell r="L262" t="str">
            <v>CT</v>
          </cell>
          <cell r="M262" t="str">
            <v>Make TCSS sample &amp; photo cross section</v>
          </cell>
          <cell r="N262" t="str">
            <v>CT</v>
          </cell>
          <cell r="O262" t="str">
            <v>NS</v>
          </cell>
          <cell r="P262" t="str">
            <v>FPS</v>
          </cell>
          <cell r="Q262" t="str">
            <v>PERMANENT</v>
          </cell>
          <cell r="R262" t="str">
            <v>PRM</v>
          </cell>
          <cell r="S262" t="str">
            <v>TKN</v>
          </cell>
          <cell r="T262" t="str">
            <v>L</v>
          </cell>
          <cell r="U262">
            <v>0</v>
          </cell>
          <cell r="V262">
            <v>0</v>
          </cell>
          <cell r="W262">
            <v>0</v>
          </cell>
          <cell r="X262">
            <v>1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1</v>
          </cell>
          <cell r="AE262">
            <v>0</v>
          </cell>
          <cell r="AF262">
            <v>1</v>
          </cell>
          <cell r="AG262">
            <v>0</v>
          </cell>
        </row>
        <row r="263">
          <cell r="A263">
            <v>1</v>
          </cell>
          <cell r="B263">
            <v>1825</v>
          </cell>
          <cell r="C263" t="str">
            <v>AGUNG SUGENG RIYADI</v>
          </cell>
          <cell r="D263" t="str">
            <v>SPV</v>
          </cell>
          <cell r="E263">
            <v>38089</v>
          </cell>
          <cell r="F263" t="str">
            <v>-</v>
          </cell>
          <cell r="G263" t="str">
            <v>-</v>
          </cell>
          <cell r="H263" t="str">
            <v>PE</v>
          </cell>
          <cell r="I263" t="str">
            <v>CT</v>
          </cell>
          <cell r="J263" t="str">
            <v>ALL</v>
          </cell>
          <cell r="K263" t="str">
            <v>-</v>
          </cell>
          <cell r="L263" t="str">
            <v>CT</v>
          </cell>
          <cell r="M263" t="str">
            <v>Supervisor TCSS &amp; modification applicator</v>
          </cell>
          <cell r="N263" t="str">
            <v>FPS SPV</v>
          </cell>
          <cell r="O263" t="str">
            <v>NS</v>
          </cell>
          <cell r="P263" t="str">
            <v>FPS</v>
          </cell>
          <cell r="Q263" t="str">
            <v>PERMANENT</v>
          </cell>
          <cell r="R263" t="str">
            <v>PRM</v>
          </cell>
          <cell r="S263" t="str">
            <v>SPV</v>
          </cell>
          <cell r="T263" t="str">
            <v>L</v>
          </cell>
          <cell r="U263">
            <v>1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1</v>
          </cell>
          <cell r="AE263">
            <v>0</v>
          </cell>
          <cell r="AF263">
            <v>1</v>
          </cell>
          <cell r="AG263">
            <v>0</v>
          </cell>
        </row>
        <row r="264">
          <cell r="A264">
            <v>1</v>
          </cell>
          <cell r="B264">
            <v>5220</v>
          </cell>
          <cell r="C264" t="str">
            <v xml:space="preserve">PURWANTORO                    </v>
          </cell>
          <cell r="D264" t="str">
            <v>TKN-27</v>
          </cell>
          <cell r="E264">
            <v>38961</v>
          </cell>
          <cell r="F264" t="str">
            <v>-</v>
          </cell>
          <cell r="G264" t="str">
            <v>-</v>
          </cell>
          <cell r="H264" t="str">
            <v>PE</v>
          </cell>
          <cell r="I264" t="str">
            <v>CT</v>
          </cell>
          <cell r="J264" t="str">
            <v>ALL</v>
          </cell>
          <cell r="K264" t="str">
            <v>-</v>
          </cell>
          <cell r="L264" t="str">
            <v>CT</v>
          </cell>
          <cell r="M264" t="str">
            <v>PERMANENT</v>
          </cell>
          <cell r="N264" t="str">
            <v>CT</v>
          </cell>
          <cell r="O264" t="str">
            <v>NS</v>
          </cell>
          <cell r="P264" t="str">
            <v>FPS</v>
          </cell>
          <cell r="Q264" t="str">
            <v>PERMANENT</v>
          </cell>
          <cell r="R264" t="str">
            <v>PRM</v>
          </cell>
          <cell r="S264" t="str">
            <v>TKN</v>
          </cell>
          <cell r="T264" t="str">
            <v>L</v>
          </cell>
          <cell r="U264">
            <v>0</v>
          </cell>
          <cell r="V264">
            <v>0</v>
          </cell>
          <cell r="W264">
            <v>0</v>
          </cell>
          <cell r="X264">
            <v>1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1</v>
          </cell>
          <cell r="AE264">
            <v>0</v>
          </cell>
          <cell r="AF264">
            <v>1</v>
          </cell>
          <cell r="AG264">
            <v>0</v>
          </cell>
        </row>
        <row r="265">
          <cell r="A265">
            <v>1</v>
          </cell>
          <cell r="B265">
            <v>5222</v>
          </cell>
          <cell r="C265" t="str">
            <v xml:space="preserve">MUGO SIHONO                   </v>
          </cell>
          <cell r="D265" t="str">
            <v>TKN-27</v>
          </cell>
          <cell r="E265">
            <v>38961</v>
          </cell>
          <cell r="F265">
            <v>39326</v>
          </cell>
          <cell r="G265" t="str">
            <v>31/11/2007</v>
          </cell>
          <cell r="H265" t="str">
            <v>PE</v>
          </cell>
          <cell r="I265" t="str">
            <v>CT</v>
          </cell>
          <cell r="J265" t="str">
            <v>ALL</v>
          </cell>
          <cell r="K265" t="str">
            <v>-</v>
          </cell>
          <cell r="L265" t="str">
            <v>CT</v>
          </cell>
          <cell r="M265" t="str">
            <v>PERMANENT</v>
          </cell>
          <cell r="N265" t="str">
            <v>CT</v>
          </cell>
          <cell r="O265" t="str">
            <v>B</v>
          </cell>
          <cell r="P265" t="str">
            <v>FPS</v>
          </cell>
          <cell r="Q265" t="str">
            <v>PERMANENT</v>
          </cell>
          <cell r="R265" t="str">
            <v>PRM</v>
          </cell>
          <cell r="S265" t="str">
            <v>TKN</v>
          </cell>
          <cell r="T265" t="str">
            <v>L</v>
          </cell>
          <cell r="U265">
            <v>0</v>
          </cell>
          <cell r="V265">
            <v>0</v>
          </cell>
          <cell r="W265">
            <v>0</v>
          </cell>
          <cell r="X265">
            <v>1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1</v>
          </cell>
          <cell r="AE265">
            <v>0</v>
          </cell>
          <cell r="AF265">
            <v>1</v>
          </cell>
          <cell r="AG265">
            <v>0</v>
          </cell>
        </row>
        <row r="266">
          <cell r="A266">
            <v>1</v>
          </cell>
          <cell r="B266">
            <v>5911</v>
          </cell>
          <cell r="C266" t="str">
            <v>JULIANAVI</v>
          </cell>
          <cell r="D266" t="str">
            <v>OPT-137</v>
          </cell>
          <cell r="E266">
            <v>39129</v>
          </cell>
          <cell r="F266">
            <v>39129</v>
          </cell>
          <cell r="G266">
            <v>39493</v>
          </cell>
          <cell r="H266" t="str">
            <v>PE</v>
          </cell>
          <cell r="I266" t="str">
            <v>CT</v>
          </cell>
          <cell r="J266" t="str">
            <v>ALL</v>
          </cell>
          <cell r="K266" t="str">
            <v>-</v>
          </cell>
          <cell r="L266" t="str">
            <v>CT</v>
          </cell>
          <cell r="M266" t="str">
            <v>Resistance process</v>
          </cell>
          <cell r="N266" t="str">
            <v>CT</v>
          </cell>
          <cell r="O266" t="str">
            <v>NS</v>
          </cell>
          <cell r="P266" t="str">
            <v>FPS</v>
          </cell>
          <cell r="Q266" t="str">
            <v>CONTRACT</v>
          </cell>
          <cell r="R266" t="str">
            <v>C3</v>
          </cell>
          <cell r="S266" t="str">
            <v>OPT</v>
          </cell>
          <cell r="T266" t="str">
            <v>P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1</v>
          </cell>
          <cell r="AA266">
            <v>0</v>
          </cell>
          <cell r="AB266">
            <v>0</v>
          </cell>
          <cell r="AC266">
            <v>0</v>
          </cell>
          <cell r="AD266">
            <v>1</v>
          </cell>
          <cell r="AE266">
            <v>0</v>
          </cell>
          <cell r="AF266">
            <v>0</v>
          </cell>
          <cell r="AG266">
            <v>0</v>
          </cell>
        </row>
        <row r="267">
          <cell r="A267">
            <v>1</v>
          </cell>
          <cell r="B267">
            <v>6110</v>
          </cell>
          <cell r="C267" t="str">
            <v>ARIFIN</v>
          </cell>
          <cell r="D267" t="str">
            <v>TKN-37</v>
          </cell>
          <cell r="E267">
            <v>39142</v>
          </cell>
          <cell r="F267">
            <v>39142</v>
          </cell>
          <cell r="G267">
            <v>39506</v>
          </cell>
          <cell r="H267" t="str">
            <v>PE</v>
          </cell>
          <cell r="I267" t="str">
            <v>CT</v>
          </cell>
          <cell r="J267" t="str">
            <v>ALL</v>
          </cell>
          <cell r="K267" t="str">
            <v>-</v>
          </cell>
          <cell r="L267" t="str">
            <v>CT</v>
          </cell>
          <cell r="M267" t="str">
            <v>Make initial process study crimping &amp; bonding</v>
          </cell>
          <cell r="N267" t="str">
            <v>CT</v>
          </cell>
          <cell r="O267" t="str">
            <v>A</v>
          </cell>
          <cell r="P267" t="str">
            <v>FPS</v>
          </cell>
          <cell r="Q267" t="str">
            <v>CONTRACT</v>
          </cell>
          <cell r="R267" t="str">
            <v>C3</v>
          </cell>
          <cell r="S267" t="str">
            <v>TKN</v>
          </cell>
          <cell r="T267" t="str">
            <v>L</v>
          </cell>
          <cell r="U267">
            <v>0</v>
          </cell>
          <cell r="V267">
            <v>0</v>
          </cell>
          <cell r="W267">
            <v>0</v>
          </cell>
          <cell r="X267">
            <v>1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1</v>
          </cell>
          <cell r="AE267">
            <v>0</v>
          </cell>
          <cell r="AF267">
            <v>1</v>
          </cell>
          <cell r="AG267">
            <v>0</v>
          </cell>
        </row>
        <row r="268">
          <cell r="A268">
            <v>1</v>
          </cell>
          <cell r="B268">
            <v>6115</v>
          </cell>
          <cell r="C268" t="str">
            <v>LASIMIN</v>
          </cell>
          <cell r="D268" t="str">
            <v>TKN-37</v>
          </cell>
          <cell r="E268">
            <v>39142</v>
          </cell>
          <cell r="F268">
            <v>39142</v>
          </cell>
          <cell r="G268">
            <v>39506</v>
          </cell>
          <cell r="H268" t="str">
            <v>PE</v>
          </cell>
          <cell r="I268" t="str">
            <v>CT</v>
          </cell>
          <cell r="J268" t="str">
            <v>ALL</v>
          </cell>
          <cell r="K268" t="str">
            <v>-</v>
          </cell>
          <cell r="L268" t="str">
            <v>CT</v>
          </cell>
          <cell r="M268" t="str">
            <v>Make initial process study crimping &amp; bonding</v>
          </cell>
          <cell r="N268" t="str">
            <v>CT</v>
          </cell>
          <cell r="O268" t="str">
            <v>B</v>
          </cell>
          <cell r="P268" t="str">
            <v>FPS</v>
          </cell>
          <cell r="Q268" t="str">
            <v>CONTRACT</v>
          </cell>
          <cell r="R268" t="str">
            <v>C3</v>
          </cell>
          <cell r="S268" t="str">
            <v>TKN</v>
          </cell>
          <cell r="T268" t="str">
            <v>L</v>
          </cell>
          <cell r="U268">
            <v>0</v>
          </cell>
          <cell r="V268">
            <v>0</v>
          </cell>
          <cell r="W268">
            <v>0</v>
          </cell>
          <cell r="X268">
            <v>1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1</v>
          </cell>
          <cell r="AE268">
            <v>0</v>
          </cell>
          <cell r="AF268">
            <v>1</v>
          </cell>
          <cell r="AG268">
            <v>0</v>
          </cell>
        </row>
        <row r="269">
          <cell r="A269">
            <v>1</v>
          </cell>
          <cell r="B269">
            <v>2409</v>
          </cell>
          <cell r="C269" t="str">
            <v>BONIR ARIO TUBAGUS</v>
          </cell>
          <cell r="D269" t="str">
            <v>ES-16</v>
          </cell>
          <cell r="E269">
            <v>38189</v>
          </cell>
          <cell r="F269" t="str">
            <v>-</v>
          </cell>
          <cell r="G269" t="str">
            <v>-</v>
          </cell>
          <cell r="H269" t="str">
            <v>PE</v>
          </cell>
          <cell r="I269" t="str">
            <v>IPS</v>
          </cell>
          <cell r="J269" t="str">
            <v>ALL</v>
          </cell>
          <cell r="K269" t="str">
            <v>-</v>
          </cell>
          <cell r="L269" t="str">
            <v>IPS</v>
          </cell>
          <cell r="M269" t="str">
            <v>STOCK CONTROL &amp; ORDERING</v>
          </cell>
          <cell r="N269" t="str">
            <v>IPS</v>
          </cell>
          <cell r="O269" t="str">
            <v>NS</v>
          </cell>
          <cell r="P269" t="str">
            <v>FPS</v>
          </cell>
          <cell r="Q269" t="str">
            <v>PERMANENT</v>
          </cell>
          <cell r="R269" t="str">
            <v>PRM</v>
          </cell>
          <cell r="S269" t="str">
            <v>ES</v>
          </cell>
          <cell r="T269" t="str">
            <v>L</v>
          </cell>
          <cell r="U269">
            <v>0</v>
          </cell>
          <cell r="V269">
            <v>1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1</v>
          </cell>
          <cell r="AE269">
            <v>0</v>
          </cell>
          <cell r="AF269">
            <v>1</v>
          </cell>
          <cell r="AG269">
            <v>0</v>
          </cell>
        </row>
        <row r="270">
          <cell r="A270">
            <v>1</v>
          </cell>
          <cell r="B270">
            <v>2415</v>
          </cell>
          <cell r="C270" t="str">
            <v>MOH.ISYA ANSYARI</v>
          </cell>
          <cell r="D270" t="str">
            <v>SPV</v>
          </cell>
          <cell r="E270">
            <v>38194</v>
          </cell>
          <cell r="F270" t="str">
            <v>-</v>
          </cell>
          <cell r="G270" t="str">
            <v>-</v>
          </cell>
          <cell r="H270" t="str">
            <v>PE</v>
          </cell>
          <cell r="I270" t="str">
            <v>IPS</v>
          </cell>
          <cell r="J270" t="str">
            <v>ALL</v>
          </cell>
          <cell r="K270" t="str">
            <v>-</v>
          </cell>
          <cell r="L270" t="str">
            <v>IPS</v>
          </cell>
          <cell r="M270" t="str">
            <v>Supervisor IPS</v>
          </cell>
          <cell r="N270" t="str">
            <v>FPS SPV</v>
          </cell>
          <cell r="O270" t="str">
            <v>NS</v>
          </cell>
          <cell r="P270" t="str">
            <v>FPS</v>
          </cell>
          <cell r="Q270" t="str">
            <v>PERMANENT</v>
          </cell>
          <cell r="R270" t="str">
            <v>PRM</v>
          </cell>
          <cell r="S270" t="str">
            <v>SPV</v>
          </cell>
          <cell r="T270" t="str">
            <v>L</v>
          </cell>
          <cell r="U270">
            <v>1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1</v>
          </cell>
          <cell r="AE270">
            <v>0</v>
          </cell>
          <cell r="AF270">
            <v>1</v>
          </cell>
          <cell r="AG270">
            <v>0</v>
          </cell>
        </row>
        <row r="271">
          <cell r="A271">
            <v>1</v>
          </cell>
          <cell r="B271">
            <v>4352</v>
          </cell>
          <cell r="C271" t="str">
            <v>TRI LESTARI</v>
          </cell>
          <cell r="D271" t="str">
            <v>ADM-23</v>
          </cell>
          <cell r="E271">
            <v>38741</v>
          </cell>
          <cell r="F271">
            <v>39234</v>
          </cell>
          <cell r="G271">
            <v>39599</v>
          </cell>
          <cell r="H271" t="str">
            <v>PE</v>
          </cell>
          <cell r="I271" t="str">
            <v>IPS</v>
          </cell>
          <cell r="J271" t="str">
            <v>ALL</v>
          </cell>
          <cell r="K271" t="str">
            <v>-</v>
          </cell>
          <cell r="L271" t="str">
            <v>IPS</v>
          </cell>
          <cell r="M271" t="str">
            <v>STOCK CONTROL</v>
          </cell>
          <cell r="N271" t="str">
            <v>IPS</v>
          </cell>
          <cell r="O271" t="str">
            <v>NS</v>
          </cell>
          <cell r="P271" t="str">
            <v>FPS</v>
          </cell>
          <cell r="Q271" t="str">
            <v>CONTRACT</v>
          </cell>
          <cell r="R271" t="str">
            <v>C2</v>
          </cell>
          <cell r="S271" t="str">
            <v>ADM</v>
          </cell>
          <cell r="T271" t="str">
            <v>P</v>
          </cell>
          <cell r="U271">
            <v>0</v>
          </cell>
          <cell r="V271">
            <v>0</v>
          </cell>
          <cell r="W271">
            <v>1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1</v>
          </cell>
          <cell r="AE271">
            <v>0</v>
          </cell>
          <cell r="AF271">
            <v>0</v>
          </cell>
          <cell r="AG271">
            <v>0</v>
          </cell>
        </row>
        <row r="272">
          <cell r="A272">
            <v>1</v>
          </cell>
          <cell r="B272">
            <v>4443</v>
          </cell>
          <cell r="C272" t="str">
            <v>DEWI SUSANTI</v>
          </cell>
          <cell r="D272" t="str">
            <v>ADM-24</v>
          </cell>
          <cell r="E272">
            <v>38758</v>
          </cell>
          <cell r="F272">
            <v>39234</v>
          </cell>
          <cell r="G272">
            <v>39599</v>
          </cell>
          <cell r="H272" t="str">
            <v>PE</v>
          </cell>
          <cell r="I272" t="str">
            <v>IPS</v>
          </cell>
          <cell r="J272" t="str">
            <v>ALL</v>
          </cell>
          <cell r="K272" t="str">
            <v>-</v>
          </cell>
          <cell r="L272" t="str">
            <v>IPS</v>
          </cell>
          <cell r="M272" t="str">
            <v>STOCK CONTROL</v>
          </cell>
          <cell r="N272" t="str">
            <v>IPS</v>
          </cell>
          <cell r="O272" t="str">
            <v>NS</v>
          </cell>
          <cell r="P272" t="str">
            <v>FPS</v>
          </cell>
          <cell r="Q272" t="str">
            <v>CONTRACT</v>
          </cell>
          <cell r="R272" t="str">
            <v>C2</v>
          </cell>
          <cell r="S272" t="str">
            <v>ADM</v>
          </cell>
          <cell r="T272" t="str">
            <v>P</v>
          </cell>
          <cell r="U272">
            <v>0</v>
          </cell>
          <cell r="V272">
            <v>0</v>
          </cell>
          <cell r="W272">
            <v>1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1</v>
          </cell>
          <cell r="AE272">
            <v>0</v>
          </cell>
          <cell r="AF272">
            <v>0</v>
          </cell>
          <cell r="AG272">
            <v>0</v>
          </cell>
        </row>
        <row r="273">
          <cell r="A273">
            <v>1</v>
          </cell>
          <cell r="B273">
            <v>4484</v>
          </cell>
          <cell r="C273" t="str">
            <v>SRI WAHYUNINGSIH</v>
          </cell>
          <cell r="D273" t="str">
            <v>ADM-25</v>
          </cell>
          <cell r="E273">
            <v>38775</v>
          </cell>
          <cell r="F273">
            <v>39264</v>
          </cell>
          <cell r="G273">
            <v>39629</v>
          </cell>
          <cell r="H273" t="str">
            <v>PE</v>
          </cell>
          <cell r="I273" t="str">
            <v>IPS</v>
          </cell>
          <cell r="J273" t="str">
            <v>ALL</v>
          </cell>
          <cell r="K273" t="str">
            <v>-</v>
          </cell>
          <cell r="L273" t="str">
            <v>IPS</v>
          </cell>
          <cell r="M273" t="str">
            <v>STOCK CONTROL</v>
          </cell>
          <cell r="N273" t="str">
            <v>IPS</v>
          </cell>
          <cell r="O273" t="str">
            <v>NS</v>
          </cell>
          <cell r="P273" t="str">
            <v>FPS</v>
          </cell>
          <cell r="Q273" t="str">
            <v>CONTRACT</v>
          </cell>
          <cell r="R273" t="str">
            <v>C2</v>
          </cell>
          <cell r="S273" t="str">
            <v>ADM</v>
          </cell>
          <cell r="T273" t="str">
            <v>P</v>
          </cell>
          <cell r="U273">
            <v>0</v>
          </cell>
          <cell r="V273">
            <v>0</v>
          </cell>
          <cell r="W273">
            <v>1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1</v>
          </cell>
          <cell r="AE273">
            <v>0</v>
          </cell>
          <cell r="AF273">
            <v>0</v>
          </cell>
          <cell r="AG273">
            <v>0</v>
          </cell>
        </row>
        <row r="274">
          <cell r="A274">
            <v>1</v>
          </cell>
          <cell r="B274">
            <v>5440</v>
          </cell>
          <cell r="C274" t="str">
            <v>RISTINO</v>
          </cell>
          <cell r="D274" t="str">
            <v>OPT-128</v>
          </cell>
          <cell r="E274">
            <v>38991</v>
          </cell>
          <cell r="F274" t="str">
            <v>-</v>
          </cell>
          <cell r="G274" t="str">
            <v>-</v>
          </cell>
          <cell r="H274" t="str">
            <v>PE</v>
          </cell>
          <cell r="I274" t="str">
            <v>IPS</v>
          </cell>
          <cell r="J274" t="str">
            <v>ALL</v>
          </cell>
          <cell r="K274" t="str">
            <v>-</v>
          </cell>
          <cell r="L274" t="str">
            <v>IPS</v>
          </cell>
          <cell r="M274" t="str">
            <v>STOCK CONTROL</v>
          </cell>
          <cell r="N274" t="str">
            <v>IPS</v>
          </cell>
          <cell r="O274" t="str">
            <v>NS</v>
          </cell>
          <cell r="P274" t="str">
            <v>FPS</v>
          </cell>
          <cell r="Q274" t="str">
            <v>PERMANENT</v>
          </cell>
          <cell r="R274" t="str">
            <v>PRM</v>
          </cell>
          <cell r="S274" t="str">
            <v>OPT</v>
          </cell>
          <cell r="T274" t="str">
            <v>L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</v>
          </cell>
          <cell r="AA274">
            <v>0</v>
          </cell>
          <cell r="AB274">
            <v>0</v>
          </cell>
          <cell r="AC274">
            <v>0</v>
          </cell>
          <cell r="AD274">
            <v>1</v>
          </cell>
          <cell r="AE274">
            <v>0</v>
          </cell>
          <cell r="AF274">
            <v>1</v>
          </cell>
          <cell r="AG274">
            <v>0</v>
          </cell>
        </row>
        <row r="275">
          <cell r="A275">
            <v>1</v>
          </cell>
          <cell r="B275">
            <v>5466</v>
          </cell>
          <cell r="C275" t="str">
            <v>TRI SUSANDI</v>
          </cell>
          <cell r="D275" t="str">
            <v>OPT-128</v>
          </cell>
          <cell r="E275">
            <v>38991</v>
          </cell>
          <cell r="F275" t="str">
            <v>-</v>
          </cell>
          <cell r="G275" t="str">
            <v>-</v>
          </cell>
          <cell r="H275" t="str">
            <v>PE</v>
          </cell>
          <cell r="I275" t="str">
            <v>IPS</v>
          </cell>
          <cell r="J275" t="str">
            <v>ALL</v>
          </cell>
          <cell r="K275" t="str">
            <v>-</v>
          </cell>
          <cell r="L275" t="str">
            <v>IPS</v>
          </cell>
          <cell r="M275" t="str">
            <v>STOCK CONTROL</v>
          </cell>
          <cell r="N275" t="str">
            <v>IPS</v>
          </cell>
          <cell r="O275" t="str">
            <v>NS</v>
          </cell>
          <cell r="P275" t="str">
            <v>FPS</v>
          </cell>
          <cell r="Q275" t="str">
            <v>PERMANENT</v>
          </cell>
          <cell r="R275" t="str">
            <v>PRM</v>
          </cell>
          <cell r="S275" t="str">
            <v>OPT</v>
          </cell>
          <cell r="T275" t="str">
            <v>L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1</v>
          </cell>
          <cell r="AA275">
            <v>0</v>
          </cell>
          <cell r="AB275">
            <v>0</v>
          </cell>
          <cell r="AC275">
            <v>0</v>
          </cell>
          <cell r="AD275">
            <v>1</v>
          </cell>
          <cell r="AE275">
            <v>0</v>
          </cell>
          <cell r="AF275">
            <v>1</v>
          </cell>
          <cell r="AG275">
            <v>0</v>
          </cell>
        </row>
        <row r="276">
          <cell r="A276">
            <v>1</v>
          </cell>
          <cell r="B276">
            <v>44</v>
          </cell>
          <cell r="C276" t="str">
            <v>ACHMAD AFFANDI</v>
          </cell>
          <cell r="D276" t="str">
            <v>TKN-1</v>
          </cell>
          <cell r="E276">
            <v>37529</v>
          </cell>
          <cell r="F276" t="str">
            <v>-</v>
          </cell>
          <cell r="G276" t="str">
            <v>-</v>
          </cell>
          <cell r="H276" t="str">
            <v>PE</v>
          </cell>
          <cell r="I276" t="str">
            <v>JBP</v>
          </cell>
          <cell r="J276" t="str">
            <v>ALL</v>
          </cell>
          <cell r="K276" t="str">
            <v>-</v>
          </cell>
          <cell r="L276" t="str">
            <v>JBP</v>
          </cell>
          <cell r="M276" t="str">
            <v xml:space="preserve"> TEKNISI JIG</v>
          </cell>
          <cell r="N276" t="str">
            <v>JBP</v>
          </cell>
          <cell r="O276" t="str">
            <v>NS</v>
          </cell>
          <cell r="P276" t="str">
            <v>FPS</v>
          </cell>
          <cell r="Q276" t="str">
            <v>PERMANENT</v>
          </cell>
          <cell r="R276" t="str">
            <v>PRM</v>
          </cell>
          <cell r="S276" t="str">
            <v>TKN</v>
          </cell>
          <cell r="T276" t="str">
            <v>L</v>
          </cell>
          <cell r="U276">
            <v>0</v>
          </cell>
          <cell r="V276">
            <v>0</v>
          </cell>
          <cell r="W276">
            <v>0</v>
          </cell>
          <cell r="X276">
            <v>1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1</v>
          </cell>
          <cell r="AE276">
            <v>0</v>
          </cell>
          <cell r="AF276">
            <v>1</v>
          </cell>
          <cell r="AG276">
            <v>0</v>
          </cell>
        </row>
        <row r="277">
          <cell r="A277">
            <v>1</v>
          </cell>
          <cell r="B277">
            <v>48</v>
          </cell>
          <cell r="C277" t="str">
            <v>JULIANTO SETYO N</v>
          </cell>
          <cell r="D277" t="str">
            <v>TKN-1</v>
          </cell>
          <cell r="E277">
            <v>37529</v>
          </cell>
          <cell r="F277" t="str">
            <v>-</v>
          </cell>
          <cell r="G277" t="str">
            <v>-</v>
          </cell>
          <cell r="H277" t="str">
            <v>PE</v>
          </cell>
          <cell r="I277" t="str">
            <v>JBP</v>
          </cell>
          <cell r="J277" t="str">
            <v>ALL</v>
          </cell>
          <cell r="K277" t="str">
            <v>-</v>
          </cell>
          <cell r="L277" t="str">
            <v>JBP</v>
          </cell>
          <cell r="M277" t="str">
            <v xml:space="preserve"> TEKNISI JIG</v>
          </cell>
          <cell r="N277" t="str">
            <v>JBP</v>
          </cell>
          <cell r="O277" t="str">
            <v>A</v>
          </cell>
          <cell r="P277" t="str">
            <v>FPS</v>
          </cell>
          <cell r="Q277" t="str">
            <v>PERMANENT</v>
          </cell>
          <cell r="R277" t="str">
            <v>PRM</v>
          </cell>
          <cell r="S277" t="str">
            <v>TKN</v>
          </cell>
          <cell r="T277" t="str">
            <v>L</v>
          </cell>
          <cell r="U277">
            <v>0</v>
          </cell>
          <cell r="V277">
            <v>0</v>
          </cell>
          <cell r="W277">
            <v>0</v>
          </cell>
          <cell r="X277">
            <v>1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1</v>
          </cell>
          <cell r="AE277">
            <v>0</v>
          </cell>
          <cell r="AF277">
            <v>1</v>
          </cell>
          <cell r="AG277">
            <v>0</v>
          </cell>
        </row>
        <row r="278">
          <cell r="A278">
            <v>1</v>
          </cell>
          <cell r="B278">
            <v>129</v>
          </cell>
          <cell r="C278" t="str">
            <v>AMELIA WAHYU PUTRANTI</v>
          </cell>
          <cell r="D278" t="str">
            <v>OPT-4</v>
          </cell>
          <cell r="E278">
            <v>37637</v>
          </cell>
          <cell r="F278" t="str">
            <v>-</v>
          </cell>
          <cell r="G278" t="str">
            <v>-</v>
          </cell>
          <cell r="H278" t="str">
            <v>PE</v>
          </cell>
          <cell r="I278" t="str">
            <v>JBP</v>
          </cell>
          <cell r="J278" t="str">
            <v>ALL</v>
          </cell>
          <cell r="K278" t="str">
            <v>-</v>
          </cell>
          <cell r="L278" t="str">
            <v>JBP</v>
          </cell>
          <cell r="M278" t="str">
            <v xml:space="preserve"> ADM</v>
          </cell>
          <cell r="N278" t="str">
            <v>JBP</v>
          </cell>
          <cell r="O278" t="str">
            <v>NS</v>
          </cell>
          <cell r="P278" t="str">
            <v>FPS</v>
          </cell>
          <cell r="Q278" t="str">
            <v>PERMANENT</v>
          </cell>
          <cell r="R278" t="str">
            <v>PRM</v>
          </cell>
          <cell r="S278" t="str">
            <v>OPT</v>
          </cell>
          <cell r="T278" t="str">
            <v>P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1</v>
          </cell>
          <cell r="AA278">
            <v>0</v>
          </cell>
          <cell r="AB278">
            <v>0</v>
          </cell>
          <cell r="AC278">
            <v>0</v>
          </cell>
          <cell r="AD278">
            <v>1</v>
          </cell>
          <cell r="AE278">
            <v>0</v>
          </cell>
          <cell r="AF278">
            <v>0</v>
          </cell>
          <cell r="AG278">
            <v>0</v>
          </cell>
        </row>
        <row r="279">
          <cell r="A279">
            <v>1</v>
          </cell>
          <cell r="B279">
            <v>1014</v>
          </cell>
          <cell r="C279" t="str">
            <v>EKO ARIF SUSANTO</v>
          </cell>
          <cell r="D279" t="str">
            <v>TKN-4</v>
          </cell>
          <cell r="E279">
            <v>37872</v>
          </cell>
          <cell r="F279" t="str">
            <v>-</v>
          </cell>
          <cell r="G279" t="str">
            <v>-</v>
          </cell>
          <cell r="H279" t="str">
            <v>PE</v>
          </cell>
          <cell r="I279" t="str">
            <v>JBP</v>
          </cell>
          <cell r="J279" t="str">
            <v>ALL</v>
          </cell>
          <cell r="K279" t="str">
            <v>-</v>
          </cell>
          <cell r="L279" t="str">
            <v>JBP</v>
          </cell>
          <cell r="M279" t="str">
            <v xml:space="preserve"> TEKNISI JIG</v>
          </cell>
          <cell r="N279" t="str">
            <v>JBP</v>
          </cell>
          <cell r="O279" t="str">
            <v>NS</v>
          </cell>
          <cell r="P279" t="str">
            <v>FPS</v>
          </cell>
          <cell r="Q279" t="str">
            <v>PERMANENT</v>
          </cell>
          <cell r="R279" t="str">
            <v>PRM</v>
          </cell>
          <cell r="S279" t="str">
            <v>TKN</v>
          </cell>
          <cell r="T279" t="str">
            <v>L</v>
          </cell>
          <cell r="U279">
            <v>0</v>
          </cell>
          <cell r="V279">
            <v>0</v>
          </cell>
          <cell r="W279">
            <v>0</v>
          </cell>
          <cell r="X279">
            <v>1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1</v>
          </cell>
          <cell r="AE279">
            <v>0</v>
          </cell>
          <cell r="AF279">
            <v>1</v>
          </cell>
          <cell r="AG279">
            <v>0</v>
          </cell>
        </row>
        <row r="280">
          <cell r="A280">
            <v>1</v>
          </cell>
          <cell r="B280">
            <v>1016</v>
          </cell>
          <cell r="C280" t="str">
            <v>ADI SUCIPTO</v>
          </cell>
          <cell r="D280" t="str">
            <v>TKN-4</v>
          </cell>
          <cell r="E280">
            <v>37872</v>
          </cell>
          <cell r="F280" t="str">
            <v>-</v>
          </cell>
          <cell r="G280" t="str">
            <v>-</v>
          </cell>
          <cell r="H280" t="str">
            <v>PE</v>
          </cell>
          <cell r="I280" t="str">
            <v>JBP</v>
          </cell>
          <cell r="J280" t="str">
            <v>ALL</v>
          </cell>
          <cell r="K280" t="str">
            <v>-</v>
          </cell>
          <cell r="L280" t="str">
            <v>JBP</v>
          </cell>
          <cell r="M280" t="str">
            <v xml:space="preserve"> TEKNISI JIG</v>
          </cell>
          <cell r="N280" t="str">
            <v>JBP</v>
          </cell>
          <cell r="O280" t="str">
            <v>B</v>
          </cell>
          <cell r="P280" t="str">
            <v>FPS</v>
          </cell>
          <cell r="Q280" t="str">
            <v>PERMANENT</v>
          </cell>
          <cell r="R280" t="str">
            <v>PRM</v>
          </cell>
          <cell r="S280" t="str">
            <v>TKN</v>
          </cell>
          <cell r="T280" t="str">
            <v>L</v>
          </cell>
          <cell r="U280">
            <v>0</v>
          </cell>
          <cell r="V280">
            <v>0</v>
          </cell>
          <cell r="W280">
            <v>0</v>
          </cell>
          <cell r="X280">
            <v>1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1</v>
          </cell>
          <cell r="AE280">
            <v>0</v>
          </cell>
          <cell r="AF280">
            <v>1</v>
          </cell>
          <cell r="AG280">
            <v>0</v>
          </cell>
        </row>
        <row r="281">
          <cell r="A281">
            <v>1</v>
          </cell>
          <cell r="B281">
            <v>1412</v>
          </cell>
          <cell r="C281" t="str">
            <v>WAHYUDI</v>
          </cell>
          <cell r="D281" t="str">
            <v>TKN-6</v>
          </cell>
          <cell r="E281">
            <v>37963</v>
          </cell>
          <cell r="F281" t="str">
            <v>-</v>
          </cell>
          <cell r="G281" t="str">
            <v>-</v>
          </cell>
          <cell r="H281" t="str">
            <v>PE</v>
          </cell>
          <cell r="I281" t="str">
            <v>JBP</v>
          </cell>
          <cell r="J281" t="str">
            <v>ALL</v>
          </cell>
          <cell r="K281" t="str">
            <v>-</v>
          </cell>
          <cell r="L281" t="str">
            <v>JBP</v>
          </cell>
          <cell r="M281" t="str">
            <v xml:space="preserve"> TEKNISI JIG</v>
          </cell>
          <cell r="N281" t="str">
            <v>JBP</v>
          </cell>
          <cell r="O281" t="str">
            <v>B</v>
          </cell>
          <cell r="P281" t="str">
            <v>FPS</v>
          </cell>
          <cell r="Q281" t="str">
            <v>PERMANENT</v>
          </cell>
          <cell r="R281" t="str">
            <v>PRM</v>
          </cell>
          <cell r="S281" t="str">
            <v>TKN</v>
          </cell>
          <cell r="T281" t="str">
            <v>L</v>
          </cell>
          <cell r="U281">
            <v>0</v>
          </cell>
          <cell r="V281">
            <v>0</v>
          </cell>
          <cell r="W281">
            <v>0</v>
          </cell>
          <cell r="X281">
            <v>1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1</v>
          </cell>
          <cell r="AE281">
            <v>0</v>
          </cell>
          <cell r="AF281">
            <v>1</v>
          </cell>
          <cell r="AG281">
            <v>0</v>
          </cell>
        </row>
        <row r="282">
          <cell r="A282">
            <v>1</v>
          </cell>
          <cell r="B282">
            <v>1651</v>
          </cell>
          <cell r="C282" t="str">
            <v>AHMAD MUBARAK</v>
          </cell>
          <cell r="D282" t="str">
            <v>ES-12</v>
          </cell>
          <cell r="E282">
            <v>38061</v>
          </cell>
          <cell r="F282" t="str">
            <v>-</v>
          </cell>
          <cell r="G282" t="str">
            <v>-</v>
          </cell>
          <cell r="H282" t="str">
            <v>PE</v>
          </cell>
          <cell r="I282" t="str">
            <v>JBP</v>
          </cell>
          <cell r="J282" t="str">
            <v>ALL</v>
          </cell>
          <cell r="K282" t="str">
            <v>-</v>
          </cell>
          <cell r="L282" t="str">
            <v>JBP</v>
          </cell>
          <cell r="M282" t="str">
            <v xml:space="preserve"> L JIG FABR</v>
          </cell>
          <cell r="N282" t="str">
            <v>JBP</v>
          </cell>
          <cell r="O282" t="str">
            <v>NS</v>
          </cell>
          <cell r="P282" t="str">
            <v>FPS</v>
          </cell>
          <cell r="Q282" t="str">
            <v>PERMANENT</v>
          </cell>
          <cell r="R282" t="str">
            <v>PRM</v>
          </cell>
          <cell r="S282" t="str">
            <v>ES</v>
          </cell>
          <cell r="T282" t="str">
            <v>L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1</v>
          </cell>
          <cell r="AE282">
            <v>0</v>
          </cell>
          <cell r="AF282">
            <v>1</v>
          </cell>
          <cell r="AG282">
            <v>0</v>
          </cell>
        </row>
        <row r="283">
          <cell r="A283">
            <v>1</v>
          </cell>
          <cell r="B283">
            <v>3770</v>
          </cell>
          <cell r="C283" t="str">
            <v>ARIE CAHYADI</v>
          </cell>
          <cell r="D283" t="str">
            <v>TKN-19</v>
          </cell>
          <cell r="E283">
            <v>38705</v>
          </cell>
          <cell r="F283">
            <v>39083</v>
          </cell>
          <cell r="G283">
            <v>39447</v>
          </cell>
          <cell r="H283" t="str">
            <v>PE</v>
          </cell>
          <cell r="I283" t="str">
            <v>JBP</v>
          </cell>
          <cell r="J283" t="str">
            <v>ALL</v>
          </cell>
          <cell r="K283" t="str">
            <v>-</v>
          </cell>
          <cell r="L283" t="str">
            <v>JBP</v>
          </cell>
          <cell r="M283" t="str">
            <v xml:space="preserve"> TEKNISI JIG</v>
          </cell>
          <cell r="N283" t="str">
            <v>JBP</v>
          </cell>
          <cell r="O283" t="str">
            <v>A</v>
          </cell>
          <cell r="P283" t="str">
            <v>FPS</v>
          </cell>
          <cell r="Q283" t="str">
            <v>CONTRACT</v>
          </cell>
          <cell r="R283" t="str">
            <v>C2</v>
          </cell>
          <cell r="S283" t="str">
            <v>TKN</v>
          </cell>
          <cell r="T283" t="str">
            <v>L</v>
          </cell>
          <cell r="U283">
            <v>0</v>
          </cell>
          <cell r="V283">
            <v>0</v>
          </cell>
          <cell r="W283">
            <v>0</v>
          </cell>
          <cell r="X283">
            <v>1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1</v>
          </cell>
          <cell r="AE283">
            <v>0</v>
          </cell>
          <cell r="AF283">
            <v>1</v>
          </cell>
          <cell r="AG283">
            <v>0</v>
          </cell>
        </row>
        <row r="284">
          <cell r="A284">
            <v>1</v>
          </cell>
          <cell r="B284">
            <v>3771</v>
          </cell>
          <cell r="C284" t="str">
            <v>KAREP AMAD SUBAGIYO</v>
          </cell>
          <cell r="D284" t="str">
            <v>TKN-19</v>
          </cell>
          <cell r="E284">
            <v>38705</v>
          </cell>
          <cell r="F284">
            <v>39083</v>
          </cell>
          <cell r="G284">
            <v>39447</v>
          </cell>
          <cell r="H284" t="str">
            <v>PE</v>
          </cell>
          <cell r="I284" t="str">
            <v>JBP</v>
          </cell>
          <cell r="J284" t="str">
            <v>ALL</v>
          </cell>
          <cell r="K284" t="str">
            <v>-</v>
          </cell>
          <cell r="L284" t="str">
            <v>JBP</v>
          </cell>
          <cell r="M284" t="str">
            <v xml:space="preserve"> TEKNISI JIG</v>
          </cell>
          <cell r="N284" t="str">
            <v>JBP</v>
          </cell>
          <cell r="O284" t="str">
            <v>B</v>
          </cell>
          <cell r="P284" t="str">
            <v>FPS</v>
          </cell>
          <cell r="Q284" t="str">
            <v>CONTRACT</v>
          </cell>
          <cell r="R284" t="str">
            <v>C2</v>
          </cell>
          <cell r="S284" t="str">
            <v>TKN</v>
          </cell>
          <cell r="T284" t="str">
            <v>L</v>
          </cell>
          <cell r="U284">
            <v>0</v>
          </cell>
          <cell r="V284">
            <v>0</v>
          </cell>
          <cell r="W284">
            <v>0</v>
          </cell>
          <cell r="X284">
            <v>1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1</v>
          </cell>
          <cell r="AE284">
            <v>0</v>
          </cell>
          <cell r="AF284">
            <v>1</v>
          </cell>
          <cell r="AG284">
            <v>0</v>
          </cell>
        </row>
        <row r="285">
          <cell r="A285">
            <v>1</v>
          </cell>
          <cell r="B285">
            <v>4535</v>
          </cell>
          <cell r="C285" t="str">
            <v>FERI ADI</v>
          </cell>
          <cell r="D285" t="str">
            <v>TKN-24</v>
          </cell>
          <cell r="E285">
            <v>38789</v>
          </cell>
          <cell r="F285">
            <v>39142</v>
          </cell>
          <cell r="G285">
            <v>39506</v>
          </cell>
          <cell r="H285" t="str">
            <v>PE</v>
          </cell>
          <cell r="I285" t="str">
            <v>JBP</v>
          </cell>
          <cell r="J285" t="str">
            <v>ALL</v>
          </cell>
          <cell r="K285" t="str">
            <v>-</v>
          </cell>
          <cell r="L285" t="str">
            <v>JBP</v>
          </cell>
          <cell r="M285" t="str">
            <v>-</v>
          </cell>
          <cell r="N285" t="str">
            <v>JBP</v>
          </cell>
          <cell r="O285" t="str">
            <v>NS</v>
          </cell>
          <cell r="P285" t="str">
            <v>FPS</v>
          </cell>
          <cell r="Q285" t="str">
            <v>CONTRACT</v>
          </cell>
          <cell r="R285" t="str">
            <v>C2</v>
          </cell>
          <cell r="S285" t="str">
            <v>TKN</v>
          </cell>
          <cell r="T285" t="str">
            <v>L</v>
          </cell>
          <cell r="U285">
            <v>0</v>
          </cell>
          <cell r="V285">
            <v>0</v>
          </cell>
          <cell r="W285">
            <v>0</v>
          </cell>
          <cell r="X285">
            <v>1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1</v>
          </cell>
          <cell r="AE285">
            <v>0</v>
          </cell>
          <cell r="AF285">
            <v>1</v>
          </cell>
          <cell r="AG285">
            <v>0</v>
          </cell>
        </row>
        <row r="286">
          <cell r="A286">
            <v>1</v>
          </cell>
          <cell r="B286">
            <v>5485</v>
          </cell>
          <cell r="C286" t="str">
            <v>SUYARTO</v>
          </cell>
          <cell r="D286" t="str">
            <v>TKN-31</v>
          </cell>
          <cell r="E286">
            <v>38991</v>
          </cell>
          <cell r="F286" t="str">
            <v>-</v>
          </cell>
          <cell r="G286" t="str">
            <v>-</v>
          </cell>
          <cell r="H286" t="str">
            <v>PE</v>
          </cell>
          <cell r="I286" t="str">
            <v>JBP</v>
          </cell>
          <cell r="J286" t="str">
            <v>ALL</v>
          </cell>
          <cell r="K286" t="str">
            <v>-</v>
          </cell>
          <cell r="L286" t="str">
            <v>JBP</v>
          </cell>
          <cell r="M286" t="str">
            <v xml:space="preserve"> TEKNISI JIG</v>
          </cell>
          <cell r="N286" t="str">
            <v>JBP</v>
          </cell>
          <cell r="O286" t="str">
            <v>NS</v>
          </cell>
          <cell r="P286" t="str">
            <v>FPS</v>
          </cell>
          <cell r="Q286" t="str">
            <v>PERMANENT</v>
          </cell>
          <cell r="R286" t="str">
            <v>PRM</v>
          </cell>
          <cell r="S286" t="str">
            <v>TKN</v>
          </cell>
          <cell r="T286" t="str">
            <v>L</v>
          </cell>
          <cell r="U286">
            <v>0</v>
          </cell>
          <cell r="V286">
            <v>0</v>
          </cell>
          <cell r="W286">
            <v>0</v>
          </cell>
          <cell r="X286">
            <v>1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1</v>
          </cell>
          <cell r="AE286">
            <v>0</v>
          </cell>
          <cell r="AF286">
            <v>1</v>
          </cell>
          <cell r="AG286">
            <v>0</v>
          </cell>
        </row>
        <row r="287">
          <cell r="A287">
            <v>1</v>
          </cell>
          <cell r="B287">
            <v>5557</v>
          </cell>
          <cell r="C287" t="str">
            <v>GIYARNA</v>
          </cell>
          <cell r="D287" t="str">
            <v>TKN-33</v>
          </cell>
          <cell r="E287">
            <v>39052</v>
          </cell>
          <cell r="F287">
            <v>39052</v>
          </cell>
          <cell r="G287">
            <v>39416</v>
          </cell>
          <cell r="H287" t="str">
            <v>PE</v>
          </cell>
          <cell r="I287" t="str">
            <v>JBP</v>
          </cell>
          <cell r="J287" t="str">
            <v>ALL</v>
          </cell>
          <cell r="K287" t="str">
            <v>-</v>
          </cell>
          <cell r="L287" t="str">
            <v>JBP</v>
          </cell>
          <cell r="M287" t="str">
            <v xml:space="preserve"> TEKNISI JIG</v>
          </cell>
          <cell r="N287" t="str">
            <v>JBP</v>
          </cell>
          <cell r="O287" t="str">
            <v>A</v>
          </cell>
          <cell r="P287" t="str">
            <v>FPS</v>
          </cell>
          <cell r="Q287" t="str">
            <v>CONTRACT</v>
          </cell>
          <cell r="R287" t="str">
            <v>C3</v>
          </cell>
          <cell r="S287" t="str">
            <v>TKN</v>
          </cell>
          <cell r="T287" t="str">
            <v>L</v>
          </cell>
          <cell r="U287">
            <v>0</v>
          </cell>
          <cell r="V287">
            <v>0</v>
          </cell>
          <cell r="W287">
            <v>0</v>
          </cell>
          <cell r="X287">
            <v>1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1</v>
          </cell>
          <cell r="AE287">
            <v>0</v>
          </cell>
          <cell r="AF287">
            <v>1</v>
          </cell>
          <cell r="AG287">
            <v>0</v>
          </cell>
        </row>
        <row r="288">
          <cell r="A288">
            <v>1</v>
          </cell>
          <cell r="B288">
            <v>6111</v>
          </cell>
          <cell r="C288" t="str">
            <v>ARIS DIYANTO</v>
          </cell>
          <cell r="D288" t="str">
            <v>TKN-37</v>
          </cell>
          <cell r="E288">
            <v>39142</v>
          </cell>
          <cell r="F288">
            <v>39142</v>
          </cell>
          <cell r="G288">
            <v>39506</v>
          </cell>
          <cell r="H288" t="str">
            <v>PE</v>
          </cell>
          <cell r="I288" t="str">
            <v>JBP</v>
          </cell>
          <cell r="J288" t="str">
            <v>ALL</v>
          </cell>
          <cell r="K288" t="str">
            <v>-</v>
          </cell>
          <cell r="L288" t="str">
            <v>JBP</v>
          </cell>
          <cell r="M288" t="str">
            <v xml:space="preserve"> TEKNISI JIG</v>
          </cell>
          <cell r="N288" t="str">
            <v>JBP</v>
          </cell>
          <cell r="O288" t="str">
            <v>NS</v>
          </cell>
          <cell r="P288" t="str">
            <v>FPS</v>
          </cell>
          <cell r="Q288" t="str">
            <v>CONTRACT</v>
          </cell>
          <cell r="R288" t="str">
            <v>C3</v>
          </cell>
          <cell r="S288" t="str">
            <v>TKN</v>
          </cell>
          <cell r="T288" t="str">
            <v>L</v>
          </cell>
          <cell r="U288">
            <v>0</v>
          </cell>
          <cell r="V288">
            <v>0</v>
          </cell>
          <cell r="W288">
            <v>0</v>
          </cell>
          <cell r="X288">
            <v>1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1</v>
          </cell>
          <cell r="AE288">
            <v>0</v>
          </cell>
          <cell r="AF288">
            <v>1</v>
          </cell>
          <cell r="AG288">
            <v>0</v>
          </cell>
        </row>
        <row r="289">
          <cell r="A289">
            <v>1</v>
          </cell>
          <cell r="B289">
            <v>6116</v>
          </cell>
          <cell r="C289" t="str">
            <v>PURWANTO</v>
          </cell>
          <cell r="D289" t="str">
            <v>TKN-37</v>
          </cell>
          <cell r="E289">
            <v>39142</v>
          </cell>
          <cell r="F289">
            <v>39142</v>
          </cell>
          <cell r="G289">
            <v>39506</v>
          </cell>
          <cell r="H289" t="str">
            <v>PE</v>
          </cell>
          <cell r="I289" t="str">
            <v>JBP</v>
          </cell>
          <cell r="J289" t="str">
            <v>ALL</v>
          </cell>
          <cell r="K289" t="str">
            <v>-</v>
          </cell>
          <cell r="L289" t="str">
            <v>JBP</v>
          </cell>
          <cell r="M289" t="str">
            <v xml:space="preserve"> TEKNISI JIG</v>
          </cell>
          <cell r="N289" t="str">
            <v>JBP</v>
          </cell>
          <cell r="O289" t="str">
            <v>NS</v>
          </cell>
          <cell r="P289" t="str">
            <v>FPS</v>
          </cell>
          <cell r="Q289" t="str">
            <v>CONTRACT</v>
          </cell>
          <cell r="R289" t="str">
            <v>C3</v>
          </cell>
          <cell r="S289" t="str">
            <v>TKN</v>
          </cell>
          <cell r="T289" t="str">
            <v>L</v>
          </cell>
          <cell r="U289">
            <v>0</v>
          </cell>
          <cell r="V289">
            <v>0</v>
          </cell>
          <cell r="W289">
            <v>0</v>
          </cell>
          <cell r="X289">
            <v>1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1</v>
          </cell>
          <cell r="AE289">
            <v>0</v>
          </cell>
          <cell r="AF289">
            <v>1</v>
          </cell>
          <cell r="AG289">
            <v>0</v>
          </cell>
        </row>
        <row r="290">
          <cell r="A290">
            <v>1</v>
          </cell>
          <cell r="B290" t="str">
            <v>SM 07.01.127</v>
          </cell>
          <cell r="C290" t="str">
            <v>AHMAD SLAMET RIYADI</v>
          </cell>
          <cell r="D290" t="str">
            <v>OUTSOURCING</v>
          </cell>
          <cell r="E290" t="str">
            <v>13/07/2006</v>
          </cell>
          <cell r="F290" t="str">
            <v>-</v>
          </cell>
          <cell r="G290" t="str">
            <v>-</v>
          </cell>
          <cell r="H290" t="str">
            <v>PE</v>
          </cell>
          <cell r="I290" t="str">
            <v>JBP</v>
          </cell>
          <cell r="J290" t="str">
            <v>ALL</v>
          </cell>
          <cell r="K290" t="str">
            <v>-</v>
          </cell>
          <cell r="L290" t="str">
            <v>JBP</v>
          </cell>
          <cell r="M290" t="str">
            <v>OUTSOURCING</v>
          </cell>
          <cell r="N290" t="str">
            <v>JBP</v>
          </cell>
          <cell r="O290" t="str">
            <v>NS</v>
          </cell>
          <cell r="P290" t="str">
            <v>FPS</v>
          </cell>
          <cell r="Q290" t="str">
            <v>OUTSOURCING</v>
          </cell>
          <cell r="R290" t="str">
            <v>OSC OTH</v>
          </cell>
          <cell r="S290" t="str">
            <v>AMP</v>
          </cell>
          <cell r="T290" t="str">
            <v>L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1</v>
          </cell>
          <cell r="AE290">
            <v>0</v>
          </cell>
          <cell r="AF290">
            <v>1</v>
          </cell>
          <cell r="AG290">
            <v>0</v>
          </cell>
        </row>
        <row r="291">
          <cell r="A291">
            <v>1</v>
          </cell>
          <cell r="B291" t="str">
            <v>SM 07.01.128</v>
          </cell>
          <cell r="C291" t="str">
            <v>SURATNO</v>
          </cell>
          <cell r="D291" t="str">
            <v>OUTSOURCING</v>
          </cell>
          <cell r="E291" t="str">
            <v>13/07/2006</v>
          </cell>
          <cell r="F291" t="str">
            <v>-</v>
          </cell>
          <cell r="G291" t="str">
            <v>-</v>
          </cell>
          <cell r="H291" t="str">
            <v>PE</v>
          </cell>
          <cell r="I291" t="str">
            <v>JBP</v>
          </cell>
          <cell r="J291" t="str">
            <v>ALL</v>
          </cell>
          <cell r="K291" t="str">
            <v>-</v>
          </cell>
          <cell r="L291" t="str">
            <v>JBP</v>
          </cell>
          <cell r="M291" t="str">
            <v>OUTSOURCING</v>
          </cell>
          <cell r="N291" t="str">
            <v>JBP</v>
          </cell>
          <cell r="O291" t="str">
            <v>NS</v>
          </cell>
          <cell r="P291" t="str">
            <v>FPS</v>
          </cell>
          <cell r="Q291" t="str">
            <v>OUTSOURCING</v>
          </cell>
          <cell r="R291" t="str">
            <v>OSC OTH</v>
          </cell>
          <cell r="S291" t="str">
            <v>AMP</v>
          </cell>
          <cell r="T291" t="str">
            <v>L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1</v>
          </cell>
          <cell r="AE291">
            <v>0</v>
          </cell>
          <cell r="AF291">
            <v>1</v>
          </cell>
          <cell r="AG291">
            <v>0</v>
          </cell>
        </row>
        <row r="292">
          <cell r="A292">
            <v>1</v>
          </cell>
          <cell r="B292">
            <v>27</v>
          </cell>
          <cell r="C292" t="str">
            <v>MUKHLISIN</v>
          </cell>
          <cell r="D292" t="str">
            <v>SPV</v>
          </cell>
          <cell r="E292">
            <v>37529</v>
          </cell>
          <cell r="F292" t="str">
            <v>-</v>
          </cell>
          <cell r="G292" t="str">
            <v>-</v>
          </cell>
          <cell r="H292" t="str">
            <v>PE</v>
          </cell>
          <cell r="I292" t="str">
            <v>MTC</v>
          </cell>
          <cell r="J292" t="str">
            <v>ALL</v>
          </cell>
          <cell r="K292" t="str">
            <v>-</v>
          </cell>
          <cell r="L292" t="str">
            <v>MTC</v>
          </cell>
          <cell r="M292" t="str">
            <v>Supervisor</v>
          </cell>
          <cell r="N292" t="str">
            <v>FPS SPV</v>
          </cell>
          <cell r="O292" t="str">
            <v>NS</v>
          </cell>
          <cell r="P292" t="str">
            <v>FPS</v>
          </cell>
          <cell r="Q292" t="str">
            <v>PERMANENT</v>
          </cell>
          <cell r="R292" t="str">
            <v>PRM</v>
          </cell>
          <cell r="S292" t="str">
            <v>SPV</v>
          </cell>
          <cell r="T292" t="str">
            <v>L</v>
          </cell>
          <cell r="U292">
            <v>1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1</v>
          </cell>
          <cell r="AE292">
            <v>0</v>
          </cell>
          <cell r="AF292">
            <v>1</v>
          </cell>
          <cell r="AG292">
            <v>0</v>
          </cell>
        </row>
        <row r="293">
          <cell r="A293">
            <v>1</v>
          </cell>
          <cell r="B293">
            <v>46</v>
          </cell>
          <cell r="C293" t="str">
            <v>INDRA HERMAWAN</v>
          </cell>
          <cell r="D293" t="str">
            <v>TKN-1</v>
          </cell>
          <cell r="E293">
            <v>37529</v>
          </cell>
          <cell r="F293" t="str">
            <v>-</v>
          </cell>
          <cell r="G293" t="str">
            <v>-</v>
          </cell>
          <cell r="H293" t="str">
            <v>PE</v>
          </cell>
          <cell r="I293" t="str">
            <v>MTC</v>
          </cell>
          <cell r="J293" t="str">
            <v>ALL</v>
          </cell>
          <cell r="K293" t="str">
            <v>-</v>
          </cell>
          <cell r="L293" t="str">
            <v>MTC</v>
          </cell>
          <cell r="M293" t="str">
            <v>Teknisi</v>
          </cell>
          <cell r="N293" t="str">
            <v>TKN</v>
          </cell>
          <cell r="O293" t="str">
            <v>A</v>
          </cell>
          <cell r="P293" t="str">
            <v>FPI</v>
          </cell>
          <cell r="Q293" t="str">
            <v>PERMANENT</v>
          </cell>
          <cell r="R293" t="str">
            <v>PRM</v>
          </cell>
          <cell r="S293" t="str">
            <v>TKN</v>
          </cell>
          <cell r="T293" t="str">
            <v>L</v>
          </cell>
          <cell r="U293">
            <v>0</v>
          </cell>
          <cell r="V293">
            <v>0</v>
          </cell>
          <cell r="W293">
            <v>0</v>
          </cell>
          <cell r="X293">
            <v>1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1</v>
          </cell>
          <cell r="AF293">
            <v>1</v>
          </cell>
          <cell r="AG293">
            <v>0</v>
          </cell>
        </row>
        <row r="294">
          <cell r="A294">
            <v>1</v>
          </cell>
          <cell r="B294">
            <v>197</v>
          </cell>
          <cell r="C294" t="str">
            <v>EDI ISMANTO</v>
          </cell>
          <cell r="D294" t="str">
            <v>TKN-2</v>
          </cell>
          <cell r="E294">
            <v>37679</v>
          </cell>
          <cell r="F294" t="str">
            <v>-</v>
          </cell>
          <cell r="G294" t="str">
            <v>-</v>
          </cell>
          <cell r="H294" t="str">
            <v>PE</v>
          </cell>
          <cell r="I294" t="str">
            <v>MTC</v>
          </cell>
          <cell r="J294" t="str">
            <v>ALL</v>
          </cell>
          <cell r="K294" t="str">
            <v>-</v>
          </cell>
          <cell r="L294" t="str">
            <v>MTC</v>
          </cell>
          <cell r="M294" t="str">
            <v>Teknisi</v>
          </cell>
          <cell r="N294" t="str">
            <v>TKN</v>
          </cell>
          <cell r="O294" t="str">
            <v>A</v>
          </cell>
          <cell r="P294" t="str">
            <v>FPI</v>
          </cell>
          <cell r="Q294" t="str">
            <v>PERMANENT</v>
          </cell>
          <cell r="R294" t="str">
            <v>PRM</v>
          </cell>
          <cell r="S294" t="str">
            <v>TKN</v>
          </cell>
          <cell r="T294" t="str">
            <v>L</v>
          </cell>
          <cell r="U294">
            <v>0</v>
          </cell>
          <cell r="V294">
            <v>0</v>
          </cell>
          <cell r="W294">
            <v>0</v>
          </cell>
          <cell r="X294">
            <v>1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1</v>
          </cell>
          <cell r="AF294">
            <v>1</v>
          </cell>
          <cell r="AG294">
            <v>0</v>
          </cell>
        </row>
        <row r="295">
          <cell r="A295">
            <v>1</v>
          </cell>
          <cell r="B295">
            <v>198</v>
          </cell>
          <cell r="C295" t="str">
            <v>AGUS TRIYONO</v>
          </cell>
          <cell r="D295" t="str">
            <v>TKN-2</v>
          </cell>
          <cell r="E295">
            <v>37679</v>
          </cell>
          <cell r="F295" t="str">
            <v>-</v>
          </cell>
          <cell r="G295" t="str">
            <v>-</v>
          </cell>
          <cell r="H295" t="str">
            <v>PE</v>
          </cell>
          <cell r="I295" t="str">
            <v>MTC</v>
          </cell>
          <cell r="J295" t="str">
            <v>ALL</v>
          </cell>
          <cell r="K295" t="str">
            <v>-</v>
          </cell>
          <cell r="L295" t="str">
            <v>MTC</v>
          </cell>
          <cell r="M295" t="str">
            <v>Teknisi</v>
          </cell>
          <cell r="N295" t="str">
            <v>TKN</v>
          </cell>
          <cell r="O295" t="str">
            <v>B</v>
          </cell>
          <cell r="P295" t="str">
            <v>FPI</v>
          </cell>
          <cell r="Q295" t="str">
            <v>PERMANENT</v>
          </cell>
          <cell r="R295" t="str">
            <v>PRM</v>
          </cell>
          <cell r="S295" t="str">
            <v>TKN</v>
          </cell>
          <cell r="T295" t="str">
            <v>L</v>
          </cell>
          <cell r="U295">
            <v>0</v>
          </cell>
          <cell r="V295">
            <v>0</v>
          </cell>
          <cell r="W295">
            <v>0</v>
          </cell>
          <cell r="X295">
            <v>1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1</v>
          </cell>
          <cell r="AF295">
            <v>1</v>
          </cell>
          <cell r="AG295">
            <v>0</v>
          </cell>
        </row>
        <row r="296">
          <cell r="A296">
            <v>1</v>
          </cell>
          <cell r="B296">
            <v>201</v>
          </cell>
          <cell r="C296" t="str">
            <v>MOH. CHOLIK SANTOSO</v>
          </cell>
          <cell r="D296" t="str">
            <v>TKN-2</v>
          </cell>
          <cell r="E296">
            <v>37679</v>
          </cell>
          <cell r="F296" t="str">
            <v>-</v>
          </cell>
          <cell r="G296" t="str">
            <v>-</v>
          </cell>
          <cell r="H296" t="str">
            <v>PE</v>
          </cell>
          <cell r="I296" t="str">
            <v>MTC</v>
          </cell>
          <cell r="J296" t="str">
            <v>ALL</v>
          </cell>
          <cell r="K296" t="str">
            <v>-</v>
          </cell>
          <cell r="L296" t="str">
            <v>MTC</v>
          </cell>
          <cell r="M296" t="str">
            <v>Teknisi</v>
          </cell>
          <cell r="N296" t="str">
            <v>TKN</v>
          </cell>
          <cell r="O296" t="str">
            <v>A</v>
          </cell>
          <cell r="P296" t="str">
            <v>FPI</v>
          </cell>
          <cell r="Q296" t="str">
            <v>PERMANENT</v>
          </cell>
          <cell r="R296" t="str">
            <v>PRM</v>
          </cell>
          <cell r="S296" t="str">
            <v>TKN</v>
          </cell>
          <cell r="T296" t="str">
            <v>L</v>
          </cell>
          <cell r="U296">
            <v>0</v>
          </cell>
          <cell r="V296">
            <v>0</v>
          </cell>
          <cell r="W296">
            <v>0</v>
          </cell>
          <cell r="X296">
            <v>1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1</v>
          </cell>
          <cell r="AF296">
            <v>1</v>
          </cell>
          <cell r="AG296">
            <v>0</v>
          </cell>
        </row>
        <row r="297">
          <cell r="A297">
            <v>1</v>
          </cell>
          <cell r="B297">
            <v>270</v>
          </cell>
          <cell r="C297" t="str">
            <v>WARMAN SYAH ADI S.</v>
          </cell>
          <cell r="D297" t="str">
            <v>ES-2</v>
          </cell>
          <cell r="E297">
            <v>37704</v>
          </cell>
          <cell r="F297" t="str">
            <v>-</v>
          </cell>
          <cell r="G297" t="str">
            <v>-</v>
          </cell>
          <cell r="H297" t="str">
            <v>PE</v>
          </cell>
          <cell r="I297" t="str">
            <v>MTC</v>
          </cell>
          <cell r="J297" t="str">
            <v>ALL</v>
          </cell>
          <cell r="K297" t="str">
            <v>-</v>
          </cell>
          <cell r="L297" t="str">
            <v>MTC</v>
          </cell>
          <cell r="M297" t="str">
            <v>Line Leader</v>
          </cell>
          <cell r="N297" t="str">
            <v>FPI LL</v>
          </cell>
          <cell r="O297" t="str">
            <v>A</v>
          </cell>
          <cell r="P297" t="str">
            <v>FPI</v>
          </cell>
          <cell r="Q297" t="str">
            <v>PERMANENT</v>
          </cell>
          <cell r="R297" t="str">
            <v>PRM</v>
          </cell>
          <cell r="S297" t="str">
            <v>ES</v>
          </cell>
          <cell r="T297" t="str">
            <v>L</v>
          </cell>
          <cell r="U297">
            <v>0</v>
          </cell>
          <cell r="V297">
            <v>1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1</v>
          </cell>
          <cell r="AF297">
            <v>1</v>
          </cell>
          <cell r="AG297">
            <v>0</v>
          </cell>
        </row>
        <row r="298">
          <cell r="A298">
            <v>1</v>
          </cell>
          <cell r="B298">
            <v>786</v>
          </cell>
          <cell r="C298" t="str">
            <v>SUPRIYONO</v>
          </cell>
          <cell r="D298" t="str">
            <v>TKN-3</v>
          </cell>
          <cell r="E298">
            <v>37830</v>
          </cell>
          <cell r="F298" t="str">
            <v>-</v>
          </cell>
          <cell r="G298" t="str">
            <v>-</v>
          </cell>
          <cell r="H298" t="str">
            <v>PE</v>
          </cell>
          <cell r="I298" t="str">
            <v>MTC</v>
          </cell>
          <cell r="J298" t="str">
            <v>ALL</v>
          </cell>
          <cell r="K298" t="str">
            <v>-</v>
          </cell>
          <cell r="L298" t="str">
            <v>MTC</v>
          </cell>
          <cell r="M298" t="str">
            <v>Teknisi</v>
          </cell>
          <cell r="N298" t="str">
            <v>TKN</v>
          </cell>
          <cell r="O298" t="str">
            <v>B</v>
          </cell>
          <cell r="P298" t="str">
            <v>FPI</v>
          </cell>
          <cell r="Q298" t="str">
            <v>PERMANENT</v>
          </cell>
          <cell r="R298" t="str">
            <v>PRM</v>
          </cell>
          <cell r="S298" t="str">
            <v>TKN</v>
          </cell>
          <cell r="T298" t="str">
            <v>L</v>
          </cell>
          <cell r="U298">
            <v>0</v>
          </cell>
          <cell r="V298">
            <v>0</v>
          </cell>
          <cell r="W298">
            <v>0</v>
          </cell>
          <cell r="X298">
            <v>1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1</v>
          </cell>
          <cell r="AF298">
            <v>1</v>
          </cell>
          <cell r="AG298">
            <v>0</v>
          </cell>
        </row>
        <row r="299">
          <cell r="A299">
            <v>1</v>
          </cell>
          <cell r="B299">
            <v>787</v>
          </cell>
          <cell r="C299" t="str">
            <v>YOHANES SRI GIYANTO</v>
          </cell>
          <cell r="D299" t="str">
            <v>TKN-3</v>
          </cell>
          <cell r="E299">
            <v>37830</v>
          </cell>
          <cell r="F299" t="str">
            <v>-</v>
          </cell>
          <cell r="G299" t="str">
            <v>-</v>
          </cell>
          <cell r="H299" t="str">
            <v>PE</v>
          </cell>
          <cell r="I299" t="str">
            <v>MTC</v>
          </cell>
          <cell r="J299" t="str">
            <v>ALL</v>
          </cell>
          <cell r="K299" t="str">
            <v>-</v>
          </cell>
          <cell r="L299" t="str">
            <v>MTC</v>
          </cell>
          <cell r="M299" t="str">
            <v>Teknisi</v>
          </cell>
          <cell r="N299" t="str">
            <v>TKN</v>
          </cell>
          <cell r="O299" t="str">
            <v>A</v>
          </cell>
          <cell r="P299" t="str">
            <v>FPI</v>
          </cell>
          <cell r="Q299" t="str">
            <v>PERMANENT</v>
          </cell>
          <cell r="R299" t="str">
            <v>PRM</v>
          </cell>
          <cell r="S299" t="str">
            <v>TKN</v>
          </cell>
          <cell r="T299" t="str">
            <v>L</v>
          </cell>
          <cell r="U299">
            <v>0</v>
          </cell>
          <cell r="V299">
            <v>0</v>
          </cell>
          <cell r="W299">
            <v>0</v>
          </cell>
          <cell r="X299">
            <v>1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1</v>
          </cell>
          <cell r="AF299">
            <v>1</v>
          </cell>
          <cell r="AG299">
            <v>0</v>
          </cell>
        </row>
        <row r="300">
          <cell r="A300">
            <v>1</v>
          </cell>
          <cell r="B300">
            <v>788</v>
          </cell>
          <cell r="C300" t="str">
            <v>SUPRIONO</v>
          </cell>
          <cell r="D300" t="str">
            <v>TKN-3</v>
          </cell>
          <cell r="E300">
            <v>37830</v>
          </cell>
          <cell r="F300" t="str">
            <v>-</v>
          </cell>
          <cell r="G300" t="str">
            <v>-</v>
          </cell>
          <cell r="H300" t="str">
            <v>PE</v>
          </cell>
          <cell r="I300" t="str">
            <v>MTC</v>
          </cell>
          <cell r="J300" t="str">
            <v>ALL</v>
          </cell>
          <cell r="K300" t="str">
            <v>-</v>
          </cell>
          <cell r="L300" t="str">
            <v>MTC</v>
          </cell>
          <cell r="M300" t="str">
            <v>Teknisi</v>
          </cell>
          <cell r="N300" t="str">
            <v>TKN</v>
          </cell>
          <cell r="O300" t="str">
            <v>B</v>
          </cell>
          <cell r="P300" t="str">
            <v>FPI</v>
          </cell>
          <cell r="Q300" t="str">
            <v>PERMANENT</v>
          </cell>
          <cell r="R300" t="str">
            <v>PRM</v>
          </cell>
          <cell r="S300" t="str">
            <v>TKN</v>
          </cell>
          <cell r="T300" t="str">
            <v>L</v>
          </cell>
          <cell r="U300">
            <v>0</v>
          </cell>
          <cell r="V300">
            <v>0</v>
          </cell>
          <cell r="W300">
            <v>0</v>
          </cell>
          <cell r="X300">
            <v>1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1</v>
          </cell>
          <cell r="AF300">
            <v>1</v>
          </cell>
          <cell r="AG300">
            <v>0</v>
          </cell>
        </row>
        <row r="301">
          <cell r="A301">
            <v>1</v>
          </cell>
          <cell r="B301">
            <v>790</v>
          </cell>
          <cell r="C301" t="str">
            <v>HENDAR NOVIYANTO</v>
          </cell>
          <cell r="D301" t="str">
            <v>TKN-3</v>
          </cell>
          <cell r="E301">
            <v>37830</v>
          </cell>
          <cell r="F301" t="str">
            <v>-</v>
          </cell>
          <cell r="G301" t="str">
            <v>-</v>
          </cell>
          <cell r="H301" t="str">
            <v>PE</v>
          </cell>
          <cell r="I301" t="str">
            <v>MTC</v>
          </cell>
          <cell r="J301" t="str">
            <v>ALL</v>
          </cell>
          <cell r="K301" t="str">
            <v>-</v>
          </cell>
          <cell r="L301" t="str">
            <v>MTC</v>
          </cell>
          <cell r="M301" t="str">
            <v>Teknisi</v>
          </cell>
          <cell r="N301" t="str">
            <v>TKN</v>
          </cell>
          <cell r="O301" t="str">
            <v>A</v>
          </cell>
          <cell r="P301" t="str">
            <v>FPI</v>
          </cell>
          <cell r="Q301" t="str">
            <v>PERMANENT</v>
          </cell>
          <cell r="R301" t="str">
            <v>PRM</v>
          </cell>
          <cell r="S301" t="str">
            <v>TKN</v>
          </cell>
          <cell r="T301" t="str">
            <v>L</v>
          </cell>
          <cell r="U301">
            <v>0</v>
          </cell>
          <cell r="V301">
            <v>0</v>
          </cell>
          <cell r="W301">
            <v>0</v>
          </cell>
          <cell r="X301">
            <v>1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1</v>
          </cell>
          <cell r="AF301">
            <v>1</v>
          </cell>
          <cell r="AG301">
            <v>0</v>
          </cell>
        </row>
        <row r="302">
          <cell r="A302">
            <v>1</v>
          </cell>
          <cell r="B302">
            <v>1013</v>
          </cell>
          <cell r="C302" t="str">
            <v>ZAENAL ARIFIN</v>
          </cell>
          <cell r="D302" t="str">
            <v>TKN-4</v>
          </cell>
          <cell r="E302">
            <v>37872</v>
          </cell>
          <cell r="F302" t="str">
            <v>-</v>
          </cell>
          <cell r="G302" t="str">
            <v>-</v>
          </cell>
          <cell r="H302" t="str">
            <v>PE</v>
          </cell>
          <cell r="I302" t="str">
            <v>MTC</v>
          </cell>
          <cell r="J302" t="str">
            <v>ALL</v>
          </cell>
          <cell r="K302" t="str">
            <v>-</v>
          </cell>
          <cell r="L302" t="str">
            <v>MTC</v>
          </cell>
          <cell r="M302" t="str">
            <v>Teknisi</v>
          </cell>
          <cell r="N302" t="str">
            <v>TKN</v>
          </cell>
          <cell r="O302" t="str">
            <v>B</v>
          </cell>
          <cell r="P302" t="str">
            <v>FPI</v>
          </cell>
          <cell r="Q302" t="str">
            <v>PERMANENT</v>
          </cell>
          <cell r="R302" t="str">
            <v>PRM</v>
          </cell>
          <cell r="S302" t="str">
            <v>TKN</v>
          </cell>
          <cell r="T302" t="str">
            <v>L</v>
          </cell>
          <cell r="U302">
            <v>0</v>
          </cell>
          <cell r="V302">
            <v>0</v>
          </cell>
          <cell r="W302">
            <v>0</v>
          </cell>
          <cell r="X302">
            <v>1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1</v>
          </cell>
          <cell r="AF302">
            <v>1</v>
          </cell>
          <cell r="AG302">
            <v>0</v>
          </cell>
        </row>
        <row r="303">
          <cell r="A303">
            <v>1</v>
          </cell>
          <cell r="B303">
            <v>1204</v>
          </cell>
          <cell r="C303" t="str">
            <v>YEHEZKIEL KURNIAWAN</v>
          </cell>
          <cell r="D303" t="str">
            <v>TKN-5</v>
          </cell>
          <cell r="E303">
            <v>37907</v>
          </cell>
          <cell r="F303" t="str">
            <v>-</v>
          </cell>
          <cell r="G303" t="str">
            <v>-</v>
          </cell>
          <cell r="H303" t="str">
            <v>PE</v>
          </cell>
          <cell r="I303" t="str">
            <v>MTC</v>
          </cell>
          <cell r="J303" t="str">
            <v>ALL</v>
          </cell>
          <cell r="K303" t="str">
            <v>-</v>
          </cell>
          <cell r="L303" t="str">
            <v>MTC</v>
          </cell>
          <cell r="M303" t="str">
            <v>Teknisi</v>
          </cell>
          <cell r="N303" t="str">
            <v>TKN</v>
          </cell>
          <cell r="O303" t="str">
            <v>A</v>
          </cell>
          <cell r="P303" t="str">
            <v>FPI</v>
          </cell>
          <cell r="Q303" t="str">
            <v>PERMANENT</v>
          </cell>
          <cell r="R303" t="str">
            <v>PRM</v>
          </cell>
          <cell r="S303" t="str">
            <v>TKN</v>
          </cell>
          <cell r="T303" t="str">
            <v>L</v>
          </cell>
          <cell r="U303">
            <v>0</v>
          </cell>
          <cell r="V303">
            <v>0</v>
          </cell>
          <cell r="W303">
            <v>0</v>
          </cell>
          <cell r="X303">
            <v>1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1</v>
          </cell>
          <cell r="AF303">
            <v>1</v>
          </cell>
          <cell r="AG303">
            <v>0</v>
          </cell>
        </row>
        <row r="304">
          <cell r="A304">
            <v>1</v>
          </cell>
          <cell r="B304">
            <v>3776</v>
          </cell>
          <cell r="C304" t="str">
            <v>JUHADI</v>
          </cell>
          <cell r="D304" t="str">
            <v>TKN-19</v>
          </cell>
          <cell r="E304">
            <v>38705</v>
          </cell>
          <cell r="F304">
            <v>39203</v>
          </cell>
          <cell r="G304">
            <v>39568</v>
          </cell>
          <cell r="H304" t="str">
            <v>PE</v>
          </cell>
          <cell r="I304" t="str">
            <v>MTC</v>
          </cell>
          <cell r="J304" t="str">
            <v>ALL</v>
          </cell>
          <cell r="K304" t="str">
            <v>-</v>
          </cell>
          <cell r="L304" t="str">
            <v>MTC</v>
          </cell>
          <cell r="M304" t="str">
            <v>Teknisi</v>
          </cell>
          <cell r="N304" t="str">
            <v>TKN</v>
          </cell>
          <cell r="O304" t="str">
            <v>B</v>
          </cell>
          <cell r="P304" t="str">
            <v>FPI</v>
          </cell>
          <cell r="Q304" t="str">
            <v>CONTRACT</v>
          </cell>
          <cell r="R304" t="str">
            <v>C1</v>
          </cell>
          <cell r="S304" t="str">
            <v>TKN</v>
          </cell>
          <cell r="T304" t="str">
            <v>L</v>
          </cell>
          <cell r="U304">
            <v>0</v>
          </cell>
          <cell r="V304">
            <v>0</v>
          </cell>
          <cell r="W304">
            <v>0</v>
          </cell>
          <cell r="X304">
            <v>1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1</v>
          </cell>
          <cell r="AF304">
            <v>1</v>
          </cell>
          <cell r="AG304">
            <v>0</v>
          </cell>
        </row>
        <row r="305">
          <cell r="A305">
            <v>1</v>
          </cell>
          <cell r="B305">
            <v>4041</v>
          </cell>
          <cell r="C305" t="str">
            <v>YUDHISTIRA SETYABUDI</v>
          </cell>
          <cell r="D305" t="str">
            <v>TKN-21</v>
          </cell>
          <cell r="E305">
            <v>38722</v>
          </cell>
          <cell r="F305" t="str">
            <v>-</v>
          </cell>
          <cell r="G305" t="str">
            <v>-</v>
          </cell>
          <cell r="H305" t="str">
            <v>PE</v>
          </cell>
          <cell r="I305" t="str">
            <v>MTC</v>
          </cell>
          <cell r="J305" t="str">
            <v>ALL</v>
          </cell>
          <cell r="K305" t="str">
            <v>-</v>
          </cell>
          <cell r="L305" t="str">
            <v>MTC</v>
          </cell>
          <cell r="M305" t="str">
            <v>Teknisi</v>
          </cell>
          <cell r="N305" t="str">
            <v>TKN</v>
          </cell>
          <cell r="O305" t="str">
            <v>B</v>
          </cell>
          <cell r="P305" t="str">
            <v>FPI</v>
          </cell>
          <cell r="Q305" t="str">
            <v>PERMANENT</v>
          </cell>
          <cell r="R305" t="str">
            <v>PRM</v>
          </cell>
          <cell r="S305" t="str">
            <v>TKN</v>
          </cell>
          <cell r="T305" t="str">
            <v>L</v>
          </cell>
          <cell r="U305">
            <v>0</v>
          </cell>
          <cell r="V305">
            <v>0</v>
          </cell>
          <cell r="W305">
            <v>0</v>
          </cell>
          <cell r="X305">
            <v>1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1</v>
          </cell>
          <cell r="AF305">
            <v>1</v>
          </cell>
          <cell r="AG305">
            <v>0</v>
          </cell>
        </row>
        <row r="306">
          <cell r="A306">
            <v>1</v>
          </cell>
          <cell r="B306">
            <v>4348</v>
          </cell>
          <cell r="C306" t="str">
            <v>EKA WAHYUDI</v>
          </cell>
          <cell r="D306" t="str">
            <v>TKN-22</v>
          </cell>
          <cell r="E306">
            <v>38741</v>
          </cell>
          <cell r="F306">
            <v>39234</v>
          </cell>
          <cell r="G306">
            <v>39599</v>
          </cell>
          <cell r="H306" t="str">
            <v>PE</v>
          </cell>
          <cell r="I306" t="str">
            <v>MTC</v>
          </cell>
          <cell r="J306" t="str">
            <v>ALL</v>
          </cell>
          <cell r="K306" t="str">
            <v>-</v>
          </cell>
          <cell r="L306" t="str">
            <v>MTC</v>
          </cell>
          <cell r="M306" t="str">
            <v>Teknisi</v>
          </cell>
          <cell r="N306" t="str">
            <v>TKN</v>
          </cell>
          <cell r="O306" t="str">
            <v>A</v>
          </cell>
          <cell r="P306" t="str">
            <v>FPI</v>
          </cell>
          <cell r="Q306" t="str">
            <v>CONTRACT</v>
          </cell>
          <cell r="R306" t="str">
            <v>C2</v>
          </cell>
          <cell r="S306" t="str">
            <v>TKN</v>
          </cell>
          <cell r="T306" t="str">
            <v>L</v>
          </cell>
          <cell r="U306">
            <v>0</v>
          </cell>
          <cell r="V306">
            <v>0</v>
          </cell>
          <cell r="W306">
            <v>0</v>
          </cell>
          <cell r="X306">
            <v>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1</v>
          </cell>
          <cell r="AF306">
            <v>1</v>
          </cell>
          <cell r="AG306">
            <v>0</v>
          </cell>
        </row>
        <row r="307">
          <cell r="A307">
            <v>1</v>
          </cell>
          <cell r="B307">
            <v>4349</v>
          </cell>
          <cell r="C307" t="str">
            <v>PURWANTO</v>
          </cell>
          <cell r="D307" t="str">
            <v>TKN-22</v>
          </cell>
          <cell r="E307">
            <v>38741</v>
          </cell>
          <cell r="F307">
            <v>39234</v>
          </cell>
          <cell r="G307">
            <v>39599</v>
          </cell>
          <cell r="H307" t="str">
            <v>PE</v>
          </cell>
          <cell r="I307" t="str">
            <v>MTC</v>
          </cell>
          <cell r="J307" t="str">
            <v>ALL</v>
          </cell>
          <cell r="K307" t="str">
            <v>-</v>
          </cell>
          <cell r="L307" t="str">
            <v>MTC</v>
          </cell>
          <cell r="M307" t="str">
            <v>Teknisi</v>
          </cell>
          <cell r="N307" t="str">
            <v>TKN</v>
          </cell>
          <cell r="O307" t="str">
            <v>A</v>
          </cell>
          <cell r="P307" t="str">
            <v>FPI</v>
          </cell>
          <cell r="Q307" t="str">
            <v>CONTRACT</v>
          </cell>
          <cell r="R307" t="str">
            <v>C2</v>
          </cell>
          <cell r="S307" t="str">
            <v>TKN</v>
          </cell>
          <cell r="T307" t="str">
            <v>L</v>
          </cell>
          <cell r="U307">
            <v>0</v>
          </cell>
          <cell r="V307">
            <v>0</v>
          </cell>
          <cell r="W307">
            <v>0</v>
          </cell>
          <cell r="X307">
            <v>1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1</v>
          </cell>
          <cell r="AF307">
            <v>1</v>
          </cell>
          <cell r="AG307">
            <v>0</v>
          </cell>
        </row>
        <row r="308">
          <cell r="A308">
            <v>1</v>
          </cell>
          <cell r="B308">
            <v>4485</v>
          </cell>
          <cell r="C308" t="str">
            <v>SONY WAHYU ERLANTO</v>
          </cell>
          <cell r="D308" t="str">
            <v>TKN-23</v>
          </cell>
          <cell r="E308">
            <v>38775</v>
          </cell>
          <cell r="F308">
            <v>39264</v>
          </cell>
          <cell r="G308">
            <v>39629</v>
          </cell>
          <cell r="H308" t="str">
            <v>PE</v>
          </cell>
          <cell r="I308" t="str">
            <v>MTC</v>
          </cell>
          <cell r="J308" t="str">
            <v>ALL</v>
          </cell>
          <cell r="K308" t="str">
            <v>-</v>
          </cell>
          <cell r="L308" t="str">
            <v>MTC</v>
          </cell>
          <cell r="M308" t="str">
            <v>Teknisi</v>
          </cell>
          <cell r="N308" t="str">
            <v>TKN</v>
          </cell>
          <cell r="O308" t="str">
            <v>A</v>
          </cell>
          <cell r="P308" t="str">
            <v>FPI</v>
          </cell>
          <cell r="Q308" t="str">
            <v>CONTRACT</v>
          </cell>
          <cell r="R308" t="str">
            <v>C2</v>
          </cell>
          <cell r="S308" t="str">
            <v>TKN</v>
          </cell>
          <cell r="T308" t="str">
            <v>L</v>
          </cell>
          <cell r="U308">
            <v>0</v>
          </cell>
          <cell r="V308">
            <v>0</v>
          </cell>
          <cell r="W308">
            <v>0</v>
          </cell>
          <cell r="X308">
            <v>1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1</v>
          </cell>
          <cell r="AF308">
            <v>1</v>
          </cell>
          <cell r="AG308">
            <v>0</v>
          </cell>
        </row>
        <row r="309">
          <cell r="A309">
            <v>1</v>
          </cell>
          <cell r="B309">
            <v>4515</v>
          </cell>
          <cell r="C309" t="str">
            <v>KUSWANDI</v>
          </cell>
          <cell r="D309" t="str">
            <v>TKN-24</v>
          </cell>
          <cell r="E309">
            <v>38789</v>
          </cell>
          <cell r="F309">
            <v>39264</v>
          </cell>
          <cell r="G309">
            <v>39629</v>
          </cell>
          <cell r="H309" t="str">
            <v>PE</v>
          </cell>
          <cell r="I309" t="str">
            <v>MTC</v>
          </cell>
          <cell r="J309" t="str">
            <v>ALL</v>
          </cell>
          <cell r="K309" t="str">
            <v>-</v>
          </cell>
          <cell r="L309" t="str">
            <v>MTC</v>
          </cell>
          <cell r="M309" t="str">
            <v>Teknisi</v>
          </cell>
          <cell r="N309" t="str">
            <v>TKN</v>
          </cell>
          <cell r="O309" t="str">
            <v>B</v>
          </cell>
          <cell r="P309" t="str">
            <v>FPI</v>
          </cell>
          <cell r="Q309" t="str">
            <v>CONTRACT</v>
          </cell>
          <cell r="R309" t="str">
            <v>C2</v>
          </cell>
          <cell r="S309" t="str">
            <v>TKN</v>
          </cell>
          <cell r="T309" t="str">
            <v>L</v>
          </cell>
          <cell r="U309">
            <v>0</v>
          </cell>
          <cell r="V309">
            <v>0</v>
          </cell>
          <cell r="W309">
            <v>0</v>
          </cell>
          <cell r="X309">
            <v>1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1</v>
          </cell>
          <cell r="AF309">
            <v>1</v>
          </cell>
          <cell r="AG309">
            <v>0</v>
          </cell>
        </row>
        <row r="310">
          <cell r="A310">
            <v>1</v>
          </cell>
          <cell r="B310">
            <v>4534</v>
          </cell>
          <cell r="C310" t="str">
            <v>SISWOYO</v>
          </cell>
          <cell r="D310" t="str">
            <v>TKN-24</v>
          </cell>
          <cell r="E310">
            <v>38789</v>
          </cell>
          <cell r="F310">
            <v>39142</v>
          </cell>
          <cell r="G310">
            <v>39506</v>
          </cell>
          <cell r="H310" t="str">
            <v>PE</v>
          </cell>
          <cell r="I310" t="str">
            <v>MTC</v>
          </cell>
          <cell r="J310" t="str">
            <v>ALL</v>
          </cell>
          <cell r="K310" t="str">
            <v>-</v>
          </cell>
          <cell r="L310" t="str">
            <v>MTC</v>
          </cell>
          <cell r="M310" t="str">
            <v>Teknisi</v>
          </cell>
          <cell r="N310" t="str">
            <v>TKN</v>
          </cell>
          <cell r="O310" t="str">
            <v>NS</v>
          </cell>
          <cell r="P310" t="str">
            <v>FPI</v>
          </cell>
          <cell r="Q310" t="str">
            <v>CONTRACT</v>
          </cell>
          <cell r="R310" t="str">
            <v>C2</v>
          </cell>
          <cell r="S310" t="str">
            <v>TKN</v>
          </cell>
          <cell r="T310" t="str">
            <v>L</v>
          </cell>
          <cell r="U310">
            <v>0</v>
          </cell>
          <cell r="V310">
            <v>0</v>
          </cell>
          <cell r="W310">
            <v>0</v>
          </cell>
          <cell r="X310">
            <v>1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1</v>
          </cell>
          <cell r="AF310">
            <v>1</v>
          </cell>
          <cell r="AG310">
            <v>0</v>
          </cell>
        </row>
        <row r="311">
          <cell r="A311">
            <v>1</v>
          </cell>
          <cell r="B311">
            <v>4961</v>
          </cell>
          <cell r="C311" t="str">
            <v>AGUS SUSANTO</v>
          </cell>
          <cell r="D311" t="str">
            <v>TKN-26</v>
          </cell>
          <cell r="E311">
            <v>38939</v>
          </cell>
          <cell r="F311">
            <v>39052</v>
          </cell>
          <cell r="G311">
            <v>39416</v>
          </cell>
          <cell r="H311" t="str">
            <v>PE</v>
          </cell>
          <cell r="I311" t="str">
            <v>MTC</v>
          </cell>
          <cell r="J311" t="str">
            <v>ALL</v>
          </cell>
          <cell r="K311" t="str">
            <v>-</v>
          </cell>
          <cell r="L311" t="str">
            <v>MTC</v>
          </cell>
          <cell r="M311" t="str">
            <v>Teknisi</v>
          </cell>
          <cell r="N311" t="str">
            <v>TKN</v>
          </cell>
          <cell r="O311" t="str">
            <v>B</v>
          </cell>
          <cell r="P311" t="str">
            <v>FPI</v>
          </cell>
          <cell r="Q311" t="str">
            <v>CONTRACT</v>
          </cell>
          <cell r="R311" t="str">
            <v>C1</v>
          </cell>
          <cell r="S311" t="str">
            <v>TKN</v>
          </cell>
          <cell r="T311" t="str">
            <v>L</v>
          </cell>
          <cell r="U311">
            <v>0</v>
          </cell>
          <cell r="V311">
            <v>0</v>
          </cell>
          <cell r="W311">
            <v>0</v>
          </cell>
          <cell r="X311">
            <v>1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1</v>
          </cell>
          <cell r="AF311">
            <v>1</v>
          </cell>
          <cell r="AG311">
            <v>0</v>
          </cell>
        </row>
        <row r="312">
          <cell r="A312">
            <v>1</v>
          </cell>
          <cell r="B312">
            <v>5334</v>
          </cell>
          <cell r="C312" t="str">
            <v>BAMBANG DELTA YULIANTO</v>
          </cell>
          <cell r="D312" t="str">
            <v>TKN-28</v>
          </cell>
          <cell r="E312">
            <v>38964</v>
          </cell>
          <cell r="F312">
            <v>39083</v>
          </cell>
          <cell r="G312">
            <v>39447</v>
          </cell>
          <cell r="H312" t="str">
            <v>PE</v>
          </cell>
          <cell r="I312" t="str">
            <v>MTC</v>
          </cell>
          <cell r="J312" t="str">
            <v>ALL</v>
          </cell>
          <cell r="K312" t="str">
            <v>-</v>
          </cell>
          <cell r="L312" t="str">
            <v>MTC</v>
          </cell>
          <cell r="M312" t="str">
            <v>Teknisi</v>
          </cell>
          <cell r="N312" t="str">
            <v>TKN</v>
          </cell>
          <cell r="O312" t="str">
            <v>B</v>
          </cell>
          <cell r="P312" t="str">
            <v>FPI</v>
          </cell>
          <cell r="Q312" t="str">
            <v>CONTRACT</v>
          </cell>
          <cell r="R312" t="str">
            <v>C1</v>
          </cell>
          <cell r="S312" t="str">
            <v>TKN</v>
          </cell>
          <cell r="T312" t="str">
            <v>L</v>
          </cell>
          <cell r="U312">
            <v>0</v>
          </cell>
          <cell r="V312">
            <v>0</v>
          </cell>
          <cell r="W312">
            <v>0</v>
          </cell>
          <cell r="X312">
            <v>1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1</v>
          </cell>
          <cell r="AF312">
            <v>1</v>
          </cell>
          <cell r="AG312">
            <v>0</v>
          </cell>
        </row>
        <row r="313">
          <cell r="A313">
            <v>1</v>
          </cell>
          <cell r="B313">
            <v>5335</v>
          </cell>
          <cell r="C313" t="str">
            <v>GOLDIN AGUNG PRASETYO</v>
          </cell>
          <cell r="D313" t="str">
            <v>TKN-28</v>
          </cell>
          <cell r="E313">
            <v>38964</v>
          </cell>
          <cell r="F313">
            <v>39083</v>
          </cell>
          <cell r="G313">
            <v>39447</v>
          </cell>
          <cell r="H313" t="str">
            <v>PE</v>
          </cell>
          <cell r="I313" t="str">
            <v>MTC</v>
          </cell>
          <cell r="J313" t="str">
            <v>ALL</v>
          </cell>
          <cell r="K313" t="str">
            <v>-</v>
          </cell>
          <cell r="L313" t="str">
            <v>MTC</v>
          </cell>
          <cell r="M313" t="str">
            <v>Teknisi</v>
          </cell>
          <cell r="N313" t="str">
            <v>TKN</v>
          </cell>
          <cell r="O313" t="str">
            <v>A</v>
          </cell>
          <cell r="P313" t="str">
            <v>FPI</v>
          </cell>
          <cell r="Q313" t="str">
            <v>CONTRACT</v>
          </cell>
          <cell r="R313" t="str">
            <v>C1</v>
          </cell>
          <cell r="S313" t="str">
            <v>TKN</v>
          </cell>
          <cell r="T313" t="str">
            <v>L</v>
          </cell>
          <cell r="U313">
            <v>0</v>
          </cell>
          <cell r="V313">
            <v>0</v>
          </cell>
          <cell r="W313">
            <v>0</v>
          </cell>
          <cell r="X313">
            <v>1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1</v>
          </cell>
          <cell r="AF313">
            <v>1</v>
          </cell>
          <cell r="AG313">
            <v>0</v>
          </cell>
        </row>
        <row r="314">
          <cell r="A314">
            <v>1</v>
          </cell>
          <cell r="B314">
            <v>5337</v>
          </cell>
          <cell r="C314" t="str">
            <v>SLAMET RAHARJO</v>
          </cell>
          <cell r="D314" t="str">
            <v>TKN-28</v>
          </cell>
          <cell r="E314">
            <v>38964</v>
          </cell>
          <cell r="F314">
            <v>39083</v>
          </cell>
          <cell r="G314">
            <v>39447</v>
          </cell>
          <cell r="H314" t="str">
            <v>PE</v>
          </cell>
          <cell r="I314" t="str">
            <v>MTC</v>
          </cell>
          <cell r="J314" t="str">
            <v>ALL</v>
          </cell>
          <cell r="K314" t="str">
            <v>-</v>
          </cell>
          <cell r="L314" t="str">
            <v>MTC</v>
          </cell>
          <cell r="M314" t="str">
            <v>Teknisi</v>
          </cell>
          <cell r="N314" t="str">
            <v>TKN</v>
          </cell>
          <cell r="O314" t="str">
            <v>A</v>
          </cell>
          <cell r="P314" t="str">
            <v>FPI</v>
          </cell>
          <cell r="Q314" t="str">
            <v>CONTRACT</v>
          </cell>
          <cell r="R314" t="str">
            <v>C1</v>
          </cell>
          <cell r="S314" t="str">
            <v>TKN</v>
          </cell>
          <cell r="T314" t="str">
            <v>L</v>
          </cell>
          <cell r="U314">
            <v>0</v>
          </cell>
          <cell r="V314">
            <v>0</v>
          </cell>
          <cell r="W314">
            <v>0</v>
          </cell>
          <cell r="X314">
            <v>1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1</v>
          </cell>
          <cell r="AF314">
            <v>1</v>
          </cell>
          <cell r="AG314">
            <v>0</v>
          </cell>
        </row>
        <row r="315">
          <cell r="A315">
            <v>1</v>
          </cell>
          <cell r="B315">
            <v>5392</v>
          </cell>
          <cell r="C315" t="str">
            <v>BUDHY PRASETIYO</v>
          </cell>
          <cell r="D315" t="str">
            <v>TKN-29</v>
          </cell>
          <cell r="E315">
            <v>38978</v>
          </cell>
          <cell r="F315">
            <v>39114</v>
          </cell>
          <cell r="G315">
            <v>39478</v>
          </cell>
          <cell r="H315" t="str">
            <v>PE</v>
          </cell>
          <cell r="I315" t="str">
            <v>MTC</v>
          </cell>
          <cell r="J315" t="str">
            <v>ALL</v>
          </cell>
          <cell r="K315" t="str">
            <v>-</v>
          </cell>
          <cell r="L315" t="str">
            <v>MTC</v>
          </cell>
          <cell r="M315" t="str">
            <v>Teknisi</v>
          </cell>
          <cell r="N315" t="str">
            <v>TKN</v>
          </cell>
          <cell r="O315" t="str">
            <v>B</v>
          </cell>
          <cell r="P315" t="str">
            <v>FPI</v>
          </cell>
          <cell r="Q315" t="str">
            <v>CONTRACT</v>
          </cell>
          <cell r="R315" t="str">
            <v>C1</v>
          </cell>
          <cell r="S315" t="str">
            <v>TKN</v>
          </cell>
          <cell r="T315" t="str">
            <v>L</v>
          </cell>
          <cell r="U315">
            <v>0</v>
          </cell>
          <cell r="V315">
            <v>0</v>
          </cell>
          <cell r="W315">
            <v>0</v>
          </cell>
          <cell r="X315">
            <v>1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1</v>
          </cell>
          <cell r="AF315">
            <v>1</v>
          </cell>
          <cell r="AG315">
            <v>0</v>
          </cell>
        </row>
        <row r="316">
          <cell r="A316">
            <v>1</v>
          </cell>
          <cell r="B316">
            <v>5394</v>
          </cell>
          <cell r="C316" t="str">
            <v>NOFA KRISTIYANTO</v>
          </cell>
          <cell r="D316" t="str">
            <v>TKN-30</v>
          </cell>
          <cell r="E316">
            <v>38985</v>
          </cell>
          <cell r="F316">
            <v>39114</v>
          </cell>
          <cell r="G316">
            <v>39478</v>
          </cell>
          <cell r="H316" t="str">
            <v>PE</v>
          </cell>
          <cell r="I316" t="str">
            <v>MTC</v>
          </cell>
          <cell r="J316" t="str">
            <v>ALL</v>
          </cell>
          <cell r="K316" t="str">
            <v>-</v>
          </cell>
          <cell r="L316" t="str">
            <v>MTC</v>
          </cell>
          <cell r="M316" t="str">
            <v>Teknisi</v>
          </cell>
          <cell r="N316" t="str">
            <v>TKN</v>
          </cell>
          <cell r="O316" t="str">
            <v>B</v>
          </cell>
          <cell r="P316" t="str">
            <v>FPI</v>
          </cell>
          <cell r="Q316" t="str">
            <v>CONTRACT</v>
          </cell>
          <cell r="R316" t="str">
            <v>C1</v>
          </cell>
          <cell r="S316" t="str">
            <v>TKN</v>
          </cell>
          <cell r="T316" t="str">
            <v>L</v>
          </cell>
          <cell r="U316">
            <v>0</v>
          </cell>
          <cell r="V316">
            <v>0</v>
          </cell>
          <cell r="W316">
            <v>0</v>
          </cell>
          <cell r="X316">
            <v>1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1</v>
          </cell>
          <cell r="AF316">
            <v>1</v>
          </cell>
          <cell r="AG316">
            <v>0</v>
          </cell>
        </row>
        <row r="317">
          <cell r="A317">
            <v>1</v>
          </cell>
          <cell r="B317">
            <v>5486</v>
          </cell>
          <cell r="C317" t="str">
            <v>TEGUH PONCO</v>
          </cell>
          <cell r="D317" t="str">
            <v>TKN-32</v>
          </cell>
          <cell r="E317">
            <v>38992</v>
          </cell>
          <cell r="F317">
            <v>39114</v>
          </cell>
          <cell r="G317">
            <v>39478</v>
          </cell>
          <cell r="H317" t="str">
            <v>PE</v>
          </cell>
          <cell r="I317" t="str">
            <v>MTC</v>
          </cell>
          <cell r="J317" t="str">
            <v>ALL</v>
          </cell>
          <cell r="K317" t="str">
            <v>-</v>
          </cell>
          <cell r="L317" t="str">
            <v>MTC</v>
          </cell>
          <cell r="M317" t="str">
            <v>Teknisi</v>
          </cell>
          <cell r="N317" t="str">
            <v>TKN</v>
          </cell>
          <cell r="O317" t="str">
            <v>A</v>
          </cell>
          <cell r="P317" t="str">
            <v>FPI</v>
          </cell>
          <cell r="Q317" t="str">
            <v>CONTRACT</v>
          </cell>
          <cell r="R317" t="str">
            <v>C1</v>
          </cell>
          <cell r="S317" t="str">
            <v>TKN</v>
          </cell>
          <cell r="T317" t="str">
            <v>L</v>
          </cell>
          <cell r="U317">
            <v>0</v>
          </cell>
          <cell r="V317">
            <v>0</v>
          </cell>
          <cell r="W317">
            <v>0</v>
          </cell>
          <cell r="X317">
            <v>1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1</v>
          </cell>
          <cell r="AF317">
            <v>1</v>
          </cell>
          <cell r="AG317">
            <v>0</v>
          </cell>
        </row>
        <row r="318">
          <cell r="A318">
            <v>1</v>
          </cell>
          <cell r="B318">
            <v>5555</v>
          </cell>
          <cell r="C318" t="str">
            <v>ARIF PRAMONO</v>
          </cell>
          <cell r="D318" t="str">
            <v>TKN-33</v>
          </cell>
          <cell r="E318">
            <v>39052</v>
          </cell>
          <cell r="F318">
            <v>39052</v>
          </cell>
          <cell r="G318">
            <v>39416</v>
          </cell>
          <cell r="H318" t="str">
            <v>PE</v>
          </cell>
          <cell r="I318" t="str">
            <v>MTC</v>
          </cell>
          <cell r="J318" t="str">
            <v>ALL</v>
          </cell>
          <cell r="K318" t="str">
            <v>-</v>
          </cell>
          <cell r="L318" t="str">
            <v>MTC</v>
          </cell>
          <cell r="M318" t="str">
            <v>Teknisi</v>
          </cell>
          <cell r="N318" t="str">
            <v>TKN</v>
          </cell>
          <cell r="O318" t="str">
            <v>B</v>
          </cell>
          <cell r="P318" t="str">
            <v>FPI</v>
          </cell>
          <cell r="Q318" t="str">
            <v>CONTRACT</v>
          </cell>
          <cell r="R318" t="str">
            <v>C3</v>
          </cell>
          <cell r="S318" t="str">
            <v>TKN</v>
          </cell>
          <cell r="T318" t="str">
            <v>L</v>
          </cell>
          <cell r="U318">
            <v>0</v>
          </cell>
          <cell r="V318">
            <v>0</v>
          </cell>
          <cell r="W318">
            <v>0</v>
          </cell>
          <cell r="X318">
            <v>1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1</v>
          </cell>
          <cell r="AF318">
            <v>1</v>
          </cell>
          <cell r="AG318">
            <v>0</v>
          </cell>
        </row>
        <row r="319">
          <cell r="A319">
            <v>1</v>
          </cell>
          <cell r="B319">
            <v>5558</v>
          </cell>
          <cell r="C319" t="str">
            <v>MATIYAS NURUL FAJAR</v>
          </cell>
          <cell r="D319" t="str">
            <v>TKN-33</v>
          </cell>
          <cell r="E319">
            <v>39052</v>
          </cell>
          <cell r="F319">
            <v>39052</v>
          </cell>
          <cell r="G319">
            <v>39416</v>
          </cell>
          <cell r="H319" t="str">
            <v>PE</v>
          </cell>
          <cell r="I319" t="str">
            <v>MTC</v>
          </cell>
          <cell r="J319" t="str">
            <v>ALL</v>
          </cell>
          <cell r="K319" t="str">
            <v>-</v>
          </cell>
          <cell r="L319" t="str">
            <v>MTC</v>
          </cell>
          <cell r="M319" t="str">
            <v>Teknisi</v>
          </cell>
          <cell r="N319" t="str">
            <v>TKN</v>
          </cell>
          <cell r="O319" t="str">
            <v>B</v>
          </cell>
          <cell r="P319" t="str">
            <v>FPI</v>
          </cell>
          <cell r="Q319" t="str">
            <v>CONTRACT</v>
          </cell>
          <cell r="R319" t="str">
            <v>C3</v>
          </cell>
          <cell r="S319" t="str">
            <v>TKN</v>
          </cell>
          <cell r="T319" t="str">
            <v>L</v>
          </cell>
          <cell r="U319">
            <v>0</v>
          </cell>
          <cell r="V319">
            <v>0</v>
          </cell>
          <cell r="W319">
            <v>0</v>
          </cell>
          <cell r="X319">
            <v>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1</v>
          </cell>
          <cell r="AF319">
            <v>1</v>
          </cell>
          <cell r="AG319">
            <v>0</v>
          </cell>
        </row>
        <row r="320">
          <cell r="A320">
            <v>1</v>
          </cell>
          <cell r="B320">
            <v>5561</v>
          </cell>
          <cell r="C320" t="str">
            <v>SULIS HARIYANTO</v>
          </cell>
          <cell r="D320" t="str">
            <v>TKN-33</v>
          </cell>
          <cell r="E320">
            <v>39052</v>
          </cell>
          <cell r="F320">
            <v>39052</v>
          </cell>
          <cell r="G320">
            <v>39416</v>
          </cell>
          <cell r="H320" t="str">
            <v>PE</v>
          </cell>
          <cell r="I320" t="str">
            <v>MTC</v>
          </cell>
          <cell r="J320" t="str">
            <v>ALL</v>
          </cell>
          <cell r="K320" t="str">
            <v>-</v>
          </cell>
          <cell r="L320" t="str">
            <v>MTC</v>
          </cell>
          <cell r="M320" t="str">
            <v>Teknisi</v>
          </cell>
          <cell r="N320" t="str">
            <v>TKN</v>
          </cell>
          <cell r="O320" t="str">
            <v>A</v>
          </cell>
          <cell r="P320" t="str">
            <v>FPI</v>
          </cell>
          <cell r="Q320" t="str">
            <v>CONTRACT</v>
          </cell>
          <cell r="R320" t="str">
            <v>C3</v>
          </cell>
          <cell r="S320" t="str">
            <v>TKN</v>
          </cell>
          <cell r="T320" t="str">
            <v>L</v>
          </cell>
          <cell r="U320">
            <v>0</v>
          </cell>
          <cell r="V320">
            <v>0</v>
          </cell>
          <cell r="W320">
            <v>0</v>
          </cell>
          <cell r="X320">
            <v>1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1</v>
          </cell>
          <cell r="AF320">
            <v>1</v>
          </cell>
          <cell r="AG320">
            <v>0</v>
          </cell>
        </row>
        <row r="321">
          <cell r="A321">
            <v>1</v>
          </cell>
          <cell r="B321">
            <v>5720</v>
          </cell>
          <cell r="C321" t="str">
            <v>NUR 'AENI</v>
          </cell>
          <cell r="D321" t="str">
            <v>OPT-134</v>
          </cell>
          <cell r="E321">
            <v>39098</v>
          </cell>
          <cell r="F321">
            <v>39098</v>
          </cell>
          <cell r="G321">
            <v>39462</v>
          </cell>
          <cell r="H321" t="str">
            <v>PE</v>
          </cell>
          <cell r="I321" t="str">
            <v>MTC</v>
          </cell>
          <cell r="J321" t="str">
            <v>ALL</v>
          </cell>
          <cell r="K321" t="str">
            <v>-</v>
          </cell>
          <cell r="L321" t="str">
            <v>MTC</v>
          </cell>
          <cell r="M321" t="str">
            <v>Administration</v>
          </cell>
          <cell r="N321" t="str">
            <v>MTC DATA &amp; ORDERING</v>
          </cell>
          <cell r="O321" t="str">
            <v>NS</v>
          </cell>
          <cell r="P321" t="str">
            <v>FPS</v>
          </cell>
          <cell r="Q321" t="str">
            <v>CONTRACT</v>
          </cell>
          <cell r="R321" t="str">
            <v>C3</v>
          </cell>
          <cell r="S321" t="str">
            <v>OPT</v>
          </cell>
          <cell r="T321" t="str">
            <v>P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1</v>
          </cell>
          <cell r="AA321">
            <v>0</v>
          </cell>
          <cell r="AB321">
            <v>0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0</v>
          </cell>
        </row>
        <row r="322">
          <cell r="A322">
            <v>1</v>
          </cell>
          <cell r="B322">
            <v>5967</v>
          </cell>
          <cell r="C322" t="str">
            <v>DADANG ARDIANSYAH</v>
          </cell>
          <cell r="D322" t="str">
            <v>TKN-35</v>
          </cell>
          <cell r="E322">
            <v>39129</v>
          </cell>
          <cell r="F322">
            <v>39129</v>
          </cell>
          <cell r="G322">
            <v>39493</v>
          </cell>
          <cell r="H322" t="str">
            <v>PE</v>
          </cell>
          <cell r="I322" t="str">
            <v>MTC</v>
          </cell>
          <cell r="J322" t="str">
            <v>ALL</v>
          </cell>
          <cell r="K322" t="str">
            <v>-</v>
          </cell>
          <cell r="L322" t="str">
            <v>MTC</v>
          </cell>
          <cell r="M322" t="str">
            <v>Teknisi</v>
          </cell>
          <cell r="N322" t="str">
            <v>TKN</v>
          </cell>
          <cell r="O322" t="str">
            <v>A</v>
          </cell>
          <cell r="P322" t="str">
            <v>FPI</v>
          </cell>
          <cell r="Q322" t="str">
            <v>CONTRACT</v>
          </cell>
          <cell r="R322" t="str">
            <v>C3</v>
          </cell>
          <cell r="S322" t="str">
            <v>TKN</v>
          </cell>
          <cell r="T322" t="str">
            <v>L</v>
          </cell>
          <cell r="U322">
            <v>0</v>
          </cell>
          <cell r="V322">
            <v>0</v>
          </cell>
          <cell r="W322">
            <v>0</v>
          </cell>
          <cell r="X322">
            <v>1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1</v>
          </cell>
          <cell r="AF322">
            <v>1</v>
          </cell>
          <cell r="AG322">
            <v>0</v>
          </cell>
        </row>
        <row r="323">
          <cell r="A323">
            <v>1</v>
          </cell>
          <cell r="B323">
            <v>5970</v>
          </cell>
          <cell r="C323" t="str">
            <v>JOKO SANTOSO</v>
          </cell>
          <cell r="D323" t="str">
            <v>TKN-35</v>
          </cell>
          <cell r="E323">
            <v>39129</v>
          </cell>
          <cell r="F323">
            <v>39129</v>
          </cell>
          <cell r="G323">
            <v>39493</v>
          </cell>
          <cell r="H323" t="str">
            <v>PE</v>
          </cell>
          <cell r="I323" t="str">
            <v>MTC</v>
          </cell>
          <cell r="J323" t="str">
            <v>ALL</v>
          </cell>
          <cell r="K323" t="str">
            <v>-</v>
          </cell>
          <cell r="L323" t="str">
            <v>MTC</v>
          </cell>
          <cell r="M323" t="str">
            <v>Teknisi</v>
          </cell>
          <cell r="N323" t="str">
            <v>TKN</v>
          </cell>
          <cell r="O323" t="str">
            <v>B</v>
          </cell>
          <cell r="P323" t="str">
            <v>FPI</v>
          </cell>
          <cell r="Q323" t="str">
            <v>CONTRACT</v>
          </cell>
          <cell r="R323" t="str">
            <v>C3</v>
          </cell>
          <cell r="S323" t="str">
            <v>TKN</v>
          </cell>
          <cell r="T323" t="str">
            <v>L</v>
          </cell>
          <cell r="U323">
            <v>0</v>
          </cell>
          <cell r="V323">
            <v>0</v>
          </cell>
          <cell r="W323">
            <v>0</v>
          </cell>
          <cell r="X323">
            <v>1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1</v>
          </cell>
          <cell r="AF323">
            <v>1</v>
          </cell>
          <cell r="AG323">
            <v>0</v>
          </cell>
        </row>
        <row r="324">
          <cell r="A324">
            <v>1</v>
          </cell>
          <cell r="B324">
            <v>5972</v>
          </cell>
          <cell r="C324" t="str">
            <v>WAHYU DIONO</v>
          </cell>
          <cell r="D324" t="str">
            <v>TKN-35</v>
          </cell>
          <cell r="E324">
            <v>39129</v>
          </cell>
          <cell r="F324">
            <v>39129</v>
          </cell>
          <cell r="G324">
            <v>39493</v>
          </cell>
          <cell r="H324" t="str">
            <v>PE</v>
          </cell>
          <cell r="I324" t="str">
            <v>MTC</v>
          </cell>
          <cell r="J324" t="str">
            <v>ALL</v>
          </cell>
          <cell r="K324" t="str">
            <v>-</v>
          </cell>
          <cell r="L324" t="str">
            <v>MTC</v>
          </cell>
          <cell r="M324" t="str">
            <v>Teknisi</v>
          </cell>
          <cell r="N324" t="str">
            <v>TKN</v>
          </cell>
          <cell r="O324" t="str">
            <v>B</v>
          </cell>
          <cell r="P324" t="str">
            <v>FPI</v>
          </cell>
          <cell r="Q324" t="str">
            <v>CONTRACT</v>
          </cell>
          <cell r="R324" t="str">
            <v>C3</v>
          </cell>
          <cell r="S324" t="str">
            <v>TKN</v>
          </cell>
          <cell r="T324" t="str">
            <v>L</v>
          </cell>
          <cell r="U324">
            <v>0</v>
          </cell>
          <cell r="V324">
            <v>0</v>
          </cell>
          <cell r="W324">
            <v>0</v>
          </cell>
          <cell r="X324">
            <v>1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1</v>
          </cell>
          <cell r="AF324">
            <v>1</v>
          </cell>
          <cell r="AG324">
            <v>0</v>
          </cell>
        </row>
        <row r="325">
          <cell r="A325">
            <v>1</v>
          </cell>
          <cell r="B325">
            <v>6113</v>
          </cell>
          <cell r="C325" t="str">
            <v>GEDE WIJI SANTOSO</v>
          </cell>
          <cell r="D325" t="str">
            <v>TKN-37</v>
          </cell>
          <cell r="E325">
            <v>39142</v>
          </cell>
          <cell r="F325">
            <v>39142</v>
          </cell>
          <cell r="G325">
            <v>39506</v>
          </cell>
          <cell r="H325" t="str">
            <v>PE</v>
          </cell>
          <cell r="I325" t="str">
            <v>MTC</v>
          </cell>
          <cell r="J325" t="str">
            <v>ALL</v>
          </cell>
          <cell r="K325" t="str">
            <v>-</v>
          </cell>
          <cell r="L325" t="str">
            <v>MTC</v>
          </cell>
          <cell r="M325" t="str">
            <v>Teknisi</v>
          </cell>
          <cell r="N325" t="str">
            <v>TKN</v>
          </cell>
          <cell r="O325" t="str">
            <v>B</v>
          </cell>
          <cell r="P325" t="str">
            <v>FPI</v>
          </cell>
          <cell r="Q325" t="str">
            <v>CONTRACT</v>
          </cell>
          <cell r="R325" t="str">
            <v>C3</v>
          </cell>
          <cell r="S325" t="str">
            <v>TKN</v>
          </cell>
          <cell r="T325" t="str">
            <v>L</v>
          </cell>
          <cell r="U325">
            <v>0</v>
          </cell>
          <cell r="V325">
            <v>0</v>
          </cell>
          <cell r="W325">
            <v>0</v>
          </cell>
          <cell r="X325">
            <v>1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1</v>
          </cell>
          <cell r="AF325">
            <v>1</v>
          </cell>
          <cell r="AG325">
            <v>0</v>
          </cell>
        </row>
        <row r="326">
          <cell r="A326">
            <v>1</v>
          </cell>
          <cell r="B326">
            <v>6117</v>
          </cell>
          <cell r="C326" t="str">
            <v>RUSBIANTO</v>
          </cell>
          <cell r="D326" t="str">
            <v>TKN-37</v>
          </cell>
          <cell r="E326">
            <v>39142</v>
          </cell>
          <cell r="F326">
            <v>39142</v>
          </cell>
          <cell r="G326">
            <v>39506</v>
          </cell>
          <cell r="H326" t="str">
            <v>PE</v>
          </cell>
          <cell r="I326" t="str">
            <v>MTC</v>
          </cell>
          <cell r="J326" t="str">
            <v>ALL</v>
          </cell>
          <cell r="K326" t="str">
            <v>-</v>
          </cell>
          <cell r="L326" t="str">
            <v>MTC</v>
          </cell>
          <cell r="M326" t="str">
            <v>Teknisi</v>
          </cell>
          <cell r="N326" t="str">
            <v>TKN</v>
          </cell>
          <cell r="O326" t="str">
            <v>A</v>
          </cell>
          <cell r="P326" t="str">
            <v>FPI</v>
          </cell>
          <cell r="Q326" t="str">
            <v>CONTRACT</v>
          </cell>
          <cell r="R326" t="str">
            <v>C3</v>
          </cell>
          <cell r="S326" t="str">
            <v>TKN</v>
          </cell>
          <cell r="T326" t="str">
            <v>L</v>
          </cell>
          <cell r="U326">
            <v>0</v>
          </cell>
          <cell r="V326">
            <v>0</v>
          </cell>
          <cell r="W326">
            <v>0</v>
          </cell>
          <cell r="X326">
            <v>1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1</v>
          </cell>
          <cell r="AF326">
            <v>1</v>
          </cell>
          <cell r="AG326">
            <v>0</v>
          </cell>
        </row>
        <row r="327">
          <cell r="A327">
            <v>1</v>
          </cell>
          <cell r="B327">
            <v>6118</v>
          </cell>
          <cell r="C327" t="str">
            <v>MASBIKHIN</v>
          </cell>
          <cell r="D327" t="str">
            <v>ADM-32</v>
          </cell>
          <cell r="E327">
            <v>39142</v>
          </cell>
          <cell r="F327">
            <v>39142</v>
          </cell>
          <cell r="G327">
            <v>39506</v>
          </cell>
          <cell r="H327" t="str">
            <v>PE</v>
          </cell>
          <cell r="I327" t="str">
            <v>MTC</v>
          </cell>
          <cell r="J327" t="str">
            <v>ALL</v>
          </cell>
          <cell r="K327" t="str">
            <v>-</v>
          </cell>
          <cell r="L327" t="str">
            <v>MTC</v>
          </cell>
          <cell r="M327" t="str">
            <v>Administration</v>
          </cell>
          <cell r="N327" t="str">
            <v>MTC DATA &amp; ORDERING</v>
          </cell>
          <cell r="O327" t="str">
            <v>NS</v>
          </cell>
          <cell r="P327" t="str">
            <v>FPS</v>
          </cell>
          <cell r="Q327" t="str">
            <v>CONTRACT</v>
          </cell>
          <cell r="R327" t="str">
            <v>C3</v>
          </cell>
          <cell r="S327" t="str">
            <v>ADM</v>
          </cell>
          <cell r="T327" t="str">
            <v>L</v>
          </cell>
          <cell r="U327">
            <v>0</v>
          </cell>
          <cell r="V327">
            <v>0</v>
          </cell>
          <cell r="W327">
            <v>1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1</v>
          </cell>
          <cell r="AE327">
            <v>0</v>
          </cell>
          <cell r="AF327">
            <v>1</v>
          </cell>
          <cell r="AG327">
            <v>0</v>
          </cell>
        </row>
        <row r="328">
          <cell r="A328">
            <v>1</v>
          </cell>
          <cell r="B328">
            <v>6204</v>
          </cell>
          <cell r="C328" t="str">
            <v>ARIS PRAYITNO</v>
          </cell>
          <cell r="D328" t="str">
            <v>TKN-38</v>
          </cell>
          <cell r="E328">
            <v>39174</v>
          </cell>
          <cell r="F328">
            <v>39295</v>
          </cell>
          <cell r="G328">
            <v>39660</v>
          </cell>
          <cell r="H328" t="str">
            <v>PE</v>
          </cell>
          <cell r="I328" t="str">
            <v>MTC</v>
          </cell>
          <cell r="J328" t="str">
            <v>ALL</v>
          </cell>
          <cell r="K328" t="str">
            <v>-</v>
          </cell>
          <cell r="L328" t="str">
            <v>MTC</v>
          </cell>
          <cell r="M328" t="str">
            <v>Teknisi</v>
          </cell>
          <cell r="N328" t="str">
            <v>TKN</v>
          </cell>
          <cell r="O328" t="str">
            <v>NS</v>
          </cell>
          <cell r="P328" t="str">
            <v>FPI</v>
          </cell>
          <cell r="Q328" t="str">
            <v>CONTRACT</v>
          </cell>
          <cell r="R328" t="str">
            <v>C1</v>
          </cell>
          <cell r="S328" t="str">
            <v>TKN</v>
          </cell>
          <cell r="T328" t="str">
            <v>L</v>
          </cell>
          <cell r="U328">
            <v>0</v>
          </cell>
          <cell r="V328">
            <v>0</v>
          </cell>
          <cell r="W328">
            <v>0</v>
          </cell>
          <cell r="X328">
            <v>1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1</v>
          </cell>
          <cell r="AF328">
            <v>1</v>
          </cell>
          <cell r="AG328">
            <v>0</v>
          </cell>
        </row>
        <row r="329">
          <cell r="A329">
            <v>1</v>
          </cell>
          <cell r="B329">
            <v>6746</v>
          </cell>
          <cell r="C329" t="str">
            <v>ACHMAD SAEFUDIN ZUHRI</v>
          </cell>
          <cell r="D329" t="str">
            <v>OPT-155</v>
          </cell>
          <cell r="E329">
            <v>39380</v>
          </cell>
          <cell r="F329">
            <v>39380</v>
          </cell>
          <cell r="G329">
            <v>39411</v>
          </cell>
          <cell r="H329" t="str">
            <v>PE</v>
          </cell>
          <cell r="I329" t="str">
            <v>MTC</v>
          </cell>
          <cell r="J329" t="str">
            <v>ALL</v>
          </cell>
          <cell r="K329" t="str">
            <v>-</v>
          </cell>
          <cell r="L329" t="str">
            <v>MTC</v>
          </cell>
          <cell r="M329" t="str">
            <v>Teknisi</v>
          </cell>
          <cell r="N329" t="str">
            <v>TKN</v>
          </cell>
          <cell r="O329" t="str">
            <v>NS</v>
          </cell>
          <cell r="P329" t="str">
            <v>FPI</v>
          </cell>
          <cell r="Q329" t="str">
            <v>TRAINEE</v>
          </cell>
          <cell r="R329" t="str">
            <v>T1</v>
          </cell>
          <cell r="S329" t="str">
            <v>TKN</v>
          </cell>
          <cell r="T329" t="str">
            <v>L</v>
          </cell>
          <cell r="U329">
            <v>0</v>
          </cell>
          <cell r="V329">
            <v>0</v>
          </cell>
          <cell r="W329">
            <v>0</v>
          </cell>
          <cell r="X329">
            <v>1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1</v>
          </cell>
          <cell r="AF329">
            <v>1</v>
          </cell>
          <cell r="AG329">
            <v>1</v>
          </cell>
        </row>
        <row r="330">
          <cell r="A330">
            <v>1</v>
          </cell>
          <cell r="B330" t="str">
            <v>SM 07.09.148</v>
          </cell>
          <cell r="C330" t="str">
            <v>M. ARIES YULIANTO</v>
          </cell>
          <cell r="D330" t="str">
            <v>OUTSOURCING</v>
          </cell>
          <cell r="E330">
            <v>39326</v>
          </cell>
          <cell r="F330" t="str">
            <v>ALL</v>
          </cell>
          <cell r="G330" t="str">
            <v>-</v>
          </cell>
          <cell r="H330" t="str">
            <v>PE</v>
          </cell>
          <cell r="I330" t="str">
            <v>MTC</v>
          </cell>
          <cell r="J330" t="str">
            <v>ALL</v>
          </cell>
          <cell r="K330" t="str">
            <v>-</v>
          </cell>
          <cell r="L330" t="str">
            <v>MTC</v>
          </cell>
          <cell r="M330" t="str">
            <v>Teknisi</v>
          </cell>
          <cell r="N330" t="str">
            <v>TKN</v>
          </cell>
          <cell r="O330" t="str">
            <v>NS</v>
          </cell>
          <cell r="P330" t="str">
            <v>FPI</v>
          </cell>
          <cell r="Q330" t="str">
            <v>OUTSOURCING</v>
          </cell>
          <cell r="R330" t="str">
            <v>OSC OTH</v>
          </cell>
          <cell r="S330" t="str">
            <v>AMP</v>
          </cell>
          <cell r="T330" t="str">
            <v>L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1</v>
          </cell>
          <cell r="AF330">
            <v>1</v>
          </cell>
          <cell r="AG330">
            <v>0</v>
          </cell>
        </row>
        <row r="331">
          <cell r="A331">
            <v>1</v>
          </cell>
          <cell r="B331">
            <v>1826</v>
          </cell>
          <cell r="C331" t="str">
            <v>AOFIA ABIANA INSIANTI</v>
          </cell>
          <cell r="D331" t="str">
            <v>SPV</v>
          </cell>
          <cell r="E331">
            <v>38089</v>
          </cell>
          <cell r="F331" t="str">
            <v>-</v>
          </cell>
          <cell r="G331" t="str">
            <v>-</v>
          </cell>
          <cell r="H331" t="str">
            <v>QA</v>
          </cell>
          <cell r="I331" t="str">
            <v>QA SPV</v>
          </cell>
          <cell r="J331" t="str">
            <v>GMNA</v>
          </cell>
          <cell r="K331" t="str">
            <v>-</v>
          </cell>
          <cell r="L331" t="str">
            <v>QA SPV</v>
          </cell>
          <cell r="M331" t="str">
            <v>SPV QA LAMBDA &amp; HOLDEN</v>
          </cell>
          <cell r="N331" t="str">
            <v>FPS SPV</v>
          </cell>
          <cell r="O331" t="str">
            <v>NS</v>
          </cell>
          <cell r="P331" t="str">
            <v>FPS</v>
          </cell>
          <cell r="Q331" t="str">
            <v>PERMANENT</v>
          </cell>
          <cell r="R331" t="str">
            <v>PRM</v>
          </cell>
          <cell r="S331" t="str">
            <v>SPV</v>
          </cell>
          <cell r="T331" t="str">
            <v>P</v>
          </cell>
          <cell r="U331">
            <v>1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1</v>
          </cell>
          <cell r="AE331">
            <v>0</v>
          </cell>
          <cell r="AF331">
            <v>0</v>
          </cell>
          <cell r="AG331">
            <v>0</v>
          </cell>
        </row>
        <row r="332">
          <cell r="A332">
            <v>1</v>
          </cell>
          <cell r="B332">
            <v>2420</v>
          </cell>
          <cell r="C332" t="str">
            <v>INDRA B. NUGRAHA</v>
          </cell>
          <cell r="D332" t="str">
            <v>SPV</v>
          </cell>
          <cell r="E332">
            <v>38194</v>
          </cell>
          <cell r="F332" t="str">
            <v>-</v>
          </cell>
          <cell r="G332" t="str">
            <v>-</v>
          </cell>
          <cell r="H332" t="str">
            <v>QA</v>
          </cell>
          <cell r="I332" t="str">
            <v>QA SPV</v>
          </cell>
          <cell r="J332" t="str">
            <v>HOLDEN</v>
          </cell>
          <cell r="K332" t="str">
            <v>-</v>
          </cell>
          <cell r="L332" t="str">
            <v>QA SPV</v>
          </cell>
          <cell r="M332" t="str">
            <v>SPV PPAP &amp; QRE</v>
          </cell>
          <cell r="N332" t="str">
            <v>FPS SPV</v>
          </cell>
          <cell r="O332" t="str">
            <v>NS</v>
          </cell>
          <cell r="P332" t="str">
            <v>FPS</v>
          </cell>
          <cell r="Q332" t="str">
            <v>PERMANENT</v>
          </cell>
          <cell r="R332" t="str">
            <v>PRM</v>
          </cell>
          <cell r="S332" t="str">
            <v>SPV</v>
          </cell>
          <cell r="T332" t="str">
            <v>L</v>
          </cell>
          <cell r="U332">
            <v>1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1</v>
          </cell>
          <cell r="AE332">
            <v>0</v>
          </cell>
          <cell r="AF332">
            <v>1</v>
          </cell>
          <cell r="AG332">
            <v>0</v>
          </cell>
        </row>
        <row r="333">
          <cell r="A333">
            <v>1</v>
          </cell>
          <cell r="B333">
            <v>4489</v>
          </cell>
          <cell r="C333" t="str">
            <v>DWI MISWANTO</v>
          </cell>
          <cell r="D333" t="str">
            <v>SPV</v>
          </cell>
          <cell r="E333">
            <v>38789</v>
          </cell>
          <cell r="F333" t="str">
            <v>-</v>
          </cell>
          <cell r="G333" t="str">
            <v>-</v>
          </cell>
          <cell r="H333" t="str">
            <v>QA</v>
          </cell>
          <cell r="I333" t="str">
            <v>QA SPV</v>
          </cell>
          <cell r="J333" t="str">
            <v>MAZDA</v>
          </cell>
          <cell r="K333" t="str">
            <v>-</v>
          </cell>
          <cell r="L333" t="str">
            <v>QA SPV</v>
          </cell>
          <cell r="M333" t="str">
            <v>SPV QA MAZDA &amp; NISSAN</v>
          </cell>
          <cell r="N333" t="str">
            <v>FPS SPV</v>
          </cell>
          <cell r="O333" t="str">
            <v>NS</v>
          </cell>
          <cell r="P333" t="str">
            <v>FPS</v>
          </cell>
          <cell r="Q333" t="str">
            <v>PERMANENT</v>
          </cell>
          <cell r="R333" t="str">
            <v>PRM</v>
          </cell>
          <cell r="S333" t="str">
            <v>SPV</v>
          </cell>
          <cell r="T333" t="str">
            <v>L</v>
          </cell>
          <cell r="U333">
            <v>1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1</v>
          </cell>
          <cell r="AE333">
            <v>0</v>
          </cell>
          <cell r="AF333">
            <v>1</v>
          </cell>
          <cell r="AG333">
            <v>0</v>
          </cell>
        </row>
        <row r="334">
          <cell r="A334">
            <v>1</v>
          </cell>
          <cell r="B334">
            <v>595</v>
          </cell>
          <cell r="C334" t="str">
            <v>AL ISFARAINI</v>
          </cell>
          <cell r="D334" t="str">
            <v>ES-3</v>
          </cell>
          <cell r="E334">
            <v>37774</v>
          </cell>
          <cell r="F334" t="str">
            <v>-</v>
          </cell>
          <cell r="G334" t="str">
            <v>-</v>
          </cell>
          <cell r="H334" t="str">
            <v>QA</v>
          </cell>
          <cell r="I334" t="str">
            <v>QA LL</v>
          </cell>
          <cell r="J334" t="str">
            <v>HOLDEN</v>
          </cell>
          <cell r="K334" t="str">
            <v>-</v>
          </cell>
          <cell r="L334" t="str">
            <v>QA LL</v>
          </cell>
          <cell r="M334" t="str">
            <v>LL Holden</v>
          </cell>
          <cell r="N334" t="str">
            <v>FPS LL</v>
          </cell>
          <cell r="O334" t="str">
            <v>B</v>
          </cell>
          <cell r="P334" t="str">
            <v>FPS</v>
          </cell>
          <cell r="Q334" t="str">
            <v>PERMANENT</v>
          </cell>
          <cell r="R334" t="str">
            <v>PRM</v>
          </cell>
          <cell r="S334" t="str">
            <v>ES</v>
          </cell>
          <cell r="T334" t="str">
            <v>L</v>
          </cell>
          <cell r="U334">
            <v>0</v>
          </cell>
          <cell r="V334">
            <v>1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1</v>
          </cell>
          <cell r="AE334">
            <v>0</v>
          </cell>
          <cell r="AF334">
            <v>1</v>
          </cell>
          <cell r="AG334">
            <v>0</v>
          </cell>
        </row>
        <row r="335">
          <cell r="A335">
            <v>1</v>
          </cell>
          <cell r="B335">
            <v>706</v>
          </cell>
          <cell r="C335" t="str">
            <v>BUDI PRASETYO</v>
          </cell>
          <cell r="D335" t="str">
            <v>ES-4</v>
          </cell>
          <cell r="E335">
            <v>37802</v>
          </cell>
          <cell r="F335" t="str">
            <v>-</v>
          </cell>
          <cell r="G335" t="str">
            <v>-</v>
          </cell>
          <cell r="H335" t="str">
            <v>QA</v>
          </cell>
          <cell r="I335" t="str">
            <v>QA LL</v>
          </cell>
          <cell r="J335" t="str">
            <v>HOLDEN</v>
          </cell>
          <cell r="K335" t="str">
            <v>-</v>
          </cell>
          <cell r="L335" t="str">
            <v>QA LL</v>
          </cell>
          <cell r="M335" t="str">
            <v>LL Holden</v>
          </cell>
          <cell r="N335" t="str">
            <v>FPS LL</v>
          </cell>
          <cell r="O335" t="str">
            <v>A</v>
          </cell>
          <cell r="P335" t="str">
            <v>FPS</v>
          </cell>
          <cell r="Q335" t="str">
            <v>PERMANENT</v>
          </cell>
          <cell r="R335" t="str">
            <v>PRM</v>
          </cell>
          <cell r="S335" t="str">
            <v>ES</v>
          </cell>
          <cell r="T335" t="str">
            <v>L</v>
          </cell>
          <cell r="U335">
            <v>0</v>
          </cell>
          <cell r="V335">
            <v>1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1</v>
          </cell>
          <cell r="AE335">
            <v>0</v>
          </cell>
          <cell r="AF335">
            <v>1</v>
          </cell>
          <cell r="AG335">
            <v>0</v>
          </cell>
        </row>
        <row r="336">
          <cell r="A336">
            <v>1</v>
          </cell>
          <cell r="B336">
            <v>1158</v>
          </cell>
          <cell r="C336" t="str">
            <v>DARMUJI</v>
          </cell>
          <cell r="D336" t="str">
            <v>ES-9</v>
          </cell>
          <cell r="E336">
            <v>37900</v>
          </cell>
          <cell r="F336" t="str">
            <v>-</v>
          </cell>
          <cell r="G336" t="str">
            <v>-</v>
          </cell>
          <cell r="H336" t="str">
            <v>QA</v>
          </cell>
          <cell r="I336" t="str">
            <v>QA LL</v>
          </cell>
          <cell r="J336" t="str">
            <v>MAZDA</v>
          </cell>
          <cell r="K336" t="str">
            <v>-</v>
          </cell>
          <cell r="L336" t="str">
            <v>QA LL</v>
          </cell>
          <cell r="M336" t="str">
            <v>LL MZD</v>
          </cell>
          <cell r="N336" t="str">
            <v>FPS LL</v>
          </cell>
          <cell r="O336" t="str">
            <v>B</v>
          </cell>
          <cell r="P336" t="str">
            <v>FPS</v>
          </cell>
          <cell r="Q336" t="str">
            <v>PERMANENT</v>
          </cell>
          <cell r="R336" t="str">
            <v>PRM</v>
          </cell>
          <cell r="S336" t="str">
            <v>ES</v>
          </cell>
          <cell r="T336" t="str">
            <v>L</v>
          </cell>
          <cell r="U336">
            <v>0</v>
          </cell>
          <cell r="V336">
            <v>1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1</v>
          </cell>
          <cell r="AE336">
            <v>0</v>
          </cell>
          <cell r="AF336">
            <v>1</v>
          </cell>
          <cell r="AG336">
            <v>0</v>
          </cell>
        </row>
        <row r="337">
          <cell r="A337">
            <v>1</v>
          </cell>
          <cell r="B337">
            <v>1642</v>
          </cell>
          <cell r="C337" t="str">
            <v>ARY SETYAWAN</v>
          </cell>
          <cell r="D337" t="str">
            <v>ES-12</v>
          </cell>
          <cell r="E337">
            <v>38061</v>
          </cell>
          <cell r="F337" t="str">
            <v>-</v>
          </cell>
          <cell r="G337" t="str">
            <v>-</v>
          </cell>
          <cell r="H337" t="str">
            <v>QA</v>
          </cell>
          <cell r="I337" t="str">
            <v>QA LL</v>
          </cell>
          <cell r="J337" t="str">
            <v>GMNA</v>
          </cell>
          <cell r="K337" t="str">
            <v>-</v>
          </cell>
          <cell r="L337" t="str">
            <v>QA LL</v>
          </cell>
          <cell r="M337" t="str">
            <v xml:space="preserve">LL Lambda </v>
          </cell>
          <cell r="N337" t="str">
            <v>FPS LL</v>
          </cell>
          <cell r="O337" t="str">
            <v>NS</v>
          </cell>
          <cell r="P337" t="str">
            <v>FPS</v>
          </cell>
          <cell r="Q337" t="str">
            <v>PERMANENT</v>
          </cell>
          <cell r="R337" t="str">
            <v>PRM</v>
          </cell>
          <cell r="S337" t="str">
            <v>ES</v>
          </cell>
          <cell r="T337" t="str">
            <v>L</v>
          </cell>
          <cell r="U337">
            <v>0</v>
          </cell>
          <cell r="V337">
            <v>1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1</v>
          </cell>
          <cell r="AE337">
            <v>0</v>
          </cell>
          <cell r="AF337">
            <v>1</v>
          </cell>
          <cell r="AG337">
            <v>0</v>
          </cell>
        </row>
        <row r="338">
          <cell r="A338">
            <v>1</v>
          </cell>
          <cell r="B338">
            <v>1646</v>
          </cell>
          <cell r="C338" t="str">
            <v>SUPRAYOGO</v>
          </cell>
          <cell r="D338" t="str">
            <v>ES-12</v>
          </cell>
          <cell r="E338">
            <v>38061</v>
          </cell>
          <cell r="F338" t="str">
            <v>-</v>
          </cell>
          <cell r="G338" t="str">
            <v>-</v>
          </cell>
          <cell r="H338" t="str">
            <v>QA</v>
          </cell>
          <cell r="I338" t="str">
            <v>QA LL</v>
          </cell>
          <cell r="J338" t="str">
            <v>MAZDA</v>
          </cell>
          <cell r="K338" t="str">
            <v>-</v>
          </cell>
          <cell r="L338" t="str">
            <v>QA LL</v>
          </cell>
          <cell r="M338" t="str">
            <v>LL MZD</v>
          </cell>
          <cell r="N338" t="str">
            <v>FPS LL</v>
          </cell>
          <cell r="O338" t="str">
            <v>A</v>
          </cell>
          <cell r="P338" t="str">
            <v>FPS</v>
          </cell>
          <cell r="Q338" t="str">
            <v>PERMANENT</v>
          </cell>
          <cell r="R338" t="str">
            <v>PRM</v>
          </cell>
          <cell r="S338" t="str">
            <v>ES</v>
          </cell>
          <cell r="T338" t="str">
            <v>L</v>
          </cell>
          <cell r="U338">
            <v>0</v>
          </cell>
          <cell r="V338">
            <v>1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1</v>
          </cell>
          <cell r="AE338">
            <v>0</v>
          </cell>
          <cell r="AF338">
            <v>1</v>
          </cell>
          <cell r="AG338">
            <v>0</v>
          </cell>
        </row>
        <row r="339">
          <cell r="A339">
            <v>1</v>
          </cell>
          <cell r="B339">
            <v>394</v>
          </cell>
          <cell r="C339" t="str">
            <v>SRI PURWANTI</v>
          </cell>
          <cell r="D339" t="str">
            <v>ADM-3</v>
          </cell>
          <cell r="E339">
            <v>37732</v>
          </cell>
          <cell r="F339" t="str">
            <v>-</v>
          </cell>
          <cell r="G339" t="str">
            <v>-</v>
          </cell>
          <cell r="H339" t="str">
            <v>QA</v>
          </cell>
          <cell r="I339" t="str">
            <v>QA ADM</v>
          </cell>
          <cell r="J339" t="str">
            <v>ALL</v>
          </cell>
          <cell r="K339" t="str">
            <v>-</v>
          </cell>
          <cell r="L339" t="str">
            <v>QA ADM</v>
          </cell>
          <cell r="M339" t="str">
            <v>Office QA</v>
          </cell>
          <cell r="N339" t="str">
            <v>QA ADM</v>
          </cell>
          <cell r="O339" t="str">
            <v>NS</v>
          </cell>
          <cell r="P339" t="str">
            <v>FPS</v>
          </cell>
          <cell r="Q339" t="str">
            <v>PERMANENT</v>
          </cell>
          <cell r="R339" t="str">
            <v>PRM</v>
          </cell>
          <cell r="S339" t="str">
            <v>ADM</v>
          </cell>
          <cell r="T339" t="str">
            <v>P</v>
          </cell>
          <cell r="U339">
            <v>0</v>
          </cell>
          <cell r="V339">
            <v>0</v>
          </cell>
          <cell r="W339">
            <v>1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1</v>
          </cell>
          <cell r="AE339">
            <v>0</v>
          </cell>
          <cell r="AF339">
            <v>0</v>
          </cell>
          <cell r="AG339">
            <v>0</v>
          </cell>
        </row>
        <row r="340">
          <cell r="A340">
            <v>1</v>
          </cell>
          <cell r="B340">
            <v>5620</v>
          </cell>
          <cell r="C340" t="str">
            <v>NURUL HIDAYAH</v>
          </cell>
          <cell r="D340" t="str">
            <v>OPT-132</v>
          </cell>
          <cell r="E340" t="str">
            <v>15/01/2007</v>
          </cell>
          <cell r="F340">
            <v>39203</v>
          </cell>
          <cell r="G340">
            <v>39568</v>
          </cell>
          <cell r="H340" t="str">
            <v>QA</v>
          </cell>
          <cell r="I340" t="str">
            <v>QA ADM</v>
          </cell>
          <cell r="J340" t="str">
            <v>ALL</v>
          </cell>
          <cell r="K340" t="str">
            <v>-</v>
          </cell>
          <cell r="L340" t="str">
            <v>QA ADM</v>
          </cell>
          <cell r="M340" t="str">
            <v>Office QA</v>
          </cell>
          <cell r="N340" t="str">
            <v>QA ADM</v>
          </cell>
          <cell r="O340" t="str">
            <v>NS</v>
          </cell>
          <cell r="P340" t="str">
            <v>FPS</v>
          </cell>
          <cell r="Q340" t="str">
            <v>CONTRACT</v>
          </cell>
          <cell r="R340" t="str">
            <v>C1</v>
          </cell>
          <cell r="S340" t="str">
            <v>OPT</v>
          </cell>
          <cell r="T340" t="str">
            <v>P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1</v>
          </cell>
          <cell r="AA340">
            <v>0</v>
          </cell>
          <cell r="AB340">
            <v>0</v>
          </cell>
          <cell r="AC340">
            <v>0</v>
          </cell>
          <cell r="AD340">
            <v>1</v>
          </cell>
          <cell r="AE340">
            <v>0</v>
          </cell>
          <cell r="AF340">
            <v>0</v>
          </cell>
          <cell r="AG340">
            <v>0</v>
          </cell>
        </row>
        <row r="341">
          <cell r="A341">
            <v>1</v>
          </cell>
          <cell r="B341">
            <v>251</v>
          </cell>
          <cell r="C341" t="str">
            <v>NOVI MARIANA</v>
          </cell>
          <cell r="D341" t="str">
            <v>OPT-7</v>
          </cell>
          <cell r="E341">
            <v>37704</v>
          </cell>
          <cell r="F341" t="str">
            <v>-</v>
          </cell>
          <cell r="G341" t="str">
            <v>-</v>
          </cell>
          <cell r="H341" t="str">
            <v>QA</v>
          </cell>
          <cell r="I341" t="str">
            <v>QA ADM</v>
          </cell>
          <cell r="J341" t="str">
            <v>ALL</v>
          </cell>
          <cell r="K341" t="str">
            <v>-</v>
          </cell>
          <cell r="L341" t="str">
            <v>QA ADM</v>
          </cell>
          <cell r="M341" t="str">
            <v>Office QA</v>
          </cell>
          <cell r="N341" t="str">
            <v>QA ADM</v>
          </cell>
          <cell r="O341" t="str">
            <v>NS</v>
          </cell>
          <cell r="P341" t="str">
            <v>FPS</v>
          </cell>
          <cell r="Q341" t="str">
            <v>PERMANENT</v>
          </cell>
          <cell r="R341" t="str">
            <v>PRM</v>
          </cell>
          <cell r="S341" t="str">
            <v>OPT</v>
          </cell>
          <cell r="T341" t="str">
            <v>P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1</v>
          </cell>
          <cell r="AA341">
            <v>0</v>
          </cell>
          <cell r="AB341">
            <v>0</v>
          </cell>
          <cell r="AC341">
            <v>0</v>
          </cell>
          <cell r="AD341">
            <v>1</v>
          </cell>
          <cell r="AE341">
            <v>0</v>
          </cell>
          <cell r="AF341">
            <v>0</v>
          </cell>
          <cell r="AG341">
            <v>0</v>
          </cell>
        </row>
        <row r="342">
          <cell r="A342">
            <v>1</v>
          </cell>
          <cell r="B342">
            <v>63</v>
          </cell>
          <cell r="C342" t="str">
            <v>NIELA NURUL HIKMAH</v>
          </cell>
          <cell r="D342" t="str">
            <v>OPT-1</v>
          </cell>
          <cell r="E342">
            <v>37578</v>
          </cell>
          <cell r="F342" t="str">
            <v>-</v>
          </cell>
          <cell r="G342" t="str">
            <v>-</v>
          </cell>
          <cell r="H342" t="str">
            <v>QA</v>
          </cell>
          <cell r="I342" t="str">
            <v>QA PROTOYPE</v>
          </cell>
          <cell r="J342" t="str">
            <v>ALL</v>
          </cell>
          <cell r="K342" t="str">
            <v>-</v>
          </cell>
          <cell r="L342" t="str">
            <v>QA PROTOYPE</v>
          </cell>
          <cell r="M342" t="str">
            <v>GL QA</v>
          </cell>
          <cell r="N342" t="str">
            <v>QA OTS</v>
          </cell>
          <cell r="O342" t="str">
            <v>NS</v>
          </cell>
          <cell r="P342" t="str">
            <v>FPI</v>
          </cell>
          <cell r="Q342" t="str">
            <v>PERMANENT</v>
          </cell>
          <cell r="R342" t="str">
            <v>PRM</v>
          </cell>
          <cell r="S342" t="str">
            <v>GL</v>
          </cell>
          <cell r="T342" t="str">
            <v>P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1</v>
          </cell>
          <cell r="AF342">
            <v>0</v>
          </cell>
          <cell r="AG342">
            <v>0</v>
          </cell>
        </row>
        <row r="343">
          <cell r="A343">
            <v>1</v>
          </cell>
          <cell r="B343">
            <v>516</v>
          </cell>
          <cell r="C343" t="str">
            <v>WAHYU SETYANINGSIH</v>
          </cell>
          <cell r="D343" t="str">
            <v>OPT-14</v>
          </cell>
          <cell r="E343">
            <v>37767</v>
          </cell>
          <cell r="F343" t="str">
            <v>-</v>
          </cell>
          <cell r="G343" t="str">
            <v>-</v>
          </cell>
          <cell r="H343" t="str">
            <v>QA</v>
          </cell>
          <cell r="I343" t="str">
            <v>QA PROTOYPE</v>
          </cell>
          <cell r="J343" t="str">
            <v>ALL</v>
          </cell>
          <cell r="K343" t="str">
            <v>-</v>
          </cell>
          <cell r="L343" t="str">
            <v>QA PROTOYPE</v>
          </cell>
          <cell r="M343" t="str">
            <v>Visual / Finishing</v>
          </cell>
          <cell r="N343" t="str">
            <v>QA OTS</v>
          </cell>
          <cell r="O343" t="str">
            <v>NS</v>
          </cell>
          <cell r="P343" t="str">
            <v>FPI</v>
          </cell>
          <cell r="Q343" t="str">
            <v>PERMANENT</v>
          </cell>
          <cell r="R343" t="str">
            <v>PRM</v>
          </cell>
          <cell r="S343" t="str">
            <v>OPT</v>
          </cell>
          <cell r="T343" t="str">
            <v>P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1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1</v>
          </cell>
          <cell r="AF343">
            <v>0</v>
          </cell>
          <cell r="AG343">
            <v>0</v>
          </cell>
        </row>
        <row r="344">
          <cell r="A344">
            <v>1</v>
          </cell>
          <cell r="B344">
            <v>4953</v>
          </cell>
          <cell r="C344" t="str">
            <v>YENI NURAINI</v>
          </cell>
          <cell r="D344" t="str">
            <v>OPT-121</v>
          </cell>
          <cell r="E344">
            <v>38936</v>
          </cell>
          <cell r="F344">
            <v>39052</v>
          </cell>
          <cell r="G344">
            <v>39416</v>
          </cell>
          <cell r="H344" t="str">
            <v>QA</v>
          </cell>
          <cell r="I344" t="str">
            <v>QA PROTOYPE</v>
          </cell>
          <cell r="J344" t="str">
            <v>ALL</v>
          </cell>
          <cell r="K344" t="str">
            <v>-</v>
          </cell>
          <cell r="L344" t="str">
            <v>QA PROTOYPE</v>
          </cell>
          <cell r="M344" t="str">
            <v>Checker</v>
          </cell>
          <cell r="N344" t="str">
            <v>QA OTS</v>
          </cell>
          <cell r="O344" t="str">
            <v>NS</v>
          </cell>
          <cell r="P344" t="str">
            <v>FPI</v>
          </cell>
          <cell r="Q344" t="str">
            <v>CONTRACT</v>
          </cell>
          <cell r="R344" t="str">
            <v>C1</v>
          </cell>
          <cell r="S344" t="str">
            <v>OPT</v>
          </cell>
          <cell r="T344" t="str">
            <v>P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1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1</v>
          </cell>
          <cell r="AF344">
            <v>0</v>
          </cell>
          <cell r="AG344">
            <v>0</v>
          </cell>
        </row>
        <row r="345">
          <cell r="A345">
            <v>1</v>
          </cell>
          <cell r="B345">
            <v>5038</v>
          </cell>
          <cell r="C345" t="str">
            <v>NITA THERESIYANA WATI</v>
          </cell>
          <cell r="D345" t="str">
            <v>OPT-122</v>
          </cell>
          <cell r="E345">
            <v>38943</v>
          </cell>
          <cell r="F345">
            <v>39052</v>
          </cell>
          <cell r="G345">
            <v>39416</v>
          </cell>
          <cell r="H345" t="str">
            <v>QA</v>
          </cell>
          <cell r="I345" t="str">
            <v>QA PROTOYPE</v>
          </cell>
          <cell r="J345" t="str">
            <v>ALL</v>
          </cell>
          <cell r="K345" t="str">
            <v>-</v>
          </cell>
          <cell r="L345" t="str">
            <v>QA PROTOYPE</v>
          </cell>
          <cell r="M345" t="str">
            <v>Delivery</v>
          </cell>
          <cell r="N345" t="str">
            <v>QA OTS</v>
          </cell>
          <cell r="O345" t="str">
            <v>NS</v>
          </cell>
          <cell r="P345" t="str">
            <v>FPI</v>
          </cell>
          <cell r="Q345" t="str">
            <v>CONTRACT</v>
          </cell>
          <cell r="R345" t="str">
            <v>C1</v>
          </cell>
          <cell r="S345" t="str">
            <v>OPT</v>
          </cell>
          <cell r="T345" t="str">
            <v>P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1</v>
          </cell>
          <cell r="AF345">
            <v>0</v>
          </cell>
          <cell r="AG345">
            <v>0</v>
          </cell>
        </row>
        <row r="346">
          <cell r="A346">
            <v>1</v>
          </cell>
          <cell r="B346">
            <v>5426</v>
          </cell>
          <cell r="C346" t="str">
            <v>KHUMAEROH</v>
          </cell>
          <cell r="D346" t="str">
            <v>OPT-128</v>
          </cell>
          <cell r="E346">
            <v>38991</v>
          </cell>
          <cell r="F346" t="str">
            <v>-</v>
          </cell>
          <cell r="G346" t="str">
            <v>-</v>
          </cell>
          <cell r="H346" t="str">
            <v>QA</v>
          </cell>
          <cell r="I346" t="str">
            <v>QA PROTOYPE</v>
          </cell>
          <cell r="J346" t="str">
            <v>ALL</v>
          </cell>
          <cell r="K346" t="str">
            <v>-</v>
          </cell>
          <cell r="L346" t="str">
            <v>QA PROTOYPE</v>
          </cell>
          <cell r="M346" t="str">
            <v>Visual / Finishing</v>
          </cell>
          <cell r="N346" t="str">
            <v>QA OTS</v>
          </cell>
          <cell r="O346" t="str">
            <v>NS</v>
          </cell>
          <cell r="P346" t="str">
            <v>FPI</v>
          </cell>
          <cell r="Q346" t="str">
            <v>PERMANENT</v>
          </cell>
          <cell r="R346" t="str">
            <v>PRM</v>
          </cell>
          <cell r="S346" t="str">
            <v>OPT</v>
          </cell>
          <cell r="T346" t="str">
            <v>P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1</v>
          </cell>
          <cell r="AF346">
            <v>0</v>
          </cell>
          <cell r="AG346">
            <v>0</v>
          </cell>
        </row>
        <row r="347">
          <cell r="A347">
            <v>1</v>
          </cell>
          <cell r="B347">
            <v>5799</v>
          </cell>
          <cell r="C347" t="str">
            <v>RETNOWATI NAWANGSIH</v>
          </cell>
          <cell r="D347" t="str">
            <v>OPT-135</v>
          </cell>
          <cell r="E347">
            <v>39114</v>
          </cell>
          <cell r="F347">
            <v>39114</v>
          </cell>
          <cell r="G347">
            <v>39478</v>
          </cell>
          <cell r="H347" t="str">
            <v>QA</v>
          </cell>
          <cell r="I347" t="str">
            <v>QA PROTOYPE</v>
          </cell>
          <cell r="J347" t="str">
            <v>ALL</v>
          </cell>
          <cell r="K347" t="str">
            <v>-</v>
          </cell>
          <cell r="L347" t="str">
            <v>QA PROTOYPE</v>
          </cell>
          <cell r="M347" t="str">
            <v>Checker</v>
          </cell>
          <cell r="N347" t="str">
            <v>QA OTS</v>
          </cell>
          <cell r="O347" t="str">
            <v>NS</v>
          </cell>
          <cell r="P347" t="str">
            <v>FPI</v>
          </cell>
          <cell r="Q347" t="str">
            <v>CONTRACT</v>
          </cell>
          <cell r="R347" t="str">
            <v>C3</v>
          </cell>
          <cell r="S347" t="str">
            <v>OPT</v>
          </cell>
          <cell r="T347" t="str">
            <v>P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1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1</v>
          </cell>
          <cell r="AF347">
            <v>0</v>
          </cell>
          <cell r="AG347">
            <v>0</v>
          </cell>
        </row>
        <row r="348">
          <cell r="A348">
            <v>1</v>
          </cell>
          <cell r="B348">
            <v>5825</v>
          </cell>
          <cell r="C348" t="str">
            <v>SUSANTO</v>
          </cell>
          <cell r="D348" t="str">
            <v>OPT-135</v>
          </cell>
          <cell r="E348">
            <v>39114</v>
          </cell>
          <cell r="F348">
            <v>39114</v>
          </cell>
          <cell r="G348">
            <v>39478</v>
          </cell>
          <cell r="H348" t="str">
            <v>QA</v>
          </cell>
          <cell r="I348" t="str">
            <v>QA PROTOYPE</v>
          </cell>
          <cell r="J348" t="str">
            <v>ALL</v>
          </cell>
          <cell r="K348" t="str">
            <v>-</v>
          </cell>
          <cell r="L348" t="str">
            <v>QA PROTOYPE</v>
          </cell>
          <cell r="M348" t="str">
            <v>Delivery</v>
          </cell>
          <cell r="N348" t="str">
            <v>QA OTS</v>
          </cell>
          <cell r="O348" t="str">
            <v>NS</v>
          </cell>
          <cell r="P348" t="str">
            <v>FPI</v>
          </cell>
          <cell r="Q348" t="str">
            <v>CONTRACT</v>
          </cell>
          <cell r="R348" t="str">
            <v>C3</v>
          </cell>
          <cell r="S348" t="str">
            <v>OPT</v>
          </cell>
          <cell r="T348" t="str">
            <v>L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1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1</v>
          </cell>
          <cell r="AF348">
            <v>1</v>
          </cell>
          <cell r="AG348">
            <v>0</v>
          </cell>
        </row>
        <row r="349">
          <cell r="A349">
            <v>1</v>
          </cell>
          <cell r="B349">
            <v>5833</v>
          </cell>
          <cell r="C349" t="str">
            <v>TRI MULYATI</v>
          </cell>
          <cell r="D349" t="str">
            <v>OPT-135</v>
          </cell>
          <cell r="E349">
            <v>39114</v>
          </cell>
          <cell r="F349">
            <v>39114</v>
          </cell>
          <cell r="G349">
            <v>39478</v>
          </cell>
          <cell r="H349" t="str">
            <v>QA</v>
          </cell>
          <cell r="I349" t="str">
            <v>QA PROTOYPE</v>
          </cell>
          <cell r="J349" t="str">
            <v>ALL</v>
          </cell>
          <cell r="K349" t="str">
            <v>-</v>
          </cell>
          <cell r="L349" t="str">
            <v>QA PROTOYPE</v>
          </cell>
          <cell r="M349" t="str">
            <v>Visual / Finishing</v>
          </cell>
          <cell r="N349" t="str">
            <v>QA OTS</v>
          </cell>
          <cell r="O349" t="str">
            <v>NS</v>
          </cell>
          <cell r="P349" t="str">
            <v>FPI</v>
          </cell>
          <cell r="Q349" t="str">
            <v>CONTRACT</v>
          </cell>
          <cell r="R349" t="str">
            <v>C3</v>
          </cell>
          <cell r="S349" t="str">
            <v>OPT</v>
          </cell>
          <cell r="T349" t="str">
            <v>P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1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1</v>
          </cell>
          <cell r="AF349">
            <v>0</v>
          </cell>
          <cell r="AG349">
            <v>0</v>
          </cell>
        </row>
        <row r="350">
          <cell r="A350">
            <v>1</v>
          </cell>
          <cell r="B350">
            <v>6160</v>
          </cell>
          <cell r="C350" t="str">
            <v>SITI MUSRIFAH</v>
          </cell>
          <cell r="D350" t="str">
            <v>OPT-140</v>
          </cell>
          <cell r="E350">
            <v>39157</v>
          </cell>
          <cell r="F350">
            <v>39157</v>
          </cell>
          <cell r="G350">
            <v>39522</v>
          </cell>
          <cell r="H350" t="str">
            <v>QA</v>
          </cell>
          <cell r="I350" t="str">
            <v>QA PROTOYPE</v>
          </cell>
          <cell r="J350" t="str">
            <v>ALL</v>
          </cell>
          <cell r="K350" t="str">
            <v>-</v>
          </cell>
          <cell r="L350" t="str">
            <v>QA PROTOYPE</v>
          </cell>
          <cell r="M350" t="str">
            <v>Visual / Finishing</v>
          </cell>
          <cell r="N350" t="str">
            <v>QA OTS</v>
          </cell>
          <cell r="O350" t="str">
            <v>NS</v>
          </cell>
          <cell r="P350" t="str">
            <v>FPI</v>
          </cell>
          <cell r="Q350" t="str">
            <v>CONTRACT</v>
          </cell>
          <cell r="R350" t="str">
            <v>C3</v>
          </cell>
          <cell r="S350" t="str">
            <v>OPT</v>
          </cell>
          <cell r="T350" t="str">
            <v>P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1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1</v>
          </cell>
          <cell r="AF350">
            <v>0</v>
          </cell>
          <cell r="AG350">
            <v>0</v>
          </cell>
        </row>
        <row r="351">
          <cell r="A351">
            <v>1</v>
          </cell>
          <cell r="B351">
            <v>59</v>
          </cell>
          <cell r="C351" t="str">
            <v>KRISTINA DWI SUSANTI</v>
          </cell>
          <cell r="D351" t="str">
            <v>OPT-1</v>
          </cell>
          <cell r="E351">
            <v>37578</v>
          </cell>
          <cell r="F351" t="str">
            <v>-</v>
          </cell>
          <cell r="G351" t="str">
            <v>-</v>
          </cell>
          <cell r="H351" t="str">
            <v>QA</v>
          </cell>
          <cell r="I351" t="str">
            <v>PPAP</v>
          </cell>
          <cell r="J351" t="str">
            <v>ALL</v>
          </cell>
          <cell r="K351" t="str">
            <v>-</v>
          </cell>
          <cell r="L351" t="str">
            <v>PPAP</v>
          </cell>
          <cell r="M351" t="str">
            <v>Es Test</v>
          </cell>
          <cell r="N351" t="str">
            <v>PPAP</v>
          </cell>
          <cell r="O351" t="str">
            <v>NS</v>
          </cell>
          <cell r="P351" t="str">
            <v>FPS</v>
          </cell>
          <cell r="Q351" t="str">
            <v>PERMANENT</v>
          </cell>
          <cell r="R351" t="str">
            <v>PRM</v>
          </cell>
          <cell r="S351" t="str">
            <v>OPT</v>
          </cell>
          <cell r="T351" t="str">
            <v>P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</v>
          </cell>
          <cell r="AA351">
            <v>0</v>
          </cell>
          <cell r="AB351">
            <v>0</v>
          </cell>
          <cell r="AC351">
            <v>0</v>
          </cell>
          <cell r="AD351">
            <v>1</v>
          </cell>
          <cell r="AE351">
            <v>0</v>
          </cell>
          <cell r="AF351">
            <v>0</v>
          </cell>
          <cell r="AG351">
            <v>0</v>
          </cell>
        </row>
        <row r="352">
          <cell r="A352">
            <v>1</v>
          </cell>
          <cell r="B352">
            <v>66</v>
          </cell>
          <cell r="C352" t="str">
            <v>NURUL FITRIANI</v>
          </cell>
          <cell r="D352" t="str">
            <v>OPT-1</v>
          </cell>
          <cell r="E352">
            <v>37578</v>
          </cell>
          <cell r="F352" t="str">
            <v>-</v>
          </cell>
          <cell r="G352" t="str">
            <v>-</v>
          </cell>
          <cell r="H352" t="str">
            <v>QA</v>
          </cell>
          <cell r="I352" t="str">
            <v>PPAP</v>
          </cell>
          <cell r="J352" t="str">
            <v>ALL</v>
          </cell>
          <cell r="K352" t="str">
            <v>-</v>
          </cell>
          <cell r="L352" t="str">
            <v>PPAP</v>
          </cell>
          <cell r="M352" t="str">
            <v>Es Test</v>
          </cell>
          <cell r="N352" t="str">
            <v>PPAP</v>
          </cell>
          <cell r="O352" t="str">
            <v>NS</v>
          </cell>
          <cell r="P352" t="str">
            <v>FPS</v>
          </cell>
          <cell r="Q352" t="str">
            <v>PERMANENT</v>
          </cell>
          <cell r="R352" t="str">
            <v>PRM</v>
          </cell>
          <cell r="S352" t="str">
            <v>OPT</v>
          </cell>
          <cell r="T352" t="str">
            <v>P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1</v>
          </cell>
          <cell r="AA352">
            <v>0</v>
          </cell>
          <cell r="AB352">
            <v>0</v>
          </cell>
          <cell r="AC352">
            <v>0</v>
          </cell>
          <cell r="AD352">
            <v>1</v>
          </cell>
          <cell r="AE352">
            <v>0</v>
          </cell>
          <cell r="AF352">
            <v>0</v>
          </cell>
          <cell r="AG352">
            <v>0</v>
          </cell>
        </row>
        <row r="353">
          <cell r="A353">
            <v>1</v>
          </cell>
          <cell r="B353">
            <v>169</v>
          </cell>
          <cell r="C353" t="str">
            <v>ELIS SUWARTINI</v>
          </cell>
          <cell r="D353" t="str">
            <v>OPT-5</v>
          </cell>
          <cell r="E353">
            <v>37679</v>
          </cell>
          <cell r="F353" t="str">
            <v>-</v>
          </cell>
          <cell r="G353" t="str">
            <v>-</v>
          </cell>
          <cell r="H353" t="str">
            <v>QA</v>
          </cell>
          <cell r="I353" t="str">
            <v>PPAP</v>
          </cell>
          <cell r="J353" t="str">
            <v>ALL</v>
          </cell>
          <cell r="K353" t="str">
            <v>-</v>
          </cell>
          <cell r="L353" t="str">
            <v>PPAP</v>
          </cell>
          <cell r="M353" t="str">
            <v>Es Test</v>
          </cell>
          <cell r="N353" t="str">
            <v>PPAP</v>
          </cell>
          <cell r="O353" t="str">
            <v>NS</v>
          </cell>
          <cell r="P353" t="str">
            <v>FPS</v>
          </cell>
          <cell r="Q353" t="str">
            <v>PERMANENT</v>
          </cell>
          <cell r="R353" t="str">
            <v>PRM</v>
          </cell>
          <cell r="S353" t="str">
            <v>OPT</v>
          </cell>
          <cell r="T353" t="str">
            <v>P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1</v>
          </cell>
          <cell r="AA353">
            <v>0</v>
          </cell>
          <cell r="AB353">
            <v>0</v>
          </cell>
          <cell r="AC353">
            <v>0</v>
          </cell>
          <cell r="AD353">
            <v>1</v>
          </cell>
          <cell r="AE353">
            <v>0</v>
          </cell>
          <cell r="AF353">
            <v>0</v>
          </cell>
          <cell r="AG353">
            <v>0</v>
          </cell>
        </row>
        <row r="354">
          <cell r="A354">
            <v>1</v>
          </cell>
          <cell r="B354">
            <v>550</v>
          </cell>
          <cell r="C354" t="str">
            <v>SURYA SANCAKA</v>
          </cell>
          <cell r="D354" t="str">
            <v>OPT-14</v>
          </cell>
          <cell r="E354">
            <v>37767</v>
          </cell>
          <cell r="F354" t="str">
            <v>-</v>
          </cell>
          <cell r="G354" t="str">
            <v>-</v>
          </cell>
          <cell r="H354" t="str">
            <v>QA</v>
          </cell>
          <cell r="I354" t="str">
            <v>PPAP</v>
          </cell>
          <cell r="J354" t="str">
            <v>ALL</v>
          </cell>
          <cell r="K354" t="str">
            <v>-</v>
          </cell>
          <cell r="L354" t="str">
            <v>PPAP</v>
          </cell>
          <cell r="M354" t="str">
            <v>Harness Sample</v>
          </cell>
          <cell r="N354" t="str">
            <v>PPAP</v>
          </cell>
          <cell r="O354" t="str">
            <v>A</v>
          </cell>
          <cell r="P354" t="str">
            <v>FPS</v>
          </cell>
          <cell r="Q354" t="str">
            <v>PERMANENT</v>
          </cell>
          <cell r="R354" t="str">
            <v>PRM</v>
          </cell>
          <cell r="S354" t="str">
            <v>OPT</v>
          </cell>
          <cell r="T354" t="str">
            <v>L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1</v>
          </cell>
          <cell r="AA354">
            <v>0</v>
          </cell>
          <cell r="AB354">
            <v>0</v>
          </cell>
          <cell r="AC354">
            <v>0</v>
          </cell>
          <cell r="AD354">
            <v>1</v>
          </cell>
          <cell r="AE354">
            <v>0</v>
          </cell>
          <cell r="AF354">
            <v>1</v>
          </cell>
          <cell r="AG354">
            <v>0</v>
          </cell>
        </row>
        <row r="355">
          <cell r="A355">
            <v>1</v>
          </cell>
          <cell r="B355">
            <v>552</v>
          </cell>
          <cell r="C355" t="str">
            <v>SUBKI</v>
          </cell>
          <cell r="D355" t="str">
            <v>OPT-14</v>
          </cell>
          <cell r="E355">
            <v>37767</v>
          </cell>
          <cell r="F355" t="str">
            <v>-</v>
          </cell>
          <cell r="G355" t="str">
            <v>-</v>
          </cell>
          <cell r="H355" t="str">
            <v>QA</v>
          </cell>
          <cell r="I355" t="str">
            <v>PPAP</v>
          </cell>
          <cell r="J355" t="str">
            <v>ALL</v>
          </cell>
          <cell r="K355" t="str">
            <v>-</v>
          </cell>
          <cell r="L355" t="str">
            <v>PPAP</v>
          </cell>
          <cell r="M355" t="str">
            <v>HDR</v>
          </cell>
          <cell r="N355" t="str">
            <v>PPAP</v>
          </cell>
          <cell r="O355" t="str">
            <v>NS</v>
          </cell>
          <cell r="P355" t="str">
            <v>FPS</v>
          </cell>
          <cell r="Q355" t="str">
            <v>PERMANENT</v>
          </cell>
          <cell r="R355" t="str">
            <v>PRM</v>
          </cell>
          <cell r="S355" t="str">
            <v>OPT</v>
          </cell>
          <cell r="T355" t="str">
            <v>L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1</v>
          </cell>
          <cell r="AA355">
            <v>0</v>
          </cell>
          <cell r="AB355">
            <v>0</v>
          </cell>
          <cell r="AC355">
            <v>0</v>
          </cell>
          <cell r="AD355">
            <v>1</v>
          </cell>
          <cell r="AE355">
            <v>0</v>
          </cell>
          <cell r="AF355">
            <v>1</v>
          </cell>
          <cell r="AG355">
            <v>0</v>
          </cell>
        </row>
        <row r="356">
          <cell r="A356">
            <v>1</v>
          </cell>
          <cell r="B356">
            <v>588</v>
          </cell>
          <cell r="C356" t="str">
            <v>EVI YULIWATI</v>
          </cell>
          <cell r="D356" t="str">
            <v>ADM-5</v>
          </cell>
          <cell r="E356">
            <v>37774</v>
          </cell>
          <cell r="F356" t="str">
            <v>-</v>
          </cell>
          <cell r="G356" t="str">
            <v>-</v>
          </cell>
          <cell r="H356" t="str">
            <v>QA</v>
          </cell>
          <cell r="I356" t="str">
            <v>PPAP</v>
          </cell>
          <cell r="J356" t="str">
            <v>ALL</v>
          </cell>
          <cell r="K356" t="str">
            <v>-</v>
          </cell>
          <cell r="L356" t="str">
            <v>PPAP</v>
          </cell>
          <cell r="M356" t="str">
            <v>ADM</v>
          </cell>
          <cell r="N356" t="str">
            <v>PPAP</v>
          </cell>
          <cell r="O356" t="str">
            <v>NS</v>
          </cell>
          <cell r="P356" t="str">
            <v>FPS</v>
          </cell>
          <cell r="Q356" t="str">
            <v>PERMANENT</v>
          </cell>
          <cell r="R356" t="str">
            <v>PRM</v>
          </cell>
          <cell r="S356" t="str">
            <v>ADM</v>
          </cell>
          <cell r="T356" t="str">
            <v>P</v>
          </cell>
          <cell r="U356">
            <v>0</v>
          </cell>
          <cell r="V356">
            <v>0</v>
          </cell>
          <cell r="W356">
            <v>1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1</v>
          </cell>
          <cell r="AE356">
            <v>0</v>
          </cell>
          <cell r="AF356">
            <v>0</v>
          </cell>
          <cell r="AG356">
            <v>0</v>
          </cell>
        </row>
        <row r="357">
          <cell r="A357">
            <v>1</v>
          </cell>
          <cell r="B357">
            <v>703</v>
          </cell>
          <cell r="C357" t="str">
            <v>ARY SUSANTO</v>
          </cell>
          <cell r="D357" t="str">
            <v>SPV</v>
          </cell>
          <cell r="E357">
            <v>37802</v>
          </cell>
          <cell r="F357" t="str">
            <v>-</v>
          </cell>
          <cell r="G357" t="str">
            <v>-</v>
          </cell>
          <cell r="H357" t="str">
            <v>QA</v>
          </cell>
          <cell r="I357" t="str">
            <v>PPAP</v>
          </cell>
          <cell r="J357" t="str">
            <v>ALL</v>
          </cell>
          <cell r="K357" t="str">
            <v>-</v>
          </cell>
          <cell r="L357" t="str">
            <v>PPAP</v>
          </cell>
          <cell r="M357" t="str">
            <v>SPV PPAP &amp; QRE</v>
          </cell>
          <cell r="N357" t="str">
            <v>FPS SPV</v>
          </cell>
          <cell r="O357" t="str">
            <v>NS</v>
          </cell>
          <cell r="P357" t="str">
            <v>FPS</v>
          </cell>
          <cell r="Q357" t="str">
            <v>PERMANENT</v>
          </cell>
          <cell r="R357" t="str">
            <v>PRM</v>
          </cell>
          <cell r="S357" t="str">
            <v>SPV</v>
          </cell>
          <cell r="T357" t="str">
            <v>L</v>
          </cell>
          <cell r="U357">
            <v>1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1</v>
          </cell>
          <cell r="AE357">
            <v>0</v>
          </cell>
          <cell r="AF357">
            <v>1</v>
          </cell>
          <cell r="AG357">
            <v>0</v>
          </cell>
        </row>
        <row r="358">
          <cell r="A358">
            <v>1</v>
          </cell>
          <cell r="B358">
            <v>3725</v>
          </cell>
          <cell r="C358" t="str">
            <v>SRI RETNO ISTIYANI</v>
          </cell>
          <cell r="D358" t="str">
            <v>OPT-98</v>
          </cell>
          <cell r="E358">
            <v>38626</v>
          </cell>
          <cell r="F358" t="str">
            <v>-</v>
          </cell>
          <cell r="G358" t="str">
            <v>-</v>
          </cell>
          <cell r="H358" t="str">
            <v>QA</v>
          </cell>
          <cell r="I358" t="str">
            <v>PPAP</v>
          </cell>
          <cell r="J358" t="str">
            <v>ALL</v>
          </cell>
          <cell r="K358" t="str">
            <v>-</v>
          </cell>
          <cell r="L358" t="str">
            <v>PPAP</v>
          </cell>
          <cell r="M358" t="str">
            <v>Es Test</v>
          </cell>
          <cell r="N358" t="str">
            <v>PPAP</v>
          </cell>
          <cell r="O358" t="str">
            <v>NS</v>
          </cell>
          <cell r="P358" t="str">
            <v>FPS</v>
          </cell>
          <cell r="Q358" t="str">
            <v>PERMANENT</v>
          </cell>
          <cell r="R358" t="str">
            <v>PRM</v>
          </cell>
          <cell r="S358" t="str">
            <v>OPT</v>
          </cell>
          <cell r="T358" t="str">
            <v>P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1</v>
          </cell>
          <cell r="AA358">
            <v>0</v>
          </cell>
          <cell r="AB358">
            <v>0</v>
          </cell>
          <cell r="AC358">
            <v>0</v>
          </cell>
          <cell r="AD358">
            <v>1</v>
          </cell>
          <cell r="AE358">
            <v>0</v>
          </cell>
          <cell r="AF358">
            <v>0</v>
          </cell>
          <cell r="AG358">
            <v>0</v>
          </cell>
        </row>
        <row r="359">
          <cell r="A359">
            <v>1</v>
          </cell>
          <cell r="B359">
            <v>4851</v>
          </cell>
          <cell r="C359" t="str">
            <v xml:space="preserve">ROHMAT                           </v>
          </cell>
          <cell r="D359" t="str">
            <v>OPT-120</v>
          </cell>
          <cell r="E359">
            <v>38930</v>
          </cell>
          <cell r="F359" t="str">
            <v>-</v>
          </cell>
          <cell r="G359" t="str">
            <v>-</v>
          </cell>
          <cell r="H359" t="str">
            <v>QA</v>
          </cell>
          <cell r="I359" t="str">
            <v>PPAP</v>
          </cell>
          <cell r="J359" t="str">
            <v>ALL</v>
          </cell>
          <cell r="K359" t="str">
            <v>-</v>
          </cell>
          <cell r="L359" t="str">
            <v>PPAP</v>
          </cell>
          <cell r="M359" t="str">
            <v>Harness Sample</v>
          </cell>
          <cell r="N359" t="str">
            <v>PPAP</v>
          </cell>
          <cell r="O359" t="str">
            <v>A</v>
          </cell>
          <cell r="P359" t="str">
            <v>FPS</v>
          </cell>
          <cell r="Q359" t="str">
            <v>PERMANENT</v>
          </cell>
          <cell r="R359" t="str">
            <v>PRM</v>
          </cell>
          <cell r="S359" t="str">
            <v>OPT</v>
          </cell>
          <cell r="T359" t="str">
            <v>L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1</v>
          </cell>
          <cell r="AA359">
            <v>0</v>
          </cell>
          <cell r="AB359">
            <v>0</v>
          </cell>
          <cell r="AC359">
            <v>0</v>
          </cell>
          <cell r="AD359">
            <v>1</v>
          </cell>
          <cell r="AE359">
            <v>0</v>
          </cell>
          <cell r="AF359">
            <v>1</v>
          </cell>
          <cell r="AG359">
            <v>0</v>
          </cell>
        </row>
        <row r="360">
          <cell r="A360">
            <v>1</v>
          </cell>
          <cell r="B360">
            <v>5229</v>
          </cell>
          <cell r="C360" t="str">
            <v xml:space="preserve">ZURAEDA                       </v>
          </cell>
          <cell r="D360" t="str">
            <v>OPT-125</v>
          </cell>
          <cell r="E360">
            <v>38961</v>
          </cell>
          <cell r="F360" t="str">
            <v>-</v>
          </cell>
          <cell r="G360" t="str">
            <v>-</v>
          </cell>
          <cell r="H360" t="str">
            <v>QA</v>
          </cell>
          <cell r="I360" t="str">
            <v>PPAP</v>
          </cell>
          <cell r="J360" t="str">
            <v>ALL</v>
          </cell>
          <cell r="K360" t="str">
            <v>-</v>
          </cell>
          <cell r="L360" t="str">
            <v>PPAP</v>
          </cell>
          <cell r="M360" t="str">
            <v>HDR</v>
          </cell>
          <cell r="N360" t="str">
            <v>PPAP</v>
          </cell>
          <cell r="O360" t="str">
            <v>NS</v>
          </cell>
          <cell r="P360" t="str">
            <v>FPS</v>
          </cell>
          <cell r="Q360" t="str">
            <v>PERMANENT</v>
          </cell>
          <cell r="R360" t="str">
            <v>PRM</v>
          </cell>
          <cell r="S360" t="str">
            <v>OPT</v>
          </cell>
          <cell r="T360" t="str">
            <v>P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1</v>
          </cell>
          <cell r="AA360">
            <v>0</v>
          </cell>
          <cell r="AB360">
            <v>0</v>
          </cell>
          <cell r="AC360">
            <v>0</v>
          </cell>
          <cell r="AD360">
            <v>1</v>
          </cell>
          <cell r="AE360">
            <v>0</v>
          </cell>
          <cell r="AF360">
            <v>0</v>
          </cell>
          <cell r="AG360">
            <v>0</v>
          </cell>
        </row>
        <row r="361">
          <cell r="A361">
            <v>1</v>
          </cell>
          <cell r="B361">
            <v>5259</v>
          </cell>
          <cell r="C361" t="str">
            <v xml:space="preserve">SITI ZULAIKHA                 </v>
          </cell>
          <cell r="D361" t="str">
            <v>OPT-125</v>
          </cell>
          <cell r="E361">
            <v>38961</v>
          </cell>
          <cell r="F361" t="str">
            <v>-</v>
          </cell>
          <cell r="G361" t="str">
            <v>-</v>
          </cell>
          <cell r="H361" t="str">
            <v>QA</v>
          </cell>
          <cell r="I361" t="str">
            <v>PPAP</v>
          </cell>
          <cell r="J361" t="str">
            <v>ALL</v>
          </cell>
          <cell r="K361" t="str">
            <v>-</v>
          </cell>
          <cell r="L361" t="str">
            <v>PPAP</v>
          </cell>
          <cell r="M361" t="str">
            <v>Es Test</v>
          </cell>
          <cell r="N361" t="str">
            <v>PPAP</v>
          </cell>
          <cell r="O361" t="str">
            <v>NS</v>
          </cell>
          <cell r="P361" t="str">
            <v>FPS</v>
          </cell>
          <cell r="Q361" t="str">
            <v>PERMANENT</v>
          </cell>
          <cell r="R361" t="str">
            <v>PRM</v>
          </cell>
          <cell r="S361" t="str">
            <v>OPT</v>
          </cell>
          <cell r="T361" t="str">
            <v>P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1</v>
          </cell>
          <cell r="AA361">
            <v>0</v>
          </cell>
          <cell r="AB361">
            <v>0</v>
          </cell>
          <cell r="AC361">
            <v>0</v>
          </cell>
          <cell r="AD361">
            <v>1</v>
          </cell>
          <cell r="AE361">
            <v>0</v>
          </cell>
          <cell r="AF361">
            <v>0</v>
          </cell>
          <cell r="AG361">
            <v>0</v>
          </cell>
        </row>
        <row r="362">
          <cell r="A362">
            <v>1</v>
          </cell>
          <cell r="B362">
            <v>5269</v>
          </cell>
          <cell r="C362" t="str">
            <v xml:space="preserve">SITI ASROFAH                  </v>
          </cell>
          <cell r="D362" t="str">
            <v>OPT-125</v>
          </cell>
          <cell r="E362">
            <v>38961</v>
          </cell>
          <cell r="F362" t="str">
            <v>-</v>
          </cell>
          <cell r="G362" t="str">
            <v>-</v>
          </cell>
          <cell r="H362" t="str">
            <v>QA</v>
          </cell>
          <cell r="I362" t="str">
            <v>PPAP</v>
          </cell>
          <cell r="J362" t="str">
            <v>ALL</v>
          </cell>
          <cell r="K362" t="str">
            <v>-</v>
          </cell>
          <cell r="L362" t="str">
            <v>PPAP</v>
          </cell>
          <cell r="M362" t="str">
            <v>Es Test</v>
          </cell>
          <cell r="N362" t="str">
            <v>PPAP</v>
          </cell>
          <cell r="O362" t="str">
            <v>NS</v>
          </cell>
          <cell r="P362" t="str">
            <v>FPS</v>
          </cell>
          <cell r="Q362" t="str">
            <v>PERMANENT</v>
          </cell>
          <cell r="R362" t="str">
            <v>PRM</v>
          </cell>
          <cell r="S362" t="str">
            <v>OPT</v>
          </cell>
          <cell r="T362" t="str">
            <v>P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1</v>
          </cell>
          <cell r="AA362">
            <v>0</v>
          </cell>
          <cell r="AB362">
            <v>0</v>
          </cell>
          <cell r="AC362">
            <v>0</v>
          </cell>
          <cell r="AD362">
            <v>1</v>
          </cell>
          <cell r="AE362">
            <v>0</v>
          </cell>
          <cell r="AF362">
            <v>0</v>
          </cell>
          <cell r="AG362">
            <v>0</v>
          </cell>
        </row>
        <row r="363">
          <cell r="A363">
            <v>1</v>
          </cell>
          <cell r="B363">
            <v>5482</v>
          </cell>
          <cell r="C363" t="str">
            <v>ZAINI ROHMAN</v>
          </cell>
          <cell r="D363" t="str">
            <v>ADM-28</v>
          </cell>
          <cell r="E363">
            <v>38991</v>
          </cell>
          <cell r="F363" t="str">
            <v>-</v>
          </cell>
          <cell r="G363" t="str">
            <v>-</v>
          </cell>
          <cell r="H363" t="str">
            <v>QA</v>
          </cell>
          <cell r="I363" t="str">
            <v>PPAP</v>
          </cell>
          <cell r="J363" t="str">
            <v>ALL</v>
          </cell>
          <cell r="K363" t="str">
            <v>-</v>
          </cell>
          <cell r="L363" t="str">
            <v>PPAP</v>
          </cell>
          <cell r="M363" t="str">
            <v>ADM</v>
          </cell>
          <cell r="N363" t="str">
            <v>PPAP</v>
          </cell>
          <cell r="O363" t="str">
            <v>NS</v>
          </cell>
          <cell r="P363" t="str">
            <v>FPS</v>
          </cell>
          <cell r="Q363" t="str">
            <v>PERMANENT</v>
          </cell>
          <cell r="R363" t="str">
            <v>PRM</v>
          </cell>
          <cell r="S363" t="str">
            <v>ADM</v>
          </cell>
          <cell r="T363" t="str">
            <v>L</v>
          </cell>
          <cell r="U363">
            <v>0</v>
          </cell>
          <cell r="V363">
            <v>0</v>
          </cell>
          <cell r="W363">
            <v>1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1</v>
          </cell>
          <cell r="AE363">
            <v>0</v>
          </cell>
          <cell r="AF363">
            <v>1</v>
          </cell>
          <cell r="AG363">
            <v>0</v>
          </cell>
        </row>
        <row r="364">
          <cell r="A364">
            <v>1</v>
          </cell>
          <cell r="B364">
            <v>5532</v>
          </cell>
          <cell r="C364" t="str">
            <v>HERI BAYU UTAMA</v>
          </cell>
          <cell r="D364" t="str">
            <v>ES-26</v>
          </cell>
          <cell r="E364">
            <v>39037</v>
          </cell>
          <cell r="F364">
            <v>39037</v>
          </cell>
          <cell r="G364">
            <v>39386</v>
          </cell>
          <cell r="H364" t="str">
            <v>QA</v>
          </cell>
          <cell r="I364" t="str">
            <v>PPAP</v>
          </cell>
          <cell r="J364" t="str">
            <v>ALL</v>
          </cell>
          <cell r="K364" t="str">
            <v>-</v>
          </cell>
          <cell r="L364" t="str">
            <v>PPAP</v>
          </cell>
          <cell r="M364" t="str">
            <v>Leader PPAP</v>
          </cell>
          <cell r="N364" t="str">
            <v>PPAP</v>
          </cell>
          <cell r="O364" t="str">
            <v>NS</v>
          </cell>
          <cell r="P364" t="str">
            <v>FPS</v>
          </cell>
          <cell r="Q364" t="str">
            <v>CONTRACT</v>
          </cell>
          <cell r="R364" t="str">
            <v>C1</v>
          </cell>
          <cell r="S364" t="str">
            <v>ES</v>
          </cell>
          <cell r="T364" t="str">
            <v>L</v>
          </cell>
          <cell r="U364">
            <v>0</v>
          </cell>
          <cell r="V364">
            <v>1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1</v>
          </cell>
          <cell r="AE364">
            <v>0</v>
          </cell>
          <cell r="AF364">
            <v>1</v>
          </cell>
          <cell r="AG364">
            <v>0</v>
          </cell>
        </row>
        <row r="365">
          <cell r="A365">
            <v>1</v>
          </cell>
          <cell r="B365">
            <v>5703</v>
          </cell>
          <cell r="C365" t="str">
            <v>GIYATNO</v>
          </cell>
          <cell r="D365" t="str">
            <v>OPT-134</v>
          </cell>
          <cell r="E365">
            <v>39098</v>
          </cell>
          <cell r="F365">
            <v>39098</v>
          </cell>
          <cell r="G365">
            <v>39462</v>
          </cell>
          <cell r="H365" t="str">
            <v>QA</v>
          </cell>
          <cell r="I365" t="str">
            <v>PPAP</v>
          </cell>
          <cell r="J365" t="str">
            <v>ALL</v>
          </cell>
          <cell r="K365" t="str">
            <v>-</v>
          </cell>
          <cell r="L365" t="str">
            <v>PPAP</v>
          </cell>
          <cell r="M365" t="str">
            <v>High Voltage Test</v>
          </cell>
          <cell r="N365" t="str">
            <v>PPAP</v>
          </cell>
          <cell r="O365" t="str">
            <v>A</v>
          </cell>
          <cell r="P365" t="str">
            <v>FPS</v>
          </cell>
          <cell r="Q365" t="str">
            <v>CONTRACT</v>
          </cell>
          <cell r="R365" t="str">
            <v>C3</v>
          </cell>
          <cell r="S365" t="str">
            <v>OPT</v>
          </cell>
          <cell r="T365" t="str">
            <v>L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1</v>
          </cell>
          <cell r="AA365">
            <v>0</v>
          </cell>
          <cell r="AB365">
            <v>0</v>
          </cell>
          <cell r="AC365">
            <v>0</v>
          </cell>
          <cell r="AD365">
            <v>1</v>
          </cell>
          <cell r="AE365">
            <v>0</v>
          </cell>
          <cell r="AF365">
            <v>1</v>
          </cell>
          <cell r="AG365">
            <v>0</v>
          </cell>
        </row>
        <row r="366">
          <cell r="A366">
            <v>1</v>
          </cell>
          <cell r="B366">
            <v>5754</v>
          </cell>
          <cell r="C366" t="str">
            <v>ABIL HUDA</v>
          </cell>
          <cell r="D366" t="str">
            <v>OPT-135</v>
          </cell>
          <cell r="E366">
            <v>39114</v>
          </cell>
          <cell r="F366">
            <v>39114</v>
          </cell>
          <cell r="G366">
            <v>39478</v>
          </cell>
          <cell r="H366" t="str">
            <v>QA</v>
          </cell>
          <cell r="I366" t="str">
            <v>PPAP</v>
          </cell>
          <cell r="J366" t="str">
            <v>ALL</v>
          </cell>
          <cell r="K366" t="str">
            <v>-</v>
          </cell>
          <cell r="L366" t="str">
            <v>PPAP</v>
          </cell>
          <cell r="M366" t="str">
            <v>High Voltage Test</v>
          </cell>
          <cell r="N366" t="str">
            <v>PPAP</v>
          </cell>
          <cell r="O366" t="str">
            <v>B</v>
          </cell>
          <cell r="P366" t="str">
            <v>FPS</v>
          </cell>
          <cell r="Q366" t="str">
            <v>CONTRACT</v>
          </cell>
          <cell r="R366" t="str">
            <v>C3</v>
          </cell>
          <cell r="S366" t="str">
            <v>OPT</v>
          </cell>
          <cell r="T366" t="str">
            <v>L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1</v>
          </cell>
          <cell r="AA366">
            <v>0</v>
          </cell>
          <cell r="AB366">
            <v>0</v>
          </cell>
          <cell r="AC366">
            <v>0</v>
          </cell>
          <cell r="AD366">
            <v>1</v>
          </cell>
          <cell r="AE366">
            <v>0</v>
          </cell>
          <cell r="AF366">
            <v>1</v>
          </cell>
          <cell r="AG366">
            <v>0</v>
          </cell>
        </row>
        <row r="367">
          <cell r="A367">
            <v>1</v>
          </cell>
          <cell r="B367">
            <v>5804</v>
          </cell>
          <cell r="C367" t="str">
            <v>RIRIN DWI ASTUTI</v>
          </cell>
          <cell r="D367" t="str">
            <v>OPT-135</v>
          </cell>
          <cell r="E367">
            <v>39114</v>
          </cell>
          <cell r="F367">
            <v>39114</v>
          </cell>
          <cell r="G367">
            <v>39478</v>
          </cell>
          <cell r="H367" t="str">
            <v>QA</v>
          </cell>
          <cell r="I367" t="str">
            <v>PPAP</v>
          </cell>
          <cell r="J367" t="str">
            <v>ALL</v>
          </cell>
          <cell r="K367" t="str">
            <v>-</v>
          </cell>
          <cell r="L367" t="str">
            <v>PPAP</v>
          </cell>
          <cell r="M367" t="str">
            <v>HDR</v>
          </cell>
          <cell r="N367" t="str">
            <v>PPAP</v>
          </cell>
          <cell r="O367" t="str">
            <v>NS</v>
          </cell>
          <cell r="P367" t="str">
            <v>FPS</v>
          </cell>
          <cell r="Q367" t="str">
            <v>CONTRACT</v>
          </cell>
          <cell r="R367" t="str">
            <v>C3</v>
          </cell>
          <cell r="S367" t="str">
            <v>OPT</v>
          </cell>
          <cell r="T367" t="str">
            <v>P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1</v>
          </cell>
          <cell r="AA367">
            <v>0</v>
          </cell>
          <cell r="AB367">
            <v>0</v>
          </cell>
          <cell r="AC367">
            <v>0</v>
          </cell>
          <cell r="AD367">
            <v>1</v>
          </cell>
          <cell r="AE367">
            <v>0</v>
          </cell>
          <cell r="AF367">
            <v>0</v>
          </cell>
          <cell r="AG367">
            <v>0</v>
          </cell>
        </row>
        <row r="368">
          <cell r="A368">
            <v>1</v>
          </cell>
          <cell r="B368">
            <v>6189</v>
          </cell>
          <cell r="C368" t="str">
            <v>MUSODIKUN</v>
          </cell>
          <cell r="D368" t="str">
            <v>OPT-141</v>
          </cell>
          <cell r="E368">
            <v>39173</v>
          </cell>
          <cell r="F368">
            <v>39173</v>
          </cell>
          <cell r="G368">
            <v>39538</v>
          </cell>
          <cell r="H368" t="str">
            <v>QA</v>
          </cell>
          <cell r="I368" t="str">
            <v>PPAP</v>
          </cell>
          <cell r="J368" t="str">
            <v>ALL</v>
          </cell>
          <cell r="K368" t="str">
            <v>-</v>
          </cell>
          <cell r="L368" t="str">
            <v>PPAP</v>
          </cell>
          <cell r="M368" t="str">
            <v>HDR</v>
          </cell>
          <cell r="N368" t="str">
            <v>PPAP</v>
          </cell>
          <cell r="O368" t="str">
            <v>NS</v>
          </cell>
          <cell r="P368" t="str">
            <v>FPS</v>
          </cell>
          <cell r="Q368" t="str">
            <v>CONTRACT</v>
          </cell>
          <cell r="R368" t="str">
            <v>C3</v>
          </cell>
          <cell r="S368" t="str">
            <v>OPT</v>
          </cell>
          <cell r="T368" t="str">
            <v>L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1</v>
          </cell>
          <cell r="AA368">
            <v>0</v>
          </cell>
          <cell r="AB368">
            <v>0</v>
          </cell>
          <cell r="AC368">
            <v>0</v>
          </cell>
          <cell r="AD368">
            <v>1</v>
          </cell>
          <cell r="AE368">
            <v>0</v>
          </cell>
          <cell r="AF368">
            <v>1</v>
          </cell>
          <cell r="AG368">
            <v>0</v>
          </cell>
        </row>
        <row r="369">
          <cell r="A369">
            <v>1</v>
          </cell>
          <cell r="B369">
            <v>424</v>
          </cell>
          <cell r="C369" t="str">
            <v>MARIYANI</v>
          </cell>
          <cell r="D369" t="str">
            <v>OPT-11</v>
          </cell>
          <cell r="E369">
            <v>37739</v>
          </cell>
          <cell r="F369" t="str">
            <v>-</v>
          </cell>
          <cell r="G369" t="str">
            <v>-</v>
          </cell>
          <cell r="H369" t="str">
            <v>QA</v>
          </cell>
          <cell r="I369" t="str">
            <v>PPAP</v>
          </cell>
          <cell r="J369" t="str">
            <v>ALL</v>
          </cell>
          <cell r="K369" t="str">
            <v>-</v>
          </cell>
          <cell r="L369" t="str">
            <v>PPAP</v>
          </cell>
          <cell r="M369" t="str">
            <v>Es Test</v>
          </cell>
          <cell r="N369" t="str">
            <v>PPAP</v>
          </cell>
          <cell r="O369" t="str">
            <v>NS</v>
          </cell>
          <cell r="P369" t="str">
            <v>FPS</v>
          </cell>
          <cell r="Q369" t="str">
            <v>PERMANENT</v>
          </cell>
          <cell r="R369" t="str">
            <v>PRM</v>
          </cell>
          <cell r="S369" t="str">
            <v>OPT</v>
          </cell>
          <cell r="T369" t="str">
            <v>P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1</v>
          </cell>
          <cell r="AA369">
            <v>0</v>
          </cell>
          <cell r="AB369">
            <v>0</v>
          </cell>
          <cell r="AC369">
            <v>0</v>
          </cell>
          <cell r="AD369">
            <v>1</v>
          </cell>
          <cell r="AE369">
            <v>0</v>
          </cell>
          <cell r="AF369">
            <v>0</v>
          </cell>
          <cell r="AG369">
            <v>0</v>
          </cell>
        </row>
        <row r="370">
          <cell r="A370">
            <v>1</v>
          </cell>
          <cell r="B370" t="str">
            <v>SM 07.07.130</v>
          </cell>
          <cell r="C370" t="str">
            <v>BUNGA BUDIANTO</v>
          </cell>
          <cell r="D370" t="str">
            <v>OUTSOURCING</v>
          </cell>
          <cell r="E370">
            <v>39289</v>
          </cell>
          <cell r="F370" t="str">
            <v>-</v>
          </cell>
          <cell r="G370" t="str">
            <v>-</v>
          </cell>
          <cell r="H370" t="str">
            <v>QA</v>
          </cell>
          <cell r="I370" t="str">
            <v>PPAP</v>
          </cell>
          <cell r="J370" t="str">
            <v>ALL</v>
          </cell>
          <cell r="K370" t="str">
            <v>-</v>
          </cell>
          <cell r="L370" t="str">
            <v>PPAP</v>
          </cell>
          <cell r="M370" t="str">
            <v>Harness Sample</v>
          </cell>
          <cell r="N370" t="str">
            <v>PPAP</v>
          </cell>
          <cell r="O370" t="str">
            <v>A</v>
          </cell>
          <cell r="P370" t="str">
            <v>FPS</v>
          </cell>
          <cell r="Q370" t="str">
            <v>OUTSOURCING</v>
          </cell>
          <cell r="R370" t="str">
            <v>OSC OTH</v>
          </cell>
          <cell r="S370" t="str">
            <v>AMP</v>
          </cell>
          <cell r="T370" t="str">
            <v>L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1</v>
          </cell>
          <cell r="AE370">
            <v>0</v>
          </cell>
          <cell r="AF370">
            <v>1</v>
          </cell>
          <cell r="AG370">
            <v>0</v>
          </cell>
        </row>
        <row r="371">
          <cell r="A371">
            <v>1</v>
          </cell>
          <cell r="B371" t="str">
            <v>SM 07.07.132</v>
          </cell>
          <cell r="C371" t="str">
            <v>DENI SUSANTO</v>
          </cell>
          <cell r="D371" t="str">
            <v>OUTSOURCING</v>
          </cell>
          <cell r="E371">
            <v>39289</v>
          </cell>
          <cell r="F371" t="str">
            <v>-</v>
          </cell>
          <cell r="G371" t="str">
            <v>-</v>
          </cell>
          <cell r="H371" t="str">
            <v>QA</v>
          </cell>
          <cell r="I371" t="str">
            <v>PPAP</v>
          </cell>
          <cell r="J371" t="str">
            <v>ALL</v>
          </cell>
          <cell r="K371" t="str">
            <v>-</v>
          </cell>
          <cell r="L371" t="str">
            <v>PPAP</v>
          </cell>
          <cell r="M371" t="str">
            <v>Harness Sample</v>
          </cell>
          <cell r="N371" t="str">
            <v>PPAP</v>
          </cell>
          <cell r="O371" t="str">
            <v>B</v>
          </cell>
          <cell r="P371" t="str">
            <v>FPS</v>
          </cell>
          <cell r="Q371" t="str">
            <v>OUTSOURCING</v>
          </cell>
          <cell r="R371" t="str">
            <v>OSC OTH</v>
          </cell>
          <cell r="S371" t="str">
            <v>AMP</v>
          </cell>
          <cell r="T371" t="str">
            <v>L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1</v>
          </cell>
          <cell r="AE371">
            <v>0</v>
          </cell>
          <cell r="AF371">
            <v>1</v>
          </cell>
          <cell r="AG371">
            <v>0</v>
          </cell>
        </row>
        <row r="372">
          <cell r="A372">
            <v>1</v>
          </cell>
          <cell r="B372" t="str">
            <v>SM 07.07.135</v>
          </cell>
          <cell r="C372" t="str">
            <v>PURNADI</v>
          </cell>
          <cell r="D372" t="str">
            <v>OUTSOURCING</v>
          </cell>
          <cell r="E372">
            <v>39289</v>
          </cell>
          <cell r="F372" t="str">
            <v>-</v>
          </cell>
          <cell r="G372" t="str">
            <v>-</v>
          </cell>
          <cell r="H372" t="str">
            <v>QA</v>
          </cell>
          <cell r="I372" t="str">
            <v>PPAP</v>
          </cell>
          <cell r="J372" t="str">
            <v>ALL</v>
          </cell>
          <cell r="K372" t="str">
            <v>-</v>
          </cell>
          <cell r="L372" t="str">
            <v>PPAP</v>
          </cell>
          <cell r="M372" t="str">
            <v>Harness Sample</v>
          </cell>
          <cell r="N372" t="str">
            <v>PPAP</v>
          </cell>
          <cell r="O372" t="str">
            <v>A</v>
          </cell>
          <cell r="P372" t="str">
            <v>FPS</v>
          </cell>
          <cell r="Q372" t="str">
            <v>OUTSOURCING</v>
          </cell>
          <cell r="R372" t="str">
            <v>OSC OTH</v>
          </cell>
          <cell r="S372" t="str">
            <v>AMP</v>
          </cell>
          <cell r="T372" t="str">
            <v>L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1</v>
          </cell>
          <cell r="AE372">
            <v>0</v>
          </cell>
          <cell r="AF372">
            <v>1</v>
          </cell>
          <cell r="AG372">
            <v>0</v>
          </cell>
        </row>
        <row r="373">
          <cell r="A373">
            <v>1</v>
          </cell>
          <cell r="B373" t="str">
            <v>SM 07.07.136</v>
          </cell>
          <cell r="C373" t="str">
            <v>SALFUN NUGROHO</v>
          </cell>
          <cell r="D373" t="str">
            <v>OUTSOURCING</v>
          </cell>
          <cell r="E373">
            <v>39289</v>
          </cell>
          <cell r="F373" t="str">
            <v>-</v>
          </cell>
          <cell r="G373" t="str">
            <v>-</v>
          </cell>
          <cell r="H373" t="str">
            <v>QA</v>
          </cell>
          <cell r="I373" t="str">
            <v>PPAP</v>
          </cell>
          <cell r="J373" t="str">
            <v>ALL</v>
          </cell>
          <cell r="K373" t="str">
            <v>-</v>
          </cell>
          <cell r="L373" t="str">
            <v>PPAP</v>
          </cell>
          <cell r="M373" t="str">
            <v>Harness Sample</v>
          </cell>
          <cell r="N373" t="str">
            <v>PPAP</v>
          </cell>
          <cell r="O373" t="str">
            <v>B</v>
          </cell>
          <cell r="P373" t="str">
            <v>FPS</v>
          </cell>
          <cell r="Q373" t="str">
            <v>OUTSOURCING</v>
          </cell>
          <cell r="R373" t="str">
            <v>OSC OTH</v>
          </cell>
          <cell r="S373" t="str">
            <v>AMP</v>
          </cell>
          <cell r="T373" t="str">
            <v>L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1</v>
          </cell>
          <cell r="AE373">
            <v>0</v>
          </cell>
          <cell r="AF373">
            <v>1</v>
          </cell>
          <cell r="AG373">
            <v>0</v>
          </cell>
        </row>
        <row r="374">
          <cell r="A374">
            <v>1</v>
          </cell>
          <cell r="B374">
            <v>4974</v>
          </cell>
          <cell r="C374" t="str">
            <v>DINDA SITI WAHYUNI</v>
          </cell>
          <cell r="D374" t="str">
            <v>OPT-122</v>
          </cell>
          <cell r="E374">
            <v>38943</v>
          </cell>
          <cell r="F374">
            <v>39052</v>
          </cell>
          <cell r="G374">
            <v>39416</v>
          </cell>
          <cell r="H374" t="str">
            <v>QA</v>
          </cell>
          <cell r="I374" t="str">
            <v>PPAP</v>
          </cell>
          <cell r="J374" t="str">
            <v>ALL</v>
          </cell>
          <cell r="K374" t="str">
            <v>-</v>
          </cell>
          <cell r="L374" t="str">
            <v>PPAP</v>
          </cell>
          <cell r="M374" t="str">
            <v>HDR</v>
          </cell>
          <cell r="N374" t="str">
            <v>PPAP</v>
          </cell>
          <cell r="O374" t="str">
            <v>A</v>
          </cell>
          <cell r="P374" t="str">
            <v>FPS</v>
          </cell>
          <cell r="Q374" t="str">
            <v>CONTRACT</v>
          </cell>
          <cell r="R374" t="str">
            <v>C1</v>
          </cell>
          <cell r="S374" t="str">
            <v>OPT</v>
          </cell>
          <cell r="T374" t="str">
            <v>P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1</v>
          </cell>
          <cell r="AA374">
            <v>0</v>
          </cell>
          <cell r="AB374">
            <v>0</v>
          </cell>
          <cell r="AC374">
            <v>0</v>
          </cell>
          <cell r="AD374">
            <v>1</v>
          </cell>
          <cell r="AE374">
            <v>0</v>
          </cell>
          <cell r="AF374">
            <v>0</v>
          </cell>
          <cell r="AG374">
            <v>0</v>
          </cell>
        </row>
        <row r="375">
          <cell r="A375">
            <v>1</v>
          </cell>
          <cell r="B375">
            <v>5160</v>
          </cell>
          <cell r="C375" t="str">
            <v>PUNITI LISTIONI</v>
          </cell>
          <cell r="D375" t="str">
            <v>OPT-123</v>
          </cell>
          <cell r="E375">
            <v>38951</v>
          </cell>
          <cell r="F375">
            <v>39326</v>
          </cell>
          <cell r="G375">
            <v>39691</v>
          </cell>
          <cell r="H375" t="str">
            <v>QA</v>
          </cell>
          <cell r="I375" t="str">
            <v>PPAP</v>
          </cell>
          <cell r="J375" t="str">
            <v>ALL</v>
          </cell>
          <cell r="K375" t="str">
            <v>-</v>
          </cell>
          <cell r="L375" t="str">
            <v>PPAP</v>
          </cell>
          <cell r="M375" t="str">
            <v>HDR</v>
          </cell>
          <cell r="N375" t="str">
            <v>PPAP</v>
          </cell>
          <cell r="O375" t="str">
            <v>A</v>
          </cell>
          <cell r="P375" t="str">
            <v>FPS</v>
          </cell>
          <cell r="Q375" t="str">
            <v>CONTRACT</v>
          </cell>
          <cell r="R375" t="str">
            <v>C2</v>
          </cell>
          <cell r="S375" t="str">
            <v>OPT</v>
          </cell>
          <cell r="T375" t="str">
            <v>P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1</v>
          </cell>
          <cell r="AA375">
            <v>0</v>
          </cell>
          <cell r="AB375">
            <v>0</v>
          </cell>
          <cell r="AC375">
            <v>0</v>
          </cell>
          <cell r="AD375">
            <v>1</v>
          </cell>
          <cell r="AE375">
            <v>0</v>
          </cell>
          <cell r="AF375">
            <v>0</v>
          </cell>
          <cell r="AG375">
            <v>0</v>
          </cell>
        </row>
        <row r="376">
          <cell r="A376">
            <v>1</v>
          </cell>
          <cell r="B376">
            <v>250</v>
          </cell>
          <cell r="C376" t="str">
            <v>UNUN PURBARANI</v>
          </cell>
          <cell r="D376" t="str">
            <v>OPT-7</v>
          </cell>
          <cell r="E376">
            <v>37704</v>
          </cell>
          <cell r="F376" t="str">
            <v>-</v>
          </cell>
          <cell r="G376" t="str">
            <v>-</v>
          </cell>
          <cell r="H376" t="str">
            <v>QA</v>
          </cell>
          <cell r="I376" t="str">
            <v>PPAP</v>
          </cell>
          <cell r="J376" t="str">
            <v>ALL</v>
          </cell>
          <cell r="K376" t="str">
            <v>-</v>
          </cell>
          <cell r="L376" t="str">
            <v>PPAP</v>
          </cell>
          <cell r="M376" t="str">
            <v>HDR</v>
          </cell>
          <cell r="N376" t="str">
            <v>PPAP</v>
          </cell>
          <cell r="O376" t="str">
            <v>B</v>
          </cell>
          <cell r="P376" t="str">
            <v>FPS</v>
          </cell>
          <cell r="Q376" t="str">
            <v>PERMANENT</v>
          </cell>
          <cell r="R376" t="str">
            <v>PRM</v>
          </cell>
          <cell r="S376" t="str">
            <v>OPT</v>
          </cell>
          <cell r="T376" t="str">
            <v>P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1</v>
          </cell>
          <cell r="AA376">
            <v>0</v>
          </cell>
          <cell r="AB376">
            <v>0</v>
          </cell>
          <cell r="AC376">
            <v>0</v>
          </cell>
          <cell r="AD376">
            <v>1</v>
          </cell>
          <cell r="AE376">
            <v>0</v>
          </cell>
          <cell r="AF376">
            <v>0</v>
          </cell>
          <cell r="AG376">
            <v>0</v>
          </cell>
        </row>
        <row r="377">
          <cell r="A377">
            <v>1</v>
          </cell>
          <cell r="B377">
            <v>4130</v>
          </cell>
          <cell r="C377" t="str">
            <v>TRI SUMARSIH</v>
          </cell>
          <cell r="D377" t="str">
            <v>OPT-105</v>
          </cell>
          <cell r="E377">
            <v>38729</v>
          </cell>
          <cell r="F377">
            <v>39203</v>
          </cell>
          <cell r="G377">
            <v>39568</v>
          </cell>
          <cell r="H377" t="str">
            <v>QA</v>
          </cell>
          <cell r="I377" t="str">
            <v>PPAP</v>
          </cell>
          <cell r="J377" t="str">
            <v>ALL</v>
          </cell>
          <cell r="K377" t="str">
            <v>-</v>
          </cell>
          <cell r="L377" t="str">
            <v>PPAP</v>
          </cell>
          <cell r="M377" t="str">
            <v>HDR</v>
          </cell>
          <cell r="N377" t="str">
            <v>PPAP</v>
          </cell>
          <cell r="O377" t="str">
            <v>B</v>
          </cell>
          <cell r="P377" t="str">
            <v>FPS</v>
          </cell>
          <cell r="Q377" t="str">
            <v>CONTRACT</v>
          </cell>
          <cell r="R377" t="str">
            <v>C2</v>
          </cell>
          <cell r="S377" t="str">
            <v>OPT</v>
          </cell>
          <cell r="T377" t="str">
            <v>P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1</v>
          </cell>
          <cell r="AA377">
            <v>0</v>
          </cell>
          <cell r="AB377">
            <v>0</v>
          </cell>
          <cell r="AC377">
            <v>0</v>
          </cell>
          <cell r="AD377">
            <v>1</v>
          </cell>
          <cell r="AE377">
            <v>0</v>
          </cell>
          <cell r="AF377">
            <v>0</v>
          </cell>
          <cell r="AG377">
            <v>0</v>
          </cell>
        </row>
        <row r="378">
          <cell r="A378">
            <v>1</v>
          </cell>
          <cell r="B378">
            <v>181</v>
          </cell>
          <cell r="C378" t="str">
            <v>RENI OFARA</v>
          </cell>
          <cell r="D378" t="str">
            <v>OPT-5</v>
          </cell>
          <cell r="E378">
            <v>37679</v>
          </cell>
          <cell r="F378" t="str">
            <v>-</v>
          </cell>
          <cell r="G378" t="str">
            <v>-</v>
          </cell>
          <cell r="H378" t="str">
            <v>QA</v>
          </cell>
          <cell r="I378" t="str">
            <v>DELIVERY HOLDEN</v>
          </cell>
          <cell r="J378" t="str">
            <v>HOLDEN</v>
          </cell>
          <cell r="K378" t="str">
            <v>HOLDEN ENG-FC</v>
          </cell>
          <cell r="L378" t="str">
            <v>DELIVERY HOLDEN</v>
          </cell>
          <cell r="M378" t="str">
            <v>GL QA</v>
          </cell>
          <cell r="N378" t="str">
            <v>DELIVERY</v>
          </cell>
          <cell r="O378" t="str">
            <v>A</v>
          </cell>
          <cell r="P378" t="str">
            <v>FPI</v>
          </cell>
          <cell r="Q378" t="str">
            <v>PERMANENT</v>
          </cell>
          <cell r="R378" t="str">
            <v>PRM</v>
          </cell>
          <cell r="S378" t="str">
            <v>GL</v>
          </cell>
          <cell r="T378" t="str">
            <v>P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1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1</v>
          </cell>
          <cell r="AF378">
            <v>0</v>
          </cell>
          <cell r="AG378">
            <v>0</v>
          </cell>
        </row>
        <row r="379">
          <cell r="A379">
            <v>1</v>
          </cell>
          <cell r="B379">
            <v>3705</v>
          </cell>
          <cell r="C379" t="str">
            <v>SRI NURWANTI</v>
          </cell>
          <cell r="D379" t="str">
            <v>OPT-96</v>
          </cell>
          <cell r="E379">
            <v>38516</v>
          </cell>
          <cell r="F379" t="str">
            <v>-</v>
          </cell>
          <cell r="G379" t="str">
            <v>-</v>
          </cell>
          <cell r="H379" t="str">
            <v>QA</v>
          </cell>
          <cell r="I379" t="str">
            <v>DELIVERY HOLDEN</v>
          </cell>
          <cell r="J379" t="str">
            <v>HOLDEN</v>
          </cell>
          <cell r="K379" t="str">
            <v>HOLDEN ENG-FC</v>
          </cell>
          <cell r="L379" t="str">
            <v>DELIVERY HOLDEN</v>
          </cell>
          <cell r="M379" t="str">
            <v>GL QA</v>
          </cell>
          <cell r="N379" t="str">
            <v>DELIVERY</v>
          </cell>
          <cell r="O379" t="str">
            <v>A</v>
          </cell>
          <cell r="P379" t="str">
            <v>FPI</v>
          </cell>
          <cell r="Q379" t="str">
            <v>PERMANENT</v>
          </cell>
          <cell r="R379" t="str">
            <v>PRM</v>
          </cell>
          <cell r="S379" t="str">
            <v>GL</v>
          </cell>
          <cell r="T379" t="str">
            <v>P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1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1</v>
          </cell>
          <cell r="AF379">
            <v>0</v>
          </cell>
          <cell r="AG379">
            <v>0</v>
          </cell>
        </row>
        <row r="380">
          <cell r="A380">
            <v>1</v>
          </cell>
          <cell r="B380">
            <v>4086</v>
          </cell>
          <cell r="C380" t="str">
            <v>ANIK MAWARTI</v>
          </cell>
          <cell r="D380" t="str">
            <v>OPT-105</v>
          </cell>
          <cell r="E380">
            <v>38729</v>
          </cell>
          <cell r="F380">
            <v>39203</v>
          </cell>
          <cell r="G380">
            <v>39568</v>
          </cell>
          <cell r="H380" t="str">
            <v>QA</v>
          </cell>
          <cell r="I380" t="str">
            <v>DELIVERY HOLDEN</v>
          </cell>
          <cell r="J380" t="str">
            <v>HOLDEN</v>
          </cell>
          <cell r="K380" t="str">
            <v>HOLDEN IP-BF</v>
          </cell>
          <cell r="L380" t="str">
            <v>DELIVERY HOLDEN</v>
          </cell>
          <cell r="M380" t="str">
            <v>CV 2 / 1 NEW</v>
          </cell>
          <cell r="N380" t="str">
            <v>DELIVERY</v>
          </cell>
          <cell r="O380" t="str">
            <v>A</v>
          </cell>
          <cell r="P380" t="str">
            <v>FPI</v>
          </cell>
          <cell r="Q380" t="str">
            <v>CONTRACT</v>
          </cell>
          <cell r="R380" t="str">
            <v>C2</v>
          </cell>
          <cell r="S380" t="str">
            <v>OPT</v>
          </cell>
          <cell r="T380" t="str">
            <v>P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1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1</v>
          </cell>
          <cell r="AF380">
            <v>0</v>
          </cell>
          <cell r="AG380">
            <v>0</v>
          </cell>
        </row>
        <row r="381">
          <cell r="A381">
            <v>1</v>
          </cell>
          <cell r="B381">
            <v>5256</v>
          </cell>
          <cell r="C381" t="str">
            <v xml:space="preserve">MUKHAYATI                     </v>
          </cell>
          <cell r="D381" t="str">
            <v>OPT-125</v>
          </cell>
          <cell r="E381">
            <v>38961</v>
          </cell>
          <cell r="F381" t="str">
            <v>-</v>
          </cell>
          <cell r="G381" t="str">
            <v>-</v>
          </cell>
          <cell r="H381" t="str">
            <v>QA</v>
          </cell>
          <cell r="I381" t="str">
            <v>DELIVERY HOLDEN</v>
          </cell>
          <cell r="J381" t="str">
            <v>HOLDEN</v>
          </cell>
          <cell r="K381" t="str">
            <v>HOLDEN IP-BF</v>
          </cell>
          <cell r="L381" t="str">
            <v>DELIVERY HOLDEN</v>
          </cell>
          <cell r="M381" t="str">
            <v>CV 3 / 5 NEW</v>
          </cell>
          <cell r="N381" t="str">
            <v>DELIVERY</v>
          </cell>
          <cell r="O381" t="str">
            <v>A</v>
          </cell>
          <cell r="P381" t="str">
            <v>FPI</v>
          </cell>
          <cell r="Q381" t="str">
            <v>PERMANENT</v>
          </cell>
          <cell r="R381" t="str">
            <v>PRM</v>
          </cell>
          <cell r="S381" t="str">
            <v>OPT</v>
          </cell>
          <cell r="T381" t="str">
            <v>P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1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1</v>
          </cell>
          <cell r="AF381">
            <v>0</v>
          </cell>
          <cell r="AG381">
            <v>0</v>
          </cell>
        </row>
        <row r="382">
          <cell r="A382">
            <v>1</v>
          </cell>
          <cell r="B382">
            <v>5542</v>
          </cell>
          <cell r="C382" t="str">
            <v>DANI ESA</v>
          </cell>
          <cell r="D382" t="str">
            <v>OPT-130</v>
          </cell>
          <cell r="E382">
            <v>39052</v>
          </cell>
          <cell r="F382">
            <v>39052</v>
          </cell>
          <cell r="G382">
            <v>39416</v>
          </cell>
          <cell r="H382" t="str">
            <v>QA</v>
          </cell>
          <cell r="I382" t="str">
            <v>DELIVERY HOLDEN</v>
          </cell>
          <cell r="J382" t="str">
            <v>HOLDEN</v>
          </cell>
          <cell r="K382" t="str">
            <v>HOLDEN ENG-FC</v>
          </cell>
          <cell r="L382" t="str">
            <v>DELIVERY HOLDEN</v>
          </cell>
          <cell r="M382" t="str">
            <v>CV 5 / 15 NEW</v>
          </cell>
          <cell r="N382" t="str">
            <v>DELIVERY</v>
          </cell>
          <cell r="O382" t="str">
            <v>A</v>
          </cell>
          <cell r="P382" t="str">
            <v>FPI</v>
          </cell>
          <cell r="Q382" t="str">
            <v>CONTRACT</v>
          </cell>
          <cell r="R382" t="str">
            <v>C3</v>
          </cell>
          <cell r="S382" t="str">
            <v>OPT</v>
          </cell>
          <cell r="T382" t="str">
            <v>P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1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1</v>
          </cell>
          <cell r="AF382">
            <v>0</v>
          </cell>
          <cell r="AG382">
            <v>0</v>
          </cell>
        </row>
        <row r="383">
          <cell r="A383">
            <v>1</v>
          </cell>
          <cell r="B383">
            <v>5882</v>
          </cell>
          <cell r="C383" t="str">
            <v>ANIK MARYANI</v>
          </cell>
          <cell r="D383" t="str">
            <v>OPT-137</v>
          </cell>
          <cell r="E383">
            <v>39129</v>
          </cell>
          <cell r="F383">
            <v>39129</v>
          </cell>
          <cell r="G383">
            <v>39493</v>
          </cell>
          <cell r="H383" t="str">
            <v>QA</v>
          </cell>
          <cell r="I383" t="str">
            <v>DELIVERY HOLDEN</v>
          </cell>
          <cell r="J383" t="str">
            <v>HOLDEN</v>
          </cell>
          <cell r="K383" t="str">
            <v>HOLDEN ENG-FC</v>
          </cell>
          <cell r="L383" t="str">
            <v>DELIVERY HOLDEN</v>
          </cell>
          <cell r="M383" t="str">
            <v>CV 7 / 13 NEW</v>
          </cell>
          <cell r="N383" t="str">
            <v>DELIVERY</v>
          </cell>
          <cell r="O383" t="str">
            <v>A</v>
          </cell>
          <cell r="P383" t="str">
            <v>FPI</v>
          </cell>
          <cell r="Q383" t="str">
            <v>CONTRACT</v>
          </cell>
          <cell r="R383" t="str">
            <v>C3</v>
          </cell>
          <cell r="S383" t="str">
            <v>OPT</v>
          </cell>
          <cell r="T383" t="str">
            <v>P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1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1</v>
          </cell>
          <cell r="AF383">
            <v>0</v>
          </cell>
          <cell r="AG383">
            <v>0</v>
          </cell>
        </row>
        <row r="384">
          <cell r="A384">
            <v>1</v>
          </cell>
          <cell r="B384">
            <v>6149</v>
          </cell>
          <cell r="C384" t="str">
            <v>NUR CHASANAH</v>
          </cell>
          <cell r="D384" t="str">
            <v>OPT-140</v>
          </cell>
          <cell r="E384">
            <v>39157</v>
          </cell>
          <cell r="F384">
            <v>39157</v>
          </cell>
          <cell r="G384">
            <v>39522</v>
          </cell>
          <cell r="H384" t="str">
            <v>QA</v>
          </cell>
          <cell r="I384" t="str">
            <v>DELIVERY HOLDEN</v>
          </cell>
          <cell r="J384" t="str">
            <v>HOLDEN</v>
          </cell>
          <cell r="K384" t="str">
            <v>HOLDEN ENG-FC</v>
          </cell>
          <cell r="L384" t="str">
            <v>DELIVERY HOLDEN</v>
          </cell>
          <cell r="M384" t="str">
            <v>CV 9 / 17 NEW</v>
          </cell>
          <cell r="N384" t="str">
            <v>DELIVERY</v>
          </cell>
          <cell r="O384" t="str">
            <v>A</v>
          </cell>
          <cell r="P384" t="str">
            <v>FPI</v>
          </cell>
          <cell r="Q384" t="str">
            <v>CONTRACT</v>
          </cell>
          <cell r="R384" t="str">
            <v>C3</v>
          </cell>
          <cell r="S384" t="str">
            <v>OPT</v>
          </cell>
          <cell r="T384" t="str">
            <v>P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1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1</v>
          </cell>
          <cell r="AF384">
            <v>0</v>
          </cell>
          <cell r="AG384">
            <v>0</v>
          </cell>
        </row>
        <row r="385">
          <cell r="A385">
            <v>1</v>
          </cell>
          <cell r="B385">
            <v>6662</v>
          </cell>
          <cell r="C385" t="str">
            <v>SHINTA PRADITA</v>
          </cell>
          <cell r="D385" t="str">
            <v>OPT-153</v>
          </cell>
          <cell r="E385">
            <v>39321</v>
          </cell>
          <cell r="F385">
            <v>39360</v>
          </cell>
          <cell r="G385">
            <v>39447</v>
          </cell>
          <cell r="H385" t="str">
            <v>QA</v>
          </cell>
          <cell r="I385" t="str">
            <v>DELIVERY HOLDEN</v>
          </cell>
          <cell r="J385" t="str">
            <v>HOLDEN</v>
          </cell>
          <cell r="K385" t="str">
            <v>HOLDEN IP-BF</v>
          </cell>
          <cell r="L385" t="str">
            <v>DELIVERY HOLDEN</v>
          </cell>
          <cell r="M385" t="str">
            <v>CV 6 / 7 NEW</v>
          </cell>
          <cell r="N385" t="str">
            <v>DELIVERY</v>
          </cell>
          <cell r="O385" t="str">
            <v>A</v>
          </cell>
          <cell r="P385" t="str">
            <v>FPI</v>
          </cell>
          <cell r="Q385" t="str">
            <v>TRAINEE</v>
          </cell>
          <cell r="R385" t="str">
            <v>T2</v>
          </cell>
          <cell r="S385" t="str">
            <v>OPT</v>
          </cell>
          <cell r="T385" t="str">
            <v>P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1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1</v>
          </cell>
          <cell r="AF385">
            <v>0</v>
          </cell>
          <cell r="AG385">
            <v>0</v>
          </cell>
        </row>
        <row r="386">
          <cell r="A386">
            <v>1</v>
          </cell>
          <cell r="B386">
            <v>209</v>
          </cell>
          <cell r="C386" t="str">
            <v>KHARIS YUNAWATI</v>
          </cell>
          <cell r="D386" t="str">
            <v>OPT-6</v>
          </cell>
          <cell r="E386">
            <v>37697</v>
          </cell>
          <cell r="F386" t="str">
            <v>-</v>
          </cell>
          <cell r="G386" t="str">
            <v>-</v>
          </cell>
          <cell r="H386" t="str">
            <v>QA</v>
          </cell>
          <cell r="I386" t="str">
            <v>DELIVERY HOLDEN</v>
          </cell>
          <cell r="J386" t="str">
            <v>HOLDEN</v>
          </cell>
          <cell r="K386" t="str">
            <v>HOLDEN IP-BF</v>
          </cell>
          <cell r="L386" t="str">
            <v>DELIVERY HOLDEN</v>
          </cell>
          <cell r="M386" t="str">
            <v>GL QA</v>
          </cell>
          <cell r="N386" t="str">
            <v>DELIVERY</v>
          </cell>
          <cell r="O386" t="str">
            <v>B</v>
          </cell>
          <cell r="P386" t="str">
            <v>FPI</v>
          </cell>
          <cell r="Q386" t="str">
            <v>PERMANENT</v>
          </cell>
          <cell r="R386" t="str">
            <v>PRM</v>
          </cell>
          <cell r="S386" t="str">
            <v>GL</v>
          </cell>
          <cell r="T386" t="str">
            <v>P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1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1</v>
          </cell>
          <cell r="AF386">
            <v>0</v>
          </cell>
          <cell r="AG386">
            <v>0</v>
          </cell>
        </row>
        <row r="387">
          <cell r="A387">
            <v>1</v>
          </cell>
          <cell r="B387">
            <v>724</v>
          </cell>
          <cell r="C387" t="str">
            <v>UMI KHOLIFAH</v>
          </cell>
          <cell r="D387" t="str">
            <v>OPT-19</v>
          </cell>
          <cell r="E387">
            <v>37816</v>
          </cell>
          <cell r="F387" t="str">
            <v>-</v>
          </cell>
          <cell r="G387" t="str">
            <v>-</v>
          </cell>
          <cell r="H387" t="str">
            <v>QA</v>
          </cell>
          <cell r="I387" t="str">
            <v>DELIVERY HOLDEN</v>
          </cell>
          <cell r="J387" t="str">
            <v>HOLDEN</v>
          </cell>
          <cell r="K387" t="str">
            <v>HOLDEN ENG-FC</v>
          </cell>
          <cell r="L387" t="str">
            <v>DELIVERY HOLDEN</v>
          </cell>
          <cell r="M387" t="str">
            <v>GL QA</v>
          </cell>
          <cell r="N387" t="str">
            <v>DELIVERY</v>
          </cell>
          <cell r="O387" t="str">
            <v>B</v>
          </cell>
          <cell r="P387" t="str">
            <v>FPI</v>
          </cell>
          <cell r="Q387" t="str">
            <v>PERMANENT</v>
          </cell>
          <cell r="R387" t="str">
            <v>PRM</v>
          </cell>
          <cell r="S387" t="str">
            <v>GL</v>
          </cell>
          <cell r="T387" t="str">
            <v>P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1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1</v>
          </cell>
          <cell r="AF387">
            <v>0</v>
          </cell>
          <cell r="AG387">
            <v>0</v>
          </cell>
        </row>
        <row r="388">
          <cell r="A388">
            <v>1</v>
          </cell>
          <cell r="B388">
            <v>1123</v>
          </cell>
          <cell r="C388" t="str">
            <v>RITA UTAMI</v>
          </cell>
          <cell r="D388" t="str">
            <v>OPT-28</v>
          </cell>
          <cell r="E388">
            <v>37900</v>
          </cell>
          <cell r="F388" t="str">
            <v>-</v>
          </cell>
          <cell r="G388" t="str">
            <v>-</v>
          </cell>
          <cell r="H388" t="str">
            <v>QA</v>
          </cell>
          <cell r="I388" t="str">
            <v>DELIVERY HOLDEN</v>
          </cell>
          <cell r="J388" t="str">
            <v>HOLDEN</v>
          </cell>
          <cell r="K388" t="str">
            <v>HOLDEN ENG-FC</v>
          </cell>
          <cell r="L388" t="str">
            <v>DELIVERY HOLDEN</v>
          </cell>
          <cell r="M388" t="str">
            <v>CV 5 / 15 NEW</v>
          </cell>
          <cell r="N388" t="str">
            <v>DELIVERY</v>
          </cell>
          <cell r="O388" t="str">
            <v>B</v>
          </cell>
          <cell r="P388" t="str">
            <v>FPI</v>
          </cell>
          <cell r="Q388" t="str">
            <v>PERMANENT</v>
          </cell>
          <cell r="R388" t="str">
            <v>PRM</v>
          </cell>
          <cell r="S388" t="str">
            <v>OPT</v>
          </cell>
          <cell r="T388" t="str">
            <v>P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1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1</v>
          </cell>
          <cell r="AF388">
            <v>0</v>
          </cell>
          <cell r="AG388">
            <v>0</v>
          </cell>
        </row>
        <row r="389">
          <cell r="A389">
            <v>1</v>
          </cell>
          <cell r="B389">
            <v>1142</v>
          </cell>
          <cell r="C389" t="str">
            <v>EKA SARI KARTINI</v>
          </cell>
          <cell r="D389" t="str">
            <v>OPT-28</v>
          </cell>
          <cell r="E389">
            <v>37900</v>
          </cell>
          <cell r="F389" t="str">
            <v>-</v>
          </cell>
          <cell r="G389" t="str">
            <v>-</v>
          </cell>
          <cell r="H389" t="str">
            <v>QA</v>
          </cell>
          <cell r="I389" t="str">
            <v>DELIVERY HOLDEN</v>
          </cell>
          <cell r="J389" t="str">
            <v>HOLDEN</v>
          </cell>
          <cell r="K389" t="str">
            <v>HOLDEN IP-BF</v>
          </cell>
          <cell r="L389" t="str">
            <v>DELIVERY HOLDEN</v>
          </cell>
          <cell r="M389" t="str">
            <v>CV 8 / 9 NEW</v>
          </cell>
          <cell r="N389" t="str">
            <v>DELIVERY</v>
          </cell>
          <cell r="O389" t="str">
            <v>B</v>
          </cell>
          <cell r="P389" t="str">
            <v>FPI</v>
          </cell>
          <cell r="Q389" t="str">
            <v>PERMANENT</v>
          </cell>
          <cell r="R389" t="str">
            <v>PRM</v>
          </cell>
          <cell r="S389" t="str">
            <v>OPT</v>
          </cell>
          <cell r="T389" t="str">
            <v>P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1</v>
          </cell>
          <cell r="AF389">
            <v>0</v>
          </cell>
          <cell r="AG389">
            <v>0</v>
          </cell>
        </row>
        <row r="390">
          <cell r="A390">
            <v>1</v>
          </cell>
          <cell r="B390">
            <v>3723</v>
          </cell>
          <cell r="C390" t="str">
            <v>NURUL KHASANAH</v>
          </cell>
          <cell r="D390" t="str">
            <v>OPT-98</v>
          </cell>
          <cell r="E390">
            <v>38626</v>
          </cell>
          <cell r="F390" t="str">
            <v>-</v>
          </cell>
          <cell r="G390" t="str">
            <v>-</v>
          </cell>
          <cell r="H390" t="str">
            <v>QA</v>
          </cell>
          <cell r="I390" t="str">
            <v>DELIVERY HOLDEN</v>
          </cell>
          <cell r="J390" t="str">
            <v>HOLDEN</v>
          </cell>
          <cell r="K390" t="str">
            <v>HOLDEN IP-BF</v>
          </cell>
          <cell r="L390" t="str">
            <v>DELIVERY HOLDEN</v>
          </cell>
          <cell r="M390" t="str">
            <v>CV 4 / 3 NEW</v>
          </cell>
          <cell r="N390" t="str">
            <v>DELIVERY</v>
          </cell>
          <cell r="O390" t="str">
            <v>B</v>
          </cell>
          <cell r="P390" t="str">
            <v>FPI</v>
          </cell>
          <cell r="Q390" t="str">
            <v>PERMANENT</v>
          </cell>
          <cell r="R390" t="str">
            <v>PRM</v>
          </cell>
          <cell r="S390" t="str">
            <v>OPT</v>
          </cell>
          <cell r="T390" t="str">
            <v>P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1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1</v>
          </cell>
          <cell r="AF390">
            <v>0</v>
          </cell>
          <cell r="AG390">
            <v>0</v>
          </cell>
        </row>
        <row r="391">
          <cell r="A391">
            <v>1</v>
          </cell>
          <cell r="B391">
            <v>4613</v>
          </cell>
          <cell r="C391" t="str">
            <v>FARIDATUL ANAH</v>
          </cell>
          <cell r="D391" t="str">
            <v>OPT-114</v>
          </cell>
          <cell r="E391">
            <v>38812</v>
          </cell>
          <cell r="F391">
            <v>39295</v>
          </cell>
          <cell r="G391">
            <v>39660</v>
          </cell>
          <cell r="H391" t="str">
            <v>QA</v>
          </cell>
          <cell r="I391" t="str">
            <v>DELIVERY HOLDEN</v>
          </cell>
          <cell r="J391" t="str">
            <v>HOLDEN</v>
          </cell>
          <cell r="K391" t="str">
            <v>HOLDEN IP-BF</v>
          </cell>
          <cell r="L391" t="str">
            <v>DELIVERY HOLDEN</v>
          </cell>
          <cell r="M391" t="str">
            <v>CV 6 / 7 NEW</v>
          </cell>
          <cell r="N391" t="str">
            <v>DELIVERY</v>
          </cell>
          <cell r="O391" t="str">
            <v>B</v>
          </cell>
          <cell r="P391" t="str">
            <v>FPI</v>
          </cell>
          <cell r="Q391" t="str">
            <v>CONTRACT</v>
          </cell>
          <cell r="R391" t="str">
            <v>C2</v>
          </cell>
          <cell r="S391" t="str">
            <v>OPT</v>
          </cell>
          <cell r="T391" t="str">
            <v>P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1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1</v>
          </cell>
          <cell r="AF391">
            <v>0</v>
          </cell>
          <cell r="AG391">
            <v>0</v>
          </cell>
        </row>
        <row r="392">
          <cell r="A392">
            <v>1</v>
          </cell>
          <cell r="B392">
            <v>5079</v>
          </cell>
          <cell r="C392" t="str">
            <v>KARTINI</v>
          </cell>
          <cell r="D392" t="str">
            <v>OPT-123</v>
          </cell>
          <cell r="E392">
            <v>38951</v>
          </cell>
          <cell r="F392">
            <v>39083</v>
          </cell>
          <cell r="G392">
            <v>39447</v>
          </cell>
          <cell r="H392" t="str">
            <v>QA</v>
          </cell>
          <cell r="I392" t="str">
            <v>DELIVERY HOLDEN</v>
          </cell>
          <cell r="J392" t="str">
            <v>HOLDEN</v>
          </cell>
          <cell r="K392" t="str">
            <v>HOLDEN ENG-FC</v>
          </cell>
          <cell r="L392" t="str">
            <v>DELIVERY HOLDEN</v>
          </cell>
          <cell r="M392" t="str">
            <v>CV 10 / 11 NEW</v>
          </cell>
          <cell r="N392" t="str">
            <v>DELIVERY</v>
          </cell>
          <cell r="O392" t="str">
            <v>B</v>
          </cell>
          <cell r="P392" t="str">
            <v>FPI</v>
          </cell>
          <cell r="Q392" t="str">
            <v>CONTRACT</v>
          </cell>
          <cell r="R392" t="str">
            <v>C1</v>
          </cell>
          <cell r="S392" t="str">
            <v>OPT</v>
          </cell>
          <cell r="T392" t="str">
            <v>P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1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1</v>
          </cell>
          <cell r="AF392">
            <v>0</v>
          </cell>
          <cell r="AG392">
            <v>0</v>
          </cell>
        </row>
        <row r="393">
          <cell r="A393">
            <v>1</v>
          </cell>
          <cell r="B393">
            <v>5494</v>
          </cell>
          <cell r="C393" t="str">
            <v>EKA KARYATI</v>
          </cell>
          <cell r="D393" t="str">
            <v>OPT-129</v>
          </cell>
          <cell r="E393">
            <v>39022</v>
          </cell>
          <cell r="F393" t="str">
            <v>-</v>
          </cell>
          <cell r="G393" t="str">
            <v>-</v>
          </cell>
          <cell r="H393" t="str">
            <v>QA</v>
          </cell>
          <cell r="I393" t="str">
            <v>DELIVERY HOLDEN</v>
          </cell>
          <cell r="J393" t="str">
            <v>HOLDEN</v>
          </cell>
          <cell r="K393" t="str">
            <v>HOLDEN IP-BF</v>
          </cell>
          <cell r="L393" t="str">
            <v>DELIVERY HOLDEN</v>
          </cell>
          <cell r="M393" t="str">
            <v>CV 2 / 1 NEW</v>
          </cell>
          <cell r="N393" t="str">
            <v>DELIVERY</v>
          </cell>
          <cell r="O393" t="str">
            <v>B</v>
          </cell>
          <cell r="P393" t="str">
            <v>FPI</v>
          </cell>
          <cell r="Q393" t="str">
            <v>PERMANENT</v>
          </cell>
          <cell r="R393" t="str">
            <v>PRM</v>
          </cell>
          <cell r="S393" t="str">
            <v>OPT</v>
          </cell>
          <cell r="T393" t="str">
            <v>P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1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1</v>
          </cell>
          <cell r="AF393">
            <v>0</v>
          </cell>
          <cell r="AG393">
            <v>0</v>
          </cell>
        </row>
        <row r="394">
          <cell r="A394">
            <v>1</v>
          </cell>
          <cell r="B394">
            <v>5943</v>
          </cell>
          <cell r="C394" t="str">
            <v>SITI KHAIZAH</v>
          </cell>
          <cell r="D394" t="str">
            <v>OPT-137</v>
          </cell>
          <cell r="E394">
            <v>39129</v>
          </cell>
          <cell r="F394">
            <v>39129</v>
          </cell>
          <cell r="G394">
            <v>39493</v>
          </cell>
          <cell r="H394" t="str">
            <v>QA</v>
          </cell>
          <cell r="I394" t="str">
            <v>DELIVERY HOLDEN</v>
          </cell>
          <cell r="J394" t="str">
            <v>HOLDEN</v>
          </cell>
          <cell r="K394" t="str">
            <v>HOLDEN IP-BF</v>
          </cell>
          <cell r="L394" t="str">
            <v>DELIVERY HOLDEN</v>
          </cell>
          <cell r="M394" t="str">
            <v>CV 3 / 5 NEW</v>
          </cell>
          <cell r="N394" t="str">
            <v>DELIVERY</v>
          </cell>
          <cell r="O394" t="str">
            <v>B</v>
          </cell>
          <cell r="P394" t="str">
            <v>FPI</v>
          </cell>
          <cell r="Q394" t="str">
            <v>CONTRACT</v>
          </cell>
          <cell r="R394" t="str">
            <v>C3</v>
          </cell>
          <cell r="S394" t="str">
            <v>OPT</v>
          </cell>
          <cell r="T394" t="str">
            <v>P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1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1</v>
          </cell>
          <cell r="AF394">
            <v>0</v>
          </cell>
          <cell r="AG394">
            <v>0</v>
          </cell>
        </row>
        <row r="395">
          <cell r="A395">
            <v>1</v>
          </cell>
          <cell r="B395">
            <v>5985</v>
          </cell>
          <cell r="C395" t="str">
            <v>AYUNI AMI ASTUTI</v>
          </cell>
          <cell r="D395" t="str">
            <v>OPT-138</v>
          </cell>
          <cell r="E395">
            <v>39132</v>
          </cell>
          <cell r="F395">
            <v>39264</v>
          </cell>
          <cell r="G395">
            <v>39629</v>
          </cell>
          <cell r="H395" t="str">
            <v>QA</v>
          </cell>
          <cell r="I395" t="str">
            <v>DELIVERY HOLDEN</v>
          </cell>
          <cell r="J395" t="str">
            <v>HOLDEN</v>
          </cell>
          <cell r="K395" t="str">
            <v>HOLDEN ENG-FC</v>
          </cell>
          <cell r="L395" t="str">
            <v>DELIVERY HOLDEN</v>
          </cell>
          <cell r="M395" t="str">
            <v>CV 10 / 11 NEW</v>
          </cell>
          <cell r="N395" t="str">
            <v>DELIVERY</v>
          </cell>
          <cell r="O395" t="str">
            <v>B</v>
          </cell>
          <cell r="P395" t="str">
            <v>FPI</v>
          </cell>
          <cell r="Q395" t="str">
            <v>CONTRACT</v>
          </cell>
          <cell r="R395" t="str">
            <v>C1</v>
          </cell>
          <cell r="S395" t="str">
            <v>OPT</v>
          </cell>
          <cell r="T395" t="str">
            <v>P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1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1</v>
          </cell>
          <cell r="AF395">
            <v>0</v>
          </cell>
          <cell r="AG395">
            <v>0</v>
          </cell>
        </row>
        <row r="396">
          <cell r="A396">
            <v>1</v>
          </cell>
          <cell r="B396">
            <v>5859</v>
          </cell>
          <cell r="C396" t="str">
            <v>JULAENAH</v>
          </cell>
          <cell r="D396" t="str">
            <v>OPT-136</v>
          </cell>
          <cell r="E396">
            <v>39118</v>
          </cell>
          <cell r="F396">
            <v>39234</v>
          </cell>
          <cell r="G396">
            <v>39599</v>
          </cell>
          <cell r="H396" t="str">
            <v>QA</v>
          </cell>
          <cell r="I396" t="str">
            <v>DELIVERY HOLDEN</v>
          </cell>
          <cell r="J396" t="str">
            <v>HOLDEN</v>
          </cell>
          <cell r="K396" t="str">
            <v>HOLDEN ENG-FC</v>
          </cell>
          <cell r="L396" t="str">
            <v>DELIVERY HOLDEN</v>
          </cell>
          <cell r="M396" t="str">
            <v>CV 7 / 13 NEW</v>
          </cell>
          <cell r="N396" t="str">
            <v>DELIVERY</v>
          </cell>
          <cell r="O396" t="str">
            <v>B</v>
          </cell>
          <cell r="P396" t="str">
            <v>FPI</v>
          </cell>
          <cell r="Q396" t="str">
            <v>CONTRACT</v>
          </cell>
          <cell r="R396" t="str">
            <v>C1</v>
          </cell>
          <cell r="S396" t="str">
            <v>OPT</v>
          </cell>
          <cell r="T396" t="str">
            <v>P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1</v>
          </cell>
          <cell r="AF396">
            <v>0</v>
          </cell>
          <cell r="AG396">
            <v>0</v>
          </cell>
        </row>
        <row r="397">
          <cell r="A397">
            <v>1</v>
          </cell>
          <cell r="B397">
            <v>4804</v>
          </cell>
          <cell r="C397" t="str">
            <v>DEVI ISNAWATI</v>
          </cell>
          <cell r="D397" t="str">
            <v>OPT-119</v>
          </cell>
          <cell r="E397">
            <v>38922</v>
          </cell>
          <cell r="F397">
            <v>39052</v>
          </cell>
          <cell r="G397">
            <v>39416</v>
          </cell>
          <cell r="H397" t="str">
            <v>QA</v>
          </cell>
          <cell r="I397" t="str">
            <v>DELIVERY LAMBDA</v>
          </cell>
          <cell r="J397" t="str">
            <v>GMNA</v>
          </cell>
          <cell r="K397" t="str">
            <v>LAMBDA</v>
          </cell>
          <cell r="L397" t="str">
            <v>DELIVERY LAMBDA</v>
          </cell>
          <cell r="M397" t="str">
            <v>CV 15</v>
          </cell>
          <cell r="N397" t="str">
            <v>DELIVERY</v>
          </cell>
          <cell r="O397" t="str">
            <v>A</v>
          </cell>
          <cell r="P397" t="str">
            <v>FPI</v>
          </cell>
          <cell r="Q397" t="str">
            <v>CONTRACT</v>
          </cell>
          <cell r="R397" t="str">
            <v>C1</v>
          </cell>
          <cell r="S397" t="str">
            <v>OPT</v>
          </cell>
          <cell r="T397" t="str">
            <v>P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1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1</v>
          </cell>
          <cell r="AF397">
            <v>0</v>
          </cell>
          <cell r="AG397">
            <v>0</v>
          </cell>
        </row>
        <row r="398">
          <cell r="A398">
            <v>1</v>
          </cell>
          <cell r="B398">
            <v>5438</v>
          </cell>
          <cell r="C398" t="str">
            <v>RINI TRIMAWATI</v>
          </cell>
          <cell r="D398" t="str">
            <v>OPT-128</v>
          </cell>
          <cell r="E398">
            <v>38991</v>
          </cell>
          <cell r="F398" t="str">
            <v>-</v>
          </cell>
          <cell r="G398" t="str">
            <v>-</v>
          </cell>
          <cell r="H398" t="str">
            <v>QA</v>
          </cell>
          <cell r="I398" t="str">
            <v>DELIVERY LAMBDA</v>
          </cell>
          <cell r="J398" t="str">
            <v>GMNA</v>
          </cell>
          <cell r="K398" t="str">
            <v>LAMBDA</v>
          </cell>
          <cell r="L398" t="str">
            <v>DELIVERY LAMBDA</v>
          </cell>
          <cell r="M398" t="str">
            <v>CV 14</v>
          </cell>
          <cell r="N398" t="str">
            <v>DELIVERY</v>
          </cell>
          <cell r="O398" t="str">
            <v>A</v>
          </cell>
          <cell r="P398" t="str">
            <v>FPI</v>
          </cell>
          <cell r="Q398" t="str">
            <v>PERMANENT</v>
          </cell>
          <cell r="R398" t="str">
            <v>PRM</v>
          </cell>
          <cell r="S398" t="str">
            <v>OPT</v>
          </cell>
          <cell r="T398" t="str">
            <v>P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1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1</v>
          </cell>
          <cell r="AF398">
            <v>0</v>
          </cell>
          <cell r="AG398">
            <v>0</v>
          </cell>
        </row>
        <row r="399">
          <cell r="A399">
            <v>1</v>
          </cell>
          <cell r="B399">
            <v>5822</v>
          </cell>
          <cell r="C399" t="str">
            <v>SUKAMTI</v>
          </cell>
          <cell r="D399" t="str">
            <v>OPT-135</v>
          </cell>
          <cell r="E399">
            <v>39114</v>
          </cell>
          <cell r="F399">
            <v>39114</v>
          </cell>
          <cell r="G399">
            <v>39478</v>
          </cell>
          <cell r="H399" t="str">
            <v>QA</v>
          </cell>
          <cell r="I399" t="str">
            <v>DELIVERY LAMBDA</v>
          </cell>
          <cell r="J399" t="str">
            <v>GMNA</v>
          </cell>
          <cell r="K399" t="str">
            <v>LAMBDA</v>
          </cell>
          <cell r="L399" t="str">
            <v>DELIVERY LAMBDA</v>
          </cell>
          <cell r="M399" t="str">
            <v>GL QA</v>
          </cell>
          <cell r="N399" t="str">
            <v>DELIVERY</v>
          </cell>
          <cell r="O399" t="str">
            <v>A</v>
          </cell>
          <cell r="P399" t="str">
            <v>FPI</v>
          </cell>
          <cell r="Q399" t="str">
            <v>CONTRACT</v>
          </cell>
          <cell r="R399" t="str">
            <v>C3</v>
          </cell>
          <cell r="S399" t="str">
            <v>GL</v>
          </cell>
          <cell r="T399" t="str">
            <v>P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1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1</v>
          </cell>
          <cell r="AF399">
            <v>0</v>
          </cell>
          <cell r="AG399">
            <v>0</v>
          </cell>
        </row>
        <row r="400">
          <cell r="A400">
            <v>1</v>
          </cell>
          <cell r="B400">
            <v>6103</v>
          </cell>
          <cell r="C400" t="str">
            <v>TRISNI MARHAENI</v>
          </cell>
          <cell r="D400" t="str">
            <v>OPT-139</v>
          </cell>
          <cell r="E400">
            <v>39142</v>
          </cell>
          <cell r="F400">
            <v>39142</v>
          </cell>
          <cell r="G400">
            <v>39506</v>
          </cell>
          <cell r="H400" t="str">
            <v>QA</v>
          </cell>
          <cell r="I400" t="str">
            <v>DELIVERY LAMBDA</v>
          </cell>
          <cell r="J400" t="str">
            <v>GMNA</v>
          </cell>
          <cell r="K400" t="str">
            <v>LAMBDA</v>
          </cell>
          <cell r="L400" t="str">
            <v>DELIVERY LAMBDA</v>
          </cell>
          <cell r="M400" t="str">
            <v>GL QA</v>
          </cell>
          <cell r="N400" t="str">
            <v>DELIVERY</v>
          </cell>
          <cell r="O400" t="str">
            <v>A</v>
          </cell>
          <cell r="P400" t="str">
            <v>FPI</v>
          </cell>
          <cell r="Q400" t="str">
            <v>CONTRACT</v>
          </cell>
          <cell r="R400" t="str">
            <v>C3</v>
          </cell>
          <cell r="S400" t="str">
            <v>GL</v>
          </cell>
          <cell r="T400" t="str">
            <v>P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1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1</v>
          </cell>
          <cell r="AF400">
            <v>0</v>
          </cell>
          <cell r="AG400">
            <v>0</v>
          </cell>
        </row>
        <row r="401">
          <cell r="A401">
            <v>1</v>
          </cell>
          <cell r="B401">
            <v>4564</v>
          </cell>
          <cell r="C401" t="str">
            <v>SUNARSIH</v>
          </cell>
          <cell r="D401" t="str">
            <v>OPT-112</v>
          </cell>
          <cell r="E401">
            <v>38796</v>
          </cell>
          <cell r="F401">
            <v>39295</v>
          </cell>
          <cell r="G401">
            <v>39660</v>
          </cell>
          <cell r="H401" t="str">
            <v>QA</v>
          </cell>
          <cell r="I401" t="str">
            <v>DELIVERY LAMBDA</v>
          </cell>
          <cell r="J401" t="str">
            <v>GMNA</v>
          </cell>
          <cell r="K401" t="str">
            <v>LAMBDA</v>
          </cell>
          <cell r="L401" t="str">
            <v>DELIVERY LAMBDA</v>
          </cell>
          <cell r="M401" t="str">
            <v>CV 17</v>
          </cell>
          <cell r="N401" t="str">
            <v>DELIVERY</v>
          </cell>
          <cell r="O401" t="str">
            <v>A</v>
          </cell>
          <cell r="P401" t="str">
            <v>FPI</v>
          </cell>
          <cell r="Q401" t="str">
            <v>CONTRACT</v>
          </cell>
          <cell r="R401" t="str">
            <v>C2</v>
          </cell>
          <cell r="S401" t="str">
            <v>OPT</v>
          </cell>
          <cell r="T401" t="str">
            <v>P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1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1</v>
          </cell>
          <cell r="AF401">
            <v>0</v>
          </cell>
          <cell r="AG401">
            <v>0</v>
          </cell>
        </row>
        <row r="402">
          <cell r="A402">
            <v>1</v>
          </cell>
          <cell r="B402">
            <v>5117</v>
          </cell>
          <cell r="C402" t="str">
            <v>DYAH TANTRI PUSPITA</v>
          </cell>
          <cell r="D402" t="str">
            <v>OPT-123</v>
          </cell>
          <cell r="E402">
            <v>38951</v>
          </cell>
          <cell r="F402">
            <v>39083</v>
          </cell>
          <cell r="G402">
            <v>39447</v>
          </cell>
          <cell r="H402" t="str">
            <v>QA</v>
          </cell>
          <cell r="I402" t="str">
            <v>DELIVERY LAMBDA</v>
          </cell>
          <cell r="J402" t="str">
            <v>GMNA</v>
          </cell>
          <cell r="K402" t="str">
            <v>LAMBDA</v>
          </cell>
          <cell r="L402" t="str">
            <v>DELIVERY LAMBDA</v>
          </cell>
          <cell r="M402" t="str">
            <v>CV 15</v>
          </cell>
          <cell r="N402" t="str">
            <v>DELIVERY</v>
          </cell>
          <cell r="O402" t="str">
            <v>B</v>
          </cell>
          <cell r="P402" t="str">
            <v>FPI</v>
          </cell>
          <cell r="Q402" t="str">
            <v>CONTRACT</v>
          </cell>
          <cell r="R402" t="str">
            <v>C1</v>
          </cell>
          <cell r="S402" t="str">
            <v>OPT</v>
          </cell>
          <cell r="T402" t="str">
            <v>P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1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1</v>
          </cell>
          <cell r="AF402">
            <v>0</v>
          </cell>
          <cell r="AG402">
            <v>0</v>
          </cell>
        </row>
        <row r="403">
          <cell r="A403">
            <v>1</v>
          </cell>
          <cell r="B403">
            <v>5510</v>
          </cell>
          <cell r="C403" t="str">
            <v>SRI MULYANI</v>
          </cell>
          <cell r="D403" t="str">
            <v>OPT-129</v>
          </cell>
          <cell r="E403">
            <v>39022</v>
          </cell>
          <cell r="F403" t="str">
            <v>-</v>
          </cell>
          <cell r="G403" t="str">
            <v>-</v>
          </cell>
          <cell r="H403" t="str">
            <v>QA</v>
          </cell>
          <cell r="I403" t="str">
            <v>DELIVERY LAMBDA</v>
          </cell>
          <cell r="J403" t="str">
            <v>GMNA</v>
          </cell>
          <cell r="K403" t="str">
            <v>LAMBDA</v>
          </cell>
          <cell r="L403" t="str">
            <v>DELIVERY LAMBDA</v>
          </cell>
          <cell r="M403" t="str">
            <v>GL QA</v>
          </cell>
          <cell r="N403" t="str">
            <v>DELIVERY</v>
          </cell>
          <cell r="O403" t="str">
            <v>B</v>
          </cell>
          <cell r="P403" t="str">
            <v>FPI</v>
          </cell>
          <cell r="Q403" t="str">
            <v>PERMANENT</v>
          </cell>
          <cell r="R403" t="str">
            <v>PRM</v>
          </cell>
          <cell r="S403" t="str">
            <v>GL</v>
          </cell>
          <cell r="T403" t="str">
            <v>P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1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1</v>
          </cell>
          <cell r="AF403">
            <v>0</v>
          </cell>
          <cell r="AG403">
            <v>0</v>
          </cell>
        </row>
        <row r="404">
          <cell r="A404">
            <v>1</v>
          </cell>
          <cell r="B404">
            <v>5772</v>
          </cell>
          <cell r="C404" t="str">
            <v>HANY RAHAYU</v>
          </cell>
          <cell r="D404" t="str">
            <v>OPT-135</v>
          </cell>
          <cell r="E404">
            <v>39114</v>
          </cell>
          <cell r="F404">
            <v>39114</v>
          </cell>
          <cell r="G404">
            <v>39478</v>
          </cell>
          <cell r="H404" t="str">
            <v>QA</v>
          </cell>
          <cell r="I404" t="str">
            <v>DELIVERY LAMBDA</v>
          </cell>
          <cell r="J404" t="str">
            <v>GMNA</v>
          </cell>
          <cell r="K404" t="str">
            <v>LAMBDA</v>
          </cell>
          <cell r="L404" t="str">
            <v>DELIVERY LAMBDA</v>
          </cell>
          <cell r="M404" t="str">
            <v>GL QA</v>
          </cell>
          <cell r="N404" t="str">
            <v>DELIVERY</v>
          </cell>
          <cell r="O404" t="str">
            <v>A</v>
          </cell>
          <cell r="P404" t="str">
            <v>FPI</v>
          </cell>
          <cell r="Q404" t="str">
            <v>CONTRACT</v>
          </cell>
          <cell r="R404" t="str">
            <v>C3</v>
          </cell>
          <cell r="S404" t="str">
            <v>OPT</v>
          </cell>
          <cell r="T404" t="str">
            <v>P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1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1</v>
          </cell>
          <cell r="AF404">
            <v>0</v>
          </cell>
          <cell r="AG404">
            <v>0</v>
          </cell>
        </row>
        <row r="405">
          <cell r="A405">
            <v>1</v>
          </cell>
          <cell r="B405">
            <v>176</v>
          </cell>
          <cell r="C405" t="str">
            <v>NOR HAYATI</v>
          </cell>
          <cell r="D405" t="str">
            <v>OPT-5</v>
          </cell>
          <cell r="E405">
            <v>37679</v>
          </cell>
          <cell r="F405" t="str">
            <v>-</v>
          </cell>
          <cell r="G405" t="str">
            <v>-</v>
          </cell>
          <cell r="H405" t="str">
            <v>QA</v>
          </cell>
          <cell r="I405" t="str">
            <v>DELIVERY MAZDA</v>
          </cell>
          <cell r="J405" t="str">
            <v>MAZDA</v>
          </cell>
          <cell r="K405" t="str">
            <v>MAZDA AXELA</v>
          </cell>
          <cell r="L405" t="str">
            <v>DELIVERY MAZDA</v>
          </cell>
          <cell r="M405" t="str">
            <v>GL QA</v>
          </cell>
          <cell r="N405" t="str">
            <v>DELIVERY</v>
          </cell>
          <cell r="O405" t="str">
            <v>A</v>
          </cell>
          <cell r="P405" t="str">
            <v>FPI</v>
          </cell>
          <cell r="Q405" t="str">
            <v>PERMANENT</v>
          </cell>
          <cell r="R405" t="str">
            <v>PRM</v>
          </cell>
          <cell r="S405" t="str">
            <v>GL</v>
          </cell>
          <cell r="T405" t="str">
            <v>P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1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1</v>
          </cell>
          <cell r="AF405">
            <v>0</v>
          </cell>
          <cell r="AG405">
            <v>0</v>
          </cell>
        </row>
        <row r="406">
          <cell r="A406">
            <v>1</v>
          </cell>
          <cell r="B406">
            <v>802</v>
          </cell>
          <cell r="C406" t="str">
            <v>MASRIAH</v>
          </cell>
          <cell r="D406" t="str">
            <v>OPT-21</v>
          </cell>
          <cell r="E406">
            <v>37837</v>
          </cell>
          <cell r="F406" t="str">
            <v>-</v>
          </cell>
          <cell r="G406" t="str">
            <v>-</v>
          </cell>
          <cell r="H406" t="str">
            <v>QA</v>
          </cell>
          <cell r="I406" t="str">
            <v>DELIVERY MAZDA</v>
          </cell>
          <cell r="J406" t="str">
            <v>MAZDA</v>
          </cell>
          <cell r="K406" t="str">
            <v>MAZDA PREMACY</v>
          </cell>
          <cell r="L406" t="str">
            <v>DELIVERY MAZDA</v>
          </cell>
          <cell r="M406" t="str">
            <v>CV 18</v>
          </cell>
          <cell r="N406" t="str">
            <v>DELIVERY</v>
          </cell>
          <cell r="O406" t="str">
            <v>A</v>
          </cell>
          <cell r="P406" t="str">
            <v>FPI</v>
          </cell>
          <cell r="Q406" t="str">
            <v>PERMANENT</v>
          </cell>
          <cell r="R406" t="str">
            <v>PRM</v>
          </cell>
          <cell r="S406" t="str">
            <v>OPT</v>
          </cell>
          <cell r="T406" t="str">
            <v>P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1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1</v>
          </cell>
          <cell r="AF406">
            <v>0</v>
          </cell>
          <cell r="AG406">
            <v>0</v>
          </cell>
        </row>
        <row r="407">
          <cell r="A407">
            <v>1</v>
          </cell>
          <cell r="B407">
            <v>1301</v>
          </cell>
          <cell r="C407" t="str">
            <v>CATUR KUMALA DEWI</v>
          </cell>
          <cell r="D407" t="str">
            <v>OPT-32</v>
          </cell>
          <cell r="E407">
            <v>37928</v>
          </cell>
          <cell r="F407" t="str">
            <v>-</v>
          </cell>
          <cell r="G407" t="str">
            <v>-</v>
          </cell>
          <cell r="H407" t="str">
            <v>QA</v>
          </cell>
          <cell r="I407" t="str">
            <v>DELIVERY MAZDA</v>
          </cell>
          <cell r="J407" t="str">
            <v>MAZDA</v>
          </cell>
          <cell r="K407" t="str">
            <v>MAZDA AXELA</v>
          </cell>
          <cell r="L407" t="str">
            <v>DELIVERY MAZDA</v>
          </cell>
          <cell r="M407" t="str">
            <v>GL QA</v>
          </cell>
          <cell r="N407" t="str">
            <v>DELIVERY</v>
          </cell>
          <cell r="O407" t="str">
            <v>A</v>
          </cell>
          <cell r="P407" t="str">
            <v>FPI</v>
          </cell>
          <cell r="Q407" t="str">
            <v>PERMANENT</v>
          </cell>
          <cell r="R407" t="str">
            <v>PRM</v>
          </cell>
          <cell r="S407" t="str">
            <v>GL</v>
          </cell>
          <cell r="T407" t="str">
            <v>P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1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1</v>
          </cell>
          <cell r="AF407">
            <v>0</v>
          </cell>
          <cell r="AG407">
            <v>0</v>
          </cell>
        </row>
        <row r="408">
          <cell r="A408">
            <v>1</v>
          </cell>
          <cell r="B408">
            <v>5460</v>
          </cell>
          <cell r="C408" t="str">
            <v>SURIATI</v>
          </cell>
          <cell r="D408" t="str">
            <v>OPT-128</v>
          </cell>
          <cell r="E408">
            <v>38991</v>
          </cell>
          <cell r="F408" t="str">
            <v>-</v>
          </cell>
          <cell r="G408" t="str">
            <v>-</v>
          </cell>
          <cell r="H408" t="str">
            <v>QA</v>
          </cell>
          <cell r="I408" t="str">
            <v>DELIVERY MAZDA</v>
          </cell>
          <cell r="J408" t="str">
            <v>MAZDA</v>
          </cell>
          <cell r="K408" t="str">
            <v>MAZDA AXELA</v>
          </cell>
          <cell r="L408" t="str">
            <v>DELIVERY MAZDA</v>
          </cell>
          <cell r="M408" t="str">
            <v>CV 20</v>
          </cell>
          <cell r="N408" t="str">
            <v>DELIVERY</v>
          </cell>
          <cell r="O408" t="str">
            <v>A</v>
          </cell>
          <cell r="P408" t="str">
            <v>FPI</v>
          </cell>
          <cell r="Q408" t="str">
            <v>PERMANENT</v>
          </cell>
          <cell r="R408" t="str">
            <v>PRM</v>
          </cell>
          <cell r="S408" t="str">
            <v>OPT</v>
          </cell>
          <cell r="T408" t="str">
            <v>P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1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1</v>
          </cell>
          <cell r="AF408">
            <v>0</v>
          </cell>
          <cell r="AG408">
            <v>0</v>
          </cell>
        </row>
        <row r="409">
          <cell r="A409">
            <v>1</v>
          </cell>
          <cell r="B409">
            <v>5852</v>
          </cell>
          <cell r="C409" t="str">
            <v>FATIMAH UMI ZAROH</v>
          </cell>
          <cell r="D409" t="str">
            <v>OPT-136</v>
          </cell>
          <cell r="E409">
            <v>39118</v>
          </cell>
          <cell r="F409">
            <v>39234</v>
          </cell>
          <cell r="G409">
            <v>39599</v>
          </cell>
          <cell r="H409" t="str">
            <v>QA</v>
          </cell>
          <cell r="I409" t="str">
            <v>DELIVERY MAZDA</v>
          </cell>
          <cell r="J409" t="str">
            <v>MAZDA</v>
          </cell>
          <cell r="K409" t="str">
            <v>MAZDA AXELA</v>
          </cell>
          <cell r="L409" t="str">
            <v>DELIVERY MAZDA</v>
          </cell>
          <cell r="M409" t="str">
            <v>AIR BAG MAZDA</v>
          </cell>
          <cell r="N409" t="str">
            <v>DELIVERY</v>
          </cell>
          <cell r="O409" t="str">
            <v>A</v>
          </cell>
          <cell r="P409" t="str">
            <v>FPI</v>
          </cell>
          <cell r="Q409" t="str">
            <v>CONTRACT</v>
          </cell>
          <cell r="R409" t="str">
            <v>C1</v>
          </cell>
          <cell r="S409" t="str">
            <v>OPT</v>
          </cell>
          <cell r="T409" t="str">
            <v>P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1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1</v>
          </cell>
          <cell r="AF409">
            <v>0</v>
          </cell>
          <cell r="AG409">
            <v>0</v>
          </cell>
        </row>
        <row r="410">
          <cell r="A410">
            <v>1</v>
          </cell>
          <cell r="B410">
            <v>5875</v>
          </cell>
          <cell r="C410" t="str">
            <v>SUBIANI</v>
          </cell>
          <cell r="D410" t="str">
            <v>OPT-136</v>
          </cell>
          <cell r="E410">
            <v>39118</v>
          </cell>
          <cell r="F410">
            <v>39234</v>
          </cell>
          <cell r="G410">
            <v>39599</v>
          </cell>
          <cell r="H410" t="str">
            <v>QA</v>
          </cell>
          <cell r="I410" t="str">
            <v>DELIVERY MAZDA</v>
          </cell>
          <cell r="J410" t="str">
            <v>MAZDA</v>
          </cell>
          <cell r="K410" t="str">
            <v>MAZDA AXELA</v>
          </cell>
          <cell r="L410" t="str">
            <v>DELIVERY MAZDA</v>
          </cell>
          <cell r="M410" t="str">
            <v>CV 19</v>
          </cell>
          <cell r="N410" t="str">
            <v>DELIVERY</v>
          </cell>
          <cell r="O410" t="str">
            <v>A</v>
          </cell>
          <cell r="P410" t="str">
            <v>FPI</v>
          </cell>
          <cell r="Q410" t="str">
            <v>CONTRACT</v>
          </cell>
          <cell r="R410" t="str">
            <v>C1</v>
          </cell>
          <cell r="S410" t="str">
            <v>OPT</v>
          </cell>
          <cell r="T410" t="str">
            <v>P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1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1</v>
          </cell>
          <cell r="AF410">
            <v>0</v>
          </cell>
          <cell r="AG410">
            <v>0</v>
          </cell>
        </row>
        <row r="411">
          <cell r="A411">
            <v>1</v>
          </cell>
          <cell r="B411">
            <v>5881</v>
          </cell>
          <cell r="C411" t="str">
            <v>YULIANTI</v>
          </cell>
          <cell r="D411" t="str">
            <v>OPT-136</v>
          </cell>
          <cell r="E411">
            <v>39118</v>
          </cell>
          <cell r="F411">
            <v>39234</v>
          </cell>
          <cell r="G411">
            <v>39599</v>
          </cell>
          <cell r="H411" t="str">
            <v>QA</v>
          </cell>
          <cell r="I411" t="str">
            <v>DELIVERY MAZDA</v>
          </cell>
          <cell r="J411" t="str">
            <v>MAZDA</v>
          </cell>
          <cell r="K411" t="str">
            <v>MAZDA AXELA</v>
          </cell>
          <cell r="L411" t="str">
            <v>DELIVERY MAZDA</v>
          </cell>
          <cell r="M411" t="str">
            <v>CV 22</v>
          </cell>
          <cell r="N411" t="str">
            <v>DELIVERY</v>
          </cell>
          <cell r="O411" t="str">
            <v>A</v>
          </cell>
          <cell r="P411" t="str">
            <v>FPI</v>
          </cell>
          <cell r="Q411" t="str">
            <v>CONTRACT</v>
          </cell>
          <cell r="R411" t="str">
            <v>C1</v>
          </cell>
          <cell r="S411" t="str">
            <v>OPT</v>
          </cell>
          <cell r="T411" t="str">
            <v>P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1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1</v>
          </cell>
          <cell r="AF411">
            <v>0</v>
          </cell>
          <cell r="AG411">
            <v>0</v>
          </cell>
        </row>
        <row r="412">
          <cell r="A412">
            <v>1</v>
          </cell>
          <cell r="B412">
            <v>5926</v>
          </cell>
          <cell r="C412" t="str">
            <v>NUR FITRIYAH</v>
          </cell>
          <cell r="D412" t="str">
            <v>OPT-137</v>
          </cell>
          <cell r="E412">
            <v>39129</v>
          </cell>
          <cell r="F412">
            <v>39129</v>
          </cell>
          <cell r="G412">
            <v>39493</v>
          </cell>
          <cell r="H412" t="str">
            <v>QA</v>
          </cell>
          <cell r="I412" t="str">
            <v>DELIVERY MAZDA</v>
          </cell>
          <cell r="J412" t="str">
            <v>MAZDA</v>
          </cell>
          <cell r="K412" t="str">
            <v>MAZDA AXELA</v>
          </cell>
          <cell r="L412" t="str">
            <v>DELIVERY MAZDA</v>
          </cell>
          <cell r="M412" t="str">
            <v>CV 21</v>
          </cell>
          <cell r="N412" t="str">
            <v>DELIVERY</v>
          </cell>
          <cell r="O412" t="str">
            <v>A</v>
          </cell>
          <cell r="P412" t="str">
            <v>FPI</v>
          </cell>
          <cell r="Q412" t="str">
            <v>CONTRACT</v>
          </cell>
          <cell r="R412" t="str">
            <v>C3</v>
          </cell>
          <cell r="S412" t="str">
            <v>OPT</v>
          </cell>
          <cell r="T412" t="str">
            <v>P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1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1</v>
          </cell>
          <cell r="AF412">
            <v>0</v>
          </cell>
          <cell r="AG412">
            <v>0</v>
          </cell>
        </row>
        <row r="413">
          <cell r="A413">
            <v>1</v>
          </cell>
          <cell r="B413">
            <v>6040</v>
          </cell>
          <cell r="C413" t="str">
            <v>DESSI DWI ERNAWATI</v>
          </cell>
          <cell r="D413" t="str">
            <v>OPT-139</v>
          </cell>
          <cell r="E413">
            <v>39142</v>
          </cell>
          <cell r="F413">
            <v>39142</v>
          </cell>
          <cell r="G413">
            <v>39506</v>
          </cell>
          <cell r="H413" t="str">
            <v>QA</v>
          </cell>
          <cell r="I413" t="str">
            <v>DELIVERY MAZDA</v>
          </cell>
          <cell r="J413" t="str">
            <v>MAZDA</v>
          </cell>
          <cell r="K413" t="str">
            <v>MAZDA AXELA</v>
          </cell>
          <cell r="L413" t="str">
            <v>DELIVERY MAZDA</v>
          </cell>
          <cell r="M413" t="str">
            <v>AIR BAG MAZDA</v>
          </cell>
          <cell r="N413" t="str">
            <v>DELIVERY</v>
          </cell>
          <cell r="O413" t="str">
            <v>A</v>
          </cell>
          <cell r="P413" t="str">
            <v>FPI</v>
          </cell>
          <cell r="Q413" t="str">
            <v>CONTRACT</v>
          </cell>
          <cell r="R413" t="str">
            <v>C3</v>
          </cell>
          <cell r="S413" t="str">
            <v>OPT</v>
          </cell>
          <cell r="T413" t="str">
            <v>P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1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1</v>
          </cell>
          <cell r="AF413">
            <v>0</v>
          </cell>
          <cell r="AG413">
            <v>0</v>
          </cell>
        </row>
        <row r="414">
          <cell r="A414">
            <v>1</v>
          </cell>
          <cell r="B414">
            <v>6299</v>
          </cell>
          <cell r="C414" t="str">
            <v>MISROHAH</v>
          </cell>
          <cell r="D414" t="str">
            <v>OPT-145</v>
          </cell>
          <cell r="E414">
            <v>39251</v>
          </cell>
          <cell r="F414">
            <v>39282</v>
          </cell>
          <cell r="G414">
            <v>39386</v>
          </cell>
          <cell r="H414" t="str">
            <v>QA</v>
          </cell>
          <cell r="I414" t="str">
            <v>DELIVERY MAZDA</v>
          </cell>
          <cell r="J414" t="str">
            <v>MAZDA</v>
          </cell>
          <cell r="K414" t="str">
            <v>MAZDA AXELA</v>
          </cell>
          <cell r="L414" t="str">
            <v>DELIVERY MAZDA</v>
          </cell>
          <cell r="M414" t="str">
            <v>AIR BAG MAZDA</v>
          </cell>
          <cell r="N414" t="str">
            <v>DELIVERY</v>
          </cell>
          <cell r="O414" t="str">
            <v>A</v>
          </cell>
          <cell r="P414" t="str">
            <v>FPI</v>
          </cell>
          <cell r="Q414" t="str">
            <v>TRAINEE</v>
          </cell>
          <cell r="R414" t="str">
            <v>T2</v>
          </cell>
          <cell r="S414" t="str">
            <v>OPT</v>
          </cell>
          <cell r="T414" t="str">
            <v>P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1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1</v>
          </cell>
          <cell r="AF414">
            <v>0</v>
          </cell>
          <cell r="AG414">
            <v>0</v>
          </cell>
        </row>
        <row r="415">
          <cell r="A415">
            <v>1</v>
          </cell>
          <cell r="B415">
            <v>6436</v>
          </cell>
          <cell r="C415" t="str">
            <v>EVI OKNURANI</v>
          </cell>
          <cell r="D415" t="str">
            <v>OPT-150</v>
          </cell>
          <cell r="E415">
            <v>39295</v>
          </cell>
          <cell r="F415">
            <v>39326</v>
          </cell>
          <cell r="G415">
            <v>39416</v>
          </cell>
          <cell r="H415" t="str">
            <v>QA</v>
          </cell>
          <cell r="I415" t="str">
            <v>DELIVERY MAZDA</v>
          </cell>
          <cell r="J415" t="str">
            <v>MAZDA</v>
          </cell>
          <cell r="K415" t="str">
            <v>MAZDA AXELA</v>
          </cell>
          <cell r="L415" t="str">
            <v>DELIVERY MAZDA</v>
          </cell>
          <cell r="M415" t="str">
            <v>AIR BAG MAZDA</v>
          </cell>
          <cell r="N415" t="str">
            <v>DELIVERY</v>
          </cell>
          <cell r="O415" t="str">
            <v>A</v>
          </cell>
          <cell r="P415" t="str">
            <v>FPI</v>
          </cell>
          <cell r="Q415" t="str">
            <v>TRAINEE</v>
          </cell>
          <cell r="R415" t="str">
            <v>T2</v>
          </cell>
          <cell r="S415" t="str">
            <v>OPT</v>
          </cell>
          <cell r="T415" t="str">
            <v>P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1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1</v>
          </cell>
          <cell r="AF415">
            <v>0</v>
          </cell>
          <cell r="AG415">
            <v>0</v>
          </cell>
        </row>
        <row r="416">
          <cell r="A416">
            <v>1</v>
          </cell>
          <cell r="B416">
            <v>6437</v>
          </cell>
          <cell r="C416" t="str">
            <v>FARIDA KUMALA DEWI</v>
          </cell>
          <cell r="D416" t="str">
            <v>OPT-150</v>
          </cell>
          <cell r="E416">
            <v>39295</v>
          </cell>
          <cell r="F416">
            <v>39326</v>
          </cell>
          <cell r="G416">
            <v>39416</v>
          </cell>
          <cell r="H416" t="str">
            <v>QA</v>
          </cell>
          <cell r="I416" t="str">
            <v>DELIVERY MAZDA</v>
          </cell>
          <cell r="J416" t="str">
            <v>MAZDA</v>
          </cell>
          <cell r="K416" t="str">
            <v>MAZDA AXELA</v>
          </cell>
          <cell r="L416" t="str">
            <v>DELIVERY MAZDA</v>
          </cell>
          <cell r="M416" t="str">
            <v>AIR BAG MAZDA</v>
          </cell>
          <cell r="N416" t="str">
            <v>DELIVERY</v>
          </cell>
          <cell r="O416" t="str">
            <v>B</v>
          </cell>
          <cell r="P416" t="str">
            <v>FPI</v>
          </cell>
          <cell r="Q416" t="str">
            <v>TRAINEE</v>
          </cell>
          <cell r="R416" t="str">
            <v>T2</v>
          </cell>
          <cell r="S416" t="str">
            <v>OPT</v>
          </cell>
          <cell r="T416" t="str">
            <v>P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1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1</v>
          </cell>
          <cell r="AF416">
            <v>0</v>
          </cell>
          <cell r="AG416">
            <v>0</v>
          </cell>
        </row>
        <row r="417">
          <cell r="A417">
            <v>1</v>
          </cell>
          <cell r="B417">
            <v>404</v>
          </cell>
          <cell r="C417" t="str">
            <v>UMI ZULIASTUTIK</v>
          </cell>
          <cell r="D417" t="str">
            <v>OPT-11</v>
          </cell>
          <cell r="E417">
            <v>37739</v>
          </cell>
          <cell r="F417" t="str">
            <v>-</v>
          </cell>
          <cell r="G417" t="str">
            <v>-</v>
          </cell>
          <cell r="H417" t="str">
            <v>QA</v>
          </cell>
          <cell r="I417" t="str">
            <v>DELIVERY MAZDA</v>
          </cell>
          <cell r="J417" t="str">
            <v>MAZDA</v>
          </cell>
          <cell r="K417" t="str">
            <v>MAZDA PREMACY</v>
          </cell>
          <cell r="L417" t="str">
            <v>DELIVERY MAZDA</v>
          </cell>
          <cell r="M417" t="str">
            <v>GL QA</v>
          </cell>
          <cell r="N417" t="str">
            <v>DELIVERY</v>
          </cell>
          <cell r="O417" t="str">
            <v>B</v>
          </cell>
          <cell r="P417" t="str">
            <v>FPI</v>
          </cell>
          <cell r="Q417" t="str">
            <v>PERMANENT</v>
          </cell>
          <cell r="R417" t="str">
            <v>PRM</v>
          </cell>
          <cell r="S417" t="str">
            <v>GL</v>
          </cell>
          <cell r="T417" t="str">
            <v>P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1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1</v>
          </cell>
          <cell r="AF417">
            <v>0</v>
          </cell>
          <cell r="AG417">
            <v>0</v>
          </cell>
        </row>
        <row r="418">
          <cell r="A418">
            <v>1</v>
          </cell>
          <cell r="B418">
            <v>3793</v>
          </cell>
          <cell r="C418" t="str">
            <v>MUNHAMIR</v>
          </cell>
          <cell r="D418" t="str">
            <v>OPT-102</v>
          </cell>
          <cell r="E418">
            <v>38707</v>
          </cell>
          <cell r="F418">
            <v>39083</v>
          </cell>
          <cell r="G418">
            <v>39447</v>
          </cell>
          <cell r="H418" t="str">
            <v>QA</v>
          </cell>
          <cell r="I418" t="str">
            <v>DELIVERY MAZDA</v>
          </cell>
          <cell r="J418" t="str">
            <v>MAZDA</v>
          </cell>
          <cell r="K418" t="str">
            <v>MAZDA AXELA</v>
          </cell>
          <cell r="L418" t="str">
            <v>DELIVERY MAZDA</v>
          </cell>
          <cell r="M418" t="str">
            <v>GL QA</v>
          </cell>
          <cell r="N418" t="str">
            <v>DELIVERY</v>
          </cell>
          <cell r="O418" t="str">
            <v>B</v>
          </cell>
          <cell r="P418" t="str">
            <v>FPI</v>
          </cell>
          <cell r="Q418" t="str">
            <v>CONTRACT</v>
          </cell>
          <cell r="R418" t="str">
            <v>C2</v>
          </cell>
          <cell r="S418" t="str">
            <v>GL</v>
          </cell>
          <cell r="T418" t="str">
            <v>L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1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1</v>
          </cell>
          <cell r="AF418">
            <v>1</v>
          </cell>
          <cell r="AG418">
            <v>0</v>
          </cell>
        </row>
        <row r="419">
          <cell r="A419">
            <v>1</v>
          </cell>
          <cell r="B419">
            <v>3959</v>
          </cell>
          <cell r="C419" t="str">
            <v>SEPTIYANING RAHAYU</v>
          </cell>
          <cell r="D419" t="str">
            <v>OPT-104</v>
          </cell>
          <cell r="E419">
            <v>38722</v>
          </cell>
          <cell r="F419" t="str">
            <v>-</v>
          </cell>
          <cell r="G419" t="str">
            <v>-</v>
          </cell>
          <cell r="H419" t="str">
            <v>QA</v>
          </cell>
          <cell r="I419" t="str">
            <v>DELIVERY MAZDA</v>
          </cell>
          <cell r="J419" t="str">
            <v>MAZDA</v>
          </cell>
          <cell r="K419" t="str">
            <v>MAZDA AXELA</v>
          </cell>
          <cell r="L419" t="str">
            <v>DELIVERY MAZDA</v>
          </cell>
          <cell r="M419" t="str">
            <v>CV 19</v>
          </cell>
          <cell r="N419" t="str">
            <v>DELIVERY</v>
          </cell>
          <cell r="O419" t="str">
            <v>B</v>
          </cell>
          <cell r="P419" t="str">
            <v>FPI</v>
          </cell>
          <cell r="Q419" t="str">
            <v>PERMANENT</v>
          </cell>
          <cell r="R419" t="str">
            <v>PRM</v>
          </cell>
          <cell r="S419" t="str">
            <v>OPT</v>
          </cell>
          <cell r="T419" t="str">
            <v>P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1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1</v>
          </cell>
          <cell r="AF419">
            <v>0</v>
          </cell>
          <cell r="AG419">
            <v>0</v>
          </cell>
        </row>
        <row r="420">
          <cell r="A420">
            <v>1</v>
          </cell>
          <cell r="B420">
            <v>4087</v>
          </cell>
          <cell r="C420" t="str">
            <v>ANIK WAHYUNINGSIH</v>
          </cell>
          <cell r="D420" t="str">
            <v>OPT-105</v>
          </cell>
          <cell r="E420">
            <v>38729</v>
          </cell>
          <cell r="F420">
            <v>39203</v>
          </cell>
          <cell r="G420">
            <v>39568</v>
          </cell>
          <cell r="H420" t="str">
            <v>QA</v>
          </cell>
          <cell r="I420" t="str">
            <v>DELIVERY MAZDA</v>
          </cell>
          <cell r="J420" t="str">
            <v>MAZDA</v>
          </cell>
          <cell r="K420" t="str">
            <v>MAZDA AXELA</v>
          </cell>
          <cell r="L420" t="str">
            <v>DELIVERY MAZDA</v>
          </cell>
          <cell r="M420" t="str">
            <v>CV 20</v>
          </cell>
          <cell r="N420" t="str">
            <v>DELIVERY</v>
          </cell>
          <cell r="O420" t="str">
            <v>B</v>
          </cell>
          <cell r="P420" t="str">
            <v>FPI</v>
          </cell>
          <cell r="Q420" t="str">
            <v>CONTRACT</v>
          </cell>
          <cell r="R420" t="str">
            <v>C2</v>
          </cell>
          <cell r="S420" t="str">
            <v>OPT</v>
          </cell>
          <cell r="T420" t="str">
            <v>P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1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1</v>
          </cell>
          <cell r="AF420">
            <v>0</v>
          </cell>
          <cell r="AG420">
            <v>0</v>
          </cell>
        </row>
        <row r="421">
          <cell r="A421">
            <v>1</v>
          </cell>
          <cell r="B421">
            <v>4397</v>
          </cell>
          <cell r="C421" t="str">
            <v>TRI LONOWATI</v>
          </cell>
          <cell r="D421" t="str">
            <v>OPT-108</v>
          </cell>
          <cell r="E421">
            <v>38754</v>
          </cell>
          <cell r="F421">
            <v>39234</v>
          </cell>
          <cell r="G421">
            <v>39599</v>
          </cell>
          <cell r="H421" t="str">
            <v>QA</v>
          </cell>
          <cell r="I421" t="str">
            <v>DELIVERY MAZDA</v>
          </cell>
          <cell r="J421" t="str">
            <v>MAZDA</v>
          </cell>
          <cell r="K421" t="str">
            <v>MAZDA AXELA</v>
          </cell>
          <cell r="L421" t="str">
            <v>DELIVERY MAZDA</v>
          </cell>
          <cell r="M421" t="str">
            <v>CV 21</v>
          </cell>
          <cell r="N421" t="str">
            <v>DELIVERY</v>
          </cell>
          <cell r="O421" t="str">
            <v>B</v>
          </cell>
          <cell r="P421" t="str">
            <v>FPI</v>
          </cell>
          <cell r="Q421" t="str">
            <v>CONTRACT</v>
          </cell>
          <cell r="R421" t="str">
            <v>C2</v>
          </cell>
          <cell r="S421" t="str">
            <v>OPT</v>
          </cell>
          <cell r="T421" t="str">
            <v>P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1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1</v>
          </cell>
          <cell r="AF421">
            <v>0</v>
          </cell>
          <cell r="AG421">
            <v>0</v>
          </cell>
        </row>
        <row r="422">
          <cell r="A422">
            <v>1</v>
          </cell>
          <cell r="B422">
            <v>5794</v>
          </cell>
          <cell r="C422" t="str">
            <v>NURUL KHOIRIYAH</v>
          </cell>
          <cell r="D422" t="str">
            <v>OPT-135</v>
          </cell>
          <cell r="E422">
            <v>39114</v>
          </cell>
          <cell r="F422">
            <v>39114</v>
          </cell>
          <cell r="G422">
            <v>39478</v>
          </cell>
          <cell r="H422" t="str">
            <v>QA</v>
          </cell>
          <cell r="I422" t="str">
            <v>DELIVERY MAZDA</v>
          </cell>
          <cell r="J422" t="str">
            <v>MAZDA</v>
          </cell>
          <cell r="K422" t="str">
            <v>MAZDA PREMACY</v>
          </cell>
          <cell r="L422" t="str">
            <v>DELIVERY MAZDA</v>
          </cell>
          <cell r="M422" t="str">
            <v>CV 18</v>
          </cell>
          <cell r="N422" t="str">
            <v>DELIVERY</v>
          </cell>
          <cell r="O422" t="str">
            <v>B</v>
          </cell>
          <cell r="P422" t="str">
            <v>FPI</v>
          </cell>
          <cell r="Q422" t="str">
            <v>CONTRACT</v>
          </cell>
          <cell r="R422" t="str">
            <v>C3</v>
          </cell>
          <cell r="S422" t="str">
            <v>OPT</v>
          </cell>
          <cell r="T422" t="str">
            <v>P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1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1</v>
          </cell>
          <cell r="AF422">
            <v>0</v>
          </cell>
          <cell r="AG422">
            <v>0</v>
          </cell>
        </row>
        <row r="423">
          <cell r="A423">
            <v>1</v>
          </cell>
          <cell r="B423">
            <v>5847</v>
          </cell>
          <cell r="C423" t="str">
            <v>AYU MAYTASARI</v>
          </cell>
          <cell r="D423" t="str">
            <v>OPT-136</v>
          </cell>
          <cell r="E423">
            <v>39118</v>
          </cell>
          <cell r="F423">
            <v>39234</v>
          </cell>
          <cell r="G423">
            <v>39599</v>
          </cell>
          <cell r="H423" t="str">
            <v>QA</v>
          </cell>
          <cell r="I423" t="str">
            <v>DELIVERY MAZDA</v>
          </cell>
          <cell r="J423" t="str">
            <v>MAZDA</v>
          </cell>
          <cell r="K423" t="str">
            <v>MAZDA AXELA</v>
          </cell>
          <cell r="L423" t="str">
            <v>DELIVERY MAZDA</v>
          </cell>
          <cell r="M423" t="str">
            <v>AIR BAG MAZDA</v>
          </cell>
          <cell r="N423" t="str">
            <v>DELIVERY</v>
          </cell>
          <cell r="O423" t="str">
            <v>B</v>
          </cell>
          <cell r="P423" t="str">
            <v>FPI</v>
          </cell>
          <cell r="Q423" t="str">
            <v>CONTRACT</v>
          </cell>
          <cell r="R423" t="str">
            <v>C1</v>
          </cell>
          <cell r="S423" t="str">
            <v>OPT</v>
          </cell>
          <cell r="T423" t="str">
            <v>P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1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1</v>
          </cell>
          <cell r="AF423">
            <v>0</v>
          </cell>
          <cell r="AG423">
            <v>0</v>
          </cell>
        </row>
        <row r="424">
          <cell r="A424">
            <v>1</v>
          </cell>
          <cell r="B424">
            <v>5878</v>
          </cell>
          <cell r="C424" t="str">
            <v>TUTIK HARTATI</v>
          </cell>
          <cell r="D424" t="str">
            <v>OPT-136</v>
          </cell>
          <cell r="E424">
            <v>39118</v>
          </cell>
          <cell r="F424">
            <v>39234</v>
          </cell>
          <cell r="G424">
            <v>39599</v>
          </cell>
          <cell r="H424" t="str">
            <v>QA</v>
          </cell>
          <cell r="I424" t="str">
            <v>DELIVERY MAZDA</v>
          </cell>
          <cell r="J424" t="str">
            <v>MAZDA</v>
          </cell>
          <cell r="K424" t="str">
            <v>MAZDA AXELA</v>
          </cell>
          <cell r="L424" t="str">
            <v>DELIVERY MAZDA</v>
          </cell>
          <cell r="M424" t="str">
            <v>AIR BAG MAZDA</v>
          </cell>
          <cell r="N424" t="str">
            <v>DELIVERY</v>
          </cell>
          <cell r="O424" t="str">
            <v>B</v>
          </cell>
          <cell r="P424" t="str">
            <v>FPI</v>
          </cell>
          <cell r="Q424" t="str">
            <v>CONTRACT</v>
          </cell>
          <cell r="R424" t="str">
            <v>C1</v>
          </cell>
          <cell r="S424" t="str">
            <v>OPT</v>
          </cell>
          <cell r="T424" t="str">
            <v>P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1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1</v>
          </cell>
          <cell r="AF424">
            <v>0</v>
          </cell>
          <cell r="AG424">
            <v>0</v>
          </cell>
        </row>
        <row r="425">
          <cell r="A425">
            <v>1</v>
          </cell>
          <cell r="B425">
            <v>6619</v>
          </cell>
          <cell r="C425" t="str">
            <v>BUDI SULISTYANI</v>
          </cell>
          <cell r="D425" t="str">
            <v>OPT-153</v>
          </cell>
          <cell r="E425">
            <v>39321</v>
          </cell>
          <cell r="F425">
            <v>39352</v>
          </cell>
          <cell r="G425">
            <v>39447</v>
          </cell>
          <cell r="H425" t="str">
            <v>QA</v>
          </cell>
          <cell r="I425" t="str">
            <v>DELIVERY MAZDA</v>
          </cell>
          <cell r="J425" t="str">
            <v>MAZDA</v>
          </cell>
          <cell r="K425" t="str">
            <v>MAZDA PREMACY</v>
          </cell>
          <cell r="L425" t="str">
            <v>DELIVERY MAZDA</v>
          </cell>
          <cell r="M425" t="str">
            <v>CV 16</v>
          </cell>
          <cell r="N425" t="str">
            <v>DELIVERY</v>
          </cell>
          <cell r="O425" t="str">
            <v>B</v>
          </cell>
          <cell r="P425" t="str">
            <v>FPI</v>
          </cell>
          <cell r="Q425" t="str">
            <v>TRAINEE</v>
          </cell>
          <cell r="R425" t="str">
            <v>T2</v>
          </cell>
          <cell r="S425" t="str">
            <v>OPT</v>
          </cell>
          <cell r="T425" t="str">
            <v>P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1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1</v>
          </cell>
          <cell r="AF425">
            <v>0</v>
          </cell>
          <cell r="AG425">
            <v>0</v>
          </cell>
        </row>
        <row r="426">
          <cell r="A426">
            <v>1</v>
          </cell>
          <cell r="B426">
            <v>715</v>
          </cell>
          <cell r="C426" t="str">
            <v>KARINA FIRASANTI</v>
          </cell>
          <cell r="D426" t="str">
            <v>OPT-19</v>
          </cell>
          <cell r="E426">
            <v>37816</v>
          </cell>
          <cell r="F426" t="str">
            <v>-</v>
          </cell>
          <cell r="G426" t="str">
            <v>-</v>
          </cell>
          <cell r="H426" t="str">
            <v>QA</v>
          </cell>
          <cell r="I426" t="str">
            <v>PACKING HOLDEN</v>
          </cell>
          <cell r="J426" t="str">
            <v>HOLDEN</v>
          </cell>
          <cell r="K426" t="str">
            <v>HOLDEN ENG-FC</v>
          </cell>
          <cell r="L426" t="str">
            <v>PACKING HOLDEN</v>
          </cell>
          <cell r="M426" t="str">
            <v>CV 9 / 17 NEW</v>
          </cell>
          <cell r="N426" t="str">
            <v>PACKING</v>
          </cell>
          <cell r="O426" t="str">
            <v>A</v>
          </cell>
          <cell r="P426" t="str">
            <v>DL</v>
          </cell>
          <cell r="Q426" t="str">
            <v>PERMANENT</v>
          </cell>
          <cell r="R426" t="str">
            <v>PRM</v>
          </cell>
          <cell r="S426" t="str">
            <v>OPT</v>
          </cell>
          <cell r="T426" t="str">
            <v>P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1</v>
          </cell>
          <cell r="AA426">
            <v>0</v>
          </cell>
          <cell r="AB426">
            <v>1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</row>
        <row r="427">
          <cell r="A427">
            <v>1</v>
          </cell>
          <cell r="B427">
            <v>1130</v>
          </cell>
          <cell r="C427" t="str">
            <v>MAFTUHAH</v>
          </cell>
          <cell r="D427" t="str">
            <v>OPT-28</v>
          </cell>
          <cell r="E427">
            <v>37900</v>
          </cell>
          <cell r="F427" t="str">
            <v>-</v>
          </cell>
          <cell r="G427" t="str">
            <v>-</v>
          </cell>
          <cell r="H427" t="str">
            <v>QA</v>
          </cell>
          <cell r="I427" t="str">
            <v>PACKING HOLDEN</v>
          </cell>
          <cell r="J427" t="str">
            <v>HOLDEN</v>
          </cell>
          <cell r="K427" t="str">
            <v>HOLDEN ENG-FC</v>
          </cell>
          <cell r="L427" t="str">
            <v>PACKING HOLDEN</v>
          </cell>
          <cell r="M427" t="str">
            <v>CV 5 / 15 NEW</v>
          </cell>
          <cell r="N427" t="str">
            <v>PACKING</v>
          </cell>
          <cell r="O427" t="str">
            <v>A</v>
          </cell>
          <cell r="P427" t="str">
            <v>DL</v>
          </cell>
          <cell r="Q427" t="str">
            <v>PERMANENT</v>
          </cell>
          <cell r="R427" t="str">
            <v>PRM</v>
          </cell>
          <cell r="S427" t="str">
            <v>OPT</v>
          </cell>
          <cell r="T427" t="str">
            <v>P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1</v>
          </cell>
          <cell r="AA427">
            <v>0</v>
          </cell>
          <cell r="AB427">
            <v>1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A428">
            <v>1</v>
          </cell>
          <cell r="B428">
            <v>1146</v>
          </cell>
          <cell r="C428" t="str">
            <v>NUR FATMAWATI</v>
          </cell>
          <cell r="D428" t="str">
            <v>OPT-28</v>
          </cell>
          <cell r="E428">
            <v>37900</v>
          </cell>
          <cell r="F428" t="str">
            <v>-</v>
          </cell>
          <cell r="G428" t="str">
            <v>-</v>
          </cell>
          <cell r="H428" t="str">
            <v>QA</v>
          </cell>
          <cell r="I428" t="str">
            <v>PACKING HOLDEN</v>
          </cell>
          <cell r="J428" t="str">
            <v>HOLDEN</v>
          </cell>
          <cell r="K428" t="str">
            <v>HOLDEN ENG-FC</v>
          </cell>
          <cell r="L428" t="str">
            <v>PACKING HOLDEN</v>
          </cell>
          <cell r="M428" t="str">
            <v>CV 7 / 13 NEW</v>
          </cell>
          <cell r="N428" t="str">
            <v>PACKING</v>
          </cell>
          <cell r="O428" t="str">
            <v>A</v>
          </cell>
          <cell r="P428" t="str">
            <v>DL</v>
          </cell>
          <cell r="Q428" t="str">
            <v>PERMANENT</v>
          </cell>
          <cell r="R428" t="str">
            <v>PRM</v>
          </cell>
          <cell r="S428" t="str">
            <v>OPT</v>
          </cell>
          <cell r="T428" t="str">
            <v>P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1</v>
          </cell>
          <cell r="AA428">
            <v>0</v>
          </cell>
          <cell r="AB428">
            <v>1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A429">
            <v>1</v>
          </cell>
          <cell r="B429">
            <v>4852</v>
          </cell>
          <cell r="C429" t="str">
            <v xml:space="preserve">SUTRISNO                         </v>
          </cell>
          <cell r="D429" t="str">
            <v>OPT-120</v>
          </cell>
          <cell r="E429">
            <v>38930</v>
          </cell>
          <cell r="F429" t="str">
            <v>-</v>
          </cell>
          <cell r="G429" t="str">
            <v>-</v>
          </cell>
          <cell r="H429" t="str">
            <v>QA</v>
          </cell>
          <cell r="I429" t="str">
            <v>PACKING HOLDEN</v>
          </cell>
          <cell r="J429" t="str">
            <v>HOLDEN</v>
          </cell>
          <cell r="K429" t="str">
            <v>HOLDEN IP-BF</v>
          </cell>
          <cell r="L429" t="str">
            <v>PACKING HOLDEN</v>
          </cell>
          <cell r="M429" t="str">
            <v>CV 3 / 5 NEW</v>
          </cell>
          <cell r="N429" t="str">
            <v>PACKING</v>
          </cell>
          <cell r="O429" t="str">
            <v>A</v>
          </cell>
          <cell r="P429" t="str">
            <v>DL</v>
          </cell>
          <cell r="Q429" t="str">
            <v>PERMANENT</v>
          </cell>
          <cell r="R429" t="str">
            <v>PRM</v>
          </cell>
          <cell r="S429" t="str">
            <v>OPT</v>
          </cell>
          <cell r="T429" t="str">
            <v>L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1</v>
          </cell>
          <cell r="AA429">
            <v>0</v>
          </cell>
          <cell r="AB429">
            <v>1</v>
          </cell>
          <cell r="AC429">
            <v>0</v>
          </cell>
          <cell r="AD429">
            <v>0</v>
          </cell>
          <cell r="AE429">
            <v>0</v>
          </cell>
          <cell r="AF429">
            <v>1</v>
          </cell>
          <cell r="AG429">
            <v>0</v>
          </cell>
        </row>
        <row r="430">
          <cell r="A430">
            <v>1</v>
          </cell>
          <cell r="B430">
            <v>5430</v>
          </cell>
          <cell r="C430" t="str">
            <v>MAS ENDI</v>
          </cell>
          <cell r="D430" t="str">
            <v>OPT-128</v>
          </cell>
          <cell r="E430">
            <v>38991</v>
          </cell>
          <cell r="F430" t="str">
            <v>-</v>
          </cell>
          <cell r="G430" t="str">
            <v>-</v>
          </cell>
          <cell r="H430" t="str">
            <v>QA</v>
          </cell>
          <cell r="I430" t="str">
            <v>PACKING HOLDEN</v>
          </cell>
          <cell r="J430" t="str">
            <v>HOLDEN</v>
          </cell>
          <cell r="K430" t="str">
            <v>HOLDEN IP-BF</v>
          </cell>
          <cell r="L430" t="str">
            <v>PACKING HOLDEN</v>
          </cell>
          <cell r="M430" t="str">
            <v>CV 6 / 7 NEW</v>
          </cell>
          <cell r="N430" t="str">
            <v>PACKING</v>
          </cell>
          <cell r="O430" t="str">
            <v>A</v>
          </cell>
          <cell r="P430" t="str">
            <v>DL</v>
          </cell>
          <cell r="Q430" t="str">
            <v>PERMANENT</v>
          </cell>
          <cell r="R430" t="str">
            <v>PRM</v>
          </cell>
          <cell r="S430" t="str">
            <v>OPT</v>
          </cell>
          <cell r="T430" t="str">
            <v>L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1</v>
          </cell>
          <cell r="AA430">
            <v>0</v>
          </cell>
          <cell r="AB430">
            <v>1</v>
          </cell>
          <cell r="AC430">
            <v>0</v>
          </cell>
          <cell r="AD430">
            <v>0</v>
          </cell>
          <cell r="AE430">
            <v>0</v>
          </cell>
          <cell r="AF430">
            <v>1</v>
          </cell>
          <cell r="AG430">
            <v>0</v>
          </cell>
        </row>
        <row r="431">
          <cell r="A431">
            <v>1</v>
          </cell>
          <cell r="B431">
            <v>5824</v>
          </cell>
          <cell r="C431" t="str">
            <v>SUNARTO</v>
          </cell>
          <cell r="D431" t="str">
            <v>OPT-135</v>
          </cell>
          <cell r="E431">
            <v>39114</v>
          </cell>
          <cell r="F431">
            <v>39114</v>
          </cell>
          <cell r="G431">
            <v>39478</v>
          </cell>
          <cell r="H431" t="str">
            <v>QA</v>
          </cell>
          <cell r="I431" t="str">
            <v>PACKING HOLDEN</v>
          </cell>
          <cell r="J431" t="str">
            <v>HOLDEN</v>
          </cell>
          <cell r="K431" t="str">
            <v>HOLDEN IP-BF</v>
          </cell>
          <cell r="L431" t="str">
            <v>PACKING HOLDEN</v>
          </cell>
          <cell r="M431" t="str">
            <v>CV 2 / 1 NEW</v>
          </cell>
          <cell r="N431" t="str">
            <v>PACKING</v>
          </cell>
          <cell r="O431" t="str">
            <v>A</v>
          </cell>
          <cell r="P431" t="str">
            <v>DL</v>
          </cell>
          <cell r="Q431" t="str">
            <v>CONTRACT</v>
          </cell>
          <cell r="R431" t="str">
            <v>C3</v>
          </cell>
          <cell r="S431" t="str">
            <v>OPT</v>
          </cell>
          <cell r="T431" t="str">
            <v>L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</v>
          </cell>
          <cell r="AA431">
            <v>0</v>
          </cell>
          <cell r="AB431">
            <v>1</v>
          </cell>
          <cell r="AC431">
            <v>0</v>
          </cell>
          <cell r="AD431">
            <v>0</v>
          </cell>
          <cell r="AE431">
            <v>0</v>
          </cell>
          <cell r="AF431">
            <v>1</v>
          </cell>
          <cell r="AG431">
            <v>0</v>
          </cell>
        </row>
        <row r="432">
          <cell r="A432">
            <v>1</v>
          </cell>
          <cell r="B432">
            <v>5828</v>
          </cell>
          <cell r="C432" t="str">
            <v>SUWARNO</v>
          </cell>
          <cell r="D432" t="str">
            <v>OPT-135</v>
          </cell>
          <cell r="E432">
            <v>39114</v>
          </cell>
          <cell r="F432">
            <v>39114</v>
          </cell>
          <cell r="G432">
            <v>39478</v>
          </cell>
          <cell r="H432" t="str">
            <v>QA</v>
          </cell>
          <cell r="I432" t="str">
            <v>PACKING HOLDEN</v>
          </cell>
          <cell r="J432" t="str">
            <v>HOLDEN</v>
          </cell>
          <cell r="K432" t="str">
            <v>HOLDEN IP-BF</v>
          </cell>
          <cell r="L432" t="str">
            <v>PACKING HOLDEN</v>
          </cell>
          <cell r="M432" t="str">
            <v>CV 4 / 3 NEW</v>
          </cell>
          <cell r="N432" t="str">
            <v>PACKING</v>
          </cell>
          <cell r="O432" t="str">
            <v>A</v>
          </cell>
          <cell r="P432" t="str">
            <v>DL</v>
          </cell>
          <cell r="Q432" t="str">
            <v>CONTRACT</v>
          </cell>
          <cell r="R432" t="str">
            <v>C3</v>
          </cell>
          <cell r="S432" t="str">
            <v>OPT</v>
          </cell>
          <cell r="T432" t="str">
            <v>L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1</v>
          </cell>
          <cell r="AA432">
            <v>0</v>
          </cell>
          <cell r="AB432">
            <v>1</v>
          </cell>
          <cell r="AC432">
            <v>0</v>
          </cell>
          <cell r="AD432">
            <v>0</v>
          </cell>
          <cell r="AE432">
            <v>0</v>
          </cell>
          <cell r="AF432">
            <v>1</v>
          </cell>
          <cell r="AG432">
            <v>0</v>
          </cell>
        </row>
        <row r="433">
          <cell r="A433">
            <v>1</v>
          </cell>
          <cell r="B433">
            <v>1127</v>
          </cell>
          <cell r="C433" t="str">
            <v>SUMIYATI</v>
          </cell>
          <cell r="D433" t="str">
            <v>OPT-28</v>
          </cell>
          <cell r="E433">
            <v>37900</v>
          </cell>
          <cell r="F433" t="str">
            <v>-</v>
          </cell>
          <cell r="G433" t="str">
            <v>-</v>
          </cell>
          <cell r="H433" t="str">
            <v>QA</v>
          </cell>
          <cell r="I433" t="str">
            <v>PACKING HOLDEN</v>
          </cell>
          <cell r="J433" t="str">
            <v>HOLDEN</v>
          </cell>
          <cell r="K433" t="str">
            <v>HOLDEN ENG-FC</v>
          </cell>
          <cell r="L433" t="str">
            <v>PACKING HOLDEN</v>
          </cell>
          <cell r="M433" t="str">
            <v>CV 5 / 15 NEW</v>
          </cell>
          <cell r="N433" t="str">
            <v>PACKING</v>
          </cell>
          <cell r="O433" t="str">
            <v>B</v>
          </cell>
          <cell r="P433" t="str">
            <v>DL</v>
          </cell>
          <cell r="Q433" t="str">
            <v>PERMANENT</v>
          </cell>
          <cell r="R433" t="str">
            <v>PRM</v>
          </cell>
          <cell r="S433" t="str">
            <v>OPT</v>
          </cell>
          <cell r="T433" t="str">
            <v>P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1</v>
          </cell>
          <cell r="AA433">
            <v>0</v>
          </cell>
          <cell r="AB433">
            <v>1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A434">
            <v>1</v>
          </cell>
          <cell r="B434">
            <v>1271</v>
          </cell>
          <cell r="C434" t="str">
            <v>YUNITA</v>
          </cell>
          <cell r="D434" t="str">
            <v>OPT-31</v>
          </cell>
          <cell r="E434">
            <v>37921</v>
          </cell>
          <cell r="F434" t="str">
            <v>-</v>
          </cell>
          <cell r="G434" t="str">
            <v>-</v>
          </cell>
          <cell r="H434" t="str">
            <v>QA</v>
          </cell>
          <cell r="I434" t="str">
            <v>PACKING HOLDEN</v>
          </cell>
          <cell r="J434" t="str">
            <v>HOLDEN</v>
          </cell>
          <cell r="K434" t="str">
            <v>HOLDEN IP-BF</v>
          </cell>
          <cell r="L434" t="str">
            <v>PACKING HOLDEN</v>
          </cell>
          <cell r="M434" t="str">
            <v>CV 6 / 7 NEW</v>
          </cell>
          <cell r="N434" t="str">
            <v>PACKING</v>
          </cell>
          <cell r="O434" t="str">
            <v>B</v>
          </cell>
          <cell r="P434" t="str">
            <v>DL</v>
          </cell>
          <cell r="Q434" t="str">
            <v>PERMANENT</v>
          </cell>
          <cell r="R434" t="str">
            <v>PRM</v>
          </cell>
          <cell r="S434" t="str">
            <v>OPT</v>
          </cell>
          <cell r="T434" t="str">
            <v>P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1</v>
          </cell>
          <cell r="AA434">
            <v>0</v>
          </cell>
          <cell r="AB434">
            <v>1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A435">
            <v>1</v>
          </cell>
          <cell r="B435">
            <v>4497</v>
          </cell>
          <cell r="C435" t="str">
            <v>NOVI PURIANTI</v>
          </cell>
          <cell r="D435" t="str">
            <v>OPT-111</v>
          </cell>
          <cell r="E435">
            <v>38789</v>
          </cell>
          <cell r="F435">
            <v>39264</v>
          </cell>
          <cell r="G435">
            <v>39629</v>
          </cell>
          <cell r="H435" t="str">
            <v>QA</v>
          </cell>
          <cell r="I435" t="str">
            <v>PACKING HOLDEN</v>
          </cell>
          <cell r="J435" t="str">
            <v>HOLDEN</v>
          </cell>
          <cell r="K435" t="str">
            <v>HOLDEN ENG-FC</v>
          </cell>
          <cell r="L435" t="str">
            <v>PACKING HOLDEN</v>
          </cell>
          <cell r="M435" t="str">
            <v>CV 10 / 11 NEW</v>
          </cell>
          <cell r="N435" t="str">
            <v>PACKING</v>
          </cell>
          <cell r="O435" t="str">
            <v>B</v>
          </cell>
          <cell r="P435" t="str">
            <v>DL</v>
          </cell>
          <cell r="Q435" t="str">
            <v>CONTRACT</v>
          </cell>
          <cell r="R435" t="str">
            <v>C2</v>
          </cell>
          <cell r="S435" t="str">
            <v>OPT</v>
          </cell>
          <cell r="T435" t="str">
            <v>P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1</v>
          </cell>
          <cell r="AA435">
            <v>0</v>
          </cell>
          <cell r="AB435">
            <v>1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</row>
        <row r="436">
          <cell r="A436">
            <v>1</v>
          </cell>
          <cell r="B436">
            <v>4533</v>
          </cell>
          <cell r="C436" t="str">
            <v>BAGUS EKO SUSILO A</v>
          </cell>
          <cell r="D436" t="str">
            <v>OPT-111</v>
          </cell>
          <cell r="E436">
            <v>38789</v>
          </cell>
          <cell r="F436">
            <v>39142</v>
          </cell>
          <cell r="G436">
            <v>39506</v>
          </cell>
          <cell r="H436" t="str">
            <v>QA</v>
          </cell>
          <cell r="I436" t="str">
            <v>PACKING HOLDEN</v>
          </cell>
          <cell r="J436" t="str">
            <v>HOLDEN</v>
          </cell>
          <cell r="K436" t="str">
            <v>HOLDEN IP-BF</v>
          </cell>
          <cell r="L436" t="str">
            <v>PACKING HOLDEN</v>
          </cell>
          <cell r="M436" t="str">
            <v>CV 8 / 9 NEW</v>
          </cell>
          <cell r="N436" t="str">
            <v>PACKING</v>
          </cell>
          <cell r="O436" t="str">
            <v>B</v>
          </cell>
          <cell r="P436" t="str">
            <v>DL</v>
          </cell>
          <cell r="Q436" t="str">
            <v>CONTRACT</v>
          </cell>
          <cell r="R436" t="str">
            <v>C2</v>
          </cell>
          <cell r="S436" t="str">
            <v>OPT</v>
          </cell>
          <cell r="T436" t="str">
            <v>L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1</v>
          </cell>
          <cell r="AA436">
            <v>0</v>
          </cell>
          <cell r="AB436">
            <v>1</v>
          </cell>
          <cell r="AC436">
            <v>0</v>
          </cell>
          <cell r="AD436">
            <v>0</v>
          </cell>
          <cell r="AE436">
            <v>0</v>
          </cell>
          <cell r="AF436">
            <v>1</v>
          </cell>
          <cell r="AG436">
            <v>0</v>
          </cell>
        </row>
        <row r="437">
          <cell r="A437">
            <v>1</v>
          </cell>
          <cell r="B437">
            <v>5395</v>
          </cell>
          <cell r="C437" t="str">
            <v>AGUS WIDODO</v>
          </cell>
          <cell r="D437" t="str">
            <v>OPT-128</v>
          </cell>
          <cell r="E437">
            <v>38991</v>
          </cell>
          <cell r="F437" t="str">
            <v>-</v>
          </cell>
          <cell r="G437" t="str">
            <v>-</v>
          </cell>
          <cell r="H437" t="str">
            <v>QA</v>
          </cell>
          <cell r="I437" t="str">
            <v>PACKING HOLDEN</v>
          </cell>
          <cell r="J437" t="str">
            <v>HOLDEN</v>
          </cell>
          <cell r="K437" t="str">
            <v>HOLDEN IP-BF</v>
          </cell>
          <cell r="L437" t="str">
            <v>PACKING HOLDEN</v>
          </cell>
          <cell r="M437" t="str">
            <v>CV 3 / 5 NEW</v>
          </cell>
          <cell r="N437" t="str">
            <v>PACKING</v>
          </cell>
          <cell r="O437" t="str">
            <v>B</v>
          </cell>
          <cell r="P437" t="str">
            <v>DL</v>
          </cell>
          <cell r="Q437" t="str">
            <v>PERMANENT</v>
          </cell>
          <cell r="R437" t="str">
            <v>PRM</v>
          </cell>
          <cell r="S437" t="str">
            <v>OPT</v>
          </cell>
          <cell r="T437" t="str">
            <v>L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1</v>
          </cell>
          <cell r="AA437">
            <v>0</v>
          </cell>
          <cell r="AB437">
            <v>1</v>
          </cell>
          <cell r="AC437">
            <v>0</v>
          </cell>
          <cell r="AD437">
            <v>0</v>
          </cell>
          <cell r="AE437">
            <v>0</v>
          </cell>
          <cell r="AF437">
            <v>1</v>
          </cell>
          <cell r="AG437">
            <v>0</v>
          </cell>
        </row>
        <row r="438">
          <cell r="A438">
            <v>1</v>
          </cell>
          <cell r="B438">
            <v>5432</v>
          </cell>
          <cell r="C438" t="str">
            <v>MOH.FAHRUL IMAM</v>
          </cell>
          <cell r="D438" t="str">
            <v>OPT-128</v>
          </cell>
          <cell r="E438">
            <v>38991</v>
          </cell>
          <cell r="F438" t="str">
            <v>-</v>
          </cell>
          <cell r="G438" t="str">
            <v>-</v>
          </cell>
          <cell r="H438" t="str">
            <v>QA</v>
          </cell>
          <cell r="I438" t="str">
            <v>PACKING HOLDEN</v>
          </cell>
          <cell r="J438" t="str">
            <v>HOLDEN</v>
          </cell>
          <cell r="K438" t="str">
            <v>HOLDEN IP-BF</v>
          </cell>
          <cell r="L438" t="str">
            <v>PACKING HOLDEN</v>
          </cell>
          <cell r="M438" t="str">
            <v>CV 2 / 1 NEW</v>
          </cell>
          <cell r="N438" t="str">
            <v>PACKING</v>
          </cell>
          <cell r="O438" t="str">
            <v>B</v>
          </cell>
          <cell r="P438" t="str">
            <v>DL</v>
          </cell>
          <cell r="Q438" t="str">
            <v>PERMANENT</v>
          </cell>
          <cell r="R438" t="str">
            <v>PRM</v>
          </cell>
          <cell r="S438" t="str">
            <v>OPT</v>
          </cell>
          <cell r="T438" t="str">
            <v>L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1</v>
          </cell>
          <cell r="AA438">
            <v>0</v>
          </cell>
          <cell r="AB438">
            <v>1</v>
          </cell>
          <cell r="AC438">
            <v>0</v>
          </cell>
          <cell r="AD438">
            <v>0</v>
          </cell>
          <cell r="AE438">
            <v>0</v>
          </cell>
          <cell r="AF438">
            <v>1</v>
          </cell>
          <cell r="AG438">
            <v>0</v>
          </cell>
        </row>
        <row r="439">
          <cell r="A439">
            <v>1</v>
          </cell>
          <cell r="B439">
            <v>6487</v>
          </cell>
          <cell r="C439" t="str">
            <v>USWATUN CHOFIFAH</v>
          </cell>
          <cell r="D439" t="str">
            <v>OPT-150</v>
          </cell>
          <cell r="E439">
            <v>39295</v>
          </cell>
          <cell r="F439">
            <v>39326</v>
          </cell>
          <cell r="G439">
            <v>39416</v>
          </cell>
          <cell r="H439" t="str">
            <v>QA</v>
          </cell>
          <cell r="I439" t="str">
            <v>PACKING HOLDEN</v>
          </cell>
          <cell r="J439" t="str">
            <v>HOLDEN</v>
          </cell>
          <cell r="K439" t="str">
            <v>HOLDEN ENG-FC</v>
          </cell>
          <cell r="L439" t="str">
            <v>PACKING HOLDEN</v>
          </cell>
          <cell r="M439" t="str">
            <v>CV 7 / 13 NEW</v>
          </cell>
          <cell r="N439" t="str">
            <v>PACKING</v>
          </cell>
          <cell r="O439" t="str">
            <v>B</v>
          </cell>
          <cell r="P439" t="str">
            <v>DL</v>
          </cell>
          <cell r="Q439" t="str">
            <v>TRAINEE</v>
          </cell>
          <cell r="R439" t="str">
            <v>T2</v>
          </cell>
          <cell r="S439" t="str">
            <v>OPT</v>
          </cell>
          <cell r="T439" t="str">
            <v>P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1</v>
          </cell>
          <cell r="AA439">
            <v>0</v>
          </cell>
          <cell r="AB439">
            <v>1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</row>
        <row r="440">
          <cell r="A440">
            <v>1</v>
          </cell>
          <cell r="B440">
            <v>901</v>
          </cell>
          <cell r="C440" t="str">
            <v>SRI WAHYUNI</v>
          </cell>
          <cell r="D440" t="str">
            <v>OPT-23</v>
          </cell>
          <cell r="E440">
            <v>37858</v>
          </cell>
          <cell r="F440" t="str">
            <v>-</v>
          </cell>
          <cell r="G440" t="str">
            <v>-</v>
          </cell>
          <cell r="H440" t="str">
            <v>QA</v>
          </cell>
          <cell r="I440" t="str">
            <v>PACKING LAMBDA</v>
          </cell>
          <cell r="J440" t="str">
            <v>GMNA</v>
          </cell>
          <cell r="K440" t="str">
            <v>LAMBDA</v>
          </cell>
          <cell r="L440" t="str">
            <v>PACKING LAMBDA</v>
          </cell>
          <cell r="M440" t="str">
            <v>CV 11B</v>
          </cell>
          <cell r="N440" t="str">
            <v>PACKING</v>
          </cell>
          <cell r="O440" t="str">
            <v>A</v>
          </cell>
          <cell r="P440" t="str">
            <v>DL</v>
          </cell>
          <cell r="Q440" t="str">
            <v>PERMANENT</v>
          </cell>
          <cell r="R440" t="str">
            <v>PRM</v>
          </cell>
          <cell r="S440" t="str">
            <v>OPT</v>
          </cell>
          <cell r="T440" t="str">
            <v>P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1</v>
          </cell>
          <cell r="AA440">
            <v>0</v>
          </cell>
          <cell r="AB440">
            <v>1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A441">
            <v>1</v>
          </cell>
          <cell r="B441">
            <v>4687</v>
          </cell>
          <cell r="C441" t="str">
            <v>ANJAR SETIYANI</v>
          </cell>
          <cell r="D441" t="str">
            <v>OPT-117</v>
          </cell>
          <cell r="E441">
            <v>38915</v>
          </cell>
          <cell r="F441">
            <v>39052</v>
          </cell>
          <cell r="G441">
            <v>39416</v>
          </cell>
          <cell r="H441" t="str">
            <v>QA</v>
          </cell>
          <cell r="I441" t="str">
            <v>PACKING LAMBDA</v>
          </cell>
          <cell r="J441" t="str">
            <v>GMNA</v>
          </cell>
          <cell r="K441" t="str">
            <v>LAMBDA</v>
          </cell>
          <cell r="L441" t="str">
            <v>PACKING LAMBDA</v>
          </cell>
          <cell r="M441" t="str">
            <v>CV 14</v>
          </cell>
          <cell r="N441" t="str">
            <v>PACKING</v>
          </cell>
          <cell r="O441" t="str">
            <v>A</v>
          </cell>
          <cell r="P441" t="str">
            <v>DL</v>
          </cell>
          <cell r="Q441" t="str">
            <v>CONTRACT</v>
          </cell>
          <cell r="R441" t="str">
            <v>C1</v>
          </cell>
          <cell r="S441" t="str">
            <v>OPT</v>
          </cell>
          <cell r="T441" t="str">
            <v>P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1</v>
          </cell>
          <cell r="AA441">
            <v>0</v>
          </cell>
          <cell r="AB441">
            <v>1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A442">
            <v>1</v>
          </cell>
          <cell r="B442">
            <v>4732</v>
          </cell>
          <cell r="C442" t="str">
            <v>WIDIA RINI</v>
          </cell>
          <cell r="D442" t="str">
            <v>OPT-117</v>
          </cell>
          <cell r="E442">
            <v>38915</v>
          </cell>
          <cell r="F442">
            <v>39052</v>
          </cell>
          <cell r="G442">
            <v>39416</v>
          </cell>
          <cell r="H442" t="str">
            <v>QA</v>
          </cell>
          <cell r="I442" t="str">
            <v>PACKING LAMBDA</v>
          </cell>
          <cell r="J442" t="str">
            <v>GMNA</v>
          </cell>
          <cell r="K442" t="str">
            <v>LAMBDA</v>
          </cell>
          <cell r="L442" t="str">
            <v>PACKING LAMBDA</v>
          </cell>
          <cell r="M442" t="str">
            <v>CV 13A</v>
          </cell>
          <cell r="N442" t="str">
            <v>PACKING</v>
          </cell>
          <cell r="O442" t="str">
            <v>A</v>
          </cell>
          <cell r="P442" t="str">
            <v>DL</v>
          </cell>
          <cell r="Q442" t="str">
            <v>CONTRACT</v>
          </cell>
          <cell r="R442" t="str">
            <v>C1</v>
          </cell>
          <cell r="S442" t="str">
            <v>OPT</v>
          </cell>
          <cell r="T442" t="str">
            <v>P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1</v>
          </cell>
          <cell r="AA442">
            <v>0</v>
          </cell>
          <cell r="AB442">
            <v>1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</row>
        <row r="443">
          <cell r="A443">
            <v>1</v>
          </cell>
          <cell r="B443">
            <v>5262</v>
          </cell>
          <cell r="C443" t="str">
            <v xml:space="preserve">DYAS OKTAVIANI                </v>
          </cell>
          <cell r="D443" t="str">
            <v>OPT-125</v>
          </cell>
          <cell r="E443">
            <v>38961</v>
          </cell>
          <cell r="F443" t="str">
            <v>-</v>
          </cell>
          <cell r="G443" t="str">
            <v>-</v>
          </cell>
          <cell r="H443" t="str">
            <v>QA</v>
          </cell>
          <cell r="I443" t="str">
            <v>PACKING LAMBDA</v>
          </cell>
          <cell r="J443" t="str">
            <v>GMNA</v>
          </cell>
          <cell r="K443" t="str">
            <v>LAMBDA</v>
          </cell>
          <cell r="L443" t="str">
            <v>PACKING LAMBDA</v>
          </cell>
          <cell r="M443" t="str">
            <v>CV 15</v>
          </cell>
          <cell r="N443" t="str">
            <v>PACKING</v>
          </cell>
          <cell r="O443" t="str">
            <v>A</v>
          </cell>
          <cell r="P443" t="str">
            <v>DL</v>
          </cell>
          <cell r="Q443" t="str">
            <v>PERMANENT</v>
          </cell>
          <cell r="R443" t="str">
            <v>PRM</v>
          </cell>
          <cell r="S443" t="str">
            <v>OPT</v>
          </cell>
          <cell r="T443" t="str">
            <v>P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1</v>
          </cell>
          <cell r="AA443">
            <v>0</v>
          </cell>
          <cell r="AB443">
            <v>1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A444">
            <v>1</v>
          </cell>
          <cell r="B444">
            <v>5412</v>
          </cell>
          <cell r="C444" t="str">
            <v>ENIK PURWANTI</v>
          </cell>
          <cell r="D444" t="str">
            <v>OPT-128</v>
          </cell>
          <cell r="E444">
            <v>38991</v>
          </cell>
          <cell r="F444" t="str">
            <v>-</v>
          </cell>
          <cell r="G444" t="str">
            <v>-</v>
          </cell>
          <cell r="H444" t="str">
            <v>QA</v>
          </cell>
          <cell r="I444" t="str">
            <v>PACKING LAMBDA</v>
          </cell>
          <cell r="J444" t="str">
            <v>GMNA</v>
          </cell>
          <cell r="K444" t="str">
            <v>LAMBDA</v>
          </cell>
          <cell r="L444" t="str">
            <v>PACKING LAMBDA</v>
          </cell>
          <cell r="M444" t="str">
            <v>CV 13A</v>
          </cell>
          <cell r="N444" t="str">
            <v>PACKING</v>
          </cell>
          <cell r="O444" t="str">
            <v>A</v>
          </cell>
          <cell r="P444" t="str">
            <v>DL</v>
          </cell>
          <cell r="Q444" t="str">
            <v>PERMANENT</v>
          </cell>
          <cell r="R444" t="str">
            <v>PRM</v>
          </cell>
          <cell r="S444" t="str">
            <v>OPT</v>
          </cell>
          <cell r="T444" t="str">
            <v>P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1</v>
          </cell>
          <cell r="AA444">
            <v>0</v>
          </cell>
          <cell r="AB444">
            <v>1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A445">
            <v>1</v>
          </cell>
          <cell r="B445">
            <v>6593</v>
          </cell>
          <cell r="C445" t="str">
            <v>SOFIATUN</v>
          </cell>
          <cell r="D445" t="str">
            <v>OPT-152</v>
          </cell>
          <cell r="E445">
            <v>39307</v>
          </cell>
          <cell r="F445">
            <v>39338</v>
          </cell>
          <cell r="G445">
            <v>39416</v>
          </cell>
          <cell r="H445" t="str">
            <v>QA</v>
          </cell>
          <cell r="I445" t="str">
            <v>PACKING LAMBDA</v>
          </cell>
          <cell r="J445" t="str">
            <v>GMNA</v>
          </cell>
          <cell r="K445" t="str">
            <v>LAMBDA</v>
          </cell>
          <cell r="L445" t="str">
            <v>PACKING LAMBDA</v>
          </cell>
          <cell r="M445" t="str">
            <v>CV 11B</v>
          </cell>
          <cell r="N445" t="str">
            <v>PACKING</v>
          </cell>
          <cell r="O445" t="str">
            <v>A</v>
          </cell>
          <cell r="P445" t="str">
            <v>DL</v>
          </cell>
          <cell r="Q445" t="str">
            <v>TRAINEE</v>
          </cell>
          <cell r="R445" t="str">
            <v>T2</v>
          </cell>
          <cell r="S445" t="str">
            <v>OPT</v>
          </cell>
          <cell r="T445" t="str">
            <v>P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1</v>
          </cell>
          <cell r="AA445">
            <v>0</v>
          </cell>
          <cell r="AB445">
            <v>1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A446">
            <v>1</v>
          </cell>
          <cell r="B446">
            <v>1122</v>
          </cell>
          <cell r="C446" t="str">
            <v>RINA RUKMI RAHMAWATI</v>
          </cell>
          <cell r="D446" t="str">
            <v>OPT-28</v>
          </cell>
          <cell r="E446">
            <v>37900</v>
          </cell>
          <cell r="F446" t="str">
            <v>-</v>
          </cell>
          <cell r="G446" t="str">
            <v>-</v>
          </cell>
          <cell r="H446" t="str">
            <v>QA</v>
          </cell>
          <cell r="I446" t="str">
            <v>PACKING LAMBDA</v>
          </cell>
          <cell r="J446" t="str">
            <v>GMNA</v>
          </cell>
          <cell r="K446" t="str">
            <v>LAMBDA</v>
          </cell>
          <cell r="L446" t="str">
            <v>PACKING LAMBDA</v>
          </cell>
          <cell r="M446" t="str">
            <v>CV 26B</v>
          </cell>
          <cell r="N446" t="str">
            <v>PACKING</v>
          </cell>
          <cell r="O446" t="str">
            <v>B</v>
          </cell>
          <cell r="P446" t="str">
            <v>DL</v>
          </cell>
          <cell r="Q446" t="str">
            <v>PERMANENT</v>
          </cell>
          <cell r="R446" t="str">
            <v>PRM</v>
          </cell>
          <cell r="S446" t="str">
            <v>OPT</v>
          </cell>
          <cell r="T446" t="str">
            <v>P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1</v>
          </cell>
          <cell r="AA446">
            <v>0</v>
          </cell>
          <cell r="AB446">
            <v>1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A447">
            <v>1</v>
          </cell>
          <cell r="B447">
            <v>4689</v>
          </cell>
          <cell r="C447" t="str">
            <v>ARI PUJI LESTARI</v>
          </cell>
          <cell r="D447" t="str">
            <v>OPT-117</v>
          </cell>
          <cell r="E447">
            <v>38915</v>
          </cell>
          <cell r="F447">
            <v>39052</v>
          </cell>
          <cell r="G447">
            <v>39416</v>
          </cell>
          <cell r="H447" t="str">
            <v>QA</v>
          </cell>
          <cell r="I447" t="str">
            <v>PACKING LAMBDA</v>
          </cell>
          <cell r="J447" t="str">
            <v>GMNA</v>
          </cell>
          <cell r="K447" t="str">
            <v>LAMBDA</v>
          </cell>
          <cell r="L447" t="str">
            <v>PACKING LAMBDA</v>
          </cell>
          <cell r="M447" t="str">
            <v>CV 11B</v>
          </cell>
          <cell r="N447" t="str">
            <v>PACKING</v>
          </cell>
          <cell r="O447" t="str">
            <v>B</v>
          </cell>
          <cell r="P447" t="str">
            <v>DL</v>
          </cell>
          <cell r="Q447" t="str">
            <v>CONTRACT</v>
          </cell>
          <cell r="R447" t="str">
            <v>C1</v>
          </cell>
          <cell r="S447" t="str">
            <v>OPT</v>
          </cell>
          <cell r="T447" t="str">
            <v>P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1</v>
          </cell>
          <cell r="AA447">
            <v>0</v>
          </cell>
          <cell r="AB447">
            <v>1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A448">
            <v>1</v>
          </cell>
          <cell r="B448">
            <v>4691</v>
          </cell>
          <cell r="C448" t="str">
            <v>ARY SUPRIYANTI</v>
          </cell>
          <cell r="D448" t="str">
            <v>OPT-117</v>
          </cell>
          <cell r="E448">
            <v>38915</v>
          </cell>
          <cell r="F448">
            <v>39052</v>
          </cell>
          <cell r="G448">
            <v>39416</v>
          </cell>
          <cell r="H448" t="str">
            <v>QA</v>
          </cell>
          <cell r="I448" t="str">
            <v>PACKING LAMBDA</v>
          </cell>
          <cell r="J448" t="str">
            <v>GMNA</v>
          </cell>
          <cell r="K448" t="str">
            <v>LAMBDA</v>
          </cell>
          <cell r="L448" t="str">
            <v>PACKING LAMBDA</v>
          </cell>
          <cell r="M448" t="str">
            <v>CV 11B</v>
          </cell>
          <cell r="N448" t="str">
            <v>PACKING</v>
          </cell>
          <cell r="O448" t="str">
            <v>B</v>
          </cell>
          <cell r="P448" t="str">
            <v>DL</v>
          </cell>
          <cell r="Q448" t="str">
            <v>CONTRACT</v>
          </cell>
          <cell r="R448" t="str">
            <v>C1</v>
          </cell>
          <cell r="S448" t="str">
            <v>OPT</v>
          </cell>
          <cell r="T448" t="str">
            <v>P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1</v>
          </cell>
          <cell r="AA448">
            <v>0</v>
          </cell>
          <cell r="AB448">
            <v>1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A449">
            <v>1</v>
          </cell>
          <cell r="B449">
            <v>4811</v>
          </cell>
          <cell r="C449" t="str">
            <v>HEPI SULISTYANI</v>
          </cell>
          <cell r="D449" t="str">
            <v>OPT-119</v>
          </cell>
          <cell r="E449">
            <v>38922</v>
          </cell>
          <cell r="F449">
            <v>39052</v>
          </cell>
          <cell r="G449">
            <v>39416</v>
          </cell>
          <cell r="H449" t="str">
            <v>QA</v>
          </cell>
          <cell r="I449" t="str">
            <v>PACKING LAMBDA</v>
          </cell>
          <cell r="J449" t="str">
            <v>GMNA</v>
          </cell>
          <cell r="K449" t="str">
            <v>LAMBDA</v>
          </cell>
          <cell r="L449" t="str">
            <v>PACKING LAMBDA</v>
          </cell>
          <cell r="M449" t="str">
            <v>CV 11B</v>
          </cell>
          <cell r="N449" t="str">
            <v>PACKING</v>
          </cell>
          <cell r="O449" t="str">
            <v>B</v>
          </cell>
          <cell r="P449" t="str">
            <v>DL</v>
          </cell>
          <cell r="Q449" t="str">
            <v>CONTRACT</v>
          </cell>
          <cell r="R449" t="str">
            <v>C1</v>
          </cell>
          <cell r="S449" t="str">
            <v>OPT</v>
          </cell>
          <cell r="T449" t="str">
            <v>P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1</v>
          </cell>
          <cell r="AA449">
            <v>0</v>
          </cell>
          <cell r="AB449">
            <v>1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A450">
            <v>1</v>
          </cell>
          <cell r="B450">
            <v>4972</v>
          </cell>
          <cell r="C450" t="str">
            <v>DEWI KURNI HAWANTI</v>
          </cell>
          <cell r="D450" t="str">
            <v>OPT-122</v>
          </cell>
          <cell r="E450">
            <v>38943</v>
          </cell>
          <cell r="F450">
            <v>39052</v>
          </cell>
          <cell r="G450">
            <v>39416</v>
          </cell>
          <cell r="H450" t="str">
            <v>QA</v>
          </cell>
          <cell r="I450" t="str">
            <v>PACKING LAMBDA</v>
          </cell>
          <cell r="J450" t="str">
            <v>GMNA</v>
          </cell>
          <cell r="K450" t="str">
            <v>LAMBDA</v>
          </cell>
          <cell r="L450" t="str">
            <v>PACKING LAMBDA</v>
          </cell>
          <cell r="M450" t="str">
            <v>CV 13A</v>
          </cell>
          <cell r="N450" t="str">
            <v>PACKING</v>
          </cell>
          <cell r="O450" t="str">
            <v>B</v>
          </cell>
          <cell r="P450" t="str">
            <v>DL</v>
          </cell>
          <cell r="Q450" t="str">
            <v>CONTRACT</v>
          </cell>
          <cell r="R450" t="str">
            <v>C1</v>
          </cell>
          <cell r="S450" t="str">
            <v>OPT</v>
          </cell>
          <cell r="T450" t="str">
            <v>P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</v>
          </cell>
          <cell r="AA450">
            <v>0</v>
          </cell>
          <cell r="AB450">
            <v>1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A451">
            <v>1</v>
          </cell>
          <cell r="B451">
            <v>5376</v>
          </cell>
          <cell r="C451" t="str">
            <v>ROSALIA YULISTIANA SARI</v>
          </cell>
          <cell r="D451" t="str">
            <v>OPT-127</v>
          </cell>
          <cell r="E451">
            <v>38971</v>
          </cell>
          <cell r="F451">
            <v>39142</v>
          </cell>
          <cell r="G451">
            <v>39506</v>
          </cell>
          <cell r="H451" t="str">
            <v>QA</v>
          </cell>
          <cell r="I451" t="str">
            <v>PACKING LAMBDA</v>
          </cell>
          <cell r="J451" t="str">
            <v>GMNA</v>
          </cell>
          <cell r="K451" t="str">
            <v>LAMBDA</v>
          </cell>
          <cell r="L451" t="str">
            <v>PACKING LAMBDA</v>
          </cell>
          <cell r="M451" t="str">
            <v>CV 13A</v>
          </cell>
          <cell r="N451" t="str">
            <v>PACKING</v>
          </cell>
          <cell r="O451" t="str">
            <v>B</v>
          </cell>
          <cell r="P451" t="str">
            <v>DL</v>
          </cell>
          <cell r="Q451" t="str">
            <v>CONTRACT</v>
          </cell>
          <cell r="R451" t="str">
            <v>C1</v>
          </cell>
          <cell r="S451" t="str">
            <v>OPT</v>
          </cell>
          <cell r="T451" t="str">
            <v>P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</v>
          </cell>
          <cell r="AA451">
            <v>0</v>
          </cell>
          <cell r="AB451">
            <v>1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</row>
        <row r="452">
          <cell r="A452">
            <v>1</v>
          </cell>
          <cell r="B452">
            <v>5385</v>
          </cell>
          <cell r="C452" t="str">
            <v>YULIANI RAHAYU</v>
          </cell>
          <cell r="D452" t="str">
            <v>OPT-127</v>
          </cell>
          <cell r="E452">
            <v>38971</v>
          </cell>
          <cell r="F452">
            <v>39142</v>
          </cell>
          <cell r="G452">
            <v>39506</v>
          </cell>
          <cell r="H452" t="str">
            <v>QA</v>
          </cell>
          <cell r="I452" t="str">
            <v>PACKING LAMBDA</v>
          </cell>
          <cell r="J452" t="str">
            <v>GMNA</v>
          </cell>
          <cell r="K452" t="str">
            <v>LAMBDA</v>
          </cell>
          <cell r="L452" t="str">
            <v>PACKING LAMBDA</v>
          </cell>
          <cell r="M452" t="str">
            <v>CV 26B</v>
          </cell>
          <cell r="N452" t="str">
            <v>PACKING</v>
          </cell>
          <cell r="O452" t="str">
            <v>B</v>
          </cell>
          <cell r="P452" t="str">
            <v>DL</v>
          </cell>
          <cell r="Q452" t="str">
            <v>CONTRACT</v>
          </cell>
          <cell r="R452" t="str">
            <v>C1</v>
          </cell>
          <cell r="S452" t="str">
            <v>OPT</v>
          </cell>
          <cell r="T452" t="str">
            <v>P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1</v>
          </cell>
          <cell r="AA452">
            <v>0</v>
          </cell>
          <cell r="AB452">
            <v>1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A453">
            <v>1</v>
          </cell>
          <cell r="B453">
            <v>6512</v>
          </cell>
          <cell r="C453" t="str">
            <v>INDAH KARTIKA</v>
          </cell>
          <cell r="D453" t="str">
            <v>OPT-151</v>
          </cell>
          <cell r="E453">
            <v>39302</v>
          </cell>
          <cell r="F453">
            <v>39302</v>
          </cell>
          <cell r="G453">
            <v>39447</v>
          </cell>
          <cell r="H453" t="str">
            <v>QA</v>
          </cell>
          <cell r="I453" t="str">
            <v>PACKING LAMBDA</v>
          </cell>
          <cell r="J453" t="str">
            <v>GMNA</v>
          </cell>
          <cell r="K453" t="str">
            <v>LAMBDA</v>
          </cell>
          <cell r="L453" t="str">
            <v>PACKING LAMBDA</v>
          </cell>
          <cell r="M453" t="str">
            <v>CV 17</v>
          </cell>
          <cell r="N453" t="str">
            <v>PACKING</v>
          </cell>
          <cell r="O453" t="str">
            <v>B</v>
          </cell>
          <cell r="P453" t="str">
            <v>DL</v>
          </cell>
          <cell r="Q453" t="str">
            <v>CONTRACT</v>
          </cell>
          <cell r="R453" t="str">
            <v>C</v>
          </cell>
          <cell r="S453" t="str">
            <v>OPT</v>
          </cell>
          <cell r="T453" t="str">
            <v>P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1</v>
          </cell>
          <cell r="AA453">
            <v>0</v>
          </cell>
          <cell r="AB453">
            <v>1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A454">
            <v>1</v>
          </cell>
          <cell r="B454">
            <v>6689</v>
          </cell>
          <cell r="C454" t="str">
            <v>RATNA PRABAWATI</v>
          </cell>
          <cell r="D454" t="str">
            <v>OPT-153</v>
          </cell>
          <cell r="E454">
            <v>39321</v>
          </cell>
          <cell r="F454">
            <v>39360</v>
          </cell>
          <cell r="G454">
            <v>39447</v>
          </cell>
          <cell r="H454" t="str">
            <v>QA</v>
          </cell>
          <cell r="I454" t="str">
            <v>PACKING LAMBDA</v>
          </cell>
          <cell r="J454" t="str">
            <v>GMNA</v>
          </cell>
          <cell r="K454" t="str">
            <v>LAMBDA</v>
          </cell>
          <cell r="L454" t="str">
            <v>PACKING LAMBDA</v>
          </cell>
          <cell r="M454" t="str">
            <v>CV 15</v>
          </cell>
          <cell r="N454" t="str">
            <v>PACKING</v>
          </cell>
          <cell r="O454" t="str">
            <v>B</v>
          </cell>
          <cell r="P454" t="str">
            <v>DL</v>
          </cell>
          <cell r="Q454" t="str">
            <v>TRAINEE</v>
          </cell>
          <cell r="R454" t="str">
            <v>T2</v>
          </cell>
          <cell r="S454" t="str">
            <v>OPT</v>
          </cell>
          <cell r="T454" t="str">
            <v>P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1</v>
          </cell>
          <cell r="AA454">
            <v>0</v>
          </cell>
          <cell r="AB454">
            <v>1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A455">
            <v>1</v>
          </cell>
          <cell r="B455">
            <v>421</v>
          </cell>
          <cell r="C455" t="str">
            <v>INDAH MARGININGSIH</v>
          </cell>
          <cell r="D455" t="str">
            <v>OPT-11</v>
          </cell>
          <cell r="E455">
            <v>37739</v>
          </cell>
          <cell r="F455" t="str">
            <v>-</v>
          </cell>
          <cell r="G455" t="str">
            <v>-</v>
          </cell>
          <cell r="H455" t="str">
            <v>QA</v>
          </cell>
          <cell r="I455" t="str">
            <v>PACKING MAZDA</v>
          </cell>
          <cell r="J455" t="str">
            <v>MAZDA</v>
          </cell>
          <cell r="K455" t="str">
            <v>MAZDA AXELA</v>
          </cell>
          <cell r="L455" t="str">
            <v>PACKING MAZDA</v>
          </cell>
          <cell r="M455" t="str">
            <v>CV 21</v>
          </cell>
          <cell r="N455" t="str">
            <v>PACKING</v>
          </cell>
          <cell r="O455" t="str">
            <v>A</v>
          </cell>
          <cell r="P455" t="str">
            <v>DL</v>
          </cell>
          <cell r="Q455" t="str">
            <v>PERMANENT</v>
          </cell>
          <cell r="R455" t="str">
            <v>PRM</v>
          </cell>
          <cell r="S455" t="str">
            <v>OPT</v>
          </cell>
          <cell r="T455" t="str">
            <v>P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1</v>
          </cell>
          <cell r="AA455">
            <v>0</v>
          </cell>
          <cell r="AB455">
            <v>1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</row>
        <row r="456">
          <cell r="A456">
            <v>1</v>
          </cell>
          <cell r="B456">
            <v>5808</v>
          </cell>
          <cell r="C456" t="str">
            <v>SISKA YULIANA</v>
          </cell>
          <cell r="D456" t="str">
            <v>OPT-135</v>
          </cell>
          <cell r="E456">
            <v>39114</v>
          </cell>
          <cell r="F456">
            <v>39114</v>
          </cell>
          <cell r="G456">
            <v>39478</v>
          </cell>
          <cell r="H456" t="str">
            <v>QA</v>
          </cell>
          <cell r="I456" t="str">
            <v>PACKING MAZDA</v>
          </cell>
          <cell r="J456" t="str">
            <v>MAZDA</v>
          </cell>
          <cell r="K456" t="str">
            <v>MAZDA AXELA</v>
          </cell>
          <cell r="L456" t="str">
            <v>PACKING MAZDA</v>
          </cell>
          <cell r="M456" t="str">
            <v>CV 20</v>
          </cell>
          <cell r="N456" t="str">
            <v>PACKING</v>
          </cell>
          <cell r="O456" t="str">
            <v>A</v>
          </cell>
          <cell r="P456" t="str">
            <v>DL</v>
          </cell>
          <cell r="Q456" t="str">
            <v>CONTRACT</v>
          </cell>
          <cell r="R456" t="str">
            <v>C3</v>
          </cell>
          <cell r="S456" t="str">
            <v>OPT</v>
          </cell>
          <cell r="T456" t="str">
            <v>P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</v>
          </cell>
          <cell r="AA456">
            <v>0</v>
          </cell>
          <cell r="AB456">
            <v>1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A457">
            <v>1</v>
          </cell>
          <cell r="B457">
            <v>5930</v>
          </cell>
          <cell r="C457" t="str">
            <v>PANNA SRIYUNI FITRIANA</v>
          </cell>
          <cell r="D457" t="str">
            <v>OPT-137</v>
          </cell>
          <cell r="E457">
            <v>39129</v>
          </cell>
          <cell r="F457">
            <v>39129</v>
          </cell>
          <cell r="G457">
            <v>39493</v>
          </cell>
          <cell r="H457" t="str">
            <v>QA</v>
          </cell>
          <cell r="I457" t="str">
            <v>PACKING MAZDA</v>
          </cell>
          <cell r="J457" t="str">
            <v>MAZDA</v>
          </cell>
          <cell r="K457" t="str">
            <v>MAZDA AXELA</v>
          </cell>
          <cell r="L457" t="str">
            <v>PACKING MAZDA</v>
          </cell>
          <cell r="M457" t="str">
            <v>CV 22</v>
          </cell>
          <cell r="N457" t="str">
            <v>PACKING</v>
          </cell>
          <cell r="O457" t="str">
            <v>A</v>
          </cell>
          <cell r="P457" t="str">
            <v>DL</v>
          </cell>
          <cell r="Q457" t="str">
            <v>CONTRACT</v>
          </cell>
          <cell r="R457" t="str">
            <v>C3</v>
          </cell>
          <cell r="S457" t="str">
            <v>OPT</v>
          </cell>
          <cell r="T457" t="str">
            <v>P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1</v>
          </cell>
          <cell r="AA457">
            <v>0</v>
          </cell>
          <cell r="AB457">
            <v>1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A458">
            <v>1</v>
          </cell>
          <cell r="B458">
            <v>6367</v>
          </cell>
          <cell r="C458" t="str">
            <v>RIRIN SULISWATI</v>
          </cell>
          <cell r="D458" t="str">
            <v>OPT-148</v>
          </cell>
          <cell r="E458">
            <v>39279</v>
          </cell>
          <cell r="F458">
            <v>39279</v>
          </cell>
          <cell r="G458">
            <v>39644</v>
          </cell>
          <cell r="H458" t="str">
            <v>QA</v>
          </cell>
          <cell r="I458" t="str">
            <v>PACKING MAZDA</v>
          </cell>
          <cell r="J458" t="str">
            <v>MAZDA</v>
          </cell>
          <cell r="K458" t="str">
            <v>MAZDA AXELA</v>
          </cell>
          <cell r="L458" t="str">
            <v>PACKING MAZDA</v>
          </cell>
          <cell r="M458" t="str">
            <v>CV 19</v>
          </cell>
          <cell r="N458" t="str">
            <v>PACKING</v>
          </cell>
          <cell r="O458" t="str">
            <v>A</v>
          </cell>
          <cell r="P458" t="str">
            <v>DL</v>
          </cell>
          <cell r="Q458" t="str">
            <v>CONTRACT</v>
          </cell>
          <cell r="R458" t="str">
            <v>C3</v>
          </cell>
          <cell r="S458" t="str">
            <v>OPT</v>
          </cell>
          <cell r="T458" t="str">
            <v>P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1</v>
          </cell>
          <cell r="AA458">
            <v>0</v>
          </cell>
          <cell r="AB458">
            <v>1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A459">
            <v>1</v>
          </cell>
          <cell r="B459">
            <v>6613</v>
          </cell>
          <cell r="C459" t="str">
            <v>YUNANDARI SABAHTI P.</v>
          </cell>
          <cell r="D459" t="str">
            <v>OPT-152</v>
          </cell>
          <cell r="E459">
            <v>39307</v>
          </cell>
          <cell r="F459">
            <v>39338</v>
          </cell>
          <cell r="G459">
            <v>39416</v>
          </cell>
          <cell r="H459" t="str">
            <v>QA</v>
          </cell>
          <cell r="I459" t="str">
            <v>PACKING MAZDA</v>
          </cell>
          <cell r="J459" t="str">
            <v>MAZDA</v>
          </cell>
          <cell r="K459" t="str">
            <v>MAZDA PREMACY</v>
          </cell>
          <cell r="L459" t="str">
            <v>PACKING MAZDA</v>
          </cell>
          <cell r="M459" t="str">
            <v>CV 18</v>
          </cell>
          <cell r="N459" t="str">
            <v>PACKING</v>
          </cell>
          <cell r="O459" t="str">
            <v>A</v>
          </cell>
          <cell r="P459" t="str">
            <v>DL</v>
          </cell>
          <cell r="Q459" t="str">
            <v>TRAINEE</v>
          </cell>
          <cell r="R459" t="str">
            <v>T2</v>
          </cell>
          <cell r="S459" t="str">
            <v>OPT</v>
          </cell>
          <cell r="T459" t="str">
            <v>P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1</v>
          </cell>
          <cell r="AA459">
            <v>0</v>
          </cell>
          <cell r="AB459">
            <v>1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A460">
            <v>1</v>
          </cell>
          <cell r="B460">
            <v>890</v>
          </cell>
          <cell r="C460" t="str">
            <v>SITI ROKHIMAH</v>
          </cell>
          <cell r="D460" t="str">
            <v>OPT-23</v>
          </cell>
          <cell r="E460">
            <v>37858</v>
          </cell>
          <cell r="F460" t="str">
            <v>-</v>
          </cell>
          <cell r="G460" t="str">
            <v>-</v>
          </cell>
          <cell r="H460" t="str">
            <v>QA</v>
          </cell>
          <cell r="I460" t="str">
            <v>PACKING MAZDA</v>
          </cell>
          <cell r="J460" t="str">
            <v>MAZDA</v>
          </cell>
          <cell r="K460" t="str">
            <v>MAZDA AXELA</v>
          </cell>
          <cell r="L460" t="str">
            <v>PACKING MAZDA</v>
          </cell>
          <cell r="M460" t="str">
            <v>CV 19</v>
          </cell>
          <cell r="N460" t="str">
            <v>PACKING</v>
          </cell>
          <cell r="O460" t="str">
            <v>B</v>
          </cell>
          <cell r="P460" t="str">
            <v>DL</v>
          </cell>
          <cell r="Q460" t="str">
            <v>PERMANENT</v>
          </cell>
          <cell r="R460" t="str">
            <v>PRM</v>
          </cell>
          <cell r="S460" t="str">
            <v>OPT</v>
          </cell>
          <cell r="T460" t="str">
            <v>P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1</v>
          </cell>
          <cell r="AA460">
            <v>0</v>
          </cell>
          <cell r="AB460">
            <v>1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A461">
            <v>1</v>
          </cell>
          <cell r="B461">
            <v>916</v>
          </cell>
          <cell r="C461" t="str">
            <v>WINASIH</v>
          </cell>
          <cell r="D461" t="str">
            <v>OPT-23</v>
          </cell>
          <cell r="E461">
            <v>37858</v>
          </cell>
          <cell r="F461" t="str">
            <v>-</v>
          </cell>
          <cell r="G461" t="str">
            <v>-</v>
          </cell>
          <cell r="H461" t="str">
            <v>QA</v>
          </cell>
          <cell r="I461" t="str">
            <v>PACKING MAZDA</v>
          </cell>
          <cell r="J461" t="str">
            <v>MAZDA</v>
          </cell>
          <cell r="K461" t="str">
            <v>MAZDA AXELA</v>
          </cell>
          <cell r="L461" t="str">
            <v>PACKING MAZDA</v>
          </cell>
          <cell r="M461" t="str">
            <v>CV 21</v>
          </cell>
          <cell r="N461" t="str">
            <v>PACKING</v>
          </cell>
          <cell r="O461" t="str">
            <v>B</v>
          </cell>
          <cell r="P461" t="str">
            <v>DL</v>
          </cell>
          <cell r="Q461" t="str">
            <v>PERMANENT</v>
          </cell>
          <cell r="R461" t="str">
            <v>PRM</v>
          </cell>
          <cell r="S461" t="str">
            <v>OPT</v>
          </cell>
          <cell r="T461" t="str">
            <v>P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1</v>
          </cell>
          <cell r="AA461">
            <v>0</v>
          </cell>
          <cell r="AB461">
            <v>1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A462">
            <v>1</v>
          </cell>
          <cell r="B462">
            <v>5278</v>
          </cell>
          <cell r="C462" t="str">
            <v>AINI SYAHADATI</v>
          </cell>
          <cell r="D462" t="str">
            <v>OPT-126</v>
          </cell>
          <cell r="E462">
            <v>38964</v>
          </cell>
          <cell r="F462">
            <v>39142</v>
          </cell>
          <cell r="G462">
            <v>39506</v>
          </cell>
          <cell r="H462" t="str">
            <v>QA</v>
          </cell>
          <cell r="I462" t="str">
            <v>PACKING MAZDA</v>
          </cell>
          <cell r="J462" t="str">
            <v>MAZDA</v>
          </cell>
          <cell r="K462" t="str">
            <v>MAZDA PREMACY</v>
          </cell>
          <cell r="L462" t="str">
            <v>PACKING MAZDA</v>
          </cell>
          <cell r="M462" t="str">
            <v>CV 16</v>
          </cell>
          <cell r="N462" t="str">
            <v>PACKING</v>
          </cell>
          <cell r="O462" t="str">
            <v>B</v>
          </cell>
          <cell r="P462" t="str">
            <v>DL</v>
          </cell>
          <cell r="Q462" t="str">
            <v>CONTRACT</v>
          </cell>
          <cell r="R462" t="str">
            <v>C1</v>
          </cell>
          <cell r="S462" t="str">
            <v>OPT</v>
          </cell>
          <cell r="T462" t="str">
            <v>P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1</v>
          </cell>
          <cell r="AA462">
            <v>0</v>
          </cell>
          <cell r="AB462">
            <v>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A463">
            <v>1</v>
          </cell>
          <cell r="B463">
            <v>5775</v>
          </cell>
          <cell r="C463" t="str">
            <v>INDARI FUJI HARYATI</v>
          </cell>
          <cell r="D463" t="str">
            <v>OPT-135</v>
          </cell>
          <cell r="E463">
            <v>39114</v>
          </cell>
          <cell r="F463">
            <v>39114</v>
          </cell>
          <cell r="G463">
            <v>39478</v>
          </cell>
          <cell r="H463" t="str">
            <v>QA</v>
          </cell>
          <cell r="I463" t="str">
            <v>PACKING MAZDA</v>
          </cell>
          <cell r="J463" t="str">
            <v>MAZDA</v>
          </cell>
          <cell r="K463" t="str">
            <v>MAZDA AXELA</v>
          </cell>
          <cell r="L463" t="str">
            <v>PACKING MAZDA</v>
          </cell>
          <cell r="M463" t="str">
            <v>CV 20</v>
          </cell>
          <cell r="N463" t="str">
            <v>PACKING</v>
          </cell>
          <cell r="O463" t="str">
            <v>B</v>
          </cell>
          <cell r="P463" t="str">
            <v>DL</v>
          </cell>
          <cell r="Q463" t="str">
            <v>CONTRACT</v>
          </cell>
          <cell r="R463" t="str">
            <v>C3</v>
          </cell>
          <cell r="S463" t="str">
            <v>OPT</v>
          </cell>
          <cell r="T463" t="str">
            <v>P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1</v>
          </cell>
          <cell r="AA463">
            <v>0</v>
          </cell>
          <cell r="AB463">
            <v>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A464">
            <v>1</v>
          </cell>
          <cell r="B464">
            <v>6608</v>
          </cell>
          <cell r="C464" t="str">
            <v>TRIANA SETYOWATI</v>
          </cell>
          <cell r="D464" t="str">
            <v>OPT-152</v>
          </cell>
          <cell r="E464">
            <v>39307</v>
          </cell>
          <cell r="F464">
            <v>39338</v>
          </cell>
          <cell r="G464">
            <v>39416</v>
          </cell>
          <cell r="H464" t="str">
            <v>QA</v>
          </cell>
          <cell r="I464" t="str">
            <v>PACKING MAZDA</v>
          </cell>
          <cell r="J464" t="str">
            <v>MAZDA</v>
          </cell>
          <cell r="K464" t="str">
            <v>MAZDA PREMACY</v>
          </cell>
          <cell r="L464" t="str">
            <v>PACKING MAZDA</v>
          </cell>
          <cell r="M464" t="str">
            <v>CV 18</v>
          </cell>
          <cell r="N464" t="str">
            <v>PACKING</v>
          </cell>
          <cell r="O464" t="str">
            <v>B</v>
          </cell>
          <cell r="P464" t="str">
            <v>DL</v>
          </cell>
          <cell r="Q464" t="str">
            <v>TRAINEE</v>
          </cell>
          <cell r="R464" t="str">
            <v>T2</v>
          </cell>
          <cell r="S464" t="str">
            <v>OPT</v>
          </cell>
          <cell r="T464" t="str">
            <v>P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1</v>
          </cell>
          <cell r="AA464">
            <v>0</v>
          </cell>
          <cell r="AB464">
            <v>1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A465">
            <v>1</v>
          </cell>
          <cell r="B465">
            <v>18</v>
          </cell>
          <cell r="C465" t="str">
            <v>SOEBAGIJO</v>
          </cell>
          <cell r="D465" t="str">
            <v>SPV</v>
          </cell>
          <cell r="E465">
            <v>37412</v>
          </cell>
          <cell r="F465" t="str">
            <v>-</v>
          </cell>
          <cell r="G465" t="str">
            <v>-</v>
          </cell>
          <cell r="H465" t="str">
            <v>PRD</v>
          </cell>
          <cell r="I465" t="str">
            <v>PRD SPV</v>
          </cell>
          <cell r="J465" t="str">
            <v>HOLDEN</v>
          </cell>
          <cell r="K465" t="str">
            <v>-</v>
          </cell>
          <cell r="L465" t="str">
            <v>PRD SPV</v>
          </cell>
          <cell r="M465" t="str">
            <v>Supervisor</v>
          </cell>
          <cell r="N465" t="str">
            <v>PRD SPV</v>
          </cell>
          <cell r="O465" t="str">
            <v>A</v>
          </cell>
          <cell r="P465" t="str">
            <v>FPI</v>
          </cell>
          <cell r="Q465" t="str">
            <v>PERMANENT</v>
          </cell>
          <cell r="R465" t="str">
            <v>PRM</v>
          </cell>
          <cell r="S465" t="str">
            <v>SPV</v>
          </cell>
          <cell r="T465" t="str">
            <v>L</v>
          </cell>
          <cell r="U465">
            <v>1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1</v>
          </cell>
          <cell r="AF465">
            <v>1</v>
          </cell>
          <cell r="AG465">
            <v>0</v>
          </cell>
        </row>
        <row r="466">
          <cell r="A466">
            <v>1</v>
          </cell>
          <cell r="B466">
            <v>3099</v>
          </cell>
          <cell r="C466" t="str">
            <v>ADI KRIDA LAKSONO</v>
          </cell>
          <cell r="D466" t="str">
            <v>SPV</v>
          </cell>
          <cell r="E466">
            <v>38236</v>
          </cell>
          <cell r="F466" t="str">
            <v>-</v>
          </cell>
          <cell r="G466" t="str">
            <v>-</v>
          </cell>
          <cell r="H466" t="str">
            <v>PRD</v>
          </cell>
          <cell r="I466" t="str">
            <v>PRD SPV</v>
          </cell>
          <cell r="J466" t="str">
            <v>GMNA</v>
          </cell>
          <cell r="K466" t="str">
            <v>-</v>
          </cell>
          <cell r="L466" t="str">
            <v>PRD SPV</v>
          </cell>
          <cell r="M466" t="str">
            <v>Supervisor</v>
          </cell>
          <cell r="N466" t="str">
            <v>PRD SPV</v>
          </cell>
          <cell r="O466" t="str">
            <v>A</v>
          </cell>
          <cell r="P466" t="str">
            <v>FPI</v>
          </cell>
          <cell r="Q466" t="str">
            <v>PERMANENT</v>
          </cell>
          <cell r="R466" t="str">
            <v>PRM</v>
          </cell>
          <cell r="S466" t="str">
            <v>SPV</v>
          </cell>
          <cell r="T466" t="str">
            <v>L</v>
          </cell>
          <cell r="U466">
            <v>1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1</v>
          </cell>
          <cell r="AF466">
            <v>1</v>
          </cell>
          <cell r="AG466">
            <v>0</v>
          </cell>
        </row>
        <row r="467">
          <cell r="A467">
            <v>1</v>
          </cell>
          <cell r="B467">
            <v>5</v>
          </cell>
          <cell r="C467" t="str">
            <v>ARI MURTI</v>
          </cell>
          <cell r="D467" t="str">
            <v>SPV</v>
          </cell>
          <cell r="E467">
            <v>37412</v>
          </cell>
          <cell r="F467" t="str">
            <v>-</v>
          </cell>
          <cell r="G467" t="str">
            <v>-</v>
          </cell>
          <cell r="H467" t="str">
            <v>PRD</v>
          </cell>
          <cell r="I467" t="str">
            <v>PRD SPV</v>
          </cell>
          <cell r="J467" t="str">
            <v>HOLDEN</v>
          </cell>
          <cell r="K467" t="str">
            <v>-</v>
          </cell>
          <cell r="L467" t="str">
            <v>PRD SPV</v>
          </cell>
          <cell r="M467" t="str">
            <v>Supervisor</v>
          </cell>
          <cell r="N467" t="str">
            <v>PRD SPV</v>
          </cell>
          <cell r="O467" t="str">
            <v>B</v>
          </cell>
          <cell r="P467" t="str">
            <v>FPI</v>
          </cell>
          <cell r="Q467" t="str">
            <v>PERMANENT</v>
          </cell>
          <cell r="R467" t="str">
            <v>PRM</v>
          </cell>
          <cell r="S467" t="str">
            <v>SPV</v>
          </cell>
          <cell r="T467" t="str">
            <v>P</v>
          </cell>
          <cell r="U467">
            <v>1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1</v>
          </cell>
          <cell r="AF467">
            <v>0</v>
          </cell>
          <cell r="AG467">
            <v>0</v>
          </cell>
        </row>
        <row r="468">
          <cell r="A468">
            <v>1</v>
          </cell>
          <cell r="B468">
            <v>2416</v>
          </cell>
          <cell r="C468" t="str">
            <v>AWALUDIN</v>
          </cell>
          <cell r="D468" t="str">
            <v>SPV</v>
          </cell>
          <cell r="E468">
            <v>38194</v>
          </cell>
          <cell r="F468" t="str">
            <v>-</v>
          </cell>
          <cell r="G468" t="str">
            <v>-</v>
          </cell>
          <cell r="H468" t="str">
            <v>PRD</v>
          </cell>
          <cell r="I468" t="str">
            <v>PRD SPV</v>
          </cell>
          <cell r="J468" t="str">
            <v>MAZDA</v>
          </cell>
          <cell r="K468" t="str">
            <v>-</v>
          </cell>
          <cell r="L468" t="str">
            <v>PRD SPV</v>
          </cell>
          <cell r="M468" t="str">
            <v>Supervisor</v>
          </cell>
          <cell r="N468" t="str">
            <v>PRD SPV</v>
          </cell>
          <cell r="O468" t="str">
            <v>B</v>
          </cell>
          <cell r="P468" t="str">
            <v>FPI</v>
          </cell>
          <cell r="Q468" t="str">
            <v>PERMANENT</v>
          </cell>
          <cell r="R468" t="str">
            <v>PRM</v>
          </cell>
          <cell r="S468" t="str">
            <v>SPV</v>
          </cell>
          <cell r="T468" t="str">
            <v>L</v>
          </cell>
          <cell r="U468">
            <v>1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1</v>
          </cell>
          <cell r="AF468">
            <v>1</v>
          </cell>
          <cell r="AG468">
            <v>0</v>
          </cell>
        </row>
        <row r="469">
          <cell r="A469">
            <v>1</v>
          </cell>
          <cell r="B469">
            <v>3107</v>
          </cell>
          <cell r="C469" t="str">
            <v>MURYANTO</v>
          </cell>
          <cell r="D469" t="str">
            <v>SPV</v>
          </cell>
          <cell r="E469">
            <v>38236</v>
          </cell>
          <cell r="F469" t="str">
            <v>-</v>
          </cell>
          <cell r="G469" t="str">
            <v>-</v>
          </cell>
          <cell r="H469" t="str">
            <v>PRD</v>
          </cell>
          <cell r="I469" t="str">
            <v>PRD SPV</v>
          </cell>
          <cell r="J469" t="str">
            <v>GMNA</v>
          </cell>
          <cell r="K469" t="str">
            <v>-</v>
          </cell>
          <cell r="L469" t="str">
            <v>PRD SPV</v>
          </cell>
          <cell r="M469" t="str">
            <v>Supervisor</v>
          </cell>
          <cell r="N469" t="str">
            <v>PRD SPV</v>
          </cell>
          <cell r="O469" t="str">
            <v>B</v>
          </cell>
          <cell r="P469" t="str">
            <v>FPI</v>
          </cell>
          <cell r="Q469" t="str">
            <v>PERMANENT</v>
          </cell>
          <cell r="R469" t="str">
            <v>PRM</v>
          </cell>
          <cell r="S469" t="str">
            <v>SPV</v>
          </cell>
          <cell r="T469" t="str">
            <v>L</v>
          </cell>
          <cell r="U469">
            <v>1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1</v>
          </cell>
          <cell r="AF469">
            <v>1</v>
          </cell>
          <cell r="AG469">
            <v>0</v>
          </cell>
        </row>
        <row r="470">
          <cell r="A470">
            <v>1</v>
          </cell>
          <cell r="B470">
            <v>6121</v>
          </cell>
          <cell r="C470" t="str">
            <v>GANTIRA AKBAR</v>
          </cell>
          <cell r="D470" t="str">
            <v>SPV</v>
          </cell>
          <cell r="E470">
            <v>39142</v>
          </cell>
          <cell r="F470">
            <v>39142</v>
          </cell>
          <cell r="G470">
            <v>39506</v>
          </cell>
          <cell r="H470" t="str">
            <v>PRD</v>
          </cell>
          <cell r="I470" t="str">
            <v>INTERPRETER</v>
          </cell>
          <cell r="J470" t="str">
            <v>ALL</v>
          </cell>
          <cell r="K470" t="str">
            <v>-</v>
          </cell>
          <cell r="L470" t="str">
            <v>INTERPRETER</v>
          </cell>
          <cell r="M470" t="str">
            <v>-</v>
          </cell>
          <cell r="N470" t="str">
            <v>INTERPRTR</v>
          </cell>
          <cell r="O470" t="str">
            <v>NS</v>
          </cell>
          <cell r="P470" t="str">
            <v>IDL</v>
          </cell>
          <cell r="Q470" t="str">
            <v>CONTRACT</v>
          </cell>
          <cell r="R470" t="str">
            <v>C1</v>
          </cell>
          <cell r="S470" t="str">
            <v>SPV</v>
          </cell>
          <cell r="T470" t="str">
            <v>L</v>
          </cell>
          <cell r="U470">
            <v>1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1</v>
          </cell>
          <cell r="AD470">
            <v>0</v>
          </cell>
          <cell r="AE470">
            <v>0</v>
          </cell>
          <cell r="AF470">
            <v>1</v>
          </cell>
          <cell r="AG470">
            <v>0</v>
          </cell>
        </row>
        <row r="471">
          <cell r="A471">
            <v>1</v>
          </cell>
          <cell r="B471">
            <v>82</v>
          </cell>
          <cell r="C471" t="str">
            <v>DWI WIDIYANA</v>
          </cell>
          <cell r="D471" t="str">
            <v>OPT-2</v>
          </cell>
          <cell r="E471">
            <v>37610</v>
          </cell>
          <cell r="F471" t="str">
            <v>-</v>
          </cell>
          <cell r="G471" t="str">
            <v>-</v>
          </cell>
          <cell r="H471" t="str">
            <v>PRD</v>
          </cell>
          <cell r="I471" t="str">
            <v>PRD LL</v>
          </cell>
          <cell r="J471" t="str">
            <v>HOLDEN</v>
          </cell>
          <cell r="K471" t="str">
            <v>-</v>
          </cell>
          <cell r="L471" t="str">
            <v>PRD LL</v>
          </cell>
          <cell r="M471" t="str">
            <v>HOLDEN FINAL ASSY</v>
          </cell>
          <cell r="N471" t="str">
            <v>FPI LL</v>
          </cell>
          <cell r="O471" t="str">
            <v>A</v>
          </cell>
          <cell r="P471" t="str">
            <v>FPI</v>
          </cell>
          <cell r="Q471" t="str">
            <v>PERMANENT</v>
          </cell>
          <cell r="R471" t="str">
            <v>PRM</v>
          </cell>
          <cell r="S471" t="str">
            <v>ES</v>
          </cell>
          <cell r="T471" t="str">
            <v>P</v>
          </cell>
          <cell r="U471">
            <v>0</v>
          </cell>
          <cell r="V471">
            <v>1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1</v>
          </cell>
          <cell r="AF471">
            <v>0</v>
          </cell>
          <cell r="AG471">
            <v>0</v>
          </cell>
        </row>
        <row r="472">
          <cell r="A472">
            <v>1</v>
          </cell>
          <cell r="B472">
            <v>284</v>
          </cell>
          <cell r="C472" t="str">
            <v>PUDJI SRI SAPUTRI</v>
          </cell>
          <cell r="D472" t="str">
            <v>OPT-8</v>
          </cell>
          <cell r="E472">
            <v>37718</v>
          </cell>
          <cell r="F472" t="str">
            <v>-</v>
          </cell>
          <cell r="G472" t="str">
            <v>-</v>
          </cell>
          <cell r="H472" t="str">
            <v>PRD</v>
          </cell>
          <cell r="I472" t="str">
            <v>PRD LL</v>
          </cell>
          <cell r="J472" t="str">
            <v>LAMBDA</v>
          </cell>
          <cell r="K472" t="str">
            <v>-</v>
          </cell>
          <cell r="L472" t="str">
            <v>PRD LL</v>
          </cell>
          <cell r="M472" t="str">
            <v>LAMBDA FINAL ASSY</v>
          </cell>
          <cell r="N472" t="str">
            <v>FPI LL</v>
          </cell>
          <cell r="O472" t="str">
            <v>A</v>
          </cell>
          <cell r="P472" t="str">
            <v>FPI</v>
          </cell>
          <cell r="Q472" t="str">
            <v>PERMANENT</v>
          </cell>
          <cell r="R472" t="str">
            <v>PRM</v>
          </cell>
          <cell r="S472" t="str">
            <v>ES</v>
          </cell>
          <cell r="T472" t="str">
            <v>P</v>
          </cell>
          <cell r="U472">
            <v>0</v>
          </cell>
          <cell r="V472">
            <v>1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1</v>
          </cell>
          <cell r="AF472">
            <v>0</v>
          </cell>
          <cell r="AG472">
            <v>0</v>
          </cell>
        </row>
        <row r="473">
          <cell r="A473">
            <v>1</v>
          </cell>
          <cell r="B473">
            <v>285</v>
          </cell>
          <cell r="C473" t="str">
            <v>RENY LESTARI</v>
          </cell>
          <cell r="D473" t="str">
            <v>OPT-8</v>
          </cell>
          <cell r="E473">
            <v>37718</v>
          </cell>
          <cell r="F473" t="str">
            <v>-</v>
          </cell>
          <cell r="G473" t="str">
            <v>-</v>
          </cell>
          <cell r="H473" t="str">
            <v>PRD</v>
          </cell>
          <cell r="I473" t="str">
            <v>PRD LL</v>
          </cell>
          <cell r="J473" t="str">
            <v>HOLDEN</v>
          </cell>
          <cell r="K473" t="str">
            <v>-</v>
          </cell>
          <cell r="L473" t="str">
            <v>PRD LL</v>
          </cell>
          <cell r="M473" t="str">
            <v>HOLDEN FINAL ASSY</v>
          </cell>
          <cell r="N473" t="str">
            <v>FPI LL</v>
          </cell>
          <cell r="O473" t="str">
            <v>A</v>
          </cell>
          <cell r="P473" t="str">
            <v>FPI</v>
          </cell>
          <cell r="Q473" t="str">
            <v>PERMANENT</v>
          </cell>
          <cell r="R473" t="str">
            <v>PRM</v>
          </cell>
          <cell r="S473" t="str">
            <v>ES</v>
          </cell>
          <cell r="T473" t="str">
            <v>P</v>
          </cell>
          <cell r="U473">
            <v>0</v>
          </cell>
          <cell r="V473">
            <v>1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1</v>
          </cell>
          <cell r="AF473">
            <v>0</v>
          </cell>
          <cell r="AG473">
            <v>0</v>
          </cell>
        </row>
        <row r="474">
          <cell r="A474">
            <v>1</v>
          </cell>
          <cell r="B474">
            <v>602</v>
          </cell>
          <cell r="C474" t="str">
            <v>ASYAIFU HENDRO MULYONO</v>
          </cell>
          <cell r="D474" t="str">
            <v>ES-3</v>
          </cell>
          <cell r="E474">
            <v>37774</v>
          </cell>
          <cell r="F474" t="str">
            <v>-</v>
          </cell>
          <cell r="G474" t="str">
            <v>-</v>
          </cell>
          <cell r="H474" t="str">
            <v>PRD</v>
          </cell>
          <cell r="I474" t="str">
            <v>PRD LL</v>
          </cell>
          <cell r="J474" t="str">
            <v>HOLDEN</v>
          </cell>
          <cell r="K474" t="str">
            <v>-</v>
          </cell>
          <cell r="L474" t="str">
            <v>PRD LL</v>
          </cell>
          <cell r="M474" t="str">
            <v>HOLDEN PA CUTTING</v>
          </cell>
          <cell r="N474" t="str">
            <v>FPI LL</v>
          </cell>
          <cell r="O474" t="str">
            <v>A</v>
          </cell>
          <cell r="P474" t="str">
            <v>FPI</v>
          </cell>
          <cell r="Q474" t="str">
            <v>PERMANENT</v>
          </cell>
          <cell r="R474" t="str">
            <v>PRM</v>
          </cell>
          <cell r="S474" t="str">
            <v>ES</v>
          </cell>
          <cell r="T474" t="str">
            <v>L</v>
          </cell>
          <cell r="U474">
            <v>0</v>
          </cell>
          <cell r="V474">
            <v>1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1</v>
          </cell>
          <cell r="AF474">
            <v>1</v>
          </cell>
          <cell r="AG474">
            <v>0</v>
          </cell>
        </row>
        <row r="475">
          <cell r="A475">
            <v>1</v>
          </cell>
          <cell r="B475">
            <v>1183</v>
          </cell>
          <cell r="C475" t="str">
            <v>SUWANTI</v>
          </cell>
          <cell r="D475" t="str">
            <v>OPT-29</v>
          </cell>
          <cell r="E475">
            <v>37907</v>
          </cell>
          <cell r="F475" t="str">
            <v>-</v>
          </cell>
          <cell r="G475" t="str">
            <v>-</v>
          </cell>
          <cell r="H475" t="str">
            <v>PRD</v>
          </cell>
          <cell r="I475" t="str">
            <v>PRD LL</v>
          </cell>
          <cell r="J475" t="str">
            <v>MAZDA</v>
          </cell>
          <cell r="K475" t="str">
            <v>-</v>
          </cell>
          <cell r="L475" t="str">
            <v>PRD LL</v>
          </cell>
          <cell r="M475" t="str">
            <v>MAZDA FINAL ASSY</v>
          </cell>
          <cell r="N475" t="str">
            <v>FPI LL</v>
          </cell>
          <cell r="O475" t="str">
            <v>A</v>
          </cell>
          <cell r="P475" t="str">
            <v>FPI</v>
          </cell>
          <cell r="Q475" t="str">
            <v>PERMANENT</v>
          </cell>
          <cell r="R475" t="str">
            <v>PRM</v>
          </cell>
          <cell r="S475" t="str">
            <v>ES</v>
          </cell>
          <cell r="T475" t="str">
            <v>P</v>
          </cell>
          <cell r="U475">
            <v>0</v>
          </cell>
          <cell r="V475">
            <v>1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1</v>
          </cell>
          <cell r="AF475">
            <v>0</v>
          </cell>
          <cell r="AG475">
            <v>0</v>
          </cell>
        </row>
        <row r="476">
          <cell r="A476">
            <v>1</v>
          </cell>
          <cell r="B476">
            <v>1221</v>
          </cell>
          <cell r="C476" t="str">
            <v>YULIARTI</v>
          </cell>
          <cell r="D476" t="str">
            <v>OPT-30</v>
          </cell>
          <cell r="E476">
            <v>37914</v>
          </cell>
          <cell r="F476" t="str">
            <v>-</v>
          </cell>
          <cell r="G476" t="str">
            <v>-</v>
          </cell>
          <cell r="H476" t="str">
            <v>PRD</v>
          </cell>
          <cell r="I476" t="str">
            <v>PRD LL</v>
          </cell>
          <cell r="J476" t="str">
            <v>HOLDEN</v>
          </cell>
          <cell r="K476" t="str">
            <v>-</v>
          </cell>
          <cell r="L476" t="str">
            <v>PRD LL</v>
          </cell>
          <cell r="M476" t="str">
            <v>HOLDEN FINAL ASSY</v>
          </cell>
          <cell r="N476" t="str">
            <v>FPI LL</v>
          </cell>
          <cell r="O476" t="str">
            <v>A</v>
          </cell>
          <cell r="P476" t="str">
            <v>FPI</v>
          </cell>
          <cell r="Q476" t="str">
            <v>PERMANENT</v>
          </cell>
          <cell r="R476" t="str">
            <v>PRM</v>
          </cell>
          <cell r="S476" t="str">
            <v>ES</v>
          </cell>
          <cell r="T476" t="str">
            <v>P</v>
          </cell>
          <cell r="U476">
            <v>0</v>
          </cell>
          <cell r="V476">
            <v>1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1</v>
          </cell>
          <cell r="AF476">
            <v>0</v>
          </cell>
          <cell r="AG476">
            <v>0</v>
          </cell>
        </row>
        <row r="477">
          <cell r="A477">
            <v>1</v>
          </cell>
          <cell r="B477">
            <v>1655</v>
          </cell>
          <cell r="C477" t="str">
            <v>JOKO PURWANTO</v>
          </cell>
          <cell r="D477" t="str">
            <v>ES-12</v>
          </cell>
          <cell r="E477">
            <v>38061</v>
          </cell>
          <cell r="F477" t="str">
            <v>-</v>
          </cell>
          <cell r="G477" t="str">
            <v>-</v>
          </cell>
          <cell r="H477" t="str">
            <v>PRD</v>
          </cell>
          <cell r="I477" t="str">
            <v>PRD LL</v>
          </cell>
          <cell r="J477" t="str">
            <v>MAZDA</v>
          </cell>
          <cell r="K477" t="str">
            <v>-</v>
          </cell>
          <cell r="L477" t="str">
            <v>PRD LL</v>
          </cell>
          <cell r="M477" t="str">
            <v>MAZDA PA CUTTING</v>
          </cell>
          <cell r="N477" t="str">
            <v>FPI LL</v>
          </cell>
          <cell r="O477" t="str">
            <v>A</v>
          </cell>
          <cell r="P477" t="str">
            <v>FPI</v>
          </cell>
          <cell r="Q477" t="str">
            <v>PERMANENT</v>
          </cell>
          <cell r="R477" t="str">
            <v>PRM</v>
          </cell>
          <cell r="S477" t="str">
            <v>ES</v>
          </cell>
          <cell r="T477" t="str">
            <v>L</v>
          </cell>
          <cell r="U477">
            <v>0</v>
          </cell>
          <cell r="V477">
            <v>1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1</v>
          </cell>
          <cell r="AF477">
            <v>1</v>
          </cell>
          <cell r="AG477">
            <v>0</v>
          </cell>
        </row>
        <row r="478">
          <cell r="A478">
            <v>1</v>
          </cell>
          <cell r="B478">
            <v>3644</v>
          </cell>
          <cell r="C478" t="str">
            <v>HENDRIA AYUNITA SAPUTRA</v>
          </cell>
          <cell r="D478" t="str">
            <v>ES-19</v>
          </cell>
          <cell r="E478">
            <v>38285</v>
          </cell>
          <cell r="F478" t="str">
            <v>-</v>
          </cell>
          <cell r="G478" t="str">
            <v>-</v>
          </cell>
          <cell r="H478" t="str">
            <v>PRD</v>
          </cell>
          <cell r="I478" t="str">
            <v>PRD LL</v>
          </cell>
          <cell r="J478" t="str">
            <v>LAMBDA</v>
          </cell>
          <cell r="K478" t="str">
            <v>-</v>
          </cell>
          <cell r="L478" t="str">
            <v>PRD LL</v>
          </cell>
          <cell r="M478" t="str">
            <v>LAMBDA PA CUTTING</v>
          </cell>
          <cell r="N478" t="str">
            <v>FPI LL</v>
          </cell>
          <cell r="O478" t="str">
            <v>A</v>
          </cell>
          <cell r="P478" t="str">
            <v>FPI</v>
          </cell>
          <cell r="Q478" t="str">
            <v>PERMANENT</v>
          </cell>
          <cell r="R478" t="str">
            <v>PRM</v>
          </cell>
          <cell r="S478" t="str">
            <v>ES</v>
          </cell>
          <cell r="T478" t="str">
            <v>L</v>
          </cell>
          <cell r="U478">
            <v>0</v>
          </cell>
          <cell r="V478">
            <v>1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1</v>
          </cell>
          <cell r="AF478">
            <v>1</v>
          </cell>
          <cell r="AG478">
            <v>0</v>
          </cell>
        </row>
        <row r="479">
          <cell r="A479">
            <v>1</v>
          </cell>
          <cell r="B479">
            <v>641</v>
          </cell>
          <cell r="C479" t="str">
            <v>RIRIN HARINI</v>
          </cell>
          <cell r="D479" t="str">
            <v>OPT-16</v>
          </cell>
          <cell r="E479">
            <v>37781</v>
          </cell>
          <cell r="F479" t="str">
            <v>-</v>
          </cell>
          <cell r="G479" t="str">
            <v>-</v>
          </cell>
          <cell r="H479" t="str">
            <v>PRD</v>
          </cell>
          <cell r="I479" t="str">
            <v>PRD LL</v>
          </cell>
          <cell r="J479" t="str">
            <v>LAMBDA</v>
          </cell>
          <cell r="K479" t="str">
            <v>-</v>
          </cell>
          <cell r="L479" t="str">
            <v>PRD LL</v>
          </cell>
          <cell r="M479" t="str">
            <v>LAMBDA FINAL ASSY</v>
          </cell>
          <cell r="N479" t="str">
            <v>FPI LL</v>
          </cell>
          <cell r="O479" t="str">
            <v>A</v>
          </cell>
          <cell r="P479" t="str">
            <v>FPI</v>
          </cell>
          <cell r="Q479" t="str">
            <v>PERMANENT</v>
          </cell>
          <cell r="R479" t="str">
            <v>PRM</v>
          </cell>
          <cell r="S479" t="str">
            <v>ES</v>
          </cell>
          <cell r="T479" t="str">
            <v>P</v>
          </cell>
          <cell r="U479">
            <v>0</v>
          </cell>
          <cell r="V479">
            <v>1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1</v>
          </cell>
          <cell r="AF479">
            <v>0</v>
          </cell>
          <cell r="AG479">
            <v>0</v>
          </cell>
        </row>
        <row r="480">
          <cell r="A480">
            <v>1</v>
          </cell>
          <cell r="B480">
            <v>6366</v>
          </cell>
          <cell r="C480" t="str">
            <v>NUR KHOLIS</v>
          </cell>
          <cell r="D480" t="str">
            <v>OPT-148</v>
          </cell>
          <cell r="E480">
            <v>39279</v>
          </cell>
          <cell r="F480">
            <v>39279</v>
          </cell>
          <cell r="G480">
            <v>39644</v>
          </cell>
          <cell r="H480" t="str">
            <v>PRD</v>
          </cell>
          <cell r="I480" t="str">
            <v>PRD LL</v>
          </cell>
          <cell r="J480" t="str">
            <v>MAZDA</v>
          </cell>
          <cell r="K480" t="str">
            <v>-</v>
          </cell>
          <cell r="L480" t="str">
            <v>PRD LL</v>
          </cell>
          <cell r="M480" t="str">
            <v>MAZDA FINAL ASSY</v>
          </cell>
          <cell r="N480" t="str">
            <v>FPI LL</v>
          </cell>
          <cell r="O480" t="str">
            <v>A</v>
          </cell>
          <cell r="P480" t="str">
            <v>FPI</v>
          </cell>
          <cell r="Q480" t="str">
            <v>CONTRACT</v>
          </cell>
          <cell r="R480" t="str">
            <v>C3</v>
          </cell>
          <cell r="S480" t="str">
            <v>ES</v>
          </cell>
          <cell r="T480" t="str">
            <v>L</v>
          </cell>
          <cell r="U480">
            <v>0</v>
          </cell>
          <cell r="V480">
            <v>1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1</v>
          </cell>
          <cell r="AF480">
            <v>1</v>
          </cell>
          <cell r="AG480">
            <v>0</v>
          </cell>
        </row>
        <row r="481">
          <cell r="A481">
            <v>1</v>
          </cell>
          <cell r="B481">
            <v>36</v>
          </cell>
          <cell r="C481" t="str">
            <v>SHINTA DEWI P</v>
          </cell>
          <cell r="D481" t="str">
            <v>ES-1</v>
          </cell>
          <cell r="E481">
            <v>37529</v>
          </cell>
          <cell r="F481" t="str">
            <v>-</v>
          </cell>
          <cell r="G481" t="str">
            <v>-</v>
          </cell>
          <cell r="H481" t="str">
            <v>PRD</v>
          </cell>
          <cell r="I481" t="str">
            <v>PRD LL</v>
          </cell>
          <cell r="J481" t="str">
            <v>HOLDEN</v>
          </cell>
          <cell r="K481" t="str">
            <v>-</v>
          </cell>
          <cell r="L481" t="str">
            <v>PRD LL</v>
          </cell>
          <cell r="M481" t="str">
            <v>HOLDEN PA CUTTING</v>
          </cell>
          <cell r="N481" t="str">
            <v>FPI LL</v>
          </cell>
          <cell r="O481" t="str">
            <v>B</v>
          </cell>
          <cell r="P481" t="str">
            <v>FPI</v>
          </cell>
          <cell r="Q481" t="str">
            <v>PERMANENT</v>
          </cell>
          <cell r="R481" t="str">
            <v>PRM</v>
          </cell>
          <cell r="S481" t="str">
            <v>ES</v>
          </cell>
          <cell r="T481" t="str">
            <v>P</v>
          </cell>
          <cell r="U481">
            <v>0</v>
          </cell>
          <cell r="V481">
            <v>1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1</v>
          </cell>
          <cell r="AF481">
            <v>0</v>
          </cell>
          <cell r="AG481">
            <v>0</v>
          </cell>
        </row>
        <row r="482">
          <cell r="A482">
            <v>1</v>
          </cell>
          <cell r="B482">
            <v>125</v>
          </cell>
          <cell r="C482" t="str">
            <v>VITA NURUL COMA</v>
          </cell>
          <cell r="D482" t="str">
            <v>OPT-3</v>
          </cell>
          <cell r="E482">
            <v>37627</v>
          </cell>
          <cell r="F482" t="str">
            <v>-</v>
          </cell>
          <cell r="G482" t="str">
            <v>-</v>
          </cell>
          <cell r="H482" t="str">
            <v>PRD</v>
          </cell>
          <cell r="I482" t="str">
            <v>PRD LL</v>
          </cell>
          <cell r="J482" t="str">
            <v>LAMBDA</v>
          </cell>
          <cell r="K482" t="str">
            <v>-</v>
          </cell>
          <cell r="L482" t="str">
            <v>PRD LL</v>
          </cell>
          <cell r="M482" t="str">
            <v>MAZDA FINAL ASSY</v>
          </cell>
          <cell r="N482" t="str">
            <v>FPI LL</v>
          </cell>
          <cell r="O482" t="str">
            <v>B</v>
          </cell>
          <cell r="P482" t="str">
            <v>FPI</v>
          </cell>
          <cell r="Q482" t="str">
            <v>PERMANENT</v>
          </cell>
          <cell r="R482" t="str">
            <v>PRM</v>
          </cell>
          <cell r="S482" t="str">
            <v>ES</v>
          </cell>
          <cell r="T482" t="str">
            <v>P</v>
          </cell>
          <cell r="U482">
            <v>0</v>
          </cell>
          <cell r="V482">
            <v>1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1</v>
          </cell>
          <cell r="AF482">
            <v>0</v>
          </cell>
          <cell r="AG482">
            <v>0</v>
          </cell>
        </row>
        <row r="483">
          <cell r="A483">
            <v>1</v>
          </cell>
          <cell r="B483">
            <v>126</v>
          </cell>
          <cell r="C483" t="str">
            <v>WIHARYANTI</v>
          </cell>
          <cell r="D483" t="str">
            <v>OPT-3</v>
          </cell>
          <cell r="E483">
            <v>37627</v>
          </cell>
          <cell r="F483" t="str">
            <v>-</v>
          </cell>
          <cell r="G483" t="str">
            <v>-</v>
          </cell>
          <cell r="H483" t="str">
            <v>PRD</v>
          </cell>
          <cell r="I483" t="str">
            <v>PRD LL</v>
          </cell>
          <cell r="J483" t="str">
            <v>HOLDEN</v>
          </cell>
          <cell r="K483" t="str">
            <v>-</v>
          </cell>
          <cell r="L483" t="str">
            <v>PRD LL</v>
          </cell>
          <cell r="M483" t="str">
            <v>HOLDEN FINAL ASSY</v>
          </cell>
          <cell r="N483" t="str">
            <v>FPI LL</v>
          </cell>
          <cell r="O483" t="str">
            <v>B</v>
          </cell>
          <cell r="P483" t="str">
            <v>FPI</v>
          </cell>
          <cell r="Q483" t="str">
            <v>PERMANENT</v>
          </cell>
          <cell r="R483" t="str">
            <v>PRM</v>
          </cell>
          <cell r="S483" t="str">
            <v>ES</v>
          </cell>
          <cell r="T483" t="str">
            <v>P</v>
          </cell>
          <cell r="U483">
            <v>0</v>
          </cell>
          <cell r="V483">
            <v>1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1</v>
          </cell>
          <cell r="AF483">
            <v>0</v>
          </cell>
          <cell r="AG483">
            <v>0</v>
          </cell>
        </row>
        <row r="484">
          <cell r="A484">
            <v>1</v>
          </cell>
          <cell r="B484">
            <v>158</v>
          </cell>
          <cell r="C484" t="str">
            <v>YATI PUJIYATI</v>
          </cell>
          <cell r="D484" t="str">
            <v>OPT-4</v>
          </cell>
          <cell r="E484">
            <v>37637</v>
          </cell>
          <cell r="F484" t="str">
            <v>-</v>
          </cell>
          <cell r="G484" t="str">
            <v>-</v>
          </cell>
          <cell r="H484" t="str">
            <v>PRD</v>
          </cell>
          <cell r="I484" t="str">
            <v>PRD LL</v>
          </cell>
          <cell r="J484" t="str">
            <v>LAMBDA</v>
          </cell>
          <cell r="K484" t="str">
            <v>-</v>
          </cell>
          <cell r="L484" t="str">
            <v>PRD LL</v>
          </cell>
          <cell r="M484" t="str">
            <v>HOLDEN PA CUTTING</v>
          </cell>
          <cell r="N484" t="str">
            <v>FPI LL</v>
          </cell>
          <cell r="O484" t="str">
            <v>B</v>
          </cell>
          <cell r="P484" t="str">
            <v>FPI</v>
          </cell>
          <cell r="Q484" t="str">
            <v>PERMANENT</v>
          </cell>
          <cell r="R484" t="str">
            <v>PRM</v>
          </cell>
          <cell r="S484" t="str">
            <v>ES</v>
          </cell>
          <cell r="T484" t="str">
            <v>P</v>
          </cell>
          <cell r="U484">
            <v>0</v>
          </cell>
          <cell r="V484">
            <v>1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1</v>
          </cell>
          <cell r="AF484">
            <v>0</v>
          </cell>
          <cell r="AG484">
            <v>0</v>
          </cell>
        </row>
        <row r="485">
          <cell r="A485">
            <v>1</v>
          </cell>
          <cell r="B485">
            <v>208</v>
          </cell>
          <cell r="C485" t="str">
            <v>KATARINA RETNO SUMARTI</v>
          </cell>
          <cell r="D485" t="str">
            <v>OPT-6</v>
          </cell>
          <cell r="E485">
            <v>37697</v>
          </cell>
          <cell r="F485" t="str">
            <v>-</v>
          </cell>
          <cell r="G485" t="str">
            <v>-</v>
          </cell>
          <cell r="H485" t="str">
            <v>PRD</v>
          </cell>
          <cell r="I485" t="str">
            <v>PRD LL</v>
          </cell>
          <cell r="J485" t="str">
            <v>HOLDEN</v>
          </cell>
          <cell r="K485" t="str">
            <v>-</v>
          </cell>
          <cell r="L485" t="str">
            <v>PRD LL</v>
          </cell>
          <cell r="M485" t="str">
            <v>HOLDEN FINAL ASSY</v>
          </cell>
          <cell r="N485" t="str">
            <v>FPI LL</v>
          </cell>
          <cell r="O485" t="str">
            <v>B</v>
          </cell>
          <cell r="P485" t="str">
            <v>FPI</v>
          </cell>
          <cell r="Q485" t="str">
            <v>PERMANENT</v>
          </cell>
          <cell r="R485" t="str">
            <v>PRM</v>
          </cell>
          <cell r="S485" t="str">
            <v>ES</v>
          </cell>
          <cell r="T485" t="str">
            <v>P</v>
          </cell>
          <cell r="U485">
            <v>0</v>
          </cell>
          <cell r="V485">
            <v>1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1</v>
          </cell>
          <cell r="AF485">
            <v>0</v>
          </cell>
          <cell r="AG485">
            <v>0</v>
          </cell>
        </row>
        <row r="486">
          <cell r="A486">
            <v>1</v>
          </cell>
          <cell r="B486">
            <v>249</v>
          </cell>
          <cell r="C486" t="str">
            <v>ASRI NOVIANTI HERMINAH</v>
          </cell>
          <cell r="D486" t="str">
            <v>OPT-7</v>
          </cell>
          <cell r="E486">
            <v>37704</v>
          </cell>
          <cell r="F486" t="str">
            <v>-</v>
          </cell>
          <cell r="G486" t="str">
            <v>-</v>
          </cell>
          <cell r="H486" t="str">
            <v>PRD</v>
          </cell>
          <cell r="I486" t="str">
            <v>PRD LL</v>
          </cell>
          <cell r="J486" t="str">
            <v>LAMBDA</v>
          </cell>
          <cell r="K486" t="str">
            <v>-</v>
          </cell>
          <cell r="L486" t="str">
            <v>PRD LL</v>
          </cell>
          <cell r="M486" t="str">
            <v>MAZDA FINAL ASSY</v>
          </cell>
          <cell r="N486" t="str">
            <v>FPI LL</v>
          </cell>
          <cell r="O486" t="str">
            <v>B</v>
          </cell>
          <cell r="P486" t="str">
            <v>FPI</v>
          </cell>
          <cell r="Q486" t="str">
            <v>PERMANENT</v>
          </cell>
          <cell r="R486" t="str">
            <v>PRM</v>
          </cell>
          <cell r="S486" t="str">
            <v>ES</v>
          </cell>
          <cell r="T486" t="str">
            <v>P</v>
          </cell>
          <cell r="U486">
            <v>0</v>
          </cell>
          <cell r="V486">
            <v>1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1</v>
          </cell>
          <cell r="AF486">
            <v>0</v>
          </cell>
          <cell r="AG486">
            <v>0</v>
          </cell>
        </row>
        <row r="487">
          <cell r="A487">
            <v>1</v>
          </cell>
          <cell r="B487">
            <v>268</v>
          </cell>
          <cell r="C487" t="str">
            <v>TAUFIK WIDHIANTO</v>
          </cell>
          <cell r="D487" t="str">
            <v>ES-2</v>
          </cell>
          <cell r="E487">
            <v>37704</v>
          </cell>
          <cell r="F487" t="str">
            <v>-</v>
          </cell>
          <cell r="G487" t="str">
            <v>-</v>
          </cell>
          <cell r="H487" t="str">
            <v>PRD</v>
          </cell>
          <cell r="I487" t="str">
            <v>PRD LL</v>
          </cell>
          <cell r="J487" t="str">
            <v>MAZDA</v>
          </cell>
          <cell r="K487" t="str">
            <v>-</v>
          </cell>
          <cell r="L487" t="str">
            <v>PRD LL</v>
          </cell>
          <cell r="M487" t="str">
            <v>MAZDA PA CUTTING</v>
          </cell>
          <cell r="N487" t="str">
            <v>FPI LL</v>
          </cell>
          <cell r="O487" t="str">
            <v>B</v>
          </cell>
          <cell r="P487" t="str">
            <v>FPI</v>
          </cell>
          <cell r="Q487" t="str">
            <v>PERMANENT</v>
          </cell>
          <cell r="R487" t="str">
            <v>PRM</v>
          </cell>
          <cell r="S487" t="str">
            <v>ES</v>
          </cell>
          <cell r="T487" t="str">
            <v>L</v>
          </cell>
          <cell r="U487">
            <v>0</v>
          </cell>
          <cell r="V487">
            <v>1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1</v>
          </cell>
          <cell r="AF487">
            <v>1</v>
          </cell>
          <cell r="AG487">
            <v>0</v>
          </cell>
        </row>
        <row r="488">
          <cell r="A488">
            <v>1</v>
          </cell>
          <cell r="B488">
            <v>370</v>
          </cell>
          <cell r="C488" t="str">
            <v>HENDAH HASTATI</v>
          </cell>
          <cell r="D488" t="str">
            <v>OPT-10</v>
          </cell>
          <cell r="E488">
            <v>37732</v>
          </cell>
          <cell r="F488" t="str">
            <v>-</v>
          </cell>
          <cell r="G488" t="str">
            <v>-</v>
          </cell>
          <cell r="H488" t="str">
            <v>PRD</v>
          </cell>
          <cell r="I488" t="str">
            <v>PRD LL</v>
          </cell>
          <cell r="J488" t="str">
            <v>HOLDEN</v>
          </cell>
          <cell r="K488" t="str">
            <v>-</v>
          </cell>
          <cell r="L488" t="str">
            <v>PRD LL</v>
          </cell>
          <cell r="M488" t="str">
            <v>HOLDEN FINAL ASSY</v>
          </cell>
          <cell r="N488" t="str">
            <v>FPI LL</v>
          </cell>
          <cell r="O488" t="str">
            <v>B</v>
          </cell>
          <cell r="P488" t="str">
            <v>FPI</v>
          </cell>
          <cell r="Q488" t="str">
            <v>PERMANENT</v>
          </cell>
          <cell r="R488" t="str">
            <v>PRM</v>
          </cell>
          <cell r="S488" t="str">
            <v>ES</v>
          </cell>
          <cell r="T488" t="str">
            <v>P</v>
          </cell>
          <cell r="U488">
            <v>0</v>
          </cell>
          <cell r="V488">
            <v>1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1</v>
          </cell>
          <cell r="AF488">
            <v>0</v>
          </cell>
          <cell r="AG488">
            <v>0</v>
          </cell>
        </row>
        <row r="489">
          <cell r="A489">
            <v>1</v>
          </cell>
          <cell r="B489">
            <v>844</v>
          </cell>
          <cell r="C489" t="str">
            <v>IRMA CHRISTANTI</v>
          </cell>
          <cell r="D489" t="str">
            <v>OPT-22</v>
          </cell>
          <cell r="E489">
            <v>37852</v>
          </cell>
          <cell r="F489" t="str">
            <v>-</v>
          </cell>
          <cell r="G489" t="str">
            <v>-</v>
          </cell>
          <cell r="H489" t="str">
            <v>PRD</v>
          </cell>
          <cell r="I489" t="str">
            <v>PRD LL</v>
          </cell>
          <cell r="J489" t="str">
            <v>LAMBDA</v>
          </cell>
          <cell r="K489" t="str">
            <v>-</v>
          </cell>
          <cell r="L489" t="str">
            <v>PRD LL</v>
          </cell>
          <cell r="M489" t="str">
            <v>LAMBDA FINAL ASSY</v>
          </cell>
          <cell r="N489" t="str">
            <v>FPI LL</v>
          </cell>
          <cell r="O489" t="str">
            <v>B</v>
          </cell>
          <cell r="P489" t="str">
            <v>FPI</v>
          </cell>
          <cell r="Q489" t="str">
            <v>PERMANENT</v>
          </cell>
          <cell r="R489" t="str">
            <v>PRM</v>
          </cell>
          <cell r="S489" t="str">
            <v>ES</v>
          </cell>
          <cell r="T489" t="str">
            <v>P</v>
          </cell>
          <cell r="U489">
            <v>0</v>
          </cell>
          <cell r="V489">
            <v>1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1</v>
          </cell>
          <cell r="AF489">
            <v>0</v>
          </cell>
          <cell r="AG489">
            <v>0</v>
          </cell>
        </row>
        <row r="490">
          <cell r="A490">
            <v>1</v>
          </cell>
          <cell r="B490">
            <v>1170</v>
          </cell>
          <cell r="C490" t="str">
            <v>PUDJI IDAYANI</v>
          </cell>
          <cell r="D490" t="str">
            <v>OPT-29</v>
          </cell>
          <cell r="E490">
            <v>37907</v>
          </cell>
          <cell r="F490" t="str">
            <v>-</v>
          </cell>
          <cell r="G490" t="str">
            <v>-</v>
          </cell>
          <cell r="H490" t="str">
            <v>PRD</v>
          </cell>
          <cell r="I490" t="str">
            <v>PRD LL</v>
          </cell>
          <cell r="J490" t="str">
            <v>LAMBDA</v>
          </cell>
          <cell r="K490" t="str">
            <v>-</v>
          </cell>
          <cell r="L490" t="str">
            <v>PRD LL</v>
          </cell>
          <cell r="M490" t="str">
            <v>LAMBDA FINAL ASSY</v>
          </cell>
          <cell r="N490" t="str">
            <v>FPI LL</v>
          </cell>
          <cell r="O490" t="str">
            <v>B</v>
          </cell>
          <cell r="P490" t="str">
            <v>FPI</v>
          </cell>
          <cell r="Q490" t="str">
            <v>PERMANENT</v>
          </cell>
          <cell r="R490" t="str">
            <v>PRM</v>
          </cell>
          <cell r="S490" t="str">
            <v>ES</v>
          </cell>
          <cell r="T490" t="str">
            <v>P</v>
          </cell>
          <cell r="U490">
            <v>0</v>
          </cell>
          <cell r="V490">
            <v>1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1</v>
          </cell>
          <cell r="AF490">
            <v>0</v>
          </cell>
          <cell r="AG490">
            <v>0</v>
          </cell>
        </row>
        <row r="491">
          <cell r="A491">
            <v>1</v>
          </cell>
          <cell r="B491">
            <v>3642</v>
          </cell>
          <cell r="C491" t="str">
            <v>ARIF SETIAJI</v>
          </cell>
          <cell r="D491" t="str">
            <v>ES-19</v>
          </cell>
          <cell r="E491">
            <v>38285</v>
          </cell>
          <cell r="F491" t="str">
            <v>-</v>
          </cell>
          <cell r="G491" t="str">
            <v>-</v>
          </cell>
          <cell r="H491" t="str">
            <v>PRD</v>
          </cell>
          <cell r="I491" t="str">
            <v>PRD LL</v>
          </cell>
          <cell r="J491" t="str">
            <v>MAZDA</v>
          </cell>
          <cell r="K491" t="str">
            <v>-</v>
          </cell>
          <cell r="L491" t="str">
            <v>PRD LL</v>
          </cell>
          <cell r="M491" t="str">
            <v>LAMBDA PA CUTTING</v>
          </cell>
          <cell r="N491" t="str">
            <v>FPI LL</v>
          </cell>
          <cell r="O491" t="str">
            <v>B</v>
          </cell>
          <cell r="P491" t="str">
            <v>FPI</v>
          </cell>
          <cell r="Q491" t="str">
            <v>PERMANENT</v>
          </cell>
          <cell r="R491" t="str">
            <v>PRM</v>
          </cell>
          <cell r="S491" t="str">
            <v>ES</v>
          </cell>
          <cell r="T491" t="str">
            <v>L</v>
          </cell>
          <cell r="U491">
            <v>0</v>
          </cell>
          <cell r="V491">
            <v>1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1</v>
          </cell>
          <cell r="AF491">
            <v>1</v>
          </cell>
          <cell r="AG491">
            <v>0</v>
          </cell>
        </row>
        <row r="492">
          <cell r="A492">
            <v>1</v>
          </cell>
          <cell r="B492">
            <v>4708</v>
          </cell>
          <cell r="C492" t="str">
            <v>MIMIN APRIYANINGSIH</v>
          </cell>
          <cell r="D492" t="str">
            <v>OPT-117</v>
          </cell>
          <cell r="E492">
            <v>38915</v>
          </cell>
          <cell r="F492">
            <v>39052</v>
          </cell>
          <cell r="G492">
            <v>39416</v>
          </cell>
          <cell r="H492" t="str">
            <v>PRD</v>
          </cell>
          <cell r="I492" t="str">
            <v>PRD ADM</v>
          </cell>
          <cell r="J492" t="str">
            <v>ALL</v>
          </cell>
          <cell r="K492" t="str">
            <v>-</v>
          </cell>
          <cell r="L492" t="str">
            <v>PRD ADM</v>
          </cell>
          <cell r="M492" t="str">
            <v>ADMINISTRATION</v>
          </cell>
          <cell r="N492" t="str">
            <v>PRD ADM</v>
          </cell>
          <cell r="O492" t="str">
            <v>A</v>
          </cell>
          <cell r="P492" t="str">
            <v>FPI</v>
          </cell>
          <cell r="Q492" t="str">
            <v>CONTRACT</v>
          </cell>
          <cell r="R492" t="str">
            <v>C1</v>
          </cell>
          <cell r="S492" t="str">
            <v>OPT</v>
          </cell>
          <cell r="T492" t="str">
            <v>P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1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1</v>
          </cell>
          <cell r="AF492">
            <v>0</v>
          </cell>
          <cell r="AG492">
            <v>0</v>
          </cell>
        </row>
        <row r="493">
          <cell r="A493">
            <v>1</v>
          </cell>
          <cell r="B493">
            <v>6183</v>
          </cell>
          <cell r="C493" t="str">
            <v>ENDANG PALUPI JATI</v>
          </cell>
          <cell r="D493" t="str">
            <v>OPT-141</v>
          </cell>
          <cell r="E493">
            <v>39173</v>
          </cell>
          <cell r="F493">
            <v>39173</v>
          </cell>
          <cell r="G493">
            <v>39538</v>
          </cell>
          <cell r="H493" t="str">
            <v>PRD</v>
          </cell>
          <cell r="I493" t="str">
            <v>PRD ADM</v>
          </cell>
          <cell r="J493" t="str">
            <v>ALL</v>
          </cell>
          <cell r="K493" t="str">
            <v>-</v>
          </cell>
          <cell r="L493" t="str">
            <v>PRD ADM</v>
          </cell>
          <cell r="M493" t="str">
            <v>ADMINISTRATION</v>
          </cell>
          <cell r="N493" t="str">
            <v>PRD ADM</v>
          </cell>
          <cell r="O493" t="str">
            <v>A</v>
          </cell>
          <cell r="P493" t="str">
            <v>FPI</v>
          </cell>
          <cell r="Q493" t="str">
            <v>CONTRACT</v>
          </cell>
          <cell r="R493" t="str">
            <v>C3</v>
          </cell>
          <cell r="S493" t="str">
            <v>OPT</v>
          </cell>
          <cell r="T493" t="str">
            <v>P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1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1</v>
          </cell>
          <cell r="AF493">
            <v>0</v>
          </cell>
          <cell r="AG493">
            <v>0</v>
          </cell>
        </row>
        <row r="494">
          <cell r="A494">
            <v>1</v>
          </cell>
          <cell r="B494">
            <v>414</v>
          </cell>
          <cell r="C494" t="str">
            <v>ARIYATUN</v>
          </cell>
          <cell r="D494" t="str">
            <v>OPT-11</v>
          </cell>
          <cell r="E494">
            <v>37739</v>
          </cell>
          <cell r="F494" t="str">
            <v>-</v>
          </cell>
          <cell r="G494" t="str">
            <v>-</v>
          </cell>
          <cell r="H494" t="str">
            <v>PRD</v>
          </cell>
          <cell r="I494" t="str">
            <v>PRD ADM</v>
          </cell>
          <cell r="J494" t="str">
            <v>ALL</v>
          </cell>
          <cell r="K494" t="str">
            <v>-</v>
          </cell>
          <cell r="L494" t="str">
            <v>PRD ADM</v>
          </cell>
          <cell r="M494" t="str">
            <v>ADMINISTRATION</v>
          </cell>
          <cell r="N494" t="str">
            <v>PRD ADM</v>
          </cell>
          <cell r="O494" t="str">
            <v>B</v>
          </cell>
          <cell r="P494" t="str">
            <v>FPI</v>
          </cell>
          <cell r="Q494" t="str">
            <v>PERMANENT</v>
          </cell>
          <cell r="R494" t="str">
            <v>PRM</v>
          </cell>
          <cell r="S494" t="str">
            <v>OPT</v>
          </cell>
          <cell r="T494" t="str">
            <v>P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1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1</v>
          </cell>
          <cell r="AF494">
            <v>0</v>
          </cell>
          <cell r="AG494">
            <v>0</v>
          </cell>
        </row>
        <row r="495">
          <cell r="A495">
            <v>1</v>
          </cell>
          <cell r="B495">
            <v>5602</v>
          </cell>
          <cell r="C495" t="str">
            <v>ISMATUL IZZAH</v>
          </cell>
          <cell r="D495" t="str">
            <v>OPT-132</v>
          </cell>
          <cell r="E495" t="str">
            <v>15/01/2007</v>
          </cell>
          <cell r="F495">
            <v>39203</v>
          </cell>
          <cell r="G495">
            <v>39568</v>
          </cell>
          <cell r="H495" t="str">
            <v>PRD</v>
          </cell>
          <cell r="I495" t="str">
            <v>PRD ADM</v>
          </cell>
          <cell r="J495" t="str">
            <v>ALL</v>
          </cell>
          <cell r="K495" t="str">
            <v>-</v>
          </cell>
          <cell r="L495" t="str">
            <v>PRD ADM</v>
          </cell>
          <cell r="M495" t="str">
            <v>ADMINISTRATION</v>
          </cell>
          <cell r="N495" t="str">
            <v>PRD ADM</v>
          </cell>
          <cell r="O495" t="str">
            <v>B</v>
          </cell>
          <cell r="P495" t="str">
            <v>FPI</v>
          </cell>
          <cell r="Q495" t="str">
            <v>CONTRACT</v>
          </cell>
          <cell r="R495" t="str">
            <v>C1</v>
          </cell>
          <cell r="S495" t="str">
            <v>OPT</v>
          </cell>
          <cell r="T495" t="str">
            <v>P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1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1</v>
          </cell>
          <cell r="AF495">
            <v>0</v>
          </cell>
          <cell r="AG495">
            <v>0</v>
          </cell>
        </row>
        <row r="496">
          <cell r="A496">
            <v>1</v>
          </cell>
          <cell r="B496">
            <v>342</v>
          </cell>
          <cell r="C496" t="str">
            <v>ARTIASIH</v>
          </cell>
          <cell r="D496" t="str">
            <v>ADM-2</v>
          </cell>
          <cell r="E496">
            <v>37725</v>
          </cell>
          <cell r="F496" t="str">
            <v>-</v>
          </cell>
          <cell r="G496" t="str">
            <v>-</v>
          </cell>
          <cell r="H496" t="str">
            <v>PRD</v>
          </cell>
          <cell r="I496" t="str">
            <v>PRD ADM</v>
          </cell>
          <cell r="J496" t="str">
            <v>ALL</v>
          </cell>
          <cell r="K496" t="str">
            <v>-</v>
          </cell>
          <cell r="L496" t="str">
            <v>PRD ADM</v>
          </cell>
          <cell r="M496" t="str">
            <v>ADMINISTRATION</v>
          </cell>
          <cell r="N496" t="str">
            <v>PRD ADM</v>
          </cell>
          <cell r="O496" t="str">
            <v>NS</v>
          </cell>
          <cell r="P496" t="str">
            <v>FPI</v>
          </cell>
          <cell r="Q496" t="str">
            <v>PERMANENT</v>
          </cell>
          <cell r="R496" t="str">
            <v>PRM</v>
          </cell>
          <cell r="S496" t="str">
            <v>ADM</v>
          </cell>
          <cell r="T496" t="str">
            <v>P</v>
          </cell>
          <cell r="U496">
            <v>0</v>
          </cell>
          <cell r="V496">
            <v>0</v>
          </cell>
          <cell r="W496">
            <v>1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1</v>
          </cell>
          <cell r="AF496">
            <v>0</v>
          </cell>
          <cell r="AG496">
            <v>0</v>
          </cell>
        </row>
        <row r="497">
          <cell r="A497">
            <v>1</v>
          </cell>
          <cell r="B497">
            <v>133</v>
          </cell>
          <cell r="C497" t="str">
            <v>DARWATI</v>
          </cell>
          <cell r="D497" t="str">
            <v>OPT-4</v>
          </cell>
          <cell r="E497">
            <v>37637</v>
          </cell>
          <cell r="F497" t="str">
            <v>-</v>
          </cell>
          <cell r="G497" t="str">
            <v>-</v>
          </cell>
          <cell r="H497" t="str">
            <v>PRD</v>
          </cell>
          <cell r="I497" t="str">
            <v>PRD ADM</v>
          </cell>
          <cell r="J497" t="str">
            <v>ALL</v>
          </cell>
          <cell r="K497" t="str">
            <v>-</v>
          </cell>
          <cell r="L497" t="str">
            <v>PRD ADM</v>
          </cell>
          <cell r="M497" t="str">
            <v>ADMINISTRATION</v>
          </cell>
          <cell r="N497" t="str">
            <v>PRD ADM</v>
          </cell>
          <cell r="O497" t="str">
            <v>NS</v>
          </cell>
          <cell r="P497" t="str">
            <v>FPI</v>
          </cell>
          <cell r="Q497" t="str">
            <v>PERMANENT</v>
          </cell>
          <cell r="R497" t="str">
            <v>PRM</v>
          </cell>
          <cell r="S497" t="str">
            <v>ES</v>
          </cell>
          <cell r="T497" t="str">
            <v>P</v>
          </cell>
          <cell r="U497">
            <v>0</v>
          </cell>
          <cell r="V497">
            <v>1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1</v>
          </cell>
          <cell r="AF497">
            <v>0</v>
          </cell>
          <cell r="AG497">
            <v>0</v>
          </cell>
        </row>
        <row r="498">
          <cell r="A498">
            <v>1</v>
          </cell>
          <cell r="B498">
            <v>247</v>
          </cell>
          <cell r="C498" t="str">
            <v>SARI SUSANTI</v>
          </cell>
          <cell r="D498" t="str">
            <v>OPT-7</v>
          </cell>
          <cell r="E498">
            <v>37704</v>
          </cell>
          <cell r="F498" t="str">
            <v>-</v>
          </cell>
          <cell r="G498" t="str">
            <v>-</v>
          </cell>
          <cell r="H498" t="str">
            <v>PRD</v>
          </cell>
          <cell r="I498" t="str">
            <v>PRD ADM</v>
          </cell>
          <cell r="J498" t="str">
            <v>ALL</v>
          </cell>
          <cell r="K498" t="str">
            <v>-</v>
          </cell>
          <cell r="L498" t="str">
            <v>PRD ADM</v>
          </cell>
          <cell r="M498" t="str">
            <v>ADMINISTRATION</v>
          </cell>
          <cell r="N498" t="str">
            <v>PRD ADM</v>
          </cell>
          <cell r="O498" t="str">
            <v>NS</v>
          </cell>
          <cell r="P498" t="str">
            <v>FPI</v>
          </cell>
          <cell r="Q498" t="str">
            <v>PERMANENT</v>
          </cell>
          <cell r="R498" t="str">
            <v>PRM</v>
          </cell>
          <cell r="S498" t="str">
            <v>GL</v>
          </cell>
          <cell r="T498" t="str">
            <v>P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1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1</v>
          </cell>
          <cell r="AF498">
            <v>0</v>
          </cell>
          <cell r="AG498">
            <v>0</v>
          </cell>
        </row>
        <row r="499">
          <cell r="A499">
            <v>1</v>
          </cell>
          <cell r="B499">
            <v>1093</v>
          </cell>
          <cell r="C499" t="str">
            <v>ARI WIDIYANTI</v>
          </cell>
          <cell r="D499" t="str">
            <v>OPT-27</v>
          </cell>
          <cell r="E499">
            <v>37887</v>
          </cell>
          <cell r="F499" t="str">
            <v>-</v>
          </cell>
          <cell r="G499" t="str">
            <v>-</v>
          </cell>
          <cell r="H499" t="str">
            <v>PRD</v>
          </cell>
          <cell r="I499" t="str">
            <v>PRD ADM</v>
          </cell>
          <cell r="J499" t="str">
            <v>ALL</v>
          </cell>
          <cell r="K499" t="str">
            <v>-</v>
          </cell>
          <cell r="L499" t="str">
            <v>PRD ADM</v>
          </cell>
          <cell r="M499" t="str">
            <v>ADMINISTRATION</v>
          </cell>
          <cell r="N499" t="str">
            <v>PRD ADM</v>
          </cell>
          <cell r="O499" t="str">
            <v>NS</v>
          </cell>
          <cell r="P499" t="str">
            <v>FPI</v>
          </cell>
          <cell r="Q499" t="str">
            <v>PERMANENT</v>
          </cell>
          <cell r="R499" t="str">
            <v>PRM</v>
          </cell>
          <cell r="S499" t="str">
            <v>GL</v>
          </cell>
          <cell r="T499" t="str">
            <v>P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1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1</v>
          </cell>
          <cell r="AF499">
            <v>0</v>
          </cell>
          <cell r="AG499">
            <v>0</v>
          </cell>
        </row>
        <row r="500">
          <cell r="A500">
            <v>1</v>
          </cell>
          <cell r="B500">
            <v>6369</v>
          </cell>
          <cell r="C500" t="str">
            <v>SUGIARTO</v>
          </cell>
          <cell r="D500" t="str">
            <v>OPT-148</v>
          </cell>
          <cell r="E500">
            <v>39279</v>
          </cell>
          <cell r="F500">
            <v>39279</v>
          </cell>
          <cell r="G500">
            <v>39644</v>
          </cell>
          <cell r="H500" t="str">
            <v>PRD</v>
          </cell>
          <cell r="I500" t="str">
            <v>PRD IMP</v>
          </cell>
          <cell r="J500" t="str">
            <v>ALL</v>
          </cell>
          <cell r="K500" t="str">
            <v>-</v>
          </cell>
          <cell r="L500" t="str">
            <v>PRD IMP</v>
          </cell>
          <cell r="M500" t="str">
            <v>RELAYOUT</v>
          </cell>
          <cell r="N500" t="str">
            <v>FPI LL</v>
          </cell>
          <cell r="O500" t="str">
            <v>A</v>
          </cell>
          <cell r="P500" t="str">
            <v>FPI</v>
          </cell>
          <cell r="Q500" t="str">
            <v>CONTRACT</v>
          </cell>
          <cell r="R500" t="str">
            <v>C3</v>
          </cell>
          <cell r="S500" t="str">
            <v>ES</v>
          </cell>
          <cell r="T500" t="str">
            <v>L</v>
          </cell>
          <cell r="U500">
            <v>0</v>
          </cell>
          <cell r="V500">
            <v>1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1</v>
          </cell>
          <cell r="AF500">
            <v>1</v>
          </cell>
          <cell r="AG500">
            <v>0</v>
          </cell>
        </row>
        <row r="501">
          <cell r="A501">
            <v>1</v>
          </cell>
          <cell r="B501">
            <v>4</v>
          </cell>
          <cell r="C501" t="str">
            <v>ARIZA MARETA A.R.</v>
          </cell>
          <cell r="D501" t="str">
            <v>SPV</v>
          </cell>
          <cell r="E501">
            <v>37412</v>
          </cell>
          <cell r="F501" t="str">
            <v>-</v>
          </cell>
          <cell r="G501" t="str">
            <v>-</v>
          </cell>
          <cell r="H501" t="str">
            <v>PRD</v>
          </cell>
          <cell r="I501" t="str">
            <v>PRD IMP</v>
          </cell>
          <cell r="J501" t="str">
            <v>ALL</v>
          </cell>
          <cell r="K501" t="str">
            <v>-</v>
          </cell>
          <cell r="L501" t="str">
            <v>PRD IMP</v>
          </cell>
          <cell r="M501" t="str">
            <v>Supervisor</v>
          </cell>
          <cell r="N501" t="str">
            <v>PRD SPV</v>
          </cell>
          <cell r="O501" t="str">
            <v>NS</v>
          </cell>
          <cell r="P501" t="str">
            <v>FPI</v>
          </cell>
          <cell r="Q501" t="str">
            <v>PERMANENT</v>
          </cell>
          <cell r="R501" t="str">
            <v>PRM</v>
          </cell>
          <cell r="S501" t="str">
            <v>SPV</v>
          </cell>
          <cell r="T501" t="str">
            <v>L</v>
          </cell>
          <cell r="U501">
            <v>1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1</v>
          </cell>
          <cell r="AF501">
            <v>1</v>
          </cell>
          <cell r="AG501">
            <v>0</v>
          </cell>
        </row>
        <row r="502">
          <cell r="A502">
            <v>1</v>
          </cell>
          <cell r="B502">
            <v>711</v>
          </cell>
          <cell r="C502" t="str">
            <v>RAHMAT SAMUEL</v>
          </cell>
          <cell r="D502" t="str">
            <v>ES-4</v>
          </cell>
          <cell r="E502">
            <v>37802</v>
          </cell>
          <cell r="F502" t="str">
            <v>-</v>
          </cell>
          <cell r="G502" t="str">
            <v>-</v>
          </cell>
          <cell r="H502" t="str">
            <v>PRD</v>
          </cell>
          <cell r="I502" t="str">
            <v>PRD IMP</v>
          </cell>
          <cell r="J502" t="str">
            <v>ALL</v>
          </cell>
          <cell r="K502" t="str">
            <v>-</v>
          </cell>
          <cell r="L502" t="str">
            <v>PRD IMP</v>
          </cell>
          <cell r="M502" t="str">
            <v>CUTTING PROJECT</v>
          </cell>
          <cell r="N502" t="str">
            <v>FPI LL</v>
          </cell>
          <cell r="O502" t="str">
            <v>NS</v>
          </cell>
          <cell r="P502" t="str">
            <v>FPI</v>
          </cell>
          <cell r="Q502" t="str">
            <v>PERMANENT</v>
          </cell>
          <cell r="R502" t="str">
            <v>PRM</v>
          </cell>
          <cell r="S502" t="str">
            <v>ES</v>
          </cell>
          <cell r="T502" t="str">
            <v>L</v>
          </cell>
          <cell r="U502">
            <v>0</v>
          </cell>
          <cell r="V502">
            <v>1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1</v>
          </cell>
          <cell r="AF502">
            <v>1</v>
          </cell>
          <cell r="AG502">
            <v>0</v>
          </cell>
        </row>
        <row r="503">
          <cell r="A503">
            <v>1</v>
          </cell>
          <cell r="B503">
            <v>1064</v>
          </cell>
          <cell r="C503" t="str">
            <v>SEPTIAN ANDRIANTO</v>
          </cell>
          <cell r="D503" t="str">
            <v>ES-8</v>
          </cell>
          <cell r="E503">
            <v>37879</v>
          </cell>
          <cell r="F503" t="str">
            <v>-</v>
          </cell>
          <cell r="G503" t="str">
            <v>-</v>
          </cell>
          <cell r="H503" t="str">
            <v>PRD</v>
          </cell>
          <cell r="I503" t="str">
            <v>PRD IMP</v>
          </cell>
          <cell r="J503" t="str">
            <v>ALL</v>
          </cell>
          <cell r="K503" t="str">
            <v>-</v>
          </cell>
          <cell r="L503" t="str">
            <v>PRD IMP</v>
          </cell>
          <cell r="M503" t="str">
            <v>CUTTING PROJECT</v>
          </cell>
          <cell r="N503" t="str">
            <v>FPI LL</v>
          </cell>
          <cell r="O503" t="str">
            <v>NS</v>
          </cell>
          <cell r="P503" t="str">
            <v>FPI</v>
          </cell>
          <cell r="Q503" t="str">
            <v>PERMANENT</v>
          </cell>
          <cell r="R503" t="str">
            <v>PRM</v>
          </cell>
          <cell r="S503" t="str">
            <v>ES</v>
          </cell>
          <cell r="T503" t="str">
            <v>L</v>
          </cell>
          <cell r="U503">
            <v>0</v>
          </cell>
          <cell r="V503">
            <v>1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1</v>
          </cell>
          <cell r="AF503">
            <v>1</v>
          </cell>
          <cell r="AG503">
            <v>0</v>
          </cell>
        </row>
        <row r="504">
          <cell r="A504">
            <v>1</v>
          </cell>
          <cell r="B504">
            <v>5533</v>
          </cell>
          <cell r="C504" t="str">
            <v>NANANG YUDI P.</v>
          </cell>
          <cell r="D504" t="str">
            <v>ES-26</v>
          </cell>
          <cell r="E504">
            <v>39037</v>
          </cell>
          <cell r="F504">
            <v>39037</v>
          </cell>
          <cell r="G504">
            <v>39386</v>
          </cell>
          <cell r="H504" t="str">
            <v>PRD</v>
          </cell>
          <cell r="I504" t="str">
            <v>PRD IMP</v>
          </cell>
          <cell r="J504" t="str">
            <v>ALL</v>
          </cell>
          <cell r="K504" t="str">
            <v>-</v>
          </cell>
          <cell r="L504" t="str">
            <v>PRD IMP</v>
          </cell>
          <cell r="M504" t="str">
            <v>MODEL LINE</v>
          </cell>
          <cell r="N504" t="str">
            <v>FPI LL</v>
          </cell>
          <cell r="O504" t="str">
            <v>NS</v>
          </cell>
          <cell r="P504" t="str">
            <v>FPI</v>
          </cell>
          <cell r="Q504" t="str">
            <v>CONTRACT</v>
          </cell>
          <cell r="R504" t="str">
            <v>C1</v>
          </cell>
          <cell r="S504" t="str">
            <v>ES</v>
          </cell>
          <cell r="T504" t="str">
            <v>L</v>
          </cell>
          <cell r="U504">
            <v>0</v>
          </cell>
          <cell r="V504">
            <v>1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1</v>
          </cell>
          <cell r="AF504">
            <v>1</v>
          </cell>
          <cell r="AG504">
            <v>0</v>
          </cell>
        </row>
        <row r="505">
          <cell r="A505">
            <v>1</v>
          </cell>
          <cell r="B505">
            <v>4356</v>
          </cell>
          <cell r="C505" t="str">
            <v>KUS HERYYONO</v>
          </cell>
          <cell r="D505" t="str">
            <v>ES-23</v>
          </cell>
          <cell r="E505">
            <v>38741</v>
          </cell>
          <cell r="F505" t="str">
            <v>-</v>
          </cell>
          <cell r="G505" t="str">
            <v>-</v>
          </cell>
          <cell r="H505" t="str">
            <v>PRD</v>
          </cell>
          <cell r="I505" t="str">
            <v>PRD IMP</v>
          </cell>
          <cell r="J505" t="str">
            <v>ALL</v>
          </cell>
          <cell r="K505" t="str">
            <v>-</v>
          </cell>
          <cell r="L505" t="str">
            <v>PRD IMP</v>
          </cell>
          <cell r="M505" t="str">
            <v>CUTTING PROJECT</v>
          </cell>
          <cell r="N505" t="str">
            <v>FPI LL</v>
          </cell>
          <cell r="O505" t="str">
            <v>B</v>
          </cell>
          <cell r="P505" t="str">
            <v>FPI</v>
          </cell>
          <cell r="Q505" t="str">
            <v>PERMANENT</v>
          </cell>
          <cell r="R505" t="str">
            <v>PRM</v>
          </cell>
          <cell r="S505" t="str">
            <v>ES</v>
          </cell>
          <cell r="T505" t="str">
            <v>L</v>
          </cell>
          <cell r="U505">
            <v>0</v>
          </cell>
          <cell r="V505">
            <v>1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1</v>
          </cell>
          <cell r="AF505">
            <v>1</v>
          </cell>
          <cell r="AG505">
            <v>0</v>
          </cell>
        </row>
        <row r="506">
          <cell r="A506">
            <v>1</v>
          </cell>
          <cell r="B506">
            <v>3775</v>
          </cell>
          <cell r="C506" t="str">
            <v>SURYADI</v>
          </cell>
          <cell r="D506" t="str">
            <v>TKN-19</v>
          </cell>
          <cell r="E506">
            <v>38705</v>
          </cell>
          <cell r="F506">
            <v>39203</v>
          </cell>
          <cell r="G506">
            <v>39568</v>
          </cell>
          <cell r="H506" t="str">
            <v>PRD</v>
          </cell>
          <cell r="I506" t="str">
            <v>WORKSHOP</v>
          </cell>
          <cell r="J506" t="str">
            <v>ALL</v>
          </cell>
          <cell r="K506" t="str">
            <v>-</v>
          </cell>
          <cell r="L506" t="str">
            <v>WORKSHOP</v>
          </cell>
          <cell r="M506" t="str">
            <v>Teknisi</v>
          </cell>
          <cell r="N506" t="str">
            <v>TKN</v>
          </cell>
          <cell r="O506" t="str">
            <v>NS</v>
          </cell>
          <cell r="P506" t="str">
            <v>FPI</v>
          </cell>
          <cell r="Q506" t="str">
            <v>CONTRACT</v>
          </cell>
          <cell r="R506" t="str">
            <v>C1</v>
          </cell>
          <cell r="S506" t="str">
            <v>TKN</v>
          </cell>
          <cell r="T506" t="str">
            <v>L</v>
          </cell>
          <cell r="U506">
            <v>0</v>
          </cell>
          <cell r="V506">
            <v>0</v>
          </cell>
          <cell r="W506">
            <v>0</v>
          </cell>
          <cell r="X506">
            <v>1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1</v>
          </cell>
          <cell r="AF506">
            <v>1</v>
          </cell>
          <cell r="AG506">
            <v>0</v>
          </cell>
        </row>
        <row r="507">
          <cell r="A507">
            <v>1</v>
          </cell>
          <cell r="B507">
            <v>4658</v>
          </cell>
          <cell r="C507" t="str">
            <v>AGUS TRIYONO</v>
          </cell>
          <cell r="D507" t="str">
            <v>TKN-25</v>
          </cell>
          <cell r="E507">
            <v>38901</v>
          </cell>
          <cell r="F507" t="str">
            <v>-</v>
          </cell>
          <cell r="G507" t="str">
            <v>-</v>
          </cell>
          <cell r="H507" t="str">
            <v>PRD</v>
          </cell>
          <cell r="I507" t="str">
            <v>WORKSHOP</v>
          </cell>
          <cell r="J507" t="str">
            <v>ALL</v>
          </cell>
          <cell r="K507" t="str">
            <v>-</v>
          </cell>
          <cell r="L507" t="str">
            <v>WORKSHOP</v>
          </cell>
          <cell r="M507" t="str">
            <v>TKN</v>
          </cell>
          <cell r="N507" t="str">
            <v>TKN</v>
          </cell>
          <cell r="O507" t="str">
            <v>NS</v>
          </cell>
          <cell r="P507" t="str">
            <v>FPI</v>
          </cell>
          <cell r="Q507" t="str">
            <v>PERMANENT</v>
          </cell>
          <cell r="R507" t="str">
            <v>PRM</v>
          </cell>
          <cell r="S507" t="str">
            <v>TKN</v>
          </cell>
          <cell r="T507" t="str">
            <v>L</v>
          </cell>
          <cell r="U507">
            <v>0</v>
          </cell>
          <cell r="V507">
            <v>0</v>
          </cell>
          <cell r="W507">
            <v>0</v>
          </cell>
          <cell r="X507">
            <v>1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1</v>
          </cell>
          <cell r="AF507">
            <v>1</v>
          </cell>
          <cell r="AG507">
            <v>0</v>
          </cell>
        </row>
        <row r="508">
          <cell r="A508">
            <v>1</v>
          </cell>
          <cell r="B508">
            <v>4957</v>
          </cell>
          <cell r="C508" t="str">
            <v>HANUNG SETIAJI NUGROHO</v>
          </cell>
          <cell r="D508" t="str">
            <v>ES-25</v>
          </cell>
          <cell r="E508">
            <v>38936</v>
          </cell>
          <cell r="F508" t="str">
            <v>-</v>
          </cell>
          <cell r="G508" t="str">
            <v>-</v>
          </cell>
          <cell r="H508" t="str">
            <v>PRD</v>
          </cell>
          <cell r="I508" t="str">
            <v>WORKSHOP</v>
          </cell>
          <cell r="J508" t="str">
            <v>ALL</v>
          </cell>
          <cell r="K508" t="str">
            <v>-</v>
          </cell>
          <cell r="L508" t="str">
            <v>WORKSHOP</v>
          </cell>
          <cell r="M508" t="str">
            <v>LEADER</v>
          </cell>
          <cell r="N508" t="str">
            <v>FPI LL</v>
          </cell>
          <cell r="O508" t="str">
            <v>NS</v>
          </cell>
          <cell r="P508" t="str">
            <v>FPI</v>
          </cell>
          <cell r="Q508" t="str">
            <v>PERMANENT</v>
          </cell>
          <cell r="R508" t="str">
            <v>PRM</v>
          </cell>
          <cell r="S508" t="str">
            <v>ES</v>
          </cell>
          <cell r="T508" t="str">
            <v>L</v>
          </cell>
          <cell r="U508">
            <v>0</v>
          </cell>
          <cell r="V508">
            <v>1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1</v>
          </cell>
          <cell r="AF508">
            <v>1</v>
          </cell>
          <cell r="AG508">
            <v>0</v>
          </cell>
        </row>
        <row r="509">
          <cell r="A509">
            <v>1</v>
          </cell>
          <cell r="B509">
            <v>5484</v>
          </cell>
          <cell r="C509" t="str">
            <v>SUMARTONO</v>
          </cell>
          <cell r="D509" t="str">
            <v>TKN-31</v>
          </cell>
          <cell r="E509">
            <v>38991</v>
          </cell>
          <cell r="F509" t="str">
            <v>-</v>
          </cell>
          <cell r="G509" t="str">
            <v>-</v>
          </cell>
          <cell r="H509" t="str">
            <v>PRD</v>
          </cell>
          <cell r="I509" t="str">
            <v>WORKSHOP</v>
          </cell>
          <cell r="J509" t="str">
            <v>ALL</v>
          </cell>
          <cell r="K509" t="str">
            <v>-</v>
          </cell>
          <cell r="L509" t="str">
            <v>WORKSHOP</v>
          </cell>
          <cell r="M509" t="str">
            <v>Teknisi</v>
          </cell>
          <cell r="N509" t="str">
            <v>TKN</v>
          </cell>
          <cell r="O509" t="str">
            <v>NS</v>
          </cell>
          <cell r="P509" t="str">
            <v>FPI</v>
          </cell>
          <cell r="Q509" t="str">
            <v>PERMANENT</v>
          </cell>
          <cell r="R509" t="str">
            <v>PRM</v>
          </cell>
          <cell r="S509" t="str">
            <v>TKN</v>
          </cell>
          <cell r="T509" t="str">
            <v>L</v>
          </cell>
          <cell r="U509">
            <v>0</v>
          </cell>
          <cell r="V509">
            <v>0</v>
          </cell>
          <cell r="W509">
            <v>0</v>
          </cell>
          <cell r="X509">
            <v>1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1</v>
          </cell>
          <cell r="AF509">
            <v>1</v>
          </cell>
          <cell r="AG509">
            <v>0</v>
          </cell>
        </row>
        <row r="510">
          <cell r="A510">
            <v>1</v>
          </cell>
          <cell r="B510">
            <v>5535</v>
          </cell>
          <cell r="C510" t="str">
            <v>PUPUT ANDRIYANTO</v>
          </cell>
          <cell r="D510" t="str">
            <v>ES-26</v>
          </cell>
          <cell r="E510">
            <v>39037</v>
          </cell>
          <cell r="F510">
            <v>39037</v>
          </cell>
          <cell r="G510">
            <v>39386</v>
          </cell>
          <cell r="H510" t="str">
            <v>PRD</v>
          </cell>
          <cell r="I510" t="str">
            <v>WORKSHOP</v>
          </cell>
          <cell r="J510" t="str">
            <v>ALL</v>
          </cell>
          <cell r="K510" t="str">
            <v>-</v>
          </cell>
          <cell r="L510" t="str">
            <v>WORKSHOP</v>
          </cell>
          <cell r="M510" t="str">
            <v>LEADER</v>
          </cell>
          <cell r="N510" t="str">
            <v>FPI LL</v>
          </cell>
          <cell r="O510" t="str">
            <v>NS</v>
          </cell>
          <cell r="P510" t="str">
            <v>FPI</v>
          </cell>
          <cell r="Q510" t="str">
            <v>CONTRACT</v>
          </cell>
          <cell r="R510" t="str">
            <v>C1</v>
          </cell>
          <cell r="S510" t="str">
            <v>ES</v>
          </cell>
          <cell r="T510" t="str">
            <v>L</v>
          </cell>
          <cell r="U510">
            <v>0</v>
          </cell>
          <cell r="V510">
            <v>1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1</v>
          </cell>
          <cell r="AF510">
            <v>1</v>
          </cell>
          <cell r="AG510">
            <v>0</v>
          </cell>
        </row>
        <row r="511">
          <cell r="A511">
            <v>1</v>
          </cell>
          <cell r="B511">
            <v>5562</v>
          </cell>
          <cell r="C511" t="str">
            <v>NUR MUJIYANTO</v>
          </cell>
          <cell r="D511" t="str">
            <v>TKN-34</v>
          </cell>
          <cell r="E511">
            <v>39049</v>
          </cell>
          <cell r="F511">
            <v>39173</v>
          </cell>
          <cell r="G511">
            <v>39538</v>
          </cell>
          <cell r="H511" t="str">
            <v>PRD</v>
          </cell>
          <cell r="I511" t="str">
            <v>WORKSHOP</v>
          </cell>
          <cell r="J511" t="str">
            <v>ALL</v>
          </cell>
          <cell r="K511" t="str">
            <v>-</v>
          </cell>
          <cell r="L511" t="str">
            <v>WORKSHOP</v>
          </cell>
          <cell r="M511" t="str">
            <v>Teknisi</v>
          </cell>
          <cell r="N511" t="str">
            <v>TKN</v>
          </cell>
          <cell r="O511" t="str">
            <v>NS</v>
          </cell>
          <cell r="P511" t="str">
            <v>FPI</v>
          </cell>
          <cell r="Q511" t="str">
            <v>CONTRACT</v>
          </cell>
          <cell r="R511" t="str">
            <v>C1</v>
          </cell>
          <cell r="S511" t="str">
            <v>TKN</v>
          </cell>
          <cell r="T511" t="str">
            <v>L</v>
          </cell>
          <cell r="U511">
            <v>0</v>
          </cell>
          <cell r="V511">
            <v>0</v>
          </cell>
          <cell r="W511">
            <v>0</v>
          </cell>
          <cell r="X511">
            <v>1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1</v>
          </cell>
          <cell r="AF511">
            <v>1</v>
          </cell>
          <cell r="AG511">
            <v>0</v>
          </cell>
        </row>
        <row r="512">
          <cell r="A512">
            <v>1</v>
          </cell>
          <cell r="B512">
            <v>6112</v>
          </cell>
          <cell r="C512" t="str">
            <v>DWI ADIL WICAKSONO</v>
          </cell>
          <cell r="D512" t="str">
            <v>TKN-37</v>
          </cell>
          <cell r="E512">
            <v>39142</v>
          </cell>
          <cell r="F512">
            <v>39142</v>
          </cell>
          <cell r="G512">
            <v>39506</v>
          </cell>
          <cell r="H512" t="str">
            <v>PRD</v>
          </cell>
          <cell r="I512" t="str">
            <v>WORKSHOP</v>
          </cell>
          <cell r="J512" t="str">
            <v>ALL</v>
          </cell>
          <cell r="K512" t="str">
            <v>-</v>
          </cell>
          <cell r="L512" t="str">
            <v>WORKSHOP</v>
          </cell>
          <cell r="M512" t="str">
            <v>Teknisi</v>
          </cell>
          <cell r="N512" t="str">
            <v>TKN</v>
          </cell>
          <cell r="O512" t="str">
            <v>NS</v>
          </cell>
          <cell r="P512" t="str">
            <v>FPI</v>
          </cell>
          <cell r="Q512" t="str">
            <v>CONTRACT</v>
          </cell>
          <cell r="R512" t="str">
            <v>C3</v>
          </cell>
          <cell r="S512" t="str">
            <v>TKN</v>
          </cell>
          <cell r="T512" t="str">
            <v>L</v>
          </cell>
          <cell r="U512">
            <v>0</v>
          </cell>
          <cell r="V512">
            <v>0</v>
          </cell>
          <cell r="W512">
            <v>0</v>
          </cell>
          <cell r="X512">
            <v>1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1</v>
          </cell>
          <cell r="AF512">
            <v>1</v>
          </cell>
          <cell r="AG512">
            <v>0</v>
          </cell>
        </row>
        <row r="513">
          <cell r="A513">
            <v>1</v>
          </cell>
          <cell r="B513">
            <v>261</v>
          </cell>
          <cell r="C513" t="str">
            <v>KURIYANTI</v>
          </cell>
          <cell r="D513" t="str">
            <v>OPT-7</v>
          </cell>
          <cell r="E513">
            <v>37704</v>
          </cell>
          <cell r="F513" t="str">
            <v>-</v>
          </cell>
          <cell r="G513" t="str">
            <v>-</v>
          </cell>
          <cell r="H513" t="str">
            <v>PRD</v>
          </cell>
          <cell r="I513" t="str">
            <v>PROTOYPE</v>
          </cell>
          <cell r="J513" t="str">
            <v>ALL</v>
          </cell>
          <cell r="K513" t="str">
            <v>-</v>
          </cell>
          <cell r="L513" t="str">
            <v>PROTOYPE</v>
          </cell>
          <cell r="M513" t="str">
            <v>GL PROTO</v>
          </cell>
          <cell r="N513" t="str">
            <v>OTS</v>
          </cell>
          <cell r="O513" t="str">
            <v>NS</v>
          </cell>
          <cell r="P513" t="str">
            <v>FPI</v>
          </cell>
          <cell r="Q513" t="str">
            <v>PERMANENT</v>
          </cell>
          <cell r="R513" t="str">
            <v>PRM</v>
          </cell>
          <cell r="S513" t="str">
            <v>GL</v>
          </cell>
          <cell r="T513" t="str">
            <v>P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1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1</v>
          </cell>
          <cell r="AF513">
            <v>0</v>
          </cell>
          <cell r="AG513">
            <v>0</v>
          </cell>
        </row>
        <row r="514">
          <cell r="A514">
            <v>1</v>
          </cell>
          <cell r="B514">
            <v>934</v>
          </cell>
          <cell r="C514" t="str">
            <v>UTAMI</v>
          </cell>
          <cell r="D514" t="str">
            <v>OPT-24</v>
          </cell>
          <cell r="E514">
            <v>37865</v>
          </cell>
          <cell r="F514" t="str">
            <v>-</v>
          </cell>
          <cell r="G514" t="str">
            <v>-</v>
          </cell>
          <cell r="H514" t="str">
            <v>PRD</v>
          </cell>
          <cell r="I514" t="str">
            <v>PROTOYPE</v>
          </cell>
          <cell r="J514" t="str">
            <v>ALL</v>
          </cell>
          <cell r="K514" t="str">
            <v>-</v>
          </cell>
          <cell r="L514" t="str">
            <v>PROTOYPE</v>
          </cell>
          <cell r="M514" t="str">
            <v>WT PROTO</v>
          </cell>
          <cell r="N514" t="str">
            <v>OTS</v>
          </cell>
          <cell r="O514" t="str">
            <v>NS</v>
          </cell>
          <cell r="P514" t="str">
            <v>FPI</v>
          </cell>
          <cell r="Q514" t="str">
            <v>PERMANENT</v>
          </cell>
          <cell r="R514" t="str">
            <v>PRM</v>
          </cell>
          <cell r="S514" t="str">
            <v>OPT</v>
          </cell>
          <cell r="T514" t="str">
            <v>P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1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1</v>
          </cell>
          <cell r="AF514">
            <v>0</v>
          </cell>
          <cell r="AG514">
            <v>0</v>
          </cell>
        </row>
        <row r="515">
          <cell r="A515">
            <v>1</v>
          </cell>
          <cell r="B515">
            <v>974</v>
          </cell>
          <cell r="C515" t="str">
            <v>ENDANG MARGIYATI</v>
          </cell>
          <cell r="D515" t="str">
            <v>OPT-25</v>
          </cell>
          <cell r="E515">
            <v>37872</v>
          </cell>
          <cell r="F515" t="str">
            <v>-</v>
          </cell>
          <cell r="G515" t="str">
            <v>-</v>
          </cell>
          <cell r="H515" t="str">
            <v>PRD</v>
          </cell>
          <cell r="I515" t="str">
            <v>PROTOYPE</v>
          </cell>
          <cell r="J515" t="str">
            <v>ALL</v>
          </cell>
          <cell r="K515" t="str">
            <v>-</v>
          </cell>
          <cell r="L515" t="str">
            <v>PROTOYPE</v>
          </cell>
          <cell r="M515" t="str">
            <v>S/T PROTO</v>
          </cell>
          <cell r="N515" t="str">
            <v>OTS</v>
          </cell>
          <cell r="O515" t="str">
            <v>NS</v>
          </cell>
          <cell r="P515" t="str">
            <v>FPI</v>
          </cell>
          <cell r="Q515" t="str">
            <v>PERMANENT</v>
          </cell>
          <cell r="R515" t="str">
            <v>PRM</v>
          </cell>
          <cell r="S515" t="str">
            <v>OPT</v>
          </cell>
          <cell r="T515" t="str">
            <v>P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1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1</v>
          </cell>
          <cell r="AF515">
            <v>0</v>
          </cell>
          <cell r="AG515">
            <v>0</v>
          </cell>
        </row>
        <row r="516">
          <cell r="A516">
            <v>1</v>
          </cell>
          <cell r="B516">
            <v>1325</v>
          </cell>
          <cell r="C516" t="str">
            <v>DEWI KUMALA RATIH</v>
          </cell>
          <cell r="D516" t="str">
            <v>OPT-32</v>
          </cell>
          <cell r="E516">
            <v>37928</v>
          </cell>
          <cell r="F516" t="str">
            <v>-</v>
          </cell>
          <cell r="G516" t="str">
            <v>-</v>
          </cell>
          <cell r="H516" t="str">
            <v>PRD</v>
          </cell>
          <cell r="I516" t="str">
            <v>PROTOYPE</v>
          </cell>
          <cell r="J516" t="str">
            <v>ALL</v>
          </cell>
          <cell r="K516" t="str">
            <v>-</v>
          </cell>
          <cell r="L516" t="str">
            <v>PROTOYPE</v>
          </cell>
          <cell r="M516" t="str">
            <v>MATERIAL SUPPLY</v>
          </cell>
          <cell r="N516" t="str">
            <v>OTS</v>
          </cell>
          <cell r="O516" t="str">
            <v>NS</v>
          </cell>
          <cell r="P516" t="str">
            <v>FPI</v>
          </cell>
          <cell r="Q516" t="str">
            <v>PERMANENT</v>
          </cell>
          <cell r="R516" t="str">
            <v>PRM</v>
          </cell>
          <cell r="S516" t="str">
            <v>OPT</v>
          </cell>
          <cell r="T516" t="str">
            <v>P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1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1</v>
          </cell>
          <cell r="AF516">
            <v>0</v>
          </cell>
          <cell r="AG516">
            <v>0</v>
          </cell>
        </row>
        <row r="517">
          <cell r="A517">
            <v>1</v>
          </cell>
          <cell r="B517">
            <v>3165</v>
          </cell>
          <cell r="C517" t="str">
            <v>HERMAWAN ARDIANSYAH</v>
          </cell>
          <cell r="D517" t="str">
            <v>ES-17</v>
          </cell>
          <cell r="E517">
            <v>38236</v>
          </cell>
          <cell r="F517" t="str">
            <v>-</v>
          </cell>
          <cell r="G517" t="str">
            <v>-</v>
          </cell>
          <cell r="H517" t="str">
            <v>PRD</v>
          </cell>
          <cell r="I517" t="str">
            <v>PROTOYPE</v>
          </cell>
          <cell r="J517" t="str">
            <v>ALL</v>
          </cell>
          <cell r="K517" t="str">
            <v>-</v>
          </cell>
          <cell r="L517" t="str">
            <v>PROTOYPE</v>
          </cell>
          <cell r="M517" t="str">
            <v>LINE LEADER</v>
          </cell>
          <cell r="N517" t="str">
            <v>FPI LL</v>
          </cell>
          <cell r="O517" t="str">
            <v>NS</v>
          </cell>
          <cell r="P517" t="str">
            <v>FPI</v>
          </cell>
          <cell r="Q517" t="str">
            <v>PERMANENT</v>
          </cell>
          <cell r="R517" t="str">
            <v>PRM</v>
          </cell>
          <cell r="S517" t="str">
            <v>ES</v>
          </cell>
          <cell r="T517" t="str">
            <v>L</v>
          </cell>
          <cell r="U517">
            <v>0</v>
          </cell>
          <cell r="V517">
            <v>1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1</v>
          </cell>
          <cell r="AF517">
            <v>1</v>
          </cell>
          <cell r="AG517">
            <v>0</v>
          </cell>
        </row>
        <row r="518">
          <cell r="A518">
            <v>1</v>
          </cell>
          <cell r="B518">
            <v>4552</v>
          </cell>
          <cell r="C518" t="str">
            <v>RENI WIDIASTUTI</v>
          </cell>
          <cell r="D518" t="str">
            <v>OPT-112</v>
          </cell>
          <cell r="E518">
            <v>38796</v>
          </cell>
          <cell r="F518">
            <v>39295</v>
          </cell>
          <cell r="G518">
            <v>39660</v>
          </cell>
          <cell r="H518" t="str">
            <v>PRD</v>
          </cell>
          <cell r="I518" t="str">
            <v>PROTOYPE</v>
          </cell>
          <cell r="J518" t="str">
            <v>ALL</v>
          </cell>
          <cell r="K518" t="str">
            <v>-</v>
          </cell>
          <cell r="L518" t="str">
            <v>PROTOYPE</v>
          </cell>
          <cell r="M518" t="str">
            <v>S/A PROTO</v>
          </cell>
          <cell r="N518" t="str">
            <v>OTS</v>
          </cell>
          <cell r="O518" t="str">
            <v>NS</v>
          </cell>
          <cell r="P518" t="str">
            <v>FPI</v>
          </cell>
          <cell r="Q518" t="str">
            <v>CONTRACT</v>
          </cell>
          <cell r="R518" t="str">
            <v>C2</v>
          </cell>
          <cell r="S518" t="str">
            <v>OPT</v>
          </cell>
          <cell r="T518" t="str">
            <v>P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1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1</v>
          </cell>
          <cell r="AF518">
            <v>0</v>
          </cell>
          <cell r="AG518">
            <v>0</v>
          </cell>
        </row>
        <row r="519">
          <cell r="A519">
            <v>1</v>
          </cell>
          <cell r="B519">
            <v>4559</v>
          </cell>
          <cell r="C519" t="str">
            <v>SITI FAJAR RIYANI</v>
          </cell>
          <cell r="D519" t="str">
            <v>OPT-112</v>
          </cell>
          <cell r="E519">
            <v>38796</v>
          </cell>
          <cell r="F519">
            <v>39295</v>
          </cell>
          <cell r="G519">
            <v>39660</v>
          </cell>
          <cell r="H519" t="str">
            <v>PRD</v>
          </cell>
          <cell r="I519" t="str">
            <v>PROTOYPE</v>
          </cell>
          <cell r="J519" t="str">
            <v>ALL</v>
          </cell>
          <cell r="K519" t="str">
            <v>-</v>
          </cell>
          <cell r="L519" t="str">
            <v>PROTOYPE</v>
          </cell>
          <cell r="M519" t="str">
            <v>S/A PROTO</v>
          </cell>
          <cell r="N519" t="str">
            <v>OTS</v>
          </cell>
          <cell r="O519" t="str">
            <v>NS</v>
          </cell>
          <cell r="P519" t="str">
            <v>FPI</v>
          </cell>
          <cell r="Q519" t="str">
            <v>CONTRACT</v>
          </cell>
          <cell r="R519" t="str">
            <v>C2</v>
          </cell>
          <cell r="S519" t="str">
            <v>OPT</v>
          </cell>
          <cell r="T519" t="str">
            <v>P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1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1</v>
          </cell>
          <cell r="AF519">
            <v>0</v>
          </cell>
          <cell r="AG519">
            <v>0</v>
          </cell>
        </row>
        <row r="520">
          <cell r="A520">
            <v>1</v>
          </cell>
          <cell r="B520">
            <v>4653</v>
          </cell>
          <cell r="C520" t="str">
            <v>EKA SULISTIYANI</v>
          </cell>
          <cell r="D520" t="str">
            <v>OPT-115</v>
          </cell>
          <cell r="E520">
            <v>38901</v>
          </cell>
          <cell r="F520" t="str">
            <v>-</v>
          </cell>
          <cell r="G520" t="str">
            <v>-</v>
          </cell>
          <cell r="H520" t="str">
            <v>PRD</v>
          </cell>
          <cell r="I520" t="str">
            <v>PROTOYPE</v>
          </cell>
          <cell r="J520" t="str">
            <v>ALL</v>
          </cell>
          <cell r="K520" t="str">
            <v>-</v>
          </cell>
          <cell r="L520" t="str">
            <v>PROTOYPE</v>
          </cell>
          <cell r="M520" t="str">
            <v>T/P PROTO</v>
          </cell>
          <cell r="N520" t="str">
            <v>OTS</v>
          </cell>
          <cell r="O520" t="str">
            <v>NS</v>
          </cell>
          <cell r="P520" t="str">
            <v>FPI</v>
          </cell>
          <cell r="Q520" t="str">
            <v>PERMANENT</v>
          </cell>
          <cell r="R520" t="str">
            <v>PRM</v>
          </cell>
          <cell r="S520" t="str">
            <v>OPT</v>
          </cell>
          <cell r="T520" t="str">
            <v>P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1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1</v>
          </cell>
          <cell r="AF520">
            <v>0</v>
          </cell>
          <cell r="AG520">
            <v>0</v>
          </cell>
        </row>
        <row r="521">
          <cell r="A521">
            <v>1</v>
          </cell>
          <cell r="B521">
            <v>4753</v>
          </cell>
          <cell r="C521" t="str">
            <v>EVA NURYANI</v>
          </cell>
          <cell r="D521" t="str">
            <v>OPT-117</v>
          </cell>
          <cell r="E521">
            <v>38915</v>
          </cell>
          <cell r="F521">
            <v>39052</v>
          </cell>
          <cell r="G521">
            <v>39416</v>
          </cell>
          <cell r="H521" t="str">
            <v>PRD</v>
          </cell>
          <cell r="I521" t="str">
            <v>PROTOYPE</v>
          </cell>
          <cell r="J521" t="str">
            <v>ALL</v>
          </cell>
          <cell r="K521" t="str">
            <v>-</v>
          </cell>
          <cell r="L521" t="str">
            <v>PROTOYPE</v>
          </cell>
          <cell r="M521" t="str">
            <v>S/T PROTO</v>
          </cell>
          <cell r="N521" t="str">
            <v>OTS</v>
          </cell>
          <cell r="O521" t="str">
            <v>NS</v>
          </cell>
          <cell r="P521" t="str">
            <v>FPI</v>
          </cell>
          <cell r="Q521" t="str">
            <v>CONTRACT</v>
          </cell>
          <cell r="R521" t="str">
            <v>C1</v>
          </cell>
          <cell r="S521" t="str">
            <v>OPT</v>
          </cell>
          <cell r="T521" t="str">
            <v>P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1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1</v>
          </cell>
          <cell r="AF521">
            <v>0</v>
          </cell>
          <cell r="AG521">
            <v>0</v>
          </cell>
        </row>
        <row r="522">
          <cell r="A522">
            <v>1</v>
          </cell>
          <cell r="B522">
            <v>4845</v>
          </cell>
          <cell r="C522" t="str">
            <v>ATIK FITRIYANI</v>
          </cell>
          <cell r="D522" t="str">
            <v>OPT-120</v>
          </cell>
          <cell r="E522">
            <v>38930</v>
          </cell>
          <cell r="F522" t="str">
            <v>-</v>
          </cell>
          <cell r="G522" t="str">
            <v>-</v>
          </cell>
          <cell r="H522" t="str">
            <v>PRD</v>
          </cell>
          <cell r="I522" t="str">
            <v>PROTOYPE</v>
          </cell>
          <cell r="J522" t="str">
            <v>ALL</v>
          </cell>
          <cell r="K522" t="str">
            <v>-</v>
          </cell>
          <cell r="L522" t="str">
            <v>PROTOYPE</v>
          </cell>
          <cell r="M522" t="str">
            <v>T/P PROTO</v>
          </cell>
          <cell r="N522" t="str">
            <v>OTS</v>
          </cell>
          <cell r="O522" t="str">
            <v>NS</v>
          </cell>
          <cell r="P522" t="str">
            <v>FPI</v>
          </cell>
          <cell r="Q522" t="str">
            <v>PERMANENT</v>
          </cell>
          <cell r="R522" t="str">
            <v>PRM</v>
          </cell>
          <cell r="S522" t="str">
            <v>OPT</v>
          </cell>
          <cell r="T522" t="str">
            <v>P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1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1</v>
          </cell>
          <cell r="AF522">
            <v>0</v>
          </cell>
          <cell r="AG522">
            <v>0</v>
          </cell>
        </row>
        <row r="523">
          <cell r="A523">
            <v>1</v>
          </cell>
          <cell r="B523">
            <v>4849</v>
          </cell>
          <cell r="C523" t="str">
            <v xml:space="preserve">YENY FADLILAH                    </v>
          </cell>
          <cell r="D523" t="str">
            <v>OPT-120</v>
          </cell>
          <cell r="E523">
            <v>38930</v>
          </cell>
          <cell r="F523" t="str">
            <v>-</v>
          </cell>
          <cell r="G523" t="str">
            <v>-</v>
          </cell>
          <cell r="H523" t="str">
            <v>PRD</v>
          </cell>
          <cell r="I523" t="str">
            <v>PROTOYPE</v>
          </cell>
          <cell r="J523" t="str">
            <v>ALL</v>
          </cell>
          <cell r="K523" t="str">
            <v>-</v>
          </cell>
          <cell r="L523" t="str">
            <v>PROTOYPE</v>
          </cell>
          <cell r="M523" t="str">
            <v>S/T PROTO</v>
          </cell>
          <cell r="N523" t="str">
            <v>OTS</v>
          </cell>
          <cell r="O523" t="str">
            <v>NS</v>
          </cell>
          <cell r="P523" t="str">
            <v>FPI</v>
          </cell>
          <cell r="Q523" t="str">
            <v>PERMANENT</v>
          </cell>
          <cell r="R523" t="str">
            <v>PRM</v>
          </cell>
          <cell r="S523" t="str">
            <v>OPT</v>
          </cell>
          <cell r="T523" t="str">
            <v>P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1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1</v>
          </cell>
          <cell r="AF523">
            <v>0</v>
          </cell>
          <cell r="AG523">
            <v>0</v>
          </cell>
        </row>
        <row r="524">
          <cell r="A524">
            <v>1</v>
          </cell>
          <cell r="B524">
            <v>4929</v>
          </cell>
          <cell r="C524" t="str">
            <v>PURNAWATI</v>
          </cell>
          <cell r="D524" t="str">
            <v>OPT-121</v>
          </cell>
          <cell r="E524">
            <v>38936</v>
          </cell>
          <cell r="F524">
            <v>39052</v>
          </cell>
          <cell r="G524">
            <v>39416</v>
          </cell>
          <cell r="H524" t="str">
            <v>PRD</v>
          </cell>
          <cell r="I524" t="str">
            <v>PROTOYPE</v>
          </cell>
          <cell r="J524" t="str">
            <v>ALL</v>
          </cell>
          <cell r="K524" t="str">
            <v>-</v>
          </cell>
          <cell r="L524" t="str">
            <v>PROTOYPE</v>
          </cell>
          <cell r="M524" t="str">
            <v>T/P PROTO</v>
          </cell>
          <cell r="N524" t="str">
            <v>OTS</v>
          </cell>
          <cell r="O524" t="str">
            <v>NS</v>
          </cell>
          <cell r="P524" t="str">
            <v>FPI</v>
          </cell>
          <cell r="Q524" t="str">
            <v>CONTRACT</v>
          </cell>
          <cell r="R524" t="str">
            <v>C1</v>
          </cell>
          <cell r="S524" t="str">
            <v>OPT</v>
          </cell>
          <cell r="T524" t="str">
            <v>P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1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1</v>
          </cell>
          <cell r="AF524">
            <v>0</v>
          </cell>
          <cell r="AG524">
            <v>0</v>
          </cell>
        </row>
        <row r="525">
          <cell r="A525">
            <v>1</v>
          </cell>
          <cell r="B525">
            <v>5009</v>
          </cell>
          <cell r="C525" t="str">
            <v>WIWIK HANDAYANI</v>
          </cell>
          <cell r="D525" t="str">
            <v>OPT-122</v>
          </cell>
          <cell r="E525">
            <v>38943</v>
          </cell>
          <cell r="F525">
            <v>39052</v>
          </cell>
          <cell r="G525">
            <v>39416</v>
          </cell>
          <cell r="H525" t="str">
            <v>PRD</v>
          </cell>
          <cell r="I525" t="str">
            <v>PROTOYPE</v>
          </cell>
          <cell r="J525" t="str">
            <v>ALL</v>
          </cell>
          <cell r="K525" t="str">
            <v>-</v>
          </cell>
          <cell r="L525" t="str">
            <v>PROTOYPE</v>
          </cell>
          <cell r="M525" t="str">
            <v>MATERIAL SUPPLY</v>
          </cell>
          <cell r="N525" t="str">
            <v>OTS</v>
          </cell>
          <cell r="O525" t="str">
            <v>NS</v>
          </cell>
          <cell r="P525" t="str">
            <v>FPI</v>
          </cell>
          <cell r="Q525" t="str">
            <v>CONTRACT</v>
          </cell>
          <cell r="R525" t="str">
            <v>C1</v>
          </cell>
          <cell r="S525" t="str">
            <v>OPT</v>
          </cell>
          <cell r="T525" t="str">
            <v>P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1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1</v>
          </cell>
          <cell r="AF525">
            <v>0</v>
          </cell>
          <cell r="AG525">
            <v>0</v>
          </cell>
        </row>
        <row r="526">
          <cell r="A526">
            <v>1</v>
          </cell>
          <cell r="B526">
            <v>5016</v>
          </cell>
          <cell r="C526" t="str">
            <v>ASIYAH</v>
          </cell>
          <cell r="D526" t="str">
            <v>OPT-122</v>
          </cell>
          <cell r="E526">
            <v>38943</v>
          </cell>
          <cell r="F526">
            <v>39052</v>
          </cell>
          <cell r="G526">
            <v>39416</v>
          </cell>
          <cell r="H526" t="str">
            <v>PRD</v>
          </cell>
          <cell r="I526" t="str">
            <v>PROTOYPE</v>
          </cell>
          <cell r="J526" t="str">
            <v>ALL</v>
          </cell>
          <cell r="K526" t="str">
            <v>-</v>
          </cell>
          <cell r="L526" t="str">
            <v>PROTOYPE</v>
          </cell>
          <cell r="M526" t="str">
            <v>S/A PROTO</v>
          </cell>
          <cell r="N526" t="str">
            <v>OTS</v>
          </cell>
          <cell r="O526" t="str">
            <v>NS</v>
          </cell>
          <cell r="P526" t="str">
            <v>FPI</v>
          </cell>
          <cell r="Q526" t="str">
            <v>CONTRACT</v>
          </cell>
          <cell r="R526" t="str">
            <v>C1</v>
          </cell>
          <cell r="S526" t="str">
            <v>OPT</v>
          </cell>
          <cell r="T526" t="str">
            <v>P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1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1</v>
          </cell>
          <cell r="AF526">
            <v>0</v>
          </cell>
          <cell r="AG526">
            <v>0</v>
          </cell>
        </row>
        <row r="527">
          <cell r="A527">
            <v>1</v>
          </cell>
          <cell r="B527">
            <v>5020</v>
          </cell>
          <cell r="C527" t="str">
            <v>DYAN AYU FAUZIAH</v>
          </cell>
          <cell r="D527" t="str">
            <v>OPT-122</v>
          </cell>
          <cell r="E527">
            <v>38943</v>
          </cell>
          <cell r="F527">
            <v>39052</v>
          </cell>
          <cell r="G527">
            <v>39416</v>
          </cell>
          <cell r="H527" t="str">
            <v>PRD</v>
          </cell>
          <cell r="I527" t="str">
            <v>PROTOYPE</v>
          </cell>
          <cell r="J527" t="str">
            <v>ALL</v>
          </cell>
          <cell r="K527" t="str">
            <v>-</v>
          </cell>
          <cell r="L527" t="str">
            <v>PROTOYPE</v>
          </cell>
          <cell r="M527" t="str">
            <v>T/P PROTO</v>
          </cell>
          <cell r="N527" t="str">
            <v>OTS</v>
          </cell>
          <cell r="O527" t="str">
            <v>NS</v>
          </cell>
          <cell r="P527" t="str">
            <v>FPI</v>
          </cell>
          <cell r="Q527" t="str">
            <v>CONTRACT</v>
          </cell>
          <cell r="R527" t="str">
            <v>C1</v>
          </cell>
          <cell r="S527" t="str">
            <v>OPT</v>
          </cell>
          <cell r="T527" t="str">
            <v>P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1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1</v>
          </cell>
          <cell r="AF527">
            <v>0</v>
          </cell>
          <cell r="AG527">
            <v>0</v>
          </cell>
        </row>
        <row r="528">
          <cell r="A528">
            <v>1</v>
          </cell>
          <cell r="B528">
            <v>5887</v>
          </cell>
          <cell r="C528" t="str">
            <v>DEWI JAMIAH</v>
          </cell>
          <cell r="D528" t="str">
            <v>OPT-137</v>
          </cell>
          <cell r="E528">
            <v>39129</v>
          </cell>
          <cell r="F528">
            <v>39129</v>
          </cell>
          <cell r="G528">
            <v>39493</v>
          </cell>
          <cell r="H528" t="str">
            <v>PRD</v>
          </cell>
          <cell r="I528" t="str">
            <v>PROTOYPE</v>
          </cell>
          <cell r="J528" t="str">
            <v>ALL</v>
          </cell>
          <cell r="K528" t="str">
            <v>-</v>
          </cell>
          <cell r="L528" t="str">
            <v>PROTOYPE</v>
          </cell>
          <cell r="M528" t="str">
            <v>S/T PROTO</v>
          </cell>
          <cell r="N528" t="str">
            <v>OTS</v>
          </cell>
          <cell r="O528" t="str">
            <v>NS</v>
          </cell>
          <cell r="P528" t="str">
            <v>FPI</v>
          </cell>
          <cell r="Q528" t="str">
            <v>CONTRACT</v>
          </cell>
          <cell r="R528" t="str">
            <v>C3</v>
          </cell>
          <cell r="S528" t="str">
            <v>OPT</v>
          </cell>
          <cell r="T528" t="str">
            <v>P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1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1</v>
          </cell>
          <cell r="AF528">
            <v>0</v>
          </cell>
          <cell r="AG528">
            <v>0</v>
          </cell>
        </row>
        <row r="529">
          <cell r="A529">
            <v>1</v>
          </cell>
          <cell r="B529">
            <v>6150</v>
          </cell>
          <cell r="C529" t="str">
            <v>NURUL LATIFAH</v>
          </cell>
          <cell r="D529" t="str">
            <v>OPT-140</v>
          </cell>
          <cell r="E529">
            <v>39157</v>
          </cell>
          <cell r="F529">
            <v>39157</v>
          </cell>
          <cell r="G529">
            <v>39522</v>
          </cell>
          <cell r="H529" t="str">
            <v>PRD</v>
          </cell>
          <cell r="I529" t="str">
            <v>PROTOYPE</v>
          </cell>
          <cell r="J529" t="str">
            <v>ALL</v>
          </cell>
          <cell r="K529" t="str">
            <v>-</v>
          </cell>
          <cell r="L529" t="str">
            <v>PROTOYPE</v>
          </cell>
          <cell r="M529" t="str">
            <v>S/A PROTO</v>
          </cell>
          <cell r="N529" t="str">
            <v>OTS</v>
          </cell>
          <cell r="O529" t="str">
            <v>NS</v>
          </cell>
          <cell r="P529" t="str">
            <v>FPI</v>
          </cell>
          <cell r="Q529" t="str">
            <v>CONTRACT</v>
          </cell>
          <cell r="R529" t="str">
            <v>C3</v>
          </cell>
          <cell r="S529" t="str">
            <v>OPT</v>
          </cell>
          <cell r="T529" t="str">
            <v>P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1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1</v>
          </cell>
          <cell r="AF529">
            <v>0</v>
          </cell>
          <cell r="AG529">
            <v>0</v>
          </cell>
        </row>
        <row r="530">
          <cell r="A530">
            <v>1</v>
          </cell>
          <cell r="B530">
            <v>1154</v>
          </cell>
          <cell r="C530" t="str">
            <v>AFIK MUFARIDHO</v>
          </cell>
          <cell r="D530" t="str">
            <v>OPT-28</v>
          </cell>
          <cell r="E530">
            <v>37900</v>
          </cell>
          <cell r="F530" t="str">
            <v>-</v>
          </cell>
          <cell r="G530" t="str">
            <v>-</v>
          </cell>
          <cell r="H530" t="str">
            <v>UNALLOCATED</v>
          </cell>
          <cell r="I530" t="str">
            <v>UNALLOCATED</v>
          </cell>
          <cell r="J530" t="str">
            <v>ALL</v>
          </cell>
          <cell r="K530" t="str">
            <v>CUTI HAMIL</v>
          </cell>
          <cell r="L530" t="str">
            <v>CUTI HAMIL</v>
          </cell>
          <cell r="M530" t="str">
            <v>CUTI HAMIL</v>
          </cell>
          <cell r="N530" t="str">
            <v>CUTI HAMIL</v>
          </cell>
          <cell r="O530" t="str">
            <v>-</v>
          </cell>
          <cell r="P530" t="str">
            <v>FPI</v>
          </cell>
          <cell r="Q530" t="str">
            <v>PERMANENT</v>
          </cell>
          <cell r="R530" t="str">
            <v>PRM</v>
          </cell>
          <cell r="S530" t="str">
            <v>OPT</v>
          </cell>
          <cell r="T530" t="str">
            <v>P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1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1</v>
          </cell>
          <cell r="AF530">
            <v>0</v>
          </cell>
          <cell r="AG530">
            <v>0</v>
          </cell>
        </row>
        <row r="531">
          <cell r="A531">
            <v>1</v>
          </cell>
          <cell r="B531">
            <v>1286</v>
          </cell>
          <cell r="C531" t="str">
            <v>SITI TRISNAWATI</v>
          </cell>
          <cell r="D531" t="str">
            <v>OPT-31</v>
          </cell>
          <cell r="E531">
            <v>37921</v>
          </cell>
          <cell r="F531" t="str">
            <v>-</v>
          </cell>
          <cell r="G531" t="str">
            <v>-</v>
          </cell>
          <cell r="H531" t="str">
            <v>UNALLOCATED</v>
          </cell>
          <cell r="I531" t="str">
            <v>UNALLOCATED</v>
          </cell>
          <cell r="J531" t="str">
            <v>ALL</v>
          </cell>
          <cell r="K531" t="str">
            <v>CUTI HAMIL</v>
          </cell>
          <cell r="L531" t="str">
            <v>CUTI HAMIL</v>
          </cell>
          <cell r="M531" t="str">
            <v>CUTI HAMIL</v>
          </cell>
          <cell r="N531" t="str">
            <v>CUTI HAMIL</v>
          </cell>
          <cell r="O531" t="str">
            <v>-</v>
          </cell>
          <cell r="P531" t="str">
            <v>FPI</v>
          </cell>
          <cell r="Q531" t="str">
            <v>PERMANENT</v>
          </cell>
          <cell r="R531" t="str">
            <v>PRM</v>
          </cell>
          <cell r="S531" t="str">
            <v>OPT</v>
          </cell>
          <cell r="T531" t="str">
            <v>P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1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1</v>
          </cell>
          <cell r="AF531">
            <v>0</v>
          </cell>
          <cell r="AG531">
            <v>0</v>
          </cell>
        </row>
        <row r="532">
          <cell r="A532">
            <v>1</v>
          </cell>
          <cell r="B532">
            <v>3721</v>
          </cell>
          <cell r="C532" t="str">
            <v>JUMIATUN</v>
          </cell>
          <cell r="D532" t="str">
            <v>OPT-98</v>
          </cell>
          <cell r="E532">
            <v>38626</v>
          </cell>
          <cell r="F532" t="str">
            <v>-</v>
          </cell>
          <cell r="G532" t="str">
            <v>-</v>
          </cell>
          <cell r="H532" t="str">
            <v>UNALLOCATED</v>
          </cell>
          <cell r="I532" t="str">
            <v>UNALLOCATED</v>
          </cell>
          <cell r="J532" t="str">
            <v>ALL</v>
          </cell>
          <cell r="K532" t="str">
            <v>CUTI HAMIL</v>
          </cell>
          <cell r="L532" t="str">
            <v>CUTI HAMIL</v>
          </cell>
          <cell r="M532" t="str">
            <v>CUTI HAMIL</v>
          </cell>
          <cell r="N532" t="str">
            <v>CUTI HAMIL</v>
          </cell>
          <cell r="O532" t="str">
            <v>-</v>
          </cell>
          <cell r="P532" t="str">
            <v>FPI</v>
          </cell>
          <cell r="Q532" t="str">
            <v>PERMANENT</v>
          </cell>
          <cell r="R532" t="str">
            <v>PRM</v>
          </cell>
          <cell r="S532" t="str">
            <v>GL</v>
          </cell>
          <cell r="T532" t="str">
            <v>P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1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1</v>
          </cell>
          <cell r="AF532">
            <v>0</v>
          </cell>
          <cell r="AG532">
            <v>0</v>
          </cell>
        </row>
        <row r="533">
          <cell r="A533">
            <v>1</v>
          </cell>
          <cell r="B533">
            <v>5814</v>
          </cell>
          <cell r="C533" t="str">
            <v>SITI ZUBAEDAH</v>
          </cell>
          <cell r="D533" t="str">
            <v>OPT-135</v>
          </cell>
          <cell r="E533">
            <v>39114</v>
          </cell>
          <cell r="F533">
            <v>39114</v>
          </cell>
          <cell r="G533">
            <v>39478</v>
          </cell>
          <cell r="H533" t="str">
            <v>UNALLOCATED</v>
          </cell>
          <cell r="I533" t="str">
            <v>UNALLOCATED</v>
          </cell>
          <cell r="J533" t="str">
            <v>ALL</v>
          </cell>
          <cell r="K533" t="str">
            <v>CUTI HAMIL</v>
          </cell>
          <cell r="L533" t="str">
            <v>CUTI HAMIL</v>
          </cell>
          <cell r="M533" t="str">
            <v>CUTI HAMIL</v>
          </cell>
          <cell r="N533" t="str">
            <v>CUTI HAMIL</v>
          </cell>
          <cell r="O533" t="str">
            <v>-</v>
          </cell>
          <cell r="P533" t="str">
            <v>FPI</v>
          </cell>
          <cell r="Q533" t="str">
            <v>CONTRACT</v>
          </cell>
          <cell r="R533" t="str">
            <v>C3</v>
          </cell>
          <cell r="S533" t="str">
            <v>OPT</v>
          </cell>
          <cell r="T533" t="str">
            <v>P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1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1</v>
          </cell>
          <cell r="AF533">
            <v>0</v>
          </cell>
          <cell r="AG533">
            <v>0</v>
          </cell>
        </row>
        <row r="534">
          <cell r="A534">
            <v>1</v>
          </cell>
          <cell r="B534">
            <v>6041</v>
          </cell>
          <cell r="C534" t="str">
            <v>DESTANIA WAHYUNINGRUM</v>
          </cell>
          <cell r="D534" t="str">
            <v>OPT-139</v>
          </cell>
          <cell r="E534">
            <v>39142</v>
          </cell>
          <cell r="F534">
            <v>39142</v>
          </cell>
          <cell r="G534">
            <v>39506</v>
          </cell>
          <cell r="H534" t="str">
            <v>UNALLOCATED</v>
          </cell>
          <cell r="I534" t="str">
            <v>UNALLOCATED</v>
          </cell>
          <cell r="J534" t="str">
            <v>ALL</v>
          </cell>
          <cell r="K534" t="str">
            <v>CUTI HAMIL</v>
          </cell>
          <cell r="L534" t="str">
            <v>CUTI HAMIL</v>
          </cell>
          <cell r="M534" t="str">
            <v>CUTI HAMIL</v>
          </cell>
          <cell r="N534" t="str">
            <v>CUTI HAMIL</v>
          </cell>
          <cell r="O534" t="str">
            <v>-</v>
          </cell>
          <cell r="P534" t="str">
            <v>FPI</v>
          </cell>
          <cell r="Q534" t="str">
            <v>CONTRACT</v>
          </cell>
          <cell r="R534" t="str">
            <v>C3</v>
          </cell>
          <cell r="S534" t="str">
            <v>OPT</v>
          </cell>
          <cell r="T534" t="str">
            <v>P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1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1</v>
          </cell>
          <cell r="AF534">
            <v>0</v>
          </cell>
          <cell r="AG534">
            <v>0</v>
          </cell>
        </row>
        <row r="535">
          <cell r="A535">
            <v>1</v>
          </cell>
          <cell r="B535">
            <v>5922</v>
          </cell>
          <cell r="C535" t="str">
            <v>NOVI ARDIYANTI</v>
          </cell>
          <cell r="D535" t="str">
            <v>OPT-137</v>
          </cell>
          <cell r="E535">
            <v>39129</v>
          </cell>
          <cell r="F535">
            <v>39129</v>
          </cell>
          <cell r="G535">
            <v>39493</v>
          </cell>
          <cell r="H535" t="str">
            <v>UNALLOCATED</v>
          </cell>
          <cell r="I535" t="str">
            <v>UNALLOCATED</v>
          </cell>
          <cell r="J535" t="str">
            <v>ALL</v>
          </cell>
          <cell r="K535" t="str">
            <v>CUTI HAMIL</v>
          </cell>
          <cell r="L535" t="str">
            <v>CUTI HAMIL</v>
          </cell>
          <cell r="M535" t="str">
            <v>CUTI HAMIL</v>
          </cell>
          <cell r="N535" t="str">
            <v>CUTI HAMIL</v>
          </cell>
          <cell r="O535" t="str">
            <v>-</v>
          </cell>
          <cell r="P535" t="str">
            <v>FPI</v>
          </cell>
          <cell r="Q535" t="str">
            <v>CONTRACT</v>
          </cell>
          <cell r="R535" t="str">
            <v>C3</v>
          </cell>
          <cell r="S535" t="str">
            <v>OPT</v>
          </cell>
          <cell r="T535" t="str">
            <v>P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1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1</v>
          </cell>
          <cell r="AF535">
            <v>0</v>
          </cell>
          <cell r="AG535">
            <v>0</v>
          </cell>
        </row>
        <row r="536">
          <cell r="A536">
            <v>1</v>
          </cell>
          <cell r="B536">
            <v>183</v>
          </cell>
          <cell r="C536" t="str">
            <v>SITI NUR KHASANAH</v>
          </cell>
          <cell r="D536" t="str">
            <v>OPT-5</v>
          </cell>
          <cell r="E536">
            <v>37679</v>
          </cell>
          <cell r="F536" t="str">
            <v>-</v>
          </cell>
          <cell r="G536" t="str">
            <v>-</v>
          </cell>
          <cell r="H536" t="str">
            <v>UNALLOCATED</v>
          </cell>
          <cell r="I536" t="str">
            <v>UNALLOCATED</v>
          </cell>
          <cell r="J536" t="str">
            <v>ALL</v>
          </cell>
          <cell r="K536" t="str">
            <v>CUTI HAMIL</v>
          </cell>
          <cell r="L536" t="str">
            <v>CUTI HAMIL</v>
          </cell>
          <cell r="M536" t="str">
            <v>CUTI HAMIL</v>
          </cell>
          <cell r="N536" t="str">
            <v>CUTI HAMIL</v>
          </cell>
          <cell r="O536" t="str">
            <v>-</v>
          </cell>
          <cell r="P536" t="str">
            <v>FPI</v>
          </cell>
          <cell r="Q536" t="str">
            <v>PERMANENT</v>
          </cell>
          <cell r="R536" t="str">
            <v>PRM</v>
          </cell>
          <cell r="S536" t="str">
            <v>ES</v>
          </cell>
          <cell r="T536" t="str">
            <v>P</v>
          </cell>
          <cell r="U536">
            <v>0</v>
          </cell>
          <cell r="V536">
            <v>1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1</v>
          </cell>
          <cell r="AF536">
            <v>0</v>
          </cell>
          <cell r="AG536">
            <v>0</v>
          </cell>
        </row>
        <row r="537">
          <cell r="A537">
            <v>1</v>
          </cell>
          <cell r="B537">
            <v>4052</v>
          </cell>
          <cell r="C537" t="str">
            <v>LIES SUPARNI</v>
          </cell>
          <cell r="D537" t="str">
            <v>OPT-105</v>
          </cell>
          <cell r="E537">
            <v>38729</v>
          </cell>
          <cell r="F537">
            <v>39203</v>
          </cell>
          <cell r="G537">
            <v>39568</v>
          </cell>
          <cell r="H537" t="str">
            <v>UNALLOCATED</v>
          </cell>
          <cell r="I537" t="str">
            <v>UNALLOCATED</v>
          </cell>
          <cell r="J537" t="str">
            <v>ALL</v>
          </cell>
          <cell r="K537" t="str">
            <v>CUTI HAMIL</v>
          </cell>
          <cell r="L537" t="str">
            <v>CUTI HAMIL</v>
          </cell>
          <cell r="M537" t="str">
            <v>CUTI HAMIL</v>
          </cell>
          <cell r="N537" t="str">
            <v>CUTI HAMIL</v>
          </cell>
          <cell r="O537" t="str">
            <v>-</v>
          </cell>
          <cell r="P537" t="str">
            <v>FPI</v>
          </cell>
          <cell r="Q537" t="str">
            <v>CONTRACT</v>
          </cell>
          <cell r="R537" t="str">
            <v>C2</v>
          </cell>
          <cell r="S537" t="str">
            <v>OPT</v>
          </cell>
          <cell r="T537" t="str">
            <v>P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1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1</v>
          </cell>
          <cell r="AF537">
            <v>0</v>
          </cell>
          <cell r="AG537">
            <v>0</v>
          </cell>
        </row>
        <row r="538">
          <cell r="A538">
            <v>1</v>
          </cell>
          <cell r="B538">
            <v>6035</v>
          </cell>
          <cell r="C538" t="str">
            <v>ARI SUSNIA WATI</v>
          </cell>
          <cell r="D538" t="str">
            <v>OPT-139</v>
          </cell>
          <cell r="E538">
            <v>39142</v>
          </cell>
          <cell r="F538">
            <v>39142</v>
          </cell>
          <cell r="G538">
            <v>39506</v>
          </cell>
          <cell r="H538" t="str">
            <v>UNALLOCATED</v>
          </cell>
          <cell r="I538" t="str">
            <v>UNALLOCATED</v>
          </cell>
          <cell r="J538" t="str">
            <v>ALL</v>
          </cell>
          <cell r="K538" t="str">
            <v>CUTI HAMIL</v>
          </cell>
          <cell r="L538" t="str">
            <v>CUTI HAMIL</v>
          </cell>
          <cell r="M538" t="str">
            <v>CUTI HAMIL</v>
          </cell>
          <cell r="N538" t="str">
            <v>CUTI HAMIL</v>
          </cell>
          <cell r="O538" t="str">
            <v>-</v>
          </cell>
          <cell r="P538" t="str">
            <v>FPI</v>
          </cell>
          <cell r="Q538" t="str">
            <v>CONTRACT</v>
          </cell>
          <cell r="R538" t="str">
            <v>C3</v>
          </cell>
          <cell r="S538" t="str">
            <v>OPT</v>
          </cell>
          <cell r="T538" t="str">
            <v>P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1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1</v>
          </cell>
          <cell r="AF538">
            <v>0</v>
          </cell>
          <cell r="AG538">
            <v>0</v>
          </cell>
        </row>
        <row r="539">
          <cell r="A539">
            <v>1</v>
          </cell>
          <cell r="B539">
            <v>1509</v>
          </cell>
          <cell r="C539" t="str">
            <v>NILLA WAHYUNINGSIH</v>
          </cell>
          <cell r="D539" t="str">
            <v>OPT-37</v>
          </cell>
          <cell r="E539">
            <v>37984</v>
          </cell>
          <cell r="F539" t="str">
            <v>-</v>
          </cell>
          <cell r="G539" t="str">
            <v>-</v>
          </cell>
          <cell r="H539" t="str">
            <v>UNALLOCATED</v>
          </cell>
          <cell r="I539" t="str">
            <v>UNALLOCATED</v>
          </cell>
          <cell r="J539" t="str">
            <v>ALL</v>
          </cell>
          <cell r="K539" t="str">
            <v>CUTI HAMIL</v>
          </cell>
          <cell r="L539" t="str">
            <v>CUTI HAMIL</v>
          </cell>
          <cell r="M539" t="str">
            <v>CUTI HAMIL</v>
          </cell>
          <cell r="N539" t="str">
            <v>CUTI HAMIL</v>
          </cell>
          <cell r="O539" t="str">
            <v>-</v>
          </cell>
          <cell r="P539" t="str">
            <v>FPI</v>
          </cell>
          <cell r="Q539" t="str">
            <v>PERMANENT</v>
          </cell>
          <cell r="R539" t="str">
            <v>PRM</v>
          </cell>
          <cell r="S539" t="str">
            <v>GL</v>
          </cell>
          <cell r="T539" t="str">
            <v>P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1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1</v>
          </cell>
          <cell r="AF539">
            <v>0</v>
          </cell>
          <cell r="AG539">
            <v>0</v>
          </cell>
        </row>
        <row r="540">
          <cell r="A540">
            <v>1</v>
          </cell>
          <cell r="B540">
            <v>347</v>
          </cell>
          <cell r="C540" t="str">
            <v>JUWARIYAH</v>
          </cell>
          <cell r="D540" t="str">
            <v>ADM-2</v>
          </cell>
          <cell r="E540">
            <v>37725</v>
          </cell>
          <cell r="F540" t="str">
            <v>-</v>
          </cell>
          <cell r="G540" t="str">
            <v>-</v>
          </cell>
          <cell r="H540" t="str">
            <v>UNALLOCATED</v>
          </cell>
          <cell r="I540" t="str">
            <v>UNALLOCATED</v>
          </cell>
          <cell r="J540" t="str">
            <v>ALL</v>
          </cell>
          <cell r="K540" t="str">
            <v>-</v>
          </cell>
          <cell r="L540" t="str">
            <v>PERBANTUAN</v>
          </cell>
          <cell r="M540" t="str">
            <v>CBP</v>
          </cell>
          <cell r="N540" t="str">
            <v>PERBANTUAN</v>
          </cell>
          <cell r="O540" t="str">
            <v>NS</v>
          </cell>
          <cell r="P540" t="str">
            <v>FPI</v>
          </cell>
          <cell r="Q540" t="str">
            <v>PERMANENT</v>
          </cell>
          <cell r="R540" t="str">
            <v>PRM</v>
          </cell>
          <cell r="S540" t="str">
            <v>ADM</v>
          </cell>
          <cell r="T540" t="str">
            <v>P</v>
          </cell>
          <cell r="U540">
            <v>0</v>
          </cell>
          <cell r="V540">
            <v>0</v>
          </cell>
          <cell r="W540">
            <v>1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1</v>
          </cell>
          <cell r="AF540">
            <v>0</v>
          </cell>
          <cell r="AG540">
            <v>0</v>
          </cell>
        </row>
        <row r="541">
          <cell r="A541">
            <v>1</v>
          </cell>
          <cell r="B541">
            <v>4108</v>
          </cell>
          <cell r="C541" t="str">
            <v>NADHIFATUN</v>
          </cell>
          <cell r="D541" t="str">
            <v>OPT-105</v>
          </cell>
          <cell r="E541">
            <v>38729</v>
          </cell>
          <cell r="F541" t="str">
            <v>01/052007</v>
          </cell>
          <cell r="G541">
            <v>39568</v>
          </cell>
          <cell r="H541" t="str">
            <v>UNALLOCATED</v>
          </cell>
          <cell r="I541" t="str">
            <v>UNALLOCATED</v>
          </cell>
          <cell r="J541" t="str">
            <v>ALL</v>
          </cell>
          <cell r="K541" t="str">
            <v>-</v>
          </cell>
          <cell r="L541" t="str">
            <v>PERBANTUAN</v>
          </cell>
          <cell r="M541" t="str">
            <v>EXIM</v>
          </cell>
          <cell r="N541" t="str">
            <v>PERBANTUAN</v>
          </cell>
          <cell r="O541" t="str">
            <v>NS</v>
          </cell>
          <cell r="P541" t="str">
            <v>FPI</v>
          </cell>
          <cell r="Q541" t="str">
            <v>CONTRACT</v>
          </cell>
          <cell r="R541" t="str">
            <v>C2</v>
          </cell>
          <cell r="S541" t="str">
            <v>OPT</v>
          </cell>
          <cell r="T541" t="str">
            <v>P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1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1</v>
          </cell>
          <cell r="AF541">
            <v>0</v>
          </cell>
          <cell r="AG541">
            <v>0</v>
          </cell>
        </row>
        <row r="542">
          <cell r="A542">
            <v>1</v>
          </cell>
          <cell r="B542">
            <v>228</v>
          </cell>
          <cell r="C542" t="str">
            <v>YULI FAJAR WATI</v>
          </cell>
          <cell r="D542" t="str">
            <v>OPT-6</v>
          </cell>
          <cell r="E542">
            <v>37697</v>
          </cell>
          <cell r="F542" t="str">
            <v>-</v>
          </cell>
          <cell r="G542" t="str">
            <v>-</v>
          </cell>
          <cell r="H542" t="str">
            <v>UNALLOCATED</v>
          </cell>
          <cell r="I542" t="str">
            <v>UNALLOCATED</v>
          </cell>
          <cell r="J542" t="str">
            <v>ALL</v>
          </cell>
          <cell r="K542" t="str">
            <v>-</v>
          </cell>
          <cell r="L542" t="str">
            <v>PERBANTUAN</v>
          </cell>
          <cell r="M542" t="str">
            <v>RCV</v>
          </cell>
          <cell r="N542" t="str">
            <v>PERBANTUAN</v>
          </cell>
          <cell r="O542" t="str">
            <v>NS</v>
          </cell>
          <cell r="P542" t="str">
            <v>FPI</v>
          </cell>
          <cell r="Q542" t="str">
            <v>PERMANENT</v>
          </cell>
          <cell r="R542" t="str">
            <v>PRM</v>
          </cell>
          <cell r="S542" t="str">
            <v>GL</v>
          </cell>
          <cell r="T542" t="str">
            <v>P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1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1</v>
          </cell>
          <cell r="AF542">
            <v>0</v>
          </cell>
          <cell r="AG542">
            <v>0</v>
          </cell>
        </row>
        <row r="543">
          <cell r="A543">
            <v>1</v>
          </cell>
          <cell r="B543">
            <v>303</v>
          </cell>
          <cell r="C543" t="str">
            <v>RISTIANI</v>
          </cell>
          <cell r="D543" t="str">
            <v>OPT-8</v>
          </cell>
          <cell r="E543">
            <v>37718</v>
          </cell>
          <cell r="F543" t="str">
            <v>-</v>
          </cell>
          <cell r="G543" t="str">
            <v>-</v>
          </cell>
          <cell r="H543" t="str">
            <v>UNALLOCATED</v>
          </cell>
          <cell r="I543" t="str">
            <v>UNALLOCATED</v>
          </cell>
          <cell r="J543" t="str">
            <v>ALL</v>
          </cell>
          <cell r="K543" t="str">
            <v>-</v>
          </cell>
          <cell r="L543" t="str">
            <v>PERBANTUAN</v>
          </cell>
          <cell r="M543" t="str">
            <v>RCV</v>
          </cell>
          <cell r="N543" t="str">
            <v>PERBANTUAN</v>
          </cell>
          <cell r="O543" t="str">
            <v>NS</v>
          </cell>
          <cell r="P543" t="str">
            <v>FPI</v>
          </cell>
          <cell r="Q543" t="str">
            <v>PERMANENT</v>
          </cell>
          <cell r="R543" t="str">
            <v>PRM</v>
          </cell>
          <cell r="S543" t="str">
            <v>OPT</v>
          </cell>
          <cell r="T543" t="str">
            <v>P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1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1</v>
          </cell>
          <cell r="AF543">
            <v>0</v>
          </cell>
          <cell r="AG543">
            <v>0</v>
          </cell>
        </row>
        <row r="544">
          <cell r="A544">
            <v>1</v>
          </cell>
          <cell r="B544">
            <v>3731</v>
          </cell>
          <cell r="C544" t="str">
            <v>NOURMA HIDAYATI</v>
          </cell>
          <cell r="D544" t="str">
            <v>OPT-98</v>
          </cell>
          <cell r="E544">
            <v>38626</v>
          </cell>
          <cell r="F544" t="str">
            <v>-</v>
          </cell>
          <cell r="G544" t="str">
            <v>-</v>
          </cell>
          <cell r="H544" t="str">
            <v>UNALLOCATED</v>
          </cell>
          <cell r="I544" t="str">
            <v>UNALLOCATED</v>
          </cell>
          <cell r="J544" t="str">
            <v>ALL</v>
          </cell>
          <cell r="K544" t="str">
            <v>-</v>
          </cell>
          <cell r="L544" t="str">
            <v>PERBANTUAN</v>
          </cell>
          <cell r="M544" t="str">
            <v>RCV</v>
          </cell>
          <cell r="N544" t="str">
            <v>PERBANTUAN</v>
          </cell>
          <cell r="O544" t="str">
            <v>NS</v>
          </cell>
          <cell r="P544" t="str">
            <v>FPI</v>
          </cell>
          <cell r="Q544" t="str">
            <v>PERMANENT</v>
          </cell>
          <cell r="R544" t="str">
            <v>PRM</v>
          </cell>
          <cell r="S544" t="str">
            <v>GL</v>
          </cell>
          <cell r="T544" t="str">
            <v>P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1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1</v>
          </cell>
          <cell r="AF544">
            <v>0</v>
          </cell>
          <cell r="AG5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IGN"/>
      <sheetName val="MH AUG"/>
    </sheetNames>
    <sheetDataSet>
      <sheetData sheetId="0"/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ASSY EFFICIENCY"/>
      <sheetName val="DIRECT EFFICIENCY"/>
      <sheetName val="RESIGN"/>
    </sheetNames>
    <sheetDataSet>
      <sheetData sheetId="0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ASSY EFFICIENCY"/>
      <sheetName val="STATUS LOSS TIME Per Section"/>
    </sheetNames>
    <sheetDataSet>
      <sheetData sheetId="0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ASSY EFFICIENCY"/>
      <sheetName val="REPORT"/>
      <sheetName val="EFFICIENCY REPORT"/>
      <sheetName val="CUTTING TUBE"/>
      <sheetName val="PRE ASSY EFFICIENCY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DIRECT EFFICIENCY"/>
      <sheetName val="DIRECT EFFICIENCY CONVEYOR"/>
      <sheetName val="DIRECT  EFF BY CONVEYOR"/>
      <sheetName val="GRAFIK"/>
      <sheetName val="PA EFF"/>
      <sheetName val="FA EFF BY CONVEYOR"/>
      <sheetName val="R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LD ALL"/>
      <sheetName val="MAE"/>
      <sheetName val="ATO"/>
      <sheetName val="DEL"/>
      <sheetName val="Breakdown Mae"/>
      <sheetName val="Breakdown Ato"/>
      <sheetName val="Breakdown Atokotei (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ND ALL"/>
      <sheetName val="Ato"/>
      <sheetName val="Ato Dom"/>
      <sheetName val="Ato Japan"/>
      <sheetName val="Ato Japan 1"/>
      <sheetName val="Ato Japan 2"/>
      <sheetName val="Del"/>
      <sheetName val="Del Dom"/>
      <sheetName val="Del Japan"/>
      <sheetName val="Del Japan 1"/>
      <sheetName val="Del Japan 2"/>
      <sheetName val="DC Japan"/>
      <sheetName val="DC Japan 1"/>
      <sheetName val="DC Japan 2"/>
      <sheetName val="Breakdown Mae"/>
      <sheetName val="Breakdown Atokotei (1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単位表"/>
      <sheetName val="TH&amp;B2e&amp;EGN"/>
      <sheetName val="原単位表C最終報告資"/>
      <sheetName val="県別ﾏﾙﾁ"/>
      <sheetName val="MOTO"/>
      <sheetName val="W_LBOOK"/>
      <sheetName val="Sales"/>
      <sheetName val="094W原紙 "/>
      <sheetName val="[061Wｶｲｼｭ.XLSꁝ덮㐁ཤ表"/>
      <sheetName val="061Wｶｲｼｭ"/>
      <sheetName val="Installation"/>
      <sheetName val="原単位表ﾌﾄﾒ."/>
      <sheetName val="CMF"/>
      <sheetName val="MASTER"/>
      <sheetName val="部署別利用頻度0401"/>
      <sheetName val="フォーム2"/>
      <sheetName val="第１紙原紙"/>
      <sheetName val="第１紙原紙KGC"/>
      <sheetName val="第２紙原紙"/>
      <sheetName val="第３紙原紙"/>
      <sheetName val="第４紙ビット"/>
      <sheetName val="第５紙ビット"/>
      <sheetName val="フォーム1"/>
      <sheetName val="表紙"/>
      <sheetName val="ＣＡＭＹ　ＭⅢ"/>
      <sheetName val="パラメータ"/>
      <sheetName val="#0"/>
      <sheetName val="価格一覧表"/>
      <sheetName val="ＳＱＬ"/>
      <sheetName val="T_ＣＡＤ情報"/>
      <sheetName val="T_ORG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定量化結果"/>
      <sheetName val="一覧１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ﾃﾞｰﾀﾍﾞｰｽ"/>
      <sheetName val="工数集計"/>
      <sheetName val="設計通知書原紙"/>
      <sheetName val="MPL 技連"/>
      <sheetName val="342E BLOCK"/>
      <sheetName val="1"/>
      <sheetName val="Top22(GBP)"/>
      <sheetName val="全品番DETAILS-LOT"/>
      <sheetName val="生産コード一覧"/>
      <sheetName val="HPS Slit Coil (Centralia)"/>
      <sheetName val="内機"/>
      <sheetName val="Table"/>
      <sheetName val="総合B"/>
      <sheetName val="静ﾊﾟﾀﾝ分析"/>
      <sheetName val="段ﾎﾞｰﾙ箱図番･荷姿ｺｰﾄﾞ"/>
      <sheetName val="生涯利益計画ｼｰﾄ"/>
      <sheetName val="Sheet1"/>
      <sheetName val="FRT"/>
      <sheetName val="_061Wｶｲｼｭ.XLSꁝ덮㐁ཤ表"/>
      <sheetName val="HYO"/>
      <sheetName val="各種設定"/>
      <sheetName val="選択項目"/>
      <sheetName val="第２紙"/>
      <sheetName val="list"/>
      <sheetName val="システム記号リスト"/>
      <sheetName val="PL"/>
      <sheetName val="Color"/>
      <sheetName val="FLETES"/>
      <sheetName val="資繰"/>
      <sheetName val="ヘルプ"/>
      <sheetName val="車両ｽﾍﾟｯｸ表"/>
      <sheetName val="元データ"/>
      <sheetName val="原紙"/>
      <sheetName val="labcodes"/>
      <sheetName val="ﾊﾟｲﾌﾟ"/>
      <sheetName val="他材料費"/>
      <sheetName val="熱延鋼板"/>
      <sheetName val="冷延鋼板"/>
      <sheetName val="WIRE"/>
      <sheetName val="MM利益・原価企画方針書ｶｸ１"/>
      <sheetName val="３月ＫＤ"/>
      <sheetName val="工数海外比率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0P-1"/>
      <sheetName val="Mth"/>
      <sheetName val="Qtr"/>
      <sheetName val="Ladder Report (2)"/>
      <sheetName val="14. Staff Benefits"/>
      <sheetName val="カメラ"/>
      <sheetName val="设备分析资料表2"/>
      <sheetName val="15A"/>
      <sheetName val="ﾀﾞｲｵｰﾄﾞ変更"/>
      <sheetName val="ŽÔ—¼Ž¿—Êˆê——"/>
      <sheetName val="合格率"/>
      <sheetName val="Referent information"/>
      <sheetName val="①評価項目_メーカー"/>
      <sheetName val="Ka"/>
      <sheetName val="3???????"/>
      <sheetName val="ＭⅢ"/>
      <sheetName val="Req"/>
      <sheetName val="A"/>
      <sheetName val="PRENSAS 1"/>
      <sheetName val="???????"/>
      <sheetName val="SWS投資基準_計算"/>
      <sheetName val="094_APP別"/>
      <sheetName val="74上"/>
      <sheetName val="DATA"/>
      <sheetName val="原単位表ﾌﾄﾒ_"/>
      <sheetName val="金属スライド"/>
      <sheetName val="Summonth MP"/>
      <sheetName val="Summonth SC"/>
      <sheetName val="前提1-综合"/>
      <sheetName val="QC APPROVE SHEET"/>
      <sheetName val="7110"/>
      <sheetName val="Sheet2"/>
      <sheetName val="ATR KMH's"/>
      <sheetName val="ﾀﾘﾌ"/>
      <sheetName val="W_TEXT"/>
      <sheetName val="ヘッダ"/>
      <sheetName val="A-100전제"/>
      <sheetName val="データ"/>
      <sheetName val="[061Wｶｲｼｭ_XLSꁝ덮㐁ཤ表"/>
      <sheetName val="MPL_技連"/>
      <sheetName val="342E_BLOCK"/>
      <sheetName val="売上総益ﾃﾞｰﾀ"/>
      <sheetName val="2001USA Sales"/>
      <sheetName val="Lists"/>
      <sheetName val="SV5 Margins"/>
      <sheetName val="Format"/>
      <sheetName val="T_GetCar_Type_Code"/>
      <sheetName val="T_GetCustomer_Cd"/>
      <sheetName val="T_GetModel_No"/>
      <sheetName val="T_GetPProduct_No"/>
      <sheetName val="T_GetProduct_Line_Cd"/>
      <sheetName val="T_GetProduct_Site_Cd"/>
      <sheetName val="納品書"/>
      <sheetName val="ﾕｰｻﾞｰ設定"/>
      <sheetName val="Tabela"/>
      <sheetName val="部品構成82111"/>
      <sheetName val="DASH用係数"/>
      <sheetName val="800T Follow-up Data"/>
      <sheetName val="3_______"/>
      <sheetName val="_______"/>
      <sheetName val="国"/>
      <sheetName val="海"/>
      <sheetName val="Material Price"/>
      <sheetName val="Price list"/>
      <sheetName val="※ﾌﾟﾙﾀﾞｳﾝ用"/>
      <sheetName val="リスト類"/>
      <sheetName val="?????"/>
      <sheetName val="#REF"/>
      <sheetName val="Optional per Versione"/>
      <sheetName val="Jan26-Feb22PT"/>
      <sheetName val="Cust"/>
      <sheetName val="b`lx@lV"/>
      <sheetName val="Monthly"/>
      <sheetName val="①ﾌﾟﾙﾀﾞｳﾝﾘｽﾄ"/>
      <sheetName val="タブ用"/>
      <sheetName val="Hide-rev-lists"/>
      <sheetName val="CmpLes"/>
      <sheetName val="選択肢"/>
      <sheetName val="内売@設定資料0630"/>
      <sheetName val="3ｹ月機能"/>
      <sheetName val="図面台帳"/>
      <sheetName val="config_03"/>
      <sheetName val="RMB86"/>
      <sheetName val="ｺｽﾄ比較 (総括)"/>
      <sheetName val="MMCCommonFixRate"/>
      <sheetName val="ProductionFixed"/>
      <sheetName val="Read me first"/>
      <sheetName val="ESM ver2"/>
      <sheetName val="_RemoteViewSysMain"/>
      <sheetName val="Description"/>
      <sheetName val="検証確認シート"/>
      <sheetName val="MAT-IN"/>
      <sheetName val="【更新禁止】入力制御"/>
      <sheetName val="【更新禁止】マスタ制御"/>
      <sheetName val="品番情報"/>
      <sheetName val="選択用リスト、承認枠"/>
      <sheetName val="計画アイテム"/>
      <sheetName val="原単位表ﾌﾄﾒ_1"/>
      <sheetName val="HPS_Slit_Coil_(Centralia)"/>
      <sheetName val="_061Wｶｲｼｭ_XLSꁝ덮㐁ཤ表"/>
      <sheetName val="094W原紙_"/>
      <sheetName val="Ladder_Report_(2)"/>
      <sheetName val="14__Staff_Benefits"/>
      <sheetName val="Referent_information"/>
      <sheetName val="QC_APPROVE_SHEET"/>
      <sheetName val="PRENSAS_1"/>
      <sheetName val="不良項目"/>
      <sheetName val="[061Wｶｲｼｭ_XLSꁝ덮㐁ཤ表1"/>
      <sheetName val="MPL_技連1"/>
      <sheetName val="342E_BLOCK1"/>
      <sheetName val="ATR_KMH's"/>
      <sheetName val="SV5_Margins"/>
      <sheetName val="2001USA_Sales"/>
      <sheetName val="800T_Follow-up_Data"/>
      <sheetName val="_____"/>
      <sheetName val="config_00"/>
      <sheetName val="Basic information"/>
      <sheetName val="Price_list"/>
      <sheetName val="frm1"/>
      <sheetName val="T_排他"/>
      <sheetName val="T_事計品番"/>
      <sheetName val="T_事計品番読込"/>
      <sheetName val="Defect Item Master"/>
      <sheetName val="Sheet3"/>
      <sheetName val="ﾘｽﾄ"/>
      <sheetName val="T_GetMas_Hinban"/>
      <sheetName val="N(02a)"/>
      <sheetName val="T_GetOperating_Schedule"/>
      <sheetName val="pki"/>
      <sheetName val="person"/>
      <sheetName val="T_Car_Type_Code"/>
      <sheetName val="T_Haibun_Kbn"/>
      <sheetName val="T_Product_Site_Cd"/>
      <sheetName val="C"/>
      <sheetName val="Summary"/>
      <sheetName val="NWEA1180"/>
      <sheetName val="リスト"/>
      <sheetName val="压探针用治具其他"/>
      <sheetName val="尼龙带"/>
      <sheetName val="枠冶具"/>
      <sheetName val="金日FJK0508"/>
      <sheetName val="金日SDM-S0504"/>
      <sheetName val="出荷実績"/>
      <sheetName val="ﾃﾝﾌﾟﾚｰﾄ"/>
      <sheetName val="組立図板"/>
      <sheetName val="計算DATA"/>
      <sheetName val="集計結果詳細"/>
      <sheetName val="クエリ5"/>
      <sheetName val="５月購入実績"/>
      <sheetName val="BC01_Mpplan2"/>
      <sheetName val="frm2-1"/>
      <sheetName val="frm2-2"/>
      <sheetName val="frm3"/>
      <sheetName val="JUEVES 31"/>
      <sheetName val="MIERCOLES2"/>
      <sheetName val="VIERNES2"/>
      <sheetName val="JUEVES2"/>
      <sheetName val="LUNES2"/>
      <sheetName val="MARTES 29"/>
      <sheetName val="LUNES3"/>
      <sheetName val="MARTES3"/>
      <sheetName val="MIERCOLES3"/>
      <sheetName val="JUEVES3"/>
      <sheetName val="VIERNES3"/>
      <sheetName val="SEMANA"/>
      <sheetName val="MIERCOLES 30"/>
      <sheetName val="LUNES28"/>
      <sheetName val="MARTES2"/>
      <sheetName val="車種別損益表"/>
      <sheetName val="图2~3"/>
      <sheetName val="検証1"/>
      <sheetName val="検証489 "/>
      <sheetName val="ｺｽﾄ比較_(総括)"/>
      <sheetName val="月次概況"/>
      <sheetName val="MYZK02"/>
      <sheetName val="Basic_Information"/>
      <sheetName val="初期03"/>
      <sheetName val="北米3in1"/>
      <sheetName val="北米標準ｺﾝﾋﾞ"/>
      <sheetName val="週示0610"/>
      <sheetName val="Fixed Assets"/>
      <sheetName val="入力イメージ"/>
      <sheetName val="79期 計画（最終△1）"/>
      <sheetName val="管理統制費 "/>
      <sheetName val="矢崎購入"/>
      <sheetName val="内-榛原"/>
      <sheetName val="追加1"/>
      <sheetName val="追加2"/>
      <sheetName val="ｸﾘｱﾗﾝｽ算出(112-107)"/>
      <sheetName val="COVER明細"/>
      <sheetName val="Sheet22"/>
      <sheetName val="400L"/>
      <sheetName val="最新基準単価 "/>
      <sheetName val="金日HZR0505"/>
      <sheetName val="TB"/>
      <sheetName val="値引き効果額品番登録・照会"/>
      <sheetName val="J21KPL"/>
      <sheetName val="スコアカード (2)"/>
      <sheetName val="原単位表ﾌﾄﾒ_2"/>
      <sheetName val="_061Wｶｲｼｭ_XLSꁝ덮㐁ཤ表1"/>
      <sheetName val="HPS_Slit_Coil_(Centralia)1"/>
      <sheetName val="094W原紙_1"/>
      <sheetName val="14__Staff_Benefits1"/>
      <sheetName val="Ladder_Report_(2)1"/>
      <sheetName val="Referent_information1"/>
      <sheetName val="PRENSAS_11"/>
      <sheetName val="QC_APPROVE_SHEET1"/>
      <sheetName val="Material_Price"/>
      <sheetName val="Optional_per_Versione"/>
      <sheetName val="Defect_Item_Master"/>
      <sheetName val="[061Wｶｲｼｭ_XLSꁝ덮㐁ཤ表2"/>
      <sheetName val="MPL_技連2"/>
      <sheetName val="342E_BLOCK2"/>
      <sheetName val="ATR_KMH's1"/>
      <sheetName val="SV5_Margins1"/>
      <sheetName val="2001USA_Sales1"/>
      <sheetName val="800T_Follow-up_Data1"/>
      <sheetName val="説明資料1"/>
      <sheetName val="通常申請ﾌｫｰﾏｯﾄ"/>
      <sheetName val="説明資料3"/>
      <sheetName val="余剰データ"/>
      <sheetName val="Air申請"/>
      <sheetName val="Canada"/>
      <sheetName val="分析"/>
      <sheetName val="TEMPLATE"/>
      <sheetName val="SH_ENTITY"/>
      <sheetName val="SH_GROUP"/>
      <sheetName val="SH_ICP"/>
      <sheetName val="SH_PROFILE"/>
      <sheetName val="SH_PRODUCTS"/>
      <sheetName val=" D2"/>
      <sheetName val="生産日報"/>
      <sheetName val="frm5"/>
      <sheetName val="当月報告書"/>
      <sheetName val="ﾍﾞｰｽﾃﾞｰﾀ"/>
      <sheetName val="累計"/>
      <sheetName val="3発"/>
      <sheetName val="介護 月次報告"/>
      <sheetName val="農業 月次報告"/>
      <sheetName val="Links"/>
      <sheetName val="KonSSPL"/>
      <sheetName val="Summonth_MP"/>
      <sheetName val="Summonth_SC"/>
      <sheetName val="Price_list1"/>
      <sheetName val="ｺｽﾄ比較_(総括)1"/>
      <sheetName val="Read_me_first"/>
      <sheetName val="ESM_ver2"/>
      <sheetName val="JUEVES_31"/>
      <sheetName val="MARTES_29"/>
      <sheetName val="MIERCOLES_30"/>
      <sheetName val="検証489_"/>
      <sheetName val="Fixed_Assets"/>
      <sheetName val="79期_計画（最終△1）"/>
      <sheetName val="管理統制費_"/>
      <sheetName val="Price range IT"/>
      <sheetName val="まとめ"/>
      <sheetName val="Production PLAN"/>
      <sheetName val="ASSY PLAN-ACTUAL"/>
      <sheetName val="Box-Bag-Opp"/>
      <sheetName val="Check Po"/>
      <sheetName val="sec."/>
      <sheetName val="Urgent plan"/>
      <sheetName val="Adjust CVR"/>
      <sheetName val="Time line"/>
      <sheetName val="CVR_14-May"/>
      <sheetName val="Plan repair part _CVR"/>
      <sheetName val="x Database"/>
      <sheetName val="Unit req list QIP-Dan"/>
      <sheetName val="アルミ防食コスト試算"/>
      <sheetName val="採否比較金額"/>
      <sheetName val="評価比較件数"/>
      <sheetName val="引継data（内製）"/>
      <sheetName val="1-2.グラフ"/>
      <sheetName val="4-1.グラフ 19まで完成版"/>
      <sheetName val="_061Wｶｲｼｭ_XLSꁝ덮㐁ཤ表2"/>
      <sheetName val="CONTRACT NOTE"/>
      <sheetName val="条件表"/>
      <sheetName val="外観検査員の調査 (金森)"/>
      <sheetName val="AlbPrint"/>
      <sheetName val="検索･参照"/>
      <sheetName val="Production Database 399"/>
      <sheetName val="3.４Ｒ損益"/>
      <sheetName val="MIA2"/>
      <sheetName val="141-1"/>
      <sheetName val="Macro1"/>
      <sheetName val="整合後2021,12,24"/>
      <sheetName val="構想"/>
      <sheetName val="回路　表示用 "/>
      <sheetName val="回路　まとめ"/>
      <sheetName val="回路　750"/>
      <sheetName val="情報"/>
      <sheetName val="人工 "/>
      <sheetName val="設備"/>
      <sheetName val="人・設備能力"/>
      <sheetName val="㎡あたり工数、能率 (2)"/>
      <sheetName val="前工程旧レイアウト "/>
      <sheetName val="前工程新レイアウト"/>
      <sheetName val="134　レイアウト"/>
      <sheetName val="135レイアウト"/>
      <sheetName val="人工"/>
      <sheetName val="積上　10PL（サーミスタ端子挿入）T2"/>
      <sheetName val="積上　10PL（サーミスタ組立）T2 "/>
      <sheetName val="積上　10PL（コンベアー組立）T2 "/>
      <sheetName val="積上　10PL（VS端子挿入）T2 "/>
      <sheetName val="積上　10PL（導通検査）T2"/>
      <sheetName val="積上　10PL（サーミスタブサブ）U2"/>
      <sheetName val="積上　10PL（コンベアー組立導通検査）U2"/>
      <sheetName val="積上　10PL（VS端子挿入）U2 134"/>
      <sheetName val="積上　10PL（ファイナル検査）U2"/>
      <sheetName val="㎡あたり工数、能率"/>
      <sheetName val="生産構想図作り方流れ"/>
      <sheetName val="電線"/>
      <sheetName val="チューブ"/>
      <sheetName val="部品"/>
      <sheetName val="副資材"/>
      <sheetName val="新スケジュール"/>
      <sheetName val="99年度原単位"/>
      <sheetName val="長計対比"/>
      <sheetName val="BPCS Table"/>
      <sheetName val="Current Yr Int Sales"/>
      <sheetName val="2"/>
      <sheetName val="QA"/>
      <sheetName val="main"/>
      <sheetName val="khung ten TD"/>
      <sheetName val="SH_CARLINE"/>
      <sheetName val="SH_MAKER"/>
      <sheetName val="1.実行"/>
      <sheetName val="2.原単位"/>
      <sheetName val="3.マスター"/>
      <sheetName val="4.Format"/>
      <sheetName val="5.構成分析シート"/>
      <sheetName val="8211116K00_00000"/>
      <sheetName val="8211116K10_00000"/>
      <sheetName val="8211116K20_00000"/>
      <sheetName val="8211116K30_00000"/>
      <sheetName val="8214116G60_00000"/>
      <sheetName val="8214116G70_00000"/>
      <sheetName val="8214116G80_00000"/>
      <sheetName val="8216116D90_00000"/>
      <sheetName val="8216116E00_00000"/>
      <sheetName val="月次データ"/>
      <sheetName val="選択リスト"/>
      <sheetName val="ARA37"/>
      <sheetName val="１．InfoCube (YKCH0010)案１"/>
      <sheetName val="１．InfoCube (YKCH0010) 案２"/>
      <sheetName val="094W原紙_2"/>
      <sheetName val="[061Wｶｲｼｭ_XLSꁝ덮㐁ཤ表3"/>
      <sheetName val="原単位表ﾌﾄﾒ_3"/>
      <sheetName val="MPL_技連3"/>
      <sheetName val="342E_BLOCK3"/>
      <sheetName val="HPS_Slit_Coil_(Centralia)2"/>
      <sheetName val="Ladder_Report_(2)2"/>
      <sheetName val="14__Staff_Benefits2"/>
      <sheetName val="Referent_information2"/>
      <sheetName val="PRENSAS_12"/>
      <sheetName val="QC_APPROVE_SHEET2"/>
      <sheetName val="ATR_KMH's2"/>
      <sheetName val="2001USA_Sales2"/>
      <sheetName val="SV5_Margins2"/>
      <sheetName val="800T_Follow-up_Data2"/>
      <sheetName val="Material_Price1"/>
      <sheetName val="Optional_per_Versione1"/>
      <sheetName val="Basic_information1"/>
      <sheetName val="Defect_Item_Master1"/>
      <sheetName val="最新基準単価_"/>
      <sheetName val="スコアカード_(2)"/>
      <sheetName val="介護_月次報告"/>
      <sheetName val="農業_月次報告"/>
      <sheetName val="_D2"/>
      <sheetName val="ESTABLISH"/>
      <sheetName val="検索条件メイク"/>
      <sheetName val="141"/>
      <sheetName val="amp_spr"/>
      <sheetName val="集計用"/>
      <sheetName val="deta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ェル台ｾﾂﾄ流し改 (2)"/>
      <sheetName val="シェル台ｾﾂﾄ流し改"/>
      <sheetName val="シェル台ｾﾂﾄ流し"/>
      <sheetName val="シェルロット流し"/>
      <sheetName val="シェル個流し"/>
      <sheetName val="レイアウト図"/>
      <sheetName val="断面図"/>
      <sheetName val="ＡＧＶ＋台車"/>
      <sheetName val="パレット図"/>
      <sheetName val="ワーク図"/>
      <sheetName val="ｽﾀｰﾚｯﾄ"/>
      <sheetName val="Sheet1"/>
      <sheetName val="Sheet2"/>
      <sheetName val="Sheet3"/>
      <sheetName val="【ｳﾚﾀﾝ数量予測】"/>
      <sheetName val="【ｳﾚﾀﾝ売上予測】"/>
      <sheetName val="←"/>
      <sheetName val="CBU"/>
      <sheetName val="KAISEI"/>
      <sheetName val="ﾏﾙﾔｽ価格表"/>
      <sheetName val="画面説明"/>
      <sheetName val="表紙(代表者)"/>
      <sheetName val="表紙(用担責)"/>
      <sheetName val="P1 (2)"/>
      <sheetName val="P2"/>
      <sheetName val="P3"/>
      <sheetName val="P4"/>
      <sheetName val="P5"/>
      <sheetName val="ﾘﾝｸ"/>
      <sheetName val="ﾘﾝｸ支援"/>
      <sheetName val="ﾊﾟｯｿ"/>
      <sheetName val="ｳﾞｨｯﾂ"/>
      <sheetName val="FIT"/>
      <sheetName val="マーチ"/>
      <sheetName val="ﾑｰｳﾞ"/>
      <sheetName val="Transportation"/>
      <sheetName val="SRMil"/>
      <sheetName val="SupplierInfo"/>
      <sheetName val="038W本革"/>
      <sheetName val="RACK (CB)new"/>
      <sheetName val="C3_N DC改造投資"/>
      <sheetName val="CAMPURAN"/>
      <sheetName val="Summary"/>
      <sheetName val="mat list "/>
      <sheetName val="クエリ10"/>
      <sheetName val="FOOK"/>
      <sheetName val="６２３Ｔ"/>
      <sheetName val="MPL 技連"/>
      <sheetName val="342E BLOCK"/>
      <sheetName val="TMMK Vehicle Data"/>
      <sheetName val="TMMC Vehicle Data"/>
      <sheetName val="Comparison data"/>
      <sheetName val="IMV"/>
      <sheetName val="797T輸入部品リスト"/>
      <sheetName val="Inpanel"/>
      <sheetName val="Interior Trim"/>
      <sheetName val="社品質會議表紙"/>
      <sheetName val="Part No."/>
      <sheetName val="ｽﾀｰﾚｯﾄ.xls"/>
      <sheetName val="%EF%BD%BD%EF%BE%80%EF%BD%B0%EF%"/>
      <sheetName val="Master Updated(517)"/>
      <sheetName val="ＦＣ～FT"/>
      <sheetName val="CRITERIA2"/>
      <sheetName val="全件"/>
      <sheetName val="% Allocate - AB Labor"/>
      <sheetName val="DATA"/>
      <sheetName val="drop down List"/>
      <sheetName val="Material"/>
      <sheetName val="Process"/>
      <sheetName val="Purchase"/>
      <sheetName val="Tooling"/>
      <sheetName val="?????"/>
      <sheetName val="社員リスト"/>
      <sheetName val="SAMPLE"/>
      <sheetName val="ckd"/>
      <sheetName val="opn"/>
      <sheetName val="list"/>
      <sheetName val="Master (692N)"/>
      <sheetName val="Models"/>
      <sheetName val="IM-P-L12-5 '03 "/>
      <sheetName val="datamonth"/>
      <sheetName val="98.10"/>
      <sheetName val="98.11"/>
      <sheetName val="TRJ金具物量"/>
      <sheetName val="メーカー"/>
      <sheetName val="config_07"/>
      <sheetName val="Ｂ．财务课部門別週間管理表 (2)"/>
      <sheetName val="ass'y 06-11'05"/>
      <sheetName val="ass'y 06-11'05 (2)"/>
      <sheetName val="BUYERS"/>
      <sheetName val="Status"/>
      <sheetName val="1"/>
      <sheetName val="397"/>
      <sheetName val="５頁最新データ"/>
      <sheetName val="デンソー"/>
      <sheetName val="硫化"/>
      <sheetName val="押出"/>
      <sheetName val="Process_Mech"/>
      <sheetName val="config_03"/>
      <sheetName val="Bajaj OS"/>
      <sheetName val="BOM - Engineering"/>
      <sheetName val="CC"/>
      <sheetName val="SALES"/>
      <sheetName val="ASSUMPTIONS"/>
      <sheetName val="量産品番"/>
      <sheetName val="【⑦】Direct Consumables"/>
      <sheetName val="ﾎﾞﾙﾎﾞ"/>
      <sheetName val="ﾙﾉｰ"/>
      <sheetName val="MAZDA"/>
      <sheetName val="編集"/>
      <sheetName val="TMC Remaining ECI"/>
      <sheetName val="PARAMETER"/>
      <sheetName val="Links"/>
      <sheetName val="raw data"/>
      <sheetName val="XL4Poppy"/>
      <sheetName val="34HK&gt;_x0000__x0000__x0000__x0000__x0000_"/>
      <sheetName val="_x0008_"/>
      <sheetName val="Europe PU-1"/>
      <sheetName val="SH_ENTITY"/>
      <sheetName val="SH_ICP"/>
      <sheetName val="SH_MAKER"/>
      <sheetName val="SH_PROFILE"/>
      <sheetName val="SH_PRODUCTS"/>
      <sheetName val="国"/>
      <sheetName val="海"/>
      <sheetName val="MOTO"/>
      <sheetName val="장적산출"/>
      <sheetName val="Iron Pivot"/>
      <sheetName val=" D2"/>
      <sheetName val="#REF"/>
      <sheetName val="ExportSales"/>
      <sheetName val="Nov.'02"/>
      <sheetName val="MC3(main)"/>
      <sheetName val="MC1"/>
      <sheetName val="ELF"/>
      <sheetName val="ＦＣ～ＧＸ"/>
      <sheetName val="May"/>
      <sheetName val="シェル台ｾﾂﾄ流し改_(2)"/>
      <sheetName val="P1_(2)"/>
      <sheetName val="mat_list_"/>
      <sheetName val="C3_N_DC改造投資"/>
      <sheetName val="RACK_(CB)new"/>
      <sheetName val="Interior_Trim"/>
      <sheetName val="MPL_技連"/>
      <sheetName val="342E_BLOCK"/>
      <sheetName val="TMMK_Vehicle_Data"/>
      <sheetName val="TMMC_Vehicle_Data"/>
      <sheetName val="Comparison_data"/>
      <sheetName val="Part_No_"/>
      <sheetName val="Master_Updated(517)"/>
      <sheetName val="drop_down_List"/>
      <sheetName val="IM-P-L12-5_'03_"/>
      <sheetName val="%_Allocate_-_AB_Labor"/>
      <sheetName val="Master_(692N)"/>
      <sheetName val="ｽﾀｰﾚｯﾄ_xls"/>
      <sheetName val="BOM_-_Engineering"/>
      <sheetName val="TMC_Remaining_ECI"/>
      <sheetName val="raw_data"/>
      <sheetName val="Ｂ．财务课部門別週間管理表_(2)"/>
      <sheetName val="Bajaj_OS"/>
      <sheetName val="SPT"/>
      <sheetName val="선반OPT"/>
      <sheetName val="MM利益・原価企画方針書ｶｸ１"/>
      <sheetName val="限界利益表(半期別)"/>
      <sheetName val="機種マスタ"/>
      <sheetName val="Matrix Bom ใช้งาน"/>
      <sheetName val="_____"/>
      <sheetName val="System"/>
      <sheetName val="Mst"/>
      <sheetName val="EXP"/>
      <sheetName val="PMM-Mar"/>
      <sheetName val="ﾀﾞｲﾊﾂ"/>
      <sheetName val="Maker Dist"/>
      <sheetName val="plastic"/>
      <sheetName val="SIZE-A"/>
      <sheetName val="HE BASE"/>
      <sheetName val="STANDARD"/>
      <sheetName val="M026"/>
      <sheetName val="Macro2"/>
      <sheetName val="PART"/>
      <sheetName val="09load"/>
      <sheetName val="lam-moi"/>
      <sheetName val="THPDMoi  (2)"/>
      <sheetName val="t-h HA THE"/>
      <sheetName val="chitiet"/>
      <sheetName val="DON GIA"/>
      <sheetName val="giathanh1"/>
      <sheetName val="gtrinh"/>
      <sheetName val="thao-go"/>
      <sheetName val="CHITIET VL-NC"/>
      <sheetName val="CHITIET VL-NC-TT -1p"/>
      <sheetName val="VC"/>
      <sheetName val="TH XL"/>
      <sheetName val="dongia (2)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FLRSYPAR"/>
      <sheetName val="QC"/>
      <sheetName val="Çalışma Bilgisi"/>
      <sheetName val="【①】Precondition"/>
      <sheetName val="【③】Material"/>
      <sheetName val="選択肢"/>
      <sheetName val="List_data"/>
      <sheetName val="Average per Katashiki"/>
      <sheetName val="ヘッダ"/>
      <sheetName val="SYSFEB-RTE"/>
      <sheetName val="Price Increase Monitoring"/>
      <sheetName val="原単位表"/>
      <sheetName val="SN計"/>
      <sheetName val="_車種_ｽﾀｰﾚｯﾄ_受注予測_ｽﾀｰﾚｯﾄ.xls"/>
      <sheetName val="Splr Info"/>
      <sheetName val="選択肢リスト"/>
      <sheetName val="094W原紙 "/>
      <sheetName val="config_06"/>
      <sheetName val="DB(A)"/>
      <sheetName val="元デ_タ"/>
      <sheetName val="LTC 4W"/>
      <sheetName val="ESR_2W"/>
      <sheetName val="Budget"/>
      <sheetName val="In_Data"/>
      <sheetName val="号車仕様"/>
      <sheetName val="配分案"/>
      <sheetName val="DATA "/>
      <sheetName val="Ongoing"/>
      <sheetName val="Variables"/>
      <sheetName val="N(02a)"/>
      <sheetName val="top"/>
      <sheetName val="デ－タ"/>
      <sheetName val="SH_GROUP"/>
      <sheetName val="Maker_Dist"/>
      <sheetName val="98_10"/>
      <sheetName val="98_11"/>
      <sheetName val="Europe_PU-1"/>
      <sheetName val="Quotation"/>
      <sheetName val="Macro1"/>
      <sheetName val="組立"/>
      <sheetName val="WE0144 LIST"/>
      <sheetName val="原紙"/>
      <sheetName val="74上"/>
      <sheetName val="master"/>
      <sheetName val="99年度原単位"/>
      <sheetName val="List2-1_ModelCode-Local"/>
      <sheetName val="ミツワ 最終"/>
      <sheetName val="\\CP013\Documents accounting an"/>
      <sheetName val="__CP013_Documents accounting an"/>
      <sheetName val="CR产品流程"/>
      <sheetName val="TBP350A"/>
      <sheetName val="FO-USD"/>
      <sheetName val="SH_CARLINE"/>
      <sheetName val="Name"/>
      <sheetName val="NHÓM HÀNG"/>
      <sheetName val="DỮ LIỆU"/>
      <sheetName val="M1"/>
      <sheetName val="gvl"/>
      <sheetName val="R-M Inventory"/>
      <sheetName val="CRIMP"/>
      <sheetName val="VBOM"/>
      <sheetName val="LOCATION UPDATE 8-56"/>
      <sheetName val="全品番DETAILS-LOT"/>
      <sheetName val="khung ten TD"/>
      <sheetName val="E2"/>
      <sheetName val="M1A"/>
      <sheetName val="Hscong"/>
      <sheetName val="Theo Doi Si So"/>
      <sheetName val="CODES"/>
      <sheetName val="i1a"/>
      <sheetName val="INVOICE"/>
      <sheetName val="Người TĐ"/>
      <sheetName val="ﾄﾖﾀUNIT"/>
      <sheetName val="Chuyen 590L"/>
      <sheetName val="QuyUoc"/>
      <sheetName val="CTdongia"/>
      <sheetName val="3"/>
      <sheetName val="表示リスト"/>
      <sheetName val="一般線数"/>
      <sheetName val="Paint"/>
      <sheetName val="Toggle Duplicate Highlighting"/>
      <sheetName val="Supp.List"/>
      <sheetName val="ｲﾝﾄﾞﾈｼｱ"/>
      <sheetName val="シェル台ｾﾂﾄ流し改_(2)1"/>
      <sheetName val="P1_(2)1"/>
      <sheetName val="mat_list_1"/>
      <sheetName val="RACK_(CB)new1"/>
      <sheetName val="C3_N_DC改造投資1"/>
      <sheetName val="MPL_技連1"/>
      <sheetName val="342E_BLOCK1"/>
      <sheetName val="Interior_Trim1"/>
      <sheetName val="TMMK_Vehicle_Data1"/>
      <sheetName val="TMMC_Vehicle_Data1"/>
      <sheetName val="Comparison_data1"/>
      <sheetName val="Part_No_1"/>
      <sheetName val="Master_Updated(517)1"/>
      <sheetName val="%_Allocate_-_AB_Labor1"/>
      <sheetName val="drop_down_List1"/>
      <sheetName val="Master_(692N)1"/>
      <sheetName val="ass'y_06-11'05"/>
      <sheetName val="ass'y_06-11'05_(2)"/>
      <sheetName val="IM-P-L12-5_'03_1"/>
      <sheetName val="Ｂ．财务课部門別週間管理表_(2)1"/>
      <sheetName val="ｽﾀｰﾚｯﾄ_xls1"/>
      <sheetName val="98_101"/>
      <sheetName val="98_111"/>
      <sheetName val="Bajaj_OS1"/>
      <sheetName val="BOM_-_Engineering1"/>
      <sheetName val=""/>
      <sheetName val="Iron_Pivot"/>
      <sheetName val="TMC_Remaining_ECI1"/>
      <sheetName val="raw_data1"/>
      <sheetName val="【⑦】Direct_Consumables"/>
      <sheetName val="Europe_PU-11"/>
      <sheetName val="_D2"/>
      <sheetName val="Nov_'02"/>
      <sheetName val="Matrix_Bom_ใช้งาน"/>
      <sheetName val="Maker_Dist1"/>
      <sheetName val="HE_BASE"/>
      <sheetName val="THPDMoi__(2)"/>
      <sheetName val="t-h_HA_THE"/>
      <sheetName val="DON_GIA"/>
      <sheetName val="CHITIET_VL-NC"/>
      <sheetName val="CHITIET_VL-NC-TT_-1p"/>
      <sheetName val="TH_XL"/>
      <sheetName val="dongia_(2)"/>
      <sheetName val="CHITIET_VL-NC-TT-3p"/>
      <sheetName val="Bia_TQT"/>
      <sheetName val="TONGKE3p_"/>
      <sheetName val="KPVC-BD_"/>
      <sheetName val="Average_per_Katashiki"/>
      <sheetName val="Price_Increase_Monitoring"/>
      <sheetName val="Çalışma_Bilgisi"/>
      <sheetName val="\車種\ｽﾀｰﾚｯﾄ\受注予測\ｽﾀｰﾚｯﾄ_xls"/>
      <sheetName val="_車種_ｽﾀｰﾚｯﾄ_受注予測_ｽﾀｰﾚｯﾄ_xls"/>
      <sheetName val="Splr_Info"/>
      <sheetName val="094W原紙_"/>
      <sheetName val="NHÓM_HÀNG"/>
      <sheetName val="DỮ_LIỆU"/>
      <sheetName val="R-M_Inventory"/>
      <sheetName val="Theo_Doi_Si_So"/>
      <sheetName val="LOCATION_UPDATE_8-56"/>
      <sheetName val="khung_ten_TD"/>
      <sheetName val="Người_TĐ"/>
      <sheetName val="LTC_4W"/>
      <sheetName val="Chuyen_590L"/>
      <sheetName val="WE0144_LIST"/>
      <sheetName val="DATA_"/>
      <sheetName val="ミツワ_最終"/>
      <sheetName val="Toggle_Duplicate_Highlighting"/>
      <sheetName val="Supp_List"/>
      <sheetName val="T1b"/>
      <sheetName val="分析結果"/>
      <sheetName val="sum_gtm"/>
      <sheetName val="&lt;P工程&gt;見積内製原価比較表"/>
      <sheetName val="PCD"/>
      <sheetName val="基準TBL"/>
      <sheetName val="見出し"/>
      <sheetName val="ＶＡＦ"/>
      <sheetName val="Transaction"/>
      <sheetName val="原価条件"/>
      <sheetName val="34HK&gt;?????"/>
      <sheetName val="237W DATA"/>
      <sheetName val="ｶﾑ"/>
      <sheetName val="凡例"/>
      <sheetName val="分類"/>
      <sheetName val="May'15"/>
      <sheetName val="Model Price"/>
      <sheetName val="2"/>
      <sheetName val="Plant Monthly Actuals"/>
      <sheetName val="K Auth System #1"/>
      <sheetName val="071207_HN単独DB"/>
      <sheetName val="Features"/>
      <sheetName val="input mst"/>
      <sheetName val="KUK"/>
      <sheetName val="01 - Jan00"/>
      <sheetName val="日系_北米_"/>
      <sheetName val="北米"/>
      <sheetName val="AM 6M 94"/>
      <sheetName val="Calculation"/>
      <sheetName val="95NOFU"/>
      <sheetName val="県別ﾏﾙﾁ"/>
      <sheetName val="inc. claim 97"/>
      <sheetName val="Future Act"/>
      <sheetName val="Menu"/>
      <sheetName val="EDO"/>
      <sheetName val="Leasing Calculator"/>
      <sheetName val="FR管理工程図"/>
      <sheetName val="組立140西村さんから"/>
      <sheetName val="153W"/>
      <sheetName val="Price range IT"/>
      <sheetName val="FY04 budget vol"/>
      <sheetName val="Avensis+d seg  in &amp; out of UK+F"/>
      <sheetName val="เงินกู้ธนชาติ"/>
      <sheetName val="เงินกู้ MGC"/>
      <sheetName val="Sheet1 (3)"/>
      <sheetName val=" IBPL0001"/>
      <sheetName val="定数"/>
      <sheetName val="Transportatio_x0002_"/>
      <sheetName val="新川"/>
      <sheetName val="Setup"/>
      <sheetName val="34HK&gt;_x005f_x0000__x005f_x0000__x005f_x0000__x000"/>
      <sheetName val="_x005f_x0008_"/>
      <sheetName val="Material Price Adj ANP Final2"/>
      <sheetName val="Material Price Adj RVP Final"/>
      <sheetName val="ANP PR Saving"/>
      <sheetName val="RVP PR Saving"/>
      <sheetName val="Part No_"/>
      <sheetName val="汎用設備調達日程表"/>
      <sheetName val="T-VAN-DM"/>
      <sheetName val="75"/>
      <sheetName val="ﾃﾞｰﾀ読込"/>
      <sheetName val="可動時間"/>
      <sheetName val="GM"/>
      <sheetName val="起亞"/>
      <sheetName val="大宇"/>
      <sheetName val="[ｽﾀｰﾚｯﾄ.xls][ｽﾀｰﾚｯﾄ.xls]\車種\ｽﾀｰ"/>
      <sheetName val="[ｽﾀｰﾚｯﾄ.xls][ｽﾀｰﾚｯﾄ.xls]\\CP013"/>
      <sheetName val="[ｽﾀｰﾚｯﾄ.xls]\車種\ｽﾀｰﾚｯﾄ\受注予測\ｽﾀｰ"/>
      <sheetName val="[ｽﾀｰﾚｯﾄ.xls]\\CP013\Documents a"/>
      <sheetName val="[ｽﾀｰﾚｯﾄ.xls][ｽﾀｰﾚｯﾄ.xls][ｽﾀｰﾚｯﾄ"/>
      <sheetName val="ﾏﾄﾘｯｸｽ"/>
      <sheetName val="SFX TỔNG"/>
      <sheetName val="Gas 1"/>
      <sheetName val="TRT"/>
      <sheetName val="４-２．151項目累積（日本）"/>
      <sheetName val="５-２．151項目累積（北米）"/>
      <sheetName val="５-１．151項目詳細（北米）"/>
      <sheetName val="Result"/>
      <sheetName val="Loss Time"/>
      <sheetName val="物料消耗分析"/>
      <sheetName val="34HK&gt;_____"/>
      <sheetName val="[ｽﾀｰﾚｯﾄ.xls]__172_18_67_25__256"/>
      <sheetName val="VSP - NUMMI Assembly"/>
      <sheetName val="DAILYPACE"/>
      <sheetName val="MAX-MIN พี่บุษ NIssan old"/>
      <sheetName val="定義ファイル流れ"/>
      <sheetName val="1999.4"/>
      <sheetName val="1999.10"/>
      <sheetName val="ANIjan'99"/>
      <sheetName val="消さない(回答書に利用)"/>
      <sheetName val="TMS Data"/>
      <sheetName val="段ﾎﾞｰﾙ箱図番･荷姿ｺｰﾄﾞ"/>
      <sheetName val="TKBN_TKBNA"/>
      <sheetName val="入力シート data sheet sep (2)"/>
      <sheetName val="PROFILE"/>
      <sheetName val="Premissas"/>
      <sheetName val="mau (2)"/>
      <sheetName val="ﾃｽﾄﾃﾞｰﾀ一覧"/>
      <sheetName val="34HK&gt;_x0000__x0000__x0000__x000"/>
      <sheetName val="销售收入A4"/>
      <sheetName val="ｉ１１９"/>
      <sheetName val="SR3-SR4"/>
      <sheetName val="34HK&gt;_x005f_x005f_x005f_x0000__x005f_x005f_x005f_x0000_"/>
      <sheetName val="_x005f_x005f_x005f_x0008_"/>
      <sheetName val="__172.18.67.25_Compras_Users_is"/>
      <sheetName val="TMMK Camry Gas"/>
      <sheetName val="[ｽﾀｰﾚｯﾄ.xls]\\172.18.67.25\Comp"/>
      <sheetName val="計数編"/>
      <sheetName val="MIK_Name"/>
      <sheetName val="849E15(20010)"/>
      <sheetName val="GRAPH 4軸 径Φ120 (2)"/>
      <sheetName val="Transportatio_x005f_x0002_"/>
      <sheetName val="[ｽﾀｰﾚｯﾄ.xls][ｽﾀｰﾚｯﾄ.xls]\\172.1"/>
      <sheetName val="_ｽﾀｰﾚｯﾄ.xls__車種_ｽﾀｰﾚｯﾄ_受注予測_ｽﾀｰ"/>
      <sheetName val="_ｽﾀｰﾚｯﾄ.xls___CP013_Documents a"/>
      <sheetName val="_ｽﾀｰﾚｯﾄ.xls__ｽﾀｰﾚｯﾄ.xls__車種_ｽﾀｰ"/>
      <sheetName val="_ｽﾀｰﾚｯﾄ.xls__ｽﾀｰﾚｯﾄ.xls___CP013"/>
      <sheetName val="_ｽﾀｰﾚｯﾄ.xls__ｽﾀｰﾚｯﾄ.xls__ｽﾀｰﾚｯﾄ"/>
      <sheetName val="_ｽﾀｰﾚｯﾄ.xls___172.18.67.25_Comp"/>
      <sheetName val="_ｽﾀｰﾚｯﾄ.xls__ｽﾀｰﾚｯﾄ.xls___172.1"/>
      <sheetName val="投資（参）"/>
      <sheetName val="課題一覧"/>
      <sheetName val="仕掛回数"/>
      <sheetName val="ｽｽﾞｷL4S2"/>
      <sheetName val="Base MDL_08CR to 09CR"/>
      <sheetName val="設変１"/>
      <sheetName val="L4設備ﾃﾞｰﾀ"/>
      <sheetName val="ｵ･ﾎﾞｸﾞ"/>
      <sheetName val="ｻｰﾌﾞ"/>
      <sheetName val="ﾈｯﾄﾞｶｰ"/>
      <sheetName val="ﾌｨｱｯﾄ"/>
      <sheetName val="三星 "/>
      <sheetName val="単価"/>
      <sheetName val="まとめ"/>
      <sheetName val="MAINT_FINAL_MACROS_LINE_DEFECT"/>
      <sheetName val="MAINT_FINAL_MACROS_LINE_KTGR_FR"/>
      <sheetName val="MAINT_FINAL_MACROS_LINE_KTGR_ME"/>
      <sheetName val="MAINT_FINAL_MACROS_LINE_SEBAB_F"/>
      <sheetName val="Mar"/>
      <sheetName val="AT部品管理台帳  (2)"/>
      <sheetName val="資料1"/>
      <sheetName val="MAINT_FINAL_MACROS_LINE_SEBAB_M"/>
      <sheetName val="07"/>
      <sheetName val="00"/>
      <sheetName val="4"/>
      <sheetName val="5"/>
      <sheetName val="6"/>
      <sheetName val="Royalty"/>
      <sheetName val="MAINT_FINAL_MACROS_MESIN_FREKST"/>
      <sheetName val="MAINT_FINAL_MACROS_MESIN_LINEST"/>
      <sheetName val="MAINT_FINAL_MACROS_MESIN_MCSTOP"/>
      <sheetName val="DANHMUC_DV"/>
      <sheetName val="DANHMUC_HH"/>
      <sheetName val="KHM"/>
      <sheetName val="DANHMUC_NVL"/>
      <sheetName val="DANHMUC_NPL"/>
      <sheetName val="前工程の能率実績(NS)"/>
      <sheetName val="Leave"/>
      <sheetName val="シェル台ｾﾂﾄ流し改_(2)2"/>
      <sheetName val="P1_(2)2"/>
      <sheetName val="mat_list_2"/>
      <sheetName val="RACK_(CB)new2"/>
      <sheetName val="C3_N_DC改造投資2"/>
      <sheetName val="MPL_技連2"/>
      <sheetName val="342E_BLOCK2"/>
      <sheetName val="Interior_Trim2"/>
      <sheetName val="TMMK_Vehicle_Data2"/>
      <sheetName val="TMMC_Vehicle_Data2"/>
      <sheetName val="Comparison_data2"/>
      <sheetName val="Part_No_2"/>
      <sheetName val="Master_Updated(517)2"/>
      <sheetName val="%_Allocate_-_AB_Labor2"/>
      <sheetName val="drop_down_List2"/>
      <sheetName val="Master_(692N)2"/>
      <sheetName val="ass'y_06-11'051"/>
      <sheetName val="ass'y_06-11'05_(2)1"/>
      <sheetName val="IM-P-L12-5_'03_2"/>
      <sheetName val="Ｂ．财务课部門別週間管理表_(2)2"/>
      <sheetName val="ｽﾀｰﾚｯﾄ_xls2"/>
      <sheetName val="98_102"/>
      <sheetName val="98_112"/>
      <sheetName val="Bajaj_OS2"/>
      <sheetName val="BOM_-_Engineering2"/>
      <sheetName val="Iron_Pivot1"/>
      <sheetName val="TMC_Remaining_ECI2"/>
      <sheetName val="raw_data2"/>
      <sheetName val="【⑦】Direct_Consumables1"/>
      <sheetName val="Europe_PU-12"/>
      <sheetName val="_D21"/>
      <sheetName val="Nov_'021"/>
      <sheetName val="Matrix_Bom_ใช้งาน1"/>
      <sheetName val="Maker_Dist2"/>
      <sheetName val="HE_BASE1"/>
      <sheetName val="THPDMoi__(2)1"/>
      <sheetName val="t-h_HA_THE1"/>
      <sheetName val="DON_GIA1"/>
      <sheetName val="CHITIET_VL-NC1"/>
      <sheetName val="CHITIET_VL-NC-TT_-1p1"/>
      <sheetName val="TH_XL1"/>
      <sheetName val="dongia_(2)1"/>
      <sheetName val="CHITIET_VL-NC-TT-3p1"/>
      <sheetName val="Bia_TQT1"/>
      <sheetName val="TONGKE3p_1"/>
      <sheetName val="KPVC-BD_1"/>
      <sheetName val="Average_per_Katashiki1"/>
      <sheetName val="Price_Increase_Monitoring1"/>
      <sheetName val="Çalışma_Bilgisi1"/>
      <sheetName val="\車種\ｽﾀｰﾚｯﾄ\受注予測\ｽﾀｰﾚｯﾄ_xls1"/>
      <sheetName val="_車種_ｽﾀｰﾚｯﾄ_受注予測_ｽﾀｰﾚｯﾄ_xls1"/>
      <sheetName val="Splr_Info1"/>
      <sheetName val="094W原紙_1"/>
      <sheetName val="NHÓM_HÀNG1"/>
      <sheetName val="Theo_Doi_Si_So1"/>
      <sheetName val="DỮ_LIỆU1"/>
      <sheetName val="R-M_Inventory1"/>
      <sheetName val="LOCATION_UPDATE_8-561"/>
      <sheetName val="Người_TĐ1"/>
      <sheetName val="khung_ten_TD1"/>
      <sheetName val="LTC_4W1"/>
      <sheetName val="Chuyen_590L1"/>
      <sheetName val="WE0144_LIST1"/>
      <sheetName val="DATA_1"/>
      <sheetName val="ミツワ_最終1"/>
      <sheetName val="Toggle_Duplicate_Highlighting1"/>
      <sheetName val="Supp_List1"/>
      <sheetName val="\\CP013\Documents_accounting_an"/>
      <sheetName val="__CP013_Documents_accounting_an"/>
      <sheetName val="237W_DATA"/>
      <sheetName val="input_mst"/>
      <sheetName val="01_-_Jan00"/>
      <sheetName val="AM_6M_94"/>
      <sheetName val="Model_Price"/>
      <sheetName val="Plant_Monthly_Actuals"/>
      <sheetName val="K_Auth_System_#1"/>
      <sheetName val="SFX_TỔNG"/>
      <sheetName val="Future_Act"/>
      <sheetName val="Leasing_Calculator"/>
      <sheetName val="[ｽﾀｰﾚｯﾄ_xls]\車種\ｽﾀｰﾚｯﾄ\受注予測\ｽﾀｰ"/>
      <sheetName val="[ｽﾀｰﾚｯﾄ_xls][ｽﾀｰﾚｯﾄ_xls][ｽﾀｰﾚｯﾄ"/>
      <sheetName val="[ｽﾀｰﾚｯﾄ_xls][ｽﾀｰﾚｯﾄ_xls]\車種\ｽﾀｰ"/>
      <sheetName val="inc__claim_97"/>
      <sheetName val="Price_range_IT"/>
      <sheetName val="FY04_budget_vol"/>
      <sheetName val="Avensis+d_seg__in_&amp;_out_of_UK+F"/>
      <sheetName val="เงินกู้_MGC"/>
      <sheetName val="Sheet1_(3)"/>
      <sheetName val="_IBPL0001"/>
      <sheetName val="Transportatio"/>
      <sheetName val="Material_Price_Adj_ANP_Final2"/>
      <sheetName val="Material_Price_Adj_RVP_Final"/>
      <sheetName val="ANP_PR_Saving"/>
      <sheetName val="RVP_PR_Saving"/>
      <sheetName val="Part_No_3"/>
      <sheetName val="[ｽﾀｰﾚｯﾄ_xls][ｽﾀｰﾚｯﾄ_xls]\\CP013"/>
      <sheetName val="[ｽﾀｰﾚｯﾄ_xls]\\CP013\Documents_a"/>
      <sheetName val="Gas_1"/>
      <sheetName val="TMS_Data"/>
      <sheetName val="入力シート_data_sheet_sep_(2)"/>
      <sheetName val="Loss_Time"/>
      <sheetName val="\\172_18_67_25\Compras\Users\is"/>
      <sheetName val="VSP_-_NUMMI_Assembly"/>
      <sheetName val="[ｽﾀｰﾚｯﾄ.xls]__________________2"/>
      <sheetName val="シェル台ｾﾂﾄ流し改_(2)3"/>
      <sheetName val="P1_(2)3"/>
      <sheetName val="mat_list_3"/>
      <sheetName val="RACK_(CB)new3"/>
      <sheetName val="C3_N_DC改造投資3"/>
      <sheetName val="MPL_技連3"/>
      <sheetName val="342E_BLOCK3"/>
      <sheetName val="Interior_Trim3"/>
      <sheetName val="TMMK_Vehicle_Data3"/>
      <sheetName val="TMMC_Vehicle_Data3"/>
      <sheetName val="Comparison_data3"/>
      <sheetName val="Part_No_4"/>
      <sheetName val="Master_Updated(517)3"/>
      <sheetName val="%_Allocate_-_AB_Labor3"/>
      <sheetName val="drop_down_List3"/>
      <sheetName val="Master_(692N)3"/>
      <sheetName val="ass'y_06-11'052"/>
      <sheetName val="ass'y_06-11'05_(2)2"/>
      <sheetName val="IM-P-L12-5_'03_3"/>
      <sheetName val="Ｂ．财务课部門別週間管理表_(2)3"/>
      <sheetName val="ｽﾀｰﾚｯﾄ_xls3"/>
      <sheetName val="98_103"/>
      <sheetName val="98_113"/>
      <sheetName val="Bajaj_OS3"/>
      <sheetName val="BOM_-_Engineering3"/>
      <sheetName val="Iron_Pivot2"/>
      <sheetName val="TMC_Remaining_ECI3"/>
      <sheetName val="raw_data3"/>
      <sheetName val="【⑦】Direct_Consumables2"/>
      <sheetName val="Europe_PU-13"/>
      <sheetName val="_D22"/>
      <sheetName val="Nov_'022"/>
      <sheetName val="Matrix_Bom_ใช้งาน2"/>
      <sheetName val="Maker_Dist3"/>
      <sheetName val="HE_BASE2"/>
      <sheetName val="THPDMoi__(2)2"/>
      <sheetName val="t-h_HA_THE2"/>
      <sheetName val="DON_GIA2"/>
      <sheetName val="CHITIET_VL-NC2"/>
      <sheetName val="CHITIET_VL-NC-TT_-1p2"/>
      <sheetName val="TH_XL2"/>
      <sheetName val="dongia_(2)2"/>
      <sheetName val="CHITIET_VL-NC-TT-3p2"/>
      <sheetName val="Bia_TQT2"/>
      <sheetName val="TONGKE3p_2"/>
      <sheetName val="KPVC-BD_2"/>
      <sheetName val="Average_per_Katashiki2"/>
      <sheetName val="Price_Increase_Monitoring2"/>
      <sheetName val="Çalışma_Bilgisi2"/>
      <sheetName val="\車種\ｽﾀｰﾚｯﾄ\受注予測\ｽﾀｰﾚｯﾄ_xls2"/>
      <sheetName val="_車種_ｽﾀｰﾚｯﾄ_受注予測_ｽﾀｰﾚｯﾄ_xls2"/>
      <sheetName val="Splr_Info2"/>
      <sheetName val="094W原紙_2"/>
      <sheetName val="NHÓM_HÀNG2"/>
      <sheetName val="R-M_Inventory2"/>
      <sheetName val="DỮ_LIỆU2"/>
      <sheetName val="Theo_Doi_Si_So2"/>
      <sheetName val="LOCATION_UPDATE_8-562"/>
      <sheetName val="khung_ten_TD2"/>
      <sheetName val="Người_TĐ2"/>
      <sheetName val="LTC_4W2"/>
      <sheetName val="Chuyen_590L2"/>
      <sheetName val="WE0144_LIST2"/>
      <sheetName val="DATA_2"/>
      <sheetName val="ミツワ_最終2"/>
      <sheetName val="Toggle_Duplicate_Highlighting2"/>
      <sheetName val="Supp_List2"/>
      <sheetName val="\\CP013\Documents_accounting_a1"/>
      <sheetName val="__CP013_Documents_accounting_a1"/>
      <sheetName val="237W_DATA1"/>
      <sheetName val="Model_Price1"/>
      <sheetName val="Plant_Monthly_Actuals1"/>
      <sheetName val="K_Auth_System_#11"/>
      <sheetName val="input_mst1"/>
      <sheetName val="01_-_Jan001"/>
      <sheetName val="AM_6M_941"/>
      <sheetName val="inc__claim_971"/>
      <sheetName val="Future_Act1"/>
      <sheetName val="Leasing_Calculator1"/>
      <sheetName val="Price_range_IT1"/>
      <sheetName val="FY04_budget_vol1"/>
      <sheetName val="Avensis+d_seg__in_&amp;_out_of_UK+1"/>
      <sheetName val="เงินกู้_MGC1"/>
      <sheetName val="Sheet1_(3)1"/>
      <sheetName val="_IBPL00011"/>
      <sheetName val="SFX_TỔNG1"/>
      <sheetName val="[ｽﾀｰﾚｯﾄ_xls]\車種\ｽﾀｰﾚｯﾄ\受注予測\ｽﾀ1"/>
      <sheetName val="[ｽﾀｰﾚｯﾄ_xls][ｽﾀｰﾚｯﾄ_xls][ｽﾀｰﾚｯ1"/>
      <sheetName val="[ｽﾀｰﾚｯﾄ_xls][ｽﾀｰﾚｯﾄ_xls]\車種\ｽﾀ1"/>
      <sheetName val="Material_Price_Adj_ANP_Final21"/>
      <sheetName val="Material_Price_Adj_RVP_Final1"/>
      <sheetName val="ANP_PR_Saving1"/>
      <sheetName val="RVP_PR_Saving1"/>
      <sheetName val="Part_No_5"/>
      <sheetName val="[ｽﾀｰﾚｯﾄ_xls][ｽﾀｰﾚｯﾄ_xls]\\CP011"/>
      <sheetName val="[ｽﾀｰﾚｯﾄ_xls]\\CP013\Documents_1"/>
      <sheetName val="入力シート_data_sheet_sep_(2)1"/>
      <sheetName val="Gas_11"/>
      <sheetName val="TMS_Data1"/>
      <sheetName val="Loss_Time1"/>
      <sheetName val="\\172_18_67_25\Compras\Users\i1"/>
      <sheetName val="VSP_-_NUMMI_Assembly1"/>
      <sheetName val="mau_(2)"/>
      <sheetName val="MAX-MIN_พี่บุษ_NIssan_old"/>
      <sheetName val="1999_4"/>
      <sheetName val="1999_10"/>
      <sheetName val="Base_MDL_08CR_to_09CR"/>
      <sheetName val="__172_18_67_25_Compras_Users_is"/>
      <sheetName val="TMMK_Camry_Gas"/>
      <sheetName val="[ｽﾀｰﾚｯﾄ_xls]\\172_18_67_25\Comp"/>
      <sheetName val="GRAPH_4軸_径Φ120_(2)"/>
      <sheetName val="[ｽﾀｰﾚｯﾄ_xls][ｽﾀｰﾚｯﾄ_xls]\\172_1"/>
      <sheetName val="_ｽﾀｰﾚｯﾄ_xls__車種_ｽﾀｰﾚｯﾄ_受注予測_ｽﾀｰ"/>
      <sheetName val="_ｽﾀｰﾚｯﾄ_xls___CP013_Documents_a"/>
      <sheetName val="_ｽﾀｰﾚｯﾄ_xls__ｽﾀｰﾚｯﾄ_xls__車種_ｽﾀｰ"/>
      <sheetName val="_ｽﾀｰﾚｯﾄ_xls__ｽﾀｰﾚｯﾄ_xls___CP013"/>
      <sheetName val="_ｽﾀｰﾚｯﾄ_xls__ｽﾀｰﾚｯﾄ_xls__ｽﾀｰﾚｯﾄ"/>
      <sheetName val="_ｽﾀｰﾚｯﾄ_xls___172_18_67_25_Comp"/>
      <sheetName val="_ｽﾀｰﾚｯﾄ_xls__ｽﾀｰﾚｯﾄ_xls___172_1"/>
      <sheetName val="三星_"/>
      <sheetName val="AT部品管理台帳__(2)"/>
      <sheetName val="シェル台ｾﾂﾄ流し改_(2)4"/>
      <sheetName val="P1_(2)4"/>
      <sheetName val="mat_list_4"/>
      <sheetName val="RACK_(CB)new4"/>
      <sheetName val="C3_N_DC改造投資4"/>
      <sheetName val="MPL_技連4"/>
      <sheetName val="342E_BLOCK4"/>
      <sheetName val="Interior_Trim4"/>
      <sheetName val="TMMK_Vehicle_Data4"/>
      <sheetName val="TMMC_Vehicle_Data4"/>
      <sheetName val="Comparison_data4"/>
      <sheetName val="Part_No_6"/>
      <sheetName val="Master_Updated(517)4"/>
      <sheetName val="%_Allocate_-_AB_Labor4"/>
      <sheetName val="drop_down_List4"/>
      <sheetName val="Master_(692N)4"/>
      <sheetName val="ass'y_06-11'053"/>
      <sheetName val="ass'y_06-11'05_(2)3"/>
      <sheetName val="IM-P-L12-5_'03_4"/>
      <sheetName val="Ｂ．财务课部門別週間管理表_(2)4"/>
      <sheetName val="ｽﾀｰﾚｯﾄ_xls4"/>
      <sheetName val="98_104"/>
      <sheetName val="98_114"/>
      <sheetName val="Bajaj_OS4"/>
      <sheetName val="BOM_-_Engineering4"/>
      <sheetName val="Iron_Pivot3"/>
      <sheetName val="TMC_Remaining_ECI4"/>
      <sheetName val="raw_data4"/>
      <sheetName val="【⑦】Direct_Consumables3"/>
      <sheetName val="Europe_PU-14"/>
      <sheetName val="_D23"/>
      <sheetName val="Nov_'023"/>
      <sheetName val="Matrix_Bom_ใช้งาน3"/>
      <sheetName val="Maker_Dist4"/>
      <sheetName val="HE_BASE3"/>
      <sheetName val="THPDMoi__(2)3"/>
      <sheetName val="t-h_HA_THE3"/>
      <sheetName val="DON_GIA3"/>
      <sheetName val="CHITIET_VL-NC3"/>
      <sheetName val="CHITIET_VL-NC-TT_-1p3"/>
      <sheetName val="TH_XL3"/>
      <sheetName val="dongia_(2)3"/>
      <sheetName val="CHITIET_VL-NC-TT-3p3"/>
      <sheetName val="Bia_TQT3"/>
      <sheetName val="TONGKE3p_3"/>
      <sheetName val="KPVC-BD_3"/>
      <sheetName val="Average_per_Katashiki3"/>
      <sheetName val="Price_Increase_Monitoring3"/>
      <sheetName val="Çalışma_Bilgisi3"/>
      <sheetName val="\車種\ｽﾀｰﾚｯﾄ\受注予測\ｽﾀｰﾚｯﾄ_xls3"/>
      <sheetName val="_車種_ｽﾀｰﾚｯﾄ_受注予測_ｽﾀｰﾚｯﾄ_xls3"/>
      <sheetName val="Splr_Info3"/>
      <sheetName val="094W原紙_3"/>
      <sheetName val="NHÓM_HÀNG3"/>
      <sheetName val="R-M_Inventory3"/>
      <sheetName val="DỮ_LIỆU3"/>
      <sheetName val="Theo_Doi_Si_So3"/>
      <sheetName val="LOCATION_UPDATE_8-563"/>
      <sheetName val="khung_ten_TD3"/>
      <sheetName val="Người_TĐ3"/>
      <sheetName val="LTC_4W3"/>
      <sheetName val="Chuyen_590L3"/>
      <sheetName val="WE0144_LIST3"/>
      <sheetName val="DATA_3"/>
      <sheetName val="ミツワ_最終3"/>
      <sheetName val="Toggle_Duplicate_Highlighting3"/>
      <sheetName val="Supp_List3"/>
      <sheetName val="\\CP013\Documents_accounting_a2"/>
      <sheetName val="__CP013_Documents_accounting_a2"/>
      <sheetName val="237W_DATA2"/>
      <sheetName val="Model_Price2"/>
      <sheetName val="Plant_Monthly_Actuals2"/>
      <sheetName val="K_Auth_System_#12"/>
      <sheetName val="input_mst2"/>
      <sheetName val="01_-_Jan002"/>
      <sheetName val="AM_6M_942"/>
      <sheetName val="inc__claim_972"/>
      <sheetName val="Future_Act2"/>
      <sheetName val="Leasing_Calculator2"/>
      <sheetName val="Price_range_IT2"/>
      <sheetName val="FY04_budget_vol2"/>
      <sheetName val="Avensis+d_seg__in_&amp;_out_of_UK+2"/>
      <sheetName val="เงินกู้_MGC2"/>
      <sheetName val="Sheet1_(3)2"/>
      <sheetName val="_IBPL00012"/>
      <sheetName val="SFX_TỔNG2"/>
      <sheetName val="[ｽﾀｰﾚｯﾄ_xls]\車種\ｽﾀｰﾚｯﾄ\受注予測\ｽﾀ2"/>
      <sheetName val="[ｽﾀｰﾚｯﾄ_xls][ｽﾀｰﾚｯﾄ_xls][ｽﾀｰﾚｯ2"/>
      <sheetName val="[ｽﾀｰﾚｯﾄ_xls][ｽﾀｰﾚｯﾄ_xls]\車種\ｽﾀ2"/>
      <sheetName val="Material_Price_Adj_ANP_Final22"/>
      <sheetName val="Material_Price_Adj_RVP_Final2"/>
      <sheetName val="ANP_PR_Saving2"/>
      <sheetName val="RVP_PR_Saving2"/>
      <sheetName val="Part_No_7"/>
      <sheetName val="[ｽﾀｰﾚｯﾄ_xls][ｽﾀｰﾚｯﾄ_xls]\\CP012"/>
      <sheetName val="[ｽﾀｰﾚｯﾄ_xls]\\CP013\Documents_2"/>
      <sheetName val="入力シート_data_sheet_sep_(2)2"/>
      <sheetName val="Gas_12"/>
      <sheetName val="TMS_Data2"/>
      <sheetName val="Loss_Time2"/>
      <sheetName val="\\172_18_67_25\Compras\Users\i2"/>
      <sheetName val="VSP_-_NUMMI_Assembly2"/>
      <sheetName val="mau_(2)1"/>
      <sheetName val="MAX-MIN_พี่บุษ_NIssan_old1"/>
      <sheetName val="1999_41"/>
      <sheetName val="1999_101"/>
      <sheetName val="Base_MDL_08CR_to_09CR1"/>
      <sheetName val="__172_18_67_25_Compras_Users_i1"/>
      <sheetName val="TMMK_Camry_Gas1"/>
      <sheetName val="[ｽﾀｰﾚｯﾄ_xls]\\172_18_67_25\Com1"/>
      <sheetName val="GRAPH_4軸_径Φ120_(2)1"/>
      <sheetName val="[ｽﾀｰﾚｯﾄ_xls][ｽﾀｰﾚｯﾄ_xls]\\172_2"/>
      <sheetName val="_ｽﾀｰﾚｯﾄ_xls__車種_ｽﾀｰﾚｯﾄ_受注予測_ｽﾀ1"/>
      <sheetName val="_ｽﾀｰﾚｯﾄ_xls___CP013_Documents_1"/>
      <sheetName val="_ｽﾀｰﾚｯﾄ_xls__ｽﾀｰﾚｯﾄ_xls__車種_ｽﾀ1"/>
      <sheetName val="_ｽﾀｰﾚｯﾄ_xls__ｽﾀｰﾚｯﾄ_xls___CP011"/>
      <sheetName val="_ｽﾀｰﾚｯﾄ_xls__ｽﾀｰﾚｯﾄ_xls__ｽﾀｰﾚｯ1"/>
      <sheetName val="_ｽﾀｰﾚｯﾄ_xls___172_18_67_25_Com1"/>
      <sheetName val="_ｽﾀｰﾚｯﾄ_xls__ｽﾀｰﾚｯﾄ_xls___172_2"/>
      <sheetName val="三星_1"/>
      <sheetName val="AT部品管理台帳__(2)1"/>
      <sheetName val="[ｽﾀｰﾚｯﾄ.xls]_車___ﾀｰﾚｯﾄ_受_予____2"/>
      <sheetName val="[ｽﾀｰﾚｯﾄ.xls]__________________3"/>
      <sheetName val="[ｽﾀｰﾚｯﾄ.xls]__________________4"/>
      <sheetName val="[ｽﾀｰﾚｯﾄ.xls]__________________6"/>
      <sheetName val="[ｽﾀｰﾚｯﾄ.xls]__________________5"/>
      <sheetName val="シェル台ｾﾂﾄ流し改_(2)5"/>
      <sheetName val="P1_(2)5"/>
      <sheetName val="mat_list_5"/>
      <sheetName val="RACK_(CB)new5"/>
      <sheetName val="C3_N_DC改造投資5"/>
      <sheetName val="MPL_技連5"/>
      <sheetName val="342E_BLOCK5"/>
      <sheetName val="Interior_Trim5"/>
      <sheetName val="TMMK_Vehicle_Data5"/>
      <sheetName val="TMMC_Vehicle_Data5"/>
      <sheetName val="Comparison_data5"/>
      <sheetName val="Part_No_8"/>
      <sheetName val="Master_Updated(517)5"/>
      <sheetName val="%_Allocate_-_AB_Labor5"/>
      <sheetName val="drop_down_List5"/>
      <sheetName val="Master_(692N)5"/>
      <sheetName val="ass'y_06-11'054"/>
      <sheetName val="ass'y_06-11'05_(2)4"/>
      <sheetName val="IM-P-L12-5_'03_5"/>
      <sheetName val="Ｂ．财务课部門別週間管理表_(2)5"/>
      <sheetName val="ｽﾀｰﾚｯﾄ_xls5"/>
      <sheetName val="98_105"/>
      <sheetName val="98_115"/>
      <sheetName val="Bajaj_OS5"/>
      <sheetName val="BOM_-_Engineering5"/>
      <sheetName val="Iron_Pivot4"/>
      <sheetName val="TMC_Remaining_ECI5"/>
      <sheetName val="raw_data5"/>
      <sheetName val="【⑦】Direct_Consumables4"/>
      <sheetName val="Europe_PU-15"/>
      <sheetName val="_D24"/>
      <sheetName val="Nov_'024"/>
      <sheetName val="Matrix_Bom_ใช้งาน4"/>
      <sheetName val="Maker_Dist5"/>
      <sheetName val="HE_BASE4"/>
      <sheetName val="THPDMoi__(2)4"/>
      <sheetName val="t-h_HA_THE4"/>
      <sheetName val="DON_GIA4"/>
      <sheetName val="CHITIET_VL-NC4"/>
      <sheetName val="CHITIET_VL-NC-TT_-1p4"/>
      <sheetName val="TH_XL4"/>
      <sheetName val="dongia_(2)4"/>
      <sheetName val="CHITIET_VL-NC-TT-3p4"/>
      <sheetName val="Bia_TQT4"/>
      <sheetName val="TONGKE3p_4"/>
      <sheetName val="KPVC-BD_4"/>
      <sheetName val="Average_per_Katashiki4"/>
      <sheetName val="Price_Increase_Monitoring4"/>
      <sheetName val="Çalışma_Bilgisi4"/>
      <sheetName val="\車種\ｽﾀｰﾚｯﾄ\受注予測\ｽﾀｰﾚｯﾄ_xls4"/>
      <sheetName val="_車種_ｽﾀｰﾚｯﾄ_受注予測_ｽﾀｰﾚｯﾄ_xls4"/>
      <sheetName val="Splr_Info4"/>
      <sheetName val="094W原紙_4"/>
      <sheetName val="NHÓM_HÀNG4"/>
      <sheetName val="R-M_Inventory4"/>
      <sheetName val="DỮ_LIỆU4"/>
      <sheetName val="Theo_Doi_Si_So4"/>
      <sheetName val="LOCATION_UPDATE_8-564"/>
      <sheetName val="khung_ten_TD4"/>
      <sheetName val="Người_TĐ4"/>
      <sheetName val="LTC_4W4"/>
      <sheetName val="Chuyen_590L4"/>
      <sheetName val="WE0144_LIST4"/>
      <sheetName val="DATA_4"/>
      <sheetName val="ミツワ_最終4"/>
      <sheetName val="Toggle_Duplicate_Highlighting4"/>
      <sheetName val="Supp_List4"/>
      <sheetName val="\\CP013\Documents_accounting_a3"/>
      <sheetName val="__CP013_Documents_accounting_a3"/>
      <sheetName val="237W_DATA3"/>
      <sheetName val="input_mst3"/>
      <sheetName val="01_-_Jan003"/>
      <sheetName val="AM_6M_943"/>
      <sheetName val="Model_Price3"/>
      <sheetName val="Plant_Monthly_Actuals3"/>
      <sheetName val="K_Auth_System_#13"/>
      <sheetName val="SFX_TỔNG3"/>
      <sheetName val="Future_Act3"/>
      <sheetName val="Leasing_Calculator3"/>
      <sheetName val="inc__claim_973"/>
      <sheetName val="Price_range_IT3"/>
      <sheetName val="FY04_budget_vol3"/>
      <sheetName val="Avensis+d_seg__in_&amp;_out_of_UK+3"/>
      <sheetName val="เงินกู้_MGC3"/>
      <sheetName val="Sheet1_(3)3"/>
      <sheetName val="_IBPL00013"/>
      <sheetName val="[ｽﾀｰﾚｯﾄ_xls]\車種\ｽﾀｰﾚｯﾄ\受注予測\ｽﾀ3"/>
      <sheetName val="[ｽﾀｰﾚｯﾄ_xls][ｽﾀｰﾚｯﾄ_xls][ｽﾀｰﾚｯ3"/>
      <sheetName val="[ｽﾀｰﾚｯﾄ_xls][ｽﾀｰﾚｯﾄ_xls]\車種\ｽﾀ3"/>
      <sheetName val="Material_Price_Adj_ANP_Final23"/>
      <sheetName val="Material_Price_Adj_RVP_Final3"/>
      <sheetName val="ANP_PR_Saving3"/>
      <sheetName val="RVP_PR_Saving3"/>
      <sheetName val="Part_No_9"/>
      <sheetName val="[ｽﾀｰﾚｯﾄ_xls][ｽﾀｰﾚｯﾄ_xls]\\CP014"/>
      <sheetName val="[ｽﾀｰﾚｯﾄ_xls]\\CP013\Documents_3"/>
      <sheetName val="入力シート_data_sheet_sep_(2)3"/>
      <sheetName val="Gas_13"/>
      <sheetName val="TMS_Data3"/>
      <sheetName val="Loss_Time3"/>
      <sheetName val="\\172_18_67_25\Compras\Users\i3"/>
      <sheetName val="VSP_-_NUMMI_Assembly3"/>
      <sheetName val="mau_(2)2"/>
      <sheetName val="MAX-MIN_พี่บุษ_NIssan_old2"/>
      <sheetName val="1999_42"/>
      <sheetName val="1999_102"/>
      <sheetName val="Base_MDL_08CR_to_09CR2"/>
      <sheetName val="__172_18_67_25_Compras_Users_i2"/>
      <sheetName val="TMMK_Camry_Gas2"/>
      <sheetName val="[ｽﾀｰﾚｯﾄ_xls]\\172_18_67_25\Com2"/>
      <sheetName val="GRAPH_4軸_径Φ120_(2)2"/>
      <sheetName val="[ｽﾀｰﾚｯﾄ_xls][ｽﾀｰﾚｯﾄ_xls]\\172_3"/>
      <sheetName val="_ｽﾀｰﾚｯﾄ_xls__車種_ｽﾀｰﾚｯﾄ_受注予測_ｽﾀ2"/>
      <sheetName val="_ｽﾀｰﾚｯﾄ_xls___CP013_Documents_2"/>
      <sheetName val="_ｽﾀｰﾚｯﾄ_xls__ｽﾀｰﾚｯﾄ_xls__車種_ｽﾀ2"/>
      <sheetName val="_ｽﾀｰﾚｯﾄ_xls__ｽﾀｰﾚｯﾄ_xls___CP012"/>
      <sheetName val="_ｽﾀｰﾚｯﾄ_xls__ｽﾀｰﾚｯﾄ_xls__ｽﾀｰﾚｯ2"/>
      <sheetName val="_ｽﾀｰﾚｯﾄ_xls___172_18_67_25_Com2"/>
      <sheetName val="_ｽﾀｰﾚｯﾄ_xls__ｽﾀｰﾚｯﾄ_xls___172_3"/>
      <sheetName val="三星_2"/>
      <sheetName val="AT部品管理台帳__(2)2"/>
      <sheetName val="[ｽﾀｰﾚｯﾄ_xls]__________________2"/>
      <sheetName val="[ｽﾀｰﾚｯﾄ_xls]_車___ﾀｰﾚｯﾄ_受_予____2"/>
      <sheetName val="[ｽﾀｰﾚｯﾄ_xls]__________________3"/>
      <sheetName val="[ｽﾀｰﾚｯﾄ_xls]__________________4"/>
      <sheetName val="[ｽﾀｰﾚｯﾄ_xls]__________________6"/>
      <sheetName val="[ｽﾀｰﾚｯﾄ_xls]__________________5"/>
      <sheetName val="シェル台ｾﾂﾄ流し改_(2)6"/>
      <sheetName val="P1_(2)6"/>
      <sheetName val="RACK_(CB)new6"/>
      <sheetName val="C3_N_DC改造投資6"/>
      <sheetName val="mat_list_6"/>
      <sheetName val="MPL_技連6"/>
      <sheetName val="342E_BLOCK6"/>
      <sheetName val="TMMK_Vehicle_Data6"/>
      <sheetName val="TMMC_Vehicle_Data6"/>
      <sheetName val="Comparison_data6"/>
      <sheetName val="Interior_Trim6"/>
      <sheetName val="ass'y_06-11'055"/>
      <sheetName val="ass'y_06-11'05_(2)5"/>
      <sheetName val="IM-P-L12-5_'03_6"/>
      <sheetName val="Part_No_10"/>
      <sheetName val="Ｂ．财务课部門別週間管理表_(2)6"/>
      <sheetName val="Master_Updated(517)6"/>
      <sheetName val="ｽﾀｰﾚｯﾄ_xls6"/>
      <sheetName val="%_Allocate_-_AB_Labor6"/>
      <sheetName val="Master_(692N)6"/>
      <sheetName val="drop_down_List6"/>
      <sheetName val="98_106"/>
      <sheetName val="98_116"/>
      <sheetName val="Bajaj_OS6"/>
      <sheetName val="BOM_-_Engineering6"/>
      <sheetName val="Europe_PU-16"/>
      <sheetName val="【⑦】Direct_Consumables5"/>
      <sheetName val="TMC_Remaining_ECI6"/>
      <sheetName val="raw_data6"/>
      <sheetName val="Iron_Pivot5"/>
      <sheetName val="_D25"/>
      <sheetName val="Nov_'025"/>
      <sheetName val="Matrix_Bom_ใช้งาน5"/>
      <sheetName val="Maker_Dist6"/>
      <sheetName val="HE_BASE5"/>
      <sheetName val="THPDMoi__(2)5"/>
      <sheetName val="t-h_HA_THE5"/>
      <sheetName val="DON_GIA5"/>
      <sheetName val="CHITIET_VL-NC5"/>
      <sheetName val="CHITIET_VL-NC-TT_-1p5"/>
      <sheetName val="TH_XL5"/>
      <sheetName val="dongia_(2)5"/>
      <sheetName val="CHITIET_VL-NC-TT-3p5"/>
      <sheetName val="Bia_TQT5"/>
      <sheetName val="TONGKE3p_5"/>
      <sheetName val="KPVC-BD_5"/>
      <sheetName val="Average_per_Katashiki5"/>
      <sheetName val="Price_Increase_Monitoring5"/>
      <sheetName val="Çalışma_Bilgisi5"/>
      <sheetName val="Người_TĐ5"/>
      <sheetName val="\車種\ｽﾀｰﾚｯﾄ\受注予測\ｽﾀｰﾚｯﾄ_xls5"/>
      <sheetName val="_車種_ｽﾀｰﾚｯﾄ_受注予測_ｽﾀｰﾚｯﾄ_xls5"/>
      <sheetName val="Splr_Info5"/>
      <sheetName val="094W原紙_5"/>
      <sheetName val="NHÓM_HÀNG5"/>
      <sheetName val="DỮ_LIỆU5"/>
      <sheetName val="R-M_Inventory5"/>
      <sheetName val="LOCATION_UPDATE_8-565"/>
      <sheetName val="Theo_Doi_Si_So5"/>
      <sheetName val="khung_ten_TD5"/>
      <sheetName val="LTC_4W5"/>
      <sheetName val="Chuyen_590L5"/>
      <sheetName val="WE0144_LIST5"/>
      <sheetName val="DATA_5"/>
      <sheetName val="ミツワ_最終5"/>
      <sheetName val="Toggle_Duplicate_Highlighting5"/>
      <sheetName val="Supp_List5"/>
      <sheetName val="\\CP013\Documents_accounting_a4"/>
      <sheetName val="__CP013_Documents_accounting_a4"/>
      <sheetName val="237W_DATA4"/>
      <sheetName val="input_mst4"/>
      <sheetName val="01_-_Jan004"/>
      <sheetName val="AM_6M_944"/>
      <sheetName val="Model_Price4"/>
      <sheetName val="Plant_Monthly_Actuals4"/>
      <sheetName val="K_Auth_System_#14"/>
      <sheetName val="SFX_TỔNG4"/>
      <sheetName val="Future_Act4"/>
      <sheetName val="Leasing_Calculator4"/>
      <sheetName val="[ｽﾀｰﾚｯﾄ_xls]\車種\ｽﾀｰﾚｯﾄ\受注予測\ｽﾀ4"/>
      <sheetName val="[ｽﾀｰﾚｯﾄ_xls][ｽﾀｰﾚｯﾄ_xls][ｽﾀｰﾚｯ4"/>
      <sheetName val="[ｽﾀｰﾚｯﾄ_xls][ｽﾀｰﾚｯﾄ_xls]\車種\ｽﾀ4"/>
      <sheetName val="inc__claim_974"/>
      <sheetName val="Price_range_IT4"/>
      <sheetName val="FY04_budget_vol4"/>
      <sheetName val="Avensis+d_seg__in_&amp;_out_of_UK+4"/>
      <sheetName val="เงินกู้_MGC4"/>
      <sheetName val="Sheet1_(3)4"/>
      <sheetName val="_IBPL00014"/>
      <sheetName val="Material_Price_Adj_ANP_Final24"/>
      <sheetName val="Material_Price_Adj_RVP_Final4"/>
      <sheetName val="ANP_PR_Saving4"/>
      <sheetName val="RVP_PR_Saving4"/>
      <sheetName val="Part_No_11"/>
      <sheetName val="[ｽﾀｰﾚｯﾄ_xls][ｽﾀｰﾚｯﾄ_xls]\\CP015"/>
      <sheetName val="[ｽﾀｰﾚｯﾄ_xls]\\CP013\Documents_4"/>
      <sheetName val="入力シート_data_sheet_sep_(2)4"/>
      <sheetName val="Gas_14"/>
      <sheetName val="TMS_Data4"/>
      <sheetName val="Loss_Time4"/>
      <sheetName val="\\172_18_67_25\Compras\Users\i4"/>
      <sheetName val="VSP_-_NUMMI_Assembly4"/>
      <sheetName val="mau_(2)3"/>
      <sheetName val="MAX-MIN_พี่บุษ_NIssan_old3"/>
      <sheetName val="1999_43"/>
      <sheetName val="1999_103"/>
      <sheetName val="Base_MDL_08CR_to_09CR3"/>
      <sheetName val="__172_18_67_25_Compras_Users_i3"/>
      <sheetName val="TMMK_Camry_Gas3"/>
      <sheetName val="[ｽﾀｰﾚｯﾄ_xls]\\172_18_67_25\Com3"/>
      <sheetName val="GRAPH_4軸_径Φ120_(2)3"/>
      <sheetName val="[ｽﾀｰﾚｯﾄ_xls][ｽﾀｰﾚｯﾄ_xls]\\172_4"/>
      <sheetName val="_ｽﾀｰﾚｯﾄ_xls__車種_ｽﾀｰﾚｯﾄ_受注予測_ｽﾀ3"/>
      <sheetName val="_ｽﾀｰﾚｯﾄ_xls___CP013_Documents_3"/>
      <sheetName val="_ｽﾀｰﾚｯﾄ_xls__ｽﾀｰﾚｯﾄ_xls__車種_ｽﾀ3"/>
      <sheetName val="_ｽﾀｰﾚｯﾄ_xls__ｽﾀｰﾚｯﾄ_xls___CP014"/>
      <sheetName val="_ｽﾀｰﾚｯﾄ_xls__ｽﾀｰﾚｯﾄ_xls__ｽﾀｰﾚｯ3"/>
      <sheetName val="_ｽﾀｰﾚｯﾄ_xls___172_18_67_25_Com3"/>
      <sheetName val="_ｽﾀｰﾚｯﾄ_xls__ｽﾀｰﾚｯﾄ_xls___172_4"/>
      <sheetName val="三星_3"/>
      <sheetName val="AT部品管理台帳__(2)3"/>
      <sheetName val="[ｽﾀｰﾚｯﾄ_xls]__________________1"/>
      <sheetName val="[ｽﾀｰﾚｯﾄ_xls]_車___ﾀｰﾚｯﾄ_受_予____1"/>
      <sheetName val="[ｽﾀｰﾚｯﾄ_xls]__________________7"/>
      <sheetName val="[ｽﾀｰﾚｯﾄ_xls]__________________8"/>
      <sheetName val="[ｽﾀｰﾚｯﾄ_xls]__________________9"/>
      <sheetName val="[ｽﾀｰﾚｯﾄ_xls]_________________10"/>
      <sheetName val="34HK&gt;_x005f_x005f_x005f_x005f_x005f_x005f_x005f_x0000__"/>
      <sheetName val="_x005f_x005f_x005f_x005f_x005f_x005f_x005f_x0008_"/>
      <sheetName val="34HK&gt;_x005f_x005f_x005f_x005f_x005f_x005f_x005f_x005f_x"/>
      <sheetName val="_x005f_x005f_x005f_x005f_x005f_x005f_x005f_x005f_x005f_x005f_"/>
      <sheetName val="115円ﾍﾞｰｽ"/>
      <sheetName val="PAGE1"/>
      <sheetName val="34HK&gt;_x005f_x0000__x005f_x0000_"/>
      <sheetName val="Investment Back Data"/>
      <sheetName val="Assumption"/>
      <sheetName val="Ratio Salary and Tax"/>
      <sheetName val="Comparison Assumption"/>
      <sheetName val="Database Actual"/>
      <sheetName val="PL Summary 1"/>
      <sheetName val="BS Details"/>
      <sheetName val="BS"/>
      <sheetName val="PL Summary 2"/>
      <sheetName val="Sales AVS"/>
      <sheetName val="Daily WSD"/>
      <sheetName val="ｱｲﾃﾑ"/>
      <sheetName val="台数"/>
      <sheetName val="\車種\ｽﾀｰ"/>
      <sheetName val="\\CP013"/>
      <sheetName val="q_for_r_04_20_in_source"/>
      <sheetName val="A"/>
      <sheetName val="B"/>
      <sheetName val="C"/>
      <sheetName val="[ｽﾀｰﾚｯﾄ.xls]__172_18_67_25_Co_2"/>
      <sheetName val="ListParts"/>
      <sheetName val="0C-COVER"/>
      <sheetName val="[ｽﾀｰﾚｯﾄ.xls]__172_18_67_25_Co_3"/>
      <sheetName val="[ｽﾀｰﾚｯﾄ.xls]_車種_ｽﾀｰﾚｯﾄ_受注予測_ｽ_2"/>
      <sheetName val="[ｽﾀｰﾚｯﾄ.xls]__________________7"/>
      <sheetName val="[ｽﾀｰﾚｯﾄ.xls]__172_18_67_25_Co_7"/>
      <sheetName val="[ｽﾀｰﾚｯﾄ.xls]__172_18_67_25_Co_6"/>
      <sheetName val="[ｽﾀｰﾚｯﾄ.xls]__172_18_67_25_Co_5"/>
      <sheetName val="[ｽﾀｰﾚｯﾄ.xls]__172_18_67_25_Co_4"/>
      <sheetName val="[ｽﾀｰﾚｯﾄ.xls]_車__ｽﾀ_ﾚｯﾄ_受注_測_ｽ_2"/>
      <sheetName val="B1～B8新会議議事録（N0_B00表紙）改04"/>
      <sheetName val="荷量変動分"/>
      <sheetName val="[ｽﾀｰﾚｯﾄ.xls]__172_18_67_25_Co_8"/>
      <sheetName val="[ｽﾀｰﾚｯﾄ.xls]__172_18_67_25_Co_9"/>
      <sheetName val="[ｽﾀｰﾚｯﾄ.xls]_車種_ｽﾀｰﾚｯﾄ_受_予測_ｽ_3"/>
      <sheetName val="[ｽﾀｰﾚｯﾄ.xls]_車種_ｽﾀｰﾚｯﾄ_受_予測_ｽ_2"/>
      <sheetName val="[ｽﾀｰﾚｯﾄ.xls]_車種_ｽﾀｰﾚｯﾄ_受_予測_ｽ_4"/>
      <sheetName val="[ｽﾀｰﾚｯﾄ.xls]_車種_ｽﾀｰﾚｯﾄ_受_予測_ｽ_9"/>
      <sheetName val="[ｽﾀｰﾚｯﾄ.xls]_車種_ｽﾀｰﾚｯﾄ_受_予測_ｽ_5"/>
      <sheetName val="[ｽﾀｰﾚｯﾄ.xls]_車種_ｽﾀｰﾚｯﾄ_受_予測_ｽ_6"/>
      <sheetName val="[ｽﾀｰﾚｯﾄ.xls]_車種_ｽﾀｰﾚｯﾄ_受_予測_ｽ_7"/>
      <sheetName val="[ｽﾀｰﾚｯﾄ.xls]_車種_ｽﾀｰﾚｯﾄ_受_予測_ｽ_8"/>
      <sheetName val="[ｽﾀｰﾚｯﾄ.xls]_車種_ｽﾀｰﾚｯﾄ_受_予測__10"/>
      <sheetName val="[ｽﾀｰﾚｯﾄ.xls]_車種_ｽﾀｰﾚｯﾄ_受_予測__11"/>
      <sheetName val="AVS sales price increase"/>
      <sheetName val="Sales Non AVS"/>
      <sheetName val="Metal Sales"/>
      <sheetName val="AVS Direct Cost"/>
      <sheetName val="AVS Cost Comparison"/>
      <sheetName val="AVS Analysis"/>
      <sheetName val="Non AVS D.Cost"/>
      <sheetName val="Non AVS Data Base"/>
      <sheetName val="Investment Plan (Rev1)"/>
      <sheetName val="2018FY Invest. Forecast"/>
      <sheetName val="CR Activities Non AVS"/>
      <sheetName val="Direct Cost AVS"/>
      <sheetName val="D.Cost AVS"/>
      <sheetName val="CR Activities Non AVS (2)"/>
      <sheetName val="Purchasing AVS"/>
      <sheetName val="CR Activities AVS"/>
      <sheetName val="Back Data"/>
      <sheetName val="Labor Cost"/>
      <sheetName val="Manpower"/>
      <sheetName val="Deprec.Adjust"/>
      <sheetName val="Indirect"/>
      <sheetName val="DATA SEAT"/>
      <sheetName val="DATA GARNISH"/>
      <sheetName val="③LH"/>
      <sheetName val="(4)"/>
      <sheetName val="戦略売3"/>
      <sheetName val="Detail"/>
      <sheetName val="[ｽﾀｰﾚｯﾄ.xls]__________________8"/>
      <sheetName val="[ｽﾀｰﾚｯﾄ.xls]__________________9"/>
      <sheetName val="[ｽﾀｰﾚｯﾄ.xls]__172_18_67_25_C_10"/>
      <sheetName val="[ｽﾀｰﾚｯﾄ.xls]_________________10"/>
      <sheetName val="[ｽﾀｰﾚｯﾄ.xls]_________________11"/>
      <sheetName val="[ｽﾀｰﾚｯﾄ.xls]__172_18_67_25_C_11"/>
      <sheetName val="[ｽﾀｰﾚｯﾄ.xls]_________________13"/>
      <sheetName val="[ｽﾀｰﾚｯﾄ.xls]__172_18_67_25_C_13"/>
      <sheetName val="[ｽﾀｰﾚｯﾄ.xls]_________________12"/>
      <sheetName val="[ｽﾀｰﾚｯﾄ.xls]__172_18_67_25_C_12"/>
      <sheetName val="[ｽﾀｰﾚｯﾄ.xls]_________________14"/>
      <sheetName val="unitprice"/>
      <sheetName val="Leasing Cal紁홠/_x0000_퀀_x0000_"/>
      <sheetName val="損益(473)"/>
      <sheetName val="各種マスタ"/>
      <sheetName val="(13) 71752-X1455"/>
      <sheetName val="[ｽﾀｰﾚｯﾄ.xls]____ｽﾀｰﾚｯﾄ_受注予測_ｽ_4"/>
      <sheetName val="[ｽﾀｰﾚｯﾄ.xls]____ｽﾀｰﾚｯﾄ_受注予測_ｽ_3"/>
      <sheetName val="[ｽﾀｰﾚｯﾄ.xls]____ｽﾀｰﾚｯﾄ_受注予測_ｽ_2"/>
      <sheetName val="Master Data輸入區"/>
      <sheetName val="シェル台ｾﾂﾄ流し改_(2)7"/>
      <sheetName val="P1_(2)7"/>
      <sheetName val="mat_list_7"/>
      <sheetName val="RACK_(CB)new7"/>
      <sheetName val="C3_N_DC改造投資7"/>
      <sheetName val="MPL_技連7"/>
      <sheetName val="342E_BLOCK7"/>
      <sheetName val="Interior_Trim7"/>
      <sheetName val="TMMK_Vehicle_Data7"/>
      <sheetName val="TMMC_Vehicle_Data7"/>
      <sheetName val="Comparison_data7"/>
      <sheetName val="Part_No_12"/>
      <sheetName val="Master_Updated(517)7"/>
      <sheetName val="%_Allocate_-_AB_Labor7"/>
      <sheetName val="drop_down_List7"/>
      <sheetName val="Master_(692N)7"/>
      <sheetName val="ass'y_06-11'056"/>
      <sheetName val="ass'y_06-11'05_(2)6"/>
      <sheetName val="IM-P-L12-5_'03_7"/>
      <sheetName val="Ｂ．财务课部門別週間管理表_(2)7"/>
      <sheetName val="ｽﾀｰﾚｯﾄ_xls7"/>
      <sheetName val="98_107"/>
      <sheetName val="98_117"/>
      <sheetName val="Bajaj_OS7"/>
      <sheetName val="BOM_-_Engineering7"/>
      <sheetName val="Iron_Pivot6"/>
      <sheetName val="TMC_Remaining_ECI7"/>
      <sheetName val="raw_data7"/>
      <sheetName val="【⑦】Direct_Consumables6"/>
      <sheetName val="Europe_PU-17"/>
      <sheetName val="_D26"/>
      <sheetName val="Nov_'026"/>
      <sheetName val="Matrix_Bom_ใช้งาน6"/>
      <sheetName val="Maker_Dist7"/>
      <sheetName val="HE_BASE6"/>
      <sheetName val="THPDMoi__(2)6"/>
      <sheetName val="t-h_HA_THE6"/>
      <sheetName val="DON_GIA6"/>
      <sheetName val="CHITIET_VL-NC6"/>
      <sheetName val="CHITIET_VL-NC-TT_-1p6"/>
      <sheetName val="TH_XL6"/>
      <sheetName val="dongia_(2)6"/>
      <sheetName val="CHITIET_VL-NC-TT-3p6"/>
      <sheetName val="Bia_TQT6"/>
      <sheetName val="TONGKE3p_6"/>
      <sheetName val="KPVC-BD_6"/>
      <sheetName val="Average_per_Katashiki6"/>
      <sheetName val="Price_Increase_Monitoring6"/>
      <sheetName val="Çalışma_Bilgisi6"/>
      <sheetName val="\車種\ｽﾀｰﾚｯﾄ\受注予測\ｽﾀｰﾚｯﾄ_xls6"/>
      <sheetName val="_車種_ｽﾀｰﾚｯﾄ_受注予測_ｽﾀｰﾚｯﾄ_xls6"/>
      <sheetName val="Splr_Info6"/>
      <sheetName val="094W原紙_6"/>
      <sheetName val="NHÓM_HÀNG6"/>
      <sheetName val="R-M_Inventory6"/>
      <sheetName val="DỮ_LIỆU6"/>
      <sheetName val="Theo_Doi_Si_So6"/>
      <sheetName val="LOCATION_UPDATE_8-566"/>
      <sheetName val="khung_ten_TD6"/>
      <sheetName val="Người_TĐ6"/>
      <sheetName val="LTC_4W6"/>
      <sheetName val="Chuyen_590L6"/>
      <sheetName val="WE0144_LIST6"/>
      <sheetName val="DATA_6"/>
      <sheetName val="ミツワ_最終6"/>
      <sheetName val="Toggle_Duplicate_Highlighting6"/>
      <sheetName val="Supp_List6"/>
      <sheetName val="\\CP013\Documents_accounting_a5"/>
      <sheetName val="__CP013_Documents_accounting_a5"/>
      <sheetName val="237W_DATA5"/>
      <sheetName val="Model_Price5"/>
      <sheetName val="Plant_Monthly_Actuals5"/>
      <sheetName val="K_Auth_System_#15"/>
      <sheetName val="input_mst5"/>
      <sheetName val="01_-_Jan005"/>
      <sheetName val="AM_6M_945"/>
      <sheetName val="SFX_TỔNG5"/>
      <sheetName val="Future_Act5"/>
      <sheetName val="Leasing_Calculator5"/>
      <sheetName val="[ｽﾀｰﾚｯﾄ_xls]\車種\ｽﾀｰﾚｯﾄ\受注予測\ｽﾀ5"/>
      <sheetName val="[ｽﾀｰﾚｯﾄ_xls][ｽﾀｰﾚｯﾄ_xls][ｽﾀｰﾚｯ5"/>
      <sheetName val="[ｽﾀｰﾚｯﾄ_xls][ｽﾀｰﾚｯﾄ_xls]\車種\ｽﾀ5"/>
      <sheetName val="inc__claim_975"/>
      <sheetName val="Price_range_IT5"/>
      <sheetName val="FY04_budget_vol5"/>
      <sheetName val="Avensis+d_seg__in_&amp;_out_of_UK+5"/>
      <sheetName val="เงินกู้_MGC5"/>
      <sheetName val="Sheet1_(3)5"/>
      <sheetName val="_IBPL00015"/>
      <sheetName val="Material_Price_Adj_ANP_Final25"/>
      <sheetName val="Material_Price_Adj_RVP_Final5"/>
      <sheetName val="ANP_PR_Saving5"/>
      <sheetName val="RVP_PR_Saving5"/>
      <sheetName val="Part_No_13"/>
      <sheetName val="[ｽﾀｰﾚｯﾄ_xls][ｽﾀｰﾚｯﾄ_xls]\\CP016"/>
      <sheetName val="[ｽﾀｰﾚｯﾄ_xls]\\CP013\Documents_5"/>
      <sheetName val="入力シート_data_sheet_sep_(2)5"/>
      <sheetName val="Gas_15"/>
      <sheetName val="TMS_Data5"/>
      <sheetName val="Loss_Time5"/>
      <sheetName val="\\172_18_67_25\Compras\Users\i5"/>
      <sheetName val="VSP_-_NUMMI_Assembly5"/>
      <sheetName val="mau_(2)4"/>
      <sheetName val="MAX-MIN_พี่บุษ_NIssan_old4"/>
      <sheetName val="1999_44"/>
      <sheetName val="1999_104"/>
      <sheetName val="Base_MDL_08CR_to_09CR4"/>
      <sheetName val="__172_18_67_25_Compras_Users_i4"/>
      <sheetName val="TMMK_Camry_Gas4"/>
      <sheetName val="[ｽﾀｰﾚｯﾄ_xls]\\172_18_67_25\Com4"/>
      <sheetName val="GRAPH_4軸_径Φ120_(2)4"/>
      <sheetName val="[ｽﾀｰﾚｯﾄ_xls][ｽﾀｰﾚｯﾄ_xls]\\172_5"/>
      <sheetName val="_ｽﾀｰﾚｯﾄ_xls__車種_ｽﾀｰﾚｯﾄ_受注予測_ｽﾀ4"/>
      <sheetName val="_ｽﾀｰﾚｯﾄ_xls___CP013_Documents_4"/>
      <sheetName val="_ｽﾀｰﾚｯﾄ_xls__ｽﾀｰﾚｯﾄ_xls__車種_ｽﾀ4"/>
      <sheetName val="_ｽﾀｰﾚｯﾄ_xls__ｽﾀｰﾚｯﾄ_xls___CP015"/>
      <sheetName val="_ｽﾀｰﾚｯﾄ_xls__ｽﾀｰﾚｯﾄ_xls__ｽﾀｰﾚｯ4"/>
      <sheetName val="_ｽﾀｰﾚｯﾄ_xls___172_18_67_25_Com4"/>
      <sheetName val="_ｽﾀｰﾚｯﾄ_xls__ｽﾀｰﾚｯﾄ_xls___172_5"/>
      <sheetName val="三星_4"/>
      <sheetName val="AT部品管理台帳__(2)4"/>
      <sheetName val="[ｽﾀｰﾚｯﾄ_xls]_________________11"/>
      <sheetName val="[ｽﾀｰﾚｯﾄ_xls]_車___ﾀｰﾚｯﾄ_受_予____3"/>
      <sheetName val="[ｽﾀｰﾚｯﾄ_xls]_________________12"/>
      <sheetName val="[ｽﾀｰﾚｯﾄ_xls]_________________13"/>
      <sheetName val="[ｽﾀｰﾚｯﾄ_xls]_________________14"/>
      <sheetName val="[ｽﾀｰﾚｯﾄ_xls]_________________15"/>
      <sheetName val="社内原価"/>
      <sheetName val="[ｽﾀｰﾚｯﾄ.xls]______ｰ_ｯ_________2"/>
      <sheetName val="自事管室"/>
      <sheetName val="品質・動向"/>
      <sheetName val="品質不具合連絡書"/>
      <sheetName val="台数 "/>
      <sheetName val="ﾄｰｽﾄ"/>
      <sheetName val="売り予定"/>
      <sheetName val="81期TBU月次分析帳票"/>
      <sheetName val="車種収支"/>
      <sheetName val="特別要素記載表　別紙"/>
      <sheetName val="特別要素記載表　別紙 (TY)"/>
      <sheetName val="特別要素記載表　別紙 (KY)"/>
      <sheetName val="簡易版部別経費"/>
      <sheetName val="経費"/>
      <sheetName val="ｼｪｱ"/>
      <sheetName val="ここから月別分析ｼｰﾄ⇒"/>
      <sheetName val="ｶﾒﾗ"/>
      <sheetName val="ｱﾙ"/>
      <sheetName val="ﾊｲｴｰｽ"/>
      <sheetName val="ﾊｲｴｰｽ②"/>
      <sheetName val="ﾊｲｴｰｽ③"/>
      <sheetName val="ﾊｲ車型別"/>
      <sheetName val="AIR"/>
      <sheetName val="70"/>
      <sheetName val="ラ300"/>
      <sheetName val="ｴｰｽ"/>
      <sheetName val="ｴｰｽ②"/>
      <sheetName val="試作実計"/>
      <sheetName val="合理化"/>
      <sheetName val="ﾘｽﾄ"/>
      <sheetName val="前工程フロー図"/>
      <sheetName val="後工程フロー図"/>
      <sheetName val="生産条件"/>
      <sheetName val="回路構成グラフ"/>
      <sheetName val="前工程人員"/>
      <sheetName val="後工程人員"/>
      <sheetName val="工程間繋ぎ"/>
      <sheetName val="仕様表"/>
      <sheetName val="設備"/>
      <sheetName val="前工程分析"/>
      <sheetName val="後工程分析"/>
      <sheetName val="履歴１"/>
      <sheetName val="電線色表示"/>
      <sheetName val="34HK&gt;_x005f_x0000__x005f_x0000__x㑸S͈୼楋〚_x0000__x0000__x0000_"/>
      <sheetName val="[ｽﾀｰﾚｯﾄ.xls]____ｽﾀｰﾚｯﾄ_受注予測_ｽ_5"/>
      <sheetName val="[ｽﾀｰﾚｯﾄ.xls]__172_18_67_25_C_16"/>
      <sheetName val="[ｽﾀｰﾚｯﾄ.xls]__172_18_67_25_C_14"/>
      <sheetName val="[ｽﾀｰﾚｯﾄ.xls]__172_18_67_25_C_15"/>
      <sheetName val="[ｽﾀｰﾚｯﾄ.xls]__172_18_67_25_C_18"/>
      <sheetName val="[ｽﾀｰﾚｯﾄ.xls]__172_18_67_25_C_17"/>
      <sheetName val="[ｽﾀｰﾚｯﾄ.xls]__172_18_67_25_C_19"/>
      <sheetName val="[ｽﾀｰﾚｯﾄ.xls]__172_18_67_25_C_20"/>
      <sheetName val="[ｽﾀｰﾚｯﾄ.xls]__172_18_67_25_C_21"/>
      <sheetName val="[ｽﾀｰﾚｯﾄ.xls]__172_18_67_25_C_22"/>
      <sheetName val="[ｽﾀｰﾚｯﾄ.xls]__172_18_67_25_C_23"/>
      <sheetName val="[ｽﾀｰﾚｯﾄ.xls]__172_18_67_25_C_25"/>
      <sheetName val="[ｽﾀｰﾚｯﾄ.xls]__172_18_67_25_C_24"/>
      <sheetName val="距離ﾏｽﾀｰ &amp;換算係数"/>
      <sheetName val="グラフ作成用データ"/>
      <sheetName val="他データ"/>
      <sheetName val="[ｽﾀｰﾚｯﾄ.xls]__172_18_67_25_C_79"/>
      <sheetName val="[ｽﾀｰﾚｯﾄ.xls]_________________40"/>
      <sheetName val="[ｽﾀｰﾚｯﾄ.xls]__172_18_67_25_C_77"/>
      <sheetName val="[ｽﾀｰﾚｯﾄ.xls]_________________16"/>
      <sheetName val="[ｽﾀｰﾚｯﾄ.xls]_________________15"/>
      <sheetName val="[ｽﾀｰﾚｯﾄ.xls]_________________17"/>
      <sheetName val="[ｽﾀｰﾚｯﾄ.xls]_________________18"/>
      <sheetName val="D21Aｶｰｺﾞ_材料ﾃﾞｰﾀ"/>
      <sheetName val="引当型式確認画面"/>
      <sheetName val="処理機能記述"/>
      <sheetName val="[ｽﾀｰﾚｯﾄ.xls]_________________19"/>
      <sheetName val="[ｽﾀｰﾚｯﾄ.xls]_________________20"/>
      <sheetName val="[ｽﾀｰﾚｯﾄ.xls]_________________21"/>
      <sheetName val="[ｽﾀｰﾚｯﾄ.xls]_________________23"/>
      <sheetName val="[ｽﾀｰﾚｯﾄ.xls]_________________22"/>
      <sheetName val="[ｽﾀｰﾚｯﾄ.xls]_________________25"/>
      <sheetName val="[ｽﾀｰﾚｯﾄ.xls]_________________24"/>
      <sheetName val="[ｽﾀｰﾚｯﾄ.xls]_________________26"/>
      <sheetName val="[ｽﾀｰﾚｯﾄ.xls]_________________27"/>
      <sheetName val="[ｽﾀｰﾚｯﾄ.xls]_________________32"/>
      <sheetName val="[ｽﾀｰﾚｯﾄ.xls]_________________28"/>
      <sheetName val="[ｽﾀｰﾚｯﾄ.xls]_________________29"/>
      <sheetName val="[ｽﾀｰﾚｯﾄ.xls]_________________31"/>
      <sheetName val="[ｽﾀｰﾚｯﾄ.xls]_________________30"/>
      <sheetName val="[ｽﾀｰﾚｯﾄ.xls]_________________33"/>
      <sheetName val="[ｽﾀｰﾚｯﾄ.xls]_________________34"/>
      <sheetName val="[ｽﾀｰﾚｯﾄ.xls]_________________36"/>
      <sheetName val="[ｽﾀｰﾚｯﾄ.xls]_________________35"/>
      <sheetName val="[ｽﾀｰﾚｯﾄ.xls]_________________37"/>
      <sheetName val="[ｽﾀｰﾚｯﾄ.xls]__172_18_67_25_C_31"/>
      <sheetName val="[ｽﾀｰﾚｯﾄ.xls]__172_18_67_25_C_26"/>
      <sheetName val="[ｽﾀｰﾚｯﾄ.xls]__172_18_67_25_C_30"/>
      <sheetName val="[ｽﾀｰﾚｯﾄ.xls]__172_18_67_25_C_28"/>
      <sheetName val="[ｽﾀｰﾚｯﾄ.xls]__172_18_67_25_C_27"/>
      <sheetName val="[ｽﾀｰﾚｯﾄ.xls]__172_18_67_25_C_29"/>
      <sheetName val="[ｽﾀｰﾚｯﾄ.xls]__172_18_67_25_C_32"/>
      <sheetName val="[ｽﾀｰﾚｯﾄ.xls]__172_18_67_25_C_70"/>
      <sheetName val="[ｽﾀｰﾚｯﾄ.xls]_車__ｽﾀｰﾚｯﾄ__注予__ｽ_3"/>
      <sheetName val="[ｽﾀｰﾚｯﾄ.xls]_車__ｽﾀｰﾚｯﾄ__注予__ｽ_2"/>
      <sheetName val="[ｽﾀｰﾚｯﾄ.xls]_車__ｽﾀｰﾚｯﾄ__注予__ｽ_4"/>
      <sheetName val="[ｽﾀｰﾚｯﾄ.xls]_車__ｽﾀｰﾚｯﾄ__注予___18"/>
      <sheetName val="[ｽﾀｰﾚｯﾄ.xls]_車__ｽﾀｰﾚｯﾄ__注予__ｽ_5"/>
      <sheetName val="[ｽﾀｰﾚｯﾄ.xls]_車__ｽﾀｰﾚｯﾄ__注予__ｽ_6"/>
      <sheetName val="[ｽﾀｰﾚｯﾄ.xls]_車__ｽﾀｰﾚｯﾄ__注予__ｽ_7"/>
      <sheetName val="[ｽﾀｰﾚｯﾄ.xls]_車__ｽﾀｰﾚｯﾄ__注予__ｽ_8"/>
      <sheetName val="[ｽﾀｰﾚｯﾄ.xls]_車__ｽﾀｰﾚｯﾄ__注予__ｽ_9"/>
      <sheetName val="[ｽﾀｰﾚｯﾄ.xls]_車__ｽﾀｰﾚｯﾄ__注予___10"/>
      <sheetName val="[ｽﾀｰﾚｯﾄ.xls]_車__ｽﾀｰﾚｯﾄ__注予___11"/>
      <sheetName val="[ｽﾀｰﾚｯﾄ.xls]_車__ｽﾀｰﾚｯﾄ__注予___12"/>
      <sheetName val="[ｽﾀｰﾚｯﾄ.xls]_車__ｽﾀｰﾚｯﾄ__注予___13"/>
      <sheetName val="[ｽﾀｰﾚｯﾄ.xls]_車__ｽﾀｰﾚｯﾄ__注予___14"/>
      <sheetName val="[ｽﾀｰﾚｯﾄ.xls]_車__ｽﾀｰﾚｯﾄ__注予___15"/>
      <sheetName val="[ｽﾀｰﾚｯﾄ.xls]_車__ｽﾀｰﾚｯﾄ__注予___16"/>
      <sheetName val="[ｽﾀｰﾚｯﾄ.xls]_車__ｽﾀｰﾚｯﾄ__注予___17"/>
      <sheetName val="[ｽﾀｰﾚｯﾄ.xls]_車__ｽﾀｰﾚｯﾄ__注予___21"/>
      <sheetName val="[ｽﾀｰﾚｯﾄ.xls]_車__ｽﾀｰﾚｯﾄ__注予___19"/>
      <sheetName val="[ｽﾀｰﾚｯﾄ.xls]_車__ｽﾀｰﾚｯﾄ__注予___20"/>
      <sheetName val="[ｽﾀｰﾚｯﾄ.xls]_車__ｽﾀｰﾚｯﾄ__注予___22"/>
      <sheetName val="[ｽﾀｰﾚｯﾄ.xls]_車__ｽﾀｰﾚｯﾄ__注予___25"/>
      <sheetName val="[ｽﾀｰﾚｯﾄ.xls]_車__ｽﾀｰﾚｯﾄ__注予___23"/>
      <sheetName val="[ｽﾀｰﾚｯﾄ.xls]_車__ｽﾀｰﾚｯﾄ__注予___24"/>
      <sheetName val="[ｽﾀｰﾚｯﾄ.xls]_車__ｽﾀｰﾚｯﾄ__注予___26"/>
      <sheetName val="[ｽﾀｰﾚｯﾄ.xls]_車__ｽﾀｰﾚｯﾄ__注予___27"/>
      <sheetName val="[ｽﾀｰﾚｯﾄ.xls]_車__ｽﾀｰﾚｯﾄ__注予___28"/>
      <sheetName val="[ｽﾀｰﾚｯﾄ.xls]_車__ｽﾀｰﾚｯﾄ__注予___29"/>
      <sheetName val="[ｽﾀｰﾚｯﾄ.xls]_車__ｽﾀｰﾚｯﾄ__注予___30"/>
      <sheetName val="[ｽﾀｰﾚｯﾄ.xls]_車__ｽﾀｰﾚｯﾄ__注予___31"/>
      <sheetName val="[ｽﾀｰﾚｯﾄ.xls]__172_18_67_25_C_33"/>
      <sheetName val="[ｽﾀｰﾚｯﾄ.xls]_車__ｽﾀｰﾚｯﾄ__注予___32"/>
      <sheetName val="[ｽﾀｰﾚｯﾄ.xls]_車__ｽﾀｰﾚｯﾄ__注予___33"/>
      <sheetName val="[ｽﾀｰﾚｯﾄ.xls]__172_18_67_25_C_36"/>
      <sheetName val="[ｽﾀｰﾚｯﾄ.xls]__172_18_67_25_C_35"/>
      <sheetName val="[ｽﾀｰﾚｯﾄ.xls]__172_18_67_25_C_34"/>
      <sheetName val="[ｽﾀｰﾚｯﾄ.xls]__172_18_67_25_C_40"/>
      <sheetName val="[ｽﾀｰﾚｯﾄ.xls]__172_18_67_25_C_37"/>
      <sheetName val="[ｽﾀｰﾚｯﾄ.xls]__172_18_67_25_C_38"/>
      <sheetName val="[ｽﾀｰﾚｯﾄ.xls]__172_18_67_25_C_39"/>
      <sheetName val="[ｽﾀｰﾚｯﾄ.xls]__172_18_67_25_C_41"/>
      <sheetName val="[ｽﾀｰﾚｯﾄ.xls]__172_18_67_25_C_44"/>
      <sheetName val="[ｽﾀｰﾚｯﾄ.xls]__172_18_67_25_C_42"/>
      <sheetName val="[ｽﾀｰﾚｯﾄ.xls]__172_18_67_25_C_43"/>
      <sheetName val="[ｽﾀｰﾚｯﾄ.xls]__172_18_67_25_C_46"/>
      <sheetName val="[ｽﾀｰﾚｯﾄ.xls]__172_18_67_25_C_45"/>
      <sheetName val="[ｽﾀｰﾚｯﾄ.xls]__172_18_67_25_C_55"/>
      <sheetName val="[ｽﾀｰﾚｯﾄ.xls]__172_18_67_25_C_47"/>
      <sheetName val="[ｽﾀｰﾚｯﾄ.xls]__172_18_67_25_C_48"/>
      <sheetName val="[ｽﾀｰﾚｯﾄ.xls]__172_18_67_25_C_49"/>
      <sheetName val="[ｽﾀｰﾚｯﾄ.xls]__172_18_67_25_C_51"/>
      <sheetName val="[ｽﾀｰﾚｯﾄ.xls]__172_18_67_25_C_50"/>
      <sheetName val="[ｽﾀｰﾚｯﾄ.xls]__172_18_67_25_C_54"/>
      <sheetName val="[ｽﾀｰﾚｯﾄ.xls]__172_18_67_25_C_52"/>
      <sheetName val="[ｽﾀｰﾚｯﾄ.xls]__172_18_67_25_C_53"/>
      <sheetName val="[ｽﾀｰﾚｯﾄ.xls]__172_18_67_25_C_57"/>
      <sheetName val="[ｽﾀｰﾚｯﾄ.xls]__172_18_67_25_C_56"/>
      <sheetName val="[ｽﾀｰﾚｯﾄ.xls]__172_18_67_25_C_58"/>
      <sheetName val="[ｽﾀｰﾚｯﾄ.xls]__172_18_67_25_C_65"/>
      <sheetName val="[ｽﾀｰﾚｯﾄ.xls]__172_18_67_25_C_59"/>
      <sheetName val="[ｽﾀｰﾚｯﾄ.xls]__172_18_67_25_C_61"/>
      <sheetName val="[ｽﾀｰﾚｯﾄ.xls]__172_18_67_25_C_60"/>
      <sheetName val="[ｽﾀｰﾚｯﾄ.xls]__172_18_67_25_C_62"/>
      <sheetName val="[ｽﾀｰﾚｯﾄ.xls]__172_18_67_25_C_63"/>
      <sheetName val="[ｽﾀｰﾚｯﾄ.xls]__172_18_67_25_C_64"/>
      <sheetName val="[ｽﾀｰﾚｯﾄ.xls]__172_18_67_25_C_66"/>
      <sheetName val="SV"/>
      <sheetName val="[ｽﾀｰﾚｯﾄ.xls]__172_18_67_25_C_67"/>
      <sheetName val="[ｽﾀｰﾚｯﾄ.xls]__172_18_67_25_C_68"/>
      <sheetName val="[ｽﾀｰﾚｯﾄ.xls]__172_18_67_25_C_69"/>
      <sheetName val="approval"/>
      <sheetName val="[ｽﾀｰﾚｯﾄ.xls]__172_18_67_25_C_73"/>
      <sheetName val="[ｽﾀｰﾚｯﾄ.xls]__172_18_67_25_C_71"/>
      <sheetName val="[ｽﾀｰﾚｯﾄ.xls]__172_18_67_25_C_72"/>
      <sheetName val="[ｽﾀｰﾚｯﾄ.xls]_________________38"/>
      <sheetName val="[ｽﾀｰﾚｯﾄ.xls]__172_18_67_25_C_75"/>
      <sheetName val="[ｽﾀｰﾚｯﾄ.xls]__172_18_67_25_C_74"/>
      <sheetName val="[ｽﾀｰﾚｯﾄ.xls]_________________39"/>
      <sheetName val="[ｽﾀｰﾚｯﾄ.xls]__172_18_67_25_C_76"/>
      <sheetName val="[ｽﾀｰﾚｯﾄ.xls]__172_18_67_25_C_78"/>
      <sheetName val="balance"/>
      <sheetName val="見積一覧（１案）"/>
      <sheetName val="[ｽﾀｰﾚｯﾄ.xls]_________________45"/>
      <sheetName val="個別計画書"/>
      <sheetName val="[ｽﾀｰﾚｯﾄ.xls]_________________43"/>
      <sheetName val="[ｽﾀｰﾚｯﾄ.xls]_________________41"/>
      <sheetName val="[ｽﾀｰﾚｯﾄ.xls]_________________42"/>
      <sheetName val="[ｽﾀｰﾚｯﾄ.xls]_________________44"/>
      <sheetName val="[ｽﾀｰﾚｯﾄ.xls]_________________46"/>
      <sheetName val="[ｽﾀｰﾚｯﾄ.xls]_________________50"/>
      <sheetName val="[ｽﾀｰﾚｯﾄ.xls]_車__ｽ_ｰﾚｯﾄ_受_予測_ｽ_2"/>
      <sheetName val="[ｽﾀｰﾚｯﾄ.xls]_車__ｽ_ｰﾚｯﾄ_受_予測_ｽ_4"/>
      <sheetName val="_車種_ｽﾀｰ"/>
      <sheetName val="__CP013"/>
      <sheetName val="生産能力"/>
      <sheetName val="[ｽﾀｰﾚｯﾄ.xls]_車__ｽ_ｰﾚｯﾄ_受_予測_ｽ_3"/>
      <sheetName val="[ｽﾀｰﾚｯﾄ.xls]_________________48"/>
      <sheetName val="[ｽﾀｰﾚｯﾄ.xls]_________________47"/>
      <sheetName val="[ｽﾀｰﾚｯﾄ.xls]_________________49"/>
      <sheetName val="[ｽﾀｰﾚｯﾄ.xls]_________________54"/>
      <sheetName val="[ｽﾀｰﾚｯﾄ.xls]_________________51"/>
      <sheetName val="[ｽﾀｰﾚｯﾄ.xls]_________________52"/>
      <sheetName val="[ｽﾀｰﾚｯﾄ.xls]_________________53"/>
      <sheetName val="[ｽﾀｰﾚｯﾄ.xls]_________________55"/>
      <sheetName val="[ｽﾀｰﾚｯﾄ.xls]_________________56"/>
      <sheetName val="Order"/>
      <sheetName val="[ｽﾀｰﾚｯﾄ.xls]_________________58"/>
      <sheetName val="[ｽﾀｰﾚｯﾄ.xls]_________________57"/>
      <sheetName val="[ｽﾀｰﾚｯﾄ.xls]_車__ｽ_ｰﾚ_ﾄ_受_予__ｽ_2"/>
      <sheetName val="[ｽﾀｰﾚｯﾄ.xls]_________________59"/>
      <sheetName val="[ｽﾀｰﾚｯﾄ.xls]__172_18_67_25_C_80"/>
      <sheetName val="[ｽﾀｰﾚｯﾄ.xls]_________________60"/>
      <sheetName val="[ｽﾀｰﾚｯﾄ.xls]__172_18_67_25_C_81"/>
      <sheetName val="[ｽﾀｰﾚｯﾄ.xls]_________________61"/>
      <sheetName val="[ｽﾀｰﾚｯﾄ.xls]__172_18_67_25_C_82"/>
      <sheetName val="[ｽﾀｰﾚｯﾄ.xls]_________________75"/>
      <sheetName val="[ｽﾀｰﾚｯﾄ.xls]__172_18_67_25_C_92"/>
      <sheetName val="[ｽﾀｰﾚｯﾄ.xls]_________________74"/>
      <sheetName val="[ｽﾀｰﾚｯﾄ.xls]_________________63"/>
      <sheetName val="[ｽﾀｰﾚｯﾄ.xls]_________________62"/>
      <sheetName val="[ｽﾀｰﾚｯﾄ.xls]_________________64"/>
      <sheetName val="[ｽﾀｰﾚｯﾄ.xls]_________________72"/>
      <sheetName val="[ｽﾀｰﾚｯﾄ.xls]_________________65"/>
      <sheetName val="Mas_Factory"/>
      <sheetName val="Mas_User"/>
      <sheetName val="FormatOrg"/>
      <sheetName val="T_List_BC01_Mas_ProductionLine"/>
      <sheetName val="係数"/>
      <sheetName val="[ｽﾀｰﾚｯﾄ.xls]_________________66"/>
      <sheetName val="[ｽﾀｰﾚｯﾄ.xls]_________________67"/>
      <sheetName val="[ｽﾀｰﾚｯﾄ.xls]_車__ｽ_ｰﾚ_ﾄ_受_予__ｽ_3"/>
      <sheetName val="[ｽﾀｰﾚｯﾄ.xls]_________________68"/>
      <sheetName val="Indirect Ratio"/>
      <sheetName val="Safety - Enviroment"/>
      <sheetName val="Maintenance"/>
      <sheetName val="Quality - Laboratory"/>
      <sheetName val="Director Cost"/>
      <sheetName val="Try Out Cost"/>
      <sheetName val="740 schedule  "/>
      <sheetName val="MS"/>
      <sheetName val="以降事業部"/>
      <sheetName val="事業部前年推定"/>
      <sheetName val="事業部今年度計画"/>
      <sheetName val="以降関係会社"/>
      <sheetName val="以降コーポレート"/>
      <sheetName val="コーポレート前年推定"/>
      <sheetName val="コーポレート今年度計画"/>
      <sheetName val="Please Select at first"/>
      <sheetName val="Index"/>
      <sheetName val="7"/>
      <sheetName val="8"/>
      <sheetName val="9"/>
      <sheetName val="＊PASTE＊BP PL（FY2020）"/>
      <sheetName val="＊PASTE＊indirect①"/>
      <sheetName val="＊PASTE＊indirect②"/>
      <sheetName val="10【編集禁止Don't edit】"/>
      <sheetName val="言語組換"/>
      <sheetName val="EGCOST FOR S-91 SERIES"/>
      <sheetName val="[ｽﾀｰﾚｯﾄ.xls]_車__ｽ_ｰﾚ_ﾄ_受_予__ｽ_4"/>
      <sheetName val="[ｽﾀｰﾚｯﾄ.xls]_________________69"/>
      <sheetName val="[ｽﾀｰﾚｯﾄ.xls]_________________70"/>
      <sheetName val="[ｽﾀｰﾚｯﾄ.xls]_________________71"/>
      <sheetName val="[ｽﾀｰﾚｯﾄ.xls]_________________73"/>
      <sheetName val="[ｽﾀｰﾚｯﾄ.xls]__172_18_67_25_C_83"/>
      <sheetName val="[ｽﾀｰﾚｯﾄ.xls]__172_18_67_25_C_86"/>
      <sheetName val="[ｽﾀｰﾚｯﾄ.xls]__172_18_67_25_C_84"/>
      <sheetName val="[ｽﾀｰﾚｯﾄ.xls]__172_18_67_25_C_85"/>
      <sheetName val="[ｽﾀｰﾚｯﾄ.xls]__172_18_67_25_C_87"/>
      <sheetName val="[ｽﾀｰﾚｯﾄ.xls]__172_18_67_25_C_89"/>
      <sheetName val="[ｽﾀｰﾚｯﾄ.xls]__172_18_67_25_C_88"/>
      <sheetName val="[ｽﾀｰﾚｯﾄ.xls]__172_18_67_25_C_90"/>
      <sheetName val="[ｽﾀｰﾚｯﾄ.xls]__172_18_67_25_C_91"/>
      <sheetName val="[ｽﾀｰﾚｯﾄ.xls]__172_18_67_25__144"/>
      <sheetName val="[ｽﾀｰﾚｯﾄ.xls]________________230"/>
      <sheetName val="[ｽﾀｰﾚｯﾄ.xls]__172_18_67_25__143"/>
      <sheetName val="[ｽﾀｰﾚｯﾄ.xls]________________229"/>
      <sheetName val="[ｽﾀｰﾚｯﾄ.xls]_________________76"/>
      <sheetName val="MKH工場担当者"/>
      <sheetName val="OHM担当者"/>
      <sheetName val="【001】台数情報"/>
      <sheetName val="生産連絡会資料"/>
      <sheetName val="内示修正"/>
      <sheetName val="号旧切替依頼"/>
      <sheetName val="荷姿管理表"/>
      <sheetName val="追加注文"/>
      <sheetName val="③自給品（試作）"/>
      <sheetName val="Pre・改"/>
      <sheetName val="[ｽﾀｰﾚｯﾄ.xls]_________________84"/>
      <sheetName val="[ｽﾀｰﾚｯﾄ.xls]_________________79"/>
      <sheetName val="[ｽﾀｰﾚｯﾄ.xls]_________________77"/>
      <sheetName val="[ｽﾀｰﾚｯﾄ.xls]_________________78"/>
      <sheetName val="[ｽﾀｰﾚｯﾄ.xls]_________________82"/>
      <sheetName val="[ｽﾀｰﾚｯﾄ.xls]_________________80"/>
      <sheetName val="[ｽﾀｰﾚｯﾄ.xls]_________________81"/>
      <sheetName val="[ｽﾀｰﾚｯﾄ.xls]_________________83"/>
      <sheetName val="[ｽﾀｰﾚｯﾄ.xls]_________________86"/>
      <sheetName val="[ｽﾀｰﾚｯﾄ.xls]_________________85"/>
      <sheetName val="nang suat TONG"/>
      <sheetName val="[ｽﾀｰﾚｯﾄ.xls]_________________87"/>
      <sheetName val="[ｽﾀｰﾚｯﾄ.xls]_________________89"/>
      <sheetName val="[ｽﾀｰﾚｯﾄ.xls]_________________88"/>
      <sheetName val="[ｽﾀｰﾚｯﾄ.xls]_________________90"/>
      <sheetName val="[ｽﾀｰﾚｯﾄ.xls]_________________91"/>
      <sheetName val="[ｽﾀｰﾚｯﾄ.xls]_________________92"/>
      <sheetName val="[ｽﾀｰﾚｯﾄ.xls]________________101"/>
      <sheetName val="[ｽﾀｰﾚｯﾄ.xls]_________________97"/>
      <sheetName val="[ｽﾀｰﾚｯﾄ.xls]_________________93"/>
      <sheetName val="[ｽﾀｰﾚｯﾄ.xls]_________________94"/>
      <sheetName val="[ｽﾀｰﾚｯﾄ.xls]_________________95"/>
      <sheetName val="[ｽﾀｰﾚｯﾄ.xls]_________________96"/>
      <sheetName val="[ｽﾀｰﾚｯﾄ.xls]________________100"/>
      <sheetName val="[ｽﾀｰﾚｯﾄ.xls]_________________98"/>
      <sheetName val="[ｽﾀｰﾚｯﾄ.xls]_________________99"/>
      <sheetName val="[ｽﾀｰﾚｯﾄ.xls]________________102"/>
      <sheetName val="[ｽﾀｰﾚｯﾄ.xls]________________103"/>
      <sheetName val="[ｽﾀｰﾚｯﾄ.xls]________________104"/>
      <sheetName val="[ｽﾀｰﾚｯﾄ.xls]________________110"/>
      <sheetName val="[ｽﾀｰﾚｯﾄ.xls]________________109"/>
      <sheetName val="[ｽﾀｰﾚｯﾄ.xls]________________105"/>
      <sheetName val="[ｽﾀｰﾚｯﾄ.xls]________________107"/>
      <sheetName val="[ｽﾀｰﾚｯﾄ.xls]________________106"/>
      <sheetName val="[ｽﾀｰﾚｯﾄ.xls]________________108"/>
      <sheetName val="[ｽﾀｰﾚｯﾄ.xls]________________113"/>
      <sheetName val="[ｽﾀｰﾚｯﾄ.xls]________________111"/>
      <sheetName val="[ｽﾀｰﾚｯﾄ.xls]________________112"/>
      <sheetName val="[ｽﾀｰﾚｯﾄ.xls]________________114"/>
      <sheetName val="[ｽﾀｰﾚｯﾄ.xls]________________119"/>
      <sheetName val="[ｽﾀｰﾚｯﾄ.xls]________________115"/>
      <sheetName val="[ｽﾀｰﾚｯﾄ.xls]________________116"/>
      <sheetName val="[ｽﾀｰﾚｯﾄ.xls]________________117"/>
      <sheetName val="[ｽﾀｰﾚｯﾄ.xls]________________118"/>
      <sheetName val="[ｽﾀｰﾚｯﾄ.xls]________________121"/>
      <sheetName val="[ｽﾀｰﾚｯﾄ.xls]________________120"/>
      <sheetName val="_ｽﾀｰﾚｯﾄ.xls__________________70"/>
      <sheetName val="_ｽﾀｰﾚｯﾄ.xls__________________84"/>
      <sheetName val="[ｽﾀｰﾚｯﾄ.xls]________________122"/>
      <sheetName val="[ｽﾀｰﾚｯﾄ.xls]________________130"/>
      <sheetName val="[ｽﾀｰﾚｯﾄ.xls]________________127"/>
      <sheetName val="[ｽﾀｰﾚｯﾄ.xls]________________123"/>
      <sheetName val="[ｽﾀｰﾚｯﾄ.xls]________________125"/>
      <sheetName val="[ｽﾀｰﾚｯﾄ.xls]________________124"/>
      <sheetName val="[ｽﾀｰﾚｯﾄ.xls]________________126"/>
      <sheetName val="[ｽﾀｰﾚｯﾄ.xls]________________128"/>
      <sheetName val="[ｽﾀｰﾚｯﾄ.xls]________________129"/>
      <sheetName val="Leasing Cal紁홠/"/>
      <sheetName val="[ｽﾀｰﾚｯﾄ.xls]________________131"/>
      <sheetName val="[ｽﾀｰﾚｯﾄ.xls]________________136"/>
      <sheetName val="[ｽﾀｰﾚｯﾄ.xls]________________132"/>
      <sheetName val="[ｽﾀｰﾚｯﾄ.xls]________________133"/>
      <sheetName val="[ｽﾀｰﾚｯﾄ.xls]________________134"/>
      <sheetName val="[ｽﾀｰﾚｯﾄ.xls]________________135"/>
      <sheetName val="[ｽﾀｰﾚｯﾄ.xls]________________137"/>
      <sheetName val="square1"/>
      <sheetName val="Languages"/>
      <sheetName val="[ｽﾀｰﾚｯﾄ.xls]_車種_ｽﾀｰﾚｯﾄ_受注予測_ｽ_3"/>
      <sheetName val="[ｽﾀｰﾚｯﾄ.xls]________________148"/>
      <sheetName val="[ｽﾀｰﾚｯﾄ.xls]________________147"/>
      <sheetName val="[ｽﾀｰﾚｯﾄ.xls]________________144"/>
      <sheetName val="[ｽﾀｰﾚｯﾄ.xls]________________142"/>
      <sheetName val="[ｽﾀｰﾚｯﾄ.xls]________________141"/>
      <sheetName val="[ｽﾀｰﾚｯﾄ.xls]________________140"/>
      <sheetName val="[ｽﾀｰﾚｯﾄ.xls]________________139"/>
      <sheetName val="[ｽﾀｰﾚｯﾄ.xls]________________138"/>
      <sheetName val="[ｽﾀｰﾚｯﾄ.xls]________________143"/>
      <sheetName val="[ｽﾀｰﾚｯﾄ.xls]________________146"/>
      <sheetName val="[ｽﾀｰﾚｯﾄ.xls]________________145"/>
      <sheetName val="[ｽﾀｰﾚｯﾄ.xls]________________153"/>
      <sheetName val="[ｽﾀｰﾚｯﾄ.xls]________________150"/>
      <sheetName val="[ｽﾀｰﾚｯﾄ.xls]________________149"/>
      <sheetName val="[ｽﾀｰﾚｯﾄ.xls]________________151"/>
      <sheetName val="[ｽﾀｰﾚｯﾄ.xls]________________152"/>
      <sheetName val="[ｽﾀｰﾚｯﾄ.xls]________________154"/>
      <sheetName val="[ｽﾀｰﾚｯﾄ.xls]________________155"/>
      <sheetName val="[ｽﾀｰﾚｯﾄ.xls]________________167"/>
      <sheetName val="[ｽﾀｰﾚｯﾄ.xls]________________158"/>
      <sheetName val="[ｽﾀｰﾚｯﾄ.xls]________________156"/>
      <sheetName val="[ｽﾀｰﾚｯﾄ.xls]________________157"/>
      <sheetName val="[ｽﾀｰﾚｯﾄ.xls]________________165"/>
      <sheetName val="[ｽﾀｰﾚｯﾄ.xls]________________159"/>
      <sheetName val="[ｽﾀｰﾚｯﾄ.xls]________________160"/>
      <sheetName val="[ｽﾀｰﾚｯﾄ.xls]________________161"/>
      <sheetName val="[ｽﾀｰﾚｯﾄ.xls]________________162"/>
      <sheetName val="[ｽﾀｰﾚｯﾄ.xls]________________163"/>
      <sheetName val="[ｽﾀｰﾚｯﾄ.xls]________________164"/>
      <sheetName val="[ｽﾀｰﾚｯﾄ.xls]________________166"/>
      <sheetName val="[ｽﾀｰﾚｯﾄ.xls]________________168"/>
      <sheetName val="[ｽﾀｰﾚｯﾄ.xls]________________170"/>
      <sheetName val="[ｽﾀｰﾚｯﾄ.xls]________________169"/>
      <sheetName val="[ｽﾀｰﾚｯﾄ.xls]________________172"/>
      <sheetName val="[ｽﾀｰﾚｯﾄ.xls]________________171"/>
      <sheetName val="[ｽﾀｰﾚｯﾄ.xls]________________173"/>
      <sheetName val="[ｽﾀｰﾚｯﾄ.xls]________________174"/>
      <sheetName val="[ｽﾀｰﾚｯﾄ.xls]________________175"/>
      <sheetName val="[ｽﾀｰﾚｯﾄ.xls]________________178"/>
      <sheetName val="[ｽﾀｰﾚｯﾄ.xls]________________176"/>
      <sheetName val="[ｽﾀｰﾚｯﾄ.xls]________________177"/>
      <sheetName val="[ｽﾀｰﾚｯﾄ.xls]________________179"/>
      <sheetName val="[ｽﾀｰﾚｯﾄ.xls]________________181"/>
      <sheetName val="[ｽﾀｰﾚｯﾄ.xls]________________180"/>
      <sheetName val="[ｽﾀｰﾚｯﾄ.xls]________________182"/>
      <sheetName val="[ｽﾀｰﾚｯﾄ.xls]________________183"/>
      <sheetName val="[ｽﾀｰﾚｯﾄ.xls]________________184"/>
      <sheetName val="SC+CC_PIST"/>
      <sheetName val="[ｽﾀｰﾚｯﾄ.xls]\車種\ｽﾀｰﾚｯﾄ\受注予測\ｽ_x0000__x0000_"/>
      <sheetName val="[ｽﾀｰﾚｯﾄ.xls]__172_18_67_25__100"/>
      <sheetName val="[ｽﾀｰﾚｯﾄ.xls]_車___ﾀ_ﾚ_ﾄ__注予____2"/>
      <sheetName val="[ｽﾀｰﾚｯﾄ.xls]__172_18_67_25_C_96"/>
      <sheetName val="[ｽﾀｰﾚｯﾄ.xls]__172_18_67_25_C_93"/>
      <sheetName val="[ｽﾀｰﾚｯﾄ.xls]__172_18_67_25_C_94"/>
      <sheetName val="[ｽﾀｰﾚｯﾄ.xls]__172_18_67_25_C_95"/>
      <sheetName val="[ｽﾀｰﾚｯﾄ.xls]__172_18_67_25_C_97"/>
      <sheetName val="[ｽﾀｰﾚｯﾄ.xls]__172_18_67_25_C_98"/>
      <sheetName val="[ｽﾀｰﾚｯﾄ.xls]__172_18_67_25_C_99"/>
      <sheetName val="[ｽﾀｰﾚｯﾄ.xls]__172_18_67_25__102"/>
      <sheetName val="[ｽﾀｰﾚｯﾄ.xls]__172_18_67_25__101"/>
      <sheetName val="[ｽﾀｰﾚｯﾄ.xls]__172_18_67_25__104"/>
      <sheetName val="[ｽﾀｰﾚｯﾄ.xls]__172_18_67_25__103"/>
      <sheetName val="[ｽﾀｰﾚｯﾄ.xls]__172_18_67_25__109"/>
      <sheetName val="[ｽﾀｰﾚｯﾄ.xls]_車___ﾀ_ﾚ_ﾄ__注予____3"/>
      <sheetName val="[ｽﾀｰﾚｯﾄ.xls]__172_18_67_25__105"/>
      <sheetName val="[ｽﾀｰﾚｯﾄ.xls]__172_18_67_25__106"/>
      <sheetName val="[ｽﾀｰﾚｯﾄ.xls]__172_18_67_25__108"/>
      <sheetName val="[ｽﾀｰﾚｯﾄ.xls]__172_18_67_25__107"/>
      <sheetName val="[ｽﾀｰﾚｯﾄ.xls]__172_18_67_25__110"/>
      <sheetName val="[ｽﾀｰﾚｯﾄ.xls]__172_18_67_25__112"/>
      <sheetName val="[ｽﾀｰﾚｯﾄ.xls]__172_18_67_25__111"/>
      <sheetName val="[ｽﾀｰﾚｯﾄ.xls]__172_18_67_25__113"/>
      <sheetName val="[ｽﾀｰﾚｯﾄ.xls]__172_18_67_25__114"/>
      <sheetName val="[ｽﾀｰﾚｯﾄ.xls]__172_18_67_25__115"/>
      <sheetName val="[ｽﾀｰﾚｯﾄ.xls]__172_18_67_25__116"/>
      <sheetName val="[ｽﾀｰﾚｯﾄ.xls]__172_18_67_25__122"/>
      <sheetName val="[ｽﾀｰﾚｯﾄ.xls]__172_18_67_25__120"/>
      <sheetName val="[ｽﾀｰﾚｯﾄ.xls]__172_18_67_25__117"/>
      <sheetName val="[ｽﾀｰﾚｯﾄ.xls]__172_18_67_25__118"/>
      <sheetName val="[ｽﾀｰﾚｯﾄ.xls]__172_18_67_25__119"/>
      <sheetName val="[ｽﾀｰﾚｯﾄ.xls]__172_18_67_25__121"/>
      <sheetName val="[ｽﾀｰﾚｯﾄ.xls]__172_18_67_25__123"/>
      <sheetName val="[ｽﾀｰﾚｯﾄ.xls]__172_18_67_25__124"/>
      <sheetName val="[ｽﾀｰﾚｯﾄ.xls]__172_18_67_25__125"/>
      <sheetName val="[ｽﾀｰﾚｯﾄ.xls]__172_18_67_25__127"/>
      <sheetName val="[ｽﾀｰﾚｯﾄ.xls]__172_18_67_25__126"/>
      <sheetName val="[ｽﾀｰﾚｯﾄ.xls]__172_18_67_25__131"/>
      <sheetName val="[ｽﾀｰﾚｯﾄ.xls]__172_18_67_25__128"/>
      <sheetName val="[ｽﾀｰﾚｯﾄ.xls]__172_18_67_25__129"/>
      <sheetName val="[ｽﾀｰﾚｯﾄ.xls]__172_18_67_25__130"/>
      <sheetName val="[ｽﾀｰﾚｯﾄ.xls]__172_18_67_25__135"/>
      <sheetName val="[ｽﾀｰﾚｯﾄ.xls]__172_18_67_25__132"/>
      <sheetName val="[ｽﾀｰﾚｯﾄ.xls]__172_18_67_25__133"/>
      <sheetName val="[ｽﾀｰﾚｯﾄ.xls]__172_18_67_25__134"/>
      <sheetName val="[ｽﾀｰﾚｯﾄ.xls]_車種_ｽﾀｰﾚｯﾄ_受注予測_ｽ_4"/>
      <sheetName val="[ｽﾀｰﾚｯﾄ.xls]_車種_ｽﾀｰﾚｯﾄ_受注予測_ｽ_6"/>
      <sheetName val="[ｽﾀｰﾚｯﾄ.xls]_車種_ｽﾀｰﾚｯﾄ_受注予測_ｽ_5"/>
      <sheetName val="[ｽﾀｰﾚｯﾄ.xls]_車種_ｽﾀｰﾚｯﾄ_受注予測_ｽ_7"/>
      <sheetName val="[ｽﾀｰﾚｯﾄ.xls]_車種_ｽﾀｰﾚｯﾄ_受注予測_ｽ_9"/>
      <sheetName val="[ｽﾀｰﾚｯﾄ.xls]_車種_ｽﾀｰﾚｯﾄ_受注予測_ｽ_8"/>
      <sheetName val="[ｽﾀｰﾚｯﾄ.xls]________________185"/>
      <sheetName val="[ｽﾀｰﾚｯﾄ.xls]________________186"/>
      <sheetName val="[ｽﾀｰﾚｯﾄ.xls]________________187"/>
      <sheetName val="[ｽﾀｰﾚｯﾄ.xls]________________198"/>
      <sheetName val="[ｽﾀｰﾚｯﾄ.xls]________________192"/>
      <sheetName val="[ｽﾀｰﾚｯﾄ.xls]________________188"/>
      <sheetName val="[ｽﾀｰﾚｯﾄ.xls]________________190"/>
      <sheetName val="[ｽﾀｰﾚｯﾄ.xls]________________189"/>
      <sheetName val="[ｽﾀｰﾚｯﾄ.xls]________________191"/>
      <sheetName val="[ｽﾀｰﾚｯﾄ.xls]________________193"/>
      <sheetName val="[ｽﾀｰﾚｯﾄ.xls]________________194"/>
      <sheetName val="[ｽﾀｰﾚｯﾄ.xls]________________195"/>
      <sheetName val="[ｽﾀｰﾚｯﾄ.xls]________________197"/>
      <sheetName val="[ｽﾀｰﾚｯﾄ.xls]________________196"/>
      <sheetName val="_ｽﾀｰﾚｯﾄ.xls_________________149"/>
      <sheetName val="[ｽﾀｰﾚｯﾄ.xls]________________199"/>
      <sheetName val="[ｽﾀｰﾚｯﾄ.xls]________________200"/>
      <sheetName val="[ｽﾀｰﾚｯﾄ.xls]________________201"/>
      <sheetName val="[ｽﾀｰﾚｯﾄ.xls]__172_18_67_25__136"/>
      <sheetName val="[ｽﾀｰﾚｯﾄ.xls]________________202"/>
      <sheetName val="[ｽﾀｰﾚｯﾄ.xls]________________205"/>
      <sheetName val="[ｽﾀｰﾚｯﾄ.xls]________________204"/>
      <sheetName val="[ｽﾀｰﾚｯﾄ.xls]________________203"/>
      <sheetName val="[ｽﾀｰﾚｯﾄ.xls]________________207"/>
      <sheetName val="[ｽﾀｰﾚｯﾄ.xls]________________206"/>
      <sheetName val="[ｽﾀｰﾚｯﾄ.xls]________________209"/>
      <sheetName val="[ｽﾀｰﾚｯﾄ.xls]________________208"/>
      <sheetName val="[ｽﾀｰﾚｯﾄ.xls]________________210"/>
      <sheetName val="[ｽﾀｰﾚｯﾄ.xls]________________212"/>
      <sheetName val="[ｽﾀｰﾚｯﾄ.xls]________________211"/>
      <sheetName val="[ｽﾀｰﾚｯﾄ.xls]________________213"/>
      <sheetName val="[ｽﾀｰﾚｯﾄ.xls]________________215"/>
      <sheetName val="[ｽﾀｰﾚｯﾄ.xls]________________214"/>
      <sheetName val="[ｽﾀｰﾚｯﾄ.xls]________________218"/>
      <sheetName val="[ｽﾀｰﾚｯﾄ.xls]________________217"/>
      <sheetName val="[ｽﾀｰﾚｯﾄ.xls]________________216"/>
      <sheetName val="[ｽﾀｰﾚｯﾄ.xls]__172_18_67_25__137"/>
      <sheetName val="[ｽﾀｰﾚｯﾄ.xls]________________222"/>
      <sheetName val="[ｽﾀｰﾚｯﾄ.xls]________________219"/>
      <sheetName val="[ｽﾀｰﾚｯﾄ.xls]________________220"/>
      <sheetName val="[ｽﾀｰﾚｯﾄ.xls]________________221"/>
      <sheetName val="[ｽﾀｰﾚｯﾄ.xls]________________223"/>
      <sheetName val="[ｽﾀｰﾚｯﾄ.xls]________________224"/>
      <sheetName val="[ｽﾀｰﾚｯﾄ.xls]________________225"/>
      <sheetName val="シェル台ｾﾂﾄ流し改_(2)8"/>
      <sheetName val="P1_(2)8"/>
      <sheetName val="mat_list_8"/>
      <sheetName val="RACK_(CB)new8"/>
      <sheetName val="C3_N_DC改造投資8"/>
      <sheetName val="MPL_技連8"/>
      <sheetName val="342E_BLOCK8"/>
      <sheetName val="Interior_Trim8"/>
      <sheetName val="TMMK_Vehicle_Data8"/>
      <sheetName val="TMMC_Vehicle_Data8"/>
      <sheetName val="Comparison_data8"/>
      <sheetName val="Part_No_14"/>
      <sheetName val="Master_Updated(517)8"/>
      <sheetName val="%_Allocate_-_AB_Labor8"/>
      <sheetName val="drop_down_List8"/>
      <sheetName val="Master_(692N)8"/>
      <sheetName val="ass'y_06-11'057"/>
      <sheetName val="ass'y_06-11'05_(2)7"/>
      <sheetName val="IM-P-L12-5_'03_8"/>
      <sheetName val="Ｂ．财务课部門別週間管理表_(2)8"/>
      <sheetName val="ｽﾀｰﾚｯﾄ_xls8"/>
      <sheetName val="98_108"/>
      <sheetName val="98_118"/>
      <sheetName val="Bajaj_OS8"/>
      <sheetName val="BOM_-_Engineering8"/>
      <sheetName val="Iron_Pivot7"/>
      <sheetName val="TMC_Remaining_ECI8"/>
      <sheetName val="raw_data8"/>
      <sheetName val="【⑦】Direct_Consumables7"/>
      <sheetName val="Europe_PU-18"/>
      <sheetName val="_D27"/>
      <sheetName val="Nov_'027"/>
      <sheetName val="Matrix_Bom_ใช้งาน7"/>
      <sheetName val="Maker_Dist8"/>
      <sheetName val="HE_BASE7"/>
      <sheetName val="THPDMoi__(2)7"/>
      <sheetName val="t-h_HA_THE7"/>
      <sheetName val="DON_GIA7"/>
      <sheetName val="CHITIET_VL-NC7"/>
      <sheetName val="CHITIET_VL-NC-TT_-1p7"/>
      <sheetName val="TH_XL7"/>
      <sheetName val="dongia_(2)7"/>
      <sheetName val="CHITIET_VL-NC-TT-3p7"/>
      <sheetName val="Bia_TQT7"/>
      <sheetName val="TONGKE3p_7"/>
      <sheetName val="KPVC-BD_7"/>
      <sheetName val="Average_per_Katashiki7"/>
      <sheetName val="Price_Increase_Monitoring7"/>
      <sheetName val="Çalışma_Bilgisi7"/>
      <sheetName val="[ｽﾀｰﾚｯﾄ_xls]________________187"/>
      <sheetName val="_車種_ｽﾀｰﾚｯﾄ_受注予測_ｽﾀｰﾚｯﾄ_xls7"/>
      <sheetName val="Splr_Info7"/>
      <sheetName val="094W原紙_7"/>
      <sheetName val="NHÓM_HÀNG7"/>
      <sheetName val="R-M_Inventory7"/>
      <sheetName val="DỮ_LIỆU7"/>
      <sheetName val="Theo_Doi_Si_So7"/>
      <sheetName val="LOCATION_UPDATE_8-567"/>
      <sheetName val="khung_ten_TD7"/>
      <sheetName val="Người_TĐ7"/>
      <sheetName val="LTC_4W7"/>
      <sheetName val="Chuyen_590L7"/>
      <sheetName val="WE0144_LIST7"/>
      <sheetName val="DATA_7"/>
      <sheetName val="ミツワ_最終7"/>
      <sheetName val="Toggle_Duplicate_Highlighting7"/>
      <sheetName val="Supp_List7"/>
      <sheetName val="\\CP013\Documents_accounting_a6"/>
      <sheetName val="__CP013_Documents_accounting_a6"/>
      <sheetName val="237W_DATA6"/>
      <sheetName val="input_mst6"/>
      <sheetName val="01_-_Jan006"/>
      <sheetName val="AM_6M_946"/>
      <sheetName val="Model_Price6"/>
      <sheetName val="Plant_Monthly_Actuals6"/>
      <sheetName val="K_Auth_System_#16"/>
      <sheetName val="SFX_TỔNG6"/>
      <sheetName val="Future_Act6"/>
      <sheetName val="Leasing_Calculator6"/>
      <sheetName val="[ｽﾀｰﾚｯﾄ_xls]\車種\ｽﾀｰﾚｯﾄ\受注予測\ｽﾀ6"/>
      <sheetName val="[ｽﾀｰﾚｯﾄ_xls][ｽﾀｰﾚｯﾄ_xls][ｽﾀｰﾚｯ6"/>
      <sheetName val="[ｽﾀｰﾚｯﾄ_xls][ｽﾀｰﾚｯﾄ_xls]\車種\ｽﾀ6"/>
      <sheetName val="inc__claim_976"/>
      <sheetName val="Price_range_IT6"/>
      <sheetName val="FY04_budget_vol6"/>
      <sheetName val="Avensis+d_seg__in_&amp;_out_of_UK+6"/>
      <sheetName val="เงินกู้_MGC6"/>
      <sheetName val="Sheet1_(3)6"/>
      <sheetName val="_IBPL00016"/>
      <sheetName val="Material_Price_Adj_ANP_Final26"/>
      <sheetName val="Material_Price_Adj_RVP_Final6"/>
      <sheetName val="ANP_PR_Saving6"/>
      <sheetName val="RVP_PR_Saving6"/>
      <sheetName val="Part_No_15"/>
      <sheetName val="[ｽﾀｰﾚｯﾄ_xls][ｽﾀｰﾚｯﾄ_xls]\\CP017"/>
      <sheetName val="[ｽﾀｰﾚｯﾄ_xls]\\CP013\Documents_6"/>
      <sheetName val="Gas_16"/>
      <sheetName val="TMS_Data6"/>
      <sheetName val="入力シート_data_sheet_sep_(2)6"/>
      <sheetName val="Loss_Time6"/>
      <sheetName val="\\172_18_67_25\Compras\Users\i6"/>
      <sheetName val="VSP_-_NUMMI_Assembly6"/>
      <sheetName val="mau_(2)5"/>
      <sheetName val="MAX-MIN_พี่บุษ_NIssan_old5"/>
      <sheetName val="1999_45"/>
      <sheetName val="1999_105"/>
      <sheetName val="Base_MDL_08CR_to_09CR5"/>
      <sheetName val="__172_18_67_25_Compras_Users_i5"/>
      <sheetName val="TMMK_Camry_Gas5"/>
      <sheetName val="[ｽﾀｰﾚｯﾄ_xls]\\172_18_67_25\Com5"/>
      <sheetName val="GRAPH_4軸_径Φ120_(2)5"/>
      <sheetName val="[ｽﾀｰﾚｯﾄ_xls][ｽﾀｰﾚｯﾄ_xls]\\172_6"/>
      <sheetName val="_ｽﾀｰﾚｯﾄ_xls__車種_ｽﾀｰﾚｯﾄ_受注予測_ｽﾀ5"/>
      <sheetName val="_ｽﾀｰﾚｯﾄ_xls___CP013_Documents_5"/>
      <sheetName val="_ｽﾀｰﾚｯﾄ_xls__ｽﾀｰﾚｯﾄ_xls__車種_ｽﾀ5"/>
      <sheetName val="_ｽﾀｰﾚｯﾄ_xls__ｽﾀｰﾚｯﾄ_xls___CP016"/>
      <sheetName val="_ｽﾀｰﾚｯﾄ_xls__ｽﾀｰﾚｯﾄ_xls__ｽﾀｰﾚｯ5"/>
      <sheetName val="_ｽﾀｰﾚｯﾄ_xls___172_18_67_25_Com5"/>
      <sheetName val="_ｽﾀｰﾚｯﾄ_xls__ｽﾀｰﾚｯﾄ_xls___172_6"/>
      <sheetName val="三星_5"/>
      <sheetName val="AT部品管理台帳__(2)5"/>
      <sheetName val="[ｽﾀｰﾚｯﾄ_xls]_________________16"/>
      <sheetName val="[ｽﾀｰﾚｯﾄ_xls]_車___ﾀｰﾚｯﾄ_受_予____4"/>
      <sheetName val="[ｽﾀｰﾚｯﾄ_xls]_________________17"/>
      <sheetName val="[ｽﾀｰﾚｯﾄ_xls]_________________18"/>
      <sheetName val="[ｽﾀｰﾚｯﾄ_xls]_________________19"/>
      <sheetName val="[ｽﾀｰﾚｯﾄ_xls]_________________20"/>
      <sheetName val="[ｽﾀｰﾚｯﾄ_xls]_________________21"/>
      <sheetName val="[ｽﾀｰﾚｯﾄ_xls]__172_18_67_25_Co_3"/>
      <sheetName val="[ｽﾀｰﾚｯﾄ_xls]__172_18_67_25_Co_2"/>
      <sheetName val="[ｽﾀｰﾚｯﾄ_xls]_________________22"/>
      <sheetName val="[ｽﾀｰﾚｯﾄ_xls]__172_18_67_25_Co_4"/>
      <sheetName val="[ｽﾀｰﾚｯﾄ_xls]______ｰ_ｯ_________2"/>
      <sheetName val="[ｽﾀｰﾚｯﾄ_xls]_________________23"/>
      <sheetName val="[ｽﾀｰﾚｯﾄ_xls]__172_18_67_25_Co_5"/>
      <sheetName val="[ｽﾀｰﾚｯﾄ_xls]_________________24"/>
      <sheetName val="[ｽﾀｰﾚｯﾄ_xls]__172_18_67_25_Co_6"/>
      <sheetName val="[ｽﾀｰﾚｯﾄ_xls]_________________25"/>
      <sheetName val="[ｽﾀｰﾚｯﾄ_xls]__172_18_67_25_Co_7"/>
      <sheetName val="[ｽﾀｰﾚｯﾄ_xls]_________________26"/>
      <sheetName val="[ｽﾀｰﾚｯﾄ_xls]_________________27"/>
      <sheetName val="[ｽﾀｰﾚｯﾄ_xls]__172_18_67_25_Co_8"/>
      <sheetName val="[ｽﾀｰﾚｯﾄ_xls]_________________28"/>
      <sheetName val="[ｽﾀｰﾚｯﾄ_xls]__172_18_67_25_Co_9"/>
      <sheetName val="[ｽﾀｰﾚｯﾄ_xls]_________________29"/>
      <sheetName val="[ｽﾀｰﾚｯﾄ_xls]__172_18_67_25_C_10"/>
      <sheetName val="[ｽﾀｰﾚｯﾄ_xls]_________________30"/>
      <sheetName val="[ｽﾀｰﾚｯﾄ_xls]__172_18_67_25_C_11"/>
      <sheetName val="[ｽﾀｰﾚｯﾄ_xls]_________________31"/>
      <sheetName val="[ｽﾀｰﾚｯﾄ_xls]_________________32"/>
      <sheetName val="[ｽﾀｰﾚｯﾄ_xls]_________________33"/>
      <sheetName val="[ｽﾀｰﾚｯﾄ_xls]_________________34"/>
      <sheetName val="[ｽﾀｰﾚｯﾄ_xls]_________________35"/>
      <sheetName val="[ｽﾀｰﾚｯﾄ_xls]_________________36"/>
      <sheetName val="[ｽﾀｰﾚｯﾄ_xls]_________________37"/>
      <sheetName val="[ｽﾀｰﾚｯﾄ_xls]_________________38"/>
      <sheetName val="[ｽﾀｰﾚｯﾄ_xls]_________________39"/>
      <sheetName val="[ｽﾀｰﾚｯﾄ_xls]_________________40"/>
      <sheetName val="[ｽﾀｰﾚｯﾄ_xls]_________________41"/>
      <sheetName val="[ｽﾀｰﾚｯﾄ_xls]__172_18_67_25_C_13"/>
      <sheetName val="[ｽﾀｰﾚｯﾄ_xls]__172_18_67_25_C_12"/>
      <sheetName val="[ｽﾀｰﾚｯﾄ_xls]__172_18_67_25_C_14"/>
      <sheetName val="[ｽﾀｰﾚｯﾄ_xls]_________________42"/>
      <sheetName val="[ｽﾀｰﾚｯﾄ_xls]_________________43"/>
      <sheetName val="[ｽﾀｰﾚｯﾄ_xls]_________________44"/>
      <sheetName val="[ｽﾀｰﾚｯﾄ_xls]_________________45"/>
      <sheetName val="[ｽﾀｰﾚｯﾄ_xls]_________________46"/>
      <sheetName val="[ｽﾀｰﾚｯﾄ_xls]_________________47"/>
      <sheetName val="[ｽﾀｰﾚｯﾄ_xls]_________________48"/>
      <sheetName val="Daily_WSD"/>
      <sheetName val="[ｽﾀｰﾚｯﾄ_xls]_________________49"/>
      <sheetName val="[ｽﾀｰﾚｯﾄ_xls]_________________50"/>
      <sheetName val="[ｽﾀｰﾚｯﾄ_xls]_________________51"/>
      <sheetName val="[ｽﾀｰﾚｯﾄ_xls]_________________52"/>
      <sheetName val="[ｽﾀｰﾚｯﾄ_xls]_________________53"/>
      <sheetName val="[ｽﾀｰﾚｯﾄ_xls]_________________54"/>
      <sheetName val="[ｽﾀｰﾚｯﾄ_xls]_________________55"/>
      <sheetName val="[ｽﾀｰﾚｯﾄ_xls]_________________56"/>
      <sheetName val="[ｽﾀｰﾚｯﾄ_xls]_________________57"/>
      <sheetName val="[ｽﾀｰﾚｯﾄ_xls]_________________58"/>
      <sheetName val="[ｽﾀｰﾚｯﾄ_xls]_________________59"/>
      <sheetName val="[ｽﾀｰﾚｯﾄ_xls]_________________60"/>
      <sheetName val="[ｽﾀｰﾚｯﾄ_xls]_________________61"/>
      <sheetName val="[ｽﾀｰﾚｯﾄ_xls]_________________62"/>
      <sheetName val="[ｽﾀｰﾚｯﾄ_xls]_________________63"/>
      <sheetName val="[ｽﾀｰﾚｯﾄ_xls]_________________64"/>
      <sheetName val="[ｽﾀｰﾚｯﾄ_xls]_________________65"/>
      <sheetName val="[ｽﾀｰﾚｯﾄ_xls]_________________66"/>
      <sheetName val="Leasing_Cal紁홠/퀀"/>
      <sheetName val="[ｽﾀｰﾚｯﾄ_xls]_________________67"/>
      <sheetName val="[ｽﾀｰﾚｯﾄ_xls]_________________68"/>
      <sheetName val="[ｽﾀｰﾚｯﾄ_xls]_________________69"/>
      <sheetName val="[ｽﾀｰﾚｯﾄ_xls]_________________70"/>
      <sheetName val="[ｽﾀｰﾚｯﾄ_xls]_________________71"/>
      <sheetName val="[ｽﾀｰﾚｯﾄ_xls]_________________72"/>
      <sheetName val="[ｽﾀｰﾚｯﾄ_xls]_________________73"/>
      <sheetName val="[ｽﾀｰﾚｯﾄ_xls]__172_18_67_25_C_15"/>
      <sheetName val="[ｽﾀｰﾚｯﾄ_xls]_________________74"/>
      <sheetName val="[ｽﾀｰﾚｯﾄ_xls]_________________75"/>
      <sheetName val="[ｽﾀｰﾚｯﾄ_xls]_________________76"/>
      <sheetName val="[ｽﾀｰﾚｯﾄ_xls]_________________77"/>
      <sheetName val="[ｽﾀｰﾚｯﾄ_xls]_________________78"/>
      <sheetName val="[ｽﾀｰﾚｯﾄ_xls]_________________79"/>
      <sheetName val="[ｽﾀｰﾚｯﾄ_xls]_________________80"/>
      <sheetName val="[ｽﾀｰﾚｯﾄ_xls]_________________81"/>
      <sheetName val="[ｽﾀｰﾚｯﾄ_xls]_________________82"/>
      <sheetName val="[ｽﾀｰﾚｯﾄ_xls]_________________83"/>
      <sheetName val="[ｽﾀｰﾚｯﾄ_xls]_________________84"/>
      <sheetName val="[ｽﾀｰﾚｯﾄ_xls]_________________85"/>
      <sheetName val="[ｽﾀｰﾚｯﾄ_xls]_________________86"/>
      <sheetName val="[ｽﾀｰﾚｯﾄ_xls]_________________87"/>
      <sheetName val="[ｽﾀｰﾚｯﾄ_xls]_________________88"/>
      <sheetName val="[ｽﾀｰﾚｯﾄ_xls]_________________89"/>
      <sheetName val="[ｽﾀｰﾚｯﾄ_xls]_________________90"/>
      <sheetName val="[ｽﾀｰﾚｯﾄ_xls]_________________91"/>
      <sheetName val="[ｽﾀｰﾚｯﾄ_xls]_________________92"/>
      <sheetName val="[ｽﾀｰﾚｯﾄ_xls]_________________93"/>
      <sheetName val="[ｽﾀｰﾚｯﾄ_xls]_________________94"/>
      <sheetName val="[ｽﾀｰﾚｯﾄ_xls]_________________95"/>
      <sheetName val="[ｽﾀｰﾚｯﾄ_xls]_________________96"/>
      <sheetName val="[ｽﾀｰﾚｯﾄ_xls]_________________97"/>
      <sheetName val="[ｽﾀｰﾚｯﾄ_xls]_________________98"/>
      <sheetName val="[ｽﾀｰﾚｯﾄ_xls]_________________99"/>
      <sheetName val="[ｽﾀｰﾚｯﾄ_xls]________________100"/>
      <sheetName val="[ｽﾀｰﾚｯﾄ_xls]________________101"/>
      <sheetName val="[ｽﾀｰﾚｯﾄ_xls]________________102"/>
      <sheetName val="[ｽﾀｰﾚｯﾄ_xls]________________103"/>
      <sheetName val="[ｽﾀｰﾚｯﾄ_xls]________________104"/>
      <sheetName val="[ｽﾀｰﾚｯﾄ_xls]________________105"/>
      <sheetName val="[ｽﾀｰﾚｯﾄ_xls]________________106"/>
      <sheetName val="[ｽﾀｰﾚｯﾄ_xls]________________107"/>
      <sheetName val="[ｽﾀｰﾚｯﾄ_xls]________________108"/>
      <sheetName val="[ｽﾀｰﾚｯﾄ_xls]__172_18_67_25_C_16"/>
      <sheetName val="[ｽﾀｰﾚｯﾄ_xls]________________109"/>
      <sheetName val="[ｽﾀｰﾚｯﾄ_xls]________________110"/>
      <sheetName val="[ｽﾀｰﾚｯﾄ_xls]________________111"/>
      <sheetName val="[ｽﾀｰﾚｯﾄ_xls]________________112"/>
      <sheetName val="[ｽﾀｰﾚｯﾄ_xls]________________113"/>
      <sheetName val="[ｽﾀｰﾚｯﾄ_xls]________________114"/>
      <sheetName val="[ｽﾀｰﾚｯﾄ_xls]________________115"/>
      <sheetName val="nang_suat_TONG"/>
      <sheetName val="[ｽﾀｰﾚｯﾄ_xls]________________116"/>
      <sheetName val="[ｽﾀｰﾚｯﾄ_xls]________________117"/>
      <sheetName val="[ｽﾀｰﾚｯﾄ_xls]________________118"/>
      <sheetName val="[ｽﾀｰﾚｯﾄ_xls]________________119"/>
      <sheetName val="[ｽﾀｰﾚｯﾄ_xls]________________120"/>
      <sheetName val="[ｽﾀｰﾚｯﾄ_xls]________________121"/>
      <sheetName val="[ｽﾀｰﾚｯﾄ_xls]________________122"/>
      <sheetName val="[ｽﾀｰﾚｯﾄ_xls]________________123"/>
      <sheetName val="[ｽﾀｰﾚｯﾄ_xls]________________124"/>
      <sheetName val="[ｽﾀｰﾚｯﾄ_xls]________________125"/>
      <sheetName val="[ｽﾀｰﾚｯﾄ_xls]________________126"/>
      <sheetName val="[ｽﾀｰﾚｯﾄ_xls]________________127"/>
      <sheetName val="[ｽﾀｰﾚｯﾄ_xls]________________128"/>
      <sheetName val="[ｽﾀｰﾚｯﾄ_xls]________________129"/>
      <sheetName val="[ｽﾀｰﾚｯﾄ_xls]________________130"/>
      <sheetName val="[ｽﾀｰﾚｯﾄ_xls]________________131"/>
      <sheetName val="[ｽﾀｰﾚｯﾄ_xls]________________132"/>
      <sheetName val="[ｽﾀｰﾚｯﾄ_xls]________________133"/>
      <sheetName val="[ｽﾀｰﾚｯﾄ_xls]________________136"/>
      <sheetName val="_ｽﾀｰﾚｯﾄ_xls__________________84"/>
      <sheetName val="_ｽﾀｰﾚｯﾄ_xls__________________70"/>
      <sheetName val="[ｽﾀｰﾚｯﾄ_xls]__172_18_67_25_C_17"/>
      <sheetName val="Leasing_Cal紁홠/"/>
      <sheetName val="[ｽﾀｰﾚｯﾄ_xls]________________134"/>
      <sheetName val="[ｽﾀｰﾚｯﾄ_xls]________________135"/>
      <sheetName val="[ｽﾀｰﾚｯﾄ_xls]________________137"/>
      <sheetName val="[ｽﾀｰﾚｯﾄ_xls]________________138"/>
      <sheetName val="[ｽﾀｰﾚｯﾄ_xls]________________139"/>
      <sheetName val="[ｽﾀｰﾚｯﾄ_xls]________________140"/>
      <sheetName val="[ｽﾀｰﾚｯﾄ_xls]________________141"/>
      <sheetName val="[ｽﾀｰﾚｯﾄ_xls]________________142"/>
      <sheetName val="[ｽﾀｰﾚｯﾄ_xls]________________143"/>
      <sheetName val="[ｽﾀｰﾚｯﾄ_xls]________________144"/>
      <sheetName val="[ｽﾀｰﾚｯﾄ_xls]________________145"/>
      <sheetName val="[ｽﾀｰﾚｯﾄ_xls]________________146"/>
      <sheetName val="[ｽﾀｰﾚｯﾄ_xls]________________147"/>
      <sheetName val="[ｽﾀｰﾚｯﾄ_xls]________________148"/>
      <sheetName val="[ｽﾀｰﾚｯﾄ_xls]________________149"/>
      <sheetName val="[ｽﾀｰﾚｯﾄ_xls]________________150"/>
      <sheetName val="[ｽﾀｰﾚｯﾄ_xls]________________151"/>
      <sheetName val="[ｽﾀｰﾚｯﾄ_xls]________________152"/>
      <sheetName val="[ｽﾀｰﾚｯﾄ_xls]________________153"/>
      <sheetName val="[ｽﾀｰﾚｯﾄ_xls]________________154"/>
      <sheetName val="[ｽﾀｰﾚｯﾄ_xls]________________155"/>
      <sheetName val="[ｽﾀｰﾚｯﾄ_xls]________________156"/>
      <sheetName val="[ｽﾀｰﾚｯﾄ_xls]________________157"/>
      <sheetName val="[ｽﾀｰﾚｯﾄ_xls]________________158"/>
      <sheetName val="[ｽﾀｰﾚｯﾄ_xls]________________159"/>
      <sheetName val="[ｽﾀｰﾚｯﾄ_xls]________________160"/>
      <sheetName val="[ｽﾀｰﾚｯﾄ_xls]________________161"/>
      <sheetName val="[ｽﾀｰﾚｯﾄ_xls]__172_18_67_25_C_18"/>
      <sheetName val="(13)_71752-X1455"/>
      <sheetName val="DATA_SEAT"/>
      <sheetName val="DATA_GARNISH"/>
      <sheetName val="[ｽﾀｰﾚｯﾄ_xls]_車__ｽﾀｰﾚｯﾄ__注予__ｽ_3"/>
      <sheetName val="[ｽﾀｰﾚｯﾄ_xls]_車__ｽﾀｰﾚｯﾄ__注予__ｽ_2"/>
      <sheetName val="[ｽﾀｰﾚｯﾄ_xls]_車__ｽﾀｰﾚｯﾄ__注予__ｽ_4"/>
      <sheetName val="[ｽﾀｰﾚｯﾄ_xls]_車__ｽﾀｰﾚｯﾄ__注予___18"/>
      <sheetName val="[ｽﾀｰﾚｯﾄ_xls]_車__ｽﾀｰﾚｯﾄ__注予__ｽ_5"/>
      <sheetName val="[ｽﾀｰﾚｯﾄ_xls]_車__ｽﾀｰﾚｯﾄ__注予__ｽ_6"/>
      <sheetName val="[ｽﾀｰﾚｯﾄ_xls]_車__ｽﾀｰﾚｯﾄ__注予__ｽ_7"/>
      <sheetName val="[ｽﾀｰﾚｯﾄ_xls]_車__ｽﾀｰﾚｯﾄ__注予__ｽ_8"/>
      <sheetName val="[ｽﾀｰﾚｯﾄ_xls]_車__ｽﾀｰﾚｯﾄ__注予__ｽ_9"/>
      <sheetName val="[ｽﾀｰﾚｯﾄ_xls]_車__ｽﾀｰﾚｯﾄ__注予___10"/>
      <sheetName val="[ｽﾀｰﾚｯﾄ_xls]_車__ｽﾀｰﾚｯﾄ__注予___11"/>
      <sheetName val="[ｽﾀｰﾚｯﾄ_xls]_車__ｽﾀｰﾚｯﾄ__注予___12"/>
      <sheetName val="[ｽﾀｰﾚｯﾄ_xls]_車__ｽﾀｰﾚｯﾄ__注予___13"/>
      <sheetName val="[ｽﾀｰﾚｯﾄ_xls]_車__ｽﾀｰﾚｯﾄ__注予___14"/>
      <sheetName val="[ｽﾀｰﾚｯﾄ_xls]_車__ｽﾀｰﾚｯﾄ__注予___15"/>
      <sheetName val="[ｽﾀｰﾚｯﾄ_xls]_車__ｽﾀｰﾚｯﾄ__注予___16"/>
      <sheetName val="[ｽﾀｰﾚｯﾄ_xls]_車__ｽﾀｰﾚｯﾄ__注予___17"/>
      <sheetName val="[ｽﾀｰﾚｯﾄ_xls]_車__ｽﾀｰﾚｯﾄ__注予___21"/>
      <sheetName val="[ｽﾀｰﾚｯﾄ_xls]_車__ｽﾀｰﾚｯﾄ__注予___19"/>
      <sheetName val="[ｽﾀｰﾚｯﾄ_xls]_車__ｽﾀｰﾚｯﾄ__注予___20"/>
      <sheetName val="[ｽﾀｰﾚｯﾄ_xls]_車__ｽﾀｰﾚｯﾄ__注予___22"/>
      <sheetName val="[ｽﾀｰﾚｯﾄ_xls]_車__ｽﾀｰﾚｯﾄ__注予___25"/>
      <sheetName val="[ｽﾀｰﾚｯﾄ_xls]_車__ｽﾀｰﾚｯﾄ__注予___23"/>
      <sheetName val="[ｽﾀｰﾚｯﾄ_xls]_車__ｽﾀｰﾚｯﾄ__注予___24"/>
      <sheetName val="[ｽﾀｰﾚｯﾄ_xls]_車__ｽﾀｰﾚｯﾄ__注予___26"/>
      <sheetName val="[ｽﾀｰﾚｯﾄ_xls]_車__ｽﾀｰﾚｯﾄ__注予___27"/>
      <sheetName val="[ｽﾀｰﾚｯﾄ_xls]_車__ｽﾀｰﾚｯﾄ__注予___28"/>
      <sheetName val="[ｽﾀｰﾚｯﾄ_xls]_車__ｽﾀｰﾚｯﾄ__注予___29"/>
      <sheetName val="[ｽﾀｰﾚｯﾄ_xls]__172_18_67_25_C_19"/>
      <sheetName val="[ｽﾀｰﾚｯﾄ_xls]_車__ｽﾀｰﾚｯﾄ__注予___30"/>
      <sheetName val="[ｽﾀｰﾚｯﾄ_xls]__172_18_67_25_C_22"/>
      <sheetName val="[ｽﾀｰﾚｯﾄ_xls]_車__ｽﾀｰﾚｯﾄ__注予___31"/>
      <sheetName val="[ｽﾀｰﾚｯﾄ_xls]__172_18_67_25_C_20"/>
      <sheetName val="[ｽﾀｰﾚｯﾄ_xls]__172_18_67_25_C_21"/>
      <sheetName val="[ｽﾀｰﾚｯﾄ_xls]__172_18_67_25_C_24"/>
      <sheetName val="[ｽﾀｰﾚｯﾄ_xls]__172_18_67_25_C_23"/>
      <sheetName val="[ｽﾀｰﾚｯﾄ_xls]__172_18_67_25_C_29"/>
      <sheetName val="[ｽﾀｰﾚｯﾄ_xls]__172_18_67_25_C_25"/>
      <sheetName val="[ｽﾀｰﾚｯﾄ_xls]__172_18_67_25_C_26"/>
      <sheetName val="[ｽﾀｰﾚｯﾄ_xls]__172_18_67_25_C_27"/>
      <sheetName val="[ｽﾀｰﾚｯﾄ_xls]__172_18_67_25_C_28"/>
      <sheetName val="[ｽﾀｰﾚｯﾄ_xls]__172_18_67_25_C_30"/>
      <sheetName val="[ｽﾀｰﾚｯﾄ_xls]__172_18_67_25_C_31"/>
      <sheetName val="[ｽﾀｰﾚｯﾄ_xls]__172_18_67_25_C_32"/>
      <sheetName val="[ｽﾀｰﾚｯﾄ_xls]__172_18_67_25_C_33"/>
      <sheetName val="[ｽﾀｰﾚｯﾄ_xls]_車__ｽﾀｰﾚｯﾄ__注予___32"/>
      <sheetName val="[ｽﾀｰﾚｯﾄ_xls]_車__ｽﾀｰﾚｯﾄ__注予___33"/>
      <sheetName val="[ｽﾀｰﾚｯﾄ_xls]__172_18_67_25_C_36"/>
      <sheetName val="[ｽﾀｰﾚｯﾄ_xls]__172_18_67_25_C_35"/>
      <sheetName val="[ｽﾀｰﾚｯﾄ_xls]__172_18_67_25_C_34"/>
      <sheetName val="[ｽﾀｰﾚｯﾄ_xls]__172_18_67_25_C_40"/>
      <sheetName val="[ｽﾀｰﾚｯﾄ_xls]__172_18_67_25_C_37"/>
      <sheetName val="[ｽﾀｰﾚｯﾄ_xls]__172_18_67_25_C_38"/>
      <sheetName val="[ｽﾀｰﾚｯﾄ_xls]__172_18_67_25_C_39"/>
      <sheetName val="[ｽﾀｰﾚｯﾄ_xls]__172_18_67_25_C_41"/>
      <sheetName val="[ｽﾀｰﾚｯﾄ_xls]__172_18_67_25_C_44"/>
      <sheetName val="[ｽﾀｰﾚｯﾄ_xls]__172_18_67_25_C_42"/>
      <sheetName val="[ｽﾀｰﾚｯﾄ_xls]__172_18_67_25_C_43"/>
      <sheetName val="[ｽﾀｰﾚｯﾄ_xls]__172_18_67_25_C_46"/>
      <sheetName val="[ｽﾀｰﾚｯﾄ_xls]__172_18_67_25_C_45"/>
      <sheetName val="[ｽﾀｰﾚｯﾄ_xls]__172_18_67_25_C_55"/>
      <sheetName val="[ｽﾀｰﾚｯﾄ_xls]__172_18_67_25_C_47"/>
      <sheetName val="[ｽﾀｰﾚｯﾄ_xls]__172_18_67_25_C_48"/>
      <sheetName val="[ｽﾀｰﾚｯﾄ_xls]__172_18_67_25_C_49"/>
      <sheetName val="[ｽﾀｰﾚｯﾄ_xls]__172_18_67_25_C_51"/>
      <sheetName val="[ｽﾀｰﾚｯﾄ_xls]__172_18_67_25_C_50"/>
      <sheetName val="[ｽﾀｰﾚｯﾄ_xls]__172_18_67_25_C_54"/>
      <sheetName val="[ｽﾀｰﾚｯﾄ_xls]__172_18_67_25_C_52"/>
      <sheetName val="[ｽﾀｰﾚｯﾄ_xls]__172_18_67_25_C_53"/>
      <sheetName val="[ｽﾀｰﾚｯﾄ_xls]__172_18_67_25_C_57"/>
      <sheetName val="[ｽﾀｰﾚｯﾄ_xls]__172_18_67_25_C_56"/>
      <sheetName val="[ｽﾀｰﾚｯﾄ_xls]__172_18_67_25_C_58"/>
      <sheetName val="[ｽﾀｰﾚｯﾄ_xls]__172_18_67_25_C_65"/>
      <sheetName val="[ｽﾀｰﾚｯﾄ_xls]__172_18_67_25_C_59"/>
      <sheetName val="[ｽﾀｰﾚｯﾄ_xls]__172_18_67_25_C_61"/>
      <sheetName val="[ｽﾀｰﾚｯﾄ_xls]__172_18_67_25_C_60"/>
      <sheetName val="[ｽﾀｰﾚｯﾄ_xls]__172_18_67_25_C_62"/>
      <sheetName val="[ｽﾀｰﾚｯﾄ_xls]__172_18_67_25_C_63"/>
      <sheetName val="[ｽﾀｰﾚｯﾄ_xls]__172_18_67_25_C_64"/>
      <sheetName val="[ｽﾀｰﾚｯﾄ_xls]__172_18_67_25_C_66"/>
      <sheetName val="[ｽﾀｰﾚｯﾄ_xls]__172_18_67_25_C_67"/>
      <sheetName val="[ｽﾀｰﾚｯﾄ_xls]__172_18_67_25_C_68"/>
      <sheetName val="[ｽﾀｰﾚｯﾄ_xls]__172_18_67_25_C_69"/>
      <sheetName val="[ｽﾀｰﾚｯﾄ_xls]__172_18_67_25_C_70"/>
      <sheetName val="[ｽﾀｰﾚｯﾄ_xls]_車種_ｽﾀｰﾚｯﾄ_受注予測_ｽ_2"/>
      <sheetName val="[ｽﾀｰﾚｯﾄ_xls]_車種_ｽﾀｰﾚｯﾄ_受注予測_ｽ_3"/>
      <sheetName val="Master_Data輸入區"/>
      <sheetName val="[ｽﾀｰﾚｯﾄ_xls]________________162"/>
      <sheetName val="[ｽﾀｰﾚｯﾄ_xls]________________163"/>
      <sheetName val="[ｽﾀｰﾚｯﾄ_xls]________________164"/>
      <sheetName val="[ｽﾀｰﾚｯﾄ_xls]________________165"/>
      <sheetName val="[ｽﾀｰﾚｯﾄ_xls]________________166"/>
      <sheetName val="[ｽﾀｰﾚｯﾄ_xls]________________167"/>
      <sheetName val="[ｽﾀｰﾚｯﾄ_xls]________________168"/>
      <sheetName val="[ｽﾀｰﾚｯﾄ_xls]________________169"/>
      <sheetName val="[ｽﾀｰﾚｯﾄ_xls]________________170"/>
      <sheetName val="[ｽﾀｰﾚｯﾄ_xls]________________171"/>
      <sheetName val="[ｽﾀｰﾚｯﾄ_xls]________________172"/>
      <sheetName val="[ｽﾀｰﾚｯﾄ_xls]________________173"/>
      <sheetName val="[ｽﾀｰﾚｯﾄ_xls]________________174"/>
      <sheetName val="[ｽﾀｰﾚｯﾄ_xls]________________175"/>
      <sheetName val="[ｽﾀｰﾚｯﾄ_xls]________________176"/>
      <sheetName val="[ｽﾀｰﾚｯﾄ_xls]________________177"/>
      <sheetName val="[ｽﾀｰﾚｯﾄ_xls]________________178"/>
      <sheetName val="[ｽﾀｰﾚｯﾄ_xls]________________179"/>
      <sheetName val="[ｽﾀｰﾚｯﾄ_xls]________________180"/>
      <sheetName val="[ｽﾀｰﾚｯﾄ_xls]________________181"/>
      <sheetName val="[ｽﾀｰﾚｯﾄ_xls]________________182"/>
      <sheetName val="[ｽﾀｰﾚｯﾄ_xls]________________183"/>
      <sheetName val="[ｽﾀｰﾚｯﾄ_xls]________________184"/>
      <sheetName val="[ｽﾀｰﾚｯﾄ_xls]________________185"/>
      <sheetName val="[ｽﾀｰﾚｯﾄ_xls]________________186"/>
      <sheetName val="[ｽﾀｰﾚｯﾄ_xls]________________188"/>
      <sheetName val="[ｽﾀｰﾚｯﾄ_xls]________________189"/>
      <sheetName val="[ｽﾀｰﾚｯﾄ_xls]________________190"/>
      <sheetName val="[ｽﾀｰﾚｯﾄ_xls]________________191"/>
      <sheetName val="[ｽﾀｰﾚｯﾄ_xls]________________192"/>
      <sheetName val="[ｽﾀｰﾚｯﾄ_xls]________________193"/>
      <sheetName val="[ｽﾀｰﾚｯﾄ_xls]________________194"/>
      <sheetName val="[ｽﾀｰﾚｯﾄ_xls]________________195"/>
      <sheetName val="[ｽﾀｰﾚｯﾄ_xls]________________196"/>
      <sheetName val="[ｽﾀｰﾚｯﾄ_xls]________________197"/>
      <sheetName val="[ｽﾀｰﾚｯﾄ_xls]________________198"/>
      <sheetName val="[ｽﾀｰﾚｯﾄ_xls]________________199"/>
      <sheetName val="[ｽﾀｰﾚｯﾄ_xls]________________200"/>
      <sheetName val="[ｽﾀｰﾚｯﾄ_xls]__172_18_67_25_C_75"/>
      <sheetName val="[ｽﾀｰﾚｯﾄ_xls]__172_18_67_25_C_71"/>
      <sheetName val="[ｽﾀｰﾚｯﾄ_xls]__172_18_67_25_C_72"/>
      <sheetName val="[ｽﾀｰﾚｯﾄ_xls]__172_18_67_25_C_73"/>
      <sheetName val="[ｽﾀｰﾚｯﾄ_xls]__172_18_67_25_C_74"/>
      <sheetName val="[ｽﾀｰﾚｯﾄ_xls]_車__ｽ_ｰﾚｯﾄ_受_予測_ｽ_2"/>
      <sheetName val="[ｽﾀｰﾚｯﾄ_xls]_車__ｽ_ｰﾚｯﾄ_受_予測_ｽ_3"/>
      <sheetName val="[ｽﾀｰﾚｯﾄ_xls]\車種\ｽﾀｰﾚｯﾄ\受注予測\ｽ"/>
      <sheetName val="[ｽﾀｰﾚｯﾄ_xls]__172_18_67_25__100"/>
      <sheetName val="[ｽﾀｰﾚｯﾄ_xls]__172_18_67_25_C_77"/>
      <sheetName val="[ｽﾀｰﾚｯﾄ_xls]__172_18_67_25_C_76"/>
      <sheetName val="[ｽﾀｰﾚｯﾄ_xls]__172_18_67_25_C_78"/>
      <sheetName val="[ｽﾀｰﾚｯﾄ_xls]__172_18_67_25_C_84"/>
      <sheetName val="[ｽﾀｰﾚｯﾄ_xls]__172_18_67_25_C_79"/>
      <sheetName val="[ｽﾀｰﾚｯﾄ_xls]_車___ﾀ_ﾚ_ﾄ__注予____2"/>
      <sheetName val="[ｽﾀｰﾚｯﾄ_xls]__172_18_67_25_C_80"/>
      <sheetName val="[ｽﾀｰﾚｯﾄ_xls]__172_18_67_25_C_81"/>
      <sheetName val="[ｽﾀｰﾚｯﾄ_xls]__172_18_67_25_C_83"/>
      <sheetName val="[ｽﾀｰﾚｯﾄ_xls]__172_18_67_25_C_82"/>
      <sheetName val="[ｽﾀｰﾚｯﾄ_xls]__172_18_67_25_C_85"/>
      <sheetName val="[ｽﾀｰﾚｯﾄ_xls]__172_18_67_25_C_86"/>
      <sheetName val="[ｽﾀｰﾚｯﾄ_xls]__172_18_67_25_C_88"/>
      <sheetName val="[ｽﾀｰﾚｯﾄ_xls]__172_18_67_25_C_87"/>
      <sheetName val="[ｽﾀｰﾚｯﾄ_xls]__172_18_67_25_C_89"/>
      <sheetName val="[ｽﾀｰﾚｯﾄ_xls]__172_18_67_25_C_92"/>
      <sheetName val="[ｽﾀｰﾚｯﾄ_xls]__172_18_67_25_C_90"/>
      <sheetName val="[ｽﾀｰﾚｯﾄ_xls]__172_18_67_25_C_91"/>
      <sheetName val="[ｽﾀｰﾚｯﾄ_xls]__172_18_67_25_C_96"/>
      <sheetName val="[ｽﾀｰﾚｯﾄ_xls]__172_18_67_25_C_93"/>
      <sheetName val="[ｽﾀｰﾚｯﾄ_xls]__172_18_67_25_C_94"/>
      <sheetName val="[ｽﾀｰﾚｯﾄ_xls]__172_18_67_25_C_95"/>
      <sheetName val="[ｽﾀｰﾚｯﾄ_xls]__172_18_67_25_C_97"/>
      <sheetName val="[ｽﾀｰﾚｯﾄ_xls]__172_18_67_25_C_98"/>
      <sheetName val="[ｽﾀｰﾚｯﾄ_xls]__172_18_67_25_C_99"/>
      <sheetName val="[ｽﾀｰﾚｯﾄ_xls]__172_18_67_25__102"/>
      <sheetName val="[ｽﾀｰﾚｯﾄ_xls]__172_18_67_25__101"/>
      <sheetName val="[ｽﾀｰﾚｯﾄ_xls]__172_18_67_25__104"/>
      <sheetName val="[ｽﾀｰﾚｯﾄ_xls]__172_18_67_25__103"/>
      <sheetName val="[ｽﾀｰﾚｯﾄ_xls]__172_18_67_25__109"/>
      <sheetName val="[ｽﾀｰﾚｯﾄ_xls]_車___ﾀ_ﾚ_ﾄ__注予____3"/>
      <sheetName val="[ｽﾀｰﾚｯﾄ_xls]__172_18_67_25__105"/>
      <sheetName val="[ｽﾀｰﾚｯﾄ_xls]__172_18_67_25__106"/>
      <sheetName val="[ｽﾀｰﾚｯﾄ_xls]__172_18_67_25__108"/>
      <sheetName val="[ｽﾀｰﾚｯﾄ_xls]__172_18_67_25__107"/>
      <sheetName val="[ｽﾀｰﾚｯﾄ_xls]__172_18_67_25__110"/>
      <sheetName val="[ｽﾀｰﾚｯﾄ_xls]__172_18_67_25__112"/>
      <sheetName val="[ｽﾀｰﾚｯﾄ_xls]__172_18_67_25__111"/>
      <sheetName val="[ｽﾀｰﾚｯﾄ_xls]__172_18_67_25__113"/>
      <sheetName val="[ｽﾀｰﾚｯﾄ_xls]__172_18_67_25__114"/>
      <sheetName val="[ｽﾀｰﾚｯﾄ_xls]__172_18_67_25__115"/>
      <sheetName val="[ｽﾀｰﾚｯﾄ_xls]__172_18_67_25__116"/>
      <sheetName val="[ｽﾀｰﾚｯﾄ_xls]__172_18_67_25__122"/>
      <sheetName val="[ｽﾀｰﾚｯﾄ_xls]__172_18_67_25__120"/>
      <sheetName val="[ｽﾀｰﾚｯﾄ_xls]__172_18_67_25__117"/>
      <sheetName val="[ｽﾀｰﾚｯﾄ_xls]__172_18_67_25__118"/>
      <sheetName val="[ｽﾀｰﾚｯﾄ_xls]__172_18_67_25__119"/>
      <sheetName val="[ｽﾀｰﾚｯﾄ_xls]__172_18_67_25__121"/>
      <sheetName val="[ｽﾀｰﾚｯﾄ_xls]__172_18_67_25__123"/>
      <sheetName val="[ｽﾀｰﾚｯﾄ_xls]__172_18_67_25__124"/>
      <sheetName val="[ｽﾀｰﾚｯﾄ_xls]__172_18_67_25__125"/>
      <sheetName val="[ｽﾀｰﾚｯﾄ_xls]__172_18_67_25__127"/>
      <sheetName val="[ｽﾀｰﾚｯﾄ_xls]__172_18_67_25__126"/>
      <sheetName val="[ｽﾀｰﾚｯﾄ_xls]__172_18_67_25__131"/>
      <sheetName val="[ｽﾀｰﾚｯﾄ_xls]__172_18_67_25__128"/>
      <sheetName val="[ｽﾀｰﾚｯﾄ_xls]__172_18_67_25__129"/>
      <sheetName val="[ｽﾀｰﾚｯﾄ_xls]__172_18_67_25__130"/>
      <sheetName val="[ｽﾀｰﾚｯﾄ_xls]__172_18_67_25__135"/>
      <sheetName val="[ｽﾀｰﾚｯﾄ_xls]__172_18_67_25__132"/>
      <sheetName val="[ｽﾀｰﾚｯﾄ_xls]__172_18_67_25__133"/>
      <sheetName val="[ｽﾀｰﾚｯﾄ_xls]__172_18_67_25__134"/>
      <sheetName val="[ｽﾀｰﾚｯﾄ_xls]_車種_ｽﾀｰﾚｯﾄ_受注予測_ｽ_4"/>
      <sheetName val="[ｽﾀｰﾚｯﾄ_xls]_車種_ｽﾀｰﾚｯﾄ_受注予測_ｽ_6"/>
      <sheetName val="[ｽﾀｰﾚｯﾄ_xls]_車種_ｽﾀｰﾚｯﾄ_受注予測_ｽ_5"/>
      <sheetName val="[ｽﾀｰﾚｯﾄ_xls]_車種_ｽﾀｰﾚｯﾄ_受注予測_ｽ_7"/>
      <sheetName val="[ｽﾀｰﾚｯﾄ_xls]_車種_ｽﾀｰﾚｯﾄ_受注予測_ｽ_9"/>
      <sheetName val="[ｽﾀｰﾚｯﾄ_xls]_車種_ｽﾀｰﾚｯﾄ_受注予測_ｽ_8"/>
      <sheetName val="[ｽﾀｰﾚｯﾄ_xls]_車__ｽ_ｰﾚｯﾄ_受_予測_ｽ_4"/>
      <sheetName val="[ｽﾀｰﾚｯﾄ_xls]________________201"/>
      <sheetName val="[ｽﾀｰﾚｯﾄ_xls]________________202"/>
      <sheetName val="[ｽﾀｰﾚｯﾄ_xls]________________203"/>
      <sheetName val="[ｽﾀｰﾚｯﾄ_xls]________________204"/>
      <sheetName val="[ｽﾀｰﾚｯﾄ_xls]________________205"/>
      <sheetName val="[ｽﾀｰﾚｯﾄ_xls]________________206"/>
      <sheetName val="[ｽﾀｰﾚｯﾄ_xls]________________207"/>
      <sheetName val="[ｽﾀｰﾚｯﾄ_xls]________________208"/>
      <sheetName val="[ｽﾀｰﾚｯﾄ_xls]________________209"/>
      <sheetName val="_ｽﾀｰﾚｯﾄ_xls_________________149"/>
      <sheetName val="[ｽﾀｰﾚｯﾄ_xls]________________210"/>
      <sheetName val="[ｽﾀｰﾚｯﾄ_xls]________________211"/>
      <sheetName val="[ｽﾀｰﾚｯﾄ_xls]________________212"/>
      <sheetName val="[ｽﾀｰﾚｯﾄ_xls]________________213"/>
      <sheetName val="\車種\ｽﾀｰﾚｯﾄ\受注予測\ｽﾀｰﾚｯﾄ_xls7"/>
      <sheetName val="[ｽﾀｰﾚｯﾄ_xls]________________214"/>
      <sheetName val="[ｽﾀｰﾚｯﾄ_xls]________________215"/>
      <sheetName val="[ｽﾀｰﾚｯﾄ_xls]________________216"/>
      <sheetName val="[ｽﾀｰﾚｯﾄ_xls]________________217"/>
      <sheetName val="[ｽﾀｰﾚｯﾄ_xls]________________218"/>
      <sheetName val="[ｽﾀｰﾚｯﾄ_xls]________________219"/>
      <sheetName val="[ｽﾀｰﾚｯﾄ_xls]________________220"/>
      <sheetName val="[ｽﾀｰﾚｯﾄ_xls]________________221"/>
      <sheetName val="Investment_Back_Data"/>
      <sheetName val="Ratio_Salary_and_Tax"/>
      <sheetName val="Comparison_Assumption"/>
      <sheetName val="Database_Actual"/>
      <sheetName val="PL_Summary_1"/>
      <sheetName val="BS_Details"/>
      <sheetName val="PL_Summary_2"/>
      <sheetName val="Sales_AVS"/>
      <sheetName val="[ｽﾀｰﾚｯﾄ_xls]__172_18_67_25__136"/>
      <sheetName val="[ｽﾀｰﾚｯﾄ_xls]________________222"/>
      <sheetName val="[ｽﾀｰﾚｯﾄ_xls]________________223"/>
      <sheetName val="[ｽﾀｰﾚｯﾄ_xls]________________224"/>
      <sheetName val="[ｽﾀｰﾚｯﾄ_xls]________________225"/>
      <sheetName val="[ｽﾀｰﾚｯﾄ_xls]________________226"/>
      <sheetName val="[ｽﾀｰﾚｯﾄ_xls]________________227"/>
      <sheetName val="[ｽﾀｰﾚｯﾄ_xls]________________228"/>
      <sheetName val="[ｽﾀｰﾚｯﾄ_xls]________________229"/>
      <sheetName val="[ｽﾀｰﾚｯﾄ_xls]________________230"/>
      <sheetName val="[ｽﾀｰﾚｯﾄ_xls]________________231"/>
      <sheetName val="[ｽﾀｰﾚｯﾄ_xls]________________232"/>
      <sheetName val="[ｽﾀｰﾚｯﾄ_xls]__172_18_67_25__137"/>
      <sheetName val="[ｽﾀｰﾚｯﾄ.xls]__172_18_67_25__139"/>
      <sheetName val="[ｽﾀｰﾚｯﾄ.xls]__172_18_67_25__138"/>
      <sheetName val="[ｽﾀｰﾚｯﾄ.xls]________________226"/>
      <sheetName val="[ｽﾀｰﾚｯﾄ.xls]__172_18_67_25__142"/>
      <sheetName val="[ｽﾀｰﾚｯﾄ.xls]__172_18_67_25__140"/>
      <sheetName val="[ｽﾀｰﾚｯﾄ.xls]__172_18_67_25__141"/>
      <sheetName val="[ｽﾀｰﾚｯﾄ.xls]________________227"/>
      <sheetName val="[ｽﾀｰﾚｯﾄ.xls]________________228"/>
      <sheetName val="[ｽﾀｰﾚｯﾄ.xls]__172_18_67_25__146"/>
      <sheetName val="[ｽﾀｰﾚｯﾄ.xls]________________232"/>
      <sheetName val="[ｽﾀｰﾚｯﾄ.xls]__172_18_67_25__145"/>
      <sheetName val="[ｽﾀｰﾚｯﾄ.xls]________________231"/>
      <sheetName val="[ｽﾀｰﾚｯﾄ.xls]__172_18_67_25__147"/>
      <sheetName val="[ｽﾀｰﾚｯﾄ.xls]________________233"/>
      <sheetName val="[ｽﾀｰﾚｯﾄ.xls]__172_18_67_25__148"/>
      <sheetName val="[ｽﾀｰﾚｯﾄ.xls]________________234"/>
      <sheetName val="[ｽﾀｰﾚｯﾄ.xls]____ｽﾀｰﾚｯﾄ_受注_測_ｽ_2"/>
      <sheetName val="[ｽﾀｰﾚｯﾄ.xls]_車種_ｽﾀ_ﾚｯﾄ_受注予測_ｽ_7"/>
      <sheetName val="[ｽﾀｰﾚｯﾄ.xls]_車種_ｽﾀ_ﾚｯﾄ_受注予測_ｽ_2"/>
      <sheetName val="[ｽﾀｰﾚｯﾄ.xls]_車種_ｽﾀ_ﾚｯﾄ_受注予測_ｽ_3"/>
      <sheetName val="[ｽﾀｰﾚｯﾄ.xls]_車種_ｽﾀ_ﾚｯﾄ_受注予測_ｽ_4"/>
      <sheetName val="[ｽﾀｰﾚｯﾄ.xls]_車種_ｽﾀ_ﾚｯﾄ_受注予測_ｽ_5"/>
      <sheetName val="[ｽﾀｰﾚｯﾄ.xls]_車種_ｽﾀ_ﾚｯﾄ_受注予測_ｽ_6"/>
      <sheetName val="[ｽﾀｰﾚｯﾄ.xls]_車種_ｽﾀ_ﾚｯﾄ_受注予測_ｽ_8"/>
      <sheetName val="[ｽﾀｰﾚｯﾄ.xls]____ｽﾀｰﾚｯﾄ_受注_測__13"/>
      <sheetName val="PRODUCTION"/>
      <sheetName val="CPU"/>
      <sheetName val="FEB99"/>
      <sheetName val="OCT98"/>
      <sheetName val="[ｽﾀｰﾚｯﾄ.xls]____ｽﾀｰﾚｯﾄ_受注_測_ｽ_4"/>
      <sheetName val="[ｽﾀｰﾚｯﾄ.xls]____ｽﾀｰﾚｯﾄ_受注_測_ｽ_3"/>
      <sheetName val="[ｽﾀｰﾚｯﾄ.xls]____ｽﾀｰﾚｯﾄ_受注_測_ｽ_5"/>
      <sheetName val="[ｽﾀｰﾚｯﾄ.xls]____ｽﾀｰﾚｯﾄ_受注_測_ｽ_6"/>
      <sheetName val="[ｽﾀｰﾚｯﾄ.xls]____ｽﾀｰﾚｯﾄ_受注_測_ｽ_9"/>
      <sheetName val="[ｽﾀｰﾚｯﾄ.xls]____ｽﾀｰﾚｯﾄ_受注_測_ｽ_7"/>
      <sheetName val="[ｽﾀｰﾚｯﾄ.xls]____ｽﾀｰﾚｯﾄ_受注_測_ｽ_8"/>
      <sheetName val="[ｽﾀｰﾚｯﾄ.xls]____ｽﾀｰﾚｯﾄ_受注_測__10"/>
      <sheetName val="[ｽﾀｰﾚｯﾄ.xls]____ｽﾀｰﾚｯﾄ_受注_測__11"/>
      <sheetName val="[ｽﾀｰﾚｯﾄ.xls]____ｽﾀｰﾚｯﾄ_受注_測__12"/>
      <sheetName val="[ｽﾀｰﾚｯﾄ.xls]____ｽﾀｰﾚｯﾄ_受注_測__14"/>
      <sheetName val="[ｽﾀｰﾚｯﾄ.xls]____ｽﾀｰﾚｯﾄ_受注_測__15"/>
      <sheetName val="[ｽﾀｰﾚｯﾄ.xls]____ｽﾀｰﾚｯﾄ_受注_測__16"/>
      <sheetName val="[ｽﾀｰﾚｯﾄ.xls]____ｽﾀｰﾚｯﾄ_受注_測__17"/>
      <sheetName val="[ｽﾀｰﾚｯﾄ.xls]____ｽﾀｰﾚｯﾄ_受注_測__20"/>
      <sheetName val="[ｽﾀｰﾚｯﾄ.xls]____ｽﾀｰﾚｯﾄ_受注_測__18"/>
      <sheetName val="[ｽﾀｰﾚｯﾄ.xls]____ｽﾀｰﾚｯﾄ_受注_測__19"/>
      <sheetName val="[ｽﾀｰﾚｯﾄ.xls]____ｽﾀｰﾚｯﾄ_受注_測__21"/>
      <sheetName val="[ｽﾀｰﾚｯﾄ.xls]____ｽﾀｰﾚｯﾄ_受注_測__23"/>
      <sheetName val="[ｽﾀｰﾚｯﾄ.xls]____ｽﾀｰﾚｯﾄ_受注_測__22"/>
      <sheetName val="[ｽﾀｰﾚｯﾄ.xls]_車___ﾀ_ﾚ_ﾄ__注予____4"/>
      <sheetName val="[ｽﾀｰﾚｯﾄ.xls]_車___ﾀ_ﾚ_ﾄ__注予____6"/>
      <sheetName val="[ｽﾀｰﾚｯﾄ.xls]_車種_ｽﾀｰﾚ_ﾄ_受注予測_ｽ_2"/>
      <sheetName val="[ｽﾀｰﾚｯﾄ.xls]_車種_ｽﾀｰﾚ_ﾄ_受注予測_ｽ_3"/>
      <sheetName val="[ｽﾀｰﾚｯﾄ.xls]_車___ﾀ_ﾚ_ﾄ__注予____5"/>
      <sheetName val="[ｽﾀｰﾚｯﾄ.xls]_車種_ｽﾀｰﾚ_ﾄ_受注_測_ｽ_2"/>
      <sheetName val="[ｽﾀｰﾚｯﾄ.xls]__172_18_67_25__149"/>
      <sheetName val="[ｽﾀｰﾚｯﾄ.xls]__172_18_67_25__150"/>
      <sheetName val="[ｽﾀｰﾚｯﾄ.xls]__172_18_67_25__151"/>
      <sheetName val="[ｽﾀｰﾚｯﾄ.xls]__172_18_67_25__165"/>
      <sheetName val="[ｽﾀｰﾚｯﾄ.xls]__172_18_67_25__154"/>
      <sheetName val="[ｽﾀｰﾚｯﾄ.xls]__172_18_67_25__152"/>
      <sheetName val="[ｽﾀｰﾚｯﾄ.xls]__172_18_67_25__153"/>
      <sheetName val="[ｽﾀｰﾚｯﾄ.xls]__172_18_67_25__155"/>
      <sheetName val="[ｽﾀｰﾚｯﾄ.xls]________________235"/>
      <sheetName val="[ｽﾀｰﾚｯﾄ.xls]__172_18_67_25__156"/>
      <sheetName val="[ｽﾀｰﾚｯﾄ.xls]________________236"/>
      <sheetName val="[ｽﾀｰﾚｯﾄ.xls]__172_18_67_25__157"/>
      <sheetName val="[ｽﾀｰﾚｯﾄ.xls]__172_18_67_25__158"/>
      <sheetName val="[ｽﾀｰﾚｯﾄ.xls]________________237"/>
      <sheetName val="[ｽﾀｰﾚｯﾄ.xls]________________238"/>
      <sheetName val="[ｽﾀｰﾚｯﾄ.xls]________________239"/>
      <sheetName val="[ｽﾀｰﾚｯﾄ.xls]__172_18_67_25__159"/>
      <sheetName val="[ｽﾀｰﾚｯﾄ.xls]__172_18_67_25__160"/>
      <sheetName val="[ｽﾀｰﾚｯﾄ.xls]________________240"/>
      <sheetName val="[ｽﾀｰﾚｯﾄ.xls]________________242"/>
      <sheetName val="[ｽﾀｰﾚｯﾄ.xls]__172_18_67_25__162"/>
      <sheetName val="[ｽﾀｰﾚｯﾄ.xls]__172_18_67_25__161"/>
      <sheetName val="[ｽﾀｰﾚｯﾄ.xls]________________241"/>
      <sheetName val="[ｽﾀｰﾚｯﾄ.xls]________________243"/>
      <sheetName val="[ｽﾀｰﾚｯﾄ.xls]__172_18_67_25__163"/>
      <sheetName val="[ｽﾀｰﾚｯﾄ.xls]__172_18_67_25__164"/>
      <sheetName val="[ｽﾀｰﾚｯﾄ.xls]________________244"/>
      <sheetName val="[ｽﾀｰﾚｯﾄ.xls]________________245"/>
      <sheetName val="[ｽﾀｰﾚｯﾄ.xls]__172_18_67_25__167"/>
      <sheetName val="[ｽﾀｰﾚｯﾄ.xls]________________248"/>
      <sheetName val="[ｽﾀｰﾚｯﾄ.xls]________________246"/>
      <sheetName val="[ｽﾀｰﾚｯﾄ.xls]________________247"/>
      <sheetName val="[ｽﾀｰﾚｯﾄ.xls]__172_18_67_25__166"/>
      <sheetName val="[ｽﾀｰﾚｯﾄ.xls]__172_18_67_25__197"/>
      <sheetName val="[ｽﾀｰﾚｯﾄ.xls]________________278"/>
      <sheetName val="[ｽﾀｰﾚｯﾄ.xls]________________250"/>
      <sheetName val="[ｽﾀｰﾚｯﾄ.xls]__172_18_67_25__169"/>
      <sheetName val="[ｽﾀｰﾚｯﾄ.xls]________________249"/>
      <sheetName val="[ｽﾀｰﾚｯﾄ.xls]__172_18_67_25__168"/>
      <sheetName val="[ｽﾀｰﾚｯﾄ.xls]________________251"/>
      <sheetName val="[ｽﾀｰﾚｯﾄ.xls]__172_18_67_25__170"/>
      <sheetName val="[ｽﾀｰﾚｯﾄ.xls]________________252"/>
      <sheetName val="[ｽﾀｰﾚｯﾄ.xls]__172_18_67_25__172"/>
      <sheetName val="[ｽﾀｰﾚｯﾄ.xls]__172_18_67_25__171"/>
      <sheetName val="[ｽﾀｰﾚｯﾄ.xls]________________253"/>
      <sheetName val="[ｽﾀｰﾚｯﾄ.xls]__172_18_67_25__173"/>
      <sheetName val="[ｽﾀｰﾚｯﾄ.xls]__172_18_67_25__174"/>
      <sheetName val="[ｽﾀｰﾚｯﾄ.xls]________________254"/>
      <sheetName val="[ｽﾀｰﾚｯﾄ.xls]________________256"/>
      <sheetName val="[ｽﾀｰﾚｯﾄ.xls]__172_18_67_25__176"/>
      <sheetName val="[ｽﾀｰﾚｯﾄ.xls]________________255"/>
      <sheetName val="[ｽﾀｰﾚｯﾄ.xls]__172_18_67_25__175"/>
      <sheetName val="[ｽﾀｰﾚｯﾄ.xls]__172_18_67_25__177"/>
      <sheetName val="[ｽﾀｰﾚｯﾄ.xls]________________257"/>
      <sheetName val="[ｽﾀｰﾚｯﾄ.xls]__172_18_67_25__178"/>
      <sheetName val="[ｽﾀｰﾚｯﾄ.xls]________________258"/>
      <sheetName val="[ｽﾀｰﾚｯﾄ.xls]__172_18_67_25__179"/>
      <sheetName val="[ｽﾀｰﾚｯﾄ.xls]________________259"/>
      <sheetName val="[ｽﾀｰﾚｯﾄ.xls]________________270"/>
      <sheetName val="[ｽﾀｰﾚｯﾄ.xls]__172_18_67_25__190"/>
      <sheetName val="[ｽﾀｰﾚｯﾄ.xls]________________267"/>
      <sheetName val="[ｽﾀｰﾚｯﾄ.xls]__172_18_67_25__187"/>
      <sheetName val="[ｽﾀｰﾚｯﾄ.xls]________________261"/>
      <sheetName val="[ｽﾀｰﾚｯﾄ.xls]__172_18_67_25__181"/>
      <sheetName val="[ｽﾀｰﾚｯﾄ.xls]________________260"/>
      <sheetName val="[ｽﾀｰﾚｯﾄ.xls]__172_18_67_25__180"/>
      <sheetName val="[ｽﾀｰﾚｯﾄ.xls]________________264"/>
      <sheetName val="[ｽﾀｰﾚｯﾄ.xls]__172_18_67_25__184"/>
      <sheetName val="[ｽﾀｰﾚｯﾄ.xls]________________262"/>
      <sheetName val="[ｽﾀｰﾚｯﾄ.xls]__172_18_67_25__182"/>
      <sheetName val="[ｽﾀｰﾚｯﾄ.xls]________________263"/>
      <sheetName val="[ｽﾀｰﾚｯﾄ.xls]__172_18_67_25__183"/>
      <sheetName val="[ｽﾀｰﾚｯﾄ.xls]________________265"/>
      <sheetName val="[ｽﾀｰﾚｯﾄ.xls]__172_18_67_25__185"/>
      <sheetName val="[ｽﾀｰﾚｯﾄ.xls]________________266"/>
      <sheetName val="[ｽﾀｰﾚｯﾄ.xls]__172_18_67_25__186"/>
      <sheetName val="[ｽﾀｰﾚｯﾄ.xls]________________269"/>
      <sheetName val="[ｽﾀｰﾚｯﾄ.xls]__172_18_67_25__189"/>
      <sheetName val="[ｽﾀｰﾚｯﾄ.xls]________________268"/>
      <sheetName val="[ｽﾀｰﾚｯﾄ.xls]__172_18_67_25__188"/>
      <sheetName val="[ｽﾀｰﾚｯﾄ.xls]__172_18_67_25__192"/>
      <sheetName val="[ｽﾀｰﾚｯﾄ.xls]________________272"/>
      <sheetName val="[ｽﾀｰﾚｯﾄ.xls]__172_18_67_25__191"/>
      <sheetName val="[ｽﾀｰﾚｯﾄ.xls]________________271"/>
      <sheetName val="人員管理ー日(t) "/>
      <sheetName val="[ｽﾀｰﾚｯﾄ.xls]__172_18_67_25__193"/>
      <sheetName val="[ｽﾀｰﾚｯﾄ.xls]________________273"/>
      <sheetName val="[ｽﾀｰﾚｯﾄ.xls]________________274"/>
      <sheetName val="[ｽﾀｰﾚｯﾄ.xls]________________276"/>
      <sheetName val="[ｽﾀｰﾚｯﾄ.xls]__172_18_67_25__194"/>
      <sheetName val="[ｽﾀｰﾚｯﾄ.xls]________________275"/>
      <sheetName val="[ｽﾀｰﾚｯﾄ.xls]__172_18_67_25__195"/>
      <sheetName val="[ｽﾀｰﾚｯﾄ.xls]__172_18_67_25__196"/>
      <sheetName val="[ｽﾀｰﾚｯﾄ.xls]________________277"/>
      <sheetName val="[ｽﾀｰﾚｯﾄ.xls]__172_18_67_25__198"/>
      <sheetName val="[ｽﾀｰﾚｯﾄ.xls]__172_18_67_25__204"/>
      <sheetName val="[ｽﾀｰﾚｯﾄ.xls]________________289"/>
      <sheetName val="[ｽﾀｰﾚｯﾄ.xls]________________283"/>
      <sheetName val="[ｽﾀｰﾚｯﾄ.xls]__172_18_67_25__202"/>
      <sheetName val="[ｽﾀｰﾚｯﾄ.xls]________________281"/>
      <sheetName val="[ｽﾀｰﾚｯﾄ.xls]__172_18_67_25__199"/>
      <sheetName val="[ｽﾀｰﾚｯﾄ.xls]________________280"/>
      <sheetName val="[ｽﾀｰﾚｯﾄ.xls]________________279"/>
      <sheetName val="[ｽﾀｰﾚｯﾄ.xls]__172_18_67_25__200"/>
      <sheetName val="[ｽﾀｰﾚｯﾄ.xls]________________282"/>
      <sheetName val="[ｽﾀｰﾚｯﾄ.xls]__172_18_67_25__201"/>
      <sheetName val="[ｽﾀｰﾚｯﾄ.xls]________________284"/>
      <sheetName val="[ｽﾀｰﾚｯﾄ.xls]________________285"/>
      <sheetName val="[ｽﾀｰﾚｯﾄ.xls]________________286"/>
      <sheetName val="[ｽﾀｰﾚｯﾄ.xls]__172_18_67_25__203"/>
      <sheetName val="[ｽﾀｰﾚｯﾄ.xls]________________287"/>
      <sheetName val="[ｽﾀｰﾚｯﾄ.xls]________________288"/>
      <sheetName val="[ｽﾀｰﾚｯﾄ.xls]________________292"/>
      <sheetName val="[ｽﾀｰﾚｯﾄ.xls]__172_18_67_25__207"/>
      <sheetName val="[ｽﾀｰﾚｯﾄ.xls]__172_18_67_25__206"/>
      <sheetName val="[ｽﾀｰﾚｯﾄ.xls]________________291"/>
      <sheetName val="[ｽﾀｰﾚｯﾄ.xls]__172_18_67_25__205"/>
      <sheetName val="[ｽﾀｰﾚｯﾄ.xls]________________290"/>
      <sheetName val="[ｽﾀｰﾚｯﾄ.xls]__種_ｽﾀｰ_ｯﾄ_受__測_ｽ_2"/>
      <sheetName val="[ｽﾀｰﾚｯﾄ.xls]____ｽﾀｰ_ｯﾄ_受_予__ｽ_2"/>
      <sheetName val="[ｽﾀｰﾚｯﾄ.xls]_車種_ｽﾀｰﾚ_ﾄ_受注予測_ｽ_5"/>
      <sheetName val="[ｽﾀｰﾚｯﾄ.xls]_車種_ｽﾀｰﾚ_ﾄ_受注予測_ｽ_4"/>
      <sheetName val="[ｽﾀｰﾚｯﾄ.xls]_車種_ｽﾀｰﾚ_ﾄ_受注予測_ｽ_7"/>
      <sheetName val="[ｽﾀｰﾚｯﾄ.xls]_車種_ｽﾀｰﾚ_ﾄ_受注予測_ｽ_6"/>
      <sheetName val="[ｽﾀｰﾚｯﾄ.xls]_車種_ｽﾀｰﾚ_ﾄ_受注予測_ｽ_8"/>
      <sheetName val="[ｽﾀｰﾚｯﾄ.xls]_車種_ｽﾀｰﾚ_ﾄ_受注予測__11"/>
      <sheetName val="[ｽﾀｰﾚｯﾄ.xls]_車種_ｽﾀｰﾚ_ﾄ_受注予測_ｽ_9"/>
      <sheetName val="[ｽﾀｰﾚｯﾄ.xls]_車種_ｽﾀｰﾚ_ﾄ_受注予測__10"/>
      <sheetName val="[ｽﾀｰﾚｯﾄ.xls]_車種_ｽﾀｰﾚ_ﾄ_受注予測__13"/>
      <sheetName val="[ｽﾀｰﾚｯﾄ.xls]_車種_ｽﾀｰﾚ_ﾄ_受注予測__12"/>
      <sheetName val="[ｽﾀｰﾚｯﾄ.xls]_車種_ｽﾀｰﾚ_ﾄ_受注予測__14"/>
      <sheetName val="[ｽﾀｰﾚｯﾄ.xls]_車種_ｽﾀｰﾚ_ﾄ_受注予測__15"/>
      <sheetName val="June 07"/>
      <sheetName val="[ｽﾀｰﾚｯﾄ.xls]_車種_ｽﾀｰﾚｯﾄ_受注予測__10"/>
      <sheetName val="[ｽﾀｰﾚｯﾄ.xls]_車種_ｽﾀｰﾚｯﾄ_受注予測__11"/>
      <sheetName val="[ｽﾀｰﾚｯﾄ.xls]_車種_ｽﾀｰﾚｯﾄ_受注予測__12"/>
      <sheetName val="[ｽﾀｰﾚｯﾄ.xls]_車種_ｽﾀｰﾚｯﾄ_受注予測__13"/>
      <sheetName val="[ｽﾀｰﾚｯﾄ.xls]_車種_ｽﾀｰﾚｯﾄ_受注予測__14"/>
      <sheetName val="[ｽﾀｰﾚｯﾄ.xls]_車種_ｽﾀｰﾚｯﾄ_受注予測__15"/>
      <sheetName val="[ｽﾀｰﾚｯﾄ.xls]_車種_ｽﾀｰﾚｯﾄ_受注予測__16"/>
      <sheetName val="[ｽﾀｰﾚｯﾄ.xls]_車種_ｽﾀｰﾚｯﾄ_受注予測__17"/>
      <sheetName val="[ｽﾀｰﾚｯﾄ.xls]_車種_ｽﾀｰﾚｯﾄ_受注予測__18"/>
      <sheetName val="[ｽﾀｰﾚｯﾄ.xls]_車種_ｽﾀｰﾚｯﾄ_受注予測__19"/>
      <sheetName val="[ｽﾀｰﾚｯﾄ.xls]_車種_ｽﾀｰﾚｯﾄ_受注予測__20"/>
      <sheetName val="[ｽﾀｰﾚｯﾄ.xls]__172_18_67_25__208"/>
      <sheetName val="[ｽﾀｰﾚｯﾄ.xls]__172_18_67_25__210"/>
      <sheetName val="[ｽﾀｰﾚｯﾄ.xls]__172_18_67_25__209"/>
      <sheetName val="[ｽﾀｰﾚｯﾄ.xls]__172_18_67_25__212"/>
      <sheetName val="[ｽﾀｰﾚｯﾄ.xls]__172_18_67_25__211"/>
      <sheetName val="[ｽﾀｰﾚｯﾄ.xls]__172_18_67_25__213"/>
      <sheetName val="[ｽﾀｰﾚｯﾄ.xls]__種_ｽ_ｰﾚｯﾄ_受注予測_ｽ_2"/>
      <sheetName val="[ｽﾀｰﾚｯﾄ.xls]_車____ｰ_ｯ__受______2"/>
      <sheetName val="[ｽﾀｰﾚｯﾄ.xls]_車__ｽ_ｰﾚ_ﾄ_受_予__ｽ_5"/>
      <sheetName val="[ｽﾀｰﾚｯﾄ.xls]__種_ｽﾀｰﾚ_____予__ｽ_2"/>
      <sheetName val="[ｽﾀｰﾚｯﾄ.xls]__種_ｽﾀｰﾚ_____予__ｽ_3"/>
      <sheetName val="[ｽﾀｰﾚｯﾄ.xls]_車___ﾀｰﾚｯﾄ_受_予____3"/>
      <sheetName val="[ｽﾀｰﾚｯﾄ.xls]_車___ﾀｰﾚｯﾄ_受_予____4"/>
      <sheetName val="[ｽﾀｰﾚｯﾄ.xls]_車___ﾀｰﾚｯﾄ_受_予____5"/>
      <sheetName val="010109"/>
      <sheetName val="[ｽﾀｰﾚｯﾄ.xls]_車種_ｽﾀｰﾚｯﾄ_受_予測__12"/>
      <sheetName val="[ｽﾀｰﾚｯﾄ.xls]__172_18_67_25__215"/>
      <sheetName val="[ｽﾀｰﾚｯﾄ.xls]__172_18_67_25__214"/>
      <sheetName val="[ｽﾀｰﾚｯﾄ.xls]__172_18_67_25__216"/>
      <sheetName val="[ｽﾀｰﾚｯﾄ.xls]__172_18_67_25__217"/>
      <sheetName val="[ｽﾀｰﾚｯﾄ.xls]________________303"/>
      <sheetName val="[ｽﾀｰﾚｯﾄ.xls]__172_18_67_25__228"/>
      <sheetName val="数据链接"/>
      <sheetName val="[ｽﾀｰﾚｯﾄ.xls]\車種\ｽﾀｰﾚｯﾄ\受注予測\ｽﾀĆ"/>
      <sheetName val="[ｽﾀｰﾚｯﾄ.xls]________________296"/>
      <sheetName val="[ｽﾀｰﾚｯﾄ.xls]________________295"/>
      <sheetName val="[ｽﾀｰﾚｯﾄ.xls]________________293"/>
      <sheetName val="[ｽﾀｰﾚｯﾄ.xls]________________294"/>
      <sheetName val="[ｽﾀｰﾚｯﾄ.xls]__172_18_67_25__218"/>
      <sheetName val="[ｽﾀｰﾚｯﾄ.xls]________________297"/>
      <sheetName val="[ｽﾀｰﾚｯﾄ.xls]__172_18_67_25__219"/>
      <sheetName val="[ｽﾀｰﾚｯﾄ.xls]__172_18_67_25__226"/>
      <sheetName val="[ｽﾀｰﾚｯﾄ.xls]__172_18_67_25__220"/>
      <sheetName val="[ｽﾀｰﾚｯﾄ.xls]________________298"/>
      <sheetName val="[ｽﾀｰﾚｯﾄ.xls]________________301"/>
      <sheetName val="[ｽﾀｰﾚｯﾄ.xls]__172_18_67_25__223"/>
      <sheetName val="[ｽﾀｰﾚｯﾄ.xls]________________299"/>
      <sheetName val="[ｽﾀｰﾚｯﾄ.xls]__172_18_67_25__221"/>
      <sheetName val="[ｽﾀｰﾚｯﾄ.xls]________________300"/>
      <sheetName val="[ｽﾀｰﾚｯﾄ.xls]__172_18_67_25__222"/>
      <sheetName val="[ｽﾀｰﾚｯﾄ.xls]__172_18_67_25__224"/>
      <sheetName val="[ｽﾀｰﾚｯﾄ.xls]__172_18_67_25__225"/>
      <sheetName val="[ｽﾀｰﾚｯﾄ.xls]________________302"/>
      <sheetName val="[ｽﾀｰﾚｯﾄ.xls]__172_18_67_25__227"/>
      <sheetName val="[ｽﾀｰﾚｯﾄ.xls]________________304"/>
      <sheetName val="[ｽﾀｰﾚｯﾄ.xls]__172_18_67_25__229"/>
      <sheetName val="[ｽﾀｰﾚｯﾄ.xls]________________309"/>
      <sheetName val="[ｽﾀｰﾚｯﾄ.xls]__172_18_67_25__234"/>
      <sheetName val="[ｽﾀｰﾚｯﾄ.xls]________________307"/>
      <sheetName val="[ｽﾀｰﾚｯﾄ.xls]__172_18_67_25__232"/>
      <sheetName val="[ｽﾀｰﾚｯﾄ.xls]________________306"/>
      <sheetName val="[ｽﾀｰﾚｯﾄ.xls]__172_18_67_25__231"/>
      <sheetName val="[ｽﾀｰﾚｯﾄ.xls]________________305"/>
      <sheetName val="[ｽﾀｰﾚｯﾄ.xls]__172_18_67_25__230"/>
      <sheetName val="[ｽﾀｰﾚｯﾄ.xls]________________308"/>
      <sheetName val="[ｽﾀｰﾚｯﾄ.xls]__172_18_67_25__233"/>
      <sheetName val="[ｽﾀｰﾚｯﾄ.xls]________________312"/>
      <sheetName val="[ｽﾀｰﾚｯﾄ.xls]__172_18_67_25__237"/>
      <sheetName val="[ｽﾀｰﾚｯﾄ.xls]________________311"/>
      <sheetName val="[ｽﾀｰﾚｯﾄ.xls]__172_18_67_25__236"/>
      <sheetName val="[ｽﾀｰﾚｯﾄ.xls]________________310"/>
      <sheetName val="[ｽﾀｰﾚｯﾄ.xls]__172_18_67_25__235"/>
      <sheetName val="[ｽﾀｰﾚｯﾄ.xls]________________313"/>
      <sheetName val="[ｽﾀｰﾚｯﾄ.xls]__172_18_67_25__238"/>
      <sheetName val="[ｽﾀｰﾚｯﾄ.xls]________________314"/>
      <sheetName val="[ｽﾀｰﾚｯﾄ.xls]__172_18_67_25__239"/>
      <sheetName val="[ｽﾀｰﾚｯﾄ.xls]________________315"/>
      <sheetName val="[ｽﾀｰﾚｯﾄ.xls]__172_18_67_25__240"/>
      <sheetName val="[ｽﾀｰﾚｯﾄ.xls]________________316"/>
      <sheetName val="[ｽﾀｰﾚｯﾄ.xls]__172_18_67_25__241"/>
      <sheetName val="[ｽﾀｰﾚｯﾄ.xls]________________317"/>
      <sheetName val="[ｽﾀｰﾚｯﾄ.xls]__172_18_67_25__242"/>
      <sheetName val="[ｽﾀｰﾚｯﾄ.xls]________________318"/>
      <sheetName val="[ｽﾀｰﾚｯﾄ.xls]__172_18_67_25__243"/>
      <sheetName val="[ｽﾀｰﾚｯﾄ.xls]________________319"/>
      <sheetName val="[ｽﾀｰﾚｯﾄ.xls]__172_18_67_25__244"/>
      <sheetName val="[ｽﾀｰﾚｯﾄ.xls]________________320"/>
      <sheetName val="[ｽﾀｰﾚｯﾄ.xls]__172_18_67_25__245"/>
      <sheetName val="[ｽﾀｰﾚｯﾄ.xls]________________322"/>
      <sheetName val="[ｽﾀｰﾚｯﾄ.xls]__172_18_67_25__247"/>
      <sheetName val="[ｽﾀｰﾚｯﾄ.xls]________________321"/>
      <sheetName val="[ｽﾀｰﾚｯﾄ.xls]__172_18_67_25__246"/>
      <sheetName val="[ｽﾀｰﾚｯﾄ.xls]________________328"/>
      <sheetName val="[ｽﾀｰﾚｯﾄ.xls]__172_18_67_25__253"/>
      <sheetName val="[ｽﾀｰﾚｯﾄ.xls]________________327"/>
      <sheetName val="[ｽﾀｰﾚｯﾄ.xls]__172_18_67_25__252"/>
      <sheetName val="[ｽﾀｰﾚｯﾄ.xls]________________323"/>
      <sheetName val="[ｽﾀｰﾚｯﾄ.xls]__172_18_67_25__248"/>
      <sheetName val="[ｽﾀｰﾚｯﾄ.xls]________________324"/>
      <sheetName val="[ｽﾀｰﾚｯﾄ.xls]__172_18_67_25__249"/>
      <sheetName val="[ｽﾀｰﾚｯﾄ.xls]__172_18_67_25__250"/>
      <sheetName val="[ｽﾀｰﾚｯﾄ.xls]________________325"/>
      <sheetName val="[ｽﾀｰﾚｯﾄ.xls]________________326"/>
      <sheetName val="[ｽﾀｰﾚｯﾄ.xls]__172_18_67_25__251"/>
      <sheetName val="[ｽﾀｰﾚｯﾄ.xls]__172_18_67_25__255"/>
      <sheetName val="[ｽﾀｰﾚｯﾄ.xls]________________330"/>
      <sheetName val="[ｽﾀｰﾚｯﾄ.xls]__172_18_67_25__254"/>
      <sheetName val="[ｽﾀｰﾚｯﾄ.xls]________________329"/>
      <sheetName val="[ｽﾀｰﾚｯﾄ.xls]_車___ﾀ_ﾚ_ﾄ__注予____7"/>
      <sheetName val="[ｽﾀｰﾚｯﾄ.xls]_車___ﾀ_ﾚ_ﾄ__注予___13"/>
      <sheetName val="[ｽﾀｰﾚｯﾄ.xls]_車___ﾀ_ﾚ_ﾄ__注予____8"/>
      <sheetName val="[ｽﾀｰﾚｯﾄ.xls]_車___ﾀ_ﾚ_ﾄ__注予____9"/>
      <sheetName val="[ｽﾀｰﾚｯﾄ.xls]_車___ﾀ_ﾚ_ﾄ__注予___10"/>
      <sheetName val="[ｽﾀｰﾚｯﾄ.xls]_車___ﾀ_ﾚ_ﾄ__注予___11"/>
      <sheetName val="[ｽﾀｰﾚｯﾄ.xls]_車___ﾀ_ﾚ_ﾄ__注予___12"/>
      <sheetName val="[ｽﾀｰﾚｯﾄ.xls]_車__ｽﾀｰﾚｯﾄ__注予___34"/>
      <sheetName val="[ｽﾀｰﾚｯﾄ.xls]_車__ｽﾀｰﾚｯﾄ__注予___37"/>
      <sheetName val="[ｽﾀｰﾚｯﾄ.xls]_車__ｽﾀｰﾚｯﾄ__注予___36"/>
      <sheetName val="[ｽﾀｰﾚｯﾄ.xls]_車__ｽﾀｰﾚｯﾄ__注予___35"/>
      <sheetName val="[ｽﾀｰﾚｯﾄ.xls]_車__ｽﾀｰﾚｯﾄ__注予___38"/>
      <sheetName val="[ｽﾀｰﾚｯﾄ.xls]_車__ｽﾀｰﾚｯﾄ__注予___41"/>
      <sheetName val="[ｽﾀｰﾚｯﾄ.xls]_車__ｽﾀｰﾚｯﾄ__注予___39"/>
      <sheetName val="[ｽﾀｰﾚｯﾄ.xls]_車__ｽﾀｰﾚｯﾄ__注予___40"/>
      <sheetName val="[ｽﾀｰﾚｯﾄ.xls]_車__ｽﾀｰﾚｯﾄ__注予___44"/>
      <sheetName val="[ｽﾀｰﾚｯﾄ.xls]_車__ｽﾀｰﾚｯﾄ__注予___42"/>
      <sheetName val="[ｽﾀｰﾚｯﾄ.xls]_車__ｽﾀｰﾚｯﾄ__注予___43"/>
      <sheetName val="[ｽﾀｰﾚｯﾄ.xls]__172_18_67_25__257"/>
      <sheetName val="Calendar 2006"/>
      <sheetName val="[ｽﾀｰﾚｯﾄ.xls]_車__ｽ_ｰﾚｯﾄ_受_予測_ｽ_5"/>
      <sheetName val="[ｽﾀｰﾚｯﾄ.xls]_車__ｽ_ｰﾚｯﾄ_受_予測_ｽ_6"/>
      <sheetName val="[ｽﾀｰﾚｯﾄ.xls]_車__ｽ_ｰﾚｯﾄ_受_予測_ｽ_7"/>
      <sheetName val="[ｽﾀｰﾚｯﾄ.xls]__172_18_67_25__258"/>
      <sheetName val="[ｽﾀｰﾚｯﾄ.xls]__172_18_67_25__259"/>
    </sheetNames>
    <definedNames>
      <definedName name="mdl_sht反騰法.btnイベントメモ修正_Action"/>
      <definedName name="mdl_sht反騰法.btn実績デｰタ修正_Action"/>
      <definedName name="mdl_sht反騰法.btn対象年月変更_Action"/>
      <definedName name="mdl_sht反騰法.btn対象車種変更_Action"/>
      <definedName name="mdl_sht反騰法.btn月別構成_Action"/>
      <definedName name="mdl_sht反騰法.drp任意反騰_Action" sheetId="21"/>
      <definedName name="mdl_sht反騰法.drp単月反騰_Acti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 refreshError="1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/>
      <sheetData sheetId="1146"/>
      <sheetData sheetId="1147" refreshError="1"/>
      <sheetData sheetId="1148" refreshError="1"/>
      <sheetData sheetId="1149"/>
      <sheetData sheetId="1150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 refreshError="1"/>
      <sheetData sheetId="1344" refreshError="1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/>
      <sheetData sheetId="1381"/>
      <sheetData sheetId="1382"/>
      <sheetData sheetId="1383"/>
      <sheetData sheetId="1384"/>
      <sheetData sheetId="1385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/>
      <sheetData sheetId="1623"/>
      <sheetData sheetId="1624"/>
      <sheetData sheetId="1625"/>
      <sheetData sheetId="1626"/>
      <sheetData sheetId="1627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/>
      <sheetData sheetId="2499" refreshError="1"/>
      <sheetData sheetId="2500"/>
      <sheetData sheetId="2501" refreshError="1"/>
      <sheetData sheetId="2502"/>
      <sheetData sheetId="2503" refreshError="1"/>
      <sheetData sheetId="2504"/>
      <sheetData sheetId="2505" refreshError="1"/>
      <sheetData sheetId="2506"/>
      <sheetData sheetId="2507" refreshError="1"/>
      <sheetData sheetId="2508"/>
      <sheetData sheetId="2509" refreshError="1"/>
      <sheetData sheetId="2510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車両仕様"/>
      <sheetName val="車両仕様_x0000_4?_x0000__x0000__x0011__x0000__x0000_"/>
      <sheetName val="車両仕様 _x0000__x0000_?_x0012_?瞳?"/>
      <sheetName val="対米新旧差"/>
      <sheetName val="購入品費入り"/>
      <sheetName val="品名なし"/>
      <sheetName val="Sheet3"/>
      <sheetName val="500以上"/>
      <sheetName val="WARPより"/>
      <sheetName val="aug05"/>
      <sheetName val="jul05"/>
      <sheetName val="RR Diff  Progressive(28-Aug (2)"/>
      <sheetName val="RR Diff  Progressive(4-Sep-03)"/>
      <sheetName val="NICHE"/>
      <sheetName val="CAR"/>
      <sheetName val="COM"/>
      <sheetName val="TMMT"/>
      <sheetName val="TMUK"/>
      <sheetName val="CHRONOLOGY INDEX"/>
      <sheetName val="&lt;"/>
      <sheetName val="TMF"/>
      <sheetName val="SC430"/>
      <sheetName val="CBU"/>
      <sheetName val="&gt;"/>
      <sheetName val="COST REC. DISCREP."/>
      <sheetName val="車両仕様_x0000_ New02㾐"/>
      <sheetName val="車両仕様_x0000__x0000__x0000_ꎨ_x0012_窉瞳㾐"/>
      <sheetName val="アラジン"/>
      <sheetName val="入力用"/>
      <sheetName val="本体価格検討"/>
      <sheetName val="車両仕様 "/>
      <sheetName val="Competitor"/>
      <sheetName val="表紙"/>
      <sheetName val="車両基本情報"/>
      <sheetName val="月別生産台数"/>
      <sheetName val="Sheet1"/>
      <sheetName val="#REF"/>
      <sheetName val="MARCH-APRIL. 03"/>
      <sheetName val="sum_gtm"/>
      <sheetName val="検証確認シート"/>
      <sheetName val="帳票説明"/>
      <sheetName val="車両仕様?4???_x0011_??"/>
      <sheetName val="車両仕様 ???_x0012_?瞳?"/>
      <sheetName val="車両仕様? New02㾐"/>
      <sheetName val="車両仕様???ꎨ_x0012_窉瞳㾐"/>
      <sheetName val="車両仕様?4??_x0011_?"/>
      <sheetName val="車両仕様4??_x0011_?"/>
      <sheetName val="007SS"/>
      <sheetName val="F Lead"/>
      <sheetName val="2005．05．26Iwasaki"/>
      <sheetName val="Corona"/>
      <sheetName val="隠し"/>
      <sheetName val="車両仕様 __x0012__瞳_"/>
      <sheetName val="車両仕様4_"/>
      <sheetName val="ﾃｽﾄﾃﾞｰﾀ一覧"/>
      <sheetName val="車両仕様 ____x0012__瞳_"/>
      <sheetName val="車両仕様_4____x0011___"/>
      <sheetName val="車両仕様_ New02㾐"/>
      <sheetName val="車両仕様___ꎨ_x0012_窉瞳㾐"/>
      <sheetName val="車両ｽﾍﾟｯｸ表"/>
      <sheetName val="NOV"/>
      <sheetName val="D88D CAL"/>
      <sheetName val="Comparison"/>
      <sheetName val="715L Unit Price"/>
      <sheetName val="Oct Truckfest GMAC BC"/>
      <sheetName val="Corolla Gas"/>
      <sheetName val="REPUESTOS LPA"/>
      <sheetName val="TALLER"/>
      <sheetName val="tbContab05"/>
      <sheetName val="車型仕様"/>
      <sheetName val="Distributor &amp; Dealer code"/>
      <sheetName val="T1 &amp; T2 Code"/>
      <sheetName val="All of Part list rev.49"/>
      <sheetName val="All of Part list rev.49 (PNo)"/>
      <sheetName val="REVICED"/>
      <sheetName val="車両仕様_4___x0011__"/>
      <sheetName val="車両仕様4___x0011__"/>
      <sheetName val="parameter"/>
      <sheetName val="TCL1"/>
      <sheetName val="PL_1_2"/>
      <sheetName val="TANI"/>
      <sheetName val="ESSBASE"/>
      <sheetName val="091L"/>
      <sheetName val="200L"/>
      <sheetName val="180L"/>
      <sheetName val="Table"/>
      <sheetName val="02年9月 まとめ 32βＨ"/>
      <sheetName val="11パラメータ"/>
      <sheetName val="保有ﾘｽﾄ"/>
      <sheetName val="MARCH_APRIL_ 03"/>
      <sheetName val="ES UX  27 40.464"/>
      <sheetName val="MASTER FILE"/>
      <sheetName val="Price"/>
      <sheetName val="ﾄﾖﾀUNIT"/>
      <sheetName val="Part No."/>
      <sheetName val="RACK (CB)new"/>
      <sheetName val="001N99"/>
      <sheetName val="479T"/>
      <sheetName val="pre"/>
      <sheetName val="계실5-1"/>
      <sheetName val="%E8%BB%8A%E4%B8%A1%E4%BB%95%E6%"/>
      <sheetName val="ｲﾝﾊﾟｸﾄ影響台数集計表"/>
      <sheetName val="実勢(売上)台数表"/>
      <sheetName val="月別企画台数表"/>
      <sheetName val="プロジェクト一覧表(現行)"/>
      <sheetName val="限界利益表(半期別)"/>
      <sheetName val="機種マスタ"/>
      <sheetName val="機種ﾏｽﾀ（他車）"/>
      <sheetName val="売上高表(半期別)"/>
      <sheetName val="★작성양식"/>
      <sheetName val="仕入住原"/>
      <sheetName val="投資ﾌｫﾛｰ"/>
      <sheetName val="Datos HHRR"/>
      <sheetName val="094W原紙 "/>
      <sheetName val="ヘッダ"/>
      <sheetName val="latest"/>
      <sheetName val="Actual"/>
      <sheetName val="現調化効果"/>
      <sheetName val="日供品"/>
      <sheetName val="方針書表紙"/>
      <sheetName val="Wenger"/>
      <sheetName val="銷售&amp;毛利"/>
      <sheetName val="DATA"/>
      <sheetName val="ｻﾝﾌﾟﾙ取出日程"/>
      <sheetName val="金型申入書ﾃﾞｰﾀ(05.7～)"/>
      <sheetName val="MTRX96"/>
      <sheetName val="NWEA1180"/>
      <sheetName val="原単位表"/>
      <sheetName val="Regional Penetration"/>
      <sheetName val="７月発注分 (VLOOK)"/>
      <sheetName val="DBS040_RPT.RPT"/>
      <sheetName val="Plate_Bumper"/>
      <sheetName val="Plate_Bumper (Summary)"/>
      <sheetName val="PP_LETTER"/>
      <sheetName val="Inpanel"/>
      <sheetName val="Interior Trim"/>
      <sheetName val="Assumptions"/>
      <sheetName val="2005 TKM"/>
      <sheetName val="進度管理表"/>
      <sheetName val="AS"/>
      <sheetName val="FAD Sum"/>
      <sheetName val="Medium"/>
      <sheetName val="Small"/>
      <sheetName val="TR"/>
      <sheetName val="542F"/>
      <sheetName val="投資･工数推移"/>
      <sheetName val="推移"/>
      <sheetName val="RMBSS's Triggered"/>
      <sheetName val="?"/>
      <sheetName val="Avanza"/>
      <sheetName val="Hiace"/>
      <sheetName val="Comm CKD"/>
      <sheetName val="Alphard"/>
      <sheetName val="CPF"/>
      <sheetName val="Parts"/>
      <sheetName val="編集"/>
      <sheetName val="97RAW"/>
      <sheetName val="costing"/>
      <sheetName val="TMMI"/>
      <sheetName val="PAIData"/>
      <sheetName val="諸元表STR58043"/>
      <sheetName val="dongia (2)"/>
      <sheetName val="工数データ"/>
      <sheetName val="S-PLAN"/>
      <sheetName val="①評価項目_メーカー"/>
      <sheetName val="MOTO"/>
      <sheetName val="GMT900 IPC"/>
      <sheetName val="610L611L品番一覧"/>
      <sheetName val="【Input】見積基礎情報（海外生産分)"/>
      <sheetName val="IM-P-L-JB "/>
      <sheetName val="image"/>
      <sheetName val="車両仕様 _x005f_x0000__x005f_x0000___x005f_x0012__瞳_"/>
      <sheetName val="車両仕様_x005f_x0000_4__x005f_x0000__x005f_x0000__x00"/>
      <sheetName val="車両仕様_x005f_x0000_ New02㾐"/>
      <sheetName val="車両仕様_x005f_x0000__x005f_x0000__x005f_x0000_ꎨ_x001"/>
      <sheetName val="車両仕様 ____x005f_x0012__瞳_"/>
      <sheetName val="車両仕様_4____x005f_x0011___"/>
      <sheetName val="車両仕様___ꎨ_x005f_x0012_窉瞳㾐"/>
      <sheetName val="車両仕様_4___x005f_x0011__"/>
      <sheetName val="車両仕様4___x005f_x0011__"/>
      <sheetName val="車両仕様 __x005f_x0012__瞳_"/>
      <sheetName val="性能"/>
      <sheetName val="部品"/>
      <sheetName val="FOList"/>
      <sheetName val="WIP Cal Sheet"/>
      <sheetName val="HORAS_TRAB"/>
      <sheetName val="Resumo_Corolla"/>
      <sheetName val="GASTOS_COROLLA"/>
      <sheetName val="Sheet2"/>
      <sheetName val="NAME"/>
      <sheetName val="ｂB"/>
      <sheetName val="ｶﾛｰﾗ（1）"/>
      <sheetName val="表紙(代表者)"/>
      <sheetName val="TOTAL"/>
      <sheetName val="Proto"/>
      <sheetName val="テーブル"/>
      <sheetName val="６２３Ｔ"/>
      <sheetName val="商品力向上"/>
      <sheetName val="車両仕様_x0000_4?_x0000__x0000_ _x0000__x0000_"/>
      <sheetName val="車両仕様 _x0000__x0000_? ?瞳?"/>
      <sheetName val="車両仕様_x0000__x0000__x0000_ꎨ 窉瞳㾐"/>
      <sheetName val="車両仕様?4??? ??"/>
      <sheetName val="車両仕様 ??? ?瞳?"/>
      <sheetName val="車両仕様???ꎨ 窉瞳㾐"/>
      <sheetName val="車両仕様?4?? ?"/>
      <sheetName val="車両仕様4?? ?"/>
      <sheetName val="車両仕様 _ _瞳_"/>
      <sheetName val="車両仕様 ___ _瞳_"/>
      <sheetName val="車両仕様_4___ __"/>
      <sheetName val="車両仕様___ꎨ 窉瞳㾐"/>
      <sheetName val="車両仕様_4__ _"/>
      <sheetName val="車両仕様4__ _"/>
      <sheetName val="Master Updated(517)"/>
      <sheetName val="545N仕様ﾗﾌ2"/>
      <sheetName val="Supp.List"/>
      <sheetName val="ＦＣ～FT"/>
      <sheetName val="Risk &amp; Opps"/>
      <sheetName val="長計対比"/>
      <sheetName val="NCastalone"/>
      <sheetName val="6770T02"/>
      <sheetName val="加工費"/>
      <sheetName val="車両仕様 嗼1嗼1噌1鲌"/>
      <sheetName val="車両仕様 勜+勜+匬+鲌"/>
      <sheetName val=" PART 479W LHD"/>
      <sheetName val=" PART MYY5A"/>
      <sheetName val="DUTRO"/>
      <sheetName val="Y230"/>
      <sheetName val="MASTER"/>
      <sheetName val="Volumes"/>
      <sheetName val="ﾌﾟﾙﾀﾞｳﾝﾒﾆｭｰ"/>
      <sheetName val="08TMME"/>
      <sheetName val="見積一覧（１案）"/>
      <sheetName val="Reference "/>
      <sheetName val="車両仕様 _x005f_x0000__x005f_x0000_?_x005f_x0012_?瞳?"/>
      <sheetName val="車両仕様_x005f_x0000_4?_x005f_x0000__x005f_x0000__x00"/>
      <sheetName val="車両仕様?4???_x005f_x0011_??"/>
      <sheetName val="車両仕様 ???_x005f_x0012_?瞳?"/>
      <sheetName val="車両仕様???ꎨ_x005f_x0012_窉瞳㾐"/>
      <sheetName val="車両仕様?4??_x005f_x0011_?"/>
      <sheetName val="車両仕様4??_x005f_x0011_?"/>
      <sheetName val="A"/>
      <sheetName val="Tables"/>
      <sheetName val="Pricing overview"/>
      <sheetName val="駆動系1"/>
      <sheetName val="４-２．151項目累積（日本）"/>
      <sheetName val="５-２．151項目累積（北米）"/>
      <sheetName val="５-１．151項目詳細（北米）"/>
      <sheetName val="Main 2"/>
      <sheetName val="Datasheet from R. Hinds"/>
      <sheetName val="ED AND EDOV"/>
      <sheetName val="④要素記号一覧表"/>
      <sheetName val="_"/>
      <sheetName val="START"/>
      <sheetName val="Blue Flag"/>
      <sheetName val="Calc Sheet Budget"/>
      <sheetName val="(5)Individual_DM"/>
      <sheetName val="VCPT"/>
      <sheetName val="promo lists 2011"/>
      <sheetName val="HHB90007_DAT"/>
      <sheetName val="Previous"/>
      <sheetName val="帳票拡大"/>
      <sheetName val="車両仕様_x005f_x0000_4__x005f_x0000__x005f_x0011__x00"/>
      <sheetName val="車両仕様4__x005f_x0000__x005f_x0011__x005f_x0000_"/>
      <sheetName val="車両仕様 _x005f_x005f_x005f_x0000__x005f_x005f_x005f_x0000_"/>
      <sheetName val="車両仕様_x005f_x005f_x005f_x0000_4__x005f_x005f_x0000"/>
      <sheetName val="車両仕様_x005f_x005f_x005f_x0000_ New02㾐"/>
      <sheetName val="車両仕様_x005f_x005f_x005f_x0000__x005f_x005f_x005f_x0000__"/>
      <sheetName val="車両仕様 __x005f_x005f_x005f_x0012__瞳_"/>
      <sheetName val="車両仕様4__x005f_x005f_x005f_x0000__x005f_x005f_x0011"/>
      <sheetName val="車両仕様_4____x005f_x005f_x005f_x0011___"/>
      <sheetName val="車両仕様 ____x005f_x005f_x005f_x0012__瞳_"/>
      <sheetName val="車両仕様___ꎨ_x005f_x005f_x005f_x0012_窉瞳㾐"/>
      <sheetName val="車両仕様_4___x005f_x005f_x005f_x0011__"/>
      <sheetName val="車両仕様4___x005f_x005f_x005f_x0011__"/>
      <sheetName val="車両仕様 _x005f_x005f_x005f_x005f_x005f_x005f_x005f_x0000__"/>
      <sheetName val="車両仕様_x005f_x005f_x005f_x005f_x005f_x005f_x005f_x0000_4_"/>
      <sheetName val="車両仕様_x005f_x005f_x005f_x005f_x005f_x005f_x005f_x0000_ N"/>
      <sheetName val="車両仕様_x005f_x005f_x005f_x005f_x005f_x005f_x005f_x0000__x"/>
      <sheetName val="車両仕様 __x005f_x005f_x005f_x005f_x005f_x005f_x005f_x0012_"/>
      <sheetName val="車両仕様4__x005f_x005f_x005f_x005f_x005f_x005f_x005f_x0000_"/>
      <sheetName val="車両仕様_4____x005f_x005f_x005f_x005f_x005f_x005f_x00"/>
      <sheetName val="車両仕様 ____x005f_x005f_x005f_x005f_x005f_x005f_x001"/>
      <sheetName val="車両仕様___ꎨ_x005f_x005f_x005f_x005f_x005f_x005f_x001"/>
      <sheetName val="車両仕様_4___x005f_x005f_x005f_x005f_x005f_x005f_x001"/>
      <sheetName val="車両仕様4___x005f_x005f_x005f_x005f_x005f_x005f_x0011"/>
      <sheetName val="EFFY_MAZDA"/>
      <sheetName val="NON-FLEET"/>
      <sheetName val="車両仕様_x0000__x0000_毛_x0000_利_x0000__x0000__x0000_"/>
      <sheetName val="車両仕様_x0000_ᵣ逰ᵣ邀ᵣ郰ᵣ"/>
      <sheetName val="車両仕様??毛?利???"/>
      <sheetName val="車両仕様?ᵣ逰ᵣ邀ᵣ郰ᵣ"/>
      <sheetName val="REQUEST_TABLE"/>
      <sheetName val="車両仕様__毛_利___"/>
      <sheetName val="車両仕様_ᵣ逰ᵣ邀ᵣ郰ᵣ"/>
      <sheetName val="PRICE LIST"/>
      <sheetName val="Idx"/>
      <sheetName val="Lookup Table"/>
      <sheetName val="sebelumCR"/>
      <sheetName val="ass'y 12'04-05'05"/>
      <sheetName val="PCD"/>
      <sheetName val="PR"/>
      <sheetName val="393.N"/>
      <sheetName val="CæÊ _x0015_ Op"/>
      <sheetName val="ƒƒCƒ“‰æ–Ê _x0015_ Op"/>
      <sheetName val="メイン画面 _x0015_ Op"/>
      <sheetName val="part"/>
      <sheetName val="797T輸入部品リスト"/>
      <sheetName val="OP-PD"/>
      <sheetName val="CALC"/>
      <sheetName val="設品表01-3-23作成"/>
      <sheetName val="wire"/>
      <sheetName val="EquipmentTrimming Cabin NS"/>
      <sheetName val="設定"/>
      <sheetName val="paramètres"/>
      <sheetName val="C-2"/>
      <sheetName val="他"/>
      <sheetName val="GPP損益実績"/>
      <sheetName val="OTHERS x620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ＣＡＭＹ　ＭⅢ"/>
      <sheetName val="JY134J"/>
      <sheetName val="PA2000"/>
      <sheetName val="ﾘｽﾄ"/>
      <sheetName val="No12 營業成本表 cost1"/>
      <sheetName val="車両仕様 _x005f_x005f_x005f_x005f_x005f_x005f_x005f_x005f_x"/>
      <sheetName val="車両仕様_x005f_x005f_x005f_x005f_x005f_x005f_x005f_x005f_x0"/>
      <sheetName val="車両仕様 __x005f_x005f_x005f_x005f_x005f_x005f_x005f_x005f_"/>
      <sheetName val="車両仕様4__x005f_x005f_x005f_x005f_x005f_x005f_x005f_x005f_"/>
      <sheetName val="車両仕様 ____x005f_x005f_x005f_x005f_x005f_x005f_x005"/>
      <sheetName val="車両仕様___ꎨ_x005f_x005f_x005f_x005f_x005f_x005f_x005"/>
      <sheetName val="車両仕様_4___x005f_x005f_x005f_x005f_x005f_x005f_x005"/>
      <sheetName val="車両仕様4___x005f_x005f_x005f_x005f_x005f_x005f_x005f"/>
      <sheetName val="車両仕様_x0000_4__x0000__x0000__x00"/>
      <sheetName val="車両仕様_x0000__x0000__x0000_ꎨ_x001"/>
      <sheetName val="車両仕様_x0000_4__x0000__x0011__x00"/>
      <sheetName val="車両仕様4__x0000__x0011__x0000_"/>
      <sheetName val="車両仕様 _x005f_x0000__x005f_x0000_"/>
      <sheetName val="車両仕様_x005f_x0000_4__x0000"/>
      <sheetName val="車両仕様_x005f_x0000__x005f_x0000__"/>
      <sheetName val="車両仕様4__x005f_x0000__x0011"/>
      <sheetName val="車両仕様 _x005f_x005f_x005f_x0000__"/>
      <sheetName val="車両仕様_x005f_x005f_x005f_x0000_4_"/>
      <sheetName val="車両仕様_x005f_x005f_x005f_x0000_ N"/>
      <sheetName val="車両仕様_x005f_x005f_x005f_x0000__x"/>
      <sheetName val="車両仕様 __x005f_x005f_x005f_x0012_"/>
      <sheetName val="車両仕様4__x005f_x005f_x005f_x0000_"/>
      <sheetName val="車両仕様_4____x005f_x005f_x00"/>
      <sheetName val="車両仕様 ____x005f_x005f_x001"/>
      <sheetName val="車両仕様___ꎨ_x005f_x005f_x001"/>
      <sheetName val="車両仕様_4___x005f_x005f_x001"/>
      <sheetName val="車両仕様4___x005f_x005f_x0011"/>
      <sheetName val="車両仕様 _x005f_x005f_x005f_x005f_x"/>
      <sheetName val="車両仕様_x005f_x005f_x005f_x005f_x0"/>
      <sheetName val="車両仕様 __x005f_x005f_x005f_x005f_"/>
      <sheetName val="車両仕様4__x005f_x005f_x005f_x005f_"/>
      <sheetName val="車両仕様 ____x005f_x005f_x005"/>
      <sheetName val="車両仕様___ꎨ_x005f_x005f_x005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ﾘｽﾄ"/>
      <sheetName val="詳細図2（車体）"/>
      <sheetName val="購入品"/>
      <sheetName val="VIS20060928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ソーター登録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table"/>
      <sheetName val="ｱﾛｰﾏｰｸ他"/>
      <sheetName val="車両仕様"/>
      <sheetName val="※編集禁止"/>
      <sheetName val="表紙(代表者)"/>
    </sheetNames>
    <definedNames>
      <definedName name="印刷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小島"/>
      <sheetName val="ｱﾛｰﾏｰｸ他"/>
      <sheetName val="table"/>
    </sheetNames>
    <definedNames>
      <definedName name="印刷1"/>
      <definedName name="開く目次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産"/>
      <sheetName val="終了分"/>
      <sheetName val="ﾗｲﾝ別ｵｰﾀﾞ一覧(CBU)"/>
      <sheetName val="ﾗｲﾝ別ｵｰﾀﾞ一覧（旧）"/>
      <sheetName val="V･I加工用"/>
      <sheetName val="織機302"/>
      <sheetName val="高岡第2"/>
      <sheetName val="高岡第1"/>
      <sheetName val="配車"/>
      <sheetName val="生産-配車差"/>
      <sheetName val="NBC生配差"/>
      <sheetName val="メモ"/>
      <sheetName val="906N1"/>
      <sheetName val="980N"/>
      <sheetName val="010L(302)Jan."/>
      <sheetName val="010L(1TS)Jan."/>
      <sheetName val="010L(302)Aug."/>
      <sheetName val="010L(1TS)Aug."/>
      <sheetName val="110L"/>
      <sheetName val="年計貼り付け"/>
      <sheetName val="Module1"/>
      <sheetName val="ＷＨ資材"/>
      <sheetName val="03修正コンパクト2"/>
      <sheetName val="基本情報"/>
      <sheetName val="797T輸入部品リスト"/>
      <sheetName val="④手配計画書"/>
    </sheetNames>
    <sheetDataSet>
      <sheetData sheetId="0" refreshError="1">
        <row r="12">
          <cell r="AC12" t="str">
            <v>（ライン別）</v>
          </cell>
          <cell r="AF12" t="str">
            <v>５．コンパクト（NBC系）２００３年修正生産年計</v>
          </cell>
        </row>
        <row r="14">
          <cell r="AF14" t="str">
            <v>2直</v>
          </cell>
          <cell r="AG14">
            <v>21</v>
          </cell>
        </row>
        <row r="15">
          <cell r="AF15" t="str">
            <v>1直</v>
          </cell>
          <cell r="AG15">
            <v>21</v>
          </cell>
        </row>
        <row r="16">
          <cell r="AG16">
            <v>37622</v>
          </cell>
        </row>
        <row r="19">
          <cell r="AC19" t="str">
            <v>高岡第２</v>
          </cell>
          <cell r="AG19">
            <v>0</v>
          </cell>
        </row>
        <row r="20">
          <cell r="AD20" t="str">
            <v>日当たり</v>
          </cell>
          <cell r="AG20">
            <v>0</v>
          </cell>
        </row>
        <row r="21">
          <cell r="AC21" t="str">
            <v>輸 エコー</v>
          </cell>
          <cell r="AG21">
            <v>0</v>
          </cell>
        </row>
        <row r="22">
          <cell r="AD22" t="str">
            <v>日当たり</v>
          </cell>
          <cell r="AG22">
            <v>0</v>
          </cell>
        </row>
        <row r="23">
          <cell r="AC23" t="str">
            <v>国 ファンカーゴ</v>
          </cell>
          <cell r="AG23">
            <v>0</v>
          </cell>
        </row>
        <row r="24">
          <cell r="AC24" t="str">
            <v>輸 ヤリスヴァーソ</v>
          </cell>
          <cell r="AG24">
            <v>0</v>
          </cell>
        </row>
        <row r="25">
          <cell r="AC25" t="str">
            <v>車名</v>
          </cell>
          <cell r="AG25">
            <v>0</v>
          </cell>
        </row>
        <row r="26">
          <cell r="AD26" t="str">
            <v>日当たり</v>
          </cell>
          <cell r="AG26">
            <v>0</v>
          </cell>
        </row>
        <row r="27">
          <cell r="AC27" t="str">
            <v>国 ｂＢ</v>
          </cell>
          <cell r="AG27">
            <v>0</v>
          </cell>
        </row>
        <row r="28">
          <cell r="AC28" t="str">
            <v>輸 ｂＢ</v>
          </cell>
          <cell r="AG28">
            <v>0</v>
          </cell>
        </row>
        <row r="29">
          <cell r="AC29" t="str">
            <v>車名</v>
          </cell>
          <cell r="AG29">
            <v>0</v>
          </cell>
        </row>
        <row r="30">
          <cell r="AD30" t="str">
            <v>日当たり</v>
          </cell>
          <cell r="AG30">
            <v>0</v>
          </cell>
        </row>
        <row r="31">
          <cell r="AC31" t="str">
            <v>国 ９０６Ｎ</v>
          </cell>
          <cell r="AG31">
            <v>0</v>
          </cell>
        </row>
        <row r="32">
          <cell r="AD32" t="str">
            <v>日当たり</v>
          </cell>
          <cell r="AG32">
            <v>0</v>
          </cell>
        </row>
        <row r="33">
          <cell r="AC33" t="str">
            <v>国 ９８０Ｎ</v>
          </cell>
          <cell r="AG33">
            <v>0</v>
          </cell>
        </row>
        <row r="34">
          <cell r="AD34" t="str">
            <v>日当たり</v>
          </cell>
          <cell r="AG34">
            <v>0</v>
          </cell>
        </row>
        <row r="37">
          <cell r="AC37" t="str">
            <v>高岡第１</v>
          </cell>
          <cell r="AG37">
            <v>0</v>
          </cell>
        </row>
        <row r="38">
          <cell r="AD38" t="str">
            <v>日当たり</v>
          </cell>
          <cell r="AG38">
            <v>0</v>
          </cell>
        </row>
        <row r="39">
          <cell r="AC39" t="str">
            <v>国 ヴィッツ</v>
          </cell>
          <cell r="AG39">
            <v>0</v>
          </cell>
        </row>
        <row r="40">
          <cell r="AC40" t="str">
            <v>輸 ヤリス</v>
          </cell>
          <cell r="AG40">
            <v>0</v>
          </cell>
        </row>
        <row r="41">
          <cell r="AC41" t="str">
            <v>０５０N</v>
          </cell>
          <cell r="AG41">
            <v>0</v>
          </cell>
        </row>
        <row r="42">
          <cell r="AD42" t="str">
            <v>日当たり</v>
          </cell>
          <cell r="AG42">
            <v>0</v>
          </cell>
        </row>
        <row r="43">
          <cell r="AC43" t="str">
            <v>国 プラッツ</v>
          </cell>
          <cell r="AG43">
            <v>0</v>
          </cell>
        </row>
        <row r="44">
          <cell r="AC44" t="str">
            <v>輸 エコー</v>
          </cell>
          <cell r="AG44">
            <v>0</v>
          </cell>
        </row>
        <row r="45">
          <cell r="AC45" t="str">
            <v>０８０N</v>
          </cell>
          <cell r="AG45">
            <v>0</v>
          </cell>
        </row>
        <row r="46">
          <cell r="AD46" t="str">
            <v>日当たり</v>
          </cell>
          <cell r="AG46">
            <v>0</v>
          </cell>
        </row>
        <row r="47">
          <cell r="AC47" t="str">
            <v>国 イスト</v>
          </cell>
          <cell r="AG47">
            <v>0</v>
          </cell>
        </row>
        <row r="48">
          <cell r="AC48" t="str">
            <v>輸 イスト</v>
          </cell>
          <cell r="AG48">
            <v>0</v>
          </cell>
        </row>
        <row r="49">
          <cell r="AC49" t="str">
            <v>７１８N</v>
          </cell>
          <cell r="AG49">
            <v>0</v>
          </cell>
        </row>
        <row r="50">
          <cell r="AD50" t="str">
            <v>日当たり</v>
          </cell>
          <cell r="AG50">
            <v>0</v>
          </cell>
        </row>
        <row r="53">
          <cell r="AC53" t="str">
            <v>織機３０２</v>
          </cell>
          <cell r="AG53">
            <v>0</v>
          </cell>
        </row>
        <row r="54">
          <cell r="AD54" t="str">
            <v>日当たり</v>
          </cell>
          <cell r="AG54">
            <v>0</v>
          </cell>
        </row>
        <row r="55">
          <cell r="AC55" t="str">
            <v>国 オープンデッキ</v>
          </cell>
          <cell r="AG55">
            <v>0</v>
          </cell>
        </row>
        <row r="56">
          <cell r="AD56" t="str">
            <v>日当たり</v>
          </cell>
          <cell r="AG56">
            <v>0</v>
          </cell>
        </row>
        <row r="57">
          <cell r="AC57" t="str">
            <v>国 ヴィッツ</v>
          </cell>
          <cell r="AG57">
            <v>0</v>
          </cell>
        </row>
        <row r="58">
          <cell r="AC58" t="str">
            <v>輸 ヤリス</v>
          </cell>
          <cell r="AG58">
            <v>0</v>
          </cell>
        </row>
        <row r="59">
          <cell r="AC59" t="str">
            <v>０５０N</v>
          </cell>
          <cell r="AG59">
            <v>0</v>
          </cell>
        </row>
        <row r="60">
          <cell r="AD60" t="str">
            <v>日当たり</v>
          </cell>
          <cell r="AG60">
            <v>0</v>
          </cell>
        </row>
        <row r="61">
          <cell r="AC61" t="str">
            <v>（車名別）</v>
          </cell>
        </row>
        <row r="62">
          <cell r="AC62" t="str">
            <v>国 ヴィッツ</v>
          </cell>
          <cell r="AG62">
            <v>0</v>
          </cell>
        </row>
        <row r="63">
          <cell r="AC63" t="str">
            <v>輸 ヤリス</v>
          </cell>
          <cell r="AG63">
            <v>0</v>
          </cell>
        </row>
        <row r="64">
          <cell r="AC64" t="str">
            <v>０５０N</v>
          </cell>
          <cell r="AG64">
            <v>0</v>
          </cell>
        </row>
        <row r="65">
          <cell r="AD65" t="str">
            <v>日当たり</v>
          </cell>
          <cell r="AG65">
            <v>0</v>
          </cell>
        </row>
        <row r="66">
          <cell r="AC66" t="str">
            <v>国 プラッツ</v>
          </cell>
          <cell r="AG66">
            <v>0</v>
          </cell>
        </row>
        <row r="67">
          <cell r="AC67" t="str">
            <v>輸 エコー</v>
          </cell>
          <cell r="AG67">
            <v>0</v>
          </cell>
        </row>
        <row r="68">
          <cell r="AC68" t="str">
            <v>０８０Ｎ</v>
          </cell>
          <cell r="AG68">
            <v>0</v>
          </cell>
        </row>
        <row r="69">
          <cell r="AD69" t="str">
            <v>日当たり</v>
          </cell>
          <cell r="AG69">
            <v>0</v>
          </cell>
        </row>
        <row r="70">
          <cell r="AC70" t="str">
            <v>国 イスト</v>
          </cell>
          <cell r="AG70">
            <v>0</v>
          </cell>
        </row>
        <row r="71">
          <cell r="AC71" t="str">
            <v>輸 イスト</v>
          </cell>
          <cell r="AG71">
            <v>0</v>
          </cell>
        </row>
        <row r="72">
          <cell r="AC72" t="str">
            <v>７１８Ｎ</v>
          </cell>
          <cell r="AG72">
            <v>0</v>
          </cell>
        </row>
        <row r="73">
          <cell r="AD73" t="str">
            <v>日当たり</v>
          </cell>
          <cell r="AG73">
            <v>0</v>
          </cell>
        </row>
        <row r="74">
          <cell r="AC74" t="str">
            <v>国 ファンカーゴ</v>
          </cell>
          <cell r="AG74">
            <v>0</v>
          </cell>
        </row>
        <row r="75">
          <cell r="AC75" t="str">
            <v>輸 ヤリスヴァーソ</v>
          </cell>
          <cell r="AG75">
            <v>0</v>
          </cell>
        </row>
        <row r="76">
          <cell r="AC76" t="str">
            <v>０８０Ｎ</v>
          </cell>
          <cell r="AG76">
            <v>0</v>
          </cell>
        </row>
        <row r="77">
          <cell r="AD77" t="str">
            <v>日当たり</v>
          </cell>
          <cell r="AG77">
            <v>0</v>
          </cell>
        </row>
        <row r="78">
          <cell r="AC78" t="str">
            <v>国 ｂＢ</v>
          </cell>
          <cell r="AG78">
            <v>0</v>
          </cell>
        </row>
        <row r="79">
          <cell r="AC79" t="str">
            <v>輸 ｂＢ</v>
          </cell>
          <cell r="AG79">
            <v>0</v>
          </cell>
        </row>
        <row r="80">
          <cell r="AC80" t="str">
            <v>車名</v>
          </cell>
          <cell r="AG80">
            <v>0</v>
          </cell>
        </row>
        <row r="81">
          <cell r="AD81" t="str">
            <v>日当たり</v>
          </cell>
          <cell r="AG81">
            <v>0</v>
          </cell>
        </row>
        <row r="82">
          <cell r="AC82" t="str">
            <v>国 オープンデッキ</v>
          </cell>
          <cell r="AG82">
            <v>0</v>
          </cell>
        </row>
        <row r="83">
          <cell r="AD83" t="str">
            <v>日当たり</v>
          </cell>
          <cell r="AG83">
            <v>0</v>
          </cell>
        </row>
        <row r="84">
          <cell r="AC84" t="str">
            <v>国 ９０６Ｎ</v>
          </cell>
          <cell r="AG84">
            <v>0</v>
          </cell>
        </row>
        <row r="85">
          <cell r="AD85" t="str">
            <v>日当たり</v>
          </cell>
          <cell r="AG85">
            <v>0</v>
          </cell>
        </row>
        <row r="86">
          <cell r="AC86" t="str">
            <v>国 ９８０Ｎ</v>
          </cell>
          <cell r="AG86">
            <v>0</v>
          </cell>
        </row>
        <row r="87">
          <cell r="AD87" t="str">
            <v>日当たり</v>
          </cell>
          <cell r="AG87">
            <v>0</v>
          </cell>
        </row>
        <row r="89">
          <cell r="AC89" t="str">
            <v>国</v>
          </cell>
          <cell r="AE89" t="str">
            <v>国内合計</v>
          </cell>
          <cell r="AG89">
            <v>0</v>
          </cell>
        </row>
        <row r="90">
          <cell r="AD90" t="str">
            <v>日当たり</v>
          </cell>
          <cell r="AG90">
            <v>0</v>
          </cell>
        </row>
        <row r="91">
          <cell r="AC91" t="str">
            <v>輸</v>
          </cell>
          <cell r="AE91" t="str">
            <v>輸出合計</v>
          </cell>
          <cell r="AG91">
            <v>0</v>
          </cell>
        </row>
        <row r="92">
          <cell r="AD92" t="str">
            <v>日当たり</v>
          </cell>
          <cell r="AG9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関係部署案内"/>
    </sheetNames>
    <definedNames>
      <definedName name="表紙へ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4B4E-53F6-428E-8B6D-74DAE2111E73}">
  <dimension ref="B2:V30"/>
  <sheetViews>
    <sheetView showGridLines="0" workbookViewId="0">
      <selection activeCell="K13" sqref="K13"/>
    </sheetView>
  </sheetViews>
  <sheetFormatPr defaultRowHeight="15" x14ac:dyDescent="0.25"/>
  <cols>
    <col min="1" max="1" width="1.7109375" style="13" customWidth="1"/>
    <col min="2" max="2" width="5.7109375" style="22" customWidth="1"/>
    <col min="3" max="3" width="20.7109375" style="13" customWidth="1"/>
    <col min="4" max="4" width="33.7109375" style="13" customWidth="1"/>
    <col min="5" max="5" width="40.7109375" style="13" customWidth="1"/>
    <col min="6" max="7" width="15.7109375" style="23" customWidth="1"/>
    <col min="8" max="8" width="15.7109375" style="13" customWidth="1"/>
    <col min="9" max="9" width="15.7109375" style="23" customWidth="1"/>
    <col min="10" max="10" width="5.7109375" style="13" customWidth="1"/>
    <col min="11" max="13" width="18.7109375" style="37" customWidth="1"/>
    <col min="14" max="20" width="18.7109375" style="38" customWidth="1"/>
    <col min="21" max="22" width="15.7109375" style="38" customWidth="1"/>
    <col min="23" max="30" width="15.7109375" style="13" customWidth="1"/>
    <col min="31" max="16384" width="9.140625" style="13"/>
  </cols>
  <sheetData>
    <row r="2" spans="2:22" ht="23.1" hidden="1" customHeight="1" x14ac:dyDescent="0.25">
      <c r="B2" s="28" t="s">
        <v>66</v>
      </c>
    </row>
    <row r="3" spans="2:22" s="1" customFormat="1" ht="16.5" hidden="1" x14ac:dyDescent="0.25">
      <c r="B3" s="104" t="s">
        <v>0</v>
      </c>
      <c r="C3" s="104" t="s">
        <v>62</v>
      </c>
      <c r="D3" s="107" t="s">
        <v>65</v>
      </c>
      <c r="E3" s="107"/>
      <c r="F3" s="15" t="s">
        <v>11</v>
      </c>
      <c r="G3" s="15" t="s">
        <v>72</v>
      </c>
      <c r="H3" s="15" t="s">
        <v>73</v>
      </c>
      <c r="I3" s="29"/>
      <c r="K3" s="39"/>
      <c r="L3" s="39"/>
      <c r="M3" s="39"/>
      <c r="N3" s="40"/>
      <c r="O3" s="40"/>
      <c r="P3" s="40"/>
      <c r="Q3" s="40"/>
      <c r="R3" s="40"/>
      <c r="S3" s="40"/>
      <c r="T3" s="40"/>
      <c r="U3" s="40"/>
      <c r="V3" s="40"/>
    </row>
    <row r="4" spans="2:22" s="1" customFormat="1" ht="17.25" hidden="1" thickBot="1" x14ac:dyDescent="0.3">
      <c r="B4" s="105"/>
      <c r="C4" s="105"/>
      <c r="D4" s="26" t="s">
        <v>77</v>
      </c>
      <c r="E4" s="26" t="s">
        <v>12</v>
      </c>
      <c r="F4" s="27" t="s">
        <v>74</v>
      </c>
      <c r="G4" s="27" t="s">
        <v>71</v>
      </c>
      <c r="H4" s="30" t="s">
        <v>88</v>
      </c>
      <c r="I4" s="31" t="s">
        <v>87</v>
      </c>
      <c r="K4" s="39"/>
      <c r="L4" s="39"/>
      <c r="M4" s="39"/>
      <c r="N4" s="40"/>
      <c r="O4" s="40"/>
      <c r="P4" s="40"/>
      <c r="Q4" s="40"/>
      <c r="R4" s="40"/>
      <c r="S4" s="40"/>
      <c r="T4" s="40"/>
      <c r="U4" s="40"/>
      <c r="V4" s="40"/>
    </row>
    <row r="5" spans="2:22" ht="15.75" hidden="1" thickTop="1" x14ac:dyDescent="0.25">
      <c r="B5" s="20">
        <v>1</v>
      </c>
      <c r="C5" s="21" t="s">
        <v>81</v>
      </c>
      <c r="D5" s="21" t="s">
        <v>84</v>
      </c>
      <c r="E5" s="21" t="s">
        <v>83</v>
      </c>
      <c r="F5" s="108">
        <v>4</v>
      </c>
      <c r="G5" s="108">
        <f>+H5*F5</f>
        <v>7826000</v>
      </c>
      <c r="H5" s="110">
        <v>1956500</v>
      </c>
      <c r="I5" s="108" t="s">
        <v>3</v>
      </c>
      <c r="L5" s="106"/>
      <c r="M5" s="106"/>
      <c r="N5" s="106"/>
    </row>
    <row r="6" spans="2:22" hidden="1" x14ac:dyDescent="0.25">
      <c r="B6" s="16">
        <v>3</v>
      </c>
      <c r="C6" s="17" t="s">
        <v>82</v>
      </c>
      <c r="D6" s="17" t="s">
        <v>85</v>
      </c>
      <c r="E6" s="17" t="s">
        <v>83</v>
      </c>
      <c r="F6" s="109"/>
      <c r="G6" s="109"/>
      <c r="H6" s="111"/>
      <c r="I6" s="109"/>
      <c r="L6" s="106"/>
      <c r="M6" s="106"/>
      <c r="N6" s="106"/>
    </row>
    <row r="7" spans="2:22" hidden="1" x14ac:dyDescent="0.25">
      <c r="B7" s="16">
        <v>3</v>
      </c>
      <c r="C7" s="17" t="s">
        <v>5</v>
      </c>
      <c r="D7" s="17" t="s">
        <v>86</v>
      </c>
      <c r="E7" s="17" t="s">
        <v>83</v>
      </c>
      <c r="F7" s="24">
        <v>4</v>
      </c>
      <c r="G7" s="24">
        <v>5640000</v>
      </c>
      <c r="H7" s="33">
        <f>+G7/F7</f>
        <v>1410000</v>
      </c>
      <c r="I7" s="34">
        <f>+H7/2</f>
        <v>705000</v>
      </c>
      <c r="K7" s="37">
        <f>705000*2*4</f>
        <v>5640000</v>
      </c>
    </row>
    <row r="8" spans="2:22" hidden="1" x14ac:dyDescent="0.25"/>
    <row r="10" spans="2:22" ht="23.1" customHeight="1" x14ac:dyDescent="0.25">
      <c r="B10" s="28" t="s">
        <v>80</v>
      </c>
    </row>
    <row r="11" spans="2:22" s="1" customFormat="1" ht="16.5" x14ac:dyDescent="0.25">
      <c r="B11" s="104" t="s">
        <v>0</v>
      </c>
      <c r="C11" s="104" t="s">
        <v>62</v>
      </c>
      <c r="D11" s="107" t="s">
        <v>65</v>
      </c>
      <c r="E11" s="107"/>
      <c r="F11" s="15" t="s">
        <v>11</v>
      </c>
      <c r="G11" s="15" t="s">
        <v>72</v>
      </c>
      <c r="H11" s="15" t="s">
        <v>73</v>
      </c>
      <c r="I11" s="29"/>
      <c r="K11" s="39"/>
      <c r="L11" s="39"/>
      <c r="M11" s="39"/>
      <c r="N11" s="40"/>
      <c r="O11" s="40"/>
      <c r="P11" s="40"/>
      <c r="Q11" s="40"/>
      <c r="R11" s="40"/>
      <c r="S11" s="40"/>
      <c r="T11" s="40"/>
      <c r="U11" s="40"/>
      <c r="V11" s="40"/>
    </row>
    <row r="12" spans="2:22" s="1" customFormat="1" ht="26.25" thickBot="1" x14ac:dyDescent="0.3">
      <c r="B12" s="105"/>
      <c r="C12" s="105"/>
      <c r="D12" s="26" t="s">
        <v>77</v>
      </c>
      <c r="E12" s="26" t="s">
        <v>12</v>
      </c>
      <c r="F12" s="27" t="s">
        <v>89</v>
      </c>
      <c r="G12" s="27" t="s">
        <v>71</v>
      </c>
      <c r="H12" s="32" t="s">
        <v>88</v>
      </c>
      <c r="I12" s="31" t="s">
        <v>87</v>
      </c>
      <c r="K12" s="39"/>
      <c r="L12" s="39"/>
      <c r="M12" s="39"/>
      <c r="N12" s="40"/>
      <c r="O12" s="40"/>
      <c r="P12" s="40"/>
      <c r="Q12" s="40"/>
      <c r="R12" s="40"/>
      <c r="S12" s="40"/>
      <c r="T12" s="40"/>
      <c r="U12" s="40"/>
      <c r="V12" s="40"/>
    </row>
    <row r="13" spans="2:22" ht="15.75" thickTop="1" x14ac:dyDescent="0.25">
      <c r="B13" s="20">
        <v>1</v>
      </c>
      <c r="C13" s="21" t="s">
        <v>93</v>
      </c>
      <c r="D13" s="21" t="s">
        <v>67</v>
      </c>
      <c r="E13" s="21" t="s">
        <v>78</v>
      </c>
      <c r="F13" s="25">
        <v>30</v>
      </c>
      <c r="G13" s="25">
        <v>31000000</v>
      </c>
      <c r="H13" s="35">
        <f>+G13/F13</f>
        <v>1033333.3333333334</v>
      </c>
      <c r="I13" s="25" t="s">
        <v>3</v>
      </c>
      <c r="K13" s="37">
        <f>1033333*30</f>
        <v>30999990</v>
      </c>
      <c r="L13" s="106"/>
      <c r="M13" s="106"/>
      <c r="N13" s="106"/>
    </row>
    <row r="14" spans="2:22" x14ac:dyDescent="0.25">
      <c r="B14" s="16">
        <v>2</v>
      </c>
      <c r="C14" s="17" t="s">
        <v>92</v>
      </c>
      <c r="D14" s="17" t="s">
        <v>68</v>
      </c>
      <c r="E14" s="17" t="s">
        <v>78</v>
      </c>
      <c r="F14" s="24">
        <v>30</v>
      </c>
      <c r="G14" s="24">
        <v>4500000</v>
      </c>
      <c r="H14" s="34">
        <f>+G14/F14</f>
        <v>150000</v>
      </c>
      <c r="I14" s="24" t="s">
        <v>3</v>
      </c>
      <c r="K14" s="37">
        <f>150000*30</f>
        <v>4500000</v>
      </c>
      <c r="L14" s="106"/>
      <c r="M14" s="106"/>
      <c r="N14" s="106"/>
    </row>
    <row r="15" spans="2:22" x14ac:dyDescent="0.25">
      <c r="B15" s="18">
        <v>3</v>
      </c>
      <c r="C15" s="19" t="s">
        <v>75</v>
      </c>
      <c r="D15" s="19" t="s">
        <v>76</v>
      </c>
      <c r="E15" s="19" t="s">
        <v>79</v>
      </c>
      <c r="F15" s="43">
        <v>4</v>
      </c>
      <c r="G15" s="43">
        <f>+H15*4</f>
        <v>4104000</v>
      </c>
      <c r="H15" s="44">
        <v>1026000</v>
      </c>
      <c r="I15" s="24" t="s">
        <v>3</v>
      </c>
      <c r="K15" s="37">
        <f>1026000*4</f>
        <v>4104000</v>
      </c>
      <c r="L15" s="42"/>
      <c r="M15" s="42"/>
      <c r="N15" s="41"/>
    </row>
    <row r="16" spans="2:22" x14ac:dyDescent="0.25">
      <c r="B16" s="47"/>
      <c r="C16" s="48"/>
      <c r="D16" s="48"/>
      <c r="E16" s="48"/>
      <c r="F16" s="49"/>
      <c r="G16" s="49"/>
      <c r="H16" s="50"/>
      <c r="L16" s="42"/>
      <c r="M16" s="42"/>
      <c r="N16" s="41"/>
    </row>
    <row r="17" spans="2:9" x14ac:dyDescent="0.25">
      <c r="B17" s="45">
        <v>4</v>
      </c>
      <c r="C17" s="46" t="s">
        <v>5</v>
      </c>
      <c r="D17" s="21" t="s">
        <v>69</v>
      </c>
      <c r="E17" s="21" t="s">
        <v>90</v>
      </c>
      <c r="F17" s="25">
        <f>13*4</f>
        <v>52</v>
      </c>
      <c r="G17" s="112">
        <v>37480000</v>
      </c>
      <c r="H17" s="25">
        <f>+I17/2</f>
        <v>334643</v>
      </c>
      <c r="I17" s="34">
        <v>669286</v>
      </c>
    </row>
    <row r="18" spans="2:9" x14ac:dyDescent="0.25">
      <c r="B18" s="20"/>
      <c r="C18" s="21"/>
      <c r="D18" s="17" t="s">
        <v>70</v>
      </c>
      <c r="E18" s="17" t="s">
        <v>91</v>
      </c>
      <c r="F18" s="24">
        <f>2*2</f>
        <v>4</v>
      </c>
      <c r="G18" s="109"/>
      <c r="H18" s="24">
        <f>+I18/2</f>
        <v>334643</v>
      </c>
      <c r="I18" s="34">
        <v>669286</v>
      </c>
    </row>
    <row r="21" spans="2:9" x14ac:dyDescent="0.25">
      <c r="E21" s="23"/>
    </row>
    <row r="22" spans="2:9" x14ac:dyDescent="0.25">
      <c r="D22" s="51"/>
      <c r="E22" s="52"/>
      <c r="F22" s="52"/>
      <c r="G22" s="52"/>
    </row>
    <row r="23" spans="2:9" x14ac:dyDescent="0.25">
      <c r="E23" s="23"/>
      <c r="H23" s="36"/>
    </row>
    <row r="24" spans="2:9" x14ac:dyDescent="0.25">
      <c r="E24" s="23"/>
      <c r="H24" s="36"/>
    </row>
    <row r="25" spans="2:9" x14ac:dyDescent="0.25">
      <c r="E25" s="23"/>
      <c r="H25" s="36"/>
    </row>
    <row r="26" spans="2:9" x14ac:dyDescent="0.25">
      <c r="E26" s="23"/>
    </row>
    <row r="27" spans="2:9" x14ac:dyDescent="0.25">
      <c r="E27" s="23"/>
    </row>
    <row r="28" spans="2:9" x14ac:dyDescent="0.25">
      <c r="E28" s="23"/>
    </row>
    <row r="29" spans="2:9" x14ac:dyDescent="0.25">
      <c r="E29" s="23"/>
    </row>
    <row r="30" spans="2:9" x14ac:dyDescent="0.25">
      <c r="E30" s="23"/>
    </row>
  </sheetData>
  <mergeCells count="13">
    <mergeCell ref="G17:G18"/>
    <mergeCell ref="B11:B12"/>
    <mergeCell ref="C11:C12"/>
    <mergeCell ref="D11:E11"/>
    <mergeCell ref="L13:N14"/>
    <mergeCell ref="B3:B4"/>
    <mergeCell ref="L5:N6"/>
    <mergeCell ref="D3:E3"/>
    <mergeCell ref="G5:G6"/>
    <mergeCell ref="H5:H6"/>
    <mergeCell ref="I5:I6"/>
    <mergeCell ref="F5:F6"/>
    <mergeCell ref="C3:C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4C4F-E1D7-446C-9708-2AAF8C78B827}">
  <sheetPr>
    <tabColor rgb="FFFFFFCC"/>
    <pageSetUpPr fitToPage="1"/>
  </sheetPr>
  <dimension ref="B2:N36"/>
  <sheetViews>
    <sheetView zoomScale="80" zoomScaleNormal="80" zoomScaleSheetLayoutView="70" workbookViewId="0">
      <pane xSplit="6" ySplit="5" topLeftCell="G24" activePane="bottomRight" state="frozen"/>
      <selection activeCell="R16" sqref="R16"/>
      <selection pane="topRight" activeCell="R16" sqref="R16"/>
      <selection pane="bottomLeft" activeCell="R16" sqref="R16"/>
      <selection pane="bottomRight" activeCell="L32" sqref="L32:L33"/>
    </sheetView>
  </sheetViews>
  <sheetFormatPr defaultColWidth="9.140625" defaultRowHeight="18.75" x14ac:dyDescent="0.25"/>
  <cols>
    <col min="1" max="1" width="1.7109375" style="2" customWidth="1"/>
    <col min="2" max="3" width="10.7109375" style="2" customWidth="1"/>
    <col min="4" max="4" width="45.7109375" style="2" customWidth="1"/>
    <col min="5" max="5" width="10.7109375" style="2" customWidth="1"/>
    <col min="6" max="6" width="15.7109375" style="2" customWidth="1"/>
    <col min="7" max="7" width="10.7109375" style="2" customWidth="1"/>
    <col min="8" max="8" width="15.7109375" style="2" customWidth="1"/>
    <col min="9" max="10" width="15.7109375" style="12" customWidth="1"/>
    <col min="11" max="11" width="30.7109375" style="5" customWidth="1"/>
    <col min="12" max="14" width="20.7109375" style="55" customWidth="1"/>
    <col min="15" max="15" width="1.7109375" style="2" customWidth="1"/>
    <col min="16" max="16384" width="9.140625" style="2"/>
  </cols>
  <sheetData>
    <row r="2" spans="2:14" ht="27" x14ac:dyDescent="0.25">
      <c r="B2" s="133" t="s">
        <v>63</v>
      </c>
      <c r="C2" s="133"/>
      <c r="D2" s="133"/>
      <c r="E2" s="133"/>
      <c r="F2" s="133"/>
      <c r="G2" s="133"/>
      <c r="H2" s="133"/>
      <c r="I2" s="133"/>
      <c r="J2" s="133"/>
      <c r="K2" s="133"/>
      <c r="L2" s="54"/>
      <c r="M2" s="54"/>
      <c r="N2" s="54"/>
    </row>
    <row r="3" spans="2:14" x14ac:dyDescent="0.25">
      <c r="B3" s="3"/>
    </row>
    <row r="4" spans="2:14" ht="20.100000000000001" customHeight="1" x14ac:dyDescent="0.25">
      <c r="B4" s="134" t="s">
        <v>57</v>
      </c>
      <c r="C4" s="134" t="s">
        <v>0</v>
      </c>
      <c r="D4" s="134" t="s">
        <v>2</v>
      </c>
      <c r="E4" s="134" t="s">
        <v>1</v>
      </c>
      <c r="F4" s="134" t="s">
        <v>6</v>
      </c>
      <c r="G4" s="134" t="s">
        <v>13</v>
      </c>
      <c r="H4" s="136" t="s">
        <v>58</v>
      </c>
      <c r="I4" s="138" t="s">
        <v>53</v>
      </c>
      <c r="J4" s="138" t="s">
        <v>54</v>
      </c>
      <c r="K4" s="129" t="s">
        <v>55</v>
      </c>
      <c r="L4" s="143" t="s">
        <v>95</v>
      </c>
      <c r="M4" s="144"/>
      <c r="N4" s="145"/>
    </row>
    <row r="5" spans="2:14" s="4" customFormat="1" ht="20.100000000000001" customHeight="1" x14ac:dyDescent="0.25">
      <c r="B5" s="135"/>
      <c r="C5" s="135"/>
      <c r="D5" s="135"/>
      <c r="E5" s="135"/>
      <c r="F5" s="135"/>
      <c r="G5" s="135"/>
      <c r="H5" s="137"/>
      <c r="I5" s="139"/>
      <c r="J5" s="139"/>
      <c r="K5" s="130"/>
      <c r="L5" s="59" t="s">
        <v>5</v>
      </c>
      <c r="M5" s="59" t="s">
        <v>64</v>
      </c>
      <c r="N5" s="59" t="s">
        <v>94</v>
      </c>
    </row>
    <row r="6" spans="2:14" s="6" customFormat="1" ht="30" customHeight="1" x14ac:dyDescent="0.25">
      <c r="B6" s="113" t="s">
        <v>16</v>
      </c>
      <c r="C6" s="7">
        <v>1</v>
      </c>
      <c r="D6" s="8" t="s">
        <v>48</v>
      </c>
      <c r="E6" s="7">
        <v>7091</v>
      </c>
      <c r="F6" s="7" t="s">
        <v>17</v>
      </c>
      <c r="G6" s="7" t="s">
        <v>10</v>
      </c>
      <c r="H6" s="113">
        <v>1</v>
      </c>
      <c r="I6" s="114">
        <v>45145</v>
      </c>
      <c r="J6" s="114">
        <v>45149</v>
      </c>
      <c r="K6" s="116" t="s">
        <v>56</v>
      </c>
      <c r="L6" s="131">
        <v>2700000</v>
      </c>
      <c r="M6" s="146">
        <v>31000000</v>
      </c>
      <c r="N6" s="146">
        <v>4500000</v>
      </c>
    </row>
    <row r="7" spans="2:14" s="6" customFormat="1" ht="30" customHeight="1" x14ac:dyDescent="0.25">
      <c r="B7" s="113"/>
      <c r="C7" s="7">
        <v>2</v>
      </c>
      <c r="D7" s="8" t="s">
        <v>51</v>
      </c>
      <c r="E7" s="7">
        <v>13649</v>
      </c>
      <c r="F7" s="7" t="s">
        <v>17</v>
      </c>
      <c r="G7" s="7" t="s">
        <v>10</v>
      </c>
      <c r="H7" s="113"/>
      <c r="I7" s="114"/>
      <c r="J7" s="114"/>
      <c r="K7" s="117"/>
      <c r="L7" s="132"/>
      <c r="M7" s="147"/>
      <c r="N7" s="147"/>
    </row>
    <row r="8" spans="2:14" s="6" customFormat="1" ht="30" customHeight="1" x14ac:dyDescent="0.25">
      <c r="B8" s="113"/>
      <c r="C8" s="7">
        <v>3</v>
      </c>
      <c r="D8" s="8" t="s">
        <v>49</v>
      </c>
      <c r="E8" s="7">
        <v>8874</v>
      </c>
      <c r="F8" s="7" t="s">
        <v>18</v>
      </c>
      <c r="G8" s="7" t="s">
        <v>9</v>
      </c>
      <c r="H8" s="113">
        <v>1</v>
      </c>
      <c r="I8" s="114">
        <v>45145</v>
      </c>
      <c r="J8" s="114">
        <v>45149</v>
      </c>
      <c r="K8" s="125"/>
      <c r="L8" s="131">
        <v>2700000</v>
      </c>
      <c r="M8" s="147"/>
      <c r="N8" s="147"/>
    </row>
    <row r="9" spans="2:14" s="6" customFormat="1" ht="30" customHeight="1" x14ac:dyDescent="0.25">
      <c r="B9" s="113"/>
      <c r="C9" s="7">
        <v>4</v>
      </c>
      <c r="D9" s="8" t="s">
        <v>50</v>
      </c>
      <c r="E9" s="7">
        <v>1220</v>
      </c>
      <c r="F9" s="7" t="s">
        <v>18</v>
      </c>
      <c r="G9" s="7" t="s">
        <v>9</v>
      </c>
      <c r="H9" s="113"/>
      <c r="I9" s="114"/>
      <c r="J9" s="114"/>
      <c r="K9" s="127"/>
      <c r="L9" s="132"/>
      <c r="M9" s="147"/>
      <c r="N9" s="147"/>
    </row>
    <row r="10" spans="2:14" s="6" customFormat="1" ht="30" customHeight="1" x14ac:dyDescent="0.25">
      <c r="B10" s="128" t="s">
        <v>59</v>
      </c>
      <c r="C10" s="7">
        <v>5</v>
      </c>
      <c r="D10" s="9" t="s">
        <v>52</v>
      </c>
      <c r="E10" s="10">
        <v>12922</v>
      </c>
      <c r="F10" s="11" t="s">
        <v>19</v>
      </c>
      <c r="G10" s="11" t="s">
        <v>8</v>
      </c>
      <c r="H10" s="113">
        <v>1</v>
      </c>
      <c r="I10" s="114">
        <v>45145</v>
      </c>
      <c r="J10" s="114">
        <v>45149</v>
      </c>
      <c r="K10" s="125"/>
      <c r="L10" s="131">
        <v>2700000</v>
      </c>
      <c r="M10" s="147"/>
      <c r="N10" s="147"/>
    </row>
    <row r="11" spans="2:14" s="6" customFormat="1" ht="30" customHeight="1" x14ac:dyDescent="0.25">
      <c r="B11" s="113"/>
      <c r="C11" s="7">
        <v>6</v>
      </c>
      <c r="D11" s="8" t="s">
        <v>20</v>
      </c>
      <c r="E11" s="7">
        <v>751</v>
      </c>
      <c r="F11" s="7" t="s">
        <v>18</v>
      </c>
      <c r="G11" s="7" t="s">
        <v>9</v>
      </c>
      <c r="H11" s="113"/>
      <c r="I11" s="114"/>
      <c r="J11" s="114"/>
      <c r="K11" s="127"/>
      <c r="L11" s="132"/>
      <c r="M11" s="147"/>
      <c r="N11" s="147"/>
    </row>
    <row r="12" spans="2:14" s="6" customFormat="1" ht="30" customHeight="1" x14ac:dyDescent="0.25">
      <c r="B12" s="113"/>
      <c r="C12" s="7">
        <v>7</v>
      </c>
      <c r="D12" s="8" t="s">
        <v>21</v>
      </c>
      <c r="E12" s="7">
        <v>11725</v>
      </c>
      <c r="F12" s="7" t="s">
        <v>22</v>
      </c>
      <c r="G12" s="7" t="s">
        <v>7</v>
      </c>
      <c r="H12" s="113">
        <v>1</v>
      </c>
      <c r="I12" s="114">
        <v>45145</v>
      </c>
      <c r="J12" s="114">
        <v>45149</v>
      </c>
      <c r="K12" s="125"/>
      <c r="L12" s="131">
        <v>2700000</v>
      </c>
      <c r="M12" s="147"/>
      <c r="N12" s="147"/>
    </row>
    <row r="13" spans="2:14" s="6" customFormat="1" ht="30" customHeight="1" x14ac:dyDescent="0.25">
      <c r="B13" s="113"/>
      <c r="C13" s="7">
        <v>8</v>
      </c>
      <c r="D13" s="8" t="s">
        <v>23</v>
      </c>
      <c r="E13" s="7">
        <v>13064</v>
      </c>
      <c r="F13" s="7" t="s">
        <v>22</v>
      </c>
      <c r="G13" s="7" t="s">
        <v>7</v>
      </c>
      <c r="H13" s="113"/>
      <c r="I13" s="114"/>
      <c r="J13" s="114"/>
      <c r="K13" s="127"/>
      <c r="L13" s="132"/>
      <c r="M13" s="147"/>
      <c r="N13" s="147"/>
    </row>
    <row r="14" spans="2:14" s="6" customFormat="1" ht="30" customHeight="1" x14ac:dyDescent="0.25">
      <c r="B14" s="113"/>
      <c r="C14" s="7">
        <v>9</v>
      </c>
      <c r="D14" s="8" t="s">
        <v>24</v>
      </c>
      <c r="E14" s="7">
        <v>10635</v>
      </c>
      <c r="F14" s="7" t="s">
        <v>22</v>
      </c>
      <c r="G14" s="7" t="s">
        <v>7</v>
      </c>
      <c r="H14" s="113">
        <v>1</v>
      </c>
      <c r="I14" s="114">
        <v>45145</v>
      </c>
      <c r="J14" s="114">
        <v>45149</v>
      </c>
      <c r="K14" s="125"/>
      <c r="L14" s="131">
        <v>2620000</v>
      </c>
      <c r="M14" s="147"/>
      <c r="N14" s="147"/>
    </row>
    <row r="15" spans="2:14" s="6" customFormat="1" ht="30" customHeight="1" x14ac:dyDescent="0.25">
      <c r="B15" s="113"/>
      <c r="C15" s="7">
        <v>10</v>
      </c>
      <c r="D15" s="8" t="s">
        <v>25</v>
      </c>
      <c r="E15" s="7">
        <v>5893</v>
      </c>
      <c r="F15" s="7" t="s">
        <v>22</v>
      </c>
      <c r="G15" s="7" t="s">
        <v>7</v>
      </c>
      <c r="H15" s="113"/>
      <c r="I15" s="114"/>
      <c r="J15" s="114"/>
      <c r="K15" s="127"/>
      <c r="L15" s="132"/>
      <c r="M15" s="147"/>
      <c r="N15" s="147"/>
    </row>
    <row r="16" spans="2:14" s="6" customFormat="1" ht="30" customHeight="1" x14ac:dyDescent="0.25">
      <c r="B16" s="113"/>
      <c r="C16" s="7">
        <v>11</v>
      </c>
      <c r="D16" s="8" t="s">
        <v>26</v>
      </c>
      <c r="E16" s="7">
        <v>1146</v>
      </c>
      <c r="F16" s="7" t="s">
        <v>27</v>
      </c>
      <c r="G16" s="7" t="s">
        <v>8</v>
      </c>
      <c r="H16" s="113">
        <v>1</v>
      </c>
      <c r="I16" s="114">
        <v>45145</v>
      </c>
      <c r="J16" s="114">
        <v>45149</v>
      </c>
      <c r="K16" s="125"/>
      <c r="L16" s="131">
        <v>2700000</v>
      </c>
      <c r="M16" s="147"/>
      <c r="N16" s="147"/>
    </row>
    <row r="17" spans="2:14" s="6" customFormat="1" ht="30" customHeight="1" x14ac:dyDescent="0.25">
      <c r="B17" s="113"/>
      <c r="C17" s="7">
        <v>12</v>
      </c>
      <c r="D17" s="8" t="s">
        <v>28</v>
      </c>
      <c r="E17" s="7">
        <v>9012</v>
      </c>
      <c r="F17" s="7" t="s">
        <v>22</v>
      </c>
      <c r="G17" s="7" t="s">
        <v>7</v>
      </c>
      <c r="H17" s="113"/>
      <c r="I17" s="114"/>
      <c r="J17" s="114"/>
      <c r="K17" s="127"/>
      <c r="L17" s="132"/>
      <c r="M17" s="147"/>
      <c r="N17" s="147"/>
    </row>
    <row r="18" spans="2:14" s="6" customFormat="1" ht="30" customHeight="1" x14ac:dyDescent="0.25">
      <c r="B18" s="113"/>
      <c r="C18" s="7">
        <v>13</v>
      </c>
      <c r="D18" s="8" t="s">
        <v>29</v>
      </c>
      <c r="E18" s="7">
        <v>16108</v>
      </c>
      <c r="F18" s="7" t="s">
        <v>22</v>
      </c>
      <c r="G18" s="7" t="s">
        <v>7</v>
      </c>
      <c r="H18" s="113">
        <v>1</v>
      </c>
      <c r="I18" s="114">
        <v>45145</v>
      </c>
      <c r="J18" s="114">
        <v>45149</v>
      </c>
      <c r="K18" s="125"/>
      <c r="L18" s="131">
        <v>2700000</v>
      </c>
      <c r="M18" s="147"/>
      <c r="N18" s="147"/>
    </row>
    <row r="19" spans="2:14" s="6" customFormat="1" ht="30" customHeight="1" x14ac:dyDescent="0.25">
      <c r="B19" s="113"/>
      <c r="C19" s="7">
        <v>14</v>
      </c>
      <c r="D19" s="8" t="s">
        <v>30</v>
      </c>
      <c r="E19" s="7">
        <v>9239</v>
      </c>
      <c r="F19" s="7" t="s">
        <v>22</v>
      </c>
      <c r="G19" s="7" t="s">
        <v>7</v>
      </c>
      <c r="H19" s="113"/>
      <c r="I19" s="114"/>
      <c r="J19" s="114"/>
      <c r="K19" s="127"/>
      <c r="L19" s="132"/>
      <c r="M19" s="147"/>
      <c r="N19" s="147"/>
    </row>
    <row r="20" spans="2:14" s="6" customFormat="1" ht="30" customHeight="1" x14ac:dyDescent="0.25">
      <c r="B20" s="113"/>
      <c r="C20" s="7">
        <v>15</v>
      </c>
      <c r="D20" s="8" t="s">
        <v>32</v>
      </c>
      <c r="E20" s="7">
        <v>5745</v>
      </c>
      <c r="F20" s="7" t="s">
        <v>22</v>
      </c>
      <c r="G20" s="7" t="s">
        <v>7</v>
      </c>
      <c r="H20" s="113">
        <v>1</v>
      </c>
      <c r="I20" s="114">
        <v>45145</v>
      </c>
      <c r="J20" s="114">
        <v>45149</v>
      </c>
      <c r="K20" s="125"/>
      <c r="L20" s="131">
        <v>2700000</v>
      </c>
      <c r="M20" s="147"/>
      <c r="N20" s="147"/>
    </row>
    <row r="21" spans="2:14" s="6" customFormat="1" ht="30" customHeight="1" x14ac:dyDescent="0.25">
      <c r="B21" s="113"/>
      <c r="C21" s="7">
        <v>16</v>
      </c>
      <c r="D21" s="8" t="s">
        <v>33</v>
      </c>
      <c r="E21" s="7">
        <v>12476</v>
      </c>
      <c r="F21" s="7" t="s">
        <v>22</v>
      </c>
      <c r="G21" s="7" t="s">
        <v>7</v>
      </c>
      <c r="H21" s="113"/>
      <c r="I21" s="114"/>
      <c r="J21" s="114"/>
      <c r="K21" s="127"/>
      <c r="L21" s="132"/>
      <c r="M21" s="147"/>
      <c r="N21" s="147"/>
    </row>
    <row r="22" spans="2:14" s="6" customFormat="1" ht="30" customHeight="1" x14ac:dyDescent="0.25">
      <c r="B22" s="113"/>
      <c r="C22" s="7">
        <v>17</v>
      </c>
      <c r="D22" s="8" t="s">
        <v>31</v>
      </c>
      <c r="E22" s="7">
        <v>12837</v>
      </c>
      <c r="F22" s="7" t="s">
        <v>22</v>
      </c>
      <c r="G22" s="7" t="s">
        <v>7</v>
      </c>
      <c r="H22" s="113">
        <v>1</v>
      </c>
      <c r="I22" s="114">
        <v>45145</v>
      </c>
      <c r="J22" s="114">
        <v>45149</v>
      </c>
      <c r="K22" s="125"/>
      <c r="L22" s="131">
        <v>2700000</v>
      </c>
      <c r="M22" s="147"/>
      <c r="N22" s="147"/>
    </row>
    <row r="23" spans="2:14" s="6" customFormat="1" ht="30" customHeight="1" x14ac:dyDescent="0.25">
      <c r="B23" s="113"/>
      <c r="C23" s="7">
        <v>18</v>
      </c>
      <c r="D23" s="8" t="s">
        <v>36</v>
      </c>
      <c r="E23" s="7">
        <v>9578</v>
      </c>
      <c r="F23" s="7" t="s">
        <v>27</v>
      </c>
      <c r="G23" s="7" t="s">
        <v>8</v>
      </c>
      <c r="H23" s="113"/>
      <c r="I23" s="114"/>
      <c r="J23" s="114"/>
      <c r="K23" s="127"/>
      <c r="L23" s="132"/>
      <c r="M23" s="147"/>
      <c r="N23" s="147"/>
    </row>
    <row r="24" spans="2:14" s="6" customFormat="1" ht="30" customHeight="1" x14ac:dyDescent="0.25">
      <c r="B24" s="113"/>
      <c r="C24" s="7">
        <v>19</v>
      </c>
      <c r="D24" s="8" t="s">
        <v>34</v>
      </c>
      <c r="E24" s="7" t="s">
        <v>35</v>
      </c>
      <c r="F24" s="7" t="s">
        <v>22</v>
      </c>
      <c r="G24" s="7" t="s">
        <v>7</v>
      </c>
      <c r="H24" s="113">
        <v>1</v>
      </c>
      <c r="I24" s="114">
        <v>45145</v>
      </c>
      <c r="J24" s="114">
        <v>45149</v>
      </c>
      <c r="K24" s="125"/>
      <c r="L24" s="131">
        <v>2700000</v>
      </c>
      <c r="M24" s="147"/>
      <c r="N24" s="147"/>
    </row>
    <row r="25" spans="2:14" s="6" customFormat="1" ht="30" customHeight="1" x14ac:dyDescent="0.25">
      <c r="B25" s="113"/>
      <c r="C25" s="7">
        <v>20</v>
      </c>
      <c r="D25" s="8" t="s">
        <v>37</v>
      </c>
      <c r="E25" s="7">
        <v>5943</v>
      </c>
      <c r="F25" s="7" t="s">
        <v>27</v>
      </c>
      <c r="G25" s="7" t="s">
        <v>8</v>
      </c>
      <c r="H25" s="113"/>
      <c r="I25" s="114"/>
      <c r="J25" s="114"/>
      <c r="K25" s="127"/>
      <c r="L25" s="132"/>
      <c r="M25" s="147"/>
      <c r="N25" s="147"/>
    </row>
    <row r="26" spans="2:14" s="6" customFormat="1" ht="30" customHeight="1" x14ac:dyDescent="0.25">
      <c r="B26" s="113"/>
      <c r="C26" s="7">
        <v>21</v>
      </c>
      <c r="D26" s="8" t="s">
        <v>38</v>
      </c>
      <c r="E26" s="7">
        <v>5395</v>
      </c>
      <c r="F26" s="7" t="s">
        <v>27</v>
      </c>
      <c r="G26" s="7" t="s">
        <v>8</v>
      </c>
      <c r="H26" s="113">
        <v>1</v>
      </c>
      <c r="I26" s="114">
        <v>45145</v>
      </c>
      <c r="J26" s="114">
        <v>45149</v>
      </c>
      <c r="K26" s="125"/>
      <c r="L26" s="131">
        <v>2700000</v>
      </c>
      <c r="M26" s="147"/>
      <c r="N26" s="147"/>
    </row>
    <row r="27" spans="2:14" s="6" customFormat="1" ht="30" customHeight="1" x14ac:dyDescent="0.3">
      <c r="B27" s="14"/>
      <c r="C27" s="7">
        <v>22</v>
      </c>
      <c r="D27" s="8" t="s">
        <v>39</v>
      </c>
      <c r="E27" s="7">
        <v>4852</v>
      </c>
      <c r="F27" s="7" t="s">
        <v>27</v>
      </c>
      <c r="G27" s="7" t="s">
        <v>8</v>
      </c>
      <c r="H27" s="113"/>
      <c r="I27" s="114"/>
      <c r="J27" s="114"/>
      <c r="K27" s="127"/>
      <c r="L27" s="132"/>
      <c r="M27" s="147"/>
      <c r="N27" s="147"/>
    </row>
    <row r="28" spans="2:14" s="6" customFormat="1" ht="30" customHeight="1" x14ac:dyDescent="0.25">
      <c r="B28" s="128" t="s">
        <v>40</v>
      </c>
      <c r="C28" s="7">
        <v>23</v>
      </c>
      <c r="D28" s="8" t="s">
        <v>41</v>
      </c>
      <c r="E28" s="7">
        <v>9450</v>
      </c>
      <c r="F28" s="7" t="s">
        <v>18</v>
      </c>
      <c r="G28" s="7" t="s">
        <v>9</v>
      </c>
      <c r="H28" s="113">
        <v>1</v>
      </c>
      <c r="I28" s="114">
        <v>45145</v>
      </c>
      <c r="J28" s="114">
        <v>45149</v>
      </c>
      <c r="K28" s="125"/>
      <c r="L28" s="131">
        <v>2620000</v>
      </c>
      <c r="M28" s="147"/>
      <c r="N28" s="147"/>
    </row>
    <row r="29" spans="2:14" s="6" customFormat="1" ht="30" customHeight="1" x14ac:dyDescent="0.25">
      <c r="B29" s="128"/>
      <c r="C29" s="7">
        <v>24</v>
      </c>
      <c r="D29" s="8" t="s">
        <v>42</v>
      </c>
      <c r="E29" s="7">
        <v>5421</v>
      </c>
      <c r="F29" s="7" t="s">
        <v>27</v>
      </c>
      <c r="G29" s="7" t="s">
        <v>8</v>
      </c>
      <c r="H29" s="113"/>
      <c r="I29" s="114"/>
      <c r="J29" s="114"/>
      <c r="K29" s="127"/>
      <c r="L29" s="132"/>
      <c r="M29" s="147"/>
      <c r="N29" s="147"/>
    </row>
    <row r="30" spans="2:14" s="6" customFormat="1" ht="30" customHeight="1" x14ac:dyDescent="0.25">
      <c r="B30" s="113" t="s">
        <v>14</v>
      </c>
      <c r="C30" s="10">
        <v>25</v>
      </c>
      <c r="D30" s="9" t="s">
        <v>60</v>
      </c>
      <c r="E30" s="10">
        <v>5825</v>
      </c>
      <c r="F30" s="10" t="s">
        <v>27</v>
      </c>
      <c r="G30" s="10" t="s">
        <v>8</v>
      </c>
      <c r="H30" s="118">
        <v>1</v>
      </c>
      <c r="I30" s="114">
        <v>45145</v>
      </c>
      <c r="J30" s="114">
        <v>45149</v>
      </c>
      <c r="K30" s="120"/>
      <c r="L30" s="131">
        <v>2700000</v>
      </c>
      <c r="M30" s="147"/>
      <c r="N30" s="147"/>
    </row>
    <row r="31" spans="2:14" s="6" customFormat="1" ht="30" customHeight="1" x14ac:dyDescent="0.25">
      <c r="B31" s="113"/>
      <c r="C31" s="10">
        <v>26</v>
      </c>
      <c r="D31" s="9" t="s">
        <v>43</v>
      </c>
      <c r="E31" s="10">
        <v>6366</v>
      </c>
      <c r="F31" s="10" t="s">
        <v>18</v>
      </c>
      <c r="G31" s="10" t="s">
        <v>9</v>
      </c>
      <c r="H31" s="119"/>
      <c r="I31" s="114"/>
      <c r="J31" s="114"/>
      <c r="K31" s="121"/>
      <c r="L31" s="132"/>
      <c r="M31" s="147"/>
      <c r="N31" s="147"/>
    </row>
    <row r="32" spans="2:14" s="6" customFormat="1" ht="30" customHeight="1" x14ac:dyDescent="0.25">
      <c r="B32" s="113"/>
      <c r="C32" s="7">
        <v>27</v>
      </c>
      <c r="D32" s="8" t="s">
        <v>61</v>
      </c>
      <c r="E32" s="7">
        <v>3644</v>
      </c>
      <c r="F32" s="7" t="s">
        <v>17</v>
      </c>
      <c r="G32" s="7" t="s">
        <v>10</v>
      </c>
      <c r="H32" s="113">
        <v>1</v>
      </c>
      <c r="I32" s="114">
        <v>45145</v>
      </c>
      <c r="J32" s="115">
        <v>45147</v>
      </c>
      <c r="K32" s="116"/>
      <c r="L32" s="131">
        <v>1270000</v>
      </c>
      <c r="M32" s="147"/>
      <c r="N32" s="147"/>
    </row>
    <row r="33" spans="2:14" s="6" customFormat="1" ht="30" customHeight="1" x14ac:dyDescent="0.25">
      <c r="B33" s="7" t="s">
        <v>15</v>
      </c>
      <c r="C33" s="7">
        <v>28</v>
      </c>
      <c r="D33" s="8" t="s">
        <v>47</v>
      </c>
      <c r="E33" s="7">
        <v>1013</v>
      </c>
      <c r="F33" s="7" t="s">
        <v>18</v>
      </c>
      <c r="G33" s="7" t="s">
        <v>9</v>
      </c>
      <c r="H33" s="113"/>
      <c r="I33" s="114"/>
      <c r="J33" s="115"/>
      <c r="K33" s="117"/>
      <c r="L33" s="132"/>
      <c r="M33" s="147"/>
      <c r="N33" s="147"/>
    </row>
    <row r="34" spans="2:14" s="6" customFormat="1" ht="30" customHeight="1" x14ac:dyDescent="0.25">
      <c r="B34" s="113" t="s">
        <v>44</v>
      </c>
      <c r="C34" s="7">
        <v>29</v>
      </c>
      <c r="D34" s="8" t="s">
        <v>45</v>
      </c>
      <c r="E34" s="7">
        <v>5557</v>
      </c>
      <c r="F34" s="7" t="s">
        <v>18</v>
      </c>
      <c r="G34" s="7" t="s">
        <v>9</v>
      </c>
      <c r="H34" s="113">
        <v>1</v>
      </c>
      <c r="I34" s="114">
        <v>45145</v>
      </c>
      <c r="J34" s="115">
        <v>45147</v>
      </c>
      <c r="K34" s="125"/>
      <c r="L34" s="131">
        <v>1270000</v>
      </c>
      <c r="M34" s="147"/>
      <c r="N34" s="147"/>
    </row>
    <row r="35" spans="2:14" s="6" customFormat="1" ht="30" customHeight="1" thickBot="1" x14ac:dyDescent="0.3">
      <c r="B35" s="122"/>
      <c r="C35" s="56">
        <v>30</v>
      </c>
      <c r="D35" s="57" t="s">
        <v>46</v>
      </c>
      <c r="E35" s="56">
        <v>13346</v>
      </c>
      <c r="F35" s="56" t="s">
        <v>18</v>
      </c>
      <c r="G35" s="56" t="s">
        <v>9</v>
      </c>
      <c r="H35" s="122"/>
      <c r="I35" s="123"/>
      <c r="J35" s="124"/>
      <c r="K35" s="126"/>
      <c r="L35" s="152"/>
      <c r="M35" s="148"/>
      <c r="N35" s="148"/>
    </row>
    <row r="36" spans="2:14" s="6" customFormat="1" ht="30" customHeight="1" thickTop="1" x14ac:dyDescent="0.25">
      <c r="B36" s="140" t="s">
        <v>4</v>
      </c>
      <c r="C36" s="141"/>
      <c r="D36" s="141"/>
      <c r="E36" s="141"/>
      <c r="F36" s="141"/>
      <c r="G36" s="142"/>
      <c r="H36" s="58">
        <f>SUM(H6:H35)</f>
        <v>15</v>
      </c>
      <c r="I36" s="149"/>
      <c r="J36" s="150"/>
      <c r="K36" s="151"/>
      <c r="L36" s="61">
        <f>SUM(L6:L35)</f>
        <v>37480000</v>
      </c>
      <c r="M36" s="61">
        <f>SUM(M6:M35)</f>
        <v>31000000</v>
      </c>
      <c r="N36" s="61">
        <f>SUM(N6:N35)</f>
        <v>4500000</v>
      </c>
    </row>
  </sheetData>
  <mergeCells count="96">
    <mergeCell ref="B36:G36"/>
    <mergeCell ref="L4:N4"/>
    <mergeCell ref="M6:M35"/>
    <mergeCell ref="N6:N35"/>
    <mergeCell ref="I36:K36"/>
    <mergeCell ref="L34:L35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B2:K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J12:J13"/>
    <mergeCell ref="K12:K13"/>
    <mergeCell ref="H14:H15"/>
    <mergeCell ref="K4:K5"/>
    <mergeCell ref="B6:B9"/>
    <mergeCell ref="H6:H7"/>
    <mergeCell ref="I6:I7"/>
    <mergeCell ref="J6:J7"/>
    <mergeCell ref="K6:K7"/>
    <mergeCell ref="H8:H9"/>
    <mergeCell ref="I8:I9"/>
    <mergeCell ref="J8:J9"/>
    <mergeCell ref="K8:K9"/>
    <mergeCell ref="I14:I15"/>
    <mergeCell ref="J14:J15"/>
    <mergeCell ref="K14:K15"/>
    <mergeCell ref="B10:B26"/>
    <mergeCell ref="H10:H11"/>
    <mergeCell ref="H16:H17"/>
    <mergeCell ref="I16:I17"/>
    <mergeCell ref="J16:J17"/>
    <mergeCell ref="K16:K17"/>
    <mergeCell ref="H18:H19"/>
    <mergeCell ref="I18:I19"/>
    <mergeCell ref="J18:J19"/>
    <mergeCell ref="K18:K19"/>
    <mergeCell ref="H20:H21"/>
    <mergeCell ref="I20:I21"/>
    <mergeCell ref="J20:J21"/>
    <mergeCell ref="K20:K21"/>
    <mergeCell ref="H22:H23"/>
    <mergeCell ref="I22:I23"/>
    <mergeCell ref="J22:J23"/>
    <mergeCell ref="K22:K23"/>
    <mergeCell ref="H24:H25"/>
    <mergeCell ref="I24:I25"/>
    <mergeCell ref="J24:J25"/>
    <mergeCell ref="K24:K25"/>
    <mergeCell ref="H26:H27"/>
    <mergeCell ref="I26:I27"/>
    <mergeCell ref="J26:J27"/>
    <mergeCell ref="K26:K27"/>
    <mergeCell ref="B28:B29"/>
    <mergeCell ref="H28:H29"/>
    <mergeCell ref="I28:I29"/>
    <mergeCell ref="J28:J29"/>
    <mergeCell ref="K28:K29"/>
    <mergeCell ref="I10:I11"/>
    <mergeCell ref="J10:J11"/>
    <mergeCell ref="K10:K11"/>
    <mergeCell ref="H12:H13"/>
    <mergeCell ref="I12:I13"/>
    <mergeCell ref="B34:B35"/>
    <mergeCell ref="H34:H35"/>
    <mergeCell ref="I34:I35"/>
    <mergeCell ref="J34:J35"/>
    <mergeCell ref="K34:K35"/>
    <mergeCell ref="B30:B32"/>
    <mergeCell ref="H32:H33"/>
    <mergeCell ref="I32:I33"/>
    <mergeCell ref="J32:J33"/>
    <mergeCell ref="K32:K33"/>
    <mergeCell ref="H30:H31"/>
    <mergeCell ref="I30:I31"/>
    <mergeCell ref="J30:J31"/>
    <mergeCell ref="K30:K31"/>
  </mergeCells>
  <printOptions horizontalCentered="1"/>
  <pageMargins left="0" right="0" top="1" bottom="0" header="1" footer="0"/>
  <pageSetup paperSize="9" scale="5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505A-FE45-4610-94C6-A016150789DB}">
  <sheetPr>
    <tabColor rgb="FFFFFFCC"/>
    <pageSetUpPr fitToPage="1"/>
  </sheetPr>
  <dimension ref="B2:P41"/>
  <sheetViews>
    <sheetView topLeftCell="B1" zoomScale="70" zoomScaleNormal="70" zoomScaleSheetLayoutView="70" workbookViewId="0">
      <pane ySplit="7" topLeftCell="A32" activePane="bottomLeft" state="frozen"/>
      <selection pane="bottomLeft" activeCell="O7" sqref="O7"/>
    </sheetView>
  </sheetViews>
  <sheetFormatPr defaultColWidth="9.140625" defaultRowHeight="18.75" x14ac:dyDescent="0.25"/>
  <cols>
    <col min="1" max="1" width="1.7109375" style="2" customWidth="1"/>
    <col min="2" max="2" width="10.7109375" style="2" customWidth="1"/>
    <col min="3" max="3" width="7.42578125" style="2" customWidth="1"/>
    <col min="4" max="4" width="29.85546875" style="2" customWidth="1"/>
    <col min="5" max="5" width="10.7109375" style="2" customWidth="1"/>
    <col min="6" max="6" width="15.7109375" style="2" customWidth="1"/>
    <col min="7" max="7" width="10.7109375" style="2" customWidth="1"/>
    <col min="8" max="8" width="9.42578125" style="2" customWidth="1"/>
    <col min="9" max="10" width="13" style="12" customWidth="1"/>
    <col min="11" max="11" width="23" style="5" customWidth="1"/>
    <col min="12" max="16" width="16.140625" style="55" customWidth="1"/>
    <col min="17" max="16384" width="9.140625" style="2"/>
  </cols>
  <sheetData>
    <row r="2" spans="2:16" ht="27" x14ac:dyDescent="0.25">
      <c r="B2" s="133" t="s">
        <v>63</v>
      </c>
      <c r="C2" s="133"/>
      <c r="D2" s="133"/>
      <c r="E2" s="133"/>
      <c r="F2" s="133"/>
      <c r="G2" s="133"/>
      <c r="H2" s="133"/>
      <c r="I2" s="133"/>
      <c r="J2" s="133"/>
      <c r="K2" s="133"/>
      <c r="L2" s="54"/>
      <c r="M2" s="54"/>
      <c r="N2" s="54"/>
      <c r="O2" s="54"/>
      <c r="P2" s="54"/>
    </row>
    <row r="3" spans="2:16" ht="19.5" thickBot="1" x14ac:dyDescent="0.3">
      <c r="B3" s="3"/>
    </row>
    <row r="4" spans="2:16" ht="20.100000000000001" customHeight="1" thickBot="1" x14ac:dyDescent="0.3">
      <c r="B4" s="178" t="s">
        <v>57</v>
      </c>
      <c r="C4" s="164" t="s">
        <v>0</v>
      </c>
      <c r="D4" s="164" t="s">
        <v>2</v>
      </c>
      <c r="E4" s="164" t="s">
        <v>1</v>
      </c>
      <c r="F4" s="164" t="s">
        <v>6</v>
      </c>
      <c r="G4" s="164" t="s">
        <v>13</v>
      </c>
      <c r="H4" s="181" t="s">
        <v>58</v>
      </c>
      <c r="I4" s="187" t="s">
        <v>53</v>
      </c>
      <c r="J4" s="187" t="s">
        <v>54</v>
      </c>
      <c r="K4" s="184" t="s">
        <v>55</v>
      </c>
      <c r="L4" s="161" t="s">
        <v>95</v>
      </c>
      <c r="M4" s="162"/>
      <c r="N4" s="162"/>
      <c r="O4" s="162"/>
      <c r="P4" s="163"/>
    </row>
    <row r="5" spans="2:16" s="4" customFormat="1" ht="20.100000000000001" customHeight="1" x14ac:dyDescent="0.25">
      <c r="B5" s="179"/>
      <c r="C5" s="165"/>
      <c r="D5" s="165"/>
      <c r="E5" s="165"/>
      <c r="F5" s="165"/>
      <c r="G5" s="165"/>
      <c r="H5" s="182"/>
      <c r="I5" s="188"/>
      <c r="J5" s="188"/>
      <c r="K5" s="185"/>
      <c r="L5" s="153" t="s">
        <v>5</v>
      </c>
      <c r="M5" s="171" t="s">
        <v>100</v>
      </c>
      <c r="N5" s="172"/>
      <c r="O5" s="101" t="s">
        <v>105</v>
      </c>
      <c r="P5" s="81" t="s">
        <v>107</v>
      </c>
    </row>
    <row r="6" spans="2:16" s="4" customFormat="1" ht="30" customHeight="1" x14ac:dyDescent="0.25">
      <c r="B6" s="179"/>
      <c r="C6" s="165"/>
      <c r="D6" s="165"/>
      <c r="E6" s="165"/>
      <c r="F6" s="165"/>
      <c r="G6" s="165"/>
      <c r="H6" s="182"/>
      <c r="I6" s="188"/>
      <c r="J6" s="188"/>
      <c r="K6" s="185"/>
      <c r="L6" s="154"/>
      <c r="M6" s="70" t="s">
        <v>98</v>
      </c>
      <c r="N6" s="71" t="s">
        <v>99</v>
      </c>
      <c r="O6" s="70" t="s">
        <v>104</v>
      </c>
      <c r="P6" s="82"/>
    </row>
    <row r="7" spans="2:16" s="4" customFormat="1" ht="30" customHeight="1" thickBot="1" x14ac:dyDescent="0.3">
      <c r="B7" s="180"/>
      <c r="C7" s="166"/>
      <c r="D7" s="166"/>
      <c r="E7" s="166"/>
      <c r="F7" s="166"/>
      <c r="G7" s="166"/>
      <c r="H7" s="183"/>
      <c r="I7" s="189"/>
      <c r="J7" s="189"/>
      <c r="K7" s="186"/>
      <c r="L7" s="155"/>
      <c r="M7" s="97" t="s">
        <v>102</v>
      </c>
      <c r="N7" s="98" t="s">
        <v>103</v>
      </c>
      <c r="O7" s="97" t="s">
        <v>108</v>
      </c>
      <c r="P7" s="99" t="s">
        <v>103</v>
      </c>
    </row>
    <row r="8" spans="2:16" s="6" customFormat="1" ht="41.25" customHeight="1" x14ac:dyDescent="0.25">
      <c r="B8" s="207" t="s">
        <v>16</v>
      </c>
      <c r="C8" s="84">
        <v>1</v>
      </c>
      <c r="D8" s="85" t="s">
        <v>48</v>
      </c>
      <c r="E8" s="84">
        <v>7091</v>
      </c>
      <c r="F8" s="84" t="s">
        <v>17</v>
      </c>
      <c r="G8" s="84" t="s">
        <v>10</v>
      </c>
      <c r="H8" s="207">
        <v>1</v>
      </c>
      <c r="I8" s="208">
        <v>45145</v>
      </c>
      <c r="J8" s="208">
        <v>45149</v>
      </c>
      <c r="K8" s="86" t="s">
        <v>97</v>
      </c>
      <c r="L8" s="94">
        <f>2700000/4</f>
        <v>675000</v>
      </c>
      <c r="M8" s="95">
        <f>(31000000/2)/30</f>
        <v>516666.66666666669</v>
      </c>
      <c r="N8" s="96" t="s">
        <v>3</v>
      </c>
      <c r="O8" s="95">
        <v>150000</v>
      </c>
      <c r="P8" s="94">
        <v>1026000</v>
      </c>
    </row>
    <row r="9" spans="2:16" s="6" customFormat="1" ht="41.25" customHeight="1" x14ac:dyDescent="0.25">
      <c r="B9" s="113"/>
      <c r="C9" s="7">
        <v>2</v>
      </c>
      <c r="D9" s="8" t="s">
        <v>51</v>
      </c>
      <c r="E9" s="7">
        <v>13649</v>
      </c>
      <c r="F9" s="7" t="s">
        <v>17</v>
      </c>
      <c r="G9" s="7" t="s">
        <v>10</v>
      </c>
      <c r="H9" s="113"/>
      <c r="I9" s="114"/>
      <c r="J9" s="114"/>
      <c r="K9" s="76" t="s">
        <v>96</v>
      </c>
      <c r="L9" s="78">
        <f>(2700000/4)*3</f>
        <v>2025000</v>
      </c>
      <c r="M9" s="72">
        <f t="shared" ref="M9:M37" si="0">(31000000/2)/30</f>
        <v>516666.66666666669</v>
      </c>
      <c r="N9" s="73">
        <f t="shared" ref="N9:N36" si="1">(31000000/2)/26</f>
        <v>596153.84615384613</v>
      </c>
      <c r="O9" s="72">
        <v>150000</v>
      </c>
      <c r="P9" s="77" t="s">
        <v>3</v>
      </c>
    </row>
    <row r="10" spans="2:16" s="6" customFormat="1" ht="41.25" customHeight="1" x14ac:dyDescent="0.25">
      <c r="B10" s="113"/>
      <c r="C10" s="7">
        <v>3</v>
      </c>
      <c r="D10" s="8" t="s">
        <v>49</v>
      </c>
      <c r="E10" s="7">
        <v>8874</v>
      </c>
      <c r="F10" s="7" t="s">
        <v>18</v>
      </c>
      <c r="G10" s="7" t="s">
        <v>9</v>
      </c>
      <c r="H10" s="113">
        <v>1</v>
      </c>
      <c r="I10" s="114">
        <v>45145</v>
      </c>
      <c r="J10" s="114">
        <v>45149</v>
      </c>
      <c r="K10" s="209"/>
      <c r="L10" s="197">
        <v>2700000</v>
      </c>
      <c r="M10" s="72">
        <f t="shared" si="0"/>
        <v>516666.66666666669</v>
      </c>
      <c r="N10" s="73">
        <f t="shared" si="1"/>
        <v>596153.84615384613</v>
      </c>
      <c r="O10" s="72">
        <v>150000</v>
      </c>
      <c r="P10" s="77" t="s">
        <v>3</v>
      </c>
    </row>
    <row r="11" spans="2:16" s="6" customFormat="1" ht="41.25" customHeight="1" thickBot="1" x14ac:dyDescent="0.3">
      <c r="B11" s="192"/>
      <c r="C11" s="65">
        <v>4</v>
      </c>
      <c r="D11" s="66" t="s">
        <v>50</v>
      </c>
      <c r="E11" s="65">
        <v>1220</v>
      </c>
      <c r="F11" s="65" t="s">
        <v>18</v>
      </c>
      <c r="G11" s="65" t="s">
        <v>9</v>
      </c>
      <c r="H11" s="192"/>
      <c r="I11" s="193"/>
      <c r="J11" s="193"/>
      <c r="K11" s="210"/>
      <c r="L11" s="199"/>
      <c r="M11" s="72">
        <f t="shared" si="0"/>
        <v>516666.66666666669</v>
      </c>
      <c r="N11" s="73">
        <f t="shared" si="1"/>
        <v>596153.84615384613</v>
      </c>
      <c r="O11" s="72">
        <v>150000</v>
      </c>
      <c r="P11" s="77" t="s">
        <v>3</v>
      </c>
    </row>
    <row r="12" spans="2:16" s="6" customFormat="1" ht="41.25" customHeight="1" x14ac:dyDescent="0.25">
      <c r="B12" s="175" t="s">
        <v>59</v>
      </c>
      <c r="C12" s="87">
        <v>5</v>
      </c>
      <c r="D12" s="88" t="s">
        <v>52</v>
      </c>
      <c r="E12" s="89">
        <v>12922</v>
      </c>
      <c r="F12" s="90" t="s">
        <v>19</v>
      </c>
      <c r="G12" s="90" t="s">
        <v>8</v>
      </c>
      <c r="H12" s="204">
        <v>1</v>
      </c>
      <c r="I12" s="205">
        <v>45145</v>
      </c>
      <c r="J12" s="205">
        <v>45149</v>
      </c>
      <c r="K12" s="206"/>
      <c r="L12" s="197">
        <v>2700000</v>
      </c>
      <c r="M12" s="72">
        <f t="shared" si="0"/>
        <v>516666.66666666669</v>
      </c>
      <c r="N12" s="73">
        <f t="shared" si="1"/>
        <v>596153.84615384613</v>
      </c>
      <c r="O12" s="72">
        <v>150000</v>
      </c>
      <c r="P12" s="77" t="s">
        <v>3</v>
      </c>
    </row>
    <row r="13" spans="2:16" s="6" customFormat="1" ht="41.25" customHeight="1" x14ac:dyDescent="0.25">
      <c r="B13" s="176"/>
      <c r="C13" s="7">
        <v>6</v>
      </c>
      <c r="D13" s="8" t="s">
        <v>20</v>
      </c>
      <c r="E13" s="7">
        <v>751</v>
      </c>
      <c r="F13" s="7" t="s">
        <v>18</v>
      </c>
      <c r="G13" s="7" t="s">
        <v>9</v>
      </c>
      <c r="H13" s="113"/>
      <c r="I13" s="114"/>
      <c r="J13" s="114"/>
      <c r="K13" s="202"/>
      <c r="L13" s="199"/>
      <c r="M13" s="72">
        <f t="shared" si="0"/>
        <v>516666.66666666669</v>
      </c>
      <c r="N13" s="73">
        <f t="shared" si="1"/>
        <v>596153.84615384613</v>
      </c>
      <c r="O13" s="72">
        <v>150000</v>
      </c>
      <c r="P13" s="77" t="s">
        <v>3</v>
      </c>
    </row>
    <row r="14" spans="2:16" s="6" customFormat="1" ht="41.25" customHeight="1" x14ac:dyDescent="0.25">
      <c r="B14" s="176"/>
      <c r="C14" s="7">
        <v>7</v>
      </c>
      <c r="D14" s="8" t="s">
        <v>21</v>
      </c>
      <c r="E14" s="7">
        <v>11725</v>
      </c>
      <c r="F14" s="7" t="s">
        <v>22</v>
      </c>
      <c r="G14" s="7" t="s">
        <v>7</v>
      </c>
      <c r="H14" s="113">
        <v>1</v>
      </c>
      <c r="I14" s="114">
        <v>45145</v>
      </c>
      <c r="J14" s="114">
        <v>45149</v>
      </c>
      <c r="K14" s="195"/>
      <c r="L14" s="197">
        <v>2700000</v>
      </c>
      <c r="M14" s="72">
        <f t="shared" si="0"/>
        <v>516666.66666666669</v>
      </c>
      <c r="N14" s="73">
        <f t="shared" si="1"/>
        <v>596153.84615384613</v>
      </c>
      <c r="O14" s="72">
        <v>150000</v>
      </c>
      <c r="P14" s="77" t="s">
        <v>3</v>
      </c>
    </row>
    <row r="15" spans="2:16" s="6" customFormat="1" ht="41.25" customHeight="1" x14ac:dyDescent="0.25">
      <c r="B15" s="176"/>
      <c r="C15" s="7">
        <v>8</v>
      </c>
      <c r="D15" s="8" t="s">
        <v>23</v>
      </c>
      <c r="E15" s="7">
        <v>13064</v>
      </c>
      <c r="F15" s="7" t="s">
        <v>22</v>
      </c>
      <c r="G15" s="7" t="s">
        <v>7</v>
      </c>
      <c r="H15" s="113"/>
      <c r="I15" s="114"/>
      <c r="J15" s="114"/>
      <c r="K15" s="202"/>
      <c r="L15" s="199"/>
      <c r="M15" s="72">
        <f t="shared" si="0"/>
        <v>516666.66666666669</v>
      </c>
      <c r="N15" s="73">
        <f t="shared" si="1"/>
        <v>596153.84615384613</v>
      </c>
      <c r="O15" s="72">
        <v>150000</v>
      </c>
      <c r="P15" s="77" t="s">
        <v>3</v>
      </c>
    </row>
    <row r="16" spans="2:16" s="6" customFormat="1" ht="41.25" customHeight="1" x14ac:dyDescent="0.25">
      <c r="B16" s="176"/>
      <c r="C16" s="7">
        <v>9</v>
      </c>
      <c r="D16" s="8" t="s">
        <v>24</v>
      </c>
      <c r="E16" s="7">
        <v>10635</v>
      </c>
      <c r="F16" s="7" t="s">
        <v>22</v>
      </c>
      <c r="G16" s="7" t="s">
        <v>7</v>
      </c>
      <c r="H16" s="113">
        <v>1</v>
      </c>
      <c r="I16" s="114">
        <v>45145</v>
      </c>
      <c r="J16" s="114">
        <v>45149</v>
      </c>
      <c r="K16" s="195"/>
      <c r="L16" s="197">
        <v>2620000</v>
      </c>
      <c r="M16" s="72">
        <f t="shared" si="0"/>
        <v>516666.66666666669</v>
      </c>
      <c r="N16" s="73">
        <f t="shared" si="1"/>
        <v>596153.84615384613</v>
      </c>
      <c r="O16" s="72">
        <v>150000</v>
      </c>
      <c r="P16" s="77" t="s">
        <v>3</v>
      </c>
    </row>
    <row r="17" spans="2:16" s="6" customFormat="1" ht="41.25" customHeight="1" x14ac:dyDescent="0.25">
      <c r="B17" s="176"/>
      <c r="C17" s="7">
        <v>10</v>
      </c>
      <c r="D17" s="8" t="s">
        <v>25</v>
      </c>
      <c r="E17" s="7">
        <v>5893</v>
      </c>
      <c r="F17" s="7" t="s">
        <v>22</v>
      </c>
      <c r="G17" s="7" t="s">
        <v>7</v>
      </c>
      <c r="H17" s="113"/>
      <c r="I17" s="114"/>
      <c r="J17" s="114"/>
      <c r="K17" s="202"/>
      <c r="L17" s="199"/>
      <c r="M17" s="72">
        <f t="shared" si="0"/>
        <v>516666.66666666669</v>
      </c>
      <c r="N17" s="73">
        <f t="shared" si="1"/>
        <v>596153.84615384613</v>
      </c>
      <c r="O17" s="72">
        <v>150000</v>
      </c>
      <c r="P17" s="77" t="s">
        <v>3</v>
      </c>
    </row>
    <row r="18" spans="2:16" s="6" customFormat="1" ht="41.25" customHeight="1" x14ac:dyDescent="0.25">
      <c r="B18" s="176"/>
      <c r="C18" s="7">
        <v>11</v>
      </c>
      <c r="D18" s="8" t="s">
        <v>26</v>
      </c>
      <c r="E18" s="7">
        <v>1146</v>
      </c>
      <c r="F18" s="7" t="s">
        <v>27</v>
      </c>
      <c r="G18" s="7" t="s">
        <v>8</v>
      </c>
      <c r="H18" s="113">
        <v>1</v>
      </c>
      <c r="I18" s="114">
        <v>45145</v>
      </c>
      <c r="J18" s="114">
        <v>45149</v>
      </c>
      <c r="K18" s="195"/>
      <c r="L18" s="197">
        <v>2700000</v>
      </c>
      <c r="M18" s="72">
        <f t="shared" si="0"/>
        <v>516666.66666666669</v>
      </c>
      <c r="N18" s="73">
        <f t="shared" si="1"/>
        <v>596153.84615384613</v>
      </c>
      <c r="O18" s="72">
        <v>150000</v>
      </c>
      <c r="P18" s="77" t="s">
        <v>3</v>
      </c>
    </row>
    <row r="19" spans="2:16" s="6" customFormat="1" ht="41.25" customHeight="1" x14ac:dyDescent="0.25">
      <c r="B19" s="176"/>
      <c r="C19" s="7">
        <v>12</v>
      </c>
      <c r="D19" s="8" t="s">
        <v>28</v>
      </c>
      <c r="E19" s="7">
        <v>9012</v>
      </c>
      <c r="F19" s="7" t="s">
        <v>22</v>
      </c>
      <c r="G19" s="7" t="s">
        <v>7</v>
      </c>
      <c r="H19" s="113"/>
      <c r="I19" s="114"/>
      <c r="J19" s="114"/>
      <c r="K19" s="202"/>
      <c r="L19" s="199"/>
      <c r="M19" s="72">
        <f t="shared" si="0"/>
        <v>516666.66666666669</v>
      </c>
      <c r="N19" s="73">
        <f t="shared" si="1"/>
        <v>596153.84615384613</v>
      </c>
      <c r="O19" s="72">
        <v>150000</v>
      </c>
      <c r="P19" s="77" t="s">
        <v>3</v>
      </c>
    </row>
    <row r="20" spans="2:16" s="6" customFormat="1" ht="41.25" customHeight="1" x14ac:dyDescent="0.25">
      <c r="B20" s="176"/>
      <c r="C20" s="7">
        <v>13</v>
      </c>
      <c r="D20" s="8" t="s">
        <v>29</v>
      </c>
      <c r="E20" s="7">
        <v>16108</v>
      </c>
      <c r="F20" s="7" t="s">
        <v>22</v>
      </c>
      <c r="G20" s="7" t="s">
        <v>7</v>
      </c>
      <c r="H20" s="113">
        <v>1</v>
      </c>
      <c r="I20" s="114">
        <v>45145</v>
      </c>
      <c r="J20" s="114">
        <v>45149</v>
      </c>
      <c r="K20" s="195"/>
      <c r="L20" s="197">
        <v>2700000</v>
      </c>
      <c r="M20" s="72">
        <f t="shared" si="0"/>
        <v>516666.66666666669</v>
      </c>
      <c r="N20" s="73">
        <f t="shared" si="1"/>
        <v>596153.84615384613</v>
      </c>
      <c r="O20" s="72">
        <v>150000</v>
      </c>
      <c r="P20" s="77" t="s">
        <v>3</v>
      </c>
    </row>
    <row r="21" spans="2:16" s="6" customFormat="1" ht="41.25" customHeight="1" x14ac:dyDescent="0.25">
      <c r="B21" s="176"/>
      <c r="C21" s="7">
        <v>14</v>
      </c>
      <c r="D21" s="8" t="s">
        <v>30</v>
      </c>
      <c r="E21" s="7">
        <v>9239</v>
      </c>
      <c r="F21" s="7" t="s">
        <v>22</v>
      </c>
      <c r="G21" s="7" t="s">
        <v>7</v>
      </c>
      <c r="H21" s="113"/>
      <c r="I21" s="114"/>
      <c r="J21" s="114"/>
      <c r="K21" s="202"/>
      <c r="L21" s="199"/>
      <c r="M21" s="72">
        <f t="shared" si="0"/>
        <v>516666.66666666669</v>
      </c>
      <c r="N21" s="73">
        <f t="shared" si="1"/>
        <v>596153.84615384613</v>
      </c>
      <c r="O21" s="72">
        <v>150000</v>
      </c>
      <c r="P21" s="77" t="s">
        <v>3</v>
      </c>
    </row>
    <row r="22" spans="2:16" s="6" customFormat="1" ht="41.25" customHeight="1" x14ac:dyDescent="0.25">
      <c r="B22" s="176"/>
      <c r="C22" s="7">
        <v>15</v>
      </c>
      <c r="D22" s="8" t="s">
        <v>32</v>
      </c>
      <c r="E22" s="7">
        <v>5745</v>
      </c>
      <c r="F22" s="7" t="s">
        <v>22</v>
      </c>
      <c r="G22" s="7" t="s">
        <v>7</v>
      </c>
      <c r="H22" s="113">
        <v>1</v>
      </c>
      <c r="I22" s="114">
        <v>45145</v>
      </c>
      <c r="J22" s="114">
        <v>45149</v>
      </c>
      <c r="K22" s="195"/>
      <c r="L22" s="197">
        <v>2700000</v>
      </c>
      <c r="M22" s="72">
        <f t="shared" si="0"/>
        <v>516666.66666666669</v>
      </c>
      <c r="N22" s="73">
        <f t="shared" si="1"/>
        <v>596153.84615384613</v>
      </c>
      <c r="O22" s="72">
        <v>150000</v>
      </c>
      <c r="P22" s="77" t="s">
        <v>3</v>
      </c>
    </row>
    <row r="23" spans="2:16" s="6" customFormat="1" ht="41.25" customHeight="1" x14ac:dyDescent="0.25">
      <c r="B23" s="176"/>
      <c r="C23" s="7">
        <v>16</v>
      </c>
      <c r="D23" s="8" t="s">
        <v>33</v>
      </c>
      <c r="E23" s="7">
        <v>12476</v>
      </c>
      <c r="F23" s="7" t="s">
        <v>22</v>
      </c>
      <c r="G23" s="7" t="s">
        <v>7</v>
      </c>
      <c r="H23" s="113"/>
      <c r="I23" s="114"/>
      <c r="J23" s="114"/>
      <c r="K23" s="202"/>
      <c r="L23" s="199"/>
      <c r="M23" s="72">
        <f t="shared" si="0"/>
        <v>516666.66666666669</v>
      </c>
      <c r="N23" s="73">
        <f t="shared" si="1"/>
        <v>596153.84615384613</v>
      </c>
      <c r="O23" s="72">
        <v>150000</v>
      </c>
      <c r="P23" s="77" t="s">
        <v>3</v>
      </c>
    </row>
    <row r="24" spans="2:16" s="6" customFormat="1" ht="41.25" customHeight="1" x14ac:dyDescent="0.25">
      <c r="B24" s="176"/>
      <c r="C24" s="7">
        <v>17</v>
      </c>
      <c r="D24" s="8" t="s">
        <v>31</v>
      </c>
      <c r="E24" s="7">
        <v>12837</v>
      </c>
      <c r="F24" s="7" t="s">
        <v>22</v>
      </c>
      <c r="G24" s="7" t="s">
        <v>7</v>
      </c>
      <c r="H24" s="113">
        <v>1</v>
      </c>
      <c r="I24" s="114">
        <v>45145</v>
      </c>
      <c r="J24" s="114">
        <v>45149</v>
      </c>
      <c r="K24" s="195"/>
      <c r="L24" s="197">
        <v>2700000</v>
      </c>
      <c r="M24" s="72">
        <f t="shared" si="0"/>
        <v>516666.66666666669</v>
      </c>
      <c r="N24" s="73">
        <f t="shared" si="1"/>
        <v>596153.84615384613</v>
      </c>
      <c r="O24" s="72">
        <v>150000</v>
      </c>
      <c r="P24" s="77" t="s">
        <v>3</v>
      </c>
    </row>
    <row r="25" spans="2:16" s="6" customFormat="1" ht="41.25" customHeight="1" x14ac:dyDescent="0.25">
      <c r="B25" s="176"/>
      <c r="C25" s="7">
        <v>18</v>
      </c>
      <c r="D25" s="8" t="s">
        <v>36</v>
      </c>
      <c r="E25" s="7">
        <v>9578</v>
      </c>
      <c r="F25" s="7" t="s">
        <v>27</v>
      </c>
      <c r="G25" s="7" t="s">
        <v>8</v>
      </c>
      <c r="H25" s="113"/>
      <c r="I25" s="114"/>
      <c r="J25" s="114"/>
      <c r="K25" s="202"/>
      <c r="L25" s="199"/>
      <c r="M25" s="72">
        <f t="shared" si="0"/>
        <v>516666.66666666669</v>
      </c>
      <c r="N25" s="73">
        <f t="shared" si="1"/>
        <v>596153.84615384613</v>
      </c>
      <c r="O25" s="72">
        <v>150000</v>
      </c>
      <c r="P25" s="77" t="s">
        <v>3</v>
      </c>
    </row>
    <row r="26" spans="2:16" s="6" customFormat="1" ht="41.25" customHeight="1" x14ac:dyDescent="0.25">
      <c r="B26" s="176"/>
      <c r="C26" s="7">
        <v>19</v>
      </c>
      <c r="D26" s="8" t="s">
        <v>34</v>
      </c>
      <c r="E26" s="7" t="s">
        <v>35</v>
      </c>
      <c r="F26" s="7" t="s">
        <v>22</v>
      </c>
      <c r="G26" s="7" t="s">
        <v>7</v>
      </c>
      <c r="H26" s="113">
        <v>1</v>
      </c>
      <c r="I26" s="114">
        <v>45145</v>
      </c>
      <c r="J26" s="114">
        <v>45149</v>
      </c>
      <c r="K26" s="195"/>
      <c r="L26" s="197">
        <v>2700000</v>
      </c>
      <c r="M26" s="72">
        <f t="shared" si="0"/>
        <v>516666.66666666669</v>
      </c>
      <c r="N26" s="73">
        <f t="shared" si="1"/>
        <v>596153.84615384613</v>
      </c>
      <c r="O26" s="72">
        <v>150000</v>
      </c>
      <c r="P26" s="77" t="s">
        <v>3</v>
      </c>
    </row>
    <row r="27" spans="2:16" s="6" customFormat="1" ht="41.25" customHeight="1" x14ac:dyDescent="0.25">
      <c r="B27" s="176"/>
      <c r="C27" s="7">
        <v>20</v>
      </c>
      <c r="D27" s="8" t="s">
        <v>37</v>
      </c>
      <c r="E27" s="7">
        <v>5943</v>
      </c>
      <c r="F27" s="7" t="s">
        <v>27</v>
      </c>
      <c r="G27" s="7" t="s">
        <v>8</v>
      </c>
      <c r="H27" s="113"/>
      <c r="I27" s="114"/>
      <c r="J27" s="114"/>
      <c r="K27" s="202"/>
      <c r="L27" s="199"/>
      <c r="M27" s="72">
        <f t="shared" si="0"/>
        <v>516666.66666666669</v>
      </c>
      <c r="N27" s="73">
        <f t="shared" si="1"/>
        <v>596153.84615384613</v>
      </c>
      <c r="O27" s="72">
        <v>150000</v>
      </c>
      <c r="P27" s="77" t="s">
        <v>3</v>
      </c>
    </row>
    <row r="28" spans="2:16" s="6" customFormat="1" ht="41.25" customHeight="1" x14ac:dyDescent="0.25">
      <c r="B28" s="176"/>
      <c r="C28" s="7">
        <v>21</v>
      </c>
      <c r="D28" s="8" t="s">
        <v>38</v>
      </c>
      <c r="E28" s="7">
        <v>5395</v>
      </c>
      <c r="F28" s="7" t="s">
        <v>27</v>
      </c>
      <c r="G28" s="7" t="s">
        <v>8</v>
      </c>
      <c r="H28" s="113">
        <v>1</v>
      </c>
      <c r="I28" s="114">
        <v>45145</v>
      </c>
      <c r="J28" s="114">
        <v>45149</v>
      </c>
      <c r="K28" s="195"/>
      <c r="L28" s="197">
        <v>2700000</v>
      </c>
      <c r="M28" s="72">
        <f t="shared" si="0"/>
        <v>516666.66666666669</v>
      </c>
      <c r="N28" s="73">
        <f t="shared" si="1"/>
        <v>596153.84615384613</v>
      </c>
      <c r="O28" s="72">
        <v>150000</v>
      </c>
      <c r="P28" s="77" t="s">
        <v>3</v>
      </c>
    </row>
    <row r="29" spans="2:16" s="6" customFormat="1" ht="41.25" customHeight="1" x14ac:dyDescent="0.25">
      <c r="B29" s="177"/>
      <c r="C29" s="7">
        <v>22</v>
      </c>
      <c r="D29" s="8" t="s">
        <v>39</v>
      </c>
      <c r="E29" s="7">
        <v>4852</v>
      </c>
      <c r="F29" s="7" t="s">
        <v>27</v>
      </c>
      <c r="G29" s="7" t="s">
        <v>8</v>
      </c>
      <c r="H29" s="113"/>
      <c r="I29" s="114"/>
      <c r="J29" s="114"/>
      <c r="K29" s="202"/>
      <c r="L29" s="199"/>
      <c r="M29" s="72">
        <f t="shared" si="0"/>
        <v>516666.66666666669</v>
      </c>
      <c r="N29" s="73">
        <f t="shared" si="1"/>
        <v>596153.84615384613</v>
      </c>
      <c r="O29" s="72">
        <v>150000</v>
      </c>
      <c r="P29" s="77" t="s">
        <v>3</v>
      </c>
    </row>
    <row r="30" spans="2:16" s="6" customFormat="1" ht="41.25" customHeight="1" x14ac:dyDescent="0.25">
      <c r="B30" s="203" t="s">
        <v>40</v>
      </c>
      <c r="C30" s="7">
        <v>23</v>
      </c>
      <c r="D30" s="8" t="s">
        <v>41</v>
      </c>
      <c r="E30" s="7">
        <v>9450</v>
      </c>
      <c r="F30" s="7" t="s">
        <v>18</v>
      </c>
      <c r="G30" s="7" t="s">
        <v>9</v>
      </c>
      <c r="H30" s="113">
        <v>1</v>
      </c>
      <c r="I30" s="114">
        <v>45145</v>
      </c>
      <c r="J30" s="114">
        <v>45149</v>
      </c>
      <c r="K30" s="195"/>
      <c r="L30" s="197">
        <v>2620000</v>
      </c>
      <c r="M30" s="72">
        <f t="shared" si="0"/>
        <v>516666.66666666669</v>
      </c>
      <c r="N30" s="73">
        <f t="shared" si="1"/>
        <v>596153.84615384613</v>
      </c>
      <c r="O30" s="72">
        <v>150000</v>
      </c>
      <c r="P30" s="77" t="s">
        <v>3</v>
      </c>
    </row>
    <row r="31" spans="2:16" s="6" customFormat="1" ht="41.25" customHeight="1" x14ac:dyDescent="0.25">
      <c r="B31" s="203"/>
      <c r="C31" s="7">
        <v>24</v>
      </c>
      <c r="D31" s="8" t="s">
        <v>42</v>
      </c>
      <c r="E31" s="7">
        <v>5421</v>
      </c>
      <c r="F31" s="7" t="s">
        <v>27</v>
      </c>
      <c r="G31" s="7" t="s">
        <v>8</v>
      </c>
      <c r="H31" s="113"/>
      <c r="I31" s="114"/>
      <c r="J31" s="114"/>
      <c r="K31" s="202"/>
      <c r="L31" s="199"/>
      <c r="M31" s="72">
        <f t="shared" si="0"/>
        <v>516666.66666666669</v>
      </c>
      <c r="N31" s="73">
        <f t="shared" si="1"/>
        <v>596153.84615384613</v>
      </c>
      <c r="O31" s="72">
        <v>150000</v>
      </c>
      <c r="P31" s="77" t="s">
        <v>3</v>
      </c>
    </row>
    <row r="32" spans="2:16" s="6" customFormat="1" ht="41.25" customHeight="1" x14ac:dyDescent="0.25">
      <c r="B32" s="190" t="s">
        <v>14</v>
      </c>
      <c r="C32" s="10">
        <v>25</v>
      </c>
      <c r="D32" s="9" t="s">
        <v>60</v>
      </c>
      <c r="E32" s="10">
        <v>5825</v>
      </c>
      <c r="F32" s="10" t="s">
        <v>27</v>
      </c>
      <c r="G32" s="10" t="s">
        <v>8</v>
      </c>
      <c r="H32" s="118">
        <v>1</v>
      </c>
      <c r="I32" s="114">
        <v>45145</v>
      </c>
      <c r="J32" s="114">
        <v>45149</v>
      </c>
      <c r="K32" s="200"/>
      <c r="L32" s="197">
        <v>2700000</v>
      </c>
      <c r="M32" s="72">
        <f t="shared" si="0"/>
        <v>516666.66666666669</v>
      </c>
      <c r="N32" s="73">
        <f t="shared" si="1"/>
        <v>596153.84615384613</v>
      </c>
      <c r="O32" s="72">
        <v>150000</v>
      </c>
      <c r="P32" s="77" t="s">
        <v>3</v>
      </c>
    </row>
    <row r="33" spans="2:16" s="6" customFormat="1" ht="41.25" customHeight="1" x14ac:dyDescent="0.25">
      <c r="B33" s="190"/>
      <c r="C33" s="10">
        <v>26</v>
      </c>
      <c r="D33" s="9" t="s">
        <v>43</v>
      </c>
      <c r="E33" s="10">
        <v>6366</v>
      </c>
      <c r="F33" s="10" t="s">
        <v>18</v>
      </c>
      <c r="G33" s="10" t="s">
        <v>9</v>
      </c>
      <c r="H33" s="119"/>
      <c r="I33" s="114"/>
      <c r="J33" s="114"/>
      <c r="K33" s="201"/>
      <c r="L33" s="199"/>
      <c r="M33" s="72">
        <f t="shared" si="0"/>
        <v>516666.66666666669</v>
      </c>
      <c r="N33" s="73">
        <f t="shared" si="1"/>
        <v>596153.84615384613</v>
      </c>
      <c r="O33" s="72">
        <v>150000</v>
      </c>
      <c r="P33" s="77" t="s">
        <v>3</v>
      </c>
    </row>
    <row r="34" spans="2:16" s="6" customFormat="1" ht="41.25" customHeight="1" x14ac:dyDescent="0.25">
      <c r="B34" s="190"/>
      <c r="C34" s="7">
        <v>27</v>
      </c>
      <c r="D34" s="8" t="s">
        <v>61</v>
      </c>
      <c r="E34" s="7">
        <v>3644</v>
      </c>
      <c r="F34" s="7" t="s">
        <v>17</v>
      </c>
      <c r="G34" s="7" t="s">
        <v>10</v>
      </c>
      <c r="H34" s="113">
        <v>1</v>
      </c>
      <c r="I34" s="114">
        <v>45145</v>
      </c>
      <c r="J34" s="115">
        <v>45147</v>
      </c>
      <c r="K34" s="92" t="s">
        <v>97</v>
      </c>
      <c r="L34" s="77">
        <f>1270000/2</f>
        <v>635000</v>
      </c>
      <c r="M34" s="72">
        <f t="shared" si="0"/>
        <v>516666.66666666669</v>
      </c>
      <c r="N34" s="73" t="s">
        <v>3</v>
      </c>
      <c r="O34" s="72">
        <v>150000</v>
      </c>
      <c r="P34" s="77">
        <v>1026000</v>
      </c>
    </row>
    <row r="35" spans="2:16" s="6" customFormat="1" ht="41.25" customHeight="1" x14ac:dyDescent="0.25">
      <c r="B35" s="91" t="s">
        <v>15</v>
      </c>
      <c r="C35" s="7">
        <v>28</v>
      </c>
      <c r="D35" s="8" t="s">
        <v>47</v>
      </c>
      <c r="E35" s="7">
        <v>1013</v>
      </c>
      <c r="F35" s="7" t="s">
        <v>18</v>
      </c>
      <c r="G35" s="7" t="s">
        <v>9</v>
      </c>
      <c r="H35" s="113"/>
      <c r="I35" s="114"/>
      <c r="J35" s="115"/>
      <c r="K35" s="92" t="s">
        <v>101</v>
      </c>
      <c r="L35" s="77">
        <f>1270000/2</f>
        <v>635000</v>
      </c>
      <c r="M35" s="72">
        <f t="shared" si="0"/>
        <v>516666.66666666669</v>
      </c>
      <c r="N35" s="73" t="s">
        <v>3</v>
      </c>
      <c r="O35" s="72">
        <v>150000</v>
      </c>
      <c r="P35" s="77">
        <v>1026000</v>
      </c>
    </row>
    <row r="36" spans="2:16" s="6" customFormat="1" ht="41.25" customHeight="1" x14ac:dyDescent="0.25">
      <c r="B36" s="190" t="s">
        <v>44</v>
      </c>
      <c r="C36" s="7">
        <v>29</v>
      </c>
      <c r="D36" s="8" t="s">
        <v>45</v>
      </c>
      <c r="E36" s="7">
        <v>5557</v>
      </c>
      <c r="F36" s="7" t="s">
        <v>18</v>
      </c>
      <c r="G36" s="7" t="s">
        <v>9</v>
      </c>
      <c r="H36" s="113">
        <v>1</v>
      </c>
      <c r="I36" s="114">
        <v>45145</v>
      </c>
      <c r="J36" s="115">
        <v>45147</v>
      </c>
      <c r="K36" s="195"/>
      <c r="L36" s="197">
        <v>1270000</v>
      </c>
      <c r="M36" s="72">
        <f t="shared" si="0"/>
        <v>516666.66666666669</v>
      </c>
      <c r="N36" s="73">
        <f t="shared" si="1"/>
        <v>596153.84615384613</v>
      </c>
      <c r="O36" s="72">
        <v>150000</v>
      </c>
      <c r="P36" s="77" t="s">
        <v>3</v>
      </c>
    </row>
    <row r="37" spans="2:16" s="6" customFormat="1" ht="41.25" customHeight="1" thickBot="1" x14ac:dyDescent="0.3">
      <c r="B37" s="191"/>
      <c r="C37" s="65">
        <v>30</v>
      </c>
      <c r="D37" s="66" t="s">
        <v>46</v>
      </c>
      <c r="E37" s="65">
        <v>13346</v>
      </c>
      <c r="F37" s="65" t="s">
        <v>18</v>
      </c>
      <c r="G37" s="65" t="s">
        <v>9</v>
      </c>
      <c r="H37" s="192"/>
      <c r="I37" s="193"/>
      <c r="J37" s="194"/>
      <c r="K37" s="196"/>
      <c r="L37" s="198"/>
      <c r="M37" s="72">
        <f t="shared" si="0"/>
        <v>516666.66666666669</v>
      </c>
      <c r="N37" s="73" t="s">
        <v>3</v>
      </c>
      <c r="O37" s="72">
        <v>150000</v>
      </c>
      <c r="P37" s="77">
        <v>1026000</v>
      </c>
    </row>
    <row r="38" spans="2:16" s="6" customFormat="1" ht="41.25" customHeight="1" thickTop="1" x14ac:dyDescent="0.25">
      <c r="B38" s="167" t="s">
        <v>4</v>
      </c>
      <c r="C38" s="168"/>
      <c r="D38" s="168"/>
      <c r="E38" s="168"/>
      <c r="F38" s="168"/>
      <c r="G38" s="168"/>
      <c r="H38" s="67">
        <f>SUM(H8:H37)</f>
        <v>15</v>
      </c>
      <c r="I38" s="169"/>
      <c r="J38" s="169"/>
      <c r="K38" s="170"/>
      <c r="L38" s="79">
        <f t="shared" ref="L38:P38" si="2">SUM(L8:L37)</f>
        <v>37480000</v>
      </c>
      <c r="M38" s="74">
        <f t="shared" si="2"/>
        <v>15499999.999999994</v>
      </c>
      <c r="N38" s="75">
        <f t="shared" si="2"/>
        <v>15499999.999999998</v>
      </c>
      <c r="O38" s="74">
        <f t="shared" si="2"/>
        <v>4500000</v>
      </c>
      <c r="P38" s="79">
        <f t="shared" si="2"/>
        <v>4104000</v>
      </c>
    </row>
    <row r="39" spans="2:16" ht="41.25" customHeight="1" thickBot="1" x14ac:dyDescent="0.3">
      <c r="B39" s="156" t="s">
        <v>106</v>
      </c>
      <c r="C39" s="157"/>
      <c r="D39" s="157"/>
      <c r="E39" s="157"/>
      <c r="F39" s="157"/>
      <c r="G39" s="157"/>
      <c r="H39" s="93"/>
      <c r="I39" s="158"/>
      <c r="J39" s="159"/>
      <c r="K39" s="160"/>
      <c r="L39" s="80">
        <f>SUM(L38)</f>
        <v>37480000</v>
      </c>
      <c r="M39" s="173">
        <f>SUM(M38:N38)</f>
        <v>30999999.999999993</v>
      </c>
      <c r="N39" s="174"/>
      <c r="O39" s="102">
        <f>SUM(O38:O38)</f>
        <v>4500000</v>
      </c>
      <c r="P39" s="80">
        <f>SUM(P38)</f>
        <v>4104000</v>
      </c>
    </row>
    <row r="41" spans="2:16" x14ac:dyDescent="0.25">
      <c r="M41" s="83">
        <f>516667*30</f>
        <v>15500010</v>
      </c>
      <c r="N41" s="83">
        <f>596154*26</f>
        <v>15500004</v>
      </c>
      <c r="O41" s="83">
        <f>50000*30</f>
        <v>1500000</v>
      </c>
    </row>
  </sheetData>
  <mergeCells count="95">
    <mergeCell ref="B8:B11"/>
    <mergeCell ref="H8:H9"/>
    <mergeCell ref="I8:I9"/>
    <mergeCell ref="J8:J9"/>
    <mergeCell ref="B2:K2"/>
    <mergeCell ref="H10:H11"/>
    <mergeCell ref="I10:I11"/>
    <mergeCell ref="J10:J11"/>
    <mergeCell ref="K10:K11"/>
    <mergeCell ref="I4:I7"/>
    <mergeCell ref="L10:L11"/>
    <mergeCell ref="L12:L13"/>
    <mergeCell ref="H14:H15"/>
    <mergeCell ref="I14:I15"/>
    <mergeCell ref="J14:J15"/>
    <mergeCell ref="K14:K15"/>
    <mergeCell ref="L14:L15"/>
    <mergeCell ref="H12:H13"/>
    <mergeCell ref="I12:I13"/>
    <mergeCell ref="J12:J13"/>
    <mergeCell ref="K12:K13"/>
    <mergeCell ref="H18:H19"/>
    <mergeCell ref="I18:I19"/>
    <mergeCell ref="J18:J19"/>
    <mergeCell ref="K18:K19"/>
    <mergeCell ref="L18:L19"/>
    <mergeCell ref="H16:H17"/>
    <mergeCell ref="I16:I17"/>
    <mergeCell ref="J16:J17"/>
    <mergeCell ref="K16:K17"/>
    <mergeCell ref="L16:L17"/>
    <mergeCell ref="I20:I21"/>
    <mergeCell ref="J20:J21"/>
    <mergeCell ref="K20:K21"/>
    <mergeCell ref="L20:L21"/>
    <mergeCell ref="H22:H23"/>
    <mergeCell ref="I22:I23"/>
    <mergeCell ref="J22:J23"/>
    <mergeCell ref="K22:K23"/>
    <mergeCell ref="L22:L23"/>
    <mergeCell ref="L24:L25"/>
    <mergeCell ref="H26:H27"/>
    <mergeCell ref="I26:I27"/>
    <mergeCell ref="J26:J27"/>
    <mergeCell ref="K26:K27"/>
    <mergeCell ref="L26:L27"/>
    <mergeCell ref="L28:L29"/>
    <mergeCell ref="B30:B31"/>
    <mergeCell ref="H30:H31"/>
    <mergeCell ref="I30:I31"/>
    <mergeCell ref="J30:J31"/>
    <mergeCell ref="K30:K31"/>
    <mergeCell ref="L36:L37"/>
    <mergeCell ref="L30:L31"/>
    <mergeCell ref="B32:B34"/>
    <mergeCell ref="H32:H33"/>
    <mergeCell ref="I32:I33"/>
    <mergeCell ref="J32:J33"/>
    <mergeCell ref="K32:K33"/>
    <mergeCell ref="L32:L33"/>
    <mergeCell ref="H34:H35"/>
    <mergeCell ref="I34:I35"/>
    <mergeCell ref="J34:J35"/>
    <mergeCell ref="K4:K7"/>
    <mergeCell ref="J4:J7"/>
    <mergeCell ref="B36:B37"/>
    <mergeCell ref="H36:H37"/>
    <mergeCell ref="I36:I37"/>
    <mergeCell ref="J36:J37"/>
    <mergeCell ref="K36:K37"/>
    <mergeCell ref="H28:H29"/>
    <mergeCell ref="I28:I29"/>
    <mergeCell ref="J28:J29"/>
    <mergeCell ref="K28:K29"/>
    <mergeCell ref="H24:H25"/>
    <mergeCell ref="I24:I25"/>
    <mergeCell ref="J24:J25"/>
    <mergeCell ref="K24:K25"/>
    <mergeCell ref="H20:H21"/>
    <mergeCell ref="L5:L7"/>
    <mergeCell ref="B39:G39"/>
    <mergeCell ref="I39:K39"/>
    <mergeCell ref="L4:P4"/>
    <mergeCell ref="C4:C7"/>
    <mergeCell ref="D4:D7"/>
    <mergeCell ref="E4:E7"/>
    <mergeCell ref="F4:F7"/>
    <mergeCell ref="G4:G7"/>
    <mergeCell ref="B38:G38"/>
    <mergeCell ref="I38:K38"/>
    <mergeCell ref="M5:N5"/>
    <mergeCell ref="M39:N39"/>
    <mergeCell ref="B12:B29"/>
    <mergeCell ref="B4:B7"/>
    <mergeCell ref="H4:H7"/>
  </mergeCells>
  <printOptions horizontalCentered="1"/>
  <pageMargins left="0" right="0" top="1" bottom="0" header="1" footer="0"/>
  <pageSetup paperSize="9"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8B4E-718C-44F6-BCE0-8E324758058C}">
  <sheetPr>
    <tabColor rgb="FFFFFFCC"/>
    <pageSetUpPr fitToPage="1"/>
  </sheetPr>
  <dimension ref="B2:P16"/>
  <sheetViews>
    <sheetView tabSelected="1" zoomScale="70" zoomScaleNormal="70" zoomScaleSheetLayoutView="70" workbookViewId="0">
      <pane ySplit="8" topLeftCell="A9" activePane="bottomLeft" state="frozen"/>
      <selection pane="bottomLeft" activeCell="B12" sqref="B12:K12"/>
    </sheetView>
  </sheetViews>
  <sheetFormatPr defaultColWidth="9.140625" defaultRowHeight="18.75" x14ac:dyDescent="0.25"/>
  <cols>
    <col min="1" max="1" width="1.7109375" style="2" customWidth="1"/>
    <col min="2" max="2" width="10.7109375" style="2" customWidth="1"/>
    <col min="3" max="3" width="8.28515625" style="2" customWidth="1"/>
    <col min="4" max="4" width="25.140625" style="2" customWidth="1"/>
    <col min="5" max="5" width="10.7109375" style="2" customWidth="1"/>
    <col min="6" max="6" width="15.7109375" style="2" customWidth="1"/>
    <col min="7" max="7" width="10.7109375" style="2" customWidth="1"/>
    <col min="8" max="8" width="15.7109375" style="2" customWidth="1"/>
    <col min="9" max="10" width="15.7109375" style="12" customWidth="1"/>
    <col min="11" max="11" width="9.42578125" style="5" customWidth="1"/>
    <col min="12" max="16" width="15.85546875" style="55" customWidth="1"/>
    <col min="17" max="16384" width="9.140625" style="2"/>
  </cols>
  <sheetData>
    <row r="2" spans="2:16" ht="27" x14ac:dyDescent="0.25">
      <c r="B2" s="133" t="s">
        <v>63</v>
      </c>
      <c r="C2" s="133"/>
      <c r="D2" s="133"/>
      <c r="E2" s="133"/>
      <c r="F2" s="133"/>
      <c r="G2" s="133"/>
      <c r="H2" s="133"/>
      <c r="I2" s="133"/>
      <c r="J2" s="133"/>
      <c r="K2" s="133"/>
      <c r="L2" s="54"/>
      <c r="M2" s="54"/>
      <c r="N2" s="54"/>
      <c r="O2" s="54"/>
      <c r="P2" s="54"/>
    </row>
    <row r="3" spans="2:16" x14ac:dyDescent="0.25">
      <c r="B3" s="3"/>
    </row>
    <row r="4" spans="2:16" ht="20.100000000000001" customHeight="1" x14ac:dyDescent="0.25">
      <c r="B4" s="135" t="s">
        <v>57</v>
      </c>
      <c r="C4" s="135" t="s">
        <v>0</v>
      </c>
      <c r="D4" s="135" t="s">
        <v>2</v>
      </c>
      <c r="E4" s="135" t="s">
        <v>1</v>
      </c>
      <c r="F4" s="135" t="s">
        <v>6</v>
      </c>
      <c r="G4" s="135" t="s">
        <v>13</v>
      </c>
      <c r="H4" s="135" t="s">
        <v>58</v>
      </c>
      <c r="I4" s="139" t="s">
        <v>53</v>
      </c>
      <c r="J4" s="139" t="s">
        <v>54</v>
      </c>
      <c r="K4" s="130" t="s">
        <v>118</v>
      </c>
      <c r="L4" s="215" t="s">
        <v>95</v>
      </c>
      <c r="M4" s="215"/>
      <c r="N4" s="215"/>
      <c r="O4" s="215"/>
      <c r="P4" s="215"/>
    </row>
    <row r="5" spans="2:16" s="4" customFormat="1" ht="20.100000000000001" customHeight="1" x14ac:dyDescent="0.25">
      <c r="B5" s="165"/>
      <c r="C5" s="165"/>
      <c r="D5" s="165"/>
      <c r="E5" s="165"/>
      <c r="F5" s="165"/>
      <c r="G5" s="165"/>
      <c r="H5" s="165"/>
      <c r="I5" s="188"/>
      <c r="J5" s="188"/>
      <c r="K5" s="212"/>
      <c r="L5" s="216" t="s">
        <v>5</v>
      </c>
      <c r="M5" s="215" t="s">
        <v>64</v>
      </c>
      <c r="N5" s="215"/>
      <c r="O5" s="64" t="s">
        <v>114</v>
      </c>
      <c r="P5" s="59" t="s">
        <v>107</v>
      </c>
    </row>
    <row r="6" spans="2:16" s="4" customFormat="1" ht="33.75" customHeight="1" x14ac:dyDescent="0.25">
      <c r="B6" s="165"/>
      <c r="C6" s="165"/>
      <c r="D6" s="165"/>
      <c r="E6" s="165"/>
      <c r="F6" s="165"/>
      <c r="G6" s="165"/>
      <c r="H6" s="165"/>
      <c r="I6" s="188"/>
      <c r="J6" s="188"/>
      <c r="K6" s="212"/>
      <c r="L6" s="217"/>
      <c r="M6" s="64" t="s">
        <v>98</v>
      </c>
      <c r="N6" s="64" t="s">
        <v>99</v>
      </c>
      <c r="O6" s="64" t="s">
        <v>104</v>
      </c>
      <c r="P6" s="63"/>
    </row>
    <row r="7" spans="2:16" s="4" customFormat="1" ht="33.75" customHeight="1" x14ac:dyDescent="0.25">
      <c r="B7" s="165"/>
      <c r="C7" s="165"/>
      <c r="D7" s="165"/>
      <c r="E7" s="165"/>
      <c r="F7" s="165"/>
      <c r="G7" s="165"/>
      <c r="H7" s="165"/>
      <c r="I7" s="188"/>
      <c r="J7" s="188"/>
      <c r="K7" s="212"/>
      <c r="L7" s="217" t="s">
        <v>112</v>
      </c>
      <c r="M7" s="64" t="s">
        <v>116</v>
      </c>
      <c r="N7" s="100" t="s">
        <v>115</v>
      </c>
      <c r="O7" s="64" t="s">
        <v>117</v>
      </c>
      <c r="P7" s="64" t="s">
        <v>115</v>
      </c>
    </row>
    <row r="8" spans="2:16" s="4" customFormat="1" ht="33.75" customHeight="1" x14ac:dyDescent="0.25">
      <c r="B8" s="211"/>
      <c r="C8" s="211"/>
      <c r="D8" s="211"/>
      <c r="E8" s="211"/>
      <c r="F8" s="211"/>
      <c r="G8" s="211"/>
      <c r="H8" s="211"/>
      <c r="I8" s="214"/>
      <c r="J8" s="214"/>
      <c r="K8" s="213"/>
      <c r="L8" s="217" t="s">
        <v>113</v>
      </c>
      <c r="M8" s="59" t="s">
        <v>109</v>
      </c>
      <c r="N8" s="59" t="s">
        <v>110</v>
      </c>
      <c r="O8" s="103" t="s">
        <v>111</v>
      </c>
      <c r="P8" s="59"/>
    </row>
    <row r="9" spans="2:16" s="6" customFormat="1" ht="30" customHeight="1" x14ac:dyDescent="0.25">
      <c r="B9" s="113" t="s">
        <v>16</v>
      </c>
      <c r="C9" s="7">
        <v>1</v>
      </c>
      <c r="D9" s="8" t="s">
        <v>48</v>
      </c>
      <c r="E9" s="7">
        <v>7091</v>
      </c>
      <c r="F9" s="7" t="s">
        <v>17</v>
      </c>
      <c r="G9" s="7" t="s">
        <v>10</v>
      </c>
      <c r="H9" s="7">
        <v>1</v>
      </c>
      <c r="I9" s="53">
        <v>45145</v>
      </c>
      <c r="J9" s="53">
        <v>45146</v>
      </c>
      <c r="K9" s="218">
        <v>1</v>
      </c>
      <c r="L9" s="62">
        <f>2700000/4</f>
        <v>675000</v>
      </c>
      <c r="M9" s="62">
        <v>516666.66666666698</v>
      </c>
      <c r="N9" s="60" t="s">
        <v>3</v>
      </c>
      <c r="O9" s="62">
        <v>150000</v>
      </c>
      <c r="P9" s="62">
        <v>1026000</v>
      </c>
    </row>
    <row r="10" spans="2:16" s="6" customFormat="1" ht="30" customHeight="1" x14ac:dyDescent="0.25">
      <c r="B10" s="113"/>
      <c r="C10" s="7">
        <v>2</v>
      </c>
      <c r="D10" s="8" t="s">
        <v>49</v>
      </c>
      <c r="E10" s="7">
        <v>8874</v>
      </c>
      <c r="F10" s="7" t="s">
        <v>18</v>
      </c>
      <c r="G10" s="7" t="s">
        <v>9</v>
      </c>
      <c r="H10" s="113">
        <v>1</v>
      </c>
      <c r="I10" s="114">
        <v>45145</v>
      </c>
      <c r="J10" s="114">
        <v>45149</v>
      </c>
      <c r="K10" s="219">
        <v>4</v>
      </c>
      <c r="L10" s="131">
        <v>2700000</v>
      </c>
      <c r="M10" s="62">
        <v>516666.66666666698</v>
      </c>
      <c r="N10" s="60">
        <v>596153.84615384613</v>
      </c>
      <c r="O10" s="62">
        <v>150000</v>
      </c>
      <c r="P10" s="62" t="s">
        <v>3</v>
      </c>
    </row>
    <row r="11" spans="2:16" s="6" customFormat="1" ht="30" customHeight="1" thickBot="1" x14ac:dyDescent="0.3">
      <c r="B11" s="113"/>
      <c r="C11" s="7">
        <v>3</v>
      </c>
      <c r="D11" s="8" t="s">
        <v>50</v>
      </c>
      <c r="E11" s="7">
        <v>1220</v>
      </c>
      <c r="F11" s="7" t="s">
        <v>18</v>
      </c>
      <c r="G11" s="7" t="s">
        <v>9</v>
      </c>
      <c r="H11" s="113"/>
      <c r="I11" s="114"/>
      <c r="J11" s="114"/>
      <c r="K11" s="220"/>
      <c r="L11" s="132"/>
      <c r="M11" s="62">
        <v>516666.66666666698</v>
      </c>
      <c r="N11" s="60">
        <v>596153.84615384613</v>
      </c>
      <c r="O11" s="62">
        <v>150000</v>
      </c>
      <c r="P11" s="62" t="s">
        <v>3</v>
      </c>
    </row>
    <row r="12" spans="2:16" s="6" customFormat="1" ht="33" customHeight="1" thickTop="1" x14ac:dyDescent="0.25">
      <c r="B12" s="140" t="s">
        <v>4</v>
      </c>
      <c r="C12" s="141"/>
      <c r="D12" s="141"/>
      <c r="E12" s="141"/>
      <c r="F12" s="141"/>
      <c r="G12" s="141"/>
      <c r="H12" s="141"/>
      <c r="I12" s="141"/>
      <c r="J12" s="141"/>
      <c r="K12" s="142"/>
      <c r="L12" s="68">
        <f t="shared" ref="L12:P12" si="0">SUM(L9:L11)</f>
        <v>3375000</v>
      </c>
      <c r="M12" s="68">
        <f t="shared" si="0"/>
        <v>1550000.0000000009</v>
      </c>
      <c r="N12" s="68">
        <f t="shared" si="0"/>
        <v>1192307.6923076923</v>
      </c>
      <c r="O12" s="68">
        <f t="shared" si="0"/>
        <v>450000</v>
      </c>
      <c r="P12" s="68">
        <f t="shared" si="0"/>
        <v>1026000</v>
      </c>
    </row>
    <row r="13" spans="2:16" ht="33" customHeight="1" x14ac:dyDescent="0.25">
      <c r="L13" s="2"/>
      <c r="P13" s="69">
        <f>SUM(L12:P12)</f>
        <v>7593307.692307693</v>
      </c>
    </row>
    <row r="15" spans="2:16" x14ac:dyDescent="0.25">
      <c r="L15" s="55">
        <f>(L10/4)*5</f>
        <v>3375000</v>
      </c>
    </row>
    <row r="16" spans="2:16" x14ac:dyDescent="0.25">
      <c r="P16" s="55">
        <v>7593307.692307692</v>
      </c>
    </row>
  </sheetData>
  <mergeCells count="20">
    <mergeCell ref="B2:K2"/>
    <mergeCell ref="G4:G8"/>
    <mergeCell ref="F4:F8"/>
    <mergeCell ref="E4:E8"/>
    <mergeCell ref="D4:D8"/>
    <mergeCell ref="C4:C8"/>
    <mergeCell ref="B12:K12"/>
    <mergeCell ref="B4:B8"/>
    <mergeCell ref="K10:K11"/>
    <mergeCell ref="L10:L11"/>
    <mergeCell ref="B9:B11"/>
    <mergeCell ref="H10:H11"/>
    <mergeCell ref="I10:I11"/>
    <mergeCell ref="J10:J11"/>
    <mergeCell ref="K4:K8"/>
    <mergeCell ref="J4:J8"/>
    <mergeCell ref="I4:I8"/>
    <mergeCell ref="H4:H8"/>
    <mergeCell ref="L4:P4"/>
    <mergeCell ref="M5:N5"/>
  </mergeCells>
  <printOptions horizontalCentered="1"/>
  <pageMargins left="0" right="0" top="1" bottom="0" header="1" footer="0"/>
  <pageSetup paperSize="9"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BUDGET PR</vt:lpstr>
      <vt:lpstr>BIAYA</vt:lpstr>
      <vt:lpstr>BIAYA (2)</vt:lpstr>
      <vt:lpstr>BIAYA (PP)</vt:lpstr>
      <vt:lpstr>BIAYA!Print_Area</vt:lpstr>
      <vt:lpstr>'BIAYA (2)'!Print_Area</vt:lpstr>
      <vt:lpstr>'BIAYA (PP)'!Print_Area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pp-06</cp:lastModifiedBy>
  <cp:lastPrinted>2023-08-18T08:46:38Z</cp:lastPrinted>
  <dcterms:created xsi:type="dcterms:W3CDTF">2023-06-18T02:33:15Z</dcterms:created>
  <dcterms:modified xsi:type="dcterms:W3CDTF">2023-08-18T08:46:49Z</dcterms:modified>
</cp:coreProperties>
</file>