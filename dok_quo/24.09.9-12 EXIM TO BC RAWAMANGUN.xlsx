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P:\GA\GA-03- MIKI\2. PERJALANAN DINAS\DOMESTIC\1. PERHITUNGAN SPD\24.09 September\"/>
    </mc:Choice>
  </mc:AlternateContent>
  <xr:revisionPtr revIDLastSave="0" documentId="8_{A92BC05B-748A-4E3D-8C6A-6951DBCE9816}" xr6:coauthVersionLast="47" xr6:coauthVersionMax="47" xr10:uidLastSave="{00000000-0000-0000-0000-000000000000}"/>
  <bookViews>
    <workbookView xWindow="-120" yWindow="-120" windowWidth="29040" windowHeight="15720" tabRatio="761" activeTab="1" xr2:uid="{00000000-000D-0000-FFFF-FFFF00000000}"/>
  </bookViews>
  <sheets>
    <sheet name="TAHAP 1" sheetId="5" r:id="rId1"/>
    <sheet name="TAPAH 2.2 (Rincian)" sheetId="15" r:id="rId2"/>
    <sheet name="TAHAP 2.1 (SPD)" sheetId="16" r:id="rId3"/>
  </sheets>
  <definedNames>
    <definedName name="_xlnm.Print_Area" localSheetId="0">'TAHAP 1'!$A$1:$V$82</definedName>
    <definedName name="_xlnm.Print_Area" localSheetId="2">'TAHAP 2.1 (SPD)'!$A$1:$X$55</definedName>
    <definedName name="_xlnm.Print_Area" localSheetId="1">'TAPAH 2.2 (Rincian)'!$A$1:$Q$86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5" i="15" l="1"/>
  <c r="H25" i="15"/>
  <c r="F25" i="15"/>
  <c r="J25" i="15" s="1"/>
  <c r="H76" i="15"/>
  <c r="C72" i="15"/>
  <c r="C26" i="15"/>
  <c r="H26" i="15"/>
  <c r="F26" i="15"/>
  <c r="I24" i="15"/>
  <c r="H24" i="15"/>
  <c r="F24" i="15"/>
  <c r="R71" i="5"/>
  <c r="P59" i="5"/>
  <c r="Q33" i="16"/>
  <c r="Q32" i="16"/>
  <c r="M42" i="15"/>
  <c r="O33" i="16" s="1"/>
  <c r="M41" i="15"/>
  <c r="O32" i="16" s="1"/>
  <c r="C71" i="15"/>
  <c r="E71" i="15"/>
  <c r="J24" i="15" l="1"/>
  <c r="J26" i="15"/>
  <c r="Q34" i="16"/>
  <c r="N41" i="15"/>
  <c r="H62" i="15"/>
  <c r="E77" i="15" l="1"/>
  <c r="C32" i="15"/>
  <c r="C77" i="15" s="1"/>
  <c r="G73" i="15" l="1"/>
  <c r="H77" i="15"/>
  <c r="J77" i="15" s="1"/>
  <c r="S33" i="16" s="1"/>
  <c r="H23" i="15"/>
  <c r="G33" i="16" l="1"/>
  <c r="I10" i="16"/>
  <c r="C33" i="16" l="1"/>
  <c r="J76" i="15" l="1"/>
  <c r="E76" i="15"/>
  <c r="K76" i="15" l="1"/>
  <c r="S32" i="16"/>
  <c r="S34" i="16" s="1"/>
  <c r="I20" i="16"/>
  <c r="Z20" i="16" s="1"/>
  <c r="G32" i="16" l="1"/>
  <c r="M20" i="16"/>
  <c r="AB20" i="16" s="1"/>
  <c r="K20" i="16"/>
  <c r="AA20" i="16" s="1"/>
  <c r="G20" i="16"/>
  <c r="Y20" i="16" s="1"/>
  <c r="F14" i="5" l="1"/>
  <c r="E72" i="15" s="1"/>
  <c r="C14" i="5"/>
  <c r="F20" i="16" l="1"/>
  <c r="C20" i="16"/>
  <c r="I9" i="16" l="1"/>
  <c r="I56" i="15" l="1"/>
  <c r="I57" i="15"/>
  <c r="I58" i="15"/>
  <c r="I60" i="15"/>
  <c r="I61" i="15"/>
  <c r="I63" i="15"/>
  <c r="I51" i="15"/>
  <c r="I52" i="15" s="1"/>
  <c r="I59" i="15"/>
  <c r="I22" i="15"/>
  <c r="H22" i="15"/>
  <c r="G22" i="15"/>
  <c r="F22" i="15"/>
  <c r="I23" i="15"/>
  <c r="G27" i="15" s="1"/>
  <c r="F23" i="15"/>
  <c r="C23" i="15"/>
  <c r="M19" i="16"/>
  <c r="AB19" i="16" s="1"/>
  <c r="K19" i="16"/>
  <c r="AA19" i="16" s="1"/>
  <c r="I19" i="16"/>
  <c r="Z19" i="16" s="1"/>
  <c r="G19" i="16"/>
  <c r="Y19" i="16" s="1"/>
  <c r="F19" i="16"/>
  <c r="P29" i="16" s="1"/>
  <c r="C19" i="16"/>
  <c r="P27" i="16" s="1"/>
  <c r="B32" i="16"/>
  <c r="J23" i="15" l="1"/>
  <c r="F27" i="15"/>
  <c r="I64" i="15"/>
  <c r="I66" i="15" s="1"/>
  <c r="O34" i="16" s="1"/>
  <c r="C31" i="15"/>
  <c r="R74" i="5"/>
  <c r="R73" i="5"/>
  <c r="J27" i="15" l="1"/>
  <c r="H32" i="15" s="1"/>
  <c r="L33" i="16" s="1"/>
  <c r="C32" i="16"/>
  <c r="C76" i="15"/>
  <c r="H31" i="15" l="1"/>
  <c r="H33" i="15" s="1"/>
  <c r="T51" i="16"/>
  <c r="F8" i="15"/>
  <c r="O82" i="15"/>
  <c r="L32" i="16" l="1"/>
  <c r="L34" i="16" s="1"/>
  <c r="L35" i="16" s="1"/>
</calcChain>
</file>

<file path=xl/sharedStrings.xml><?xml version="1.0" encoding="utf-8"?>
<sst xmlns="http://schemas.openxmlformats.org/spreadsheetml/2006/main" count="469" uniqueCount="251">
  <si>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</si>
  <si>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</si>
  <si>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</si>
  <si>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</si>
  <si>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</si>
  <si>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</si>
  <si>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</si>
  <si>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</si>
  <si>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</si>
  <si>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</si>
  <si>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</si>
  <si>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</si>
  <si>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</si>
  <si>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</si>
  <si>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</si>
  <si>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</si>
  <si>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</si>
  <si>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</si>
  <si>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</si>
  <si>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</si>
  <si>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</si>
  <si>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</si>
  <si>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</si>
  <si>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</si>
  <si>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</si>
  <si>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</si>
  <si>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</si>
  <si>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</si>
  <si>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</si>
  <si>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</si>
  <si>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</si>
  <si>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</si>
  <si>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</si>
  <si>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</si>
  <si>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</si>
  <si>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</si>
  <si>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</si>
  <si>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</si>
  <si>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</si>
  <si>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</si>
  <si>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</si>
  <si>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</si>
  <si>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Sewa Unit</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</si>
  <si>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</si>
  <si>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</si>
  <si>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</si>
  <si>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</si>
  <si>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</si>
  <si>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</si>
  <si>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</si>
  <si>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</si>
  <si>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</si>
  <si>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</si>
  <si>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</si>
  <si>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</si>
  <si>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</si>
  <si>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</si>
  <si>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</si>
  <si>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</si>
  <si>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</si>
  <si>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</si>
  <si>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</si>
  <si>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</si>
  <si>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</si>
  <si>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</si>
  <si>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</si>
  <si>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</si>
  <si>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</si>
  <si>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</si>
  <si>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</si>
  <si>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</si>
  <si>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</si>
  <si>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</si>
  <si>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</si>
  <si>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</si>
  <si>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</si>
  <si>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</si>
  <si>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</si>
  <si>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</si>
  <si>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</si>
  <si>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</si>
  <si>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</si>
  <si>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</si>
  <si>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</si>
  <si>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</si>
  <si>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</si>
  <si>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</si>
  <si>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</si>
  <si>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</si>
  <si>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</si>
  <si>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</si>
  <si>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</si>
  <si>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</si>
  <si>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</si>
  <si>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</si>
  <si>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</si>
  <si>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</si>
  <si>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</si>
  <si>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</si>
  <si>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</si>
  <si>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</si>
  <si>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</si>
  <si>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</si>
  <si>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</si>
  <si>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</si>
  <si>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</si>
  <si>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</si>
  <si>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</si>
  <si>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</si>
  <si>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</si>
  <si>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</si>
  <si>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</si>
  <si>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</si>
  <si>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</si>
  <si>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</si>
  <si>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</si>
  <si>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</si>
  <si>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</si>
  <si>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</si>
  <si>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</si>
  <si>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</si>
  <si>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</si>
  <si>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</si>
  <si>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</si>
  <si>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</si>
  <si>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</si>
  <si>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</si>
  <si>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</si>
  <si>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</si>
  <si>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</si>
  <si>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</si>
  <si>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</si>
  <si>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</si>
  <si>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</si>
  <si>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</si>
  <si>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</si>
  <si>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</si>
  <si>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</si>
  <si>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</si>
  <si>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</si>
  <si>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</si>
  <si>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</si>
  <si>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</si>
  <si>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</si>
  <si>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</si>
  <si>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</si>
  <si>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</si>
  <si>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</si>
  <si>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</si>
  <si>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</si>
  <si>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</si>
  <si>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</si>
  <si>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</si>
  <si>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</si>
  <si>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</si>
  <si>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</si>
  <si>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</si>
  <si>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</si>
  <si>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</si>
  <si>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</si>
  <si>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</si>
  <si>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</si>
  <si>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</si>
  <si>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</si>
  <si>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</si>
  <si>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</si>
  <si>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</si>
  <si>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</si>
  <si>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</si>
  <si>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</si>
  <si>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</si>
  <si>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</si>
  <si>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</si>
  <si>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</si>
  <si>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</si>
  <si>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</si>
  <si>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</si>
  <si>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</si>
  <si>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</si>
  <si>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</si>
  <si>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</si>
  <si>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</si>
  <si>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</si>
  <si>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</si>
  <si>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</si>
  <si>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</si>
  <si>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</si>
  <si>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</si>
  <si>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</si>
  <si>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</si>
  <si>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</si>
  <si>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</si>
  <si>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</si>
  <si>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</si>
  <si>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</si>
  <si>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</si>
  <si>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</si>
  <si>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</si>
  <si>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</si>
  <si>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</si>
  <si>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</si>
  <si>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</si>
  <si>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</si>
  <si>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</si>
  <si>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</si>
  <si>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BY : CAR</t>
  </si>
  <si>
    <t>TRANSPORTASI</t>
  </si>
  <si>
    <t>: 2 / 2</t>
  </si>
  <si>
    <t xml:space="preserve"> </t>
  </si>
  <si>
    <t>MIS / TMI</t>
  </si>
  <si>
    <t>QTY ROOM</t>
  </si>
  <si>
    <t>QTY NIGHT</t>
  </si>
  <si>
    <t>ROOM</t>
  </si>
  <si>
    <t>BIAYA SEWA UNIT</t>
  </si>
  <si>
    <t>BIAYA OPERATIONAL MOBIL</t>
  </si>
  <si>
    <t>Pulang :</t>
  </si>
  <si>
    <t>Berangkat :</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</si>
  <si>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</si>
  <si>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</si>
  <si>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</si>
  <si>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SRG</t>
  </si>
  <si>
    <t>&lt;09:00</t>
  </si>
  <si>
    <t>&lt;17:00</t>
  </si>
  <si>
    <t>GRAB CAR</t>
  </si>
  <si>
    <t>TIDAK MENGINAP</t>
  </si>
  <si>
    <t>2.1 PESAWAT</t>
  </si>
  <si>
    <t>2.2 MOBIL</t>
  </si>
  <si>
    <t>BERANGKAT</t>
  </si>
  <si>
    <t>PULANG</t>
  </si>
  <si>
    <t>QTY</t>
  </si>
  <si>
    <t>FLIGHT SCHEDULE</t>
  </si>
  <si>
    <t>LOKAL TRANSPORT</t>
  </si>
  <si>
    <t>Uang Cadangan untuk akomodasi dari Bandara menuju ke Lokasi Expo</t>
  </si>
  <si>
    <t>: PASI CIKARANG &amp; BEA CUKAI PUSAT JAKARTA</t>
  </si>
  <si>
    <t xml:space="preserve">: DEVELOPIN PDPLB, KONSULTASI PELAPORAN PAJAK TERHADAP EXPORT DARI PDPLB </t>
  </si>
  <si>
    <t>LOG/EXIM</t>
  </si>
  <si>
    <t>LOG</t>
  </si>
  <si>
    <t>MAN</t>
  </si>
  <si>
    <t>YOEN YOEDONO SOEBROTO</t>
  </si>
  <si>
    <t>FITRIA ENDAH PRATIWI</t>
  </si>
  <si>
    <t>CGK</t>
  </si>
  <si>
    <t>FEP</t>
  </si>
  <si>
    <t>YYS</t>
  </si>
  <si>
    <t>NKA/KTA</t>
  </si>
  <si>
    <t>PARK HOTEL</t>
  </si>
  <si>
    <t>Standart room</t>
  </si>
  <si>
    <t>BATIK AIR ID 6341,    SRG (15:40)  -  CGK (16:50)</t>
  </si>
  <si>
    <t>BATIK AIR ID 6352,    CGK (17:30)  -  SRG (18:40),</t>
  </si>
  <si>
    <t>BATIK AIR ID 7558,    SRG (16:15)  -  HLP (17:15),    1h and 10m,    Y(9) - 970,000</t>
  </si>
  <si>
    <t>BATIK AIR ID 6350,    CGK (08:00)  -  SRG (09:10),    1h and 10m,    Y(9) - 1,096,880</t>
  </si>
  <si>
    <t>di Hotel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</si>
</sst>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_);_(* \(#,##0\);_(* &quot;-&quot;_);_(@_)"/>
    <numFmt numFmtId="165" formatCode="_(* #,##0.00_);_(* \(#,##0.00\);_(* &quot;-&quot;??_);_(@_)"/>
    <numFmt numFmtId="166" formatCode="[$-13809]dd\ mmmm\ yyyy;@"/>
    <numFmt numFmtId="167" formatCode="_(* #,##0_);_(* \(#,##0\);_(* &quot;-&quot;??_);_(@_)"/>
    <numFmt numFmtId="168" formatCode="[$-F800]dddd\,\ mmmm\ dd\,\ yyyy"/>
    <numFmt numFmtId="169" formatCode="[$-13809]d\ mmm\ yyyy;@"/>
    <numFmt numFmtId="170" formatCode="[$-409]d\-mmm;@"/>
    <numFmt numFmtId="171" formatCode="_-[$Rp-421]* #,##0_-;\-[$Rp-421]* #,##0_-;_-[$Rp-421]* &quot;-&quot;??_-;_-@_-"/>
    <numFmt numFmtId="172" formatCode="[$-409]dd\-mmm\-yy;@"/>
    <numFmt numFmtId="173" formatCode="[$-409]d\-mmm\-yy;@"/>
  </numFmts>
  <fonts count="6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i/>
      <sz val="14"/>
      <color rgb="FF0000CC"/>
      <name val="Times New Roman"/>
      <family val="1"/>
    </font>
    <font>
      <b/>
      <sz val="16"/>
      <color rgb="FF0000CC"/>
      <name val="Times New Roman"/>
      <family val="1"/>
    </font>
    <font>
      <b/>
      <u/>
      <sz val="20"/>
      <color theme="1"/>
      <name val="Times New Roman"/>
      <family val="1"/>
    </font>
    <font>
      <sz val="10"/>
      <color rgb="FF0000CC"/>
      <name val="Times New Roman"/>
      <family val="1"/>
    </font>
    <font>
      <sz val="14"/>
      <color rgb="FF0000CC"/>
      <name val="Times New Roman"/>
      <family val="1"/>
    </font>
    <font>
      <b/>
      <sz val="11"/>
      <color theme="1"/>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0"/>
      <name val="Times New Roman"/>
      <family val="1"/>
    </font>
    <font>
      <sz val="14"/>
      <name val="Times New Roman"/>
      <family val="1"/>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1" fillId="0" borderId="0"/>
  </cellStyleXfs>
  <cellXfs count="757">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6" fillId="5" borderId="18" xfId="0" applyFont="1" applyFill="1" applyBorder="1" applyAlignment="1">
      <alignment horizontal="center" vertical="center"/>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4" fillId="0" borderId="18"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172" fontId="0" fillId="0" borderId="1" xfId="0" applyNumberFormat="1" applyBorder="1" applyAlignment="1">
      <alignment horizontal="center" vertical="center"/>
    </xf>
    <xf numFmtId="0" fontId="0" fillId="0" borderId="6" xfId="0" applyBorder="1" applyAlignment="1">
      <alignment horizontal="center" vertical="center"/>
    </xf>
    <xf numFmtId="172"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5" fillId="6" borderId="0" xfId="0" applyFont="1" applyFill="1" applyAlignment="1">
      <alignment horizontal="left" vertical="center"/>
    </xf>
    <xf numFmtId="0" fontId="23" fillId="0" borderId="0" xfId="0" applyFont="1" applyAlignment="1">
      <alignment vertical="center"/>
    </xf>
    <xf numFmtId="0" fontId="23" fillId="0" borderId="16" xfId="0" applyFont="1" applyBorder="1" applyAlignment="1">
      <alignment vertical="center"/>
    </xf>
    <xf numFmtId="171"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23" fillId="0" borderId="45" xfId="0" applyFont="1" applyBorder="1" applyAlignment="1">
      <alignment horizontal="left" vertical="center"/>
    </xf>
    <xf numFmtId="0" fontId="23" fillId="0" borderId="27" xfId="0" applyFont="1" applyBorder="1" applyAlignment="1">
      <alignment horizontal="left"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2" fontId="1" fillId="0" borderId="6" xfId="3" applyNumberFormat="1" applyBorder="1" applyAlignment="1">
      <alignment horizontal="center" vertical="center"/>
    </xf>
    <xf numFmtId="172"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7" borderId="1" xfId="0" applyFont="1" applyFill="1" applyBorder="1" applyAlignment="1">
      <alignment horizontal="center" vertical="center"/>
    </xf>
    <xf numFmtId="0" fontId="5" fillId="0" borderId="16" xfId="0" applyFont="1" applyBorder="1" applyAlignment="1">
      <alignment horizontal="center" vertical="center"/>
    </xf>
    <xf numFmtId="20" fontId="4" fillId="0" borderId="19" xfId="0" applyNumberFormat="1" applyFont="1" applyBorder="1" applyAlignment="1">
      <alignment horizontal="center" vertical="center"/>
    </xf>
    <xf numFmtId="0" fontId="23" fillId="0" borderId="0" xfId="0" applyFont="1" applyAlignment="1">
      <alignment horizontal="center" vertical="center"/>
    </xf>
    <xf numFmtId="171" fontId="5" fillId="0" borderId="0" xfId="0" applyNumberFormat="1" applyFont="1" applyAlignment="1">
      <alignment horizontal="center" vertical="center"/>
    </xf>
    <xf numFmtId="0" fontId="5" fillId="0" borderId="27" xfId="0" applyFont="1" applyBorder="1" applyAlignment="1">
      <alignment horizontal="center" vertical="center"/>
    </xf>
    <xf numFmtId="167" fontId="5" fillId="0" borderId="27" xfId="0" applyNumberFormat="1" applyFont="1" applyBorder="1" applyAlignment="1">
      <alignment horizontal="center" vertical="center"/>
    </xf>
    <xf numFmtId="0" fontId="23" fillId="0" borderId="27" xfId="0" applyFont="1" applyBorder="1" applyAlignment="1">
      <alignment vertical="center"/>
    </xf>
    <xf numFmtId="0" fontId="27" fillId="6" borderId="13" xfId="0" applyFont="1" applyFill="1" applyBorder="1" applyAlignment="1">
      <alignment horizontal="left" vertical="center"/>
    </xf>
    <xf numFmtId="20" fontId="4" fillId="0" borderId="18" xfId="0" applyNumberFormat="1" applyFont="1" applyBorder="1" applyAlignment="1">
      <alignment horizontal="center" vertical="center"/>
    </xf>
    <xf numFmtId="0" fontId="5" fillId="7" borderId="4" xfId="0" applyFont="1" applyFill="1" applyBorder="1" applyAlignment="1">
      <alignment horizontal="center" vertical="center"/>
    </xf>
    <xf numFmtId="0" fontId="4" fillId="0" borderId="0" xfId="0" applyFont="1" applyAlignment="1">
      <alignment horizontal="center" vertical="center" wrapText="1"/>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7"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73" fontId="4" fillId="0" borderId="0" xfId="0" applyNumberFormat="1" applyFont="1" applyAlignment="1">
      <alignment horizontal="center" vertical="center"/>
    </xf>
    <xf numFmtId="0" fontId="0" fillId="0" borderId="0" xfId="0" applyAlignment="1">
      <alignment horizontal="center" vertical="center" wrapText="1"/>
    </xf>
    <xf numFmtId="167"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7" fontId="5" fillId="4" borderId="2" xfId="0" applyNumberFormat="1" applyFont="1" applyFill="1" applyBorder="1" applyAlignment="1">
      <alignment horizontal="center" vertical="center"/>
    </xf>
    <xf numFmtId="0" fontId="32" fillId="0" borderId="13" xfId="0" quotePrefix="1" applyFont="1" applyBorder="1" applyAlignment="1">
      <alignment horizontal="left" vertical="center"/>
    </xf>
    <xf numFmtId="166" fontId="24" fillId="0" borderId="10" xfId="0" applyNumberFormat="1" applyFont="1" applyBorder="1" applyAlignment="1">
      <alignment horizontal="center" vertical="center"/>
    </xf>
    <xf numFmtId="166"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6" fontId="24" fillId="0" borderId="3" xfId="0" applyNumberFormat="1" applyFont="1" applyBorder="1" applyAlignment="1">
      <alignment horizontal="center" vertical="center"/>
    </xf>
    <xf numFmtId="166"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70"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7" fontId="30" fillId="2" borderId="1" xfId="1" applyNumberFormat="1" applyFont="1" applyFill="1" applyBorder="1" applyAlignment="1">
      <alignment horizontal="center" vertical="center"/>
    </xf>
    <xf numFmtId="167" fontId="30" fillId="2" borderId="3" xfId="1" applyNumberFormat="1" applyFont="1" applyFill="1" applyBorder="1" applyAlignment="1">
      <alignment horizontal="center" vertical="center"/>
    </xf>
    <xf numFmtId="171" fontId="35" fillId="0" borderId="0" xfId="0" applyNumberFormat="1" applyFont="1" applyAlignment="1">
      <alignment horizontal="center" vertical="center"/>
    </xf>
    <xf numFmtId="0" fontId="23" fillId="0" borderId="27" xfId="0" applyFont="1" applyBorder="1" applyAlignment="1">
      <alignment horizontal="center" vertical="center"/>
    </xf>
    <xf numFmtId="167" fontId="23" fillId="0" borderId="27" xfId="0" applyNumberFormat="1" applyFont="1" applyBorder="1" applyAlignment="1">
      <alignment horizontal="center" vertical="center"/>
    </xf>
    <xf numFmtId="0" fontId="23" fillId="0" borderId="46" xfId="0" applyFont="1" applyBorder="1" applyAlignment="1">
      <alignment vertical="center"/>
    </xf>
    <xf numFmtId="0" fontId="5" fillId="9" borderId="1" xfId="0" applyFont="1" applyFill="1" applyBorder="1" applyAlignment="1">
      <alignment horizontal="center" vertical="center"/>
    </xf>
    <xf numFmtId="0" fontId="23" fillId="0" borderId="0" xfId="0" applyFont="1" applyAlignment="1">
      <alignment horizontal="left" vertical="center"/>
    </xf>
    <xf numFmtId="167" fontId="23" fillId="0" borderId="13" xfId="1" applyNumberFormat="1" applyFont="1" applyFill="1" applyBorder="1" applyAlignment="1">
      <alignment vertical="center"/>
    </xf>
    <xf numFmtId="0" fontId="23" fillId="0" borderId="13" xfId="0" applyFont="1" applyBorder="1" applyAlignment="1">
      <alignment horizontal="center" vertical="center"/>
    </xf>
    <xf numFmtId="173" fontId="23" fillId="0" borderId="0" xfId="0" applyNumberFormat="1" applyFont="1" applyAlignment="1">
      <alignment horizontal="center" vertical="center"/>
    </xf>
    <xf numFmtId="167" fontId="23" fillId="0" borderId="0" xfId="1" applyNumberFormat="1" applyFont="1" applyBorder="1" applyAlignment="1">
      <alignment horizontal="center" vertical="center"/>
    </xf>
    <xf numFmtId="167" fontId="23" fillId="0" borderId="0" xfId="1" applyNumberFormat="1" applyFont="1" applyFill="1" applyBorder="1" applyAlignment="1">
      <alignment horizontal="center" vertical="center"/>
    </xf>
    <xf numFmtId="167"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7" fontId="5" fillId="0" borderId="0" xfId="1" applyNumberFormat="1" applyFont="1" applyFill="1" applyBorder="1" applyAlignment="1">
      <alignment vertical="center"/>
    </xf>
    <xf numFmtId="167" fontId="5" fillId="0" borderId="16" xfId="1" applyNumberFormat="1" applyFont="1" applyFill="1" applyBorder="1" applyAlignment="1">
      <alignment vertical="center"/>
    </xf>
    <xf numFmtId="0" fontId="36" fillId="0" borderId="52" xfId="0" applyFont="1" applyBorder="1" applyAlignment="1">
      <alignment horizontal="center" vertical="center"/>
    </xf>
    <xf numFmtId="167" fontId="36" fillId="0" borderId="1" xfId="1" applyNumberFormat="1" applyFont="1" applyBorder="1" applyAlignment="1">
      <alignment vertical="center"/>
    </xf>
    <xf numFmtId="167" fontId="36" fillId="0" borderId="3" xfId="1" applyNumberFormat="1" applyFont="1" applyBorder="1" applyAlignment="1">
      <alignment vertical="center"/>
    </xf>
    <xf numFmtId="167" fontId="36" fillId="0" borderId="3" xfId="1" applyNumberFormat="1" applyFont="1" applyBorder="1" applyAlignment="1">
      <alignment horizontal="center" vertical="center"/>
    </xf>
    <xf numFmtId="167" fontId="36" fillId="0" borderId="4" xfId="1" applyNumberFormat="1" applyFont="1" applyBorder="1" applyAlignment="1">
      <alignment horizontal="center" vertical="center"/>
    </xf>
    <xf numFmtId="167" fontId="37" fillId="0" borderId="4" xfId="0" applyNumberFormat="1" applyFont="1" applyBorder="1" applyAlignment="1">
      <alignment vertical="center"/>
    </xf>
    <xf numFmtId="0" fontId="36" fillId="0" borderId="1" xfId="0" applyFont="1" applyBorder="1" applyAlignment="1">
      <alignment horizontal="center" vertical="center"/>
    </xf>
    <xf numFmtId="167" fontId="37" fillId="0" borderId="42" xfId="0" applyNumberFormat="1" applyFont="1" applyBorder="1" applyAlignment="1">
      <alignment vertical="center"/>
    </xf>
    <xf numFmtId="167" fontId="36" fillId="0" borderId="6" xfId="0" applyNumberFormat="1" applyFont="1" applyBorder="1" applyAlignment="1">
      <alignment vertical="center"/>
    </xf>
    <xf numFmtId="167" fontId="37" fillId="0" borderId="6" xfId="1" applyNumberFormat="1" applyFont="1" applyBorder="1" applyAlignment="1">
      <alignment vertical="center"/>
    </xf>
    <xf numFmtId="167" fontId="37" fillId="0" borderId="4" xfId="0" applyNumberFormat="1" applyFont="1" applyBorder="1" applyAlignment="1">
      <alignment horizontal="left" vertical="center"/>
    </xf>
    <xf numFmtId="0" fontId="24" fillId="0" borderId="3" xfId="0" applyFont="1" applyBorder="1" applyAlignment="1">
      <alignment horizontal="left" vertical="center"/>
    </xf>
    <xf numFmtId="0" fontId="24" fillId="0" borderId="2" xfId="0" applyFont="1" applyBorder="1" applyAlignment="1">
      <alignment horizontal="left" vertical="center"/>
    </xf>
    <xf numFmtId="167" fontId="36" fillId="0" borderId="1" xfId="1" applyNumberFormat="1" applyFont="1" applyFill="1" applyBorder="1" applyAlignment="1">
      <alignment horizontal="center" vertical="center"/>
    </xf>
    <xf numFmtId="173" fontId="6" fillId="9" borderId="1" xfId="0" applyNumberFormat="1" applyFont="1" applyFill="1" applyBorder="1" applyAlignment="1">
      <alignment horizontal="center" vertical="center"/>
    </xf>
    <xf numFmtId="0" fontId="6" fillId="9" borderId="1" xfId="0" applyFont="1" applyFill="1" applyBorder="1" applyAlignment="1">
      <alignment horizontal="center" vertical="center" wrapText="1"/>
    </xf>
    <xf numFmtId="167" fontId="4" fillId="0" borderId="0" xfId="1" applyNumberFormat="1" applyFont="1" applyFill="1" applyBorder="1" applyAlignment="1">
      <alignment vertical="center"/>
    </xf>
    <xf numFmtId="0" fontId="4" fillId="0" borderId="0" xfId="0" applyFont="1" applyAlignment="1">
      <alignment horizontal="left" vertical="center"/>
    </xf>
    <xf numFmtId="16" fontId="4" fillId="0" borderId="27" xfId="0" applyNumberFormat="1" applyFont="1" applyBorder="1" applyAlignment="1">
      <alignment horizontal="left" vertical="center"/>
    </xf>
    <xf numFmtId="16" fontId="23" fillId="0" borderId="46" xfId="0" applyNumberFormat="1" applyFont="1" applyBorder="1" applyAlignment="1">
      <alignment horizontal="left" vertical="center"/>
    </xf>
    <xf numFmtId="0" fontId="36" fillId="0" borderId="1" xfId="0" applyFont="1" applyBorder="1" applyAlignment="1">
      <alignment horizontal="center" vertical="center" wrapText="1"/>
    </xf>
    <xf numFmtId="167" fontId="37" fillId="0" borderId="4" xfId="1" applyNumberFormat="1" applyFont="1" applyBorder="1" applyAlignment="1">
      <alignment horizontal="center" vertical="center"/>
    </xf>
    <xf numFmtId="0" fontId="5" fillId="0" borderId="41"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7" fontId="36" fillId="0" borderId="11" xfId="1" applyNumberFormat="1" applyFont="1" applyBorder="1" applyAlignment="1">
      <alignment vertical="center"/>
    </xf>
    <xf numFmtId="167"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7" fontId="36" fillId="0" borderId="8" xfId="1" applyNumberFormat="1" applyFont="1" applyBorder="1" applyAlignment="1">
      <alignment vertical="center"/>
    </xf>
    <xf numFmtId="167" fontId="36" fillId="0" borderId="8" xfId="1" applyNumberFormat="1" applyFont="1" applyBorder="1" applyAlignment="1">
      <alignment horizontal="center" vertical="center"/>
    </xf>
    <xf numFmtId="167" fontId="37" fillId="0" borderId="3" xfId="0" applyNumberFormat="1" applyFont="1" applyBorder="1" applyAlignment="1">
      <alignment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14" xfId="0" applyFont="1" applyBorder="1"/>
    <xf numFmtId="0" fontId="42"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3" fillId="0" borderId="13" xfId="0" applyFont="1" applyBorder="1" applyAlignment="1">
      <alignment vertical="center"/>
    </xf>
    <xf numFmtId="0" fontId="43"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vertical="center"/>
    </xf>
    <xf numFmtId="0" fontId="43" fillId="0" borderId="16" xfId="0" applyFont="1" applyBorder="1" applyAlignment="1">
      <alignment vertical="center"/>
    </xf>
    <xf numFmtId="0" fontId="40" fillId="0" borderId="13" xfId="0" applyFont="1" applyBorder="1" applyAlignment="1">
      <alignment vertical="center"/>
    </xf>
    <xf numFmtId="0" fontId="44" fillId="0" borderId="0" xfId="0" applyFont="1" applyAlignment="1">
      <alignment horizontal="center" vertical="center"/>
    </xf>
    <xf numFmtId="0" fontId="44" fillId="0" borderId="16" xfId="0" applyFont="1" applyBorder="1" applyAlignment="1">
      <alignment vertical="center"/>
    </xf>
    <xf numFmtId="0" fontId="38" fillId="7" borderId="1" xfId="0" applyFont="1" applyFill="1" applyBorder="1" applyAlignment="1">
      <alignment horizontal="center" vertical="top"/>
    </xf>
    <xf numFmtId="0" fontId="39" fillId="0" borderId="0" xfId="0" applyFont="1" applyAlignment="1">
      <alignment vertical="center" wrapText="1"/>
    </xf>
    <xf numFmtId="0" fontId="45" fillId="0" borderId="0" xfId="0" applyFont="1" applyAlignment="1">
      <alignment horizontal="center" vertical="top"/>
    </xf>
    <xf numFmtId="0" fontId="47" fillId="0" borderId="0" xfId="0" applyFont="1" applyAlignment="1">
      <alignment vertical="center"/>
    </xf>
    <xf numFmtId="169" fontId="49" fillId="0" borderId="3" xfId="0" applyNumberFormat="1" applyFont="1" applyBorder="1" applyAlignment="1">
      <alignment horizontal="center" vertical="center"/>
    </xf>
    <xf numFmtId="169" fontId="49" fillId="0" borderId="8" xfId="0" applyNumberFormat="1" applyFont="1" applyBorder="1" applyAlignment="1">
      <alignment horizontal="center" vertical="center"/>
    </xf>
    <xf numFmtId="0" fontId="39" fillId="0" borderId="16" xfId="0" applyFont="1" applyBorder="1" applyAlignment="1">
      <alignment horizontal="center" vertical="center"/>
    </xf>
    <xf numFmtId="0" fontId="47" fillId="0" borderId="0" xfId="0" applyFont="1" applyAlignment="1">
      <alignment horizontal="left" vertical="center"/>
    </xf>
    <xf numFmtId="169" fontId="49" fillId="0" borderId="2" xfId="0" applyNumberFormat="1" applyFont="1" applyBorder="1" applyAlignment="1">
      <alignment horizontal="center" vertical="center"/>
    </xf>
    <xf numFmtId="0" fontId="45" fillId="0" borderId="16" xfId="0" applyFont="1" applyBorder="1" applyAlignment="1">
      <alignment vertical="center"/>
    </xf>
    <xf numFmtId="0" fontId="38" fillId="7" borderId="24" xfId="0" applyFont="1" applyFill="1" applyBorder="1" applyAlignment="1">
      <alignment horizontal="center" vertical="top" wrapText="1"/>
    </xf>
    <xf numFmtId="0" fontId="55" fillId="7" borderId="5" xfId="0" applyFont="1" applyFill="1" applyBorder="1" applyAlignment="1">
      <alignment horizontal="center" vertical="top" wrapText="1"/>
    </xf>
    <xf numFmtId="0" fontId="55" fillId="7" borderId="24" xfId="0" applyFont="1" applyFill="1" applyBorder="1" applyAlignment="1">
      <alignment horizontal="center" vertical="top" wrapText="1"/>
    </xf>
    <xf numFmtId="0" fontId="56" fillId="0" borderId="0" xfId="0" applyFont="1" applyAlignment="1">
      <alignment horizontal="center" vertical="center"/>
    </xf>
    <xf numFmtId="0" fontId="54" fillId="0" borderId="1" xfId="0" applyFont="1" applyBorder="1" applyAlignment="1">
      <alignment horizontal="center" vertical="center" wrapText="1"/>
    </xf>
    <xf numFmtId="0" fontId="54" fillId="0" borderId="3" xfId="0" applyFont="1" applyBorder="1" applyAlignment="1">
      <alignment vertical="center"/>
    </xf>
    <xf numFmtId="0" fontId="54" fillId="0" borderId="2" xfId="0" applyFont="1" applyBorder="1" applyAlignment="1">
      <alignment vertical="center"/>
    </xf>
    <xf numFmtId="0" fontId="54" fillId="0" borderId="4" xfId="0" applyFont="1" applyBorder="1" applyAlignment="1">
      <alignment vertical="center"/>
    </xf>
    <xf numFmtId="0" fontId="54" fillId="8" borderId="1" xfId="0" applyFont="1" applyFill="1" applyBorder="1" applyAlignment="1">
      <alignment horizontal="center" vertical="center" wrapText="1"/>
    </xf>
    <xf numFmtId="171" fontId="57" fillId="0" borderId="1" xfId="0" applyNumberFormat="1" applyFont="1" applyBorder="1" applyAlignment="1">
      <alignment vertical="center" wrapText="1"/>
    </xf>
    <xf numFmtId="0" fontId="38" fillId="0" borderId="16" xfId="0" applyFont="1" applyBorder="1" applyAlignment="1">
      <alignment vertical="center"/>
    </xf>
    <xf numFmtId="0" fontId="54" fillId="0" borderId="17" xfId="0" applyFont="1" applyBorder="1" applyAlignment="1">
      <alignment horizontal="center" vertical="center" wrapText="1"/>
    </xf>
    <xf numFmtId="0" fontId="54" fillId="0" borderId="21" xfId="0" applyFont="1" applyBorder="1" applyAlignment="1">
      <alignment vertical="center"/>
    </xf>
    <xf numFmtId="0" fontId="48" fillId="8" borderId="21" xfId="0" quotePrefix="1" applyFont="1" applyFill="1" applyBorder="1" applyAlignment="1">
      <alignment horizontal="center" vertical="center" wrapText="1"/>
    </xf>
    <xf numFmtId="0" fontId="48" fillId="8" borderId="47" xfId="0" applyFont="1" applyFill="1" applyBorder="1" applyAlignment="1">
      <alignment horizontal="center" vertical="center" wrapText="1"/>
    </xf>
    <xf numFmtId="0" fontId="48" fillId="8" borderId="22" xfId="0" applyFont="1" applyFill="1" applyBorder="1" applyAlignment="1">
      <alignment horizontal="center" vertical="center" wrapText="1"/>
    </xf>
    <xf numFmtId="0" fontId="54" fillId="8" borderId="17" xfId="0" applyFont="1" applyFill="1" applyBorder="1" applyAlignment="1">
      <alignment horizontal="center" vertical="center" wrapText="1"/>
    </xf>
    <xf numFmtId="0" fontId="39" fillId="0" borderId="0" xfId="0" quotePrefix="1" applyFont="1" applyAlignment="1">
      <alignment vertical="center" wrapText="1"/>
    </xf>
    <xf numFmtId="0" fontId="58" fillId="0" borderId="16" xfId="0" applyFont="1" applyBorder="1" applyAlignment="1">
      <alignment horizontal="center" vertical="center"/>
    </xf>
    <xf numFmtId="0" fontId="44" fillId="0" borderId="13" xfId="0" applyFont="1" applyBorder="1" applyAlignment="1">
      <alignment vertical="center"/>
    </xf>
    <xf numFmtId="0" fontId="45" fillId="0" borderId="0" xfId="0" quotePrefix="1" applyFont="1" applyAlignment="1">
      <alignment vertical="center" wrapText="1"/>
    </xf>
    <xf numFmtId="0" fontId="58" fillId="0" borderId="0" xfId="0" applyFont="1" applyAlignment="1">
      <alignment horizontal="left" vertical="center"/>
    </xf>
    <xf numFmtId="0" fontId="58" fillId="0" borderId="16" xfId="0" applyFont="1" applyBorder="1" applyAlignment="1">
      <alignment horizontal="left" vertical="center"/>
    </xf>
    <xf numFmtId="0" fontId="44" fillId="0" borderId="19" xfId="0" applyFont="1" applyBorder="1" applyAlignment="1">
      <alignment vertical="center"/>
    </xf>
    <xf numFmtId="0" fontId="44" fillId="0" borderId="28" xfId="0" applyFont="1" applyBorder="1" applyAlignment="1">
      <alignment horizontal="center" vertical="center"/>
    </xf>
    <xf numFmtId="0" fontId="44" fillId="0" borderId="28" xfId="0" applyFont="1" applyBorder="1" applyAlignment="1">
      <alignment horizontal="left" vertical="center"/>
    </xf>
    <xf numFmtId="0" fontId="44" fillId="0" borderId="28" xfId="0" applyFont="1" applyBorder="1" applyAlignment="1">
      <alignment vertical="center"/>
    </xf>
    <xf numFmtId="16" fontId="58" fillId="0" borderId="28" xfId="0" applyNumberFormat="1" applyFont="1" applyBorder="1" applyAlignment="1">
      <alignment horizontal="left" vertical="center"/>
    </xf>
    <xf numFmtId="16" fontId="58" fillId="0" borderId="20" xfId="0" applyNumberFormat="1" applyFont="1" applyBorder="1" applyAlignment="1">
      <alignment horizontal="left" vertical="center"/>
    </xf>
    <xf numFmtId="0" fontId="40" fillId="0" borderId="32" xfId="0" applyFont="1" applyBorder="1"/>
    <xf numFmtId="0" fontId="49" fillId="0" borderId="1" xfId="0" applyFont="1" applyBorder="1" applyAlignment="1">
      <alignment horizontal="center" vertical="center"/>
    </xf>
    <xf numFmtId="0" fontId="5" fillId="0" borderId="11" xfId="0" applyFont="1" applyBorder="1" applyAlignment="1">
      <alignment horizontal="left" vertical="center"/>
    </xf>
    <xf numFmtId="0" fontId="61" fillId="0" borderId="0" xfId="0" applyFont="1" applyAlignment="1">
      <alignment horizontal="center" vertical="center" wrapText="1"/>
    </xf>
    <xf numFmtId="0" fontId="54" fillId="0" borderId="47" xfId="0" applyFont="1" applyBorder="1" applyAlignment="1">
      <alignment horizontal="left" vertical="center"/>
    </xf>
    <xf numFmtId="0" fontId="54" fillId="0" borderId="22" xfId="0" applyFont="1" applyBorder="1" applyAlignment="1">
      <alignment horizontal="left" vertical="center"/>
    </xf>
    <xf numFmtId="167" fontId="37" fillId="0" borderId="1" xfId="1" applyNumberFormat="1" applyFont="1" applyFill="1" applyBorder="1" applyAlignment="1">
      <alignmen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171" fontId="57" fillId="0" borderId="17" xfId="0" applyNumberFormat="1" applyFont="1" applyBorder="1" applyAlignment="1">
      <alignment vertical="center" wrapText="1"/>
    </xf>
    <xf numFmtId="0" fontId="23" fillId="0" borderId="6" xfId="0" applyFont="1" applyBorder="1" applyAlignment="1">
      <alignment horizontal="center" vertical="center"/>
    </xf>
    <xf numFmtId="167" fontId="36" fillId="0" borderId="18" xfId="1" applyNumberFormat="1" applyFont="1" applyBorder="1" applyAlignment="1">
      <alignment vertical="center"/>
    </xf>
    <xf numFmtId="167" fontId="36" fillId="0" borderId="19" xfId="1" applyNumberFormat="1" applyFont="1" applyBorder="1" applyAlignment="1">
      <alignment horizontal="center" vertical="center"/>
    </xf>
    <xf numFmtId="167" fontId="36" fillId="0" borderId="20" xfId="1" applyNumberFormat="1" applyFont="1" applyBorder="1" applyAlignment="1">
      <alignment horizontal="center" vertical="center"/>
    </xf>
    <xf numFmtId="0" fontId="62" fillId="8" borderId="5" xfId="0" applyFont="1" applyFill="1" applyBorder="1" applyAlignment="1">
      <alignment horizontal="center"/>
    </xf>
    <xf numFmtId="0" fontId="62" fillId="8" borderId="5" xfId="0" applyFont="1" applyFill="1" applyBorder="1" applyAlignment="1">
      <alignment horizontal="center" vertical="center"/>
    </xf>
    <xf numFmtId="0" fontId="62" fillId="8" borderId="1" xfId="0" applyFont="1" applyFill="1" applyBorder="1" applyAlignment="1">
      <alignment horizontal="center" vertical="center"/>
    </xf>
    <xf numFmtId="0" fontId="62" fillId="8" borderId="1" xfId="0" applyFont="1" applyFill="1" applyBorder="1" applyAlignment="1">
      <alignment horizont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167" fontId="23" fillId="0" borderId="4" xfId="0" applyNumberFormat="1" applyFont="1" applyBorder="1" applyAlignment="1">
      <alignment horizontal="center" vertical="center"/>
    </xf>
    <xf numFmtId="171" fontId="57" fillId="0" borderId="18" xfId="0" applyNumberFormat="1" applyFont="1" applyBorder="1" applyAlignment="1">
      <alignment vertical="center" wrapText="1"/>
    </xf>
    <xf numFmtId="0" fontId="55" fillId="7" borderId="1" xfId="0" applyFont="1" applyFill="1" applyBorder="1" applyAlignment="1">
      <alignment horizontal="center" vertical="top" wrapText="1"/>
    </xf>
    <xf numFmtId="0" fontId="38" fillId="7" borderId="13" xfId="0" applyFont="1" applyFill="1" applyBorder="1" applyAlignment="1">
      <alignment vertical="top" wrapText="1"/>
    </xf>
    <xf numFmtId="0" fontId="38" fillId="7" borderId="0" xfId="0" applyFont="1" applyFill="1" applyAlignment="1">
      <alignment vertical="top" wrapText="1"/>
    </xf>
    <xf numFmtId="0" fontId="38" fillId="7" borderId="16" xfId="0" applyFont="1" applyFill="1" applyBorder="1" applyAlignment="1">
      <alignment vertical="top" wrapText="1"/>
    </xf>
    <xf numFmtId="0" fontId="38" fillId="7" borderId="10" xfId="0" applyFont="1" applyFill="1" applyBorder="1" applyAlignment="1">
      <alignment vertical="top" wrapText="1"/>
    </xf>
    <xf numFmtId="0" fontId="38" fillId="7" borderId="11" xfId="0" applyFont="1" applyFill="1" applyBorder="1" applyAlignment="1">
      <alignment vertical="top" wrapText="1"/>
    </xf>
    <xf numFmtId="0" fontId="38" fillId="7" borderId="12" xfId="0" applyFont="1" applyFill="1" applyBorder="1" applyAlignment="1">
      <alignment vertical="top" wrapText="1"/>
    </xf>
    <xf numFmtId="169" fontId="54" fillId="7" borderId="16" xfId="0" applyNumberFormat="1" applyFont="1" applyFill="1" applyBorder="1" applyAlignment="1">
      <alignment horizontal="left" vertical="top" wrapText="1"/>
    </xf>
    <xf numFmtId="0" fontId="54" fillId="7" borderId="13" xfId="0" applyFont="1" applyFill="1" applyBorder="1" applyAlignment="1">
      <alignment horizontal="right" vertical="top" wrapText="1"/>
    </xf>
    <xf numFmtId="0" fontId="54" fillId="8" borderId="1" xfId="0" applyFont="1" applyFill="1" applyBorder="1" applyAlignment="1">
      <alignment vertical="center" wrapText="1"/>
    </xf>
    <xf numFmtId="0" fontId="36" fillId="0" borderId="6" xfId="0" applyFont="1" applyBorder="1" applyAlignment="1">
      <alignment horizontal="center" vertical="center"/>
    </xf>
    <xf numFmtId="0" fontId="23" fillId="0" borderId="5" xfId="0" applyFont="1" applyBorder="1" applyAlignment="1">
      <alignment horizontal="center" vertical="center"/>
    </xf>
    <xf numFmtId="167" fontId="36" fillId="0" borderId="5" xfId="1" applyNumberFormat="1" applyFont="1" applyBorder="1" applyAlignment="1">
      <alignment horizontal="center" vertical="center"/>
    </xf>
    <xf numFmtId="167" fontId="36" fillId="0" borderId="5" xfId="1" applyNumberFormat="1" applyFont="1" applyBorder="1" applyAlignment="1">
      <alignment vertical="center"/>
    </xf>
    <xf numFmtId="0" fontId="23" fillId="0" borderId="18" xfId="0" applyFont="1" applyBorder="1" applyAlignment="1">
      <alignment horizontal="center" vertical="center"/>
    </xf>
    <xf numFmtId="167" fontId="36" fillId="0" borderId="18" xfId="1" applyNumberFormat="1" applyFont="1" applyBorder="1" applyAlignment="1">
      <alignment horizontal="center" vertical="center"/>
    </xf>
    <xf numFmtId="167" fontId="36" fillId="0" borderId="1" xfId="1" applyNumberFormat="1" applyFont="1" applyBorder="1" applyAlignment="1">
      <alignment horizontal="center" vertical="center"/>
    </xf>
    <xf numFmtId="167" fontId="36" fillId="0" borderId="39" xfId="1" applyNumberFormat="1" applyFont="1" applyBorder="1" applyAlignment="1">
      <alignment horizontal="center" vertical="center"/>
    </xf>
    <xf numFmtId="167" fontId="36" fillId="0" borderId="53" xfId="1" applyNumberFormat="1" applyFont="1" applyBorder="1" applyAlignment="1">
      <alignment horizontal="center" vertical="center"/>
    </xf>
    <xf numFmtId="166" fontId="24" fillId="0" borderId="1" xfId="0" applyNumberFormat="1"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24" fillId="0" borderId="1" xfId="0" applyFont="1" applyBorder="1" applyAlignment="1">
      <alignment horizontal="center" vertical="center"/>
    </xf>
    <xf numFmtId="166" fontId="24" fillId="4" borderId="1" xfId="0" applyNumberFormat="1" applyFont="1" applyFill="1" applyBorder="1" applyAlignment="1">
      <alignment horizontal="center" vertical="center"/>
    </xf>
    <xf numFmtId="0" fontId="22" fillId="3" borderId="1" xfId="0" applyFont="1" applyFill="1" applyBorder="1" applyAlignment="1">
      <alignment horizontal="center" vertical="center"/>
    </xf>
    <xf numFmtId="0" fontId="22" fillId="3" borderId="39"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40" xfId="0" applyFont="1" applyFill="1" applyBorder="1" applyAlignment="1">
      <alignment horizontal="center"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6" fillId="5" borderId="17"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33" fillId="0" borderId="6" xfId="0" applyFont="1" applyBorder="1" applyAlignment="1">
      <alignment horizontal="center" vertical="center"/>
    </xf>
    <xf numFmtId="0" fontId="28" fillId="0" borderId="1" xfId="0" applyFont="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8" xfId="0" applyFont="1" applyFill="1" applyBorder="1" applyAlignment="1">
      <alignment horizontal="center" vertical="center"/>
    </xf>
    <xf numFmtId="0" fontId="6" fillId="5" borderId="20" xfId="0" applyFont="1" applyFill="1" applyBorder="1" applyAlignment="1">
      <alignment horizontal="center" vertical="center"/>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0" fillId="2" borderId="1" xfId="0" applyFont="1" applyFill="1" applyBorder="1" applyAlignment="1">
      <alignment horizontal="left" vertical="top"/>
    </xf>
    <xf numFmtId="0" fontId="24" fillId="0" borderId="6" xfId="0" applyFont="1" applyBorder="1" applyAlignment="1">
      <alignment horizontal="left" vertical="center"/>
    </xf>
    <xf numFmtId="0" fontId="10" fillId="3" borderId="1" xfId="0" applyFont="1" applyFill="1" applyBorder="1" applyAlignment="1">
      <alignment horizontal="center" vertical="top"/>
    </xf>
    <xf numFmtId="0" fontId="17" fillId="2" borderId="1" xfId="0" applyFont="1" applyFill="1" applyBorder="1" applyAlignment="1">
      <alignment horizontal="left" vertical="top"/>
    </xf>
    <xf numFmtId="0" fontId="10" fillId="2" borderId="1" xfId="0" applyFont="1" applyFill="1" applyBorder="1" applyAlignment="1">
      <alignment horizontal="center" vertical="top"/>
    </xf>
    <xf numFmtId="0" fontId="10" fillId="3" borderId="1" xfId="0" applyFont="1" applyFill="1" applyBorder="1" applyAlignment="1">
      <alignment horizontal="center" vertical="center"/>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7" fillId="5" borderId="1" xfId="0" applyFont="1" applyFill="1" applyBorder="1" applyAlignment="1">
      <alignment horizontal="center" vertical="center"/>
    </xf>
    <xf numFmtId="0" fontId="4" fillId="0" borderId="1" xfId="0" applyFont="1" applyBorder="1" applyAlignment="1">
      <alignment horizontal="center" vertical="center"/>
    </xf>
    <xf numFmtId="0" fontId="24" fillId="0" borderId="6" xfId="0" applyFont="1" applyBorder="1" applyAlignment="1">
      <alignment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7" fillId="2" borderId="1" xfId="0" applyFont="1" applyFill="1" applyBorder="1" applyAlignment="1">
      <alignment horizontal="left" vertical="center"/>
    </xf>
    <xf numFmtId="0" fontId="4" fillId="0" borderId="1" xfId="0" applyFont="1" applyBorder="1" applyAlignment="1">
      <alignmen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 fillId="0" borderId="39" xfId="0" applyFont="1" applyBorder="1" applyAlignment="1">
      <alignment horizontal="left" vertical="center"/>
    </xf>
    <xf numFmtId="0" fontId="5" fillId="0" borderId="38"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0" fillId="3" borderId="2" xfId="0" applyFont="1" applyFill="1" applyBorder="1" applyAlignment="1">
      <alignment horizontal="center" vertical="center"/>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10" fillId="2" borderId="1" xfId="0" applyFont="1" applyFill="1" applyBorder="1" applyAlignment="1">
      <alignment horizontal="left" vertical="top" wrapText="1"/>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16" fillId="2" borderId="1" xfId="0" applyFont="1" applyFill="1" applyBorder="1" applyAlignment="1">
      <alignment horizontal="center" vertical="top"/>
    </xf>
    <xf numFmtId="172" fontId="4" fillId="0" borderId="25" xfId="0" applyNumberFormat="1" applyFont="1" applyBorder="1" applyAlignment="1">
      <alignment horizontal="center" vertical="center"/>
    </xf>
    <xf numFmtId="172" fontId="4" fillId="0" borderId="26" xfId="0" applyNumberFormat="1" applyFont="1" applyBorder="1" applyAlignment="1">
      <alignment horizontal="center" vertical="center"/>
    </xf>
    <xf numFmtId="0" fontId="24" fillId="0" borderId="3" xfId="0" applyFont="1" applyBorder="1" applyAlignment="1">
      <alignment horizontal="center" vertical="center"/>
    </xf>
    <xf numFmtId="0" fontId="24" fillId="0" borderId="2" xfId="0" applyFont="1" applyBorder="1" applyAlignment="1">
      <alignment horizontal="center" vertical="center"/>
    </xf>
    <xf numFmtId="0" fontId="6" fillId="5" borderId="4" xfId="0" applyFont="1" applyFill="1" applyBorder="1" applyAlignment="1">
      <alignment horizontal="center" vertical="center" wrapText="1"/>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6" fillId="5" borderId="5"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16" fillId="2" borderId="1" xfId="0" applyFont="1" applyFill="1" applyBorder="1" applyAlignment="1">
      <alignment horizontal="center" vertical="top" wrapText="1"/>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48" xfId="0" applyFont="1" applyBorder="1" applyAlignment="1">
      <alignment horizontal="center" vertical="center"/>
    </xf>
    <xf numFmtId="0" fontId="24" fillId="0" borderId="10" xfId="0" applyFont="1" applyBorder="1" applyAlignment="1">
      <alignment horizontal="center" vertical="center"/>
    </xf>
    <xf numFmtId="0" fontId="24" fillId="0" borderId="12" xfId="0" applyFont="1" applyBorder="1" applyAlignment="1">
      <alignment horizontal="center" vertical="center"/>
    </xf>
    <xf numFmtId="0" fontId="6" fillId="0" borderId="0" xfId="0" applyFont="1" applyAlignment="1">
      <alignment horizontal="center" vertical="top"/>
    </xf>
    <xf numFmtId="166" fontId="4" fillId="0" borderId="19" xfId="0" applyNumberFormat="1" applyFont="1" applyBorder="1" applyAlignment="1">
      <alignment horizontal="center" vertical="center"/>
    </xf>
    <xf numFmtId="166" fontId="4" fillId="0" borderId="20" xfId="0" applyNumberFormat="1"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24" fillId="0" borderId="6" xfId="0" applyFont="1" applyBorder="1" applyAlignment="1">
      <alignment horizontal="center" vertical="center"/>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172" fontId="4" fillId="0" borderId="41" xfId="0" applyNumberFormat="1" applyFont="1" applyBorder="1" applyAlignment="1">
      <alignment horizontal="center" vertical="center"/>
    </xf>
    <xf numFmtId="172" fontId="4" fillId="0" borderId="42" xfId="0" applyNumberFormat="1" applyFont="1" applyBorder="1" applyAlignment="1">
      <alignment horizontal="center" vertical="center"/>
    </xf>
    <xf numFmtId="0" fontId="6" fillId="5" borderId="23" xfId="0" applyFont="1" applyFill="1" applyBorder="1" applyAlignment="1">
      <alignment horizontal="center" vertical="center"/>
    </xf>
    <xf numFmtId="0" fontId="24" fillId="0" borderId="4"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6" fillId="5" borderId="8" xfId="0" applyFont="1" applyFill="1" applyBorder="1" applyAlignment="1">
      <alignment horizontal="center" vertical="center" wrapText="1"/>
    </xf>
    <xf numFmtId="0" fontId="5" fillId="7" borderId="1" xfId="0" applyFont="1" applyFill="1" applyBorder="1" applyAlignment="1">
      <alignment horizontal="center" vertical="center"/>
    </xf>
    <xf numFmtId="0" fontId="5" fillId="0" borderId="6" xfId="0" applyFont="1" applyBorder="1" applyAlignment="1">
      <alignment horizontal="center" vertical="center"/>
    </xf>
    <xf numFmtId="167" fontId="36" fillId="0" borderId="6" xfId="0" applyNumberFormat="1" applyFont="1" applyBorder="1" applyAlignment="1">
      <alignment horizontal="center" vertical="center"/>
    </xf>
    <xf numFmtId="0" fontId="36" fillId="0" borderId="6" xfId="0" applyFont="1" applyBorder="1" applyAlignment="1">
      <alignment horizontal="center" vertical="center"/>
    </xf>
    <xf numFmtId="168" fontId="23" fillId="0" borderId="5" xfId="0" applyNumberFormat="1" applyFont="1" applyBorder="1" applyAlignment="1">
      <alignment horizontal="lef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0" fontId="36" fillId="0" borderId="1" xfId="0" applyFont="1" applyBorder="1" applyAlignment="1">
      <alignment horizontal="left" vertical="center"/>
    </xf>
    <xf numFmtId="167" fontId="37" fillId="0" borderId="4" xfId="0" applyNumberFormat="1" applyFont="1" applyBorder="1" applyAlignment="1">
      <alignment horizontal="left" vertical="center"/>
    </xf>
    <xf numFmtId="0" fontId="5" fillId="0" borderId="41" xfId="0" applyFont="1" applyBorder="1" applyAlignment="1">
      <alignment horizontal="center" vertical="center"/>
    </xf>
    <xf numFmtId="0" fontId="5" fillId="0" borderId="48" xfId="0" applyFont="1" applyBorder="1" applyAlignment="1">
      <alignment horizontal="center" vertical="center"/>
    </xf>
    <xf numFmtId="0" fontId="5" fillId="0" borderId="42" xfId="0" applyFont="1" applyBorder="1" applyAlignment="1">
      <alignment horizontal="center" vertical="center"/>
    </xf>
    <xf numFmtId="0" fontId="27" fillId="4" borderId="49" xfId="0" applyFont="1" applyFill="1" applyBorder="1" applyAlignment="1">
      <alignment horizontal="left" vertical="center" wrapText="1"/>
    </xf>
    <xf numFmtId="0" fontId="27" fillId="4" borderId="50" xfId="0" applyFont="1" applyFill="1" applyBorder="1" applyAlignment="1">
      <alignment horizontal="left" vertical="center" wrapText="1"/>
    </xf>
    <xf numFmtId="0" fontId="27" fillId="4" borderId="51"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167" fontId="5" fillId="0" borderId="5" xfId="0" applyNumberFormat="1" applyFont="1" applyBorder="1" applyAlignment="1">
      <alignment horizontal="center" vertical="center"/>
    </xf>
    <xf numFmtId="167" fontId="5" fillId="0" borderId="6" xfId="0" applyNumberFormat="1" applyFont="1" applyBorder="1" applyAlignment="1">
      <alignment horizontal="center"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9" xfId="0" applyFont="1" applyFill="1" applyBorder="1" applyAlignment="1">
      <alignment horizontal="left" vertical="center"/>
    </xf>
    <xf numFmtId="0" fontId="27" fillId="4" borderId="50"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167" fontId="37" fillId="0" borderId="5" xfId="1" applyNumberFormat="1" applyFont="1" applyFill="1" applyBorder="1" applyAlignment="1">
      <alignment horizontal="center" vertical="center"/>
    </xf>
    <xf numFmtId="167" fontId="37" fillId="0" borderId="6" xfId="1" applyNumberFormat="1" applyFont="1" applyFill="1" applyBorder="1" applyAlignment="1">
      <alignment horizontal="center" vertical="center"/>
    </xf>
    <xf numFmtId="173" fontId="36" fillId="0" borderId="41" xfId="0" applyNumberFormat="1" applyFont="1" applyBorder="1" applyAlignment="1">
      <alignment horizontal="center" vertical="center"/>
    </xf>
    <xf numFmtId="173" fontId="36" fillId="0" borderId="42" xfId="0" applyNumberFormat="1" applyFont="1" applyBorder="1" applyAlignment="1">
      <alignment horizontal="center"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1" fontId="36" fillId="0" borderId="1" xfId="0" applyNumberFormat="1" applyFont="1" applyBorder="1" applyAlignment="1">
      <alignment horizontal="left" vertical="center"/>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23" fillId="0" borderId="1" xfId="0" applyFont="1" applyBorder="1" applyAlignment="1">
      <alignment vertical="center"/>
    </xf>
    <xf numFmtId="167" fontId="36" fillId="0" borderId="3" xfId="1" applyNumberFormat="1" applyFont="1" applyBorder="1" applyAlignment="1">
      <alignment horizontal="center" vertical="center"/>
    </xf>
    <xf numFmtId="167" fontId="36" fillId="0" borderId="4" xfId="1" applyNumberFormat="1" applyFont="1" applyBorder="1" applyAlignment="1">
      <alignment horizontal="center" vertical="center"/>
    </xf>
    <xf numFmtId="0" fontId="36" fillId="0" borderId="3" xfId="0" applyFont="1" applyBorder="1" applyAlignment="1">
      <alignment horizontal="center" vertical="center" wrapText="1"/>
    </xf>
    <xf numFmtId="0" fontId="36" fillId="0" borderId="4" xfId="0" applyFont="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36" fillId="0" borderId="48" xfId="0" applyFont="1" applyBorder="1" applyAlignment="1">
      <alignment horizontal="center" vertical="center" wrapText="1"/>
    </xf>
    <xf numFmtId="0" fontId="5" fillId="0" borderId="41" xfId="0" applyFont="1" applyBorder="1" applyAlignment="1">
      <alignment horizontal="left" vertical="center"/>
    </xf>
    <xf numFmtId="0" fontId="5" fillId="0" borderId="48" xfId="0" applyFont="1" applyBorder="1" applyAlignment="1">
      <alignment horizontal="left" vertical="center"/>
    </xf>
    <xf numFmtId="0" fontId="5" fillId="0" borderId="42" xfId="0" applyFont="1" applyBorder="1" applyAlignment="1">
      <alignment horizontal="left" vertical="center"/>
    </xf>
    <xf numFmtId="0" fontId="23" fillId="0" borderId="19" xfId="0" applyFont="1" applyBorder="1" applyAlignment="1">
      <alignment vertical="center"/>
    </xf>
    <xf numFmtId="0" fontId="23" fillId="0" borderId="28" xfId="0" applyFont="1" applyBorder="1" applyAlignment="1">
      <alignment vertical="center"/>
    </xf>
    <xf numFmtId="0" fontId="23" fillId="0" borderId="20" xfId="0" applyFont="1" applyBorder="1" applyAlignment="1">
      <alignment vertical="center"/>
    </xf>
    <xf numFmtId="0" fontId="5" fillId="7" borderId="8" xfId="0" applyFont="1" applyFill="1" applyBorder="1" applyAlignment="1">
      <alignment horizontal="center" vertical="top"/>
    </xf>
    <xf numFmtId="0" fontId="5" fillId="7" borderId="28" xfId="0" applyFont="1" applyFill="1" applyBorder="1" applyAlignment="1">
      <alignment horizontal="center" vertical="top"/>
    </xf>
    <xf numFmtId="0" fontId="24" fillId="0" borderId="52" xfId="0" applyFont="1" applyBorder="1" applyAlignment="1">
      <alignment horizontal="center" vertical="center" wrapText="1"/>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173" fontId="6" fillId="9" borderId="1" xfId="0" applyNumberFormat="1" applyFont="1" applyFill="1" applyBorder="1" applyAlignment="1">
      <alignment horizontal="center" vertical="center"/>
    </xf>
    <xf numFmtId="173" fontId="36" fillId="0" borderId="3" xfId="0" applyNumberFormat="1" applyFont="1" applyBorder="1" applyAlignment="1">
      <alignment horizontal="center" vertical="center"/>
    </xf>
    <xf numFmtId="173" fontId="36" fillId="0" borderId="4" xfId="0" applyNumberFormat="1" applyFont="1" applyBorder="1" applyAlignment="1">
      <alignment horizontal="center" vertical="center"/>
    </xf>
    <xf numFmtId="0" fontId="24" fillId="0" borderId="3"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4" xfId="0" applyFont="1" applyBorder="1" applyAlignment="1">
      <alignment horizontal="center" vertical="center" wrapText="1"/>
    </xf>
    <xf numFmtId="0" fontId="5" fillId="0" borderId="3" xfId="0" applyFont="1" applyBorder="1" applyAlignment="1">
      <alignment horizontal="left" vertical="center"/>
    </xf>
    <xf numFmtId="0" fontId="5" fillId="0" borderId="4" xfId="0" applyFont="1" applyBorder="1" applyAlignment="1">
      <alignment horizontal="left" vertical="center"/>
    </xf>
    <xf numFmtId="168" fontId="23" fillId="0" borderId="1" xfId="0" applyNumberFormat="1" applyFont="1" applyBorder="1" applyAlignment="1">
      <alignment horizontal="left" vertical="center"/>
    </xf>
    <xf numFmtId="168" fontId="23" fillId="0" borderId="18" xfId="0" applyNumberFormat="1" applyFont="1" applyBorder="1" applyAlignment="1">
      <alignment horizontal="left" vertical="center"/>
    </xf>
    <xf numFmtId="0" fontId="38" fillId="7" borderId="3" xfId="0" applyFont="1" applyFill="1" applyBorder="1" applyAlignment="1">
      <alignment horizontal="center" vertical="top" wrapText="1"/>
    </xf>
    <xf numFmtId="0" fontId="38" fillId="7" borderId="2" xfId="0" applyFont="1" applyFill="1" applyBorder="1" applyAlignment="1">
      <alignment horizontal="center" vertical="top" wrapText="1"/>
    </xf>
    <xf numFmtId="0" fontId="38" fillId="7" borderId="4" xfId="0" applyFont="1" applyFill="1" applyBorder="1" applyAlignment="1">
      <alignment horizontal="center" vertical="top" wrapText="1"/>
    </xf>
    <xf numFmtId="0" fontId="38" fillId="7" borderId="13" xfId="0" applyFont="1" applyFill="1" applyBorder="1" applyAlignment="1">
      <alignment horizontal="center" vertical="top" wrapText="1"/>
    </xf>
    <xf numFmtId="0" fontId="38" fillId="7" borderId="0" xfId="0" applyFont="1" applyFill="1" applyAlignment="1">
      <alignment horizontal="center" vertical="top" wrapText="1"/>
    </xf>
    <xf numFmtId="0" fontId="38" fillId="7" borderId="16" xfId="0" applyFont="1" applyFill="1" applyBorder="1" applyAlignment="1">
      <alignment horizontal="center" vertical="top" wrapText="1"/>
    </xf>
    <xf numFmtId="0" fontId="55" fillId="7" borderId="7" xfId="0" applyFont="1" applyFill="1" applyBorder="1" applyAlignment="1">
      <alignment horizontal="center" vertical="top" wrapText="1"/>
    </xf>
    <xf numFmtId="0" fontId="55" fillId="7" borderId="9" xfId="0" applyFont="1" applyFill="1" applyBorder="1" applyAlignment="1">
      <alignment horizontal="center" vertical="top"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50" fillId="0" borderId="8" xfId="0" applyFont="1" applyBorder="1" applyAlignment="1">
      <alignment horizontal="center" vertical="center"/>
    </xf>
    <xf numFmtId="0" fontId="49" fillId="0" borderId="7" xfId="0" applyFont="1" applyBorder="1" applyAlignment="1">
      <alignment horizontal="center" vertical="center"/>
    </xf>
    <xf numFmtId="0" fontId="49" fillId="0" borderId="9" xfId="0" applyFont="1" applyBorder="1" applyAlignment="1">
      <alignment horizontal="center" vertical="center"/>
    </xf>
    <xf numFmtId="0" fontId="49" fillId="0" borderId="7" xfId="0" applyFont="1" applyBorder="1" applyAlignment="1">
      <alignment horizontal="left" vertical="center"/>
    </xf>
    <xf numFmtId="0" fontId="49" fillId="0" borderId="8" xfId="0" applyFont="1" applyBorder="1" applyAlignment="1">
      <alignment horizontal="left" vertical="center"/>
    </xf>
    <xf numFmtId="0" fontId="49" fillId="0" borderId="9" xfId="0" applyFont="1" applyBorder="1" applyAlignment="1">
      <alignment horizontal="left" vertical="center"/>
    </xf>
    <xf numFmtId="0" fontId="38" fillId="7" borderId="7" xfId="0" applyFont="1" applyFill="1" applyBorder="1" applyAlignment="1">
      <alignment horizontal="center" vertical="top"/>
    </xf>
    <xf numFmtId="0" fontId="38" fillId="7" borderId="8"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0" xfId="0" applyFont="1" applyFill="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1"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wrapText="1"/>
    </xf>
    <xf numFmtId="0" fontId="38" fillId="7" borderId="24" xfId="0" applyFont="1" applyFill="1" applyBorder="1" applyAlignment="1">
      <alignment horizontal="center" vertical="top" wrapText="1"/>
    </xf>
    <xf numFmtId="0" fontId="38" fillId="7" borderId="6" xfId="0" applyFont="1" applyFill="1" applyBorder="1" applyAlignment="1">
      <alignment horizontal="center" vertical="top" wrapText="1"/>
    </xf>
    <xf numFmtId="0" fontId="38" fillId="7" borderId="7" xfId="0" applyFont="1" applyFill="1" applyBorder="1" applyAlignment="1">
      <alignment horizontal="center" vertical="top" wrapText="1"/>
    </xf>
    <xf numFmtId="0" fontId="38" fillId="7" borderId="8"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0" xfId="0" applyFont="1" applyFill="1" applyBorder="1" applyAlignment="1">
      <alignment horizontal="center" vertical="top" wrapText="1"/>
    </xf>
    <xf numFmtId="0" fontId="38" fillId="7" borderId="11" xfId="0" applyFont="1" applyFill="1" applyBorder="1" applyAlignment="1">
      <alignment horizontal="center" vertical="top" wrapText="1"/>
    </xf>
    <xf numFmtId="0" fontId="38" fillId="7" borderId="12" xfId="0" applyFont="1" applyFill="1" applyBorder="1" applyAlignment="1">
      <alignment horizontal="center" vertical="top" wrapText="1"/>
    </xf>
    <xf numFmtId="0" fontId="50" fillId="0" borderId="2" xfId="0" applyFont="1" applyBorder="1" applyAlignment="1">
      <alignment horizontal="center" vertical="center"/>
    </xf>
    <xf numFmtId="0" fontId="49" fillId="0" borderId="3" xfId="0" applyFont="1" applyBorder="1" applyAlignment="1">
      <alignment horizontal="center" vertical="center"/>
    </xf>
    <xf numFmtId="0" fontId="49" fillId="0" borderId="4" xfId="0" applyFont="1" applyBorder="1" applyAlignment="1">
      <alignment horizontal="center" vertical="center"/>
    </xf>
    <xf numFmtId="0" fontId="49" fillId="0" borderId="3" xfId="0" applyFont="1" applyBorder="1" applyAlignment="1">
      <alignment horizontal="left" vertical="center"/>
    </xf>
    <xf numFmtId="0" fontId="49" fillId="0" borderId="2" xfId="0" applyFont="1" applyBorder="1" applyAlignment="1">
      <alignment horizontal="left" vertical="center"/>
    </xf>
    <xf numFmtId="0" fontId="49" fillId="0" borderId="4" xfId="0" applyFont="1" applyBorder="1" applyAlignment="1">
      <alignment horizontal="left" vertical="center"/>
    </xf>
    <xf numFmtId="0" fontId="45" fillId="0" borderId="16" xfId="0" applyFont="1" applyBorder="1" applyAlignment="1">
      <alignment horizontal="center" vertical="center" wrapText="1"/>
    </xf>
    <xf numFmtId="0" fontId="38" fillId="7" borderId="3" xfId="0" applyFont="1" applyFill="1" applyBorder="1" applyAlignment="1">
      <alignment horizontal="center" vertical="top"/>
    </xf>
    <xf numFmtId="0" fontId="38" fillId="7" borderId="4" xfId="0" applyFont="1" applyFill="1" applyBorder="1" applyAlignment="1">
      <alignment horizontal="center" vertical="top"/>
    </xf>
    <xf numFmtId="0" fontId="38" fillId="7" borderId="1" xfId="0" applyFont="1" applyFill="1" applyBorder="1" applyAlignment="1">
      <alignment horizontal="center" vertical="top" wrapText="1"/>
    </xf>
    <xf numFmtId="0" fontId="46" fillId="7" borderId="5" xfId="0" applyFont="1" applyFill="1" applyBorder="1" applyAlignment="1">
      <alignment horizontal="center" vertical="top" wrapText="1"/>
    </xf>
    <xf numFmtId="0" fontId="46" fillId="7" borderId="24" xfId="0" applyFont="1" applyFill="1" applyBorder="1" applyAlignment="1">
      <alignment horizontal="center" vertical="top" wrapText="1"/>
    </xf>
    <xf numFmtId="0" fontId="46" fillId="7" borderId="6" xfId="0" applyFont="1" applyFill="1" applyBorder="1" applyAlignment="1">
      <alignment horizontal="center" vertical="top" wrapText="1"/>
    </xf>
    <xf numFmtId="0" fontId="39" fillId="7" borderId="7" xfId="0" applyFont="1" applyFill="1" applyBorder="1" applyAlignment="1">
      <alignment horizontal="center" vertical="top"/>
    </xf>
    <xf numFmtId="0" fontId="39" fillId="7" borderId="9" xfId="0" applyFont="1" applyFill="1" applyBorder="1" applyAlignment="1">
      <alignment horizontal="center" vertical="top"/>
    </xf>
    <xf numFmtId="0" fontId="39" fillId="7" borderId="13" xfId="0" applyFont="1" applyFill="1" applyBorder="1" applyAlignment="1">
      <alignment horizontal="center" vertical="top"/>
    </xf>
    <xf numFmtId="0" fontId="39" fillId="7" borderId="16" xfId="0" applyFont="1" applyFill="1" applyBorder="1" applyAlignment="1">
      <alignment horizontal="center" vertical="top"/>
    </xf>
    <xf numFmtId="0" fontId="39" fillId="7" borderId="10" xfId="0" applyFont="1" applyFill="1" applyBorder="1" applyAlignment="1">
      <alignment horizontal="center" vertical="top"/>
    </xf>
    <xf numFmtId="0" fontId="39" fillId="7" borderId="12" xfId="0" applyFont="1" applyFill="1" applyBorder="1" applyAlignment="1">
      <alignment horizontal="center" vertical="top"/>
    </xf>
    <xf numFmtId="0" fontId="39" fillId="7" borderId="5" xfId="0" applyFont="1" applyFill="1" applyBorder="1" applyAlignment="1">
      <alignment horizontal="center" vertical="top"/>
    </xf>
    <xf numFmtId="0" fontId="39" fillId="7" borderId="24" xfId="0" applyFont="1" applyFill="1" applyBorder="1" applyAlignment="1">
      <alignment horizontal="center" vertical="top"/>
    </xf>
    <xf numFmtId="0" fontId="39" fillId="7" borderId="6" xfId="0" applyFont="1" applyFill="1" applyBorder="1" applyAlignment="1">
      <alignment horizontal="center" vertical="top"/>
    </xf>
    <xf numFmtId="0" fontId="62" fillId="8" borderId="5" xfId="0" applyFont="1" applyFill="1" applyBorder="1" applyAlignment="1">
      <alignment horizontal="center"/>
    </xf>
    <xf numFmtId="0" fontId="62" fillId="8" borderId="6" xfId="0" applyFont="1" applyFill="1" applyBorder="1" applyAlignment="1">
      <alignment horizontal="center"/>
    </xf>
    <xf numFmtId="0" fontId="62" fillId="8" borderId="7" xfId="0" applyFont="1" applyFill="1" applyBorder="1" applyAlignment="1">
      <alignment horizontal="center"/>
    </xf>
    <xf numFmtId="0" fontId="62" fillId="8" borderId="9" xfId="0" applyFont="1" applyFill="1" applyBorder="1" applyAlignment="1">
      <alignment horizontal="center"/>
    </xf>
    <xf numFmtId="0" fontId="62" fillId="8" borderId="10" xfId="0" applyFont="1" applyFill="1" applyBorder="1" applyAlignment="1">
      <alignment horizontal="center"/>
    </xf>
    <xf numFmtId="0" fontId="62" fillId="8" borderId="12" xfId="0" applyFont="1" applyFill="1" applyBorder="1" applyAlignment="1">
      <alignment horizontal="center"/>
    </xf>
    <xf numFmtId="0" fontId="41" fillId="0" borderId="1" xfId="0" applyFont="1" applyBorder="1" applyAlignment="1">
      <alignment horizontal="left" vertical="center"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2" fontId="0" fillId="0" borderId="41" xfId="0" applyNumberFormat="1" applyBorder="1" applyAlignment="1">
      <alignment horizontal="center" vertical="center"/>
    </xf>
    <xf numFmtId="172" fontId="0" fillId="0" borderId="48" xfId="0" applyNumberFormat="1" applyBorder="1" applyAlignment="1">
      <alignment horizontal="center" vertical="center"/>
    </xf>
    <xf numFmtId="172" fontId="0" fillId="0" borderId="42" xfId="0" applyNumberFormat="1" applyBorder="1" applyAlignment="1">
      <alignment horizontal="center" vertical="center"/>
    </xf>
    <xf numFmtId="172" fontId="0" fillId="0" borderId="3" xfId="0" applyNumberFormat="1" applyBorder="1" applyAlignment="1">
      <alignment horizontal="center" vertical="center"/>
    </xf>
    <xf numFmtId="172" fontId="0" fillId="0" borderId="2" xfId="0" applyNumberFormat="1" applyBorder="1" applyAlignment="1">
      <alignment horizontal="center" vertical="center"/>
    </xf>
    <xf numFmtId="172" fontId="0" fillId="0" borderId="4" xfId="0" applyNumberFormat="1" applyBorder="1" applyAlignment="1">
      <alignment horizontal="center" vertical="center"/>
    </xf>
    <xf numFmtId="0" fontId="55" fillId="7" borderId="1" xfId="0" applyFont="1" applyFill="1" applyBorder="1" applyAlignment="1">
      <alignment horizontal="center" vertical="top" wrapText="1"/>
    </xf>
    <xf numFmtId="0" fontId="54" fillId="7" borderId="13" xfId="0" applyFont="1" applyFill="1" applyBorder="1" applyAlignment="1">
      <alignment horizontal="center" vertical="top" wrapText="1"/>
    </xf>
    <xf numFmtId="0" fontId="54" fillId="7" borderId="16" xfId="0" applyFont="1" applyFill="1" applyBorder="1" applyAlignment="1">
      <alignment horizontal="center" vertical="top" wrapText="1"/>
    </xf>
    <xf numFmtId="0" fontId="54" fillId="7" borderId="10" xfId="0" applyFont="1" applyFill="1" applyBorder="1" applyAlignment="1">
      <alignment horizontal="center" vertical="top" wrapText="1"/>
    </xf>
    <xf numFmtId="0" fontId="54" fillId="7" borderId="12" xfId="0" applyFont="1" applyFill="1" applyBorder="1" applyAlignment="1">
      <alignment horizontal="center" vertical="top" wrapText="1"/>
    </xf>
    <xf numFmtId="0" fontId="51" fillId="0" borderId="6" xfId="0" applyFont="1" applyBorder="1" applyAlignment="1">
      <alignment horizontal="left" vertical="center" wrapText="1"/>
    </xf>
    <xf numFmtId="171" fontId="51" fillId="0" borderId="6" xfId="0" applyNumberFormat="1" applyFont="1" applyBorder="1" applyAlignment="1">
      <alignment horizontal="center" vertical="center" wrapText="1"/>
    </xf>
    <xf numFmtId="0" fontId="48" fillId="8" borderId="3" xfId="0" quotePrefix="1" applyFont="1" applyFill="1" applyBorder="1" applyAlignment="1">
      <alignment horizontal="center" vertical="center" wrapText="1"/>
    </xf>
    <xf numFmtId="0" fontId="48" fillId="8" borderId="2" xfId="0" applyFont="1" applyFill="1" applyBorder="1" applyAlignment="1">
      <alignment horizontal="center" vertical="center" wrapText="1"/>
    </xf>
    <xf numFmtId="0" fontId="48" fillId="8" borderId="4" xfId="0" applyFont="1" applyFill="1" applyBorder="1" applyAlignment="1">
      <alignment horizontal="center" vertical="center" wrapText="1"/>
    </xf>
    <xf numFmtId="0" fontId="53" fillId="7" borderId="13" xfId="0" applyFont="1" applyFill="1" applyBorder="1" applyAlignment="1">
      <alignment horizontal="center" vertical="top" wrapText="1"/>
    </xf>
    <xf numFmtId="0" fontId="53" fillId="7" borderId="0" xfId="0" applyFont="1" applyFill="1" applyAlignment="1">
      <alignment horizontal="center" vertical="top" wrapText="1"/>
    </xf>
    <xf numFmtId="0" fontId="53" fillId="7" borderId="16" xfId="0" applyFont="1" applyFill="1" applyBorder="1" applyAlignment="1">
      <alignment horizontal="center" vertical="top" wrapText="1"/>
    </xf>
    <xf numFmtId="0" fontId="53" fillId="7" borderId="10" xfId="0" applyFont="1" applyFill="1" applyBorder="1" applyAlignment="1">
      <alignment horizontal="center" vertical="top" wrapText="1"/>
    </xf>
    <xf numFmtId="0" fontId="53" fillId="7" borderId="11" xfId="0" applyFont="1" applyFill="1" applyBorder="1" applyAlignment="1">
      <alignment horizontal="center" vertical="top" wrapText="1"/>
    </xf>
    <xf numFmtId="0" fontId="53" fillId="7" borderId="12" xfId="0" applyFont="1" applyFill="1" applyBorder="1" applyAlignment="1">
      <alignment horizontal="center" vertical="top" wrapText="1"/>
    </xf>
    <xf numFmtId="0" fontId="53" fillId="7" borderId="7" xfId="0" applyFont="1" applyFill="1" applyBorder="1" applyAlignment="1">
      <alignment horizontal="center" vertical="top" wrapText="1"/>
    </xf>
    <xf numFmtId="0" fontId="53" fillId="7" borderId="8" xfId="0" applyFont="1" applyFill="1" applyBorder="1" applyAlignment="1">
      <alignment horizontal="center" vertical="top" wrapText="1"/>
    </xf>
    <xf numFmtId="0" fontId="53" fillId="7" borderId="9" xfId="0" applyFont="1" applyFill="1" applyBorder="1" applyAlignment="1">
      <alignment horizontal="center" vertical="top" wrapText="1"/>
    </xf>
    <xf numFmtId="0" fontId="59"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171" fontId="41" fillId="0" borderId="1" xfId="0" applyNumberFormat="1" applyFont="1" applyBorder="1" applyAlignment="1">
      <alignment horizontal="center" vertical="center" wrapText="1"/>
    </xf>
    <xf numFmtId="0" fontId="39" fillId="7" borderId="7" xfId="0" applyFont="1" applyFill="1" applyBorder="1" applyAlignment="1">
      <alignment horizontal="center" vertical="center" wrapText="1"/>
    </xf>
    <xf numFmtId="0" fontId="39" fillId="7" borderId="8"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7" borderId="13" xfId="0" applyFont="1" applyFill="1" applyBorder="1" applyAlignment="1">
      <alignment horizontal="center" vertical="center" wrapText="1"/>
    </xf>
    <xf numFmtId="0" fontId="39" fillId="7" borderId="0" xfId="0" applyFont="1" applyFill="1" applyAlignment="1">
      <alignment horizontal="center" vertical="center" wrapText="1"/>
    </xf>
    <xf numFmtId="0" fontId="39" fillId="7" borderId="16" xfId="0" applyFont="1" applyFill="1" applyBorder="1" applyAlignment="1">
      <alignment horizontal="center" vertical="center" wrapText="1"/>
    </xf>
    <xf numFmtId="0" fontId="39" fillId="7" borderId="10" xfId="0" applyFont="1" applyFill="1" applyBorder="1" applyAlignment="1">
      <alignment horizontal="center" vertical="center" wrapText="1"/>
    </xf>
    <xf numFmtId="0" fontId="39" fillId="7" borderId="11" xfId="0" applyFont="1" applyFill="1" applyBorder="1" applyAlignment="1">
      <alignment horizontal="center" vertical="center" wrapText="1"/>
    </xf>
    <xf numFmtId="0" fontId="39" fillId="7" borderId="12" xfId="0" applyFont="1" applyFill="1" applyBorder="1" applyAlignment="1">
      <alignment horizontal="center" vertical="center" wrapText="1"/>
    </xf>
    <xf numFmtId="0" fontId="62" fillId="8" borderId="8" xfId="0" applyFont="1" applyFill="1" applyBorder="1" applyAlignment="1">
      <alignment horizontal="center"/>
    </xf>
    <xf numFmtId="0" fontId="62" fillId="8" borderId="13" xfId="0" applyFont="1" applyFill="1" applyBorder="1" applyAlignment="1">
      <alignment horizontal="center"/>
    </xf>
    <xf numFmtId="0" fontId="62" fillId="8" borderId="0" xfId="0" applyFont="1" applyFill="1" applyAlignment="1">
      <alignment horizontal="center"/>
    </xf>
    <xf numFmtId="0" fontId="62" fillId="8" borderId="16" xfId="0" applyFont="1" applyFill="1" applyBorder="1" applyAlignment="1">
      <alignment horizontal="center"/>
    </xf>
    <xf numFmtId="0" fontId="62" fillId="8" borderId="11" xfId="0" applyFont="1" applyFill="1" applyBorder="1" applyAlignment="1">
      <alignment horizontal="center"/>
    </xf>
    <xf numFmtId="0" fontId="63" fillId="7" borderId="13" xfId="0" applyFont="1" applyFill="1" applyBorder="1" applyAlignment="1">
      <alignment horizontal="center" vertical="top" wrapText="1"/>
    </xf>
    <xf numFmtId="0" fontId="63" fillId="7" borderId="16" xfId="0" applyFont="1" applyFill="1" applyBorder="1" applyAlignment="1">
      <alignment horizontal="center" vertical="top" wrapText="1"/>
    </xf>
    <xf numFmtId="0" fontId="63" fillId="7" borderId="10" xfId="0" applyFont="1" applyFill="1" applyBorder="1" applyAlignment="1">
      <alignment horizontal="center" vertical="top" wrapText="1"/>
    </xf>
    <xf numFmtId="0" fontId="63" fillId="7" borderId="12" xfId="0" applyFont="1" applyFill="1" applyBorder="1" applyAlignment="1">
      <alignment horizontal="center" vertical="top" wrapText="1"/>
    </xf>
    <xf numFmtId="171" fontId="49" fillId="0" borderId="21" xfId="0" applyNumberFormat="1" applyFont="1" applyBorder="1" applyAlignment="1">
      <alignment horizontal="center" vertical="center" wrapText="1"/>
    </xf>
    <xf numFmtId="171" fontId="49" fillId="0" borderId="22" xfId="0" applyNumberFormat="1" applyFont="1" applyBorder="1" applyAlignment="1">
      <alignment horizontal="center" vertical="center" wrapText="1"/>
    </xf>
    <xf numFmtId="171" fontId="49" fillId="0" borderId="3" xfId="0" applyNumberFormat="1" applyFont="1" applyBorder="1" applyAlignment="1">
      <alignment horizontal="center" vertical="center" wrapText="1"/>
    </xf>
    <xf numFmtId="171" fontId="49" fillId="0" borderId="4" xfId="0" applyNumberFormat="1" applyFont="1" applyBorder="1" applyAlignment="1">
      <alignment horizontal="center" vertical="center" wrapText="1"/>
    </xf>
    <xf numFmtId="0" fontId="52" fillId="0" borderId="13" xfId="0" applyFont="1" applyBorder="1" applyAlignment="1">
      <alignment horizontal="left" vertical="top"/>
    </xf>
    <xf numFmtId="0" fontId="52" fillId="0" borderId="0" xfId="0" applyFont="1" applyAlignment="1">
      <alignment horizontal="left" vertical="top"/>
    </xf>
    <xf numFmtId="0" fontId="52" fillId="0" borderId="16" xfId="0" applyFont="1" applyBorder="1" applyAlignment="1">
      <alignment horizontal="left" vertical="top"/>
    </xf>
    <xf numFmtId="0" fontId="52" fillId="0" borderId="10" xfId="0" applyFont="1" applyBorder="1" applyAlignment="1">
      <alignment horizontal="left" vertical="top"/>
    </xf>
    <xf numFmtId="0" fontId="52" fillId="0" borderId="11" xfId="0" applyFont="1" applyBorder="1" applyAlignment="1">
      <alignment horizontal="left" vertical="top"/>
    </xf>
    <xf numFmtId="0" fontId="52" fillId="0" borderId="12" xfId="0" applyFont="1" applyBorder="1" applyAlignment="1">
      <alignment horizontal="left" vertical="top"/>
    </xf>
    <xf numFmtId="0" fontId="39" fillId="7" borderId="3" xfId="0" applyFont="1" applyFill="1" applyBorder="1" applyAlignment="1">
      <alignment horizontal="center" vertical="top" wrapText="1"/>
    </xf>
    <xf numFmtId="0" fontId="39" fillId="7" borderId="4" xfId="0" applyFont="1" applyFill="1" applyBorder="1" applyAlignment="1">
      <alignment horizontal="center" vertical="top" wrapText="1"/>
    </xf>
    <xf numFmtId="0" fontId="54" fillId="8" borderId="17" xfId="0" applyFont="1" applyFill="1" applyBorder="1" applyAlignment="1">
      <alignment horizontal="center" vertical="center" wrapText="1"/>
    </xf>
    <xf numFmtId="0" fontId="54" fillId="8" borderId="1" xfId="0" applyFont="1" applyFill="1" applyBorder="1" applyAlignment="1">
      <alignment horizontal="center" vertical="center" wrapText="1"/>
    </xf>
    <xf numFmtId="167" fontId="36" fillId="0" borderId="17" xfId="1" applyNumberFormat="1" applyFont="1" applyBorder="1" applyAlignment="1">
      <alignment horizontal="center" vertical="center"/>
    </xf>
  </cellXfs>
  <cellStyles count="4">
    <cellStyle name="Comma" xfId="1" builtinId="3"/>
    <cellStyle name="Comma [0] 2" xfId="2" xr:uid="{00000000-0005-0000-0000-000001000000}"/>
    <cellStyle name="Normal" xfId="0" builtinId="0"/>
    <cellStyle name="Normal 2" xfId="3" xr:uid="{00000000-0005-0000-0000-000003000000}"/>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75</xdr:row>
      <xdr:rowOff>126999</xdr:rowOff>
    </xdr:from>
    <xdr:to>
      <xdr:col>6</xdr:col>
      <xdr:colOff>952500</xdr:colOff>
      <xdr:row>80</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twoCellAnchor editAs="oneCell">
    <xdr:from>
      <xdr:col>23</xdr:col>
      <xdr:colOff>0</xdr:colOff>
      <xdr:row>20</xdr:row>
      <xdr:rowOff>0</xdr:rowOff>
    </xdr:from>
    <xdr:to>
      <xdr:col>34</xdr:col>
      <xdr:colOff>319727</xdr:colOff>
      <xdr:row>31</xdr:row>
      <xdr:rowOff>85106</xdr:rowOff>
    </xdr:to>
    <xdr:pic>
      <xdr:nvPicPr>
        <xdr:cNvPr id="3" name="Picture 2">
          <a:extLst>
            <a:ext uri="{FF2B5EF4-FFF2-40B4-BE49-F238E27FC236}">
              <a16:creationId xmlns:a16="http://schemas.microsoft.com/office/drawing/2014/main" id="{936D3DE1-601A-4E17-A510-032A43C4F55A}"/>
            </a:ext>
          </a:extLst>
        </xdr:cNvPr>
        <xdr:cNvPicPr>
          <a:picLocks noChangeAspect="1"/>
        </xdr:cNvPicPr>
      </xdr:nvPicPr>
      <xdr:blipFill>
        <a:blip xmlns:r="http://schemas.openxmlformats.org/officeDocument/2006/relationships" r:embed="rId2"/>
        <a:stretch>
          <a:fillRect/>
        </a:stretch>
      </xdr:blipFill>
      <xdr:spPr>
        <a:xfrm>
          <a:off x="14308667" y="5143500"/>
          <a:ext cx="8373644" cy="31436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79</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49</xdr:row>
      <xdr:rowOff>14552</xdr:rowOff>
    </xdr:from>
    <xdr:to>
      <xdr:col>7</xdr:col>
      <xdr:colOff>424658</xdr:colOff>
      <xdr:row>52</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B1:Z87"/>
  <sheetViews>
    <sheetView showGridLines="0" topLeftCell="A35" zoomScale="90" zoomScaleNormal="90" workbookViewId="0">
      <selection activeCell="E20" sqref="E20:F20"/>
    </sheetView>
  </sheetViews>
  <sheetFormatPr defaultColWidth="9.140625"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5" t="s">
        <v>120</v>
      </c>
    </row>
    <row r="2" spans="2:26" ht="15" customHeight="1" x14ac:dyDescent="0.25">
      <c r="B2" s="79" t="s">
        <v>0</v>
      </c>
      <c r="C2" s="19"/>
      <c r="D2" s="19"/>
      <c r="E2" s="19"/>
      <c r="F2" s="19"/>
      <c r="G2" s="80"/>
      <c r="H2" s="81" t="s">
        <v>62</v>
      </c>
      <c r="I2" s="70" t="s">
        <v>63</v>
      </c>
      <c r="J2" s="71" t="s">
        <v>158</v>
      </c>
      <c r="K2" s="71"/>
      <c r="L2" s="71"/>
      <c r="M2" s="72"/>
      <c r="N2" s="473" t="s">
        <v>68</v>
      </c>
      <c r="O2" s="474"/>
      <c r="P2" s="473" t="s">
        <v>67</v>
      </c>
      <c r="Q2" s="474"/>
      <c r="R2" s="473" t="s">
        <v>55</v>
      </c>
      <c r="S2" s="474"/>
      <c r="T2" s="473" t="s">
        <v>54</v>
      </c>
      <c r="U2" s="474"/>
    </row>
    <row r="3" spans="2:26" ht="15" customHeight="1" x14ac:dyDescent="0.25">
      <c r="B3" s="491" t="s">
        <v>59</v>
      </c>
      <c r="C3" s="492"/>
      <c r="D3" s="492"/>
      <c r="E3" s="492"/>
      <c r="F3" s="492"/>
      <c r="G3" s="492"/>
      <c r="H3" s="493"/>
      <c r="I3" s="73" t="s">
        <v>64</v>
      </c>
      <c r="J3" s="74" t="s">
        <v>70</v>
      </c>
      <c r="K3" s="74"/>
      <c r="L3" s="74"/>
      <c r="M3" s="75"/>
      <c r="N3" s="480" t="s">
        <v>162</v>
      </c>
      <c r="O3" s="481"/>
      <c r="P3" s="481"/>
      <c r="Q3" s="481"/>
      <c r="R3" s="481"/>
      <c r="S3" s="481"/>
      <c r="T3" s="481"/>
      <c r="U3" s="482"/>
    </row>
    <row r="4" spans="2:26" ht="15" customHeight="1" x14ac:dyDescent="0.25">
      <c r="B4" s="494"/>
      <c r="C4" s="495"/>
      <c r="D4" s="495"/>
      <c r="E4" s="495"/>
      <c r="F4" s="495"/>
      <c r="G4" s="495"/>
      <c r="H4" s="496"/>
      <c r="I4" s="73" t="s">
        <v>5</v>
      </c>
      <c r="J4" s="74" t="s">
        <v>71</v>
      </c>
      <c r="K4" s="74"/>
      <c r="L4" s="74"/>
      <c r="M4" s="75"/>
      <c r="N4" s="483"/>
      <c r="O4" s="484"/>
      <c r="P4" s="484"/>
      <c r="Q4" s="484"/>
      <c r="R4" s="484"/>
      <c r="S4" s="484"/>
      <c r="T4" s="484"/>
      <c r="U4" s="485"/>
    </row>
    <row r="5" spans="2:26" ht="15" customHeight="1" x14ac:dyDescent="0.25">
      <c r="B5" s="494"/>
      <c r="C5" s="495"/>
      <c r="D5" s="495"/>
      <c r="E5" s="495"/>
      <c r="F5" s="495"/>
      <c r="G5" s="495"/>
      <c r="H5" s="496"/>
      <c r="I5" s="73" t="s">
        <v>65</v>
      </c>
      <c r="J5" s="74" t="s">
        <v>72</v>
      </c>
      <c r="K5" s="74"/>
      <c r="L5" s="74"/>
      <c r="M5" s="75"/>
      <c r="N5" s="486"/>
      <c r="O5" s="487"/>
      <c r="P5" s="487"/>
      <c r="Q5" s="487"/>
      <c r="R5" s="487"/>
      <c r="S5" s="487"/>
      <c r="T5" s="487"/>
      <c r="U5" s="488"/>
    </row>
    <row r="6" spans="2:26" ht="15" customHeight="1" x14ac:dyDescent="0.25">
      <c r="B6" s="497"/>
      <c r="C6" s="498"/>
      <c r="D6" s="498"/>
      <c r="E6" s="498"/>
      <c r="F6" s="498"/>
      <c r="G6" s="498"/>
      <c r="H6" s="499"/>
      <c r="I6" s="76" t="s">
        <v>66</v>
      </c>
      <c r="J6" s="77" t="s">
        <v>176</v>
      </c>
      <c r="K6" s="77"/>
      <c r="L6" s="77"/>
      <c r="M6" s="78"/>
      <c r="N6" s="473" t="s">
        <v>69</v>
      </c>
      <c r="O6" s="474"/>
      <c r="P6" s="473" t="s">
        <v>58</v>
      </c>
      <c r="Q6" s="474"/>
      <c r="R6" s="473" t="s">
        <v>57</v>
      </c>
      <c r="S6" s="474"/>
      <c r="T6" s="473" t="s">
        <v>56</v>
      </c>
      <c r="U6" s="474"/>
    </row>
    <row r="7" spans="2:26" ht="15" customHeight="1" x14ac:dyDescent="0.25">
      <c r="B7" s="53"/>
      <c r="U7" s="20"/>
    </row>
    <row r="8" spans="2:26" s="5" customFormat="1" ht="21.95" customHeight="1" x14ac:dyDescent="0.25">
      <c r="B8" s="54" t="s">
        <v>8</v>
      </c>
      <c r="C8" s="45"/>
      <c r="D8" s="45"/>
      <c r="E8" s="45"/>
      <c r="F8" s="45"/>
      <c r="G8" s="47" t="s">
        <v>233</v>
      </c>
      <c r="H8" s="6"/>
      <c r="I8" s="6"/>
      <c r="J8" s="6"/>
      <c r="U8" s="22"/>
    </row>
    <row r="9" spans="2:26" s="5" customFormat="1" ht="21.95" customHeight="1" x14ac:dyDescent="0.25">
      <c r="B9" s="55" t="s">
        <v>9</v>
      </c>
      <c r="C9" s="46"/>
      <c r="D9" s="46"/>
      <c r="E9" s="46"/>
      <c r="F9" s="46"/>
      <c r="G9" s="48" t="s">
        <v>234</v>
      </c>
      <c r="H9" s="7"/>
      <c r="I9" s="7"/>
      <c r="J9" s="7"/>
      <c r="U9" s="22"/>
    </row>
    <row r="10" spans="2:26" s="5" customFormat="1" ht="15" customHeight="1" x14ac:dyDescent="0.25">
      <c r="B10" s="21"/>
      <c r="C10" s="27"/>
      <c r="D10" s="27"/>
      <c r="E10" s="27"/>
      <c r="F10" s="27"/>
      <c r="G10" s="13"/>
      <c r="U10" s="22"/>
    </row>
    <row r="11" spans="2:26" ht="24.95" customHeight="1" x14ac:dyDescent="0.25">
      <c r="B11" s="56" t="s">
        <v>73</v>
      </c>
      <c r="U11" s="20"/>
    </row>
    <row r="12" spans="2:26" s="8" customFormat="1" ht="24.95" customHeight="1" x14ac:dyDescent="0.25">
      <c r="B12" s="41" t="s">
        <v>1</v>
      </c>
      <c r="C12" s="431" t="s">
        <v>5</v>
      </c>
      <c r="D12" s="502"/>
      <c r="E12" s="502"/>
      <c r="F12" s="432"/>
      <c r="G12" s="441" t="s">
        <v>4</v>
      </c>
      <c r="H12" s="448"/>
      <c r="I12" s="441" t="s">
        <v>61</v>
      </c>
      <c r="J12" s="442"/>
      <c r="K12" s="441" t="s">
        <v>2</v>
      </c>
      <c r="L12" s="448"/>
      <c r="M12" s="451" t="s">
        <v>3</v>
      </c>
      <c r="N12" s="451"/>
      <c r="O12" s="451"/>
      <c r="P12" s="451"/>
      <c r="Q12" s="451"/>
      <c r="R12" s="17"/>
      <c r="S12" s="17"/>
      <c r="T12" s="17"/>
      <c r="U12" s="23"/>
      <c r="V12" s="17"/>
      <c r="W12" s="17"/>
      <c r="X12" s="17"/>
      <c r="Y12" s="461"/>
      <c r="Z12" s="461"/>
    </row>
    <row r="13" spans="2:26" ht="24.95" customHeight="1" x14ac:dyDescent="0.25">
      <c r="B13" s="16">
        <v>1</v>
      </c>
      <c r="C13" s="169">
        <v>45544</v>
      </c>
      <c r="D13" s="340" t="s">
        <v>6</v>
      </c>
      <c r="E13" s="340"/>
      <c r="F13" s="170">
        <v>45547</v>
      </c>
      <c r="G13" s="446" t="s">
        <v>236</v>
      </c>
      <c r="H13" s="472"/>
      <c r="I13" s="446" t="s">
        <v>237</v>
      </c>
      <c r="J13" s="472"/>
      <c r="K13" s="215">
        <v>796</v>
      </c>
      <c r="L13" s="216"/>
      <c r="M13" s="171" t="s">
        <v>238</v>
      </c>
      <c r="N13" s="172"/>
      <c r="O13" s="172"/>
      <c r="P13" s="172"/>
      <c r="Q13" s="173"/>
      <c r="U13" s="20"/>
    </row>
    <row r="14" spans="2:26" ht="24.95" customHeight="1" x14ac:dyDescent="0.25">
      <c r="B14" s="16">
        <v>2</v>
      </c>
      <c r="C14" s="169">
        <f>+C13</f>
        <v>45544</v>
      </c>
      <c r="D14" s="340" t="s">
        <v>6</v>
      </c>
      <c r="E14" s="340"/>
      <c r="F14" s="170">
        <f>+F13</f>
        <v>45547</v>
      </c>
      <c r="G14" s="446" t="s">
        <v>235</v>
      </c>
      <c r="H14" s="472"/>
      <c r="I14" s="446" t="s">
        <v>195</v>
      </c>
      <c r="J14" s="447"/>
      <c r="K14" s="215">
        <v>2227</v>
      </c>
      <c r="L14" s="216"/>
      <c r="M14" s="171" t="s">
        <v>239</v>
      </c>
      <c r="N14" s="172"/>
      <c r="O14" s="172"/>
      <c r="P14" s="172"/>
      <c r="Q14" s="173"/>
      <c r="U14" s="20"/>
    </row>
    <row r="15" spans="2:26" ht="15" customHeight="1" x14ac:dyDescent="0.25">
      <c r="B15" s="11"/>
      <c r="U15" s="20"/>
    </row>
    <row r="16" spans="2:26" ht="20.100000000000001" customHeight="1" x14ac:dyDescent="0.25">
      <c r="B16" s="56" t="s">
        <v>107</v>
      </c>
      <c r="U16" s="20"/>
    </row>
    <row r="17" spans="2:23" ht="20.100000000000001" customHeight="1" x14ac:dyDescent="0.25">
      <c r="B17" s="57" t="s">
        <v>77</v>
      </c>
      <c r="K17" s="24" t="s">
        <v>78</v>
      </c>
      <c r="L17" s="24"/>
      <c r="U17" s="20"/>
    </row>
    <row r="18" spans="2:23" s="3" customFormat="1" ht="20.100000000000001" customHeight="1" thickBot="1" x14ac:dyDescent="0.3">
      <c r="B18" s="350" t="s">
        <v>1</v>
      </c>
      <c r="C18" s="475" t="s">
        <v>5</v>
      </c>
      <c r="D18" s="476"/>
      <c r="E18" s="441" t="s">
        <v>154</v>
      </c>
      <c r="F18" s="442"/>
      <c r="G18" s="448"/>
      <c r="H18" s="441" t="s">
        <v>60</v>
      </c>
      <c r="I18" s="448"/>
      <c r="J18" s="5"/>
      <c r="K18" s="358" t="s">
        <v>1</v>
      </c>
      <c r="L18" s="360" t="s">
        <v>5</v>
      </c>
      <c r="M18" s="362"/>
      <c r="N18" s="477" t="s">
        <v>13</v>
      </c>
      <c r="O18" s="478"/>
      <c r="P18" s="478"/>
      <c r="Q18" s="479"/>
      <c r="R18" s="477" t="s">
        <v>60</v>
      </c>
      <c r="S18" s="478"/>
      <c r="T18" s="478"/>
      <c r="U18" s="479"/>
      <c r="V18" s="9"/>
      <c r="W18" s="9"/>
    </row>
    <row r="19" spans="2:23" s="3" customFormat="1" ht="20.100000000000001" customHeight="1" thickTop="1" thickBot="1" x14ac:dyDescent="0.3">
      <c r="B19" s="471"/>
      <c r="C19" s="500"/>
      <c r="D19" s="501"/>
      <c r="E19" s="453" t="s">
        <v>35</v>
      </c>
      <c r="F19" s="454"/>
      <c r="G19" s="43" t="s">
        <v>36</v>
      </c>
      <c r="H19" s="42" t="s">
        <v>35</v>
      </c>
      <c r="I19" s="38" t="s">
        <v>36</v>
      </c>
      <c r="J19" s="5"/>
      <c r="K19" s="359"/>
      <c r="L19" s="363"/>
      <c r="M19" s="365"/>
      <c r="N19" s="475" t="s">
        <v>35</v>
      </c>
      <c r="O19" s="476"/>
      <c r="P19" s="475" t="s">
        <v>36</v>
      </c>
      <c r="Q19" s="476"/>
      <c r="R19" s="475" t="s">
        <v>35</v>
      </c>
      <c r="S19" s="476"/>
      <c r="T19" s="475" t="s">
        <v>36</v>
      </c>
      <c r="U19" s="476"/>
      <c r="V19" s="9"/>
      <c r="W19" s="9"/>
    </row>
    <row r="20" spans="2:23" ht="24.95" customHeight="1" thickTop="1" thickBot="1" x14ac:dyDescent="0.3">
      <c r="B20" s="44">
        <v>1</v>
      </c>
      <c r="C20" s="462">
        <v>45605</v>
      </c>
      <c r="D20" s="463"/>
      <c r="E20" s="464" t="s">
        <v>220</v>
      </c>
      <c r="F20" s="465"/>
      <c r="G20" s="142" t="s">
        <v>240</v>
      </c>
      <c r="H20" s="135"/>
      <c r="I20" s="44" t="s">
        <v>222</v>
      </c>
      <c r="J20" s="13"/>
      <c r="K20" s="44">
        <v>1</v>
      </c>
      <c r="L20" s="444"/>
      <c r="M20" s="445"/>
      <c r="N20" s="489"/>
      <c r="O20" s="490"/>
      <c r="P20" s="436"/>
      <c r="Q20" s="437"/>
      <c r="R20" s="436"/>
      <c r="S20" s="437"/>
      <c r="T20" s="436"/>
      <c r="U20" s="437"/>
      <c r="V20" s="9"/>
      <c r="W20" s="9"/>
    </row>
    <row r="21" spans="2:23" ht="24.95" customHeight="1" thickTop="1" thickBot="1" x14ac:dyDescent="0.3">
      <c r="B21" s="44">
        <v>2</v>
      </c>
      <c r="C21" s="462">
        <v>45608</v>
      </c>
      <c r="D21" s="463"/>
      <c r="E21" s="464" t="s">
        <v>220</v>
      </c>
      <c r="F21" s="465"/>
      <c r="G21" s="142" t="s">
        <v>240</v>
      </c>
      <c r="H21" s="135"/>
      <c r="I21" s="44" t="s">
        <v>221</v>
      </c>
      <c r="J21" s="13"/>
      <c r="K21" s="39">
        <v>2</v>
      </c>
      <c r="L21" s="469"/>
      <c r="M21" s="470"/>
      <c r="N21" s="436"/>
      <c r="O21" s="437"/>
      <c r="P21" s="456"/>
      <c r="Q21" s="457"/>
      <c r="R21" s="456"/>
      <c r="S21" s="457"/>
      <c r="T21" s="456"/>
      <c r="U21" s="457"/>
    </row>
    <row r="22" spans="2:23" ht="15" customHeight="1" thickTop="1" x14ac:dyDescent="0.25">
      <c r="B22" s="11"/>
      <c r="U22" s="20"/>
    </row>
    <row r="23" spans="2:23" ht="20.100000000000001" customHeight="1" x14ac:dyDescent="0.25">
      <c r="B23" s="21" t="s">
        <v>79</v>
      </c>
      <c r="C23" s="14"/>
      <c r="D23" s="14"/>
      <c r="E23" s="14"/>
      <c r="F23" s="14"/>
      <c r="G23" s="13"/>
      <c r="H23" s="13"/>
      <c r="I23" s="13"/>
      <c r="J23" s="13"/>
      <c r="K23" s="13"/>
      <c r="L23" s="13"/>
      <c r="M23" s="13"/>
      <c r="N23" s="13"/>
      <c r="O23" s="13"/>
      <c r="P23" s="13"/>
      <c r="Q23" s="13"/>
      <c r="R23" s="13"/>
      <c r="S23" s="13"/>
      <c r="T23" s="13"/>
      <c r="U23" s="58"/>
    </row>
    <row r="24" spans="2:23" s="3" customFormat="1" ht="20.100000000000001" customHeight="1" x14ac:dyDescent="0.25">
      <c r="B24" s="358" t="s">
        <v>1</v>
      </c>
      <c r="C24" s="360" t="s">
        <v>5</v>
      </c>
      <c r="D24" s="361"/>
      <c r="E24" s="361"/>
      <c r="F24" s="362"/>
      <c r="G24" s="431" t="s">
        <v>14</v>
      </c>
      <c r="H24" s="432"/>
      <c r="I24" s="451" t="s">
        <v>75</v>
      </c>
      <c r="J24" s="441" t="s">
        <v>15</v>
      </c>
      <c r="K24" s="442"/>
      <c r="L24" s="442"/>
      <c r="M24" s="448"/>
      <c r="N24" s="467" t="s">
        <v>74</v>
      </c>
      <c r="O24" s="467"/>
      <c r="P24" s="467"/>
      <c r="Q24" s="467"/>
      <c r="R24" s="467"/>
      <c r="S24" s="467"/>
      <c r="T24" s="467"/>
      <c r="U24" s="467"/>
      <c r="V24" s="9"/>
      <c r="W24" s="9"/>
    </row>
    <row r="25" spans="2:23" s="3" customFormat="1" ht="20.100000000000001" customHeight="1" thickBot="1" x14ac:dyDescent="0.3">
      <c r="B25" s="359"/>
      <c r="C25" s="363"/>
      <c r="D25" s="364"/>
      <c r="E25" s="364"/>
      <c r="F25" s="365"/>
      <c r="G25" s="433"/>
      <c r="H25" s="434"/>
      <c r="I25" s="452"/>
      <c r="J25" s="453" t="s">
        <v>17</v>
      </c>
      <c r="K25" s="454"/>
      <c r="L25" s="453" t="s">
        <v>16</v>
      </c>
      <c r="M25" s="454"/>
      <c r="N25" s="468"/>
      <c r="O25" s="468"/>
      <c r="P25" s="468"/>
      <c r="Q25" s="468"/>
      <c r="R25" s="468"/>
      <c r="S25" s="468"/>
      <c r="T25" s="468"/>
      <c r="U25" s="468"/>
      <c r="V25" s="9"/>
      <c r="W25" s="9"/>
    </row>
    <row r="26" spans="2:23" ht="50.1" customHeight="1" thickTop="1" x14ac:dyDescent="0.25">
      <c r="B26" s="39">
        <v>1</v>
      </c>
      <c r="C26" s="166"/>
      <c r="D26" s="458" t="s">
        <v>6</v>
      </c>
      <c r="E26" s="458"/>
      <c r="F26" s="167"/>
      <c r="G26" s="459"/>
      <c r="H26" s="460"/>
      <c r="I26" s="168"/>
      <c r="J26" s="449"/>
      <c r="K26" s="450"/>
      <c r="L26" s="449"/>
      <c r="M26" s="460"/>
      <c r="N26" s="466" t="s">
        <v>7</v>
      </c>
      <c r="O26" s="466"/>
      <c r="P26" s="466"/>
      <c r="Q26" s="466"/>
      <c r="R26" s="466"/>
      <c r="S26" s="466"/>
      <c r="T26" s="466"/>
      <c r="U26" s="466"/>
      <c r="V26" s="9"/>
      <c r="W26" s="9"/>
    </row>
    <row r="27" spans="2:23" ht="24.95" customHeight="1" x14ac:dyDescent="0.25">
      <c r="B27" s="59" t="s">
        <v>106</v>
      </c>
      <c r="C27" s="14"/>
      <c r="D27" s="14"/>
      <c r="E27" s="14"/>
      <c r="F27" s="14"/>
      <c r="G27" s="13"/>
      <c r="H27" s="13"/>
      <c r="I27" s="13"/>
      <c r="J27" s="13"/>
      <c r="K27" s="13"/>
      <c r="L27" s="13"/>
      <c r="M27" s="13"/>
      <c r="N27" s="13"/>
      <c r="O27" s="13"/>
      <c r="U27" s="20"/>
    </row>
    <row r="28" spans="2:23" s="10" customFormat="1" ht="20.100000000000001" customHeight="1" x14ac:dyDescent="0.25">
      <c r="B28" s="29" t="s">
        <v>83</v>
      </c>
      <c r="C28" s="374" t="s">
        <v>128</v>
      </c>
      <c r="D28" s="374"/>
      <c r="E28" s="374"/>
      <c r="F28" s="374"/>
      <c r="G28" s="374"/>
      <c r="H28" s="374"/>
      <c r="I28" s="374"/>
      <c r="J28" s="392" t="s">
        <v>84</v>
      </c>
      <c r="K28" s="419"/>
      <c r="L28" s="393"/>
      <c r="M28" s="392" t="s">
        <v>85</v>
      </c>
      <c r="N28" s="419"/>
      <c r="O28" s="393"/>
      <c r="P28" s="374" t="s">
        <v>33</v>
      </c>
      <c r="Q28" s="374"/>
      <c r="R28" s="374"/>
      <c r="U28" s="25"/>
    </row>
    <row r="29" spans="2:23" s="28" customFormat="1" ht="17.100000000000001" customHeight="1" x14ac:dyDescent="0.25">
      <c r="B29" s="40">
        <v>1</v>
      </c>
      <c r="C29" s="369" t="s">
        <v>18</v>
      </c>
      <c r="D29" s="369"/>
      <c r="E29" s="369"/>
      <c r="F29" s="369"/>
      <c r="G29" s="369"/>
      <c r="H29" s="369"/>
      <c r="I29" s="369"/>
      <c r="J29" s="438" t="s">
        <v>30</v>
      </c>
      <c r="K29" s="439"/>
      <c r="L29" s="440"/>
      <c r="M29" s="438" t="s">
        <v>30</v>
      </c>
      <c r="N29" s="439"/>
      <c r="O29" s="440"/>
      <c r="P29" s="443" t="s">
        <v>30</v>
      </c>
      <c r="Q29" s="443"/>
      <c r="R29" s="443"/>
      <c r="U29" s="60"/>
    </row>
    <row r="30" spans="2:23" s="28" customFormat="1" ht="17.100000000000001" customHeight="1" x14ac:dyDescent="0.25">
      <c r="B30" s="40">
        <v>2</v>
      </c>
      <c r="C30" s="369" t="s">
        <v>19</v>
      </c>
      <c r="D30" s="369"/>
      <c r="E30" s="369"/>
      <c r="F30" s="369"/>
      <c r="G30" s="369"/>
      <c r="H30" s="369"/>
      <c r="I30" s="369"/>
      <c r="J30" s="438" t="s">
        <v>30</v>
      </c>
      <c r="K30" s="439"/>
      <c r="L30" s="440"/>
      <c r="M30" s="438" t="s">
        <v>30</v>
      </c>
      <c r="N30" s="439"/>
      <c r="O30" s="440"/>
      <c r="P30" s="443" t="s">
        <v>30</v>
      </c>
      <c r="Q30" s="443"/>
      <c r="R30" s="443"/>
      <c r="U30" s="60"/>
    </row>
    <row r="31" spans="2:23" s="28" customFormat="1" ht="17.100000000000001" customHeight="1" x14ac:dyDescent="0.25">
      <c r="B31" s="40">
        <v>3</v>
      </c>
      <c r="C31" s="435" t="s">
        <v>123</v>
      </c>
      <c r="D31" s="435"/>
      <c r="E31" s="435"/>
      <c r="F31" s="435"/>
      <c r="G31" s="435"/>
      <c r="H31" s="435"/>
      <c r="I31" s="435"/>
      <c r="J31" s="438" t="s">
        <v>30</v>
      </c>
      <c r="K31" s="439"/>
      <c r="L31" s="440"/>
      <c r="M31" s="438" t="s">
        <v>30</v>
      </c>
      <c r="N31" s="439"/>
      <c r="O31" s="440"/>
      <c r="P31" s="443" t="s">
        <v>30</v>
      </c>
      <c r="Q31" s="443"/>
      <c r="R31" s="443"/>
      <c r="U31" s="60"/>
    </row>
    <row r="32" spans="2:23" s="28" customFormat="1" ht="17.100000000000001" customHeight="1" x14ac:dyDescent="0.25">
      <c r="B32" s="40">
        <v>4</v>
      </c>
      <c r="C32" s="369" t="s">
        <v>20</v>
      </c>
      <c r="D32" s="369"/>
      <c r="E32" s="369"/>
      <c r="F32" s="369"/>
      <c r="G32" s="369"/>
      <c r="H32" s="369"/>
      <c r="I32" s="369"/>
      <c r="J32" s="438" t="s">
        <v>30</v>
      </c>
      <c r="K32" s="439"/>
      <c r="L32" s="440"/>
      <c r="M32" s="438" t="s">
        <v>30</v>
      </c>
      <c r="N32" s="439"/>
      <c r="O32" s="440"/>
      <c r="P32" s="443" t="s">
        <v>30</v>
      </c>
      <c r="Q32" s="443"/>
      <c r="R32" s="443"/>
      <c r="U32" s="60"/>
    </row>
    <row r="33" spans="2:21" s="28" customFormat="1" ht="17.100000000000001" customHeight="1" x14ac:dyDescent="0.25">
      <c r="B33" s="40">
        <v>5</v>
      </c>
      <c r="C33" s="369" t="s">
        <v>21</v>
      </c>
      <c r="D33" s="369"/>
      <c r="E33" s="369"/>
      <c r="F33" s="369"/>
      <c r="G33" s="369"/>
      <c r="H33" s="369"/>
      <c r="I33" s="369"/>
      <c r="J33" s="438" t="s">
        <v>30</v>
      </c>
      <c r="K33" s="439"/>
      <c r="L33" s="440"/>
      <c r="M33" s="438" t="s">
        <v>30</v>
      </c>
      <c r="N33" s="439"/>
      <c r="O33" s="440"/>
      <c r="P33" s="443" t="s">
        <v>30</v>
      </c>
      <c r="Q33" s="443"/>
      <c r="R33" s="443"/>
      <c r="U33" s="60"/>
    </row>
    <row r="34" spans="2:21" s="28" customFormat="1" ht="17.100000000000001" customHeight="1" x14ac:dyDescent="0.25">
      <c r="B34" s="40">
        <v>6</v>
      </c>
      <c r="C34" s="435" t="s">
        <v>124</v>
      </c>
      <c r="D34" s="435"/>
      <c r="E34" s="435"/>
      <c r="F34" s="435"/>
      <c r="G34" s="435"/>
      <c r="H34" s="435"/>
      <c r="I34" s="435"/>
      <c r="J34" s="438" t="s">
        <v>30</v>
      </c>
      <c r="K34" s="439"/>
      <c r="L34" s="440"/>
      <c r="M34" s="438" t="s">
        <v>30</v>
      </c>
      <c r="N34" s="439"/>
      <c r="O34" s="440"/>
      <c r="P34" s="443" t="s">
        <v>30</v>
      </c>
      <c r="Q34" s="443"/>
      <c r="R34" s="443"/>
      <c r="U34" s="60"/>
    </row>
    <row r="35" spans="2:21" s="28" customFormat="1" ht="35.1" customHeight="1" x14ac:dyDescent="0.25">
      <c r="B35" s="40">
        <v>7</v>
      </c>
      <c r="C35" s="369" t="s">
        <v>22</v>
      </c>
      <c r="D35" s="369"/>
      <c r="E35" s="369"/>
      <c r="F35" s="369"/>
      <c r="G35" s="369"/>
      <c r="H35" s="369"/>
      <c r="I35" s="369"/>
      <c r="J35" s="375" t="s">
        <v>125</v>
      </c>
      <c r="K35" s="376"/>
      <c r="L35" s="377"/>
      <c r="M35" s="375" t="s">
        <v>126</v>
      </c>
      <c r="N35" s="376"/>
      <c r="O35" s="377"/>
      <c r="P35" s="455" t="s">
        <v>126</v>
      </c>
      <c r="Q35" s="455"/>
      <c r="R35" s="455"/>
      <c r="U35" s="60"/>
    </row>
    <row r="36" spans="2:21" s="28" customFormat="1" ht="35.1" customHeight="1" x14ac:dyDescent="0.25">
      <c r="B36" s="40">
        <v>8</v>
      </c>
      <c r="C36" s="369" t="s">
        <v>23</v>
      </c>
      <c r="D36" s="369"/>
      <c r="E36" s="369"/>
      <c r="F36" s="369"/>
      <c r="G36" s="369"/>
      <c r="H36" s="369"/>
      <c r="I36" s="369"/>
      <c r="J36" s="366" t="s">
        <v>31</v>
      </c>
      <c r="K36" s="367"/>
      <c r="L36" s="368"/>
      <c r="M36" s="375" t="s">
        <v>127</v>
      </c>
      <c r="N36" s="376"/>
      <c r="O36" s="377"/>
      <c r="P36" s="455" t="s">
        <v>127</v>
      </c>
      <c r="Q36" s="455"/>
      <c r="R36" s="455"/>
      <c r="U36" s="60"/>
    </row>
    <row r="37" spans="2:21" s="28" customFormat="1" ht="17.100000000000001" customHeight="1" x14ac:dyDescent="0.25">
      <c r="B37" s="40">
        <v>9</v>
      </c>
      <c r="C37" s="369" t="s">
        <v>24</v>
      </c>
      <c r="D37" s="369"/>
      <c r="E37" s="369"/>
      <c r="F37" s="369"/>
      <c r="G37" s="369"/>
      <c r="H37" s="369"/>
      <c r="I37" s="369"/>
      <c r="J37" s="366" t="s">
        <v>31</v>
      </c>
      <c r="K37" s="367"/>
      <c r="L37" s="368"/>
      <c r="M37" s="366" t="s">
        <v>31</v>
      </c>
      <c r="N37" s="367"/>
      <c r="O37" s="368"/>
      <c r="P37" s="373" t="s">
        <v>31</v>
      </c>
      <c r="Q37" s="373"/>
      <c r="R37" s="373"/>
      <c r="U37" s="60"/>
    </row>
    <row r="38" spans="2:21" s="28" customFormat="1" ht="17.100000000000001" customHeight="1" x14ac:dyDescent="0.25">
      <c r="B38" s="40">
        <v>10</v>
      </c>
      <c r="C38" s="369" t="s">
        <v>25</v>
      </c>
      <c r="D38" s="369"/>
      <c r="E38" s="369"/>
      <c r="F38" s="369"/>
      <c r="G38" s="369"/>
      <c r="H38" s="369"/>
      <c r="I38" s="369"/>
      <c r="J38" s="366" t="s">
        <v>31</v>
      </c>
      <c r="K38" s="367"/>
      <c r="L38" s="368"/>
      <c r="M38" s="366" t="s">
        <v>31</v>
      </c>
      <c r="N38" s="367"/>
      <c r="O38" s="368"/>
      <c r="P38" s="373" t="s">
        <v>31</v>
      </c>
      <c r="Q38" s="373"/>
      <c r="R38" s="373"/>
      <c r="U38" s="60"/>
    </row>
    <row r="39" spans="2:21" s="28" customFormat="1" ht="17.100000000000001" customHeight="1" x14ac:dyDescent="0.25">
      <c r="B39" s="40">
        <v>11</v>
      </c>
      <c r="C39" s="369" t="s">
        <v>26</v>
      </c>
      <c r="D39" s="369"/>
      <c r="E39" s="369"/>
      <c r="F39" s="369"/>
      <c r="G39" s="369"/>
      <c r="H39" s="369"/>
      <c r="I39" s="369"/>
      <c r="J39" s="366" t="s">
        <v>31</v>
      </c>
      <c r="K39" s="367"/>
      <c r="L39" s="368"/>
      <c r="M39" s="366" t="s">
        <v>31</v>
      </c>
      <c r="N39" s="367"/>
      <c r="O39" s="368"/>
      <c r="P39" s="373" t="s">
        <v>31</v>
      </c>
      <c r="Q39" s="373"/>
      <c r="R39" s="373"/>
      <c r="U39" s="60"/>
    </row>
    <row r="40" spans="2:21" s="28" customFormat="1" ht="17.100000000000001" customHeight="1" x14ac:dyDescent="0.25">
      <c r="B40" s="40">
        <v>12</v>
      </c>
      <c r="C40" s="369" t="s">
        <v>27</v>
      </c>
      <c r="D40" s="369"/>
      <c r="E40" s="369"/>
      <c r="F40" s="369"/>
      <c r="G40" s="369"/>
      <c r="H40" s="369"/>
      <c r="I40" s="369"/>
      <c r="J40" s="366" t="s">
        <v>31</v>
      </c>
      <c r="K40" s="367"/>
      <c r="L40" s="368"/>
      <c r="M40" s="366" t="s">
        <v>31</v>
      </c>
      <c r="N40" s="367"/>
      <c r="O40" s="368"/>
      <c r="P40" s="373" t="s">
        <v>31</v>
      </c>
      <c r="Q40" s="373"/>
      <c r="R40" s="373"/>
      <c r="U40" s="60"/>
    </row>
    <row r="41" spans="2:21" s="28" customFormat="1" ht="17.100000000000001" customHeight="1" x14ac:dyDescent="0.25">
      <c r="B41" s="40">
        <v>13</v>
      </c>
      <c r="C41" s="369" t="s">
        <v>28</v>
      </c>
      <c r="D41" s="369"/>
      <c r="E41" s="369"/>
      <c r="F41" s="369"/>
      <c r="G41" s="369"/>
      <c r="H41" s="369"/>
      <c r="I41" s="369"/>
      <c r="J41" s="366" t="s">
        <v>32</v>
      </c>
      <c r="K41" s="367"/>
      <c r="L41" s="368"/>
      <c r="M41" s="366" t="s">
        <v>32</v>
      </c>
      <c r="N41" s="367"/>
      <c r="O41" s="368"/>
      <c r="P41" s="373" t="s">
        <v>32</v>
      </c>
      <c r="Q41" s="373"/>
      <c r="R41" s="373"/>
      <c r="U41" s="60"/>
    </row>
    <row r="42" spans="2:21" s="28" customFormat="1" ht="17.100000000000001" customHeight="1" x14ac:dyDescent="0.25">
      <c r="B42" s="40">
        <v>14</v>
      </c>
      <c r="C42" s="369" t="s">
        <v>29</v>
      </c>
      <c r="D42" s="369"/>
      <c r="E42" s="369"/>
      <c r="F42" s="369"/>
      <c r="G42" s="369"/>
      <c r="H42" s="369"/>
      <c r="I42" s="369"/>
      <c r="J42" s="366" t="s">
        <v>31</v>
      </c>
      <c r="K42" s="367"/>
      <c r="L42" s="368"/>
      <c r="M42" s="366" t="s">
        <v>31</v>
      </c>
      <c r="N42" s="367"/>
      <c r="O42" s="368"/>
      <c r="P42" s="373" t="s">
        <v>31</v>
      </c>
      <c r="Q42" s="373"/>
      <c r="R42" s="373"/>
      <c r="U42" s="60"/>
    </row>
    <row r="43" spans="2:21" ht="24.95" customHeight="1" x14ac:dyDescent="0.25">
      <c r="B43" s="59" t="s">
        <v>155</v>
      </c>
      <c r="C43" s="14"/>
      <c r="D43" s="14"/>
      <c r="E43" s="14"/>
      <c r="F43" s="14"/>
      <c r="G43" s="13"/>
      <c r="H43" s="13"/>
      <c r="I43" s="13"/>
      <c r="J43" s="13"/>
      <c r="K43" s="13"/>
      <c r="L43" s="13"/>
      <c r="M43" s="13"/>
      <c r="N43" s="13"/>
      <c r="O43" s="13"/>
      <c r="U43" s="20"/>
    </row>
    <row r="44" spans="2:21" s="32" customFormat="1" ht="17.100000000000001" customHeight="1" x14ac:dyDescent="0.25">
      <c r="B44" s="374" t="s">
        <v>51</v>
      </c>
      <c r="C44" s="374"/>
      <c r="D44" s="374" t="s">
        <v>98</v>
      </c>
      <c r="E44" s="374"/>
      <c r="F44" s="374"/>
      <c r="G44" s="374"/>
      <c r="H44" s="371" t="s">
        <v>103</v>
      </c>
      <c r="I44" s="371"/>
      <c r="J44" s="371"/>
      <c r="K44" s="371" t="s">
        <v>104</v>
      </c>
      <c r="L44" s="371"/>
      <c r="M44" s="371"/>
      <c r="N44" s="371"/>
      <c r="O44" s="371"/>
      <c r="U44" s="61"/>
    </row>
    <row r="45" spans="2:21" s="12" customFormat="1" ht="17.100000000000001" customHeight="1" x14ac:dyDescent="0.25">
      <c r="B45" s="384" t="s">
        <v>99</v>
      </c>
      <c r="C45" s="384"/>
      <c r="D45" s="384" t="s">
        <v>101</v>
      </c>
      <c r="E45" s="384"/>
      <c r="F45" s="384"/>
      <c r="G45" s="384"/>
      <c r="H45" s="372" t="s">
        <v>101</v>
      </c>
      <c r="I45" s="372"/>
      <c r="J45" s="372"/>
      <c r="K45" s="372" t="s">
        <v>105</v>
      </c>
      <c r="L45" s="372"/>
      <c r="M45" s="372"/>
      <c r="N45" s="372"/>
      <c r="O45" s="372"/>
      <c r="U45" s="62"/>
    </row>
    <row r="46" spans="2:21" s="12" customFormat="1" ht="17.100000000000001" customHeight="1" x14ac:dyDescent="0.25">
      <c r="B46" s="384" t="s">
        <v>100</v>
      </c>
      <c r="C46" s="384"/>
      <c r="D46" s="384" t="s">
        <v>102</v>
      </c>
      <c r="E46" s="384"/>
      <c r="F46" s="384"/>
      <c r="G46" s="384"/>
      <c r="H46" s="372" t="s">
        <v>101</v>
      </c>
      <c r="I46" s="372"/>
      <c r="J46" s="372"/>
      <c r="K46" s="372" t="s">
        <v>101</v>
      </c>
      <c r="L46" s="372"/>
      <c r="M46" s="372"/>
      <c r="N46" s="372"/>
      <c r="O46" s="372"/>
      <c r="U46" s="62"/>
    </row>
    <row r="47" spans="2:21" s="28" customFormat="1" ht="15" customHeight="1" x14ac:dyDescent="0.25">
      <c r="B47" s="37"/>
      <c r="C47" s="31"/>
      <c r="D47" s="31"/>
      <c r="E47" s="31"/>
      <c r="F47" s="31"/>
      <c r="G47" s="31"/>
      <c r="H47" s="31"/>
      <c r="I47" s="31"/>
      <c r="J47" s="30"/>
      <c r="K47" s="30"/>
      <c r="L47" s="30"/>
      <c r="M47" s="30"/>
      <c r="N47" s="30"/>
      <c r="O47" s="30"/>
      <c r="U47" s="60"/>
    </row>
    <row r="48" spans="2:21" ht="20.100000000000001" customHeight="1" x14ac:dyDescent="0.25">
      <c r="B48" s="56" t="s">
        <v>76</v>
      </c>
      <c r="U48" s="20"/>
    </row>
    <row r="49" spans="2:21" s="27" customFormat="1" ht="20.100000000000001" customHeight="1" x14ac:dyDescent="0.25">
      <c r="B49" s="358" t="s">
        <v>1</v>
      </c>
      <c r="C49" s="360" t="s">
        <v>52</v>
      </c>
      <c r="D49" s="361"/>
      <c r="E49" s="361"/>
      <c r="F49" s="362"/>
      <c r="G49" s="360" t="s">
        <v>53</v>
      </c>
      <c r="H49" s="361"/>
      <c r="I49" s="361"/>
      <c r="J49" s="361"/>
      <c r="K49" s="362"/>
      <c r="L49" s="378" t="s">
        <v>122</v>
      </c>
      <c r="M49" s="378"/>
      <c r="N49" s="378"/>
      <c r="O49" s="378"/>
      <c r="P49" s="378"/>
      <c r="Q49" s="378"/>
      <c r="R49" s="378"/>
      <c r="S49" s="378"/>
      <c r="U49" s="63"/>
    </row>
    <row r="50" spans="2:21" s="27" customFormat="1" ht="20.100000000000001" customHeight="1" thickBot="1" x14ac:dyDescent="0.3">
      <c r="B50" s="359"/>
      <c r="C50" s="363"/>
      <c r="D50" s="364"/>
      <c r="E50" s="364"/>
      <c r="F50" s="365"/>
      <c r="G50" s="363"/>
      <c r="H50" s="364"/>
      <c r="I50" s="364"/>
      <c r="J50" s="364"/>
      <c r="K50" s="365"/>
      <c r="L50" s="350" t="s">
        <v>80</v>
      </c>
      <c r="M50" s="350"/>
      <c r="N50" s="350" t="s">
        <v>81</v>
      </c>
      <c r="O50" s="350"/>
      <c r="P50" s="350" t="s">
        <v>82</v>
      </c>
      <c r="Q50" s="350"/>
      <c r="R50" s="350" t="s">
        <v>117</v>
      </c>
      <c r="S50" s="350"/>
      <c r="U50" s="63"/>
    </row>
    <row r="51" spans="2:21" ht="24.95" customHeight="1" thickTop="1" x14ac:dyDescent="0.25">
      <c r="B51" s="39">
        <v>1</v>
      </c>
      <c r="C51" s="370" t="s">
        <v>224</v>
      </c>
      <c r="D51" s="370"/>
      <c r="E51" s="370"/>
      <c r="F51" s="370"/>
      <c r="G51" s="380"/>
      <c r="H51" s="380"/>
      <c r="I51" s="380"/>
      <c r="J51" s="380"/>
      <c r="K51" s="380"/>
      <c r="L51" s="356"/>
      <c r="M51" s="356"/>
      <c r="N51" s="356"/>
      <c r="O51" s="356"/>
      <c r="P51" s="356"/>
      <c r="Q51" s="356"/>
      <c r="R51" s="356"/>
      <c r="S51" s="356"/>
      <c r="U51" s="20"/>
    </row>
    <row r="52" spans="2:21" ht="24.95" customHeight="1" x14ac:dyDescent="0.25">
      <c r="B52" s="16">
        <v>2</v>
      </c>
      <c r="C52" s="379"/>
      <c r="D52" s="379"/>
      <c r="E52" s="379"/>
      <c r="F52" s="379"/>
      <c r="G52" s="385"/>
      <c r="H52" s="385"/>
      <c r="I52" s="385"/>
      <c r="J52" s="385"/>
      <c r="K52" s="385"/>
      <c r="L52" s="357"/>
      <c r="M52" s="357"/>
      <c r="N52" s="357"/>
      <c r="O52" s="357"/>
      <c r="P52" s="357"/>
      <c r="Q52" s="357"/>
      <c r="R52" s="357"/>
      <c r="S52" s="357"/>
      <c r="U52" s="20"/>
    </row>
    <row r="53" spans="2:21" ht="24.95" customHeight="1" x14ac:dyDescent="0.25">
      <c r="B53" s="59" t="s">
        <v>156</v>
      </c>
      <c r="U53" s="20"/>
    </row>
    <row r="54" spans="2:21" s="28" customFormat="1" ht="20.100000000000001" customHeight="1" x14ac:dyDescent="0.25">
      <c r="B54" s="392" t="s">
        <v>87</v>
      </c>
      <c r="C54" s="393"/>
      <c r="D54" s="392" t="s">
        <v>86</v>
      </c>
      <c r="E54" s="419"/>
      <c r="F54" s="419"/>
      <c r="G54" s="393"/>
      <c r="H54" s="374" t="s">
        <v>116</v>
      </c>
      <c r="I54" s="374"/>
      <c r="J54" s="374"/>
      <c r="K54" s="374"/>
      <c r="L54" s="30"/>
      <c r="M54" s="30"/>
      <c r="N54" s="30"/>
      <c r="O54" s="30"/>
      <c r="P54" s="30"/>
      <c r="Q54" s="30"/>
      <c r="U54" s="60"/>
    </row>
    <row r="55" spans="2:21" s="28" customFormat="1" ht="17.100000000000001" customHeight="1" x14ac:dyDescent="0.25">
      <c r="B55" s="354" t="s">
        <v>88</v>
      </c>
      <c r="C55" s="355"/>
      <c r="D55" s="351" t="s">
        <v>95</v>
      </c>
      <c r="E55" s="352"/>
      <c r="F55" s="352"/>
      <c r="G55" s="353"/>
      <c r="H55" s="412" t="s">
        <v>121</v>
      </c>
      <c r="I55" s="412"/>
      <c r="J55" s="412"/>
      <c r="K55" s="412"/>
      <c r="L55" s="30"/>
      <c r="M55" s="30"/>
      <c r="N55" s="30"/>
      <c r="O55" s="413" t="s">
        <v>119</v>
      </c>
      <c r="P55" s="414"/>
      <c r="Q55" s="415"/>
      <c r="U55" s="60"/>
    </row>
    <row r="56" spans="2:21" s="28" customFormat="1" ht="17.100000000000001" customHeight="1" x14ac:dyDescent="0.2">
      <c r="B56" s="354" t="s">
        <v>89</v>
      </c>
      <c r="C56" s="355"/>
      <c r="D56" s="351" t="s">
        <v>95</v>
      </c>
      <c r="E56" s="352"/>
      <c r="F56" s="352"/>
      <c r="G56" s="353"/>
      <c r="H56" s="412"/>
      <c r="I56" s="412"/>
      <c r="J56" s="412"/>
      <c r="K56" s="412"/>
      <c r="L56" s="30"/>
      <c r="M56" s="30"/>
      <c r="N56" s="30"/>
      <c r="O56" s="416"/>
      <c r="P56" s="417"/>
      <c r="Q56" s="418"/>
      <c r="U56" s="60"/>
    </row>
    <row r="57" spans="2:21" s="28" customFormat="1" ht="17.100000000000001" customHeight="1" x14ac:dyDescent="0.25">
      <c r="B57" s="354" t="s">
        <v>90</v>
      </c>
      <c r="C57" s="355"/>
      <c r="D57" s="351" t="s">
        <v>95</v>
      </c>
      <c r="E57" s="352"/>
      <c r="F57" s="352"/>
      <c r="G57" s="353"/>
      <c r="H57" s="412"/>
      <c r="I57" s="412"/>
      <c r="J57" s="412"/>
      <c r="K57" s="412"/>
      <c r="L57" s="30"/>
      <c r="M57" s="30"/>
      <c r="N57" s="30"/>
      <c r="O57" s="406" t="s">
        <v>241</v>
      </c>
      <c r="P57" s="407"/>
      <c r="Q57" s="408"/>
      <c r="U57" s="60"/>
    </row>
    <row r="58" spans="2:21" s="28" customFormat="1" ht="17.100000000000001" customHeight="1" x14ac:dyDescent="0.2">
      <c r="B58" s="354" t="s">
        <v>91</v>
      </c>
      <c r="C58" s="355"/>
      <c r="D58" s="351" t="s">
        <v>96</v>
      </c>
      <c r="E58" s="352"/>
      <c r="F58" s="352"/>
      <c r="G58" s="353"/>
      <c r="H58" s="412"/>
      <c r="I58" s="412"/>
      <c r="J58" s="412"/>
      <c r="K58" s="412"/>
      <c r="L58" s="30"/>
      <c r="M58" s="30"/>
      <c r="N58" s="30"/>
      <c r="O58" s="409"/>
      <c r="P58" s="410"/>
      <c r="Q58" s="411"/>
      <c r="U58" s="60"/>
    </row>
    <row r="59" spans="2:21" s="28" customFormat="1" ht="17.100000000000001" customHeight="1" x14ac:dyDescent="0.25">
      <c r="B59" s="354" t="s">
        <v>92</v>
      </c>
      <c r="C59" s="355"/>
      <c r="D59" s="351" t="s">
        <v>96</v>
      </c>
      <c r="E59" s="352"/>
      <c r="F59" s="352"/>
      <c r="G59" s="353"/>
      <c r="H59" s="412"/>
      <c r="I59" s="412"/>
      <c r="J59" s="412"/>
      <c r="K59" s="412"/>
      <c r="L59" s="30"/>
      <c r="M59" s="30"/>
      <c r="N59" s="30"/>
      <c r="O59" s="83" t="s">
        <v>118</v>
      </c>
      <c r="P59" s="110" t="str">
        <f>+O57</f>
        <v>FEP</v>
      </c>
      <c r="Q59" s="84"/>
      <c r="U59" s="60"/>
    </row>
    <row r="60" spans="2:21" s="28" customFormat="1" ht="17.100000000000001" customHeight="1" x14ac:dyDescent="0.25">
      <c r="B60" s="354" t="s">
        <v>93</v>
      </c>
      <c r="C60" s="355"/>
      <c r="D60" s="351" t="s">
        <v>97</v>
      </c>
      <c r="E60" s="352"/>
      <c r="F60" s="352"/>
      <c r="G60" s="353"/>
      <c r="H60" s="412"/>
      <c r="I60" s="412"/>
      <c r="J60" s="412"/>
      <c r="K60" s="412"/>
      <c r="L60" s="30"/>
      <c r="M60" s="30"/>
      <c r="N60" s="30"/>
      <c r="O60" s="83" t="s">
        <v>159</v>
      </c>
      <c r="P60" s="174">
        <v>45540</v>
      </c>
      <c r="Q60" s="109"/>
      <c r="U60" s="60"/>
    </row>
    <row r="61" spans="2:21" s="28" customFormat="1" ht="17.100000000000001" customHeight="1" x14ac:dyDescent="0.25">
      <c r="B61" s="354" t="s">
        <v>94</v>
      </c>
      <c r="C61" s="355"/>
      <c r="D61" s="351" t="s">
        <v>97</v>
      </c>
      <c r="E61" s="352"/>
      <c r="F61" s="352"/>
      <c r="G61" s="353"/>
      <c r="H61" s="412"/>
      <c r="I61" s="412"/>
      <c r="J61" s="412"/>
      <c r="K61" s="412"/>
      <c r="L61" s="30"/>
      <c r="M61" s="30"/>
      <c r="N61" s="30"/>
      <c r="O61" s="30"/>
      <c r="P61" s="30"/>
      <c r="U61" s="60"/>
    </row>
    <row r="62" spans="2:21" s="28" customFormat="1" ht="9.9499999999999993" customHeight="1" thickBot="1" x14ac:dyDescent="0.3">
      <c r="B62" s="64"/>
      <c r="C62" s="49"/>
      <c r="D62" s="49"/>
      <c r="E62" s="49"/>
      <c r="F62" s="49"/>
      <c r="G62" s="50"/>
      <c r="H62" s="50"/>
      <c r="I62" s="50"/>
      <c r="J62" s="50"/>
      <c r="K62" s="50"/>
      <c r="L62" s="51"/>
      <c r="M62" s="51"/>
      <c r="N62" s="51"/>
      <c r="O62" s="51"/>
      <c r="P62" s="51"/>
      <c r="Q62" s="51"/>
      <c r="R62" s="52"/>
      <c r="S62" s="52"/>
      <c r="T62" s="52"/>
      <c r="U62" s="65"/>
    </row>
    <row r="63" spans="2:21" s="13" customFormat="1" ht="17.100000000000001" customHeight="1" thickTop="1" x14ac:dyDescent="0.25">
      <c r="B63" s="388" t="s">
        <v>141</v>
      </c>
      <c r="C63" s="389"/>
      <c r="D63" s="389"/>
      <c r="E63" s="389"/>
      <c r="F63" s="389"/>
      <c r="G63" s="389"/>
      <c r="H63" s="389"/>
      <c r="I63" s="389"/>
      <c r="J63" s="66"/>
      <c r="K63" s="66"/>
      <c r="L63" s="67"/>
      <c r="M63" s="67"/>
      <c r="N63" s="67"/>
      <c r="O63" s="67"/>
      <c r="P63" s="67"/>
      <c r="Q63" s="67"/>
      <c r="R63" s="344" t="s">
        <v>150</v>
      </c>
      <c r="S63" s="345"/>
      <c r="T63" s="345"/>
      <c r="U63" s="346"/>
    </row>
    <row r="64" spans="2:21" s="13" customFormat="1" ht="17.100000000000001" customHeight="1" x14ac:dyDescent="0.25">
      <c r="B64" s="390"/>
      <c r="C64" s="391"/>
      <c r="D64" s="391"/>
      <c r="E64" s="391"/>
      <c r="F64" s="391"/>
      <c r="G64" s="391"/>
      <c r="H64" s="391"/>
      <c r="I64" s="391"/>
      <c r="J64" s="66"/>
      <c r="K64" s="66"/>
      <c r="L64" s="67"/>
      <c r="M64" s="67"/>
      <c r="N64" s="67"/>
      <c r="O64" s="67"/>
      <c r="P64" s="67"/>
      <c r="Q64" s="67"/>
      <c r="R64" s="343" t="s">
        <v>142</v>
      </c>
      <c r="S64" s="343"/>
      <c r="T64" s="343"/>
      <c r="U64" s="343"/>
    </row>
    <row r="65" spans="2:21" s="27" customFormat="1" ht="17.100000000000001" customHeight="1" x14ac:dyDescent="0.25">
      <c r="B65" s="69" t="s">
        <v>129</v>
      </c>
      <c r="C65" s="381" t="s">
        <v>130</v>
      </c>
      <c r="D65" s="382"/>
      <c r="E65" s="382"/>
      <c r="F65" s="382"/>
      <c r="G65" s="382"/>
      <c r="H65" s="382"/>
      <c r="I65" s="382"/>
      <c r="J65" s="382"/>
      <c r="K65" s="383"/>
      <c r="L65" s="69" t="s">
        <v>137</v>
      </c>
      <c r="M65" s="381" t="s">
        <v>143</v>
      </c>
      <c r="N65" s="382"/>
      <c r="O65" s="382"/>
      <c r="P65" s="382"/>
      <c r="Q65" s="383"/>
      <c r="R65" s="343" t="s">
        <v>152</v>
      </c>
      <c r="S65" s="343"/>
      <c r="T65" s="343" t="s">
        <v>153</v>
      </c>
      <c r="U65" s="343"/>
    </row>
    <row r="66" spans="2:21" s="13" customFormat="1" ht="17.100000000000001" customHeight="1" x14ac:dyDescent="0.25">
      <c r="B66" s="16">
        <v>1</v>
      </c>
      <c r="C66" s="347" t="s">
        <v>131</v>
      </c>
      <c r="D66" s="348"/>
      <c r="E66" s="348"/>
      <c r="F66" s="348"/>
      <c r="G66" s="348"/>
      <c r="H66" s="348"/>
      <c r="I66" s="348"/>
      <c r="J66" s="348"/>
      <c r="K66" s="349"/>
      <c r="L66" s="16" t="s">
        <v>138</v>
      </c>
      <c r="M66" s="339" t="s">
        <v>146</v>
      </c>
      <c r="N66" s="340"/>
      <c r="O66" s="340"/>
      <c r="P66" s="340"/>
      <c r="Q66" s="340"/>
      <c r="R66" s="338">
        <v>45540</v>
      </c>
      <c r="S66" s="341"/>
      <c r="T66" s="338"/>
      <c r="U66" s="338"/>
    </row>
    <row r="67" spans="2:21" s="13" customFormat="1" ht="17.100000000000001" customHeight="1" x14ac:dyDescent="0.25">
      <c r="B67" s="16">
        <v>2</v>
      </c>
      <c r="C67" s="347" t="s">
        <v>132</v>
      </c>
      <c r="D67" s="348"/>
      <c r="E67" s="348"/>
      <c r="F67" s="348"/>
      <c r="G67" s="348"/>
      <c r="H67" s="348"/>
      <c r="I67" s="348"/>
      <c r="J67" s="348"/>
      <c r="K67" s="349"/>
      <c r="L67" s="16" t="s">
        <v>139</v>
      </c>
      <c r="M67" s="339" t="s">
        <v>145</v>
      </c>
      <c r="N67" s="340"/>
      <c r="O67" s="340"/>
      <c r="P67" s="340"/>
      <c r="Q67" s="340"/>
      <c r="R67" s="338">
        <v>45540</v>
      </c>
      <c r="S67" s="341"/>
      <c r="T67" s="338"/>
      <c r="U67" s="338"/>
    </row>
    <row r="68" spans="2:21" s="13" customFormat="1" ht="17.100000000000001" customHeight="1" x14ac:dyDescent="0.25">
      <c r="B68" s="16">
        <v>3</v>
      </c>
      <c r="C68" s="347" t="s">
        <v>157</v>
      </c>
      <c r="D68" s="348"/>
      <c r="E68" s="348"/>
      <c r="F68" s="348"/>
      <c r="G68" s="348"/>
      <c r="H68" s="348"/>
      <c r="I68" s="348"/>
      <c r="J68" s="348"/>
      <c r="K68" s="349"/>
      <c r="L68" s="16" t="s">
        <v>138</v>
      </c>
      <c r="M68" s="339" t="s">
        <v>144</v>
      </c>
      <c r="N68" s="340"/>
      <c r="O68" s="340"/>
      <c r="P68" s="340"/>
      <c r="Q68" s="340"/>
      <c r="R68" s="338">
        <v>45541</v>
      </c>
      <c r="S68" s="341"/>
      <c r="T68" s="338"/>
      <c r="U68" s="338"/>
    </row>
    <row r="69" spans="2:21" s="13" customFormat="1" ht="17.100000000000001" customHeight="1" x14ac:dyDescent="0.25">
      <c r="B69" s="16">
        <v>4</v>
      </c>
      <c r="C69" s="347" t="s">
        <v>133</v>
      </c>
      <c r="D69" s="348"/>
      <c r="E69" s="348"/>
      <c r="F69" s="348"/>
      <c r="G69" s="348"/>
      <c r="H69" s="348"/>
      <c r="I69" s="348"/>
      <c r="J69" s="348"/>
      <c r="K69" s="349"/>
      <c r="L69" s="16" t="s">
        <v>139</v>
      </c>
      <c r="M69" s="339" t="s">
        <v>149</v>
      </c>
      <c r="N69" s="340"/>
      <c r="O69" s="340"/>
      <c r="P69" s="340"/>
      <c r="Q69" s="340"/>
      <c r="R69" s="338">
        <v>45541</v>
      </c>
      <c r="S69" s="341"/>
      <c r="T69" s="338"/>
      <c r="U69" s="338"/>
    </row>
    <row r="70" spans="2:21" s="13" customFormat="1" ht="17.100000000000001" customHeight="1" x14ac:dyDescent="0.25">
      <c r="B70" s="16">
        <v>5</v>
      </c>
      <c r="C70" s="347" t="s">
        <v>134</v>
      </c>
      <c r="D70" s="348"/>
      <c r="E70" s="348"/>
      <c r="F70" s="348"/>
      <c r="G70" s="348"/>
      <c r="H70" s="348"/>
      <c r="I70" s="348"/>
      <c r="J70" s="348"/>
      <c r="K70" s="349"/>
      <c r="L70" s="16" t="s">
        <v>138</v>
      </c>
      <c r="M70" s="339" t="s">
        <v>189</v>
      </c>
      <c r="N70" s="340"/>
      <c r="O70" s="340"/>
      <c r="P70" s="340"/>
      <c r="Q70" s="340"/>
      <c r="R70" s="342">
        <v>45257</v>
      </c>
      <c r="S70" s="342"/>
      <c r="T70" s="338"/>
      <c r="U70" s="338"/>
    </row>
    <row r="71" spans="2:21" s="13" customFormat="1" ht="17.100000000000001" customHeight="1" x14ac:dyDescent="0.25">
      <c r="B71" s="16">
        <v>6</v>
      </c>
      <c r="C71" s="347" t="s">
        <v>135</v>
      </c>
      <c r="D71" s="348"/>
      <c r="E71" s="348"/>
      <c r="F71" s="348"/>
      <c r="G71" s="348"/>
      <c r="H71" s="348"/>
      <c r="I71" s="348"/>
      <c r="J71" s="348"/>
      <c r="K71" s="349"/>
      <c r="L71" s="16" t="s">
        <v>138</v>
      </c>
      <c r="M71" s="339" t="s">
        <v>160</v>
      </c>
      <c r="N71" s="340"/>
      <c r="O71" s="340"/>
      <c r="P71" s="340"/>
      <c r="Q71" s="340"/>
      <c r="R71" s="338">
        <f>+R69+7</f>
        <v>45548</v>
      </c>
      <c r="S71" s="341"/>
      <c r="T71" s="338"/>
      <c r="U71" s="338"/>
    </row>
    <row r="72" spans="2:21" s="13" customFormat="1" ht="17.100000000000001" customHeight="1" x14ac:dyDescent="0.25">
      <c r="B72" s="16">
        <v>7</v>
      </c>
      <c r="C72" s="347" t="s">
        <v>140</v>
      </c>
      <c r="D72" s="348"/>
      <c r="E72" s="348"/>
      <c r="F72" s="348"/>
      <c r="G72" s="348"/>
      <c r="H72" s="348"/>
      <c r="I72" s="348"/>
      <c r="J72" s="348"/>
      <c r="K72" s="349"/>
      <c r="L72" s="16" t="s">
        <v>139</v>
      </c>
      <c r="M72" s="339" t="s">
        <v>148</v>
      </c>
      <c r="N72" s="340"/>
      <c r="O72" s="340"/>
      <c r="P72" s="340"/>
      <c r="Q72" s="340"/>
      <c r="R72" s="338">
        <v>45541</v>
      </c>
      <c r="S72" s="341"/>
      <c r="T72" s="338"/>
      <c r="U72" s="338"/>
    </row>
    <row r="73" spans="2:21" s="13" customFormat="1" ht="17.100000000000001" customHeight="1" x14ac:dyDescent="0.25">
      <c r="B73" s="16">
        <v>8</v>
      </c>
      <c r="C73" s="347" t="s">
        <v>136</v>
      </c>
      <c r="D73" s="348"/>
      <c r="E73" s="348"/>
      <c r="F73" s="348"/>
      <c r="G73" s="348"/>
      <c r="H73" s="348"/>
      <c r="I73" s="348"/>
      <c r="J73" s="348"/>
      <c r="K73" s="349"/>
      <c r="L73" s="16" t="s">
        <v>139</v>
      </c>
      <c r="M73" s="339" t="s">
        <v>147</v>
      </c>
      <c r="N73" s="340"/>
      <c r="O73" s="340"/>
      <c r="P73" s="340"/>
      <c r="Q73" s="340"/>
      <c r="R73" s="338">
        <f>+C13-1</f>
        <v>45543</v>
      </c>
      <c r="S73" s="341"/>
      <c r="T73" s="338"/>
      <c r="U73" s="338"/>
    </row>
    <row r="74" spans="2:21" s="13" customFormat="1" ht="17.100000000000001" customHeight="1" x14ac:dyDescent="0.25">
      <c r="B74" s="16">
        <v>9</v>
      </c>
      <c r="C74" s="347" t="s">
        <v>151</v>
      </c>
      <c r="D74" s="348"/>
      <c r="E74" s="348"/>
      <c r="F74" s="348"/>
      <c r="G74" s="348"/>
      <c r="H74" s="348"/>
      <c r="I74" s="348"/>
      <c r="J74" s="348"/>
      <c r="K74" s="349"/>
      <c r="L74" s="16" t="s">
        <v>139</v>
      </c>
      <c r="M74" s="339" t="s">
        <v>147</v>
      </c>
      <c r="N74" s="340"/>
      <c r="O74" s="340"/>
      <c r="P74" s="340"/>
      <c r="Q74" s="340"/>
      <c r="R74" s="338">
        <f>+C13-1</f>
        <v>45543</v>
      </c>
      <c r="S74" s="341"/>
      <c r="T74" s="338"/>
      <c r="U74" s="338"/>
    </row>
    <row r="75" spans="2:21" s="13" customFormat="1" ht="17.100000000000001" customHeight="1" x14ac:dyDescent="0.25">
      <c r="B75" s="68"/>
      <c r="C75" s="66"/>
      <c r="D75" s="66"/>
      <c r="E75" s="66"/>
      <c r="F75" s="66"/>
      <c r="G75" s="66"/>
      <c r="H75" s="66"/>
      <c r="I75" s="66"/>
      <c r="J75" s="66"/>
      <c r="K75" s="66"/>
      <c r="L75" s="67"/>
      <c r="M75" s="67"/>
      <c r="N75" s="67"/>
      <c r="O75" s="67"/>
      <c r="P75" s="67"/>
      <c r="Q75" s="67"/>
      <c r="U75" s="58"/>
    </row>
    <row r="76" spans="2:21" s="12" customFormat="1" ht="15" customHeight="1" x14ac:dyDescent="0.25">
      <c r="B76" s="394" t="s">
        <v>114</v>
      </c>
      <c r="C76" s="395"/>
      <c r="D76" s="395"/>
      <c r="E76" s="395"/>
      <c r="F76" s="396"/>
      <c r="G76" s="420"/>
      <c r="H76" s="423" t="s">
        <v>115</v>
      </c>
      <c r="I76" s="424"/>
      <c r="J76" s="26"/>
      <c r="K76" s="386"/>
      <c r="L76" s="430"/>
      <c r="M76" s="430"/>
      <c r="N76" s="387"/>
      <c r="O76" s="386"/>
      <c r="P76" s="387"/>
      <c r="Q76" s="26"/>
      <c r="R76" s="26"/>
      <c r="S76" s="386"/>
      <c r="T76" s="387"/>
      <c r="U76" s="26"/>
    </row>
    <row r="77" spans="2:21" s="12" customFormat="1" ht="15" customHeight="1" x14ac:dyDescent="0.25">
      <c r="B77" s="397"/>
      <c r="C77" s="398"/>
      <c r="D77" s="398"/>
      <c r="E77" s="398"/>
      <c r="F77" s="399"/>
      <c r="G77" s="421"/>
      <c r="H77" s="425"/>
      <c r="I77" s="426"/>
      <c r="J77" s="26"/>
      <c r="K77" s="386"/>
      <c r="L77" s="430"/>
      <c r="M77" s="430"/>
      <c r="N77" s="387"/>
      <c r="O77" s="386"/>
      <c r="P77" s="387"/>
      <c r="Q77" s="26"/>
      <c r="R77" s="26"/>
      <c r="S77" s="386"/>
      <c r="T77" s="387"/>
      <c r="U77" s="26"/>
    </row>
    <row r="78" spans="2:21" s="12" customFormat="1" ht="15" customHeight="1" x14ac:dyDescent="0.25">
      <c r="B78" s="397"/>
      <c r="C78" s="398"/>
      <c r="D78" s="398"/>
      <c r="E78" s="398"/>
      <c r="F78" s="399"/>
      <c r="G78" s="421"/>
      <c r="H78" s="425"/>
      <c r="I78" s="426"/>
      <c r="J78" s="26"/>
      <c r="K78" s="34"/>
      <c r="L78" s="35"/>
      <c r="M78" s="35"/>
      <c r="N78" s="36"/>
      <c r="O78" s="34"/>
      <c r="P78" s="36"/>
      <c r="Q78" s="26"/>
      <c r="R78" s="26"/>
      <c r="S78" s="34"/>
      <c r="T78" s="36"/>
      <c r="U78" s="26"/>
    </row>
    <row r="79" spans="2:21" s="12" customFormat="1" ht="15" customHeight="1" x14ac:dyDescent="0.25">
      <c r="B79" s="397"/>
      <c r="C79" s="398"/>
      <c r="D79" s="398"/>
      <c r="E79" s="398"/>
      <c r="F79" s="399"/>
      <c r="G79" s="421"/>
      <c r="H79" s="425"/>
      <c r="I79" s="426"/>
      <c r="J79" s="26"/>
      <c r="K79" s="386"/>
      <c r="L79" s="430"/>
      <c r="M79" s="430"/>
      <c r="N79" s="387"/>
      <c r="O79" s="386"/>
      <c r="P79" s="387"/>
      <c r="Q79" s="26"/>
      <c r="R79" s="26"/>
      <c r="S79" s="386"/>
      <c r="T79" s="387"/>
      <c r="U79" s="26"/>
    </row>
    <row r="80" spans="2:21" s="12" customFormat="1" ht="15" customHeight="1" x14ac:dyDescent="0.25">
      <c r="B80" s="397"/>
      <c r="C80" s="398"/>
      <c r="D80" s="398"/>
      <c r="E80" s="398"/>
      <c r="F80" s="399"/>
      <c r="G80" s="421"/>
      <c r="H80" s="425"/>
      <c r="I80" s="426"/>
      <c r="J80" s="26">
        <v>0</v>
      </c>
      <c r="K80" s="386" t="s">
        <v>113</v>
      </c>
      <c r="L80" s="430"/>
      <c r="M80" s="430"/>
      <c r="N80" s="387"/>
      <c r="O80" s="403">
        <v>45112</v>
      </c>
      <c r="P80" s="387"/>
      <c r="Q80" s="26" t="s">
        <v>56</v>
      </c>
      <c r="R80" s="26" t="s">
        <v>7</v>
      </c>
      <c r="S80" s="386" t="s">
        <v>7</v>
      </c>
      <c r="T80" s="387"/>
      <c r="U80" s="26" t="s">
        <v>7</v>
      </c>
    </row>
    <row r="81" spans="2:21" s="3" customFormat="1" ht="15" customHeight="1" x14ac:dyDescent="0.25">
      <c r="B81" s="400"/>
      <c r="C81" s="401"/>
      <c r="D81" s="401"/>
      <c r="E81" s="401"/>
      <c r="F81" s="402"/>
      <c r="G81" s="422"/>
      <c r="H81" s="427"/>
      <c r="I81" s="428"/>
      <c r="J81" s="33" t="s">
        <v>112</v>
      </c>
      <c r="K81" s="404" t="s">
        <v>111</v>
      </c>
      <c r="L81" s="429"/>
      <c r="M81" s="429"/>
      <c r="N81" s="405"/>
      <c r="O81" s="404" t="s">
        <v>5</v>
      </c>
      <c r="P81" s="405"/>
      <c r="Q81" s="33" t="s">
        <v>108</v>
      </c>
      <c r="R81" s="33" t="s">
        <v>109</v>
      </c>
      <c r="S81" s="404" t="s">
        <v>110</v>
      </c>
      <c r="T81" s="405"/>
      <c r="U81" s="33" t="s">
        <v>108</v>
      </c>
    </row>
    <row r="82" spans="2:21" ht="20.100000000000001" customHeight="1" x14ac:dyDescent="0.25"/>
    <row r="83" spans="2:21" ht="20.100000000000001" customHeight="1" x14ac:dyDescent="0.25"/>
    <row r="84" spans="2:21" ht="20.100000000000001" customHeight="1" x14ac:dyDescent="0.25"/>
    <row r="85" spans="2:21" ht="20.100000000000001" customHeight="1" x14ac:dyDescent="0.25"/>
    <row r="86" spans="2:21" ht="20.100000000000001" customHeight="1" x14ac:dyDescent="0.25"/>
    <row r="87" spans="2:21" ht="20.100000000000001" customHeight="1" x14ac:dyDescent="0.25"/>
  </sheetData>
  <mergeCells count="237">
    <mergeCell ref="T19:U19"/>
    <mergeCell ref="P20:Q20"/>
    <mergeCell ref="T2:U2"/>
    <mergeCell ref="R6:S6"/>
    <mergeCell ref="R2:S2"/>
    <mergeCell ref="P6:Q6"/>
    <mergeCell ref="P2:Q2"/>
    <mergeCell ref="E20:F20"/>
    <mergeCell ref="N6:O6"/>
    <mergeCell ref="R19:S19"/>
    <mergeCell ref="R18:U18"/>
    <mergeCell ref="P19:Q19"/>
    <mergeCell ref="L18:M19"/>
    <mergeCell ref="K18:K19"/>
    <mergeCell ref="T6:U6"/>
    <mergeCell ref="N3:U5"/>
    <mergeCell ref="N2:O2"/>
    <mergeCell ref="N19:O19"/>
    <mergeCell ref="N18:Q18"/>
    <mergeCell ref="N20:O20"/>
    <mergeCell ref="B3:H6"/>
    <mergeCell ref="G12:H12"/>
    <mergeCell ref="C18:D19"/>
    <mergeCell ref="D13:E13"/>
    <mergeCell ref="C12:F12"/>
    <mergeCell ref="G26:H26"/>
    <mergeCell ref="B24:B25"/>
    <mergeCell ref="C24:F25"/>
    <mergeCell ref="Y12:Z12"/>
    <mergeCell ref="C21:D21"/>
    <mergeCell ref="E21:F21"/>
    <mergeCell ref="C20:D20"/>
    <mergeCell ref="L26:M26"/>
    <mergeCell ref="N26:U26"/>
    <mergeCell ref="L25:M25"/>
    <mergeCell ref="N24:U25"/>
    <mergeCell ref="L21:M21"/>
    <mergeCell ref="B18:B19"/>
    <mergeCell ref="E19:F19"/>
    <mergeCell ref="E18:G18"/>
    <mergeCell ref="H18:I18"/>
    <mergeCell ref="G13:H13"/>
    <mergeCell ref="T21:U21"/>
    <mergeCell ref="R21:S21"/>
    <mergeCell ref="K12:L12"/>
    <mergeCell ref="M12:Q12"/>
    <mergeCell ref="I13:J13"/>
    <mergeCell ref="D14:E14"/>
    <mergeCell ref="G14:H14"/>
    <mergeCell ref="P34:R34"/>
    <mergeCell ref="P35:R35"/>
    <mergeCell ref="P21:Q21"/>
    <mergeCell ref="P36:R36"/>
    <mergeCell ref="C32:I32"/>
    <mergeCell ref="C33:I33"/>
    <mergeCell ref="J29:L29"/>
    <mergeCell ref="J30:L30"/>
    <mergeCell ref="P28:R28"/>
    <mergeCell ref="J33:L33"/>
    <mergeCell ref="P33:R33"/>
    <mergeCell ref="D26:E26"/>
    <mergeCell ref="C36:I36"/>
    <mergeCell ref="J31:L31"/>
    <mergeCell ref="J32:L32"/>
    <mergeCell ref="C28:I28"/>
    <mergeCell ref="C29:I29"/>
    <mergeCell ref="C30:I30"/>
    <mergeCell ref="C31:I31"/>
    <mergeCell ref="J34:L34"/>
    <mergeCell ref="J35:L35"/>
    <mergeCell ref="J36:L36"/>
    <mergeCell ref="M34:O34"/>
    <mergeCell ref="M35:O35"/>
    <mergeCell ref="G24:H25"/>
    <mergeCell ref="C34:I34"/>
    <mergeCell ref="C35:I35"/>
    <mergeCell ref="T20:U20"/>
    <mergeCell ref="R20:S20"/>
    <mergeCell ref="M32:O32"/>
    <mergeCell ref="M33:O33"/>
    <mergeCell ref="J28:L28"/>
    <mergeCell ref="I12:J12"/>
    <mergeCell ref="P29:R29"/>
    <mergeCell ref="P30:R30"/>
    <mergeCell ref="P31:R31"/>
    <mergeCell ref="P32:R32"/>
    <mergeCell ref="L20:M20"/>
    <mergeCell ref="I14:J14"/>
    <mergeCell ref="J24:M24"/>
    <mergeCell ref="J26:K26"/>
    <mergeCell ref="N21:O21"/>
    <mergeCell ref="M28:O28"/>
    <mergeCell ref="M29:O29"/>
    <mergeCell ref="M30:O30"/>
    <mergeCell ref="M31:O31"/>
    <mergeCell ref="I24:I25"/>
    <mergeCell ref="J25:K25"/>
    <mergeCell ref="S76:T76"/>
    <mergeCell ref="S77:T77"/>
    <mergeCell ref="S79:T79"/>
    <mergeCell ref="S80:T80"/>
    <mergeCell ref="G76:G81"/>
    <mergeCell ref="C74:K74"/>
    <mergeCell ref="H76:I81"/>
    <mergeCell ref="S81:T81"/>
    <mergeCell ref="T74:U74"/>
    <mergeCell ref="R74:S74"/>
    <mergeCell ref="M74:Q74"/>
    <mergeCell ref="K81:N81"/>
    <mergeCell ref="K76:N76"/>
    <mergeCell ref="K77:N77"/>
    <mergeCell ref="K79:N79"/>
    <mergeCell ref="K80:N80"/>
    <mergeCell ref="C73:K73"/>
    <mergeCell ref="C65:K65"/>
    <mergeCell ref="O77:P77"/>
    <mergeCell ref="C70:K70"/>
    <mergeCell ref="D58:G58"/>
    <mergeCell ref="B63:I64"/>
    <mergeCell ref="C67:K67"/>
    <mergeCell ref="B54:C54"/>
    <mergeCell ref="B55:C55"/>
    <mergeCell ref="B56:C56"/>
    <mergeCell ref="B57:C57"/>
    <mergeCell ref="B58:C58"/>
    <mergeCell ref="B76:F81"/>
    <mergeCell ref="O79:P79"/>
    <mergeCell ref="O80:P80"/>
    <mergeCell ref="O81:P81"/>
    <mergeCell ref="O76:P76"/>
    <mergeCell ref="O57:Q57"/>
    <mergeCell ref="O58:Q58"/>
    <mergeCell ref="H55:K61"/>
    <mergeCell ref="B61:C61"/>
    <mergeCell ref="O55:Q55"/>
    <mergeCell ref="O56:Q56"/>
    <mergeCell ref="D54:G54"/>
    <mergeCell ref="M37:O37"/>
    <mergeCell ref="M38:O38"/>
    <mergeCell ref="M39:O39"/>
    <mergeCell ref="K44:O44"/>
    <mergeCell ref="J40:L40"/>
    <mergeCell ref="C71:K71"/>
    <mergeCell ref="C72:K72"/>
    <mergeCell ref="C68:K68"/>
    <mergeCell ref="C69:K69"/>
    <mergeCell ref="M65:Q65"/>
    <mergeCell ref="M68:Q68"/>
    <mergeCell ref="M69:Q69"/>
    <mergeCell ref="D59:G59"/>
    <mergeCell ref="D60:G60"/>
    <mergeCell ref="D61:G61"/>
    <mergeCell ref="D57:G57"/>
    <mergeCell ref="B45:C45"/>
    <mergeCell ref="B46:C46"/>
    <mergeCell ref="D44:G44"/>
    <mergeCell ref="D45:G45"/>
    <mergeCell ref="D46:G46"/>
    <mergeCell ref="G52:K52"/>
    <mergeCell ref="C41:I41"/>
    <mergeCell ref="K45:O45"/>
    <mergeCell ref="P38:R38"/>
    <mergeCell ref="P39:R39"/>
    <mergeCell ref="P40:R40"/>
    <mergeCell ref="P41:R41"/>
    <mergeCell ref="P42:R42"/>
    <mergeCell ref="P37:R37"/>
    <mergeCell ref="B59:C59"/>
    <mergeCell ref="B44:C44"/>
    <mergeCell ref="M36:O36"/>
    <mergeCell ref="J37:L37"/>
    <mergeCell ref="J38:L38"/>
    <mergeCell ref="H54:K54"/>
    <mergeCell ref="C37:I37"/>
    <mergeCell ref="C38:I38"/>
    <mergeCell ref="M42:O42"/>
    <mergeCell ref="C40:I40"/>
    <mergeCell ref="L49:S49"/>
    <mergeCell ref="L51:M51"/>
    <mergeCell ref="L52:M52"/>
    <mergeCell ref="N51:O51"/>
    <mergeCell ref="N52:O52"/>
    <mergeCell ref="C52:F52"/>
    <mergeCell ref="K46:O46"/>
    <mergeCell ref="G51:K51"/>
    <mergeCell ref="M40:O40"/>
    <mergeCell ref="C39:I39"/>
    <mergeCell ref="J39:L39"/>
    <mergeCell ref="M41:O41"/>
    <mergeCell ref="C42:I42"/>
    <mergeCell ref="C51:F51"/>
    <mergeCell ref="H44:J44"/>
    <mergeCell ref="H45:J45"/>
    <mergeCell ref="H46:J46"/>
    <mergeCell ref="J41:L41"/>
    <mergeCell ref="J42:L42"/>
    <mergeCell ref="R64:U64"/>
    <mergeCell ref="R63:U63"/>
    <mergeCell ref="C66:K66"/>
    <mergeCell ref="R65:S65"/>
    <mergeCell ref="T65:U65"/>
    <mergeCell ref="P50:Q50"/>
    <mergeCell ref="D55:G55"/>
    <mergeCell ref="D56:G56"/>
    <mergeCell ref="B60:C60"/>
    <mergeCell ref="P51:Q51"/>
    <mergeCell ref="P52:Q52"/>
    <mergeCell ref="R50:S50"/>
    <mergeCell ref="R51:S51"/>
    <mergeCell ref="R52:S52"/>
    <mergeCell ref="B49:B50"/>
    <mergeCell ref="C49:F50"/>
    <mergeCell ref="G49:K50"/>
    <mergeCell ref="L50:M50"/>
    <mergeCell ref="N50:O50"/>
    <mergeCell ref="T72:U72"/>
    <mergeCell ref="T73:U73"/>
    <mergeCell ref="M71:Q71"/>
    <mergeCell ref="M72:Q72"/>
    <mergeCell ref="M73:Q73"/>
    <mergeCell ref="R66:S66"/>
    <mergeCell ref="R67:S67"/>
    <mergeCell ref="R68:S68"/>
    <mergeCell ref="R69:S69"/>
    <mergeCell ref="M66:Q66"/>
    <mergeCell ref="M67:Q67"/>
    <mergeCell ref="R70:S70"/>
    <mergeCell ref="R71:S71"/>
    <mergeCell ref="R72:S72"/>
    <mergeCell ref="R73:S73"/>
    <mergeCell ref="M70:Q70"/>
    <mergeCell ref="T66:U66"/>
    <mergeCell ref="T67:U67"/>
    <mergeCell ref="T68:U68"/>
    <mergeCell ref="T69:U69"/>
    <mergeCell ref="T70:U70"/>
    <mergeCell ref="T71:U71"/>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B1:T85"/>
  <sheetViews>
    <sheetView showGridLines="0" tabSelected="1" topLeftCell="A5" zoomScale="85" zoomScaleNormal="85" workbookViewId="0">
      <selection activeCell="B21" sqref="B21:J27"/>
    </sheetView>
  </sheetViews>
  <sheetFormatPr defaultColWidth="9.140625"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101" t="s">
        <v>120</v>
      </c>
    </row>
    <row r="2" spans="2:16" ht="15" customHeight="1" x14ac:dyDescent="0.25">
      <c r="B2" s="89" t="s">
        <v>38</v>
      </c>
      <c r="C2" s="82"/>
      <c r="D2" s="82"/>
      <c r="E2" s="82"/>
      <c r="F2" s="82"/>
      <c r="G2" s="90"/>
      <c r="H2" s="90"/>
      <c r="I2" s="91" t="s">
        <v>62</v>
      </c>
      <c r="J2" s="93" t="s">
        <v>63</v>
      </c>
      <c r="K2" s="93" t="s">
        <v>168</v>
      </c>
      <c r="L2" s="94"/>
      <c r="M2" s="4" t="s">
        <v>68</v>
      </c>
      <c r="N2" s="4" t="s">
        <v>67</v>
      </c>
      <c r="O2" s="4" t="s">
        <v>55</v>
      </c>
      <c r="P2" s="4" t="s">
        <v>54</v>
      </c>
    </row>
    <row r="3" spans="2:16" ht="15" customHeight="1" x14ac:dyDescent="0.25">
      <c r="B3" s="527" t="s">
        <v>169</v>
      </c>
      <c r="C3" s="528"/>
      <c r="D3" s="528"/>
      <c r="E3" s="528"/>
      <c r="F3" s="528"/>
      <c r="G3" s="528"/>
      <c r="H3" s="528"/>
      <c r="I3" s="529"/>
      <c r="J3" s="96" t="s">
        <v>5</v>
      </c>
      <c r="K3" s="96" t="s">
        <v>190</v>
      </c>
      <c r="L3" s="97"/>
      <c r="M3" s="480" t="s">
        <v>162</v>
      </c>
      <c r="N3" s="481"/>
      <c r="O3" s="481"/>
      <c r="P3" s="482"/>
    </row>
    <row r="4" spans="2:16" ht="15" customHeight="1" x14ac:dyDescent="0.25">
      <c r="B4" s="530"/>
      <c r="C4" s="531"/>
      <c r="D4" s="531"/>
      <c r="E4" s="531"/>
      <c r="F4" s="531"/>
      <c r="G4" s="531"/>
      <c r="H4" s="531"/>
      <c r="I4" s="532"/>
      <c r="J4" s="96" t="s">
        <v>64</v>
      </c>
      <c r="K4" s="96" t="s">
        <v>167</v>
      </c>
      <c r="L4" s="97"/>
      <c r="M4" s="483"/>
      <c r="N4" s="484"/>
      <c r="O4" s="484"/>
      <c r="P4" s="485"/>
    </row>
    <row r="5" spans="2:16" ht="15" customHeight="1" x14ac:dyDescent="0.25">
      <c r="B5" s="530"/>
      <c r="C5" s="531"/>
      <c r="D5" s="531"/>
      <c r="E5" s="531"/>
      <c r="F5" s="531"/>
      <c r="G5" s="531"/>
      <c r="H5" s="531"/>
      <c r="I5" s="532"/>
      <c r="J5" s="96" t="s">
        <v>163</v>
      </c>
      <c r="K5" s="96" t="s">
        <v>207</v>
      </c>
      <c r="L5" s="97"/>
      <c r="M5" s="486"/>
      <c r="N5" s="487"/>
      <c r="O5" s="487"/>
      <c r="P5" s="488"/>
    </row>
    <row r="6" spans="2:16" ht="15" customHeight="1" x14ac:dyDescent="0.25">
      <c r="B6" s="530"/>
      <c r="C6" s="531"/>
      <c r="D6" s="531"/>
      <c r="E6" s="531"/>
      <c r="F6" s="531"/>
      <c r="G6" s="531"/>
      <c r="H6" s="531"/>
      <c r="I6" s="532"/>
      <c r="J6" s="111" t="s">
        <v>66</v>
      </c>
      <c r="K6" s="111" t="s">
        <v>191</v>
      </c>
      <c r="L6" s="112"/>
      <c r="M6" s="113" t="s">
        <v>69</v>
      </c>
      <c r="N6" s="113" t="s">
        <v>58</v>
      </c>
      <c r="O6" s="113" t="s">
        <v>57</v>
      </c>
      <c r="P6" s="113" t="s">
        <v>177</v>
      </c>
    </row>
    <row r="7" spans="2:16" ht="9.9499999999999993" customHeight="1" x14ac:dyDescent="0.25">
      <c r="B7" s="105"/>
      <c r="C7" s="19"/>
      <c r="D7" s="19"/>
      <c r="E7" s="19"/>
      <c r="F7" s="19"/>
      <c r="G7" s="80"/>
      <c r="H7" s="80"/>
      <c r="I7" s="80"/>
      <c r="J7" s="80"/>
      <c r="K7" s="80"/>
      <c r="L7" s="80"/>
      <c r="M7" s="80"/>
      <c r="N7" s="80"/>
      <c r="O7" s="80"/>
      <c r="P7" s="85"/>
    </row>
    <row r="8" spans="2:16" ht="24.95" customHeight="1" x14ac:dyDescent="0.25">
      <c r="B8" s="108" t="s">
        <v>178</v>
      </c>
      <c r="F8" s="2" t="str">
        <f>+'TAHAP 1'!G9</f>
        <v xml:space="preserve">: DEVELOPIN PDPLB, KONSULTASI PELAPORAN PAJAK TERHADAP EXPORT DARI PDPLB </v>
      </c>
      <c r="P8" s="20"/>
    </row>
    <row r="9" spans="2:16" ht="9.9499999999999993" customHeight="1" thickBot="1" x14ac:dyDescent="0.3">
      <c r="B9" s="114"/>
      <c r="C9" s="115"/>
      <c r="D9" s="115"/>
      <c r="E9" s="115"/>
      <c r="F9" s="115"/>
      <c r="G9" s="116"/>
      <c r="H9" s="116"/>
      <c r="I9" s="116"/>
      <c r="J9" s="116"/>
      <c r="K9" s="116"/>
      <c r="L9" s="116"/>
      <c r="M9" s="116"/>
      <c r="N9" s="116"/>
      <c r="O9" s="116"/>
      <c r="P9" s="117"/>
    </row>
    <row r="10" spans="2:16" ht="24.95" customHeight="1" thickTop="1" x14ac:dyDescent="0.25">
      <c r="B10" s="533" t="s">
        <v>193</v>
      </c>
      <c r="C10" s="534"/>
      <c r="D10" s="534"/>
      <c r="M10" s="535"/>
      <c r="N10" s="535"/>
      <c r="O10" s="535"/>
      <c r="P10" s="536"/>
    </row>
    <row r="11" spans="2:16" s="119" customFormat="1" ht="20.100000000000001" customHeight="1" x14ac:dyDescent="0.3">
      <c r="B11" s="177" t="s">
        <v>165</v>
      </c>
      <c r="C11" s="136"/>
      <c r="D11" s="136"/>
      <c r="E11" s="136"/>
      <c r="F11" s="136"/>
      <c r="M11" s="154"/>
      <c r="N11" s="154"/>
      <c r="P11" s="120"/>
    </row>
    <row r="12" spans="2:16" s="119" customFormat="1" ht="15" customHeight="1" x14ac:dyDescent="0.25">
      <c r="B12" s="178" t="s">
        <v>87</v>
      </c>
      <c r="C12" s="179"/>
      <c r="D12" s="179"/>
      <c r="E12" s="180"/>
      <c r="F12" s="181" t="s">
        <v>11</v>
      </c>
      <c r="G12" s="182" t="s">
        <v>81</v>
      </c>
      <c r="H12" s="182" t="s">
        <v>198</v>
      </c>
      <c r="I12" s="181" t="s">
        <v>199</v>
      </c>
      <c r="M12" s="154"/>
      <c r="N12" s="154"/>
      <c r="P12" s="120"/>
    </row>
    <row r="13" spans="2:16" s="119" customFormat="1" ht="15" customHeight="1" x14ac:dyDescent="0.25">
      <c r="B13" s="183" t="s">
        <v>88</v>
      </c>
      <c r="C13" s="184"/>
      <c r="D13" s="184"/>
      <c r="E13" s="185"/>
      <c r="F13" s="186">
        <v>30000</v>
      </c>
      <c r="G13" s="187">
        <v>12500</v>
      </c>
      <c r="H13" s="187">
        <v>20000</v>
      </c>
      <c r="I13" s="186">
        <v>20000</v>
      </c>
      <c r="M13" s="154"/>
      <c r="N13" s="154"/>
      <c r="P13" s="120"/>
    </row>
    <row r="14" spans="2:16" s="119" customFormat="1" ht="15" customHeight="1" x14ac:dyDescent="0.25">
      <c r="B14" s="183" t="s">
        <v>89</v>
      </c>
      <c r="C14" s="184"/>
      <c r="D14" s="184"/>
      <c r="E14" s="185"/>
      <c r="F14" s="186">
        <v>30000</v>
      </c>
      <c r="G14" s="187">
        <v>12500</v>
      </c>
      <c r="H14" s="187">
        <v>20000</v>
      </c>
      <c r="I14" s="186">
        <v>20000</v>
      </c>
      <c r="P14" s="120"/>
    </row>
    <row r="15" spans="2:16" s="119" customFormat="1" ht="15" customHeight="1" x14ac:dyDescent="0.25">
      <c r="B15" s="183" t="s">
        <v>90</v>
      </c>
      <c r="C15" s="184"/>
      <c r="D15" s="184"/>
      <c r="E15" s="185"/>
      <c r="F15" s="186">
        <v>35000</v>
      </c>
      <c r="G15" s="187">
        <v>12500</v>
      </c>
      <c r="H15" s="187">
        <v>20000</v>
      </c>
      <c r="I15" s="186">
        <v>20000</v>
      </c>
      <c r="P15" s="120"/>
    </row>
    <row r="16" spans="2:16" s="119" customFormat="1" ht="15" customHeight="1" x14ac:dyDescent="0.25">
      <c r="B16" s="183" t="s">
        <v>91</v>
      </c>
      <c r="C16" s="184"/>
      <c r="D16" s="184"/>
      <c r="E16" s="185"/>
      <c r="F16" s="186">
        <v>40000</v>
      </c>
      <c r="G16" s="187">
        <v>12500</v>
      </c>
      <c r="H16" s="187">
        <v>27500</v>
      </c>
      <c r="I16" s="186">
        <v>27500</v>
      </c>
      <c r="P16" s="120"/>
    </row>
    <row r="17" spans="2:16" s="119" customFormat="1" ht="15" customHeight="1" x14ac:dyDescent="0.25">
      <c r="B17" s="183" t="s">
        <v>92</v>
      </c>
      <c r="C17" s="184"/>
      <c r="D17" s="184"/>
      <c r="E17" s="185"/>
      <c r="F17" s="186">
        <v>50000</v>
      </c>
      <c r="G17" s="187">
        <v>22500</v>
      </c>
      <c r="H17" s="187">
        <v>30000</v>
      </c>
      <c r="I17" s="186">
        <v>30000</v>
      </c>
      <c r="P17" s="120"/>
    </row>
    <row r="18" spans="2:16" s="119" customFormat="1" ht="15" customHeight="1" x14ac:dyDescent="0.25">
      <c r="B18" s="183" t="s">
        <v>93</v>
      </c>
      <c r="C18" s="184"/>
      <c r="D18" s="184"/>
      <c r="E18" s="185"/>
      <c r="F18" s="186">
        <v>60000</v>
      </c>
      <c r="G18" s="187">
        <v>22500</v>
      </c>
      <c r="H18" s="187">
        <v>50000</v>
      </c>
      <c r="I18" s="186">
        <v>50000</v>
      </c>
      <c r="P18" s="120"/>
    </row>
    <row r="19" spans="2:16" s="119" customFormat="1" ht="15" customHeight="1" x14ac:dyDescent="0.25">
      <c r="B19" s="183" t="s">
        <v>94</v>
      </c>
      <c r="C19" s="184"/>
      <c r="D19" s="184"/>
      <c r="E19" s="185"/>
      <c r="F19" s="186">
        <v>70000</v>
      </c>
      <c r="G19" s="187">
        <v>22500</v>
      </c>
      <c r="H19" s="187">
        <v>60000</v>
      </c>
      <c r="I19" s="186">
        <v>60000</v>
      </c>
      <c r="P19" s="120"/>
    </row>
    <row r="20" spans="2:16" s="119" customFormat="1" ht="20.100000000000001" customHeight="1" x14ac:dyDescent="0.25">
      <c r="B20" s="302"/>
      <c r="C20" s="303"/>
      <c r="D20" s="303"/>
      <c r="E20" s="304"/>
      <c r="F20" s="136"/>
      <c r="P20" s="120"/>
    </row>
    <row r="21" spans="2:16" s="119" customFormat="1" ht="20.100000000000001" customHeight="1" x14ac:dyDescent="0.25">
      <c r="B21" s="145"/>
      <c r="C21" s="147" t="s">
        <v>197</v>
      </c>
      <c r="D21" s="146" t="s">
        <v>10</v>
      </c>
      <c r="E21" s="146" t="s">
        <v>91</v>
      </c>
      <c r="F21" s="146"/>
      <c r="G21" s="146"/>
      <c r="H21" s="146"/>
      <c r="I21" s="146"/>
      <c r="J21" s="146"/>
      <c r="P21" s="120"/>
    </row>
    <row r="22" spans="2:16" s="129" customFormat="1" ht="17.100000000000001" customHeight="1" x14ac:dyDescent="0.25">
      <c r="B22" s="133" t="s">
        <v>34</v>
      </c>
      <c r="C22" s="503" t="s">
        <v>5</v>
      </c>
      <c r="D22" s="503"/>
      <c r="E22" s="503"/>
      <c r="F22" s="133" t="str">
        <f>+$F$12</f>
        <v>UANG SAKU</v>
      </c>
      <c r="G22" s="133" t="str">
        <f>+$G$12</f>
        <v>BREAKFAST</v>
      </c>
      <c r="H22" s="133" t="str">
        <f>+$H$12</f>
        <v>LUNCH</v>
      </c>
      <c r="I22" s="133" t="str">
        <f>+$I$12</f>
        <v>DINNER</v>
      </c>
      <c r="J22" s="133" t="s">
        <v>41</v>
      </c>
      <c r="P22" s="134"/>
    </row>
    <row r="23" spans="2:16" s="119" customFormat="1" ht="17.100000000000001" customHeight="1" x14ac:dyDescent="0.25">
      <c r="B23" s="330">
        <v>1</v>
      </c>
      <c r="C23" s="507">
        <f>+'TAHAP 1'!$C$13</f>
        <v>45544</v>
      </c>
      <c r="D23" s="507"/>
      <c r="E23" s="507"/>
      <c r="F23" s="331">
        <f>VLOOKUP($E$21,B13:$I$19,5,0)</f>
        <v>40000</v>
      </c>
      <c r="G23" s="331" t="s">
        <v>7</v>
      </c>
      <c r="H23" s="331">
        <f>VLOOKUP($E$21,B13:$I$19,7,0)</f>
        <v>27500</v>
      </c>
      <c r="I23" s="331">
        <f>VLOOKUP($E$21,B13:$I$19,8,0)</f>
        <v>27500</v>
      </c>
      <c r="J23" s="332">
        <f>SUM(F23:I23)</f>
        <v>95000</v>
      </c>
      <c r="P23" s="120"/>
    </row>
    <row r="24" spans="2:16" s="119" customFormat="1" ht="17.100000000000001" customHeight="1" x14ac:dyDescent="0.25">
      <c r="B24" s="128">
        <v>2</v>
      </c>
      <c r="C24" s="600">
        <v>45545</v>
      </c>
      <c r="D24" s="600"/>
      <c r="E24" s="600"/>
      <c r="F24" s="335">
        <f>VLOOKUP($E$21,B14:$I$19,5,0)</f>
        <v>40000</v>
      </c>
      <c r="G24" s="335" t="s">
        <v>250</v>
      </c>
      <c r="H24" s="335">
        <f>VLOOKUP($E$21,B14:$I$19,7,0)</f>
        <v>27500</v>
      </c>
      <c r="I24" s="335">
        <f>VLOOKUP($E$21,B14:$I$19,8,0)</f>
        <v>27500</v>
      </c>
      <c r="J24" s="205">
        <f t="shared" ref="J24:J26" si="0">SUM(F24:I24)</f>
        <v>95000</v>
      </c>
      <c r="P24" s="120"/>
    </row>
    <row r="25" spans="2:16" s="119" customFormat="1" ht="17.100000000000001" customHeight="1" x14ac:dyDescent="0.25">
      <c r="B25" s="128">
        <v>3</v>
      </c>
      <c r="C25" s="600">
        <v>45546</v>
      </c>
      <c r="D25" s="600"/>
      <c r="E25" s="600"/>
      <c r="F25" s="335">
        <f>VLOOKUP($E$21,B15:$I$19,5,0)</f>
        <v>40000</v>
      </c>
      <c r="G25" s="335" t="s">
        <v>250</v>
      </c>
      <c r="H25" s="335">
        <f>VLOOKUP($E$21,B15:$I$19,7,0)</f>
        <v>27500</v>
      </c>
      <c r="I25" s="335">
        <f>VLOOKUP($E$21,B15:$I$19,8,0)</f>
        <v>27500</v>
      </c>
      <c r="J25" s="205">
        <f t="shared" ref="J25" si="1">SUM(F25:I25)</f>
        <v>95000</v>
      </c>
      <c r="P25" s="120"/>
    </row>
    <row r="26" spans="2:16" s="119" customFormat="1" ht="17.100000000000001" customHeight="1" thickBot="1" x14ac:dyDescent="0.3">
      <c r="B26" s="333">
        <v>4</v>
      </c>
      <c r="C26" s="601">
        <f>+'TAHAP 1'!$F$13</f>
        <v>45547</v>
      </c>
      <c r="D26" s="601"/>
      <c r="E26" s="601"/>
      <c r="F26" s="334">
        <f>VLOOKUP($E$21,B15:$I$19,5,0)</f>
        <v>40000</v>
      </c>
      <c r="G26" s="334" t="s">
        <v>250</v>
      </c>
      <c r="H26" s="334">
        <f>VLOOKUP($E$21,B15:$I$19,7,0)</f>
        <v>27500</v>
      </c>
      <c r="I26" s="756" t="s">
        <v>7</v>
      </c>
      <c r="J26" s="308">
        <f t="shared" si="0"/>
        <v>67500</v>
      </c>
      <c r="P26" s="120"/>
    </row>
    <row r="27" spans="2:16" s="119" customFormat="1" ht="16.5" customHeight="1" thickTop="1" x14ac:dyDescent="0.25">
      <c r="B27" s="504" t="s">
        <v>12</v>
      </c>
      <c r="C27" s="504"/>
      <c r="D27" s="504"/>
      <c r="E27" s="504"/>
      <c r="F27" s="212">
        <f>SUM(F23:F23)</f>
        <v>40000</v>
      </c>
      <c r="G27" s="505">
        <f>SUM(G23:I26)</f>
        <v>192500</v>
      </c>
      <c r="H27" s="506"/>
      <c r="I27" s="506"/>
      <c r="J27" s="213">
        <f>SUM(J23:J26)</f>
        <v>352500</v>
      </c>
      <c r="P27" s="120"/>
    </row>
    <row r="28" spans="2:16" s="13" customFormat="1" ht="20.100000000000001" customHeight="1" x14ac:dyDescent="0.25">
      <c r="B28" s="106"/>
      <c r="C28" s="107"/>
      <c r="D28" s="107"/>
      <c r="E28" s="107"/>
      <c r="F28" s="107"/>
      <c r="G28" s="107"/>
      <c r="H28" s="107"/>
      <c r="I28" s="107"/>
      <c r="J28" s="107"/>
      <c r="K28" s="121"/>
      <c r="L28" s="122"/>
      <c r="M28" s="122"/>
      <c r="N28" s="122"/>
      <c r="O28" s="122"/>
      <c r="P28" s="123"/>
    </row>
    <row r="29" spans="2:16" s="13" customFormat="1" ht="20.100000000000001" customHeight="1" x14ac:dyDescent="0.25">
      <c r="B29" s="305" t="s">
        <v>186</v>
      </c>
      <c r="C29" s="297"/>
      <c r="D29" s="297"/>
      <c r="E29" s="297"/>
      <c r="F29" s="107"/>
      <c r="G29" s="107"/>
      <c r="H29" s="107"/>
      <c r="I29" s="107"/>
      <c r="J29" s="107"/>
      <c r="K29" s="121"/>
      <c r="L29" s="122"/>
      <c r="M29" s="122"/>
      <c r="N29" s="122"/>
      <c r="O29" s="122"/>
      <c r="P29" s="123"/>
    </row>
    <row r="30" spans="2:16" s="119" customFormat="1" ht="24.95" customHeight="1" x14ac:dyDescent="0.25">
      <c r="B30" s="192" t="s">
        <v>34</v>
      </c>
      <c r="C30" s="511" t="s">
        <v>3</v>
      </c>
      <c r="D30" s="512"/>
      <c r="E30" s="512"/>
      <c r="F30" s="513"/>
      <c r="G30" s="192" t="s">
        <v>179</v>
      </c>
      <c r="H30" s="513" t="s">
        <v>186</v>
      </c>
      <c r="I30" s="107"/>
      <c r="J30" s="107"/>
      <c r="K30" s="137"/>
      <c r="L30" s="129"/>
      <c r="M30" s="129"/>
      <c r="P30" s="134"/>
    </row>
    <row r="31" spans="2:16" s="119" customFormat="1" ht="20.100000000000001" customHeight="1" x14ac:dyDescent="0.25">
      <c r="B31" s="128">
        <v>1</v>
      </c>
      <c r="C31" s="514" t="str">
        <f>+'TAHAP 1'!M13</f>
        <v>YOEN YOEDONO SOEBROTO</v>
      </c>
      <c r="D31" s="514"/>
      <c r="E31" s="514"/>
      <c r="F31" s="514"/>
      <c r="G31" s="210" t="s">
        <v>91</v>
      </c>
      <c r="H31" s="515">
        <f>+J27</f>
        <v>352500</v>
      </c>
      <c r="I31" s="107"/>
      <c r="J31" s="107"/>
      <c r="K31" s="188"/>
      <c r="L31" s="129"/>
      <c r="M31" s="129"/>
      <c r="P31" s="134"/>
    </row>
    <row r="32" spans="2:16" s="119" customFormat="1" ht="20.100000000000001" customHeight="1" thickBot="1" x14ac:dyDescent="0.3">
      <c r="B32" s="128">
        <v>2</v>
      </c>
      <c r="C32" s="514" t="str">
        <f>+'TAHAP 1'!M14</f>
        <v>FITRIA ENDAH PRATIWI</v>
      </c>
      <c r="D32" s="514"/>
      <c r="E32" s="514"/>
      <c r="F32" s="514"/>
      <c r="G32" s="210" t="s">
        <v>91</v>
      </c>
      <c r="H32" s="214">
        <f>+J27</f>
        <v>352500</v>
      </c>
      <c r="I32" s="107"/>
      <c r="J32" s="107"/>
      <c r="K32" s="188"/>
      <c r="L32" s="129"/>
      <c r="M32" s="129"/>
      <c r="P32" s="134"/>
    </row>
    <row r="33" spans="2:16" s="119" customFormat="1" ht="24.95" customHeight="1" thickTop="1" x14ac:dyDescent="0.25">
      <c r="B33" s="516" t="s">
        <v>12</v>
      </c>
      <c r="C33" s="517"/>
      <c r="D33" s="517"/>
      <c r="E33" s="517"/>
      <c r="F33" s="517"/>
      <c r="G33" s="518"/>
      <c r="H33" s="211">
        <f>SUM(H31:H32)</f>
        <v>705000</v>
      </c>
      <c r="I33" s="107"/>
      <c r="J33" s="107"/>
      <c r="K33" s="137"/>
      <c r="L33" s="129"/>
      <c r="M33" s="129"/>
      <c r="P33" s="134"/>
    </row>
    <row r="34" spans="2:16" s="119" customFormat="1" ht="24.95" customHeight="1" x14ac:dyDescent="0.25">
      <c r="B34" s="175"/>
      <c r="C34" s="129"/>
      <c r="D34" s="129"/>
      <c r="E34" s="129"/>
      <c r="F34" s="129"/>
      <c r="G34" s="129"/>
      <c r="H34" s="151"/>
      <c r="I34" s="107"/>
      <c r="J34" s="107"/>
      <c r="K34" s="137"/>
      <c r="L34" s="129"/>
      <c r="M34" s="129"/>
      <c r="P34" s="134"/>
    </row>
    <row r="35" spans="2:16" s="119" customFormat="1" ht="24.95" customHeight="1" x14ac:dyDescent="0.25">
      <c r="B35" s="175"/>
      <c r="C35" s="129"/>
      <c r="D35" s="129"/>
      <c r="E35" s="129"/>
      <c r="F35" s="129"/>
      <c r="G35" s="129"/>
      <c r="H35" s="151"/>
      <c r="I35" s="107"/>
      <c r="J35" s="107"/>
      <c r="K35" s="137"/>
      <c r="L35" s="129"/>
      <c r="M35" s="129"/>
      <c r="P35" s="134"/>
    </row>
    <row r="36" spans="2:16" s="119" customFormat="1" ht="20.100000000000001" customHeight="1" thickBot="1" x14ac:dyDescent="0.3">
      <c r="B36" s="124"/>
      <c r="C36" s="125"/>
      <c r="D36" s="125"/>
      <c r="E36" s="189"/>
      <c r="F36" s="189"/>
      <c r="G36" s="189"/>
      <c r="H36" s="189"/>
      <c r="I36" s="190"/>
      <c r="J36" s="140"/>
      <c r="K36" s="140"/>
      <c r="L36" s="140"/>
      <c r="M36" s="140"/>
      <c r="N36" s="140"/>
      <c r="O36" s="140"/>
      <c r="P36" s="191"/>
    </row>
    <row r="37" spans="2:16" s="119" customFormat="1" ht="20.100000000000001" customHeight="1" thickTop="1" x14ac:dyDescent="0.25">
      <c r="B37" s="519" t="s">
        <v>194</v>
      </c>
      <c r="C37" s="520"/>
      <c r="D37" s="520"/>
      <c r="E37" s="520"/>
      <c r="F37" s="520"/>
      <c r="G37" s="520"/>
      <c r="H37" s="520"/>
      <c r="I37" s="520"/>
      <c r="J37" s="520"/>
      <c r="K37" s="520"/>
      <c r="L37" s="520"/>
      <c r="M37" s="520"/>
      <c r="N37" s="520"/>
      <c r="O37" s="520"/>
      <c r="P37" s="521"/>
    </row>
    <row r="38" spans="2:16" s="119" customFormat="1" ht="20.100000000000001" customHeight="1" x14ac:dyDescent="0.25">
      <c r="B38" s="522"/>
      <c r="C38" s="523"/>
      <c r="D38" s="523"/>
      <c r="E38" s="523"/>
      <c r="F38" s="523"/>
      <c r="G38" s="523"/>
      <c r="H38" s="523"/>
      <c r="I38" s="523"/>
      <c r="J38" s="523"/>
      <c r="K38" s="523"/>
      <c r="L38" s="523"/>
      <c r="M38" s="523"/>
      <c r="N38" s="523"/>
      <c r="O38" s="523"/>
      <c r="P38" s="524"/>
    </row>
    <row r="39" spans="2:16" s="119" customFormat="1" ht="24.95" customHeight="1" x14ac:dyDescent="0.25">
      <c r="B39" s="141" t="s">
        <v>225</v>
      </c>
      <c r="C39" s="118"/>
      <c r="D39" s="118"/>
      <c r="E39" s="136"/>
      <c r="F39" s="136"/>
      <c r="P39" s="120"/>
    </row>
    <row r="40" spans="2:16" s="119" customFormat="1" ht="20.100000000000001" customHeight="1" x14ac:dyDescent="0.25">
      <c r="B40" s="315" t="s">
        <v>34</v>
      </c>
      <c r="C40" s="503" t="s">
        <v>51</v>
      </c>
      <c r="D40" s="503"/>
      <c r="E40" s="503" t="s">
        <v>230</v>
      </c>
      <c r="F40" s="503"/>
      <c r="G40" s="503"/>
      <c r="H40" s="503"/>
      <c r="I40" s="503"/>
      <c r="J40" s="503"/>
      <c r="K40" s="143" t="s">
        <v>187</v>
      </c>
      <c r="L40" s="133" t="s">
        <v>229</v>
      </c>
      <c r="M40" s="133" t="s">
        <v>41</v>
      </c>
      <c r="N40" s="133" t="s">
        <v>12</v>
      </c>
      <c r="P40" s="120"/>
    </row>
    <row r="41" spans="2:16" s="119" customFormat="1" ht="20.100000000000001" customHeight="1" x14ac:dyDescent="0.25">
      <c r="B41" s="316">
        <v>1</v>
      </c>
      <c r="C41" s="598" t="s">
        <v>227</v>
      </c>
      <c r="D41" s="599"/>
      <c r="E41" s="379" t="s">
        <v>248</v>
      </c>
      <c r="F41" s="379"/>
      <c r="G41" s="379"/>
      <c r="H41" s="379"/>
      <c r="I41" s="379"/>
      <c r="J41" s="379"/>
      <c r="K41" s="317">
        <v>970000</v>
      </c>
      <c r="L41" s="317">
        <v>2</v>
      </c>
      <c r="M41" s="317">
        <f>+K41*L41</f>
        <v>1940000</v>
      </c>
      <c r="N41" s="525">
        <f>SUM(M41:M42)</f>
        <v>3880000</v>
      </c>
      <c r="P41" s="120"/>
    </row>
    <row r="42" spans="2:16" s="119" customFormat="1" ht="20.100000000000001" customHeight="1" x14ac:dyDescent="0.25">
      <c r="B42" s="316">
        <v>2</v>
      </c>
      <c r="C42" s="598" t="s">
        <v>228</v>
      </c>
      <c r="D42" s="599"/>
      <c r="E42" s="379" t="s">
        <v>249</v>
      </c>
      <c r="F42" s="379"/>
      <c r="G42" s="379"/>
      <c r="H42" s="379"/>
      <c r="I42" s="379"/>
      <c r="J42" s="379"/>
      <c r="K42" s="317">
        <v>970000</v>
      </c>
      <c r="L42" s="317">
        <v>2</v>
      </c>
      <c r="M42" s="317">
        <f>+K42*L42</f>
        <v>1940000</v>
      </c>
      <c r="N42" s="526"/>
      <c r="P42" s="120"/>
    </row>
    <row r="43" spans="2:16" s="119" customFormat="1" ht="20.100000000000001" customHeight="1" x14ac:dyDescent="0.25">
      <c r="B43" s="106"/>
      <c r="C43" s="107"/>
      <c r="D43" s="107"/>
      <c r="E43" s="107"/>
      <c r="F43" s="107"/>
      <c r="G43" s="107"/>
      <c r="H43" s="24"/>
      <c r="I43" s="151"/>
      <c r="J43" s="107"/>
      <c r="K43" s="137"/>
      <c r="L43" s="129"/>
      <c r="M43" s="129"/>
      <c r="P43" s="120"/>
    </row>
    <row r="44" spans="2:16" s="119" customFormat="1" ht="20.100000000000001" customHeight="1" x14ac:dyDescent="0.25">
      <c r="B44" s="106"/>
      <c r="C44" s="107"/>
      <c r="D44" s="107"/>
      <c r="E44" s="107"/>
      <c r="F44" s="107"/>
      <c r="G44" s="107"/>
      <c r="H44" s="24"/>
      <c r="I44" s="151"/>
      <c r="J44" s="107"/>
      <c r="K44" s="137"/>
      <c r="L44" s="129"/>
      <c r="M44" s="129"/>
      <c r="P44" s="120"/>
    </row>
    <row r="45" spans="2:16" s="119" customFormat="1" ht="24.95" customHeight="1" x14ac:dyDescent="0.25">
      <c r="B45" s="141" t="s">
        <v>226</v>
      </c>
      <c r="C45" s="118"/>
      <c r="D45" s="118"/>
      <c r="E45" s="136"/>
      <c r="F45" s="136"/>
      <c r="P45" s="120"/>
    </row>
    <row r="46" spans="2:16" s="119" customFormat="1" ht="24.95" hidden="1" customHeight="1" x14ac:dyDescent="0.25">
      <c r="B46" s="152"/>
      <c r="C46" s="107"/>
      <c r="D46" s="107"/>
      <c r="E46" s="136"/>
      <c r="F46" s="136"/>
      <c r="P46" s="120"/>
    </row>
    <row r="47" spans="2:16" s="119" customFormat="1" ht="20.100000000000001" hidden="1" customHeight="1" x14ac:dyDescent="0.25">
      <c r="B47" s="165"/>
      <c r="C47" s="107"/>
      <c r="D47" s="107"/>
      <c r="E47" s="136"/>
      <c r="F47" s="136"/>
      <c r="P47" s="120"/>
    </row>
    <row r="48" spans="2:16" s="119" customFormat="1" ht="20.100000000000001" hidden="1" customHeight="1" x14ac:dyDescent="0.25">
      <c r="B48" s="165"/>
      <c r="C48" s="107"/>
      <c r="D48" s="107"/>
      <c r="E48" s="136"/>
      <c r="F48" s="136"/>
      <c r="P48" s="120"/>
    </row>
    <row r="49" spans="2:16" s="119" customFormat="1" ht="9.9499999999999993" customHeight="1" x14ac:dyDescent="0.25">
      <c r="B49" s="106"/>
      <c r="C49" s="136"/>
      <c r="D49" s="136"/>
      <c r="E49" s="136"/>
      <c r="F49" s="136"/>
      <c r="P49" s="120"/>
    </row>
    <row r="50" spans="2:16" s="24" customFormat="1" ht="24.95" customHeight="1" x14ac:dyDescent="0.25">
      <c r="B50" s="133" t="s">
        <v>34</v>
      </c>
      <c r="C50" s="558" t="s">
        <v>49</v>
      </c>
      <c r="D50" s="559"/>
      <c r="E50" s="560"/>
      <c r="F50" s="143" t="s">
        <v>39</v>
      </c>
      <c r="G50" s="133" t="s">
        <v>40</v>
      </c>
      <c r="H50" s="562" t="s">
        <v>200</v>
      </c>
      <c r="I50" s="563"/>
      <c r="P50" s="88"/>
    </row>
    <row r="51" spans="2:16" s="119" customFormat="1" ht="17.100000000000001" customHeight="1" thickBot="1" x14ac:dyDescent="0.3">
      <c r="B51" s="128">
        <v>1</v>
      </c>
      <c r="C51" s="508" t="s">
        <v>42</v>
      </c>
      <c r="D51" s="509"/>
      <c r="E51" s="510"/>
      <c r="F51" s="205">
        <v>500000</v>
      </c>
      <c r="G51" s="206">
        <v>0</v>
      </c>
      <c r="H51" s="207"/>
      <c r="I51" s="225">
        <f>+F51*G51</f>
        <v>0</v>
      </c>
      <c r="P51" s="120"/>
    </row>
    <row r="52" spans="2:16" s="119" customFormat="1" ht="24.95" customHeight="1" thickTop="1" x14ac:dyDescent="0.25">
      <c r="B52" s="581" t="s">
        <v>213</v>
      </c>
      <c r="C52" s="582"/>
      <c r="D52" s="582"/>
      <c r="E52" s="582"/>
      <c r="F52" s="582"/>
      <c r="G52" s="583"/>
      <c r="H52" s="226"/>
      <c r="I52" s="211">
        <f>SUM(I45:I51)</f>
        <v>0</v>
      </c>
      <c r="O52" s="24"/>
      <c r="P52" s="88"/>
    </row>
    <row r="53" spans="2:16" s="119" customFormat="1" ht="17.100000000000001" customHeight="1" x14ac:dyDescent="0.25">
      <c r="B53" s="231"/>
      <c r="C53" s="232"/>
      <c r="D53" s="232"/>
      <c r="E53" s="232"/>
      <c r="F53" s="233"/>
      <c r="G53" s="233"/>
      <c r="H53" s="234"/>
      <c r="I53" s="234"/>
      <c r="P53" s="120"/>
    </row>
    <row r="54" spans="2:16" s="119" customFormat="1" ht="17.100000000000001" customHeight="1" x14ac:dyDescent="0.25">
      <c r="B54" s="227"/>
      <c r="C54" s="228"/>
      <c r="D54" s="228"/>
      <c r="E54" s="228"/>
      <c r="F54" s="229"/>
      <c r="G54" s="229"/>
      <c r="H54" s="230"/>
      <c r="I54" s="230"/>
      <c r="P54" s="120"/>
    </row>
    <row r="55" spans="2:16" s="24" customFormat="1" ht="24.95" customHeight="1" x14ac:dyDescent="0.25">
      <c r="B55" s="133" t="s">
        <v>34</v>
      </c>
      <c r="C55" s="558" t="s">
        <v>49</v>
      </c>
      <c r="D55" s="559"/>
      <c r="E55" s="560"/>
      <c r="F55" s="143" t="s">
        <v>39</v>
      </c>
      <c r="G55" s="133" t="s">
        <v>40</v>
      </c>
      <c r="H55" s="562" t="s">
        <v>200</v>
      </c>
      <c r="I55" s="563"/>
      <c r="P55" s="88"/>
    </row>
    <row r="56" spans="2:16" s="119" customFormat="1" ht="17.100000000000001" customHeight="1" x14ac:dyDescent="0.25">
      <c r="B56" s="128">
        <v>1</v>
      </c>
      <c r="C56" s="508" t="s">
        <v>50</v>
      </c>
      <c r="D56" s="509"/>
      <c r="E56" s="510"/>
      <c r="F56" s="205">
        <v>0</v>
      </c>
      <c r="G56" s="206">
        <v>0</v>
      </c>
      <c r="H56" s="207"/>
      <c r="I56" s="208">
        <f t="shared" ref="I56:I63" si="2">+F56*G56</f>
        <v>0</v>
      </c>
      <c r="P56" s="120"/>
    </row>
    <row r="57" spans="2:16" s="119" customFormat="1" ht="17.100000000000001" customHeight="1" x14ac:dyDescent="0.25">
      <c r="B57" s="128">
        <v>2</v>
      </c>
      <c r="C57" s="148" t="s">
        <v>47</v>
      </c>
      <c r="D57" s="149"/>
      <c r="E57" s="150"/>
      <c r="F57" s="205">
        <v>100000</v>
      </c>
      <c r="G57" s="206">
        <v>0</v>
      </c>
      <c r="H57" s="207"/>
      <c r="I57" s="208">
        <f t="shared" si="2"/>
        <v>0</v>
      </c>
      <c r="P57" s="120"/>
    </row>
    <row r="58" spans="2:16" s="119" customFormat="1" ht="17.100000000000001" customHeight="1" x14ac:dyDescent="0.25">
      <c r="B58" s="128">
        <v>3</v>
      </c>
      <c r="C58" s="148" t="s">
        <v>48</v>
      </c>
      <c r="D58" s="149"/>
      <c r="E58" s="150"/>
      <c r="F58" s="205">
        <v>150000</v>
      </c>
      <c r="G58" s="206">
        <v>0</v>
      </c>
      <c r="H58" s="207"/>
      <c r="I58" s="208">
        <f t="shared" si="2"/>
        <v>0</v>
      </c>
      <c r="P58" s="120"/>
    </row>
    <row r="59" spans="2:16" s="119" customFormat="1" ht="17.100000000000001" customHeight="1" x14ac:dyDescent="0.25">
      <c r="B59" s="128">
        <v>4</v>
      </c>
      <c r="C59" s="148" t="s">
        <v>46</v>
      </c>
      <c r="D59" s="149"/>
      <c r="E59" s="150"/>
      <c r="F59" s="205">
        <v>300000</v>
      </c>
      <c r="G59" s="206">
        <v>0</v>
      </c>
      <c r="H59" s="207"/>
      <c r="I59" s="208">
        <f t="shared" si="2"/>
        <v>0</v>
      </c>
      <c r="P59" s="120"/>
    </row>
    <row r="60" spans="2:16" s="119" customFormat="1" ht="17.100000000000001" customHeight="1" x14ac:dyDescent="0.25">
      <c r="B60" s="128">
        <v>5</v>
      </c>
      <c r="C60" s="508" t="s">
        <v>43</v>
      </c>
      <c r="D60" s="509"/>
      <c r="E60" s="510"/>
      <c r="F60" s="205">
        <v>500000</v>
      </c>
      <c r="G60" s="206">
        <v>0</v>
      </c>
      <c r="H60" s="207"/>
      <c r="I60" s="208">
        <f t="shared" si="2"/>
        <v>0</v>
      </c>
      <c r="P60" s="120"/>
    </row>
    <row r="61" spans="2:16" s="119" customFormat="1" ht="17.100000000000001" customHeight="1" x14ac:dyDescent="0.25">
      <c r="B61" s="128">
        <v>6</v>
      </c>
      <c r="C61" s="508" t="s">
        <v>44</v>
      </c>
      <c r="D61" s="509"/>
      <c r="E61" s="510"/>
      <c r="F61" s="205">
        <v>500000</v>
      </c>
      <c r="G61" s="206">
        <v>0</v>
      </c>
      <c r="H61" s="207"/>
      <c r="I61" s="208">
        <f t="shared" si="2"/>
        <v>0</v>
      </c>
      <c r="P61" s="120"/>
    </row>
    <row r="62" spans="2:16" s="119" customFormat="1" ht="17.100000000000001" customHeight="1" x14ac:dyDescent="0.25">
      <c r="B62" s="128">
        <v>7</v>
      </c>
      <c r="C62" s="564" t="s">
        <v>45</v>
      </c>
      <c r="D62" s="564"/>
      <c r="E62" s="564"/>
      <c r="F62" s="205">
        <v>25000</v>
      </c>
      <c r="G62" s="205">
        <v>0</v>
      </c>
      <c r="H62" s="565">
        <f>+F62*G62</f>
        <v>0</v>
      </c>
      <c r="I62" s="566"/>
      <c r="P62" s="120"/>
    </row>
    <row r="63" spans="2:16" s="119" customFormat="1" ht="17.100000000000001" customHeight="1" thickBot="1" x14ac:dyDescent="0.3">
      <c r="B63" s="307">
        <v>8</v>
      </c>
      <c r="C63" s="584" t="s">
        <v>223</v>
      </c>
      <c r="D63" s="585"/>
      <c r="E63" s="586"/>
      <c r="F63" s="308">
        <v>200000</v>
      </c>
      <c r="G63" s="205">
        <v>0</v>
      </c>
      <c r="H63" s="309"/>
      <c r="I63" s="310">
        <f t="shared" si="2"/>
        <v>0</v>
      </c>
      <c r="P63" s="120"/>
    </row>
    <row r="64" spans="2:16" s="119" customFormat="1" ht="24.95" customHeight="1" thickTop="1" x14ac:dyDescent="0.25">
      <c r="B64" s="581" t="s">
        <v>214</v>
      </c>
      <c r="C64" s="582"/>
      <c r="D64" s="582"/>
      <c r="E64" s="582"/>
      <c r="F64" s="582"/>
      <c r="G64" s="583"/>
      <c r="H64" s="226"/>
      <c r="I64" s="211">
        <f>SUM(I56:I63)</f>
        <v>0</v>
      </c>
      <c r="O64" s="24"/>
      <c r="P64" s="88"/>
    </row>
    <row r="65" spans="2:20" s="119" customFormat="1" ht="20.100000000000001" customHeight="1" x14ac:dyDescent="0.25">
      <c r="B65" s="106"/>
      <c r="C65" s="107"/>
      <c r="D65" s="107"/>
      <c r="E65" s="107"/>
      <c r="F65" s="107"/>
      <c r="G65" s="107"/>
      <c r="H65" s="24"/>
      <c r="I65" s="151"/>
      <c r="J65" s="107"/>
      <c r="K65" s="137"/>
      <c r="L65" s="129"/>
      <c r="M65" s="129"/>
      <c r="P65" s="120"/>
    </row>
    <row r="66" spans="2:20" s="119" customFormat="1" ht="20.100000000000001" customHeight="1" x14ac:dyDescent="0.25">
      <c r="B66" s="106"/>
      <c r="C66" s="107"/>
      <c r="D66" s="107"/>
      <c r="E66" s="107"/>
      <c r="F66" s="107"/>
      <c r="G66" s="107"/>
      <c r="H66" s="235"/>
      <c r="I66" s="209">
        <f>+I64+I52</f>
        <v>0</v>
      </c>
      <c r="J66" s="107"/>
      <c r="K66" s="137"/>
      <c r="L66" s="129"/>
      <c r="M66" s="129"/>
      <c r="P66" s="120"/>
    </row>
    <row r="67" spans="2:20" s="119" customFormat="1" ht="20.100000000000001" customHeight="1" x14ac:dyDescent="0.25">
      <c r="B67" s="106"/>
      <c r="C67" s="107"/>
      <c r="D67" s="107"/>
      <c r="E67" s="107"/>
      <c r="F67" s="107"/>
      <c r="G67" s="107"/>
      <c r="J67" s="107"/>
      <c r="K67" s="137"/>
      <c r="L67" s="129"/>
      <c r="M67" s="129"/>
      <c r="O67" s="193"/>
      <c r="P67" s="160"/>
    </row>
    <row r="68" spans="2:20" s="119" customFormat="1" ht="24.95" customHeight="1" x14ac:dyDescent="0.25">
      <c r="B68" s="161" t="s">
        <v>76</v>
      </c>
      <c r="C68" s="162"/>
      <c r="D68" s="162"/>
      <c r="E68" s="163"/>
      <c r="F68" s="163"/>
      <c r="G68" s="163"/>
      <c r="H68" s="163"/>
      <c r="I68" s="163"/>
      <c r="J68" s="163"/>
      <c r="K68" s="164"/>
      <c r="L68" s="164"/>
      <c r="M68" s="200"/>
      <c r="N68" s="200"/>
      <c r="O68" s="200"/>
      <c r="P68" s="201"/>
      <c r="Q68" s="155"/>
    </row>
    <row r="69" spans="2:20" s="153" customFormat="1" ht="20.100000000000001" customHeight="1" x14ac:dyDescent="0.25">
      <c r="B69" s="575" t="s">
        <v>1</v>
      </c>
      <c r="C69" s="577" t="s">
        <v>201</v>
      </c>
      <c r="D69" s="578"/>
      <c r="E69" s="578"/>
      <c r="F69" s="579"/>
      <c r="G69" s="571" t="s">
        <v>52</v>
      </c>
      <c r="H69" s="587"/>
      <c r="I69" s="587"/>
      <c r="J69" s="572"/>
      <c r="K69" s="571" t="s">
        <v>202</v>
      </c>
      <c r="L69" s="572"/>
      <c r="M69" s="571" t="s">
        <v>39</v>
      </c>
      <c r="N69" s="572"/>
      <c r="O69" s="569"/>
      <c r="P69" s="570"/>
      <c r="Q69" s="569"/>
    </row>
    <row r="70" spans="2:20" s="153" customFormat="1" ht="20.100000000000001" customHeight="1" thickBot="1" x14ac:dyDescent="0.3">
      <c r="B70" s="576"/>
      <c r="C70" s="590" t="s">
        <v>203</v>
      </c>
      <c r="D70" s="591"/>
      <c r="E70" s="590" t="s">
        <v>204</v>
      </c>
      <c r="F70" s="591"/>
      <c r="G70" s="573"/>
      <c r="H70" s="588"/>
      <c r="I70" s="588"/>
      <c r="J70" s="574"/>
      <c r="K70" s="573"/>
      <c r="L70" s="574"/>
      <c r="M70" s="573"/>
      <c r="N70" s="574"/>
      <c r="O70" s="569"/>
      <c r="P70" s="570"/>
      <c r="Q70" s="569"/>
    </row>
    <row r="71" spans="2:20" s="136" customFormat="1" ht="21.95" customHeight="1" thickTop="1" x14ac:dyDescent="0.25">
      <c r="B71" s="204">
        <v>1</v>
      </c>
      <c r="C71" s="556">
        <f>+'TAHAP 1'!C13</f>
        <v>45544</v>
      </c>
      <c r="D71" s="557"/>
      <c r="E71" s="556">
        <f>+'TAHAP 1'!F13</f>
        <v>45547</v>
      </c>
      <c r="F71" s="557"/>
      <c r="G71" s="589" t="s">
        <v>244</v>
      </c>
      <c r="H71" s="589"/>
      <c r="I71" s="589"/>
      <c r="J71" s="589"/>
      <c r="K71" s="580" t="s">
        <v>245</v>
      </c>
      <c r="L71" s="580"/>
      <c r="M71" s="336"/>
      <c r="N71" s="337">
        <v>750000</v>
      </c>
      <c r="O71" s="202"/>
      <c r="P71" s="203"/>
      <c r="Q71" s="199"/>
    </row>
    <row r="72" spans="2:20" s="136" customFormat="1" ht="21.95" customHeight="1" x14ac:dyDescent="0.25">
      <c r="B72" s="329">
        <v>1</v>
      </c>
      <c r="C72" s="593">
        <f>+'TAHAP 1'!C14</f>
        <v>45544</v>
      </c>
      <c r="D72" s="594"/>
      <c r="E72" s="593">
        <f>+'TAHAP 1'!F14</f>
        <v>45547</v>
      </c>
      <c r="F72" s="594"/>
      <c r="G72" s="595" t="s">
        <v>244</v>
      </c>
      <c r="H72" s="596"/>
      <c r="I72" s="596"/>
      <c r="J72" s="597"/>
      <c r="K72" s="567" t="s">
        <v>245</v>
      </c>
      <c r="L72" s="568"/>
      <c r="M72" s="207"/>
      <c r="N72" s="335">
        <v>750000</v>
      </c>
      <c r="O72" s="202"/>
      <c r="P72" s="203"/>
      <c r="Q72" s="199"/>
    </row>
    <row r="73" spans="2:20" s="136" customFormat="1" ht="21.95" customHeight="1" x14ac:dyDescent="0.25">
      <c r="B73" s="195"/>
      <c r="C73" s="196"/>
      <c r="D73" s="196"/>
      <c r="E73" s="196"/>
      <c r="F73" s="196"/>
      <c r="G73" s="298" t="str">
        <f>+G71</f>
        <v>PARK HOTEL</v>
      </c>
      <c r="H73" s="176"/>
      <c r="I73" s="176"/>
      <c r="J73" s="176"/>
      <c r="K73" s="176"/>
      <c r="L73" s="176"/>
      <c r="M73" s="176"/>
      <c r="N73" s="197"/>
      <c r="O73" s="197"/>
      <c r="P73" s="198"/>
      <c r="Q73" s="194"/>
    </row>
    <row r="74" spans="2:20" s="136" customFormat="1" ht="21.95" customHeight="1" x14ac:dyDescent="0.25">
      <c r="B74" s="195"/>
      <c r="C74" s="196"/>
      <c r="D74" s="196"/>
      <c r="E74" s="196"/>
      <c r="F74" s="196"/>
      <c r="G74" s="176"/>
      <c r="H74" s="176"/>
      <c r="I74" s="176"/>
      <c r="J74" s="176"/>
      <c r="K74" s="176"/>
      <c r="L74" s="176"/>
      <c r="M74" s="176"/>
      <c r="N74" s="197"/>
      <c r="O74" s="197"/>
      <c r="P74" s="198"/>
      <c r="Q74" s="194"/>
    </row>
    <row r="75" spans="2:20" s="136" customFormat="1" ht="21.95" customHeight="1" x14ac:dyDescent="0.25">
      <c r="B75" s="195"/>
      <c r="C75" s="592" t="s">
        <v>3</v>
      </c>
      <c r="D75" s="592"/>
      <c r="E75" s="218" t="s">
        <v>212</v>
      </c>
      <c r="F75" s="218" t="s">
        <v>210</v>
      </c>
      <c r="G75" s="218" t="s">
        <v>211</v>
      </c>
      <c r="H75" s="218" t="s">
        <v>212</v>
      </c>
      <c r="I75" s="218" t="s">
        <v>82</v>
      </c>
      <c r="J75" s="219" t="s">
        <v>41</v>
      </c>
      <c r="K75" s="219" t="s">
        <v>41</v>
      </c>
      <c r="L75" s="176"/>
      <c r="M75" s="176"/>
      <c r="N75" s="197"/>
      <c r="O75" s="484"/>
      <c r="P75" s="485"/>
      <c r="Q75" s="199"/>
    </row>
    <row r="76" spans="2:20" s="136" customFormat="1" ht="21.95" customHeight="1" x14ac:dyDescent="0.25">
      <c r="B76" s="195"/>
      <c r="C76" s="561" t="str">
        <f>+C31</f>
        <v>YOEN YOEDONO SOEBROTO</v>
      </c>
      <c r="D76" s="561"/>
      <c r="E76" s="224" t="str">
        <f>+K71</f>
        <v>Standart room</v>
      </c>
      <c r="F76" s="210">
        <v>1</v>
      </c>
      <c r="G76" s="210">
        <v>2</v>
      </c>
      <c r="H76" s="217">
        <f>+N71</f>
        <v>750000</v>
      </c>
      <c r="I76" s="217">
        <v>0</v>
      </c>
      <c r="J76" s="301">
        <f>+F76*G76*(H76+I76)</f>
        <v>1500000</v>
      </c>
      <c r="K76" s="554">
        <f>SUM(J76:J77)</f>
        <v>3000000</v>
      </c>
      <c r="L76" s="176"/>
      <c r="M76" s="176"/>
      <c r="N76" s="197"/>
      <c r="O76" s="119"/>
      <c r="P76" s="120"/>
      <c r="Q76" s="199"/>
    </row>
    <row r="77" spans="2:20" s="136" customFormat="1" ht="21.95" customHeight="1" x14ac:dyDescent="0.25">
      <c r="B77" s="195"/>
      <c r="C77" s="561" t="str">
        <f>+C32</f>
        <v>FITRIA ENDAH PRATIWI</v>
      </c>
      <c r="D77" s="561"/>
      <c r="E77" s="224" t="str">
        <f>+K71</f>
        <v>Standart room</v>
      </c>
      <c r="F77" s="210">
        <v>1</v>
      </c>
      <c r="G77" s="210">
        <v>2</v>
      </c>
      <c r="H77" s="217">
        <f>+N71</f>
        <v>750000</v>
      </c>
      <c r="I77" s="217">
        <v>0</v>
      </c>
      <c r="J77" s="301">
        <f t="shared" ref="J77" si="3">+F77*G77*(H77+I77)</f>
        <v>1500000</v>
      </c>
      <c r="K77" s="555"/>
      <c r="L77" s="176"/>
      <c r="M77" s="176"/>
      <c r="N77" s="197"/>
      <c r="O77" s="119"/>
      <c r="P77" s="120"/>
      <c r="Q77" s="199"/>
    </row>
    <row r="78" spans="2:20" s="14" customFormat="1" ht="21.95" customHeight="1" x14ac:dyDescent="0.25">
      <c r="B78" s="156"/>
      <c r="C78" s="157"/>
      <c r="D78" s="157"/>
      <c r="E78" s="157"/>
      <c r="F78" s="157"/>
      <c r="G78" s="144"/>
      <c r="H78" s="144"/>
      <c r="I78" s="144"/>
      <c r="J78" s="144"/>
      <c r="K78" s="144"/>
      <c r="L78" s="144"/>
      <c r="M78" s="158"/>
      <c r="N78" s="159"/>
      <c r="O78" s="221"/>
      <c r="P78" s="160"/>
      <c r="Q78" s="220"/>
    </row>
    <row r="79" spans="2:20" s="119" customFormat="1" ht="21.95" customHeight="1" thickBot="1" x14ac:dyDescent="0.3">
      <c r="B79" s="126"/>
      <c r="C79" s="127"/>
      <c r="D79" s="127"/>
      <c r="E79" s="138"/>
      <c r="F79" s="138"/>
      <c r="G79" s="138"/>
      <c r="H79" s="138"/>
      <c r="I79" s="138"/>
      <c r="J79" s="138"/>
      <c r="K79" s="139"/>
      <c r="L79" s="139"/>
      <c r="M79" s="140"/>
      <c r="N79" s="140"/>
      <c r="O79" s="222"/>
      <c r="P79" s="223"/>
      <c r="S79" s="154"/>
      <c r="T79" s="154"/>
    </row>
    <row r="80" spans="2:20" ht="15" customHeight="1" thickTop="1" x14ac:dyDescent="0.25">
      <c r="B80" s="538" t="s">
        <v>114</v>
      </c>
      <c r="C80" s="539"/>
      <c r="D80" s="539"/>
      <c r="E80" s="539"/>
      <c r="F80" s="540"/>
      <c r="G80" s="545"/>
      <c r="H80" s="547" t="s">
        <v>164</v>
      </c>
      <c r="I80" s="548"/>
      <c r="J80" s="553" t="s">
        <v>175</v>
      </c>
      <c r="K80" s="553"/>
      <c r="L80" s="130">
        <v>45118</v>
      </c>
      <c r="M80" s="103" t="s">
        <v>56</v>
      </c>
      <c r="N80" s="103"/>
      <c r="O80" s="104"/>
      <c r="P80" s="103"/>
    </row>
    <row r="81" spans="2:16" ht="15" customHeight="1" x14ac:dyDescent="0.25">
      <c r="B81" s="541"/>
      <c r="C81" s="539"/>
      <c r="D81" s="539"/>
      <c r="E81" s="539"/>
      <c r="F81" s="540"/>
      <c r="G81" s="545"/>
      <c r="H81" s="549"/>
      <c r="I81" s="550"/>
      <c r="J81" s="553" t="s">
        <v>172</v>
      </c>
      <c r="K81" s="553"/>
      <c r="L81" s="131">
        <v>44702</v>
      </c>
      <c r="M81" s="4" t="s">
        <v>56</v>
      </c>
      <c r="N81" s="4"/>
      <c r="O81" s="102"/>
      <c r="P81" s="4"/>
    </row>
    <row r="82" spans="2:16" ht="15" customHeight="1" x14ac:dyDescent="0.25">
      <c r="B82" s="541"/>
      <c r="C82" s="539"/>
      <c r="D82" s="539"/>
      <c r="E82" s="539"/>
      <c r="F82" s="540"/>
      <c r="G82" s="545"/>
      <c r="H82" s="549"/>
      <c r="I82" s="550"/>
      <c r="J82" s="553" t="s">
        <v>171</v>
      </c>
      <c r="K82" s="553"/>
      <c r="L82" s="131">
        <v>44314</v>
      </c>
      <c r="M82" s="4" t="s">
        <v>56</v>
      </c>
      <c r="N82" s="4">
        <v>3</v>
      </c>
      <c r="O82" s="102">
        <f>+L80</f>
        <v>45118</v>
      </c>
      <c r="P82" s="4" t="s">
        <v>58</v>
      </c>
    </row>
    <row r="83" spans="2:16" ht="15" customHeight="1" x14ac:dyDescent="0.25">
      <c r="B83" s="541"/>
      <c r="C83" s="539"/>
      <c r="D83" s="539"/>
      <c r="E83" s="539"/>
      <c r="F83" s="540"/>
      <c r="G83" s="545"/>
      <c r="H83" s="549"/>
      <c r="I83" s="550"/>
      <c r="J83" s="553" t="s">
        <v>170</v>
      </c>
      <c r="K83" s="553"/>
      <c r="L83" s="131">
        <v>44147</v>
      </c>
      <c r="M83" s="4" t="s">
        <v>56</v>
      </c>
      <c r="N83" s="4">
        <v>2</v>
      </c>
      <c r="O83" s="102">
        <v>44702</v>
      </c>
      <c r="P83" s="4" t="s">
        <v>174</v>
      </c>
    </row>
    <row r="84" spans="2:16" ht="15" customHeight="1" x14ac:dyDescent="0.25">
      <c r="B84" s="541"/>
      <c r="C84" s="539"/>
      <c r="D84" s="539"/>
      <c r="E84" s="539"/>
      <c r="F84" s="540"/>
      <c r="G84" s="545"/>
      <c r="H84" s="549"/>
      <c r="I84" s="550"/>
      <c r="J84" s="553" t="s">
        <v>113</v>
      </c>
      <c r="K84" s="553"/>
      <c r="L84" s="131">
        <v>45113</v>
      </c>
      <c r="M84" s="4" t="s">
        <v>173</v>
      </c>
      <c r="N84" s="4">
        <v>1</v>
      </c>
      <c r="O84" s="102">
        <v>44314</v>
      </c>
      <c r="P84" s="4" t="s">
        <v>58</v>
      </c>
    </row>
    <row r="85" spans="2:16" s="3" customFormat="1" ht="15" customHeight="1" x14ac:dyDescent="0.25">
      <c r="B85" s="542"/>
      <c r="C85" s="543"/>
      <c r="D85" s="543"/>
      <c r="E85" s="543"/>
      <c r="F85" s="544"/>
      <c r="G85" s="546"/>
      <c r="H85" s="551"/>
      <c r="I85" s="552"/>
      <c r="J85" s="537" t="s">
        <v>111</v>
      </c>
      <c r="K85" s="537"/>
      <c r="L85" s="18" t="s">
        <v>5</v>
      </c>
      <c r="M85" s="18" t="s">
        <v>108</v>
      </c>
      <c r="N85" s="18" t="s">
        <v>109</v>
      </c>
      <c r="O85" s="18" t="s">
        <v>110</v>
      </c>
      <c r="P85" s="18" t="s">
        <v>108</v>
      </c>
    </row>
  </sheetData>
  <mergeCells count="70">
    <mergeCell ref="C41:D41"/>
    <mergeCell ref="C42:D42"/>
    <mergeCell ref="C40:D40"/>
    <mergeCell ref="C24:E24"/>
    <mergeCell ref="C26:E26"/>
    <mergeCell ref="C25:E25"/>
    <mergeCell ref="O75:P75"/>
    <mergeCell ref="K71:L71"/>
    <mergeCell ref="H50:I50"/>
    <mergeCell ref="B64:G64"/>
    <mergeCell ref="C63:E63"/>
    <mergeCell ref="C50:E50"/>
    <mergeCell ref="B52:G52"/>
    <mergeCell ref="C60:E60"/>
    <mergeCell ref="G69:J70"/>
    <mergeCell ref="G71:J71"/>
    <mergeCell ref="E70:F70"/>
    <mergeCell ref="C70:D70"/>
    <mergeCell ref="C75:D75"/>
    <mergeCell ref="C72:D72"/>
    <mergeCell ref="E72:F72"/>
    <mergeCell ref="G72:J72"/>
    <mergeCell ref="Q69:Q70"/>
    <mergeCell ref="O69:P70"/>
    <mergeCell ref="K69:L70"/>
    <mergeCell ref="B69:B70"/>
    <mergeCell ref="C69:F69"/>
    <mergeCell ref="M69:N70"/>
    <mergeCell ref="K76:K77"/>
    <mergeCell ref="C61:E61"/>
    <mergeCell ref="C71:D71"/>
    <mergeCell ref="E71:F71"/>
    <mergeCell ref="C55:E55"/>
    <mergeCell ref="C77:D77"/>
    <mergeCell ref="C76:D76"/>
    <mergeCell ref="H55:I55"/>
    <mergeCell ref="C62:E62"/>
    <mergeCell ref="H62:I62"/>
    <mergeCell ref="C56:E56"/>
    <mergeCell ref="K72:L72"/>
    <mergeCell ref="J85:K85"/>
    <mergeCell ref="B80:F85"/>
    <mergeCell ref="G80:G85"/>
    <mergeCell ref="H80:I85"/>
    <mergeCell ref="J80:K80"/>
    <mergeCell ref="J81:K81"/>
    <mergeCell ref="J82:K82"/>
    <mergeCell ref="J83:K83"/>
    <mergeCell ref="J84:K84"/>
    <mergeCell ref="B3:I6"/>
    <mergeCell ref="M3:P5"/>
    <mergeCell ref="B10:D10"/>
    <mergeCell ref="M10:N10"/>
    <mergeCell ref="O10:P10"/>
    <mergeCell ref="C22:E22"/>
    <mergeCell ref="B27:E27"/>
    <mergeCell ref="G27:I27"/>
    <mergeCell ref="C23:E23"/>
    <mergeCell ref="C51:E51"/>
    <mergeCell ref="C30:F30"/>
    <mergeCell ref="H30"/>
    <mergeCell ref="C31:F31"/>
    <mergeCell ref="H31"/>
    <mergeCell ref="C32:F32"/>
    <mergeCell ref="B33:G33"/>
    <mergeCell ref="B37:P38"/>
    <mergeCell ref="E40:J40"/>
    <mergeCell ref="E41:J41"/>
    <mergeCell ref="E42:J42"/>
    <mergeCell ref="N41:N42"/>
  </mergeCells>
  <printOptions horizontalCentered="1" verticalCentered="1"/>
  <pageMargins left="0" right="0" top="0" bottom="0" header="0"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AB56"/>
  <sheetViews>
    <sheetView showGridLines="0" topLeftCell="A34" zoomScale="80" zoomScaleNormal="80" workbookViewId="0">
      <selection activeCell="O31" sqref="O31"/>
    </sheetView>
  </sheetViews>
  <sheetFormatPr defaultColWidth="9.140625" defaultRowHeight="15" x14ac:dyDescent="0.25"/>
  <cols>
    <col min="1" max="1" width="1.7109375" style="1" customWidth="1"/>
    <col min="2" max="2" width="6.7109375" style="1" customWidth="1"/>
    <col min="3" max="3" width="14.7109375" style="2" customWidth="1"/>
    <col min="4" max="5" width="2.7109375" style="2" customWidth="1"/>
    <col min="6" max="6" width="14.7109375" style="2" customWidth="1"/>
    <col min="7" max="13" width="7.7109375" style="1" customWidth="1"/>
    <col min="14" max="19" width="14.7109375" style="1" customWidth="1"/>
    <col min="20" max="23" width="7.7109375" style="1" customWidth="1"/>
    <col min="24" max="24" width="1.7109375" style="1" customWidth="1"/>
    <col min="25" max="54" width="15.7109375" style="1" customWidth="1"/>
    <col min="55" max="16384" width="9.140625" style="1"/>
  </cols>
  <sheetData>
    <row r="1" spans="2:23" x14ac:dyDescent="0.25">
      <c r="W1" s="101" t="s">
        <v>120</v>
      </c>
    </row>
    <row r="2" spans="2:23" ht="20.100000000000001" customHeight="1" x14ac:dyDescent="0.25">
      <c r="B2" s="89" t="s">
        <v>0</v>
      </c>
      <c r="C2" s="82"/>
      <c r="D2" s="82"/>
      <c r="E2" s="82"/>
      <c r="F2" s="82"/>
      <c r="G2" s="90"/>
      <c r="H2" s="90"/>
      <c r="I2" s="90"/>
      <c r="J2" s="90"/>
      <c r="K2" s="91" t="s">
        <v>62</v>
      </c>
      <c r="L2" s="92" t="s">
        <v>63</v>
      </c>
      <c r="M2" s="93"/>
      <c r="N2" s="93" t="s">
        <v>168</v>
      </c>
      <c r="O2" s="93"/>
      <c r="P2" s="93"/>
      <c r="Q2" s="94"/>
      <c r="R2" s="4" t="s">
        <v>68</v>
      </c>
      <c r="S2" s="4" t="s">
        <v>67</v>
      </c>
      <c r="T2" s="473" t="s">
        <v>55</v>
      </c>
      <c r="U2" s="474"/>
      <c r="V2" s="473" t="s">
        <v>54</v>
      </c>
      <c r="W2" s="474"/>
    </row>
    <row r="3" spans="2:23" ht="20.100000000000001" customHeight="1" x14ac:dyDescent="0.25">
      <c r="B3" s="610" t="s">
        <v>169</v>
      </c>
      <c r="C3" s="611"/>
      <c r="D3" s="611"/>
      <c r="E3" s="611"/>
      <c r="F3" s="611"/>
      <c r="G3" s="611"/>
      <c r="H3" s="611"/>
      <c r="I3" s="611"/>
      <c r="J3" s="611"/>
      <c r="K3" s="612"/>
      <c r="L3" s="95" t="s">
        <v>5</v>
      </c>
      <c r="M3" s="96"/>
      <c r="N3" s="96" t="s">
        <v>190</v>
      </c>
      <c r="O3" s="96"/>
      <c r="P3" s="96"/>
      <c r="Q3" s="97"/>
      <c r="R3" s="480" t="s">
        <v>162</v>
      </c>
      <c r="S3" s="481"/>
      <c r="T3" s="481"/>
      <c r="U3" s="481"/>
      <c r="V3" s="481"/>
      <c r="W3" s="482"/>
    </row>
    <row r="4" spans="2:23" ht="20.100000000000001" customHeight="1" x14ac:dyDescent="0.25">
      <c r="B4" s="613"/>
      <c r="C4" s="614"/>
      <c r="D4" s="614"/>
      <c r="E4" s="614"/>
      <c r="F4" s="614"/>
      <c r="G4" s="614"/>
      <c r="H4" s="614"/>
      <c r="I4" s="614"/>
      <c r="J4" s="614"/>
      <c r="K4" s="615"/>
      <c r="L4" s="95" t="s">
        <v>64</v>
      </c>
      <c r="M4" s="96"/>
      <c r="N4" s="96" t="s">
        <v>167</v>
      </c>
      <c r="O4" s="96"/>
      <c r="P4" s="96"/>
      <c r="Q4" s="97"/>
      <c r="R4" s="483"/>
      <c r="S4" s="484"/>
      <c r="T4" s="484"/>
      <c r="U4" s="484"/>
      <c r="V4" s="484"/>
      <c r="W4" s="485"/>
    </row>
    <row r="5" spans="2:23" ht="20.100000000000001" customHeight="1" x14ac:dyDescent="0.25">
      <c r="B5" s="613"/>
      <c r="C5" s="614"/>
      <c r="D5" s="614"/>
      <c r="E5" s="614"/>
      <c r="F5" s="614"/>
      <c r="G5" s="614"/>
      <c r="H5" s="614"/>
      <c r="I5" s="614"/>
      <c r="J5" s="614"/>
      <c r="K5" s="615"/>
      <c r="L5" s="95" t="s">
        <v>163</v>
      </c>
      <c r="M5" s="96"/>
      <c r="N5" s="96" t="s">
        <v>166</v>
      </c>
      <c r="O5" s="96"/>
      <c r="P5" s="96"/>
      <c r="Q5" s="97"/>
      <c r="R5" s="486"/>
      <c r="S5" s="487"/>
      <c r="T5" s="487"/>
      <c r="U5" s="487"/>
      <c r="V5" s="487"/>
      <c r="W5" s="488"/>
    </row>
    <row r="6" spans="2:23" ht="20.100000000000001" customHeight="1" x14ac:dyDescent="0.25">
      <c r="B6" s="616"/>
      <c r="C6" s="617"/>
      <c r="D6" s="617"/>
      <c r="E6" s="617"/>
      <c r="F6" s="617"/>
      <c r="G6" s="617"/>
      <c r="H6" s="617"/>
      <c r="I6" s="617"/>
      <c r="J6" s="617"/>
      <c r="K6" s="618"/>
      <c r="L6" s="98" t="s">
        <v>66</v>
      </c>
      <c r="M6" s="99"/>
      <c r="N6" s="99" t="s">
        <v>191</v>
      </c>
      <c r="O6" s="99"/>
      <c r="P6" s="99"/>
      <c r="Q6" s="100"/>
      <c r="R6" s="4" t="s">
        <v>69</v>
      </c>
      <c r="S6" s="4" t="s">
        <v>58</v>
      </c>
      <c r="T6" s="473" t="s">
        <v>57</v>
      </c>
      <c r="U6" s="474"/>
      <c r="V6" s="473" t="s">
        <v>56</v>
      </c>
      <c r="W6" s="474"/>
    </row>
    <row r="7" spans="2:23" s="239" customFormat="1" ht="15" customHeight="1" x14ac:dyDescent="0.3">
      <c r="B7" s="236"/>
      <c r="C7" s="237"/>
      <c r="D7" s="237"/>
      <c r="E7" s="237"/>
      <c r="F7" s="238"/>
      <c r="G7" s="238"/>
      <c r="H7" s="238"/>
      <c r="I7" s="238"/>
      <c r="W7" s="240"/>
    </row>
    <row r="8" spans="2:23" s="239" customFormat="1" ht="15" customHeight="1" x14ac:dyDescent="0.3">
      <c r="B8" s="236"/>
      <c r="C8" s="237"/>
      <c r="D8" s="237"/>
      <c r="E8" s="237"/>
      <c r="F8" s="237"/>
      <c r="G8" s="237"/>
      <c r="H8" s="237"/>
      <c r="I8" s="237"/>
      <c r="W8" s="240"/>
    </row>
    <row r="9" spans="2:23" s="246" customFormat="1" ht="39.950000000000003" customHeight="1" x14ac:dyDescent="0.35">
      <c r="B9" s="241" t="s">
        <v>8</v>
      </c>
      <c r="C9" s="242"/>
      <c r="D9" s="242"/>
      <c r="E9" s="242"/>
      <c r="F9" s="242"/>
      <c r="G9" s="242"/>
      <c r="H9" s="242"/>
      <c r="I9" s="243" t="str">
        <f>+'TAHAP 1'!G8</f>
        <v>: PASI CIKARANG &amp; BEA CUKAI PUSAT JAKARTA</v>
      </c>
      <c r="J9" s="242"/>
      <c r="K9" s="242"/>
      <c r="L9" s="242"/>
      <c r="M9" s="242"/>
      <c r="N9" s="242"/>
      <c r="O9" s="242"/>
      <c r="P9" s="244"/>
      <c r="Q9" s="244"/>
      <c r="R9" s="244"/>
      <c r="S9" s="244"/>
      <c r="T9" s="244"/>
      <c r="U9" s="244"/>
      <c r="V9" s="244"/>
      <c r="W9" s="245"/>
    </row>
    <row r="10" spans="2:23" s="246" customFormat="1" ht="39.950000000000003" customHeight="1" x14ac:dyDescent="0.35">
      <c r="B10" s="295" t="s">
        <v>9</v>
      </c>
      <c r="C10" s="247"/>
      <c r="D10" s="247"/>
      <c r="E10" s="247"/>
      <c r="F10" s="247"/>
      <c r="G10" s="247"/>
      <c r="H10" s="247"/>
      <c r="I10" s="243" t="str">
        <f>+'TAHAP 1'!G9</f>
        <v xml:space="preserve">: DEVELOPIN PDPLB, KONSULTASI PELAPORAN PAJAK TERHADAP EXPORT DARI PDPLB </v>
      </c>
      <c r="J10" s="247"/>
      <c r="K10" s="247"/>
      <c r="L10" s="247"/>
      <c r="M10" s="247"/>
      <c r="N10" s="247"/>
      <c r="O10" s="247"/>
      <c r="P10" s="244"/>
      <c r="Q10" s="244"/>
      <c r="R10" s="244"/>
      <c r="S10" s="244"/>
      <c r="T10" s="244"/>
      <c r="U10" s="244"/>
      <c r="V10" s="244"/>
      <c r="W10" s="245"/>
    </row>
    <row r="11" spans="2:23" s="250" customFormat="1" ht="20.100000000000001" customHeight="1" x14ac:dyDescent="0.25">
      <c r="B11" s="248"/>
      <c r="C11" s="249"/>
      <c r="D11" s="249"/>
      <c r="E11" s="249"/>
      <c r="F11" s="249"/>
      <c r="N11" s="251"/>
      <c r="O11" s="251"/>
      <c r="P11" s="251"/>
      <c r="Q11" s="251"/>
      <c r="R11" s="251"/>
      <c r="S11" s="251"/>
      <c r="T11" s="251"/>
      <c r="U11" s="251"/>
      <c r="V11" s="251"/>
      <c r="W11" s="252"/>
    </row>
    <row r="12" spans="2:23" s="250" customFormat="1" ht="20.100000000000001" customHeight="1" x14ac:dyDescent="0.25">
      <c r="B12" s="248"/>
      <c r="C12" s="249"/>
      <c r="D12" s="249"/>
      <c r="E12" s="249"/>
      <c r="F12" s="249"/>
      <c r="N12" s="251"/>
      <c r="O12" s="251"/>
      <c r="P12" s="251"/>
      <c r="Q12" s="251"/>
      <c r="R12" s="251"/>
      <c r="S12" s="251"/>
      <c r="T12" s="251"/>
      <c r="U12" s="251"/>
      <c r="V12" s="251"/>
      <c r="W12" s="252"/>
    </row>
    <row r="13" spans="2:23" s="250" customFormat="1" ht="20.100000000000001" customHeight="1" x14ac:dyDescent="0.25">
      <c r="B13" s="248"/>
      <c r="C13" s="249"/>
      <c r="D13" s="249"/>
      <c r="E13" s="249"/>
      <c r="F13" s="249"/>
      <c r="N13" s="251"/>
      <c r="O13" s="251"/>
      <c r="P13" s="251"/>
      <c r="Q13" s="251"/>
      <c r="R13" s="251"/>
      <c r="S13" s="251"/>
      <c r="T13" s="251"/>
      <c r="U13" s="251"/>
      <c r="V13" s="251"/>
      <c r="W13" s="252"/>
    </row>
    <row r="14" spans="2:23" s="251" customFormat="1" ht="24.95" customHeight="1" x14ac:dyDescent="0.25">
      <c r="B14" s="253" t="s">
        <v>181</v>
      </c>
      <c r="C14" s="254"/>
      <c r="D14" s="254"/>
      <c r="E14" s="254"/>
      <c r="F14" s="254"/>
      <c r="W14" s="255"/>
    </row>
    <row r="15" spans="2:23" s="258" customFormat="1" ht="24.95" customHeight="1" x14ac:dyDescent="0.25">
      <c r="B15" s="634" t="s">
        <v>1</v>
      </c>
      <c r="C15" s="637" t="s">
        <v>5</v>
      </c>
      <c r="D15" s="638"/>
      <c r="E15" s="638"/>
      <c r="F15" s="639"/>
      <c r="G15" s="637" t="s">
        <v>4</v>
      </c>
      <c r="H15" s="639"/>
      <c r="I15" s="637" t="s">
        <v>61</v>
      </c>
      <c r="J15" s="639"/>
      <c r="K15" s="625" t="s">
        <v>2</v>
      </c>
      <c r="L15" s="627"/>
      <c r="M15" s="625" t="s">
        <v>3</v>
      </c>
      <c r="N15" s="626"/>
      <c r="O15" s="627"/>
      <c r="P15" s="256">
        <v>1</v>
      </c>
      <c r="Q15" s="256">
        <v>2</v>
      </c>
      <c r="R15" s="256">
        <v>3</v>
      </c>
      <c r="S15" s="256">
        <v>4</v>
      </c>
      <c r="T15" s="650">
        <v>5</v>
      </c>
      <c r="U15" s="651"/>
      <c r="V15" s="257"/>
      <c r="W15" s="649"/>
    </row>
    <row r="16" spans="2:23" s="258" customFormat="1" ht="16.5" customHeight="1" x14ac:dyDescent="0.25">
      <c r="B16" s="635"/>
      <c r="C16" s="605"/>
      <c r="D16" s="606"/>
      <c r="E16" s="606"/>
      <c r="F16" s="607"/>
      <c r="G16" s="605"/>
      <c r="H16" s="607"/>
      <c r="I16" s="605"/>
      <c r="J16" s="607"/>
      <c r="K16" s="628"/>
      <c r="L16" s="630"/>
      <c r="M16" s="628"/>
      <c r="N16" s="629"/>
      <c r="O16" s="630"/>
      <c r="P16" s="653" t="s">
        <v>192</v>
      </c>
      <c r="Q16" s="662" t="s">
        <v>195</v>
      </c>
      <c r="R16" s="662" t="s">
        <v>217</v>
      </c>
      <c r="S16" s="662" t="s">
        <v>182</v>
      </c>
      <c r="T16" s="656" t="s">
        <v>183</v>
      </c>
      <c r="U16" s="657"/>
      <c r="V16" s="257"/>
      <c r="W16" s="649"/>
    </row>
    <row r="17" spans="2:28" s="258" customFormat="1" ht="16.5" customHeight="1" x14ac:dyDescent="0.25">
      <c r="B17" s="635"/>
      <c r="C17" s="605"/>
      <c r="D17" s="606"/>
      <c r="E17" s="606"/>
      <c r="F17" s="607"/>
      <c r="G17" s="605"/>
      <c r="H17" s="607"/>
      <c r="I17" s="605"/>
      <c r="J17" s="607"/>
      <c r="K17" s="628"/>
      <c r="L17" s="630"/>
      <c r="M17" s="628"/>
      <c r="N17" s="629"/>
      <c r="O17" s="630"/>
      <c r="P17" s="654"/>
      <c r="Q17" s="663"/>
      <c r="R17" s="663"/>
      <c r="S17" s="663"/>
      <c r="T17" s="658"/>
      <c r="U17" s="659"/>
      <c r="V17" s="257"/>
      <c r="W17" s="649"/>
    </row>
    <row r="18" spans="2:28" s="258" customFormat="1" ht="17.100000000000001" customHeight="1" x14ac:dyDescent="0.25">
      <c r="B18" s="636"/>
      <c r="C18" s="640"/>
      <c r="D18" s="641"/>
      <c r="E18" s="641"/>
      <c r="F18" s="642"/>
      <c r="G18" s="640"/>
      <c r="H18" s="642"/>
      <c r="I18" s="640"/>
      <c r="J18" s="642"/>
      <c r="K18" s="631"/>
      <c r="L18" s="633"/>
      <c r="M18" s="631"/>
      <c r="N18" s="632"/>
      <c r="O18" s="633"/>
      <c r="P18" s="655"/>
      <c r="Q18" s="664"/>
      <c r="R18" s="664"/>
      <c r="S18" s="664"/>
      <c r="T18" s="660"/>
      <c r="U18" s="661"/>
      <c r="V18" s="257"/>
      <c r="W18" s="649"/>
    </row>
    <row r="19" spans="2:28" s="259" customFormat="1" ht="84.95" customHeight="1" x14ac:dyDescent="0.2">
      <c r="B19" s="296">
        <v>1</v>
      </c>
      <c r="C19" s="260">
        <f>+'TAHAP 1'!C13</f>
        <v>45544</v>
      </c>
      <c r="D19" s="619" t="s">
        <v>6</v>
      </c>
      <c r="E19" s="619"/>
      <c r="F19" s="261">
        <f>+'TAHAP 1'!E13:F13</f>
        <v>45547</v>
      </c>
      <c r="G19" s="620" t="str">
        <f>+'TAHAP 1'!G13:H13</f>
        <v>LOG</v>
      </c>
      <c r="H19" s="621"/>
      <c r="I19" s="620" t="str">
        <f>+'TAHAP 1'!I13:J13</f>
        <v>MAN</v>
      </c>
      <c r="J19" s="621"/>
      <c r="K19" s="620">
        <f>+'TAHAP 1'!K13:L13</f>
        <v>796</v>
      </c>
      <c r="L19" s="621"/>
      <c r="M19" s="622" t="str">
        <f>+'TAHAP 1'!M13</f>
        <v>YOEN YOEDONO SOEBROTO</v>
      </c>
      <c r="N19" s="623"/>
      <c r="O19" s="624"/>
      <c r="P19" s="311" t="s">
        <v>242</v>
      </c>
      <c r="Q19" s="312" t="s">
        <v>7</v>
      </c>
      <c r="R19" s="665" t="s">
        <v>242</v>
      </c>
      <c r="S19" s="665" t="s">
        <v>209</v>
      </c>
      <c r="T19" s="667" t="s">
        <v>243</v>
      </c>
      <c r="U19" s="668"/>
      <c r="V19" s="239"/>
      <c r="W19" s="262"/>
      <c r="Y19" s="263" t="str">
        <f>+G19</f>
        <v>LOG</v>
      </c>
      <c r="Z19" s="263" t="str">
        <f>+I19</f>
        <v>MAN</v>
      </c>
      <c r="AA19" s="263">
        <f>+K19</f>
        <v>796</v>
      </c>
      <c r="AB19" s="263" t="str">
        <f>+M19</f>
        <v>YOEN YOEDONO SOEBROTO</v>
      </c>
    </row>
    <row r="20" spans="2:28" s="259" customFormat="1" ht="84.95" customHeight="1" x14ac:dyDescent="0.2">
      <c r="B20" s="296">
        <v>2</v>
      </c>
      <c r="C20" s="260">
        <f>+'TAHAP 1'!C14</f>
        <v>45544</v>
      </c>
      <c r="D20" s="643" t="s">
        <v>6</v>
      </c>
      <c r="E20" s="643"/>
      <c r="F20" s="264">
        <f>+'TAHAP 1'!E14:F14</f>
        <v>45547</v>
      </c>
      <c r="G20" s="644" t="str">
        <f>+'TAHAP 1'!G14:H14</f>
        <v>LOG/EXIM</v>
      </c>
      <c r="H20" s="645"/>
      <c r="I20" s="644" t="str">
        <f>+'TAHAP 1'!I14:J14</f>
        <v>SPV</v>
      </c>
      <c r="J20" s="645"/>
      <c r="K20" s="644">
        <f>+'TAHAP 1'!K14:L14</f>
        <v>2227</v>
      </c>
      <c r="L20" s="645"/>
      <c r="M20" s="646" t="str">
        <f>+'TAHAP 1'!M14</f>
        <v>FITRIA ENDAH PRATIWI</v>
      </c>
      <c r="N20" s="647"/>
      <c r="O20" s="648"/>
      <c r="P20" s="314" t="s">
        <v>241</v>
      </c>
      <c r="Q20" s="313" t="s">
        <v>7</v>
      </c>
      <c r="R20" s="666"/>
      <c r="S20" s="666"/>
      <c r="T20" s="669"/>
      <c r="U20" s="670"/>
      <c r="V20" s="239"/>
      <c r="W20" s="262"/>
      <c r="Y20" s="263" t="str">
        <f>+G20</f>
        <v>LOG/EXIM</v>
      </c>
      <c r="Z20" s="263" t="str">
        <f>+I20</f>
        <v>SPV</v>
      </c>
      <c r="AA20" s="263">
        <f t="shared" ref="AA20" si="0">+K20</f>
        <v>2227</v>
      </c>
      <c r="AB20" s="263" t="str">
        <f t="shared" ref="AB20" si="1">+M20</f>
        <v>FITRIA ENDAH PRATIWI</v>
      </c>
    </row>
    <row r="21" spans="2:28" s="250" customFormat="1" x14ac:dyDescent="0.25">
      <c r="B21" s="248"/>
      <c r="C21" s="249"/>
      <c r="D21" s="249"/>
      <c r="E21" s="249"/>
      <c r="F21" s="249"/>
      <c r="W21" s="252"/>
    </row>
    <row r="22" spans="2:28" s="250" customFormat="1" x14ac:dyDescent="0.25">
      <c r="B22" s="248"/>
      <c r="C22" s="249"/>
      <c r="D22" s="249"/>
      <c r="E22" s="249"/>
      <c r="F22" s="249"/>
      <c r="W22" s="252"/>
    </row>
    <row r="23" spans="2:28" s="250" customFormat="1" x14ac:dyDescent="0.25">
      <c r="B23" s="248"/>
      <c r="C23" s="249"/>
      <c r="D23" s="249"/>
      <c r="E23" s="249"/>
      <c r="F23" s="249"/>
      <c r="W23" s="252"/>
    </row>
    <row r="24" spans="2:28" s="250" customFormat="1" x14ac:dyDescent="0.25">
      <c r="B24" s="248"/>
      <c r="C24" s="249"/>
      <c r="D24" s="249"/>
      <c r="E24" s="249"/>
      <c r="F24" s="249"/>
      <c r="W24" s="252"/>
    </row>
    <row r="25" spans="2:28" s="254" customFormat="1" ht="21.95" customHeight="1" x14ac:dyDescent="0.25">
      <c r="B25" s="746" t="s">
        <v>185</v>
      </c>
      <c r="C25" s="747"/>
      <c r="D25" s="747"/>
      <c r="E25" s="747"/>
      <c r="F25" s="747"/>
      <c r="G25" s="747"/>
      <c r="H25" s="747"/>
      <c r="I25" s="747"/>
      <c r="J25" s="747"/>
      <c r="K25" s="748"/>
      <c r="L25" s="602" t="s">
        <v>186</v>
      </c>
      <c r="M25" s="603"/>
      <c r="N25" s="604"/>
      <c r="O25" s="602" t="s">
        <v>206</v>
      </c>
      <c r="P25" s="603"/>
      <c r="Q25" s="603"/>
      <c r="R25" s="604"/>
      <c r="S25" s="652" t="s">
        <v>37</v>
      </c>
      <c r="T25" s="652"/>
      <c r="U25" s="652"/>
      <c r="V25" s="652"/>
      <c r="W25" s="265"/>
    </row>
    <row r="26" spans="2:28" s="254" customFormat="1" ht="21.95" customHeight="1" x14ac:dyDescent="0.25">
      <c r="B26" s="746"/>
      <c r="C26" s="747"/>
      <c r="D26" s="747"/>
      <c r="E26" s="747"/>
      <c r="F26" s="747"/>
      <c r="G26" s="747"/>
      <c r="H26" s="747"/>
      <c r="I26" s="747"/>
      <c r="J26" s="747"/>
      <c r="K26" s="748"/>
      <c r="L26" s="320"/>
      <c r="M26" s="321"/>
      <c r="N26" s="322"/>
      <c r="O26" s="752" t="s">
        <v>205</v>
      </c>
      <c r="P26" s="753"/>
      <c r="Q26" s="752" t="s">
        <v>231</v>
      </c>
      <c r="R26" s="753"/>
      <c r="S26" s="711"/>
      <c r="T26" s="712"/>
      <c r="U26" s="712"/>
      <c r="V26" s="713"/>
      <c r="W26" s="265"/>
    </row>
    <row r="27" spans="2:28" s="254" customFormat="1" ht="21.95" customHeight="1" x14ac:dyDescent="0.25">
      <c r="B27" s="746"/>
      <c r="C27" s="747"/>
      <c r="D27" s="747"/>
      <c r="E27" s="747"/>
      <c r="F27" s="747"/>
      <c r="G27" s="747"/>
      <c r="H27" s="747"/>
      <c r="I27" s="747"/>
      <c r="J27" s="747"/>
      <c r="K27" s="748"/>
      <c r="L27" s="320"/>
      <c r="M27" s="321"/>
      <c r="N27" s="322"/>
      <c r="O27" s="327" t="s">
        <v>216</v>
      </c>
      <c r="P27" s="326">
        <f>+C19</f>
        <v>45544</v>
      </c>
      <c r="Q27" s="696" t="s">
        <v>232</v>
      </c>
      <c r="R27" s="697"/>
      <c r="S27" s="705"/>
      <c r="T27" s="706"/>
      <c r="U27" s="706"/>
      <c r="V27" s="707"/>
      <c r="W27" s="265"/>
    </row>
    <row r="28" spans="2:28" s="254" customFormat="1" ht="21.95" customHeight="1" x14ac:dyDescent="0.25">
      <c r="B28" s="746"/>
      <c r="C28" s="747"/>
      <c r="D28" s="747"/>
      <c r="E28" s="747"/>
      <c r="F28" s="747"/>
      <c r="G28" s="747"/>
      <c r="H28" s="747"/>
      <c r="I28" s="747"/>
      <c r="J28" s="747"/>
      <c r="K28" s="748"/>
      <c r="L28" s="320"/>
      <c r="M28" s="321"/>
      <c r="N28" s="322"/>
      <c r="O28" s="738" t="s">
        <v>246</v>
      </c>
      <c r="P28" s="739"/>
      <c r="Q28" s="696"/>
      <c r="R28" s="697"/>
      <c r="S28" s="705"/>
      <c r="T28" s="706"/>
      <c r="U28" s="706"/>
      <c r="V28" s="707"/>
      <c r="W28" s="265"/>
    </row>
    <row r="29" spans="2:28" s="254" customFormat="1" ht="21.95" customHeight="1" x14ac:dyDescent="0.25">
      <c r="B29" s="746"/>
      <c r="C29" s="747"/>
      <c r="D29" s="747"/>
      <c r="E29" s="747"/>
      <c r="F29" s="747"/>
      <c r="G29" s="747"/>
      <c r="H29" s="747"/>
      <c r="I29" s="747"/>
      <c r="J29" s="747"/>
      <c r="K29" s="748"/>
      <c r="L29" s="320"/>
      <c r="M29" s="321"/>
      <c r="N29" s="322"/>
      <c r="O29" s="327" t="s">
        <v>215</v>
      </c>
      <c r="P29" s="326">
        <f>+F19</f>
        <v>45547</v>
      </c>
      <c r="Q29" s="696"/>
      <c r="R29" s="697"/>
      <c r="S29" s="705"/>
      <c r="T29" s="706"/>
      <c r="U29" s="706"/>
      <c r="V29" s="707"/>
      <c r="W29" s="265"/>
    </row>
    <row r="30" spans="2:28" s="254" customFormat="1" ht="21.95" customHeight="1" x14ac:dyDescent="0.25">
      <c r="B30" s="749"/>
      <c r="C30" s="750"/>
      <c r="D30" s="750"/>
      <c r="E30" s="750"/>
      <c r="F30" s="750"/>
      <c r="G30" s="750"/>
      <c r="H30" s="750"/>
      <c r="I30" s="750"/>
      <c r="J30" s="750"/>
      <c r="K30" s="751"/>
      <c r="L30" s="323"/>
      <c r="M30" s="324"/>
      <c r="N30" s="325"/>
      <c r="O30" s="740" t="s">
        <v>247</v>
      </c>
      <c r="P30" s="741"/>
      <c r="Q30" s="698"/>
      <c r="R30" s="699"/>
      <c r="S30" s="708"/>
      <c r="T30" s="709"/>
      <c r="U30" s="709"/>
      <c r="V30" s="710"/>
      <c r="W30" s="265"/>
    </row>
    <row r="31" spans="2:28" s="254" customFormat="1" ht="50.1" customHeight="1" x14ac:dyDescent="0.25">
      <c r="B31" s="266" t="s">
        <v>1</v>
      </c>
      <c r="C31" s="628" t="s">
        <v>3</v>
      </c>
      <c r="D31" s="629"/>
      <c r="E31" s="629"/>
      <c r="F31" s="630"/>
      <c r="G31" s="266" t="s">
        <v>2</v>
      </c>
      <c r="H31" s="605" t="s">
        <v>161</v>
      </c>
      <c r="I31" s="606"/>
      <c r="J31" s="606"/>
      <c r="K31" s="607"/>
      <c r="L31" s="608" t="s">
        <v>187</v>
      </c>
      <c r="M31" s="609"/>
      <c r="N31" s="267" t="s">
        <v>196</v>
      </c>
      <c r="O31" s="268" t="s">
        <v>188</v>
      </c>
      <c r="P31" s="268" t="s">
        <v>196</v>
      </c>
      <c r="Q31" s="268" t="s">
        <v>188</v>
      </c>
      <c r="R31" s="268" t="s">
        <v>196</v>
      </c>
      <c r="S31" s="319" t="s">
        <v>188</v>
      </c>
      <c r="T31" s="695" t="s">
        <v>196</v>
      </c>
      <c r="U31" s="695"/>
      <c r="V31" s="695"/>
      <c r="W31" s="265" t="s">
        <v>208</v>
      </c>
    </row>
    <row r="32" spans="2:28" s="269" customFormat="1" ht="50.1" customHeight="1" x14ac:dyDescent="0.25">
      <c r="B32" s="270">
        <f>+'TAPAH 2.2 (Rincian)'!B31</f>
        <v>1</v>
      </c>
      <c r="C32" s="271" t="str">
        <f>+'TAPAH 2.2 (Rincian)'!C31:F31</f>
        <v>YOEN YOEDONO SOEBROTO</v>
      </c>
      <c r="D32" s="272"/>
      <c r="E32" s="272"/>
      <c r="F32" s="273"/>
      <c r="G32" s="270">
        <f>+'TAHAP 1'!K13</f>
        <v>796</v>
      </c>
      <c r="H32" s="702"/>
      <c r="I32" s="703"/>
      <c r="J32" s="703"/>
      <c r="K32" s="704"/>
      <c r="L32" s="744">
        <f>+'TAPAH 2.2 (Rincian)'!H31</f>
        <v>352500</v>
      </c>
      <c r="M32" s="745"/>
      <c r="N32" s="274"/>
      <c r="O32" s="275">
        <f>+'TAPAH 2.2 (Rincian)'!M41</f>
        <v>1940000</v>
      </c>
      <c r="P32" s="328"/>
      <c r="Q32" s="275">
        <f>+'TAPAH 2.2 (Rincian)'!F63</f>
        <v>200000</v>
      </c>
      <c r="R32" s="328"/>
      <c r="S32" s="275">
        <f>+'TAPAH 2.2 (Rincian)'!J76</f>
        <v>1500000</v>
      </c>
      <c r="T32" s="755" t="s">
        <v>7</v>
      </c>
      <c r="U32" s="755"/>
      <c r="V32" s="755"/>
      <c r="W32" s="276"/>
    </row>
    <row r="33" spans="2:23" s="269" customFormat="1" ht="50.1" customHeight="1" thickBot="1" x14ac:dyDescent="0.3">
      <c r="B33" s="277">
        <v>2</v>
      </c>
      <c r="C33" s="278" t="str">
        <f>+'TAPAH 2.2 (Rincian)'!C32:F32</f>
        <v>FITRIA ENDAH PRATIWI</v>
      </c>
      <c r="D33" s="299"/>
      <c r="E33" s="299"/>
      <c r="F33" s="300"/>
      <c r="G33" s="277">
        <f>+'TAHAP 1'!K14</f>
        <v>2227</v>
      </c>
      <c r="H33" s="279"/>
      <c r="I33" s="280"/>
      <c r="J33" s="280"/>
      <c r="K33" s="281"/>
      <c r="L33" s="742">
        <f>+'TAPAH 2.2 (Rincian)'!H32</f>
        <v>352500</v>
      </c>
      <c r="M33" s="743"/>
      <c r="N33" s="282"/>
      <c r="O33" s="318">
        <f>+'TAPAH 2.2 (Rincian)'!M42</f>
        <v>1940000</v>
      </c>
      <c r="P33" s="328"/>
      <c r="Q33" s="318">
        <f>+'TAPAH 2.2 (Rincian)'!F63</f>
        <v>200000</v>
      </c>
      <c r="R33" s="328"/>
      <c r="S33" s="306">
        <f>+'TAPAH 2.2 (Rincian)'!J77</f>
        <v>1500000</v>
      </c>
      <c r="T33" s="754" t="s">
        <v>7</v>
      </c>
      <c r="U33" s="754"/>
      <c r="V33" s="754"/>
      <c r="W33" s="276"/>
    </row>
    <row r="34" spans="2:23" s="254" customFormat="1" ht="35.1" customHeight="1" thickTop="1" x14ac:dyDescent="0.25">
      <c r="B34" s="700" t="s">
        <v>180</v>
      </c>
      <c r="C34" s="700"/>
      <c r="D34" s="700"/>
      <c r="E34" s="700"/>
      <c r="F34" s="700"/>
      <c r="G34" s="700"/>
      <c r="H34" s="700"/>
      <c r="I34" s="700"/>
      <c r="J34" s="700"/>
      <c r="K34" s="700"/>
      <c r="L34" s="701">
        <f>SUM(L32:M33)</f>
        <v>705000</v>
      </c>
      <c r="M34" s="701"/>
      <c r="N34" s="701"/>
      <c r="O34" s="701">
        <f>SUM(O32:O33)</f>
        <v>3880000</v>
      </c>
      <c r="P34" s="701"/>
      <c r="Q34" s="701">
        <f>SUM(Q32:Q33)</f>
        <v>400000</v>
      </c>
      <c r="R34" s="701"/>
      <c r="S34" s="701">
        <f>SUM(S32:S33)</f>
        <v>3000000</v>
      </c>
      <c r="T34" s="701"/>
      <c r="U34" s="701"/>
      <c r="V34" s="701"/>
      <c r="W34" s="265"/>
    </row>
    <row r="35" spans="2:23" s="269" customFormat="1" ht="45" customHeight="1" x14ac:dyDescent="0.25">
      <c r="B35" s="671" t="s">
        <v>12</v>
      </c>
      <c r="C35" s="671"/>
      <c r="D35" s="671"/>
      <c r="E35" s="671"/>
      <c r="F35" s="671"/>
      <c r="G35" s="671"/>
      <c r="H35" s="671"/>
      <c r="I35" s="671"/>
      <c r="J35" s="671"/>
      <c r="K35" s="671"/>
      <c r="L35" s="723">
        <f>SUM(L34:V34)</f>
        <v>7985000</v>
      </c>
      <c r="M35" s="723"/>
      <c r="N35" s="723"/>
      <c r="O35" s="723"/>
      <c r="P35" s="723"/>
      <c r="Q35" s="723"/>
      <c r="R35" s="723"/>
      <c r="S35" s="723"/>
      <c r="T35" s="723"/>
      <c r="U35" s="723"/>
      <c r="V35" s="723"/>
      <c r="W35" s="276"/>
    </row>
    <row r="36" spans="2:23" s="250" customFormat="1" ht="20.100000000000001" customHeight="1" x14ac:dyDescent="0.25">
      <c r="B36" s="248"/>
      <c r="C36" s="249"/>
      <c r="D36" s="249"/>
      <c r="E36" s="249"/>
      <c r="F36" s="249"/>
      <c r="W36" s="252"/>
    </row>
    <row r="37" spans="2:23" s="250" customFormat="1" ht="20.100000000000001" customHeight="1" x14ac:dyDescent="0.25">
      <c r="B37" s="714" t="s">
        <v>219</v>
      </c>
      <c r="C37" s="715"/>
      <c r="D37" s="715"/>
      <c r="E37" s="715"/>
      <c r="F37" s="715"/>
      <c r="G37" s="715"/>
      <c r="H37" s="715"/>
      <c r="I37" s="715"/>
      <c r="J37" s="715"/>
      <c r="K37" s="715"/>
      <c r="L37" s="715"/>
      <c r="M37" s="715"/>
      <c r="N37" s="715"/>
      <c r="O37" s="715"/>
      <c r="P37" s="715"/>
      <c r="Q37" s="715"/>
      <c r="R37" s="716"/>
      <c r="S37" s="283"/>
      <c r="T37" s="724" t="s">
        <v>218</v>
      </c>
      <c r="U37" s="725"/>
      <c r="V37" s="726"/>
      <c r="W37" s="252"/>
    </row>
    <row r="38" spans="2:23" s="250" customFormat="1" ht="20.100000000000001" customHeight="1" x14ac:dyDescent="0.25">
      <c r="B38" s="717"/>
      <c r="C38" s="718"/>
      <c r="D38" s="718"/>
      <c r="E38" s="718"/>
      <c r="F38" s="718"/>
      <c r="G38" s="718"/>
      <c r="H38" s="718"/>
      <c r="I38" s="718"/>
      <c r="J38" s="718"/>
      <c r="K38" s="718"/>
      <c r="L38" s="718"/>
      <c r="M38" s="718"/>
      <c r="N38" s="718"/>
      <c r="O38" s="718"/>
      <c r="P38" s="718"/>
      <c r="Q38" s="718"/>
      <c r="R38" s="719"/>
      <c r="S38" s="283"/>
      <c r="T38" s="727"/>
      <c r="U38" s="728"/>
      <c r="V38" s="729"/>
      <c r="W38" s="252"/>
    </row>
    <row r="39" spans="2:23" s="250" customFormat="1" ht="20.100000000000001" customHeight="1" x14ac:dyDescent="0.25">
      <c r="B39" s="717"/>
      <c r="C39" s="718"/>
      <c r="D39" s="718"/>
      <c r="E39" s="718"/>
      <c r="F39" s="718"/>
      <c r="G39" s="718"/>
      <c r="H39" s="718"/>
      <c r="I39" s="718"/>
      <c r="J39" s="718"/>
      <c r="K39" s="718"/>
      <c r="L39" s="718"/>
      <c r="M39" s="718"/>
      <c r="N39" s="718"/>
      <c r="O39" s="718"/>
      <c r="P39" s="718"/>
      <c r="Q39" s="718"/>
      <c r="R39" s="719"/>
      <c r="S39" s="283"/>
      <c r="T39" s="730"/>
      <c r="U39" s="731"/>
      <c r="V39" s="732"/>
      <c r="W39" s="252"/>
    </row>
    <row r="40" spans="2:23" s="250" customFormat="1" ht="20.100000000000001" customHeight="1" x14ac:dyDescent="0.25">
      <c r="B40" s="717"/>
      <c r="C40" s="718"/>
      <c r="D40" s="718"/>
      <c r="E40" s="718"/>
      <c r="F40" s="718"/>
      <c r="G40" s="718"/>
      <c r="H40" s="718"/>
      <c r="I40" s="718"/>
      <c r="J40" s="718"/>
      <c r="K40" s="718"/>
      <c r="L40" s="718"/>
      <c r="M40" s="718"/>
      <c r="N40" s="718"/>
      <c r="O40" s="718"/>
      <c r="P40" s="718"/>
      <c r="Q40" s="718"/>
      <c r="R40" s="719"/>
      <c r="S40" s="283"/>
      <c r="T40" s="667" t="s">
        <v>184</v>
      </c>
      <c r="U40" s="733"/>
      <c r="V40" s="668"/>
      <c r="W40" s="252"/>
    </row>
    <row r="41" spans="2:23" s="251" customFormat="1" ht="20.100000000000001" customHeight="1" x14ac:dyDescent="0.25">
      <c r="B41" s="717"/>
      <c r="C41" s="718"/>
      <c r="D41" s="718"/>
      <c r="E41" s="718"/>
      <c r="F41" s="718"/>
      <c r="G41" s="718"/>
      <c r="H41" s="718"/>
      <c r="I41" s="718"/>
      <c r="J41" s="718"/>
      <c r="K41" s="718"/>
      <c r="L41" s="718"/>
      <c r="M41" s="718"/>
      <c r="N41" s="718"/>
      <c r="O41" s="718"/>
      <c r="P41" s="718"/>
      <c r="Q41" s="718"/>
      <c r="R41" s="719"/>
      <c r="S41" s="283"/>
      <c r="T41" s="734"/>
      <c r="U41" s="735"/>
      <c r="V41" s="736"/>
      <c r="W41" s="255"/>
    </row>
    <row r="42" spans="2:23" s="251" customFormat="1" ht="20.100000000000001" customHeight="1" x14ac:dyDescent="0.25">
      <c r="B42" s="717"/>
      <c r="C42" s="718"/>
      <c r="D42" s="718"/>
      <c r="E42" s="718"/>
      <c r="F42" s="718"/>
      <c r="G42" s="718"/>
      <c r="H42" s="718"/>
      <c r="I42" s="718"/>
      <c r="J42" s="718"/>
      <c r="K42" s="718"/>
      <c r="L42" s="718"/>
      <c r="M42" s="718"/>
      <c r="N42" s="718"/>
      <c r="O42" s="718"/>
      <c r="P42" s="718"/>
      <c r="Q42" s="718"/>
      <c r="R42" s="719"/>
      <c r="S42" s="283"/>
      <c r="T42" s="734"/>
      <c r="U42" s="735"/>
      <c r="V42" s="736"/>
      <c r="W42" s="284"/>
    </row>
    <row r="43" spans="2:23" s="251" customFormat="1" ht="20.100000000000001" customHeight="1" x14ac:dyDescent="0.25">
      <c r="B43" s="720"/>
      <c r="C43" s="721"/>
      <c r="D43" s="721"/>
      <c r="E43" s="721"/>
      <c r="F43" s="721"/>
      <c r="G43" s="721"/>
      <c r="H43" s="721"/>
      <c r="I43" s="721"/>
      <c r="J43" s="721"/>
      <c r="K43" s="721"/>
      <c r="L43" s="721"/>
      <c r="M43" s="721"/>
      <c r="N43" s="721"/>
      <c r="O43" s="721"/>
      <c r="P43" s="721"/>
      <c r="Q43" s="721"/>
      <c r="R43" s="722"/>
      <c r="S43" s="283"/>
      <c r="T43" s="669"/>
      <c r="U43" s="737"/>
      <c r="V43" s="670"/>
      <c r="W43" s="284"/>
    </row>
    <row r="44" spans="2:23" s="251" customFormat="1" ht="15.75" x14ac:dyDescent="0.25">
      <c r="B44" s="285"/>
      <c r="C44" s="286"/>
      <c r="D44" s="286"/>
      <c r="E44" s="286"/>
      <c r="F44" s="286"/>
      <c r="G44" s="286"/>
      <c r="H44" s="286"/>
      <c r="I44" s="286"/>
      <c r="J44" s="286"/>
      <c r="K44" s="286"/>
      <c r="L44" s="286"/>
      <c r="M44" s="286"/>
      <c r="N44" s="286"/>
      <c r="O44" s="286"/>
      <c r="P44" s="286"/>
      <c r="Q44" s="286"/>
      <c r="R44" s="254"/>
      <c r="T44" s="287"/>
      <c r="U44" s="287"/>
      <c r="V44" s="287"/>
      <c r="W44" s="288"/>
    </row>
    <row r="45" spans="2:23" s="251" customFormat="1" ht="15.75" x14ac:dyDescent="0.25">
      <c r="B45" s="285"/>
      <c r="C45" s="286"/>
      <c r="D45" s="286"/>
      <c r="E45" s="286"/>
      <c r="F45" s="286"/>
      <c r="G45" s="286"/>
      <c r="H45" s="286"/>
      <c r="I45" s="286"/>
      <c r="J45" s="286"/>
      <c r="K45" s="286"/>
      <c r="L45" s="286"/>
      <c r="M45" s="286"/>
      <c r="N45" s="286"/>
      <c r="O45" s="286"/>
      <c r="P45" s="286"/>
      <c r="Q45" s="286"/>
      <c r="R45" s="254"/>
      <c r="T45" s="287"/>
      <c r="U45" s="287"/>
      <c r="V45" s="287"/>
      <c r="W45" s="288"/>
    </row>
    <row r="46" spans="2:23" s="251" customFormat="1" ht="15.75" x14ac:dyDescent="0.25">
      <c r="B46" s="285"/>
      <c r="C46" s="286"/>
      <c r="D46" s="286"/>
      <c r="E46" s="286"/>
      <c r="F46" s="286"/>
      <c r="G46" s="286"/>
      <c r="H46" s="286"/>
      <c r="I46" s="286"/>
      <c r="J46" s="286"/>
      <c r="K46" s="286"/>
      <c r="L46" s="286"/>
      <c r="M46" s="286"/>
      <c r="N46" s="286"/>
      <c r="O46" s="286"/>
      <c r="P46" s="286"/>
      <c r="Q46" s="286"/>
      <c r="R46" s="254"/>
      <c r="T46" s="287"/>
      <c r="U46" s="287"/>
      <c r="V46" s="287"/>
      <c r="W46" s="288"/>
    </row>
    <row r="47" spans="2:23" s="251" customFormat="1" ht="15.75" x14ac:dyDescent="0.25">
      <c r="B47" s="285"/>
      <c r="C47" s="286"/>
      <c r="D47" s="286"/>
      <c r="E47" s="286"/>
      <c r="F47" s="286"/>
      <c r="G47" s="286"/>
      <c r="H47" s="286"/>
      <c r="I47" s="286"/>
      <c r="J47" s="286"/>
      <c r="K47" s="286"/>
      <c r="L47" s="286"/>
      <c r="M47" s="286"/>
      <c r="N47" s="286"/>
      <c r="O47" s="286"/>
      <c r="P47" s="286"/>
      <c r="Q47" s="286"/>
      <c r="R47" s="254"/>
      <c r="T47" s="287"/>
      <c r="U47" s="287"/>
      <c r="V47" s="287"/>
      <c r="W47" s="288"/>
    </row>
    <row r="48" spans="2:23" s="251" customFormat="1" ht="16.5" thickBot="1" x14ac:dyDescent="0.3">
      <c r="B48" s="289"/>
      <c r="C48" s="290"/>
      <c r="D48" s="291"/>
      <c r="E48" s="290"/>
      <c r="F48" s="290"/>
      <c r="G48" s="292"/>
      <c r="H48" s="292"/>
      <c r="I48" s="292"/>
      <c r="J48" s="292"/>
      <c r="K48" s="292"/>
      <c r="L48" s="292"/>
      <c r="M48" s="292"/>
      <c r="N48" s="292"/>
      <c r="O48" s="292"/>
      <c r="P48" s="292"/>
      <c r="Q48" s="292"/>
      <c r="R48" s="292"/>
      <c r="S48" s="292"/>
      <c r="T48" s="293"/>
      <c r="U48" s="293"/>
      <c r="V48" s="293"/>
      <c r="W48" s="294"/>
    </row>
    <row r="49" spans="1:24" ht="20.100000000000001" customHeight="1" thickTop="1" x14ac:dyDescent="0.25">
      <c r="B49" s="538" t="s">
        <v>114</v>
      </c>
      <c r="C49" s="539"/>
      <c r="D49" s="539"/>
      <c r="E49" s="539"/>
      <c r="F49" s="540"/>
      <c r="G49" s="545"/>
      <c r="H49" s="675"/>
      <c r="I49" s="549" t="s">
        <v>164</v>
      </c>
      <c r="J49" s="677"/>
      <c r="K49" s="677"/>
      <c r="L49" s="678"/>
      <c r="M49" s="103">
        <v>4</v>
      </c>
      <c r="N49" s="683" t="s">
        <v>175</v>
      </c>
      <c r="O49" s="684"/>
      <c r="P49" s="685"/>
      <c r="Q49" s="130">
        <v>45118</v>
      </c>
      <c r="R49" s="103" t="s">
        <v>56</v>
      </c>
      <c r="S49" s="103"/>
      <c r="T49" s="689"/>
      <c r="U49" s="690"/>
      <c r="V49" s="691"/>
      <c r="W49" s="103"/>
    </row>
    <row r="50" spans="1:24" ht="20.100000000000001" customHeight="1" x14ac:dyDescent="0.25">
      <c r="B50" s="541"/>
      <c r="C50" s="539"/>
      <c r="D50" s="539"/>
      <c r="E50" s="539"/>
      <c r="F50" s="540"/>
      <c r="G50" s="545"/>
      <c r="H50" s="675"/>
      <c r="I50" s="679"/>
      <c r="J50" s="677"/>
      <c r="K50" s="677"/>
      <c r="L50" s="678"/>
      <c r="M50" s="4">
        <v>3</v>
      </c>
      <c r="N50" s="686" t="s">
        <v>172</v>
      </c>
      <c r="O50" s="687"/>
      <c r="P50" s="688"/>
      <c r="Q50" s="131">
        <v>44702</v>
      </c>
      <c r="R50" s="4" t="s">
        <v>56</v>
      </c>
      <c r="S50" s="4"/>
      <c r="T50" s="692"/>
      <c r="U50" s="693"/>
      <c r="V50" s="694"/>
      <c r="W50" s="4"/>
    </row>
    <row r="51" spans="1:24" ht="20.100000000000001" customHeight="1" x14ac:dyDescent="0.25">
      <c r="B51" s="541"/>
      <c r="C51" s="539"/>
      <c r="D51" s="539"/>
      <c r="E51" s="539"/>
      <c r="F51" s="540"/>
      <c r="G51" s="545"/>
      <c r="H51" s="675"/>
      <c r="I51" s="679"/>
      <c r="J51" s="677"/>
      <c r="K51" s="677"/>
      <c r="L51" s="678"/>
      <c r="M51" s="4">
        <v>2</v>
      </c>
      <c r="N51" s="686" t="s">
        <v>171</v>
      </c>
      <c r="O51" s="687"/>
      <c r="P51" s="688"/>
      <c r="Q51" s="131">
        <v>44314</v>
      </c>
      <c r="R51" s="4" t="s">
        <v>56</v>
      </c>
      <c r="S51" s="4">
        <v>3</v>
      </c>
      <c r="T51" s="692">
        <f>+Q49</f>
        <v>45118</v>
      </c>
      <c r="U51" s="693"/>
      <c r="V51" s="694"/>
      <c r="W51" s="4" t="s">
        <v>58</v>
      </c>
    </row>
    <row r="52" spans="1:24" ht="20.100000000000001" customHeight="1" x14ac:dyDescent="0.25">
      <c r="B52" s="541"/>
      <c r="C52" s="539"/>
      <c r="D52" s="539"/>
      <c r="E52" s="539"/>
      <c r="F52" s="540"/>
      <c r="G52" s="545"/>
      <c r="H52" s="675"/>
      <c r="I52" s="679"/>
      <c r="J52" s="677"/>
      <c r="K52" s="677"/>
      <c r="L52" s="678"/>
      <c r="M52" s="4">
        <v>1</v>
      </c>
      <c r="N52" s="686" t="s">
        <v>170</v>
      </c>
      <c r="O52" s="687"/>
      <c r="P52" s="688"/>
      <c r="Q52" s="131">
        <v>44147</v>
      </c>
      <c r="R52" s="4" t="s">
        <v>56</v>
      </c>
      <c r="S52" s="4">
        <v>2</v>
      </c>
      <c r="T52" s="692">
        <v>44702</v>
      </c>
      <c r="U52" s="693"/>
      <c r="V52" s="694"/>
      <c r="W52" s="4" t="s">
        <v>174</v>
      </c>
    </row>
    <row r="53" spans="1:24" ht="20.100000000000001" customHeight="1" x14ac:dyDescent="0.25">
      <c r="B53" s="541"/>
      <c r="C53" s="539"/>
      <c r="D53" s="539"/>
      <c r="E53" s="539"/>
      <c r="F53" s="540"/>
      <c r="G53" s="545"/>
      <c r="H53" s="675"/>
      <c r="I53" s="679"/>
      <c r="J53" s="677"/>
      <c r="K53" s="677"/>
      <c r="L53" s="678"/>
      <c r="M53" s="4">
        <v>0</v>
      </c>
      <c r="N53" s="686" t="s">
        <v>113</v>
      </c>
      <c r="O53" s="687"/>
      <c r="P53" s="688"/>
      <c r="Q53" s="131">
        <v>45113</v>
      </c>
      <c r="R53" s="4" t="s">
        <v>173</v>
      </c>
      <c r="S53" s="4">
        <v>1</v>
      </c>
      <c r="T53" s="692">
        <v>44314</v>
      </c>
      <c r="U53" s="693"/>
      <c r="V53" s="694"/>
      <c r="W53" s="4" t="s">
        <v>58</v>
      </c>
    </row>
    <row r="54" spans="1:24" s="3" customFormat="1" ht="20.100000000000001" customHeight="1" x14ac:dyDescent="0.25">
      <c r="B54" s="542"/>
      <c r="C54" s="543"/>
      <c r="D54" s="543"/>
      <c r="E54" s="543"/>
      <c r="F54" s="544"/>
      <c r="G54" s="546"/>
      <c r="H54" s="676"/>
      <c r="I54" s="680"/>
      <c r="J54" s="681"/>
      <c r="K54" s="681"/>
      <c r="L54" s="682"/>
      <c r="M54" s="18" t="s">
        <v>112</v>
      </c>
      <c r="N54" s="672" t="s">
        <v>111</v>
      </c>
      <c r="O54" s="673"/>
      <c r="P54" s="674"/>
      <c r="Q54" s="132" t="s">
        <v>5</v>
      </c>
      <c r="R54" s="18" t="s">
        <v>108</v>
      </c>
      <c r="S54" s="18" t="s">
        <v>109</v>
      </c>
      <c r="T54" s="413" t="s">
        <v>110</v>
      </c>
      <c r="U54" s="414"/>
      <c r="V54" s="415"/>
      <c r="W54" s="18" t="s">
        <v>108</v>
      </c>
    </row>
    <row r="55" spans="1:24" s="13" customFormat="1" ht="16.5" thickBot="1" x14ac:dyDescent="0.3">
      <c r="A55" s="86"/>
      <c r="B55" s="86"/>
      <c r="C55" s="87"/>
      <c r="D55" s="87"/>
      <c r="E55" s="87"/>
      <c r="F55" s="87"/>
      <c r="G55" s="86"/>
      <c r="H55" s="86"/>
      <c r="I55" s="86"/>
      <c r="J55" s="86"/>
      <c r="K55" s="86"/>
      <c r="L55" s="86"/>
      <c r="M55" s="86"/>
      <c r="N55" s="86"/>
      <c r="O55" s="86"/>
      <c r="P55" s="86"/>
      <c r="Q55" s="86"/>
      <c r="R55" s="86"/>
      <c r="S55" s="86"/>
      <c r="T55" s="86"/>
      <c r="U55" s="86"/>
      <c r="V55" s="86"/>
      <c r="W55" s="86"/>
      <c r="X55" s="86"/>
    </row>
    <row r="56" spans="1:24" ht="15.75" thickTop="1" x14ac:dyDescent="0.25">
      <c r="W56" s="101"/>
    </row>
  </sheetData>
  <mergeCells count="77">
    <mergeCell ref="S26:V26"/>
    <mergeCell ref="B37:R43"/>
    <mergeCell ref="L35:V35"/>
    <mergeCell ref="T37:V39"/>
    <mergeCell ref="T40:V43"/>
    <mergeCell ref="O28:P28"/>
    <mergeCell ref="O30:P30"/>
    <mergeCell ref="L33:M33"/>
    <mergeCell ref="L32:M32"/>
    <mergeCell ref="B25:K30"/>
    <mergeCell ref="O26:P26"/>
    <mergeCell ref="Q26:R26"/>
    <mergeCell ref="S34:V34"/>
    <mergeCell ref="T33:V33"/>
    <mergeCell ref="T32:V32"/>
    <mergeCell ref="T31:V31"/>
    <mergeCell ref="Q27:R30"/>
    <mergeCell ref="B34:K34"/>
    <mergeCell ref="L34:N34"/>
    <mergeCell ref="O34:P34"/>
    <mergeCell ref="Q34:R34"/>
    <mergeCell ref="H32:K32"/>
    <mergeCell ref="C31:F31"/>
    <mergeCell ref="S27:V30"/>
    <mergeCell ref="B35:K35"/>
    <mergeCell ref="T54:V54"/>
    <mergeCell ref="N54:P54"/>
    <mergeCell ref="B49:F54"/>
    <mergeCell ref="G49:H54"/>
    <mergeCell ref="I49:L54"/>
    <mergeCell ref="N49:P49"/>
    <mergeCell ref="N50:P50"/>
    <mergeCell ref="N51:P51"/>
    <mergeCell ref="N52:P52"/>
    <mergeCell ref="N53:P53"/>
    <mergeCell ref="T49:V49"/>
    <mergeCell ref="T50:V50"/>
    <mergeCell ref="T52:V52"/>
    <mergeCell ref="T53:V53"/>
    <mergeCell ref="T51:V51"/>
    <mergeCell ref="S25:V25"/>
    <mergeCell ref="O25:R25"/>
    <mergeCell ref="P16:P18"/>
    <mergeCell ref="T16:U18"/>
    <mergeCell ref="S16:S18"/>
    <mergeCell ref="R16:R18"/>
    <mergeCell ref="Q16:Q18"/>
    <mergeCell ref="S19:S20"/>
    <mergeCell ref="T19:U20"/>
    <mergeCell ref="R19:R20"/>
    <mergeCell ref="V2:W2"/>
    <mergeCell ref="V6:W6"/>
    <mergeCell ref="T6:U6"/>
    <mergeCell ref="T2:U2"/>
    <mergeCell ref="W15:W18"/>
    <mergeCell ref="T15:U15"/>
    <mergeCell ref="D20:E20"/>
    <mergeCell ref="G20:H20"/>
    <mergeCell ref="I20:J20"/>
    <mergeCell ref="K20:L20"/>
    <mergeCell ref="M20:O20"/>
    <mergeCell ref="L25:N25"/>
    <mergeCell ref="H31:K31"/>
    <mergeCell ref="L31:M31"/>
    <mergeCell ref="B3:K6"/>
    <mergeCell ref="R3:W5"/>
    <mergeCell ref="D19:E19"/>
    <mergeCell ref="G19:H19"/>
    <mergeCell ref="I19:J19"/>
    <mergeCell ref="K19:L19"/>
    <mergeCell ref="M19:O19"/>
    <mergeCell ref="M15:O18"/>
    <mergeCell ref="B15:B18"/>
    <mergeCell ref="C15:F18"/>
    <mergeCell ref="G15:H18"/>
    <mergeCell ref="I15:J18"/>
    <mergeCell ref="K15:L18"/>
  </mergeCells>
  <printOptions horizontalCentered="1"/>
  <pageMargins left="0" right="0" top="1" bottom="0" header="1" footer="0"/>
  <pageSetup paperSize="9" scale="4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TAHAP 1</vt:lpstr>
      <vt:lpstr>TAPAH 2.2 (Rincian)</vt:lpstr>
      <vt:lpstr>TAHAP 2.1 (SPD)</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GA-12</cp:lastModifiedBy>
  <cp:lastPrinted>2023-11-25T03:25:20Z</cp:lastPrinted>
  <dcterms:created xsi:type="dcterms:W3CDTF">2023-06-18T02:33:15Z</dcterms:created>
  <dcterms:modified xsi:type="dcterms:W3CDTF">2024-09-13T09:18:41Z</dcterms:modified>
</cp:coreProperties>
</file>