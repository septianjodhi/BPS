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P:\GA\GA-03- MIKI\2. PERJALANAN DINAS\DOMESTIC\1. PERHITUNGAN SPD\24.08 Agustus\"/>
    </mc:Choice>
  </mc:AlternateContent>
  <bookViews>
    <workbookView xWindow="0" yWindow="0" windowWidth="21600" windowHeight="9480" tabRatio="761" activeTab="2"/>
  </bookViews>
  <sheets>
    <sheet name="TAHAP 1" sheetId="5" r:id="rId1"/>
    <sheet name="TAHAP 2.2 (Rincian)" sheetId="15" r:id="rId2"/>
    <sheet name="TAHAP 2.1 (SPD)" sheetId="16" r:id="rId3"/>
    <sheet name="Sheet1" sheetId="18" r:id="rId4"/>
  </sheets>
  <definedNames>
    <definedName name="_xlnm.Print_Area" localSheetId="0">'TAHAP 1'!$A$1:$V$80</definedName>
    <definedName name="_xlnm.Print_Area" localSheetId="2">'TAHAP 2.1 (SPD)'!$A$1:$W$56</definedName>
    <definedName name="_xlnm.Print_Area" localSheetId="1">'TAHAP 2.2 (Rincian)'!$A$1:$O$79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0" i="5" l="1"/>
  <c r="G79" i="16"/>
  <c r="G78" i="16"/>
  <c r="G77" i="16"/>
  <c r="I10" i="16"/>
  <c r="E26" i="5"/>
  <c r="E23" i="15"/>
  <c r="S28" i="16" a="1"/>
  <c r="S28" i="16" s="1"/>
  <c r="D71" i="15"/>
  <c r="H25" i="15"/>
  <c r="H24" i="15"/>
  <c r="H23" i="15"/>
  <c r="G23" i="15"/>
  <c r="E25" i="15"/>
  <c r="I25" i="15" s="1"/>
  <c r="E24" i="15"/>
  <c r="I24" i="15" s="1"/>
  <c r="B23" i="15"/>
  <c r="B24" i="15" s="1"/>
  <c r="B25" i="15" s="1"/>
  <c r="H22" i="15"/>
  <c r="F22" i="15"/>
  <c r="E22" i="15"/>
  <c r="I23" i="15" l="1"/>
  <c r="I26" i="15" s="1"/>
  <c r="G29" i="15" s="1"/>
  <c r="L33" i="16" s="1"/>
  <c r="L34" i="16" s="1"/>
  <c r="H53" i="15"/>
  <c r="B29" i="15"/>
  <c r="F25" i="5"/>
  <c r="C25" i="5"/>
  <c r="K19" i="16"/>
  <c r="B71" i="15" l="1"/>
  <c r="C33" i="16"/>
  <c r="O33" i="16"/>
  <c r="G71" i="15"/>
  <c r="B33" i="16" l="1"/>
  <c r="F19" i="16"/>
  <c r="C19" i="16"/>
  <c r="G57" i="15" l="1"/>
  <c r="R64" i="5" l="1"/>
  <c r="R67" i="5" l="1"/>
  <c r="H71" i="15" l="1"/>
  <c r="S33" i="16" s="1"/>
  <c r="F67" i="15" l="1"/>
  <c r="S26" i="16" s="1"/>
  <c r="B66" i="15" l="1"/>
  <c r="D66" i="15"/>
  <c r="S34" i="16" l="1"/>
  <c r="G33" i="16" l="1"/>
  <c r="I9" i="16" l="1"/>
  <c r="H51" i="15" l="1"/>
  <c r="H52" i="15"/>
  <c r="H55" i="15"/>
  <c r="H56" i="15"/>
  <c r="H58" i="15"/>
  <c r="H47" i="15"/>
  <c r="H54" i="15"/>
  <c r="M19" i="16"/>
  <c r="AB19" i="16" s="1"/>
  <c r="AA19" i="16"/>
  <c r="I19" i="16"/>
  <c r="Z19" i="16" s="1"/>
  <c r="G19" i="16"/>
  <c r="Y19" i="16" s="1"/>
  <c r="H59" i="15" l="1"/>
  <c r="H61" i="15" s="1"/>
  <c r="R72" i="5"/>
  <c r="R71" i="5"/>
  <c r="R70" i="5"/>
  <c r="R69" i="5"/>
  <c r="R66" i="5"/>
  <c r="R65" i="5"/>
  <c r="Q29" i="15" l="1"/>
  <c r="Q34" i="16"/>
  <c r="O34" i="16"/>
  <c r="G30" i="15"/>
  <c r="T52" i="16"/>
  <c r="E8" i="15"/>
  <c r="N76" i="15"/>
  <c r="L35" i="16" l="1"/>
  <c r="V28" i="16"/>
  <c r="U28" i="16"/>
  <c r="T28"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<sst xmlns="http://schemas.openxmlformats.org/spreadsheetml/2006/main" count="477" uniqueCount="249">
  <si>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</si>
  <si>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</si>
  <si>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</si>
  <si>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</si>
  <si>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</si>
  <si>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</si>
  <si>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</si>
  <si>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</si>
  <si>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</si>
  <si>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</si>
  <si>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</si>
  <si>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</si>
  <si>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</si>
  <si>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</si>
  <si>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</si>
  <si>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</si>
  <si>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</si>
  <si>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</si>
  <si>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</si>
  <si>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</si>
  <si>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</si>
  <si>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</si>
  <si>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</si>
  <si>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</si>
  <si>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</si>
  <si>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</si>
  <si>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</si>
  <si>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</si>
  <si>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</si>
  <si>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</si>
  <si>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</si>
  <si>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</si>
  <si>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</si>
  <si>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</si>
  <si>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</si>
  <si>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</si>
  <si>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</si>
  <si>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</si>
  <si>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</si>
  <si>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</si>
  <si>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</si>
  <si>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</si>
  <si>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</si>
  <si>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</si>
  <si>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</si>
  <si>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</si>
  <si>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</si>
  <si>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</si>
  <si>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</si>
  <si>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</si>
  <si>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</si>
  <si>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</si>
  <si>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</si>
  <si>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</si>
  <si>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</si>
  <si>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</si>
  <si>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</si>
  <si>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</si>
  <si>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</si>
  <si>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</si>
  <si>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</si>
  <si>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</si>
  <si>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</si>
  <si>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</si>
  <si>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</si>
  <si>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</si>
  <si>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</si>
  <si>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</si>
  <si>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</si>
  <si>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</si>
  <si>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</si>
  <si>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</si>
  <si>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</si>
  <si>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</si>
  <si>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</si>
  <si>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</si>
  <si>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</si>
  <si>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</si>
  <si>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</si>
  <si>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</si>
  <si>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</si>
  <si>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</si>
  <si>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</si>
  <si>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</si>
  <si>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</si>
  <si>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</si>
  <si>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</si>
  <si>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</si>
  <si>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</si>
  <si>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</si>
  <si>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</si>
  <si>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</si>
  <si>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</si>
  <si>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</si>
  <si>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</si>
  <si>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</si>
  <si>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</si>
  <si>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</si>
  <si>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</si>
  <si>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</si>
  <si>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</si>
  <si>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</si>
  <si>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</si>
  <si>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</si>
  <si>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</si>
  <si>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</si>
  <si>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</si>
  <si>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</si>
  <si>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</si>
  <si>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</si>
  <si>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</si>
  <si>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</si>
  <si>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</si>
  <si>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</si>
  <si>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</si>
  <si>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</si>
  <si>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</si>
  <si>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Name :</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</si>
  <si>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</si>
  <si>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</si>
  <si>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</si>
  <si>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</si>
  <si>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</si>
  <si>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</si>
  <si>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</si>
  <si>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</si>
  <si>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</si>
  <si>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</si>
  <si>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</si>
  <si>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</si>
  <si>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</si>
  <si>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</si>
  <si>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</si>
  <si>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</si>
  <si>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</si>
  <si>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</si>
  <si>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</si>
  <si>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</si>
  <si>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</si>
  <si>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</si>
  <si>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</si>
  <si>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</si>
  <si>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</si>
  <si>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</si>
  <si>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</si>
  <si>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</si>
  <si>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</si>
  <si>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</si>
  <si>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</si>
  <si>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</si>
  <si>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</si>
  <si>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</si>
  <si>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</si>
  <si>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</si>
  <si>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</si>
  <si>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</si>
  <si>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</si>
  <si>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</si>
  <si>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</si>
  <si>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</si>
  <si>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</si>
  <si>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</si>
  <si>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</si>
  <si>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</si>
  <si>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</si>
  <si>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</si>
  <si>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</si>
  <si>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</si>
  <si>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</si>
  <si>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</si>
  <si>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</si>
  <si>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</si>
  <si>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</si>
  <si>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</si>
  <si>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</si>
  <si>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</si>
  <si>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</si>
  <si>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</si>
  <si>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</si>
  <si>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</si>
  <si>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</si>
  <si>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</si>
  <si>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</si>
  <si>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</si>
  <si>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</si>
  <si>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</si>
  <si>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</si>
  <si>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</si>
  <si>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</si>
  <si>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</si>
  <si>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</si>
  <si>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</si>
  <si>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</si>
  <si>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</si>
  <si>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</si>
  <si>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</si>
  <si>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</si>
  <si>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</si>
  <si>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</si>
  <si>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</si>
  <si>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</si>
  <si>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</si>
  <si>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</si>
  <si>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</si>
  <si>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</si>
  <si>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</si>
  <si>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</si>
  <si>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</si>
  <si>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</si>
  <si>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</si>
  <si>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</si>
  <si>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</si>
  <si>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</si>
  <si>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</si>
  <si>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</si>
  <si>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</si>
  <si>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</si>
  <si>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</si>
  <si>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</si>
  <si>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</si>
  <si>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di Hotel</t>
  </si>
  <si>
    <t>Yes</t>
  </si>
  <si>
    <t>2.2 MOBIL / LOCAL TRANSPORT</t>
  </si>
  <si>
    <t>di JAI</t>
  </si>
  <si>
    <t>di Rumah</t>
  </si>
  <si>
    <t>KERETA</t>
  </si>
  <si>
    <t>Deluxe</t>
  </si>
  <si>
    <t>NKA</t>
  </si>
  <si>
    <t>SCHEDULE</t>
  </si>
  <si>
    <t>BY : KERETA</t>
  </si>
  <si>
    <t>UANG CADANGAN</t>
  </si>
  <si>
    <t>* Laundry : 100.000/day</t>
  </si>
  <si>
    <t>* Lokal Transport : 200.000/orang</t>
  </si>
  <si>
    <t>: SAI - JAI</t>
  </si>
  <si>
    <t>PE / MANAGEMENT</t>
  </si>
  <si>
    <t>SENIOR MANAGER</t>
  </si>
  <si>
    <t>TORU YAMAMOTO</t>
  </si>
  <si>
    <t>AGUS NUGROHO</t>
  </si>
  <si>
    <t>BONIR ARIO TUBAGUS</t>
  </si>
  <si>
    <t>NUR FARID</t>
  </si>
  <si>
    <r>
      <t xml:space="preserve">Fairfield by Marriott Surabaya
</t>
    </r>
    <r>
      <rPr>
        <sz val="12"/>
        <color rgb="FF0000CC"/>
        <rFont val="Calibri"/>
        <family val="2"/>
        <scheme val="minor"/>
      </rPr>
      <t>Jl. Mayjen Sungkono No. 178, Dukuh Kupang, Kec. Dukuhpakis, Surabaya, Jawa Timur 60225</t>
    </r>
  </si>
  <si>
    <t>MIS</t>
  </si>
  <si>
    <t>Fairfield by Marriott Surabaya</t>
  </si>
  <si>
    <t>Jl. Mayjen Sungkono No. 178, Dukuh Kupang, Kec. Dukuhpakis, Surabaya, Jawa Timur 60225</t>
  </si>
  <si>
    <t>Innova Zenix</t>
  </si>
  <si>
    <t>: MAINTEE &amp; ENG MEETING TERM 84</t>
  </si>
  <si>
    <t>INNOVA</t>
  </si>
  <si>
    <t>KENTA KATO</t>
  </si>
  <si>
    <t>KKA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</si>
</sst>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6"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
      <sz val="10"/>
      <color rgb="FF0000CC"/>
      <name val="Times New Roman"/>
      <family val="1"/>
    </font>
    <font>
      <sz val="12"/>
      <name val="Calibri"/>
      <family val="2"/>
      <scheme val="minor"/>
    </font>
    <font>
      <sz val="11"/>
      <color rgb="FF0000CC"/>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75">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15"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0"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1" fillId="0" borderId="13" xfId="0" quotePrefix="1" applyFont="1" applyBorder="1" applyAlignment="1">
      <alignment horizontal="left"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29"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29" fillId="2" borderId="1" xfId="1" applyNumberFormat="1" applyFont="1" applyFill="1" applyBorder="1" applyAlignment="1">
      <alignment horizontal="center" vertical="center"/>
    </xf>
    <xf numFmtId="165" fontId="29" fillId="2" borderId="3" xfId="1" applyNumberFormat="1" applyFont="1" applyFill="1" applyBorder="1" applyAlignment="1">
      <alignment horizontal="center" vertical="center"/>
    </xf>
    <xf numFmtId="169" fontId="34"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165" fontId="35" fillId="0" borderId="1" xfId="1" applyNumberFormat="1" applyFont="1" applyBorder="1" applyAlignment="1">
      <alignment vertical="center"/>
    </xf>
    <xf numFmtId="165" fontId="35" fillId="0" borderId="3" xfId="1" applyNumberFormat="1" applyFont="1" applyBorder="1" applyAlignment="1">
      <alignment vertical="center"/>
    </xf>
    <xf numFmtId="165" fontId="35" fillId="0" borderId="3" xfId="1" applyNumberFormat="1" applyFont="1" applyBorder="1" applyAlignment="1">
      <alignment horizontal="center" vertical="center"/>
    </xf>
    <xf numFmtId="165" fontId="36" fillId="0" borderId="4" xfId="0" applyNumberFormat="1" applyFont="1" applyBorder="1" applyAlignment="1">
      <alignment vertical="center"/>
    </xf>
    <xf numFmtId="0" fontId="35" fillId="0" borderId="1" xfId="0" applyFont="1" applyBorder="1" applyAlignment="1">
      <alignment horizontal="center" vertical="center"/>
    </xf>
    <xf numFmtId="165" fontId="36" fillId="0" borderId="39" xfId="0" applyNumberFormat="1" applyFont="1" applyBorder="1" applyAlignment="1">
      <alignment vertical="center"/>
    </xf>
    <xf numFmtId="165" fontId="36" fillId="0" borderId="6" xfId="1" applyNumberFormat="1" applyFont="1" applyBorder="1" applyAlignment="1">
      <alignment vertical="center"/>
    </xf>
    <xf numFmtId="165" fontId="35"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0" fontId="35" fillId="0" borderId="1" xfId="0" applyFont="1" applyBorder="1" applyAlignment="1">
      <alignment horizontal="center" vertical="center" wrapText="1"/>
    </xf>
    <xf numFmtId="165" fontId="36"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5" fillId="0" borderId="11" xfId="1" applyNumberFormat="1" applyFont="1" applyBorder="1" applyAlignment="1">
      <alignment vertical="center"/>
    </xf>
    <xf numFmtId="165"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5" fillId="0" borderId="8" xfId="1" applyNumberFormat="1" applyFont="1" applyBorder="1" applyAlignment="1">
      <alignment vertical="center"/>
    </xf>
    <xf numFmtId="165" fontId="35" fillId="0" borderId="8" xfId="1" applyNumberFormat="1" applyFont="1" applyBorder="1" applyAlignment="1">
      <alignment horizontal="center" vertical="center"/>
    </xf>
    <xf numFmtId="165"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167" fontId="48" fillId="0" borderId="3" xfId="0" applyNumberFormat="1" applyFont="1" applyBorder="1" applyAlignment="1">
      <alignment horizontal="center"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53" fillId="0" borderId="0" xfId="0" applyFont="1" applyAlignment="1">
      <alignment horizontal="center" vertical="center"/>
    </xf>
    <xf numFmtId="0" fontId="52" fillId="0" borderId="1" xfId="0" applyFont="1" applyBorder="1" applyAlignment="1">
      <alignment horizontal="center" vertical="center" wrapText="1"/>
    </xf>
    <xf numFmtId="0" fontId="52" fillId="0" borderId="3" xfId="0" applyFont="1" applyBorder="1" applyAlignment="1">
      <alignment vertical="center"/>
    </xf>
    <xf numFmtId="0" fontId="52" fillId="0" borderId="2" xfId="0" applyFont="1" applyBorder="1" applyAlignment="1">
      <alignment vertical="center"/>
    </xf>
    <xf numFmtId="0" fontId="52" fillId="0" borderId="4" xfId="0" applyFont="1" applyBorder="1" applyAlignment="1">
      <alignment vertical="center"/>
    </xf>
    <xf numFmtId="169" fontId="54" fillId="0" borderId="1" xfId="0" applyNumberFormat="1" applyFont="1" applyBorder="1" applyAlignment="1">
      <alignment vertical="center" wrapText="1"/>
    </xf>
    <xf numFmtId="0" fontId="37" fillId="0" borderId="16" xfId="0" applyFont="1" applyBorder="1" applyAlignment="1">
      <alignment vertical="center"/>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5" fillId="0" borderId="25"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29" xfId="0" applyFont="1" applyBorder="1"/>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7" xfId="0" applyFont="1" applyBorder="1" applyAlignment="1">
      <alignment horizontal="left" vertical="center"/>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0" fontId="23" fillId="0" borderId="6" xfId="0" applyFont="1" applyBorder="1" applyAlignment="1">
      <alignment horizontal="center" vertical="center"/>
    </xf>
    <xf numFmtId="165" fontId="35" fillId="0" borderId="19" xfId="1" applyNumberFormat="1" applyFont="1" applyBorder="1" applyAlignment="1">
      <alignment horizontal="center" vertical="center"/>
    </xf>
    <xf numFmtId="165" fontId="35"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7" fillId="7" borderId="13" xfId="0" applyFont="1" applyFill="1" applyBorder="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2" fillId="8" borderId="1" xfId="0" applyFont="1" applyFill="1" applyBorder="1" applyAlignment="1">
      <alignment vertical="center" wrapText="1"/>
    </xf>
    <xf numFmtId="165" fontId="35" fillId="0" borderId="1" xfId="1" applyNumberFormat="1" applyFont="1" applyBorder="1" applyAlignment="1">
      <alignment horizontal="center" vertical="center"/>
    </xf>
    <xf numFmtId="20" fontId="23" fillId="0" borderId="0" xfId="0" applyNumberFormat="1" applyFont="1" applyAlignment="1">
      <alignment vertical="center"/>
    </xf>
    <xf numFmtId="166" fontId="52" fillId="7" borderId="13" xfId="0" applyNumberFormat="1" applyFont="1" applyFill="1" applyBorder="1" applyAlignment="1">
      <alignment horizontal="right" vertical="top" wrapText="1"/>
    </xf>
    <xf numFmtId="166" fontId="52" fillId="7" borderId="16" xfId="0" applyNumberFormat="1" applyFont="1" applyFill="1" applyBorder="1" applyAlignment="1">
      <alignment horizontal="left" vertical="top" wrapText="1"/>
    </xf>
    <xf numFmtId="165" fontId="5" fillId="0" borderId="0" xfId="0" applyNumberFormat="1" applyFont="1" applyAlignment="1">
      <alignment horizontal="left" vertical="center"/>
    </xf>
    <xf numFmtId="165" fontId="36" fillId="0" borderId="39" xfId="0" applyNumberFormat="1" applyFont="1" applyFill="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23" fillId="6" borderId="0" xfId="0" applyFont="1" applyFill="1" applyAlignment="1">
      <alignment horizontal="center" vertical="center"/>
    </xf>
    <xf numFmtId="0" fontId="62" fillId="8" borderId="1" xfId="0" applyFont="1" applyFill="1" applyBorder="1" applyAlignment="1">
      <alignment horizontal="center"/>
    </xf>
    <xf numFmtId="172" fontId="54" fillId="0" borderId="1" xfId="0" applyNumberFormat="1" applyFont="1" applyBorder="1" applyAlignment="1">
      <alignment vertical="center" wrapText="1"/>
    </xf>
    <xf numFmtId="0" fontId="50" fillId="0" borderId="1" xfId="0" applyFont="1" applyBorder="1" applyAlignment="1">
      <alignment horizontal="center" vertical="center"/>
    </xf>
    <xf numFmtId="0" fontId="37" fillId="7" borderId="0" xfId="0" applyFont="1" applyFill="1" applyBorder="1" applyAlignment="1">
      <alignment vertical="top" wrapText="1"/>
    </xf>
    <xf numFmtId="0" fontId="44" fillId="7" borderId="5" xfId="0" applyFont="1" applyFill="1" applyBorder="1" applyAlignment="1">
      <alignment horizontal="center" vertical="top" wrapText="1"/>
    </xf>
    <xf numFmtId="0" fontId="52" fillId="7" borderId="13" xfId="0" applyFont="1" applyFill="1" applyBorder="1" applyAlignment="1">
      <alignment vertical="top" wrapText="1"/>
    </xf>
    <xf numFmtId="0" fontId="52" fillId="7" borderId="0" xfId="0" applyFont="1" applyFill="1" applyBorder="1" applyAlignment="1">
      <alignment vertical="top" wrapText="1"/>
    </xf>
    <xf numFmtId="0" fontId="52" fillId="7" borderId="16" xfId="0" applyFont="1" applyFill="1" applyBorder="1" applyAlignment="1">
      <alignment vertical="top" wrapText="1"/>
    </xf>
    <xf numFmtId="0" fontId="52" fillId="7" borderId="10" xfId="0" applyFont="1" applyFill="1" applyBorder="1" applyAlignment="1">
      <alignment vertical="top" wrapText="1"/>
    </xf>
    <xf numFmtId="0" fontId="52" fillId="7" borderId="11" xfId="0" applyFont="1" applyFill="1" applyBorder="1" applyAlignment="1">
      <alignment vertical="top" wrapText="1"/>
    </xf>
    <xf numFmtId="0" fontId="52" fillId="7" borderId="12" xfId="0" applyFont="1" applyFill="1" applyBorder="1" applyAlignment="1">
      <alignment vertical="top" wrapText="1"/>
    </xf>
    <xf numFmtId="16" fontId="52" fillId="8" borderId="1" xfId="0" applyNumberFormat="1" applyFont="1" applyFill="1" applyBorder="1" applyAlignment="1">
      <alignment horizontal="center" vertical="center" wrapText="1"/>
    </xf>
    <xf numFmtId="0" fontId="37" fillId="7" borderId="1" xfId="0" applyFont="1" applyFill="1" applyBorder="1" applyAlignment="1">
      <alignment horizontal="center" vertical="top" wrapText="1"/>
    </xf>
    <xf numFmtId="0" fontId="44" fillId="7" borderId="1"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16" xfId="0" applyFont="1" applyFill="1" applyBorder="1" applyAlignment="1">
      <alignment horizontal="center" vertical="top" wrapText="1"/>
    </xf>
    <xf numFmtId="0" fontId="37" fillId="7" borderId="0" xfId="0" applyFont="1" applyFill="1" applyBorder="1" applyAlignment="1">
      <alignment horizontal="center" vertical="top" wrapText="1"/>
    </xf>
    <xf numFmtId="171" fontId="48" fillId="0" borderId="2" xfId="0" applyNumberFormat="1" applyFont="1" applyBorder="1" applyAlignment="1">
      <alignment horizontal="center" vertical="center"/>
    </xf>
    <xf numFmtId="0" fontId="38" fillId="7" borderId="13" xfId="0" applyFont="1" applyFill="1" applyBorder="1" applyAlignment="1">
      <alignment vertical="top" wrapText="1"/>
    </xf>
    <xf numFmtId="0" fontId="38" fillId="7" borderId="16" xfId="0" applyFont="1" applyFill="1" applyBorder="1" applyAlignment="1">
      <alignment vertical="top" wrapText="1"/>
    </xf>
    <xf numFmtId="0" fontId="38" fillId="7" borderId="10" xfId="0" applyFont="1" applyFill="1" applyBorder="1" applyAlignment="1">
      <alignment vertical="top" wrapText="1"/>
    </xf>
    <xf numFmtId="0" fontId="38" fillId="7" borderId="12" xfId="0" applyFont="1" applyFill="1" applyBorder="1" applyAlignment="1">
      <alignment vertical="top" wrapText="1"/>
    </xf>
    <xf numFmtId="0" fontId="5" fillId="0" borderId="0" xfId="0" applyFont="1" applyAlignment="1">
      <alignment horizontal="center" vertical="center"/>
    </xf>
    <xf numFmtId="0" fontId="5" fillId="0" borderId="16" xfId="0" applyFont="1" applyBorder="1" applyAlignment="1">
      <alignment horizontal="center" vertical="center"/>
    </xf>
    <xf numFmtId="0" fontId="4" fillId="0" borderId="1" xfId="0" applyFont="1" applyBorder="1" applyAlignment="1">
      <alignment horizontal="center" vertical="center"/>
    </xf>
    <xf numFmtId="0" fontId="5" fillId="7" borderId="1" xfId="0" applyFont="1" applyFill="1" applyBorder="1" applyAlignment="1">
      <alignment horizontal="center" vertical="center"/>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20" fontId="4" fillId="0" borderId="3" xfId="0" applyNumberFormat="1" applyFont="1" applyBorder="1" applyAlignment="1">
      <alignment horizontal="center" vertical="center"/>
    </xf>
    <xf numFmtId="0" fontId="62" fillId="8" borderId="1" xfId="0" quotePrefix="1" applyFont="1" applyFill="1" applyBorder="1" applyAlignment="1">
      <alignment horizontal="center"/>
    </xf>
    <xf numFmtId="0" fontId="35" fillId="0" borderId="3" xfId="0" applyFont="1" applyBorder="1" applyAlignment="1">
      <alignment vertical="center"/>
    </xf>
    <xf numFmtId="0" fontId="35" fillId="0" borderId="2" xfId="0" applyFont="1" applyBorder="1" applyAlignment="1">
      <alignment vertical="center"/>
    </xf>
    <xf numFmtId="0" fontId="35" fillId="0" borderId="4" xfId="0" applyFont="1" applyBorder="1" applyAlignment="1">
      <alignment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15" fillId="4" borderId="0" xfId="0" applyFont="1" applyFill="1" applyAlignment="1">
      <alignment horizontal="center" vertical="top"/>
    </xf>
    <xf numFmtId="0" fontId="23" fillId="0" borderId="0" xfId="0" applyFont="1" applyAlignment="1">
      <alignment horizontal="center" vertical="center"/>
    </xf>
    <xf numFmtId="165" fontId="23" fillId="0" borderId="0" xfId="0" applyNumberFormat="1" applyFont="1" applyAlignment="1">
      <alignment horizontal="center" vertical="center"/>
    </xf>
    <xf numFmtId="0" fontId="52" fillId="8" borderId="1" xfId="0" applyFont="1" applyFill="1" applyBorder="1" applyAlignment="1">
      <alignment horizontal="center" vertical="center" wrapText="1"/>
    </xf>
    <xf numFmtId="0" fontId="65" fillId="0" borderId="1" xfId="0" applyFont="1" applyBorder="1" applyAlignment="1">
      <alignment horizontal="center" vertical="center" wrapText="1"/>
    </xf>
    <xf numFmtId="0" fontId="65" fillId="0" borderId="1" xfId="0" applyFont="1" applyBorder="1" applyAlignment="1">
      <alignment horizontal="center" vertical="center"/>
    </xf>
    <xf numFmtId="165" fontId="65" fillId="0" borderId="1" xfId="1" applyNumberFormat="1" applyFont="1" applyFill="1" applyBorder="1" applyAlignment="1">
      <alignment horizontal="center" vertical="center"/>
    </xf>
    <xf numFmtId="0" fontId="24" fillId="0" borderId="4" xfId="0" applyFont="1" applyBorder="1" applyAlignment="1">
      <alignment horizontal="center" vertical="center"/>
    </xf>
    <xf numFmtId="0" fontId="24" fillId="0" borderId="1"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6" fillId="5" borderId="7"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20" fontId="4" fillId="0" borderId="3" xfId="0" applyNumberFormat="1"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4" fillId="0" borderId="2" xfId="0" applyFont="1" applyBorder="1" applyAlignment="1">
      <alignment horizontal="center" vertical="center"/>
    </xf>
    <xf numFmtId="0" fontId="6"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20" fontId="4" fillId="0" borderId="4" xfId="0" applyNumberFormat="1" applyFont="1" applyBorder="1" applyAlignment="1">
      <alignment horizontal="center" vertical="center"/>
    </xf>
    <xf numFmtId="0" fontId="6" fillId="5" borderId="18"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6" fillId="0" borderId="0" xfId="0" applyFont="1" applyAlignment="1">
      <alignment horizontal="center" vertical="top"/>
    </xf>
    <xf numFmtId="164" fontId="4" fillId="0" borderId="3" xfId="0" applyNumberFormat="1" applyFont="1" applyBorder="1" applyAlignment="1">
      <alignment horizontal="center" vertical="center"/>
    </xf>
    <xf numFmtId="164" fontId="4" fillId="0" borderId="4" xfId="0" applyNumberFormat="1" applyFont="1" applyBorder="1" applyAlignment="1">
      <alignment horizontal="center" vertical="center"/>
    </xf>
    <xf numFmtId="0" fontId="24" fillId="0" borderId="3" xfId="0" applyFont="1" applyBorder="1" applyAlignment="1">
      <alignment horizontal="center" vertical="center"/>
    </xf>
    <xf numFmtId="0" fontId="6" fillId="5" borderId="5" xfId="0" applyFont="1" applyFill="1" applyBorder="1" applyAlignment="1">
      <alignment horizontal="center" vertical="center" wrapText="1"/>
    </xf>
    <xf numFmtId="0" fontId="24" fillId="0" borderId="3" xfId="0" quotePrefix="1" applyFont="1" applyBorder="1" applyAlignment="1">
      <alignment horizontal="center" vertical="center"/>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170" fontId="4" fillId="0" borderId="3" xfId="0" applyNumberFormat="1" applyFont="1" applyBorder="1" applyAlignment="1">
      <alignment horizontal="center" vertical="center"/>
    </xf>
    <xf numFmtId="170" fontId="4" fillId="0" borderId="4" xfId="0" applyNumberFormat="1" applyFont="1" applyBorder="1" applyAlignment="1">
      <alignment horizontal="center" vertical="center"/>
    </xf>
    <xf numFmtId="0" fontId="6" fillId="5" borderId="17" xfId="0" applyFont="1" applyFill="1" applyBorder="1" applyAlignment="1">
      <alignment horizontal="center" vertical="center"/>
    </xf>
    <xf numFmtId="0" fontId="6" fillId="5" borderId="48" xfId="0" applyFont="1" applyFill="1" applyBorder="1" applyAlignment="1">
      <alignment horizontal="center" vertical="center"/>
    </xf>
    <xf numFmtId="0" fontId="6" fillId="5" borderId="2"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0" fillId="3" borderId="1" xfId="0" applyFont="1" applyFill="1" applyBorder="1" applyAlignment="1">
      <alignment horizontal="center" vertical="center"/>
    </xf>
    <xf numFmtId="0" fontId="10" fillId="2" borderId="1" xfId="0" applyFont="1" applyFill="1" applyBorder="1" applyAlignment="1">
      <alignment horizontal="left" vertical="top"/>
    </xf>
    <xf numFmtId="0" fontId="10" fillId="2" borderId="1" xfId="0" applyFont="1" applyFill="1" applyBorder="1" applyAlignment="1">
      <alignment horizontal="left" vertical="top" wrapText="1"/>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10" fillId="3" borderId="3"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16" fillId="2" borderId="1" xfId="0" applyFont="1" applyFill="1" applyBorder="1" applyAlignment="1">
      <alignment horizontal="center" vertical="top"/>
    </xf>
    <xf numFmtId="0" fontId="6" fillId="5" borderId="18" xfId="0" applyFont="1" applyFill="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3" xfId="0" applyFont="1" applyBorder="1" applyAlignment="1">
      <alignment horizontal="center" vertical="center"/>
    </xf>
    <xf numFmtId="0" fontId="19" fillId="0" borderId="4" xfId="0" applyFont="1" applyBorder="1" applyAlignment="1">
      <alignment horizontal="center" vertical="center"/>
    </xf>
    <xf numFmtId="164" fontId="24" fillId="0" borderId="1" xfId="0" applyNumberFormat="1" applyFont="1" applyBorder="1" applyAlignment="1">
      <alignment horizontal="center" vertical="center"/>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4" borderId="2" xfId="0" applyFont="1" applyFill="1" applyBorder="1" applyAlignment="1">
      <alignment vertical="center"/>
    </xf>
    <xf numFmtId="0" fontId="17" fillId="4" borderId="4" xfId="0" applyFont="1" applyFill="1" applyBorder="1" applyAlignment="1">
      <alignment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7" fillId="2" borderId="4" xfId="0" applyFont="1" applyFill="1" applyBorder="1" applyAlignment="1">
      <alignment vertical="center"/>
    </xf>
    <xf numFmtId="0" fontId="17" fillId="5" borderId="1" xfId="0" applyFont="1" applyFill="1" applyBorder="1" applyAlignment="1">
      <alignment horizontal="center" vertical="center"/>
    </xf>
    <xf numFmtId="0" fontId="32" fillId="0" borderId="6" xfId="0" applyFont="1" applyBorder="1" applyAlignment="1">
      <alignment horizontal="center" vertical="center"/>
    </xf>
    <xf numFmtId="0" fontId="17" fillId="2" borderId="1" xfId="0" applyFont="1" applyFill="1" applyBorder="1" applyAlignment="1">
      <alignment horizontal="left" vertical="top"/>
    </xf>
    <xf numFmtId="0" fontId="64" fillId="0" borderId="6" xfId="0" applyFont="1" applyBorder="1" applyAlignment="1">
      <alignment vertical="center" wrapText="1"/>
    </xf>
    <xf numFmtId="0" fontId="10" fillId="3" borderId="1" xfId="0" applyFont="1" applyFill="1" applyBorder="1" applyAlignment="1">
      <alignment horizontal="center" vertical="top"/>
    </xf>
    <xf numFmtId="0" fontId="17" fillId="2" borderId="1" xfId="0" applyFont="1" applyFill="1" applyBorder="1" applyAlignment="1">
      <alignment horizontal="left" vertical="center"/>
    </xf>
    <xf numFmtId="0" fontId="64" fillId="0" borderId="6" xfId="0" applyFont="1" applyBorder="1" applyAlignment="1">
      <alignment horizontal="left" vertical="center"/>
    </xf>
    <xf numFmtId="0" fontId="10" fillId="2" borderId="1" xfId="0" applyFont="1" applyFill="1" applyBorder="1" applyAlignment="1">
      <alignment horizontal="center" vertical="top"/>
    </xf>
    <xf numFmtId="164" fontId="24" fillId="4" borderId="1" xfId="0" applyNumberFormat="1" applyFont="1" applyFill="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16" fillId="2" borderId="7" xfId="0" applyFont="1" applyFill="1" applyBorder="1" applyAlignment="1">
      <alignment horizontal="center" vertical="top"/>
    </xf>
    <xf numFmtId="0" fontId="16" fillId="2" borderId="8" xfId="0" applyFont="1" applyFill="1" applyBorder="1" applyAlignment="1">
      <alignment horizontal="center" vertical="top"/>
    </xf>
    <xf numFmtId="0" fontId="16" fillId="2" borderId="9" xfId="0" applyFont="1" applyFill="1" applyBorder="1" applyAlignment="1">
      <alignment horizontal="center" vertical="top"/>
    </xf>
    <xf numFmtId="0" fontId="16" fillId="2" borderId="13" xfId="0" applyFont="1" applyFill="1" applyBorder="1" applyAlignment="1">
      <alignment horizontal="center" vertical="top"/>
    </xf>
    <xf numFmtId="0" fontId="16" fillId="2" borderId="0" xfId="0" applyFont="1" applyFill="1" applyBorder="1" applyAlignment="1">
      <alignment horizontal="center" vertical="top"/>
    </xf>
    <xf numFmtId="0" fontId="16" fillId="2" borderId="16" xfId="0" applyFont="1" applyFill="1" applyBorder="1" applyAlignment="1">
      <alignment horizontal="center" vertical="top"/>
    </xf>
    <xf numFmtId="0" fontId="16" fillId="2" borderId="10" xfId="0" applyFont="1" applyFill="1" applyBorder="1" applyAlignment="1">
      <alignment horizontal="center" vertical="top"/>
    </xf>
    <xf numFmtId="0" fontId="16" fillId="2" borderId="11" xfId="0" applyFont="1" applyFill="1" applyBorder="1" applyAlignment="1">
      <alignment horizontal="center" vertical="top"/>
    </xf>
    <xf numFmtId="0" fontId="16" fillId="2" borderId="12" xfId="0" applyFont="1" applyFill="1" applyBorder="1" applyAlignment="1">
      <alignment horizontal="center" vertical="top"/>
    </xf>
    <xf numFmtId="0" fontId="23" fillId="0" borderId="1"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5" xfId="0" applyFont="1" applyFill="1" applyBorder="1" applyAlignment="1">
      <alignment horizontal="left" vertical="center"/>
    </xf>
    <xf numFmtId="0" fontId="27" fillId="4" borderId="46"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0" fontId="5" fillId="7" borderId="1" xfId="0" applyFont="1" applyFill="1" applyBorder="1" applyAlignment="1">
      <alignment horizontal="center" vertical="center"/>
    </xf>
    <xf numFmtId="0" fontId="5" fillId="0" borderId="6" xfId="0" applyFont="1" applyBorder="1" applyAlignment="1">
      <alignment horizontal="center" vertical="center"/>
    </xf>
    <xf numFmtId="166" fontId="23" fillId="0" borderId="1" xfId="0" applyNumberFormat="1" applyFont="1" applyBorder="1" applyAlignment="1">
      <alignment horizontal="left" vertical="center"/>
    </xf>
    <xf numFmtId="165" fontId="35" fillId="0" borderId="3" xfId="0" applyNumberFormat="1" applyFont="1" applyBorder="1" applyAlignment="1">
      <alignment horizontal="center" vertical="center"/>
    </xf>
    <xf numFmtId="165" fontId="35" fillId="0" borderId="2" xfId="0" applyNumberFormat="1" applyFont="1" applyBorder="1" applyAlignment="1">
      <alignment horizontal="center" vertical="center"/>
    </xf>
    <xf numFmtId="165" fontId="35" fillId="0" borderId="4" xfId="0" applyNumberFormat="1" applyFont="1" applyBorder="1" applyAlignment="1">
      <alignment horizontal="center"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0" fontId="4" fillId="0" borderId="1" xfId="0" applyFont="1" applyBorder="1" applyAlignment="1">
      <alignment horizontal="center"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0" borderId="38" xfId="0" applyFont="1" applyBorder="1" applyAlignment="1">
      <alignment horizontal="left" vertical="center"/>
    </xf>
    <xf numFmtId="0" fontId="5" fillId="0" borderId="44" xfId="0" applyFont="1" applyBorder="1" applyAlignment="1">
      <alignment horizontal="left" vertical="center"/>
    </xf>
    <xf numFmtId="0" fontId="5" fillId="0" borderId="39" xfId="0" applyFont="1" applyBorder="1" applyAlignment="1">
      <alignment horizontal="left"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38" xfId="0" applyFont="1" applyBorder="1" applyAlignment="1">
      <alignment horizontal="center" vertical="center"/>
    </xf>
    <xf numFmtId="0" fontId="5" fillId="0" borderId="44" xfId="0" applyFont="1" applyBorder="1" applyAlignment="1">
      <alignment horizontal="center" vertical="center"/>
    </xf>
    <xf numFmtId="0" fontId="5" fillId="0" borderId="39" xfId="0" applyFont="1" applyBorder="1" applyAlignment="1">
      <alignment horizontal="center" vertical="center"/>
    </xf>
    <xf numFmtId="0" fontId="27" fillId="4" borderId="45" xfId="0" applyFont="1" applyFill="1" applyBorder="1" applyAlignment="1">
      <alignment horizontal="left" vertical="center" wrapText="1"/>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6" fillId="0" borderId="4" xfId="0" applyNumberFormat="1" applyFont="1" applyBorder="1" applyAlignment="1">
      <alignment horizontal="left"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50" fillId="0" borderId="3" xfId="0" applyFont="1" applyBorder="1" applyAlignment="1">
      <alignment horizontal="left" vertical="center" wrapText="1"/>
    </xf>
    <xf numFmtId="0" fontId="50" fillId="0" borderId="2" xfId="0" applyFont="1" applyBorder="1" applyAlignment="1">
      <alignment horizontal="left" vertical="center" wrapText="1"/>
    </xf>
    <xf numFmtId="0" fontId="50" fillId="0" borderId="4" xfId="0" applyFont="1" applyBorder="1" applyAlignment="1">
      <alignment horizontal="left" vertical="center" wrapText="1"/>
    </xf>
    <xf numFmtId="0" fontId="62" fillId="8" borderId="7" xfId="0" applyFont="1" applyFill="1" applyBorder="1" applyAlignment="1">
      <alignment horizontal="center"/>
    </xf>
    <xf numFmtId="0" fontId="62" fillId="8" borderId="9" xfId="0" applyFont="1" applyFill="1" applyBorder="1" applyAlignment="1">
      <alignment horizontal="center"/>
    </xf>
    <xf numFmtId="0" fontId="62" fillId="8" borderId="13" xfId="0" applyFont="1" applyFill="1" applyBorder="1" applyAlignment="1">
      <alignment horizontal="center"/>
    </xf>
    <xf numFmtId="0" fontId="62" fillId="8" borderId="16" xfId="0" applyFont="1" applyFill="1" applyBorder="1" applyAlignment="1">
      <alignment horizontal="center"/>
    </xf>
    <xf numFmtId="0" fontId="62" fillId="8" borderId="10" xfId="0" applyFont="1" applyFill="1" applyBorder="1" applyAlignment="1">
      <alignment horizontal="center"/>
    </xf>
    <xf numFmtId="0" fontId="62" fillId="8" borderId="12" xfId="0" applyFont="1" applyFill="1" applyBorder="1" applyAlignment="1">
      <alignment horizontal="center"/>
    </xf>
    <xf numFmtId="0" fontId="48" fillId="0" borderId="3" xfId="0" applyFont="1" applyBorder="1" applyAlignment="1">
      <alignment horizontal="center" vertical="center" wrapText="1"/>
    </xf>
    <xf numFmtId="0" fontId="48" fillId="0" borderId="4" xfId="0" applyFont="1" applyBorder="1" applyAlignment="1">
      <alignment horizontal="center" vertical="center" wrapText="1"/>
    </xf>
    <xf numFmtId="0" fontId="49" fillId="0" borderId="2" xfId="0" applyFont="1" applyBorder="1" applyAlignment="1">
      <alignment horizontal="center" vertical="center"/>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0" xfId="0" applyFont="1" applyFill="1" applyBorder="1" applyAlignment="1">
      <alignment horizontal="center" vertical="top" wrapText="1"/>
    </xf>
    <xf numFmtId="0" fontId="37" fillId="7" borderId="16" xfId="0" applyFont="1" applyFill="1" applyBorder="1" applyAlignment="1">
      <alignment horizontal="center" vertical="top" wrapText="1"/>
    </xf>
    <xf numFmtId="0" fontId="50" fillId="0" borderId="6" xfId="0" applyFont="1" applyBorder="1" applyAlignment="1">
      <alignment horizontal="left" vertical="center" wrapText="1"/>
    </xf>
    <xf numFmtId="169" fontId="50" fillId="0" borderId="6" xfId="0" applyNumberFormat="1" applyFont="1" applyBorder="1" applyAlignment="1">
      <alignment horizontal="center" vertical="center" wrapText="1"/>
    </xf>
    <xf numFmtId="0" fontId="63" fillId="7" borderId="7" xfId="0" applyFont="1" applyFill="1" applyBorder="1" applyAlignment="1">
      <alignment horizontal="center" vertical="top" wrapText="1"/>
    </xf>
    <xf numFmtId="0" fontId="63" fillId="7" borderId="8" xfId="0" applyFont="1" applyFill="1" applyBorder="1" applyAlignment="1">
      <alignment horizontal="center" vertical="top" wrapText="1"/>
    </xf>
    <xf numFmtId="0" fontId="63" fillId="7" borderId="9" xfId="0" applyFont="1" applyFill="1" applyBorder="1" applyAlignment="1">
      <alignment horizontal="center" vertical="top" wrapText="1"/>
    </xf>
    <xf numFmtId="0" fontId="63" fillId="7" borderId="13" xfId="0" applyFont="1" applyFill="1" applyBorder="1" applyAlignment="1">
      <alignment horizontal="center" vertical="top" wrapText="1"/>
    </xf>
    <xf numFmtId="0" fontId="63" fillId="7" borderId="0" xfId="0" applyFont="1" applyFill="1" applyBorder="1" applyAlignment="1">
      <alignment horizontal="center" vertical="top" wrapText="1"/>
    </xf>
    <xf numFmtId="0" fontId="63" fillId="7" borderId="16" xfId="0" applyFont="1" applyFill="1" applyBorder="1" applyAlignment="1">
      <alignment horizontal="center" vertical="top" wrapText="1"/>
    </xf>
    <xf numFmtId="166" fontId="59" fillId="7" borderId="13" xfId="0" applyNumberFormat="1" applyFont="1" applyFill="1" applyBorder="1" applyAlignment="1">
      <alignment horizontal="center" vertical="top" wrapText="1"/>
    </xf>
    <xf numFmtId="166" fontId="59" fillId="7" borderId="16" xfId="0" applyNumberFormat="1" applyFont="1" applyFill="1" applyBorder="1" applyAlignment="1">
      <alignment horizontal="center" vertical="top" wrapText="1"/>
    </xf>
    <xf numFmtId="0" fontId="59" fillId="7" borderId="10" xfId="0" applyFont="1" applyFill="1" applyBorder="1" applyAlignment="1">
      <alignment horizontal="center" vertical="top" wrapText="1"/>
    </xf>
    <xf numFmtId="0" fontId="59" fillId="7" borderId="12" xfId="0" applyFont="1" applyFill="1" applyBorder="1" applyAlignment="1">
      <alignment horizontal="center" vertical="top" wrapText="1"/>
    </xf>
    <xf numFmtId="0" fontId="51" fillId="0" borderId="13" xfId="0" applyFont="1" applyBorder="1" applyAlignment="1">
      <alignment horizontal="left" vertical="top"/>
    </xf>
    <xf numFmtId="0" fontId="51" fillId="0" borderId="0" xfId="0" applyFont="1" applyAlignment="1">
      <alignment horizontal="left" vertical="top"/>
    </xf>
    <xf numFmtId="0" fontId="51" fillId="0" borderId="16" xfId="0" applyFont="1" applyBorder="1" applyAlignment="1">
      <alignment horizontal="left" vertical="top"/>
    </xf>
    <xf numFmtId="0" fontId="51" fillId="0" borderId="10" xfId="0" applyFont="1" applyBorder="1" applyAlignment="1">
      <alignment horizontal="left" vertical="top"/>
    </xf>
    <xf numFmtId="0" fontId="51" fillId="0" borderId="11" xfId="0" applyFont="1" applyBorder="1" applyAlignment="1">
      <alignment horizontal="left" vertical="top"/>
    </xf>
    <xf numFmtId="0" fontId="51" fillId="0" borderId="12" xfId="0" applyFont="1" applyBorder="1" applyAlignment="1">
      <alignment horizontal="left" vertical="top"/>
    </xf>
    <xf numFmtId="0" fontId="52" fillId="8" borderId="1" xfId="0" applyFont="1" applyFill="1" applyBorder="1" applyAlignment="1">
      <alignment horizontal="center" vertical="center" wrapText="1"/>
    </xf>
    <xf numFmtId="0" fontId="44" fillId="7" borderId="1" xfId="0" applyFont="1" applyFill="1" applyBorder="1" applyAlignment="1">
      <alignment horizontal="center" vertical="top" wrapText="1"/>
    </xf>
    <xf numFmtId="169" fontId="48" fillId="0" borderId="3" xfId="0" applyNumberFormat="1" applyFont="1" applyBorder="1" applyAlignment="1">
      <alignment horizontal="center" vertical="center" wrapText="1"/>
    </xf>
    <xf numFmtId="169" fontId="48" fillId="0" borderId="4" xfId="0" applyNumberFormat="1" applyFont="1" applyBorder="1" applyAlignment="1">
      <alignment horizontal="center"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37" fillId="7" borderId="3" xfId="0" applyFont="1" applyFill="1" applyBorder="1" applyAlignment="1">
      <alignment horizontal="center" vertical="top"/>
    </xf>
    <xf numFmtId="0" fontId="37" fillId="7" borderId="2" xfId="0" applyFont="1" applyFill="1" applyBorder="1" applyAlignment="1">
      <alignment horizontal="center" vertical="top"/>
    </xf>
    <xf numFmtId="0" fontId="37" fillId="7" borderId="4" xfId="0" applyFont="1" applyFill="1" applyBorder="1" applyAlignment="1">
      <alignment horizontal="center" vertical="top"/>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38" fillId="7" borderId="5" xfId="0" applyFont="1" applyFill="1" applyBorder="1" applyAlignment="1">
      <alignment horizontal="center" vertical="top"/>
    </xf>
    <xf numFmtId="0" fontId="38" fillId="7" borderId="23" xfId="0" applyFont="1" applyFill="1" applyBorder="1" applyAlignment="1">
      <alignment horizontal="center" vertical="top"/>
    </xf>
    <xf numFmtId="0" fontId="38" fillId="7" borderId="6"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26" fillId="4" borderId="12" xfId="0" applyFont="1" applyFill="1" applyBorder="1" applyAlignment="1">
      <alignment horizontal="left" vertical="top"/>
    </xf>
    <xf numFmtId="0" fontId="0" fillId="0" borderId="16" xfId="0" applyBorder="1" applyAlignment="1">
      <alignment horizontal="center" vertical="center"/>
    </xf>
    <xf numFmtId="0" fontId="0" fillId="4" borderId="10" xfId="0" applyFill="1" applyBorder="1" applyAlignment="1">
      <alignment horizontal="center" vertical="center"/>
    </xf>
    <xf numFmtId="0" fontId="0" fillId="4" borderId="12" xfId="0" applyFill="1"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4" borderId="10" xfId="0" applyFill="1" applyBorder="1" applyAlignment="1">
      <alignment horizontal="left" vertical="top"/>
    </xf>
    <xf numFmtId="0" fontId="0" fillId="4" borderId="11" xfId="0" applyFill="1" applyBorder="1" applyAlignment="1">
      <alignment horizontal="left" vertical="top"/>
    </xf>
    <xf numFmtId="0" fontId="0" fillId="4" borderId="12" xfId="0" applyFill="1"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4"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69"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62" fillId="8" borderId="8" xfId="0" applyFont="1" applyFill="1" applyBorder="1" applyAlignment="1">
      <alignment horizontal="center"/>
    </xf>
    <xf numFmtId="0" fontId="62" fillId="8" borderId="0" xfId="0" applyFont="1" applyFill="1" applyAlignment="1">
      <alignment horizontal="center"/>
    </xf>
    <xf numFmtId="0" fontId="62" fillId="8" borderId="11" xfId="0" applyFont="1" applyFill="1" applyBorder="1" applyAlignment="1">
      <alignment horizontal="center"/>
    </xf>
    <xf numFmtId="0" fontId="37" fillId="7" borderId="1"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9" xfId="0" applyFont="1" applyFill="1" applyBorder="1" applyAlignment="1">
      <alignment horizontal="center" vertical="top" wrapText="1"/>
    </xf>
    <xf numFmtId="0" fontId="46" fillId="7" borderId="13" xfId="0" applyFont="1" applyFill="1" applyBorder="1" applyAlignment="1">
      <alignment horizontal="center" vertical="top" wrapText="1"/>
    </xf>
    <xf numFmtId="0" fontId="46" fillId="7" borderId="16" xfId="0" applyFont="1" applyFill="1" applyBorder="1" applyAlignment="1">
      <alignment horizontal="center" vertical="top" wrapText="1"/>
    </xf>
    <xf numFmtId="0" fontId="40" fillId="0" borderId="1" xfId="0" applyFont="1" applyBorder="1" applyAlignment="1">
      <alignment horizontal="left" vertical="center"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44" fillId="0" borderId="16" xfId="0" applyFont="1" applyBorder="1" applyAlignment="1">
      <alignment horizontal="center" vertical="center"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3"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2" xfId="0" applyFont="1" applyFill="1" applyBorder="1" applyAlignment="1">
      <alignment horizontal="center" vertical="top" wrapText="1"/>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1" fontId="65" fillId="0" borderId="1" xfId="0" applyNumberFormat="1" applyFont="1" applyBorder="1" applyAlignment="1">
      <alignment horizontal="left" vertical="center"/>
    </xf>
    <xf numFmtId="171" fontId="2" fillId="9" borderId="5" xfId="0" applyNumberFormat="1" applyFont="1" applyFill="1" applyBorder="1" applyAlignment="1">
      <alignment horizontal="center" vertical="center"/>
    </xf>
    <xf numFmtId="171" fontId="2" fillId="9" borderId="6" xfId="0" applyNumberFormat="1" applyFont="1" applyFill="1" applyBorder="1" applyAlignment="1">
      <alignment horizontal="center" vertical="center"/>
    </xf>
    <xf numFmtId="0" fontId="2" fillId="9" borderId="7"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9" borderId="1" xfId="0" applyFont="1" applyFill="1" applyBorder="1" applyAlignment="1">
      <alignment horizontal="center" vertical="center" wrapText="1"/>
    </xf>
    <xf numFmtId="171" fontId="2" fillId="9" borderId="7" xfId="0" applyNumberFormat="1" applyFont="1" applyFill="1" applyBorder="1" applyAlignment="1">
      <alignment horizontal="center" vertical="center"/>
    </xf>
    <xf numFmtId="171" fontId="2" fillId="9" borderId="9" xfId="0" applyNumberFormat="1" applyFont="1" applyFill="1" applyBorder="1" applyAlignment="1">
      <alignment horizontal="center" vertical="center"/>
    </xf>
    <xf numFmtId="171" fontId="2" fillId="9" borderId="10" xfId="0" applyNumberFormat="1" applyFont="1" applyFill="1" applyBorder="1" applyAlignment="1">
      <alignment horizontal="center" vertical="center"/>
    </xf>
    <xf numFmtId="171" fontId="2" fillId="9" borderId="12" xfId="0" applyNumberFormat="1" applyFont="1" applyFill="1" applyBorder="1" applyAlignment="1">
      <alignment horizontal="center" vertical="center"/>
    </xf>
    <xf numFmtId="0" fontId="4" fillId="0" borderId="49" xfId="0" applyFont="1" applyBorder="1" applyAlignment="1">
      <alignment horizontal="center" vertical="center"/>
    </xf>
    <xf numFmtId="164" fontId="24" fillId="0" borderId="38" xfId="0" applyNumberFormat="1" applyFont="1" applyBorder="1" applyAlignment="1">
      <alignment horizontal="center" vertical="center"/>
    </xf>
    <xf numFmtId="0" fontId="4" fillId="0" borderId="44" xfId="0" applyFont="1" applyBorder="1" applyAlignment="1">
      <alignment horizontal="center" vertical="center"/>
    </xf>
    <xf numFmtId="164" fontId="24" fillId="0" borderId="44" xfId="0" applyNumberFormat="1" applyFont="1" applyBorder="1" applyAlignment="1">
      <alignment horizontal="center" vertical="center"/>
    </xf>
    <xf numFmtId="0" fontId="24" fillId="0" borderId="38" xfId="0" applyFont="1" applyBorder="1" applyAlignment="1">
      <alignment horizontal="center" vertical="center"/>
    </xf>
    <xf numFmtId="0" fontId="24" fillId="0" borderId="39" xfId="0" applyFont="1" applyBorder="1" applyAlignment="1">
      <alignment horizontal="center" vertical="center"/>
    </xf>
    <xf numFmtId="0" fontId="24" fillId="0" borderId="49" xfId="0" quotePrefix="1" applyFont="1" applyBorder="1" applyAlignment="1">
      <alignment horizontal="center" vertical="center"/>
    </xf>
    <xf numFmtId="20" fontId="24" fillId="0" borderId="38" xfId="0" applyNumberFormat="1" applyFont="1" applyBorder="1" applyAlignment="1">
      <alignment horizontal="center" vertical="center"/>
    </xf>
    <xf numFmtId="20" fontId="24" fillId="0" borderId="39" xfId="0" applyNumberFormat="1" applyFont="1" applyBorder="1" applyAlignment="1">
      <alignment horizontal="center" vertical="center"/>
    </xf>
    <xf numFmtId="0" fontId="24" fillId="0" borderId="49" xfId="0" applyFont="1" applyBorder="1" applyAlignment="1">
      <alignment horizontal="center" vertical="center"/>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62" fillId="8" borderId="3" xfId="0" applyFont="1" applyFill="1" applyBorder="1" applyAlignment="1">
      <alignment horizontal="center"/>
    </xf>
    <xf numFmtId="0" fontId="62" fillId="8" borderId="4" xfId="0" applyFont="1" applyFill="1" applyBorder="1" applyAlignment="1">
      <alignment horizontal="center"/>
    </xf>
    <xf numFmtId="169" fontId="54" fillId="0" borderId="1" xfId="0" applyNumberFormat="1" applyFont="1" applyBorder="1" applyAlignment="1">
      <alignment horizontal="center" vertical="center" wrapText="1"/>
    </xf>
    <xf numFmtId="0" fontId="35" fillId="0" borderId="49" xfId="0" applyFont="1" applyBorder="1" applyAlignment="1">
      <alignment horizontal="center" vertical="center"/>
    </xf>
    <xf numFmtId="171" fontId="35" fillId="0" borderId="38" xfId="0" applyNumberFormat="1" applyFont="1" applyBorder="1" applyAlignment="1">
      <alignment horizontal="center" vertical="center"/>
    </xf>
    <xf numFmtId="171" fontId="35" fillId="0" borderId="39" xfId="0" applyNumberFormat="1" applyFont="1" applyBorder="1" applyAlignment="1">
      <alignment horizontal="center" vertical="center"/>
    </xf>
    <xf numFmtId="0" fontId="60"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35" fillId="0" borderId="44" xfId="0" applyFont="1" applyBorder="1" applyAlignment="1">
      <alignment horizontal="center" vertical="center" wrapText="1"/>
    </xf>
    <xf numFmtId="165" fontId="35" fillId="0" borderId="38" xfId="1" applyNumberFormat="1" applyFont="1" applyBorder="1" applyAlignment="1">
      <alignment horizontal="center" vertical="center"/>
    </xf>
    <xf numFmtId="165" fontId="35" fillId="0" borderId="39" xfId="1" applyNumberFormat="1" applyFont="1" applyBorder="1" applyAlignment="1">
      <alignment horizontal="center" vertical="center"/>
    </xf>
    <xf numFmtId="165" fontId="35" fillId="0" borderId="3" xfId="1" applyNumberFormat="1" applyFont="1" applyFill="1" applyBorder="1" applyAlignment="1">
      <alignment vertical="center"/>
    </xf>
    <xf numFmtId="165" fontId="35" fillId="0" borderId="3" xfId="1" applyNumberFormat="1" applyFont="1" applyFill="1" applyBorder="1" applyAlignment="1">
      <alignment horizontal="center" vertical="center"/>
    </xf>
    <xf numFmtId="165" fontId="35" fillId="0" borderId="4" xfId="1" applyNumberFormat="1" applyFont="1" applyFill="1" applyBorder="1" applyAlignment="1">
      <alignment horizontal="center" vertical="center"/>
    </xf>
    <xf numFmtId="0" fontId="23" fillId="0" borderId="0" xfId="0" applyFont="1" applyFill="1" applyAlignment="1">
      <alignment vertical="center"/>
    </xf>
  </cellXfs>
  <cellStyles count="4">
    <cellStyle name="Comma" xfId="1" builtinId="3"/>
    <cellStyle name="Comma [0] 2" xfId="2"/>
    <cellStyle name="Normal" xfId="0" builtinId="0"/>
    <cellStyle name="Normal 2" xfId="3"/>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73</xdr:row>
      <xdr:rowOff>126999</xdr:rowOff>
    </xdr:from>
    <xdr:to>
      <xdr:col>6</xdr:col>
      <xdr:colOff>952500</xdr:colOff>
      <xdr:row>78</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102099</xdr:colOff>
      <xdr:row>73</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50</xdr:row>
      <xdr:rowOff>14552</xdr:rowOff>
    </xdr:from>
    <xdr:to>
      <xdr:col>7</xdr:col>
      <xdr:colOff>234157</xdr:colOff>
      <xdr:row>53</xdr:row>
      <xdr:rowOff>142876</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pageSetUpPr fitToPage="1"/>
  </sheetPr>
  <dimension ref="B1:Z85"/>
  <sheetViews>
    <sheetView showGridLines="0" topLeftCell="A52" zoomScale="90" zoomScaleNormal="90" workbookViewId="0">
      <selection activeCell="M52" sqref="M52"/>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5" t="s">
        <v>119</v>
      </c>
    </row>
    <row r="2" spans="2:26" ht="15" customHeight="1" x14ac:dyDescent="0.25">
      <c r="B2" s="75" t="s">
        <v>0</v>
      </c>
      <c r="C2" s="19"/>
      <c r="D2" s="19"/>
      <c r="E2" s="19"/>
      <c r="F2" s="19"/>
      <c r="G2" s="76"/>
      <c r="H2" s="77" t="s">
        <v>61</v>
      </c>
      <c r="I2" s="66" t="s">
        <v>62</v>
      </c>
      <c r="J2" s="67" t="s">
        <v>157</v>
      </c>
      <c r="K2" s="67"/>
      <c r="L2" s="67"/>
      <c r="M2" s="68"/>
      <c r="N2" s="334" t="s">
        <v>67</v>
      </c>
      <c r="O2" s="335"/>
      <c r="P2" s="334" t="s">
        <v>66</v>
      </c>
      <c r="Q2" s="335"/>
      <c r="R2" s="334" t="s">
        <v>54</v>
      </c>
      <c r="S2" s="335"/>
      <c r="T2" s="334" t="s">
        <v>53</v>
      </c>
      <c r="U2" s="335"/>
    </row>
    <row r="3" spans="2:26" ht="15" customHeight="1" x14ac:dyDescent="0.25">
      <c r="B3" s="357" t="s">
        <v>58</v>
      </c>
      <c r="C3" s="358"/>
      <c r="D3" s="358"/>
      <c r="E3" s="358"/>
      <c r="F3" s="358"/>
      <c r="G3" s="358"/>
      <c r="H3" s="359"/>
      <c r="I3" s="69" t="s">
        <v>63</v>
      </c>
      <c r="J3" s="70" t="s">
        <v>69</v>
      </c>
      <c r="K3" s="70"/>
      <c r="L3" s="70"/>
      <c r="M3" s="71"/>
      <c r="N3" s="347" t="s">
        <v>161</v>
      </c>
      <c r="O3" s="348"/>
      <c r="P3" s="348"/>
      <c r="Q3" s="348"/>
      <c r="R3" s="348"/>
      <c r="S3" s="348"/>
      <c r="T3" s="348"/>
      <c r="U3" s="349"/>
    </row>
    <row r="4" spans="2:26" ht="15" customHeight="1" x14ac:dyDescent="0.25">
      <c r="B4" s="360"/>
      <c r="C4" s="361"/>
      <c r="D4" s="361"/>
      <c r="E4" s="361"/>
      <c r="F4" s="361"/>
      <c r="G4" s="361"/>
      <c r="H4" s="362"/>
      <c r="I4" s="69" t="s">
        <v>5</v>
      </c>
      <c r="J4" s="70" t="s">
        <v>70</v>
      </c>
      <c r="K4" s="70"/>
      <c r="L4" s="70"/>
      <c r="M4" s="71"/>
      <c r="N4" s="350"/>
      <c r="O4" s="351"/>
      <c r="P4" s="351"/>
      <c r="Q4" s="351"/>
      <c r="R4" s="351"/>
      <c r="S4" s="351"/>
      <c r="T4" s="351"/>
      <c r="U4" s="352"/>
    </row>
    <row r="5" spans="2:26" ht="15" customHeight="1" x14ac:dyDescent="0.25">
      <c r="B5" s="360"/>
      <c r="C5" s="361"/>
      <c r="D5" s="361"/>
      <c r="E5" s="361"/>
      <c r="F5" s="361"/>
      <c r="G5" s="361"/>
      <c r="H5" s="362"/>
      <c r="I5" s="69" t="s">
        <v>64</v>
      </c>
      <c r="J5" s="70" t="s">
        <v>71</v>
      </c>
      <c r="K5" s="70"/>
      <c r="L5" s="70"/>
      <c r="M5" s="71"/>
      <c r="N5" s="353"/>
      <c r="O5" s="354"/>
      <c r="P5" s="354"/>
      <c r="Q5" s="354"/>
      <c r="R5" s="354"/>
      <c r="S5" s="354"/>
      <c r="T5" s="354"/>
      <c r="U5" s="355"/>
    </row>
    <row r="6" spans="2:26" ht="15" customHeight="1" x14ac:dyDescent="0.25">
      <c r="B6" s="363"/>
      <c r="C6" s="364"/>
      <c r="D6" s="364"/>
      <c r="E6" s="364"/>
      <c r="F6" s="364"/>
      <c r="G6" s="364"/>
      <c r="H6" s="365"/>
      <c r="I6" s="72" t="s">
        <v>65</v>
      </c>
      <c r="J6" s="73" t="s">
        <v>175</v>
      </c>
      <c r="K6" s="73"/>
      <c r="L6" s="73"/>
      <c r="M6" s="74"/>
      <c r="N6" s="334" t="s">
        <v>68</v>
      </c>
      <c r="O6" s="335"/>
      <c r="P6" s="334" t="s">
        <v>57</v>
      </c>
      <c r="Q6" s="335"/>
      <c r="R6" s="334" t="s">
        <v>56</v>
      </c>
      <c r="S6" s="335"/>
      <c r="T6" s="334" t="s">
        <v>55</v>
      </c>
      <c r="U6" s="335"/>
    </row>
    <row r="7" spans="2:26" ht="15" customHeight="1" x14ac:dyDescent="0.25">
      <c r="B7" s="49"/>
      <c r="U7" s="20"/>
    </row>
    <row r="8" spans="2:26" s="5" customFormat="1" ht="21.95" customHeight="1" x14ac:dyDescent="0.25">
      <c r="B8" s="50" t="s">
        <v>8</v>
      </c>
      <c r="C8" s="41"/>
      <c r="D8" s="41"/>
      <c r="E8" s="41"/>
      <c r="F8" s="41"/>
      <c r="G8" s="43" t="s">
        <v>233</v>
      </c>
      <c r="H8" s="6"/>
      <c r="I8" s="6"/>
      <c r="J8" s="6"/>
      <c r="U8" s="22"/>
    </row>
    <row r="9" spans="2:26" s="5" customFormat="1" ht="21.95" customHeight="1" x14ac:dyDescent="0.25">
      <c r="B9" s="51" t="s">
        <v>9</v>
      </c>
      <c r="C9" s="42"/>
      <c r="D9" s="42"/>
      <c r="E9" s="42"/>
      <c r="F9" s="42"/>
      <c r="G9" s="44" t="s">
        <v>245</v>
      </c>
      <c r="H9" s="7"/>
      <c r="I9" s="7"/>
      <c r="J9" s="7"/>
      <c r="U9" s="22"/>
    </row>
    <row r="10" spans="2:26" s="5" customFormat="1" ht="15" customHeight="1" x14ac:dyDescent="0.25">
      <c r="B10" s="21"/>
      <c r="C10" s="27"/>
      <c r="D10" s="27"/>
      <c r="E10" s="27"/>
      <c r="F10" s="27"/>
      <c r="G10" s="13"/>
      <c r="U10" s="22"/>
    </row>
    <row r="11" spans="2:26" ht="24.95" customHeight="1" x14ac:dyDescent="0.25">
      <c r="B11" s="52" t="s">
        <v>72</v>
      </c>
      <c r="U11" s="20"/>
    </row>
    <row r="12" spans="2:26" s="8" customFormat="1" ht="24.95" customHeight="1" x14ac:dyDescent="0.25">
      <c r="B12" s="40" t="s">
        <v>1</v>
      </c>
      <c r="C12" s="373" t="s">
        <v>5</v>
      </c>
      <c r="D12" s="374"/>
      <c r="E12" s="374"/>
      <c r="F12" s="375"/>
      <c r="G12" s="366" t="s">
        <v>4</v>
      </c>
      <c r="H12" s="367"/>
      <c r="I12" s="366" t="s">
        <v>60</v>
      </c>
      <c r="J12" s="396"/>
      <c r="K12" s="366" t="s">
        <v>2</v>
      </c>
      <c r="L12" s="367"/>
      <c r="M12" s="386" t="s">
        <v>3</v>
      </c>
      <c r="N12" s="386"/>
      <c r="O12" s="386"/>
      <c r="P12" s="386"/>
      <c r="Q12" s="386"/>
      <c r="R12" s="17"/>
      <c r="S12" s="17"/>
      <c r="T12" s="17"/>
      <c r="U12" s="23"/>
      <c r="V12" s="17"/>
      <c r="W12" s="17"/>
      <c r="X12" s="17"/>
      <c r="Y12" s="382"/>
      <c r="Z12" s="382"/>
    </row>
    <row r="13" spans="2:26" ht="24.95" customHeight="1" x14ac:dyDescent="0.25">
      <c r="B13" s="16">
        <v>1</v>
      </c>
      <c r="C13" s="158">
        <v>45525</v>
      </c>
      <c r="D13" s="372" t="s">
        <v>6</v>
      </c>
      <c r="E13" s="372"/>
      <c r="F13" s="159">
        <v>45527</v>
      </c>
      <c r="G13" s="385" t="s">
        <v>234</v>
      </c>
      <c r="H13" s="332"/>
      <c r="I13" s="385" t="s">
        <v>235</v>
      </c>
      <c r="J13" s="332"/>
      <c r="K13" s="387">
        <v>25252</v>
      </c>
      <c r="L13" s="332"/>
      <c r="M13" s="160" t="s">
        <v>247</v>
      </c>
      <c r="N13" s="161"/>
      <c r="O13" s="161"/>
      <c r="P13" s="161"/>
      <c r="Q13" s="162"/>
      <c r="U13" s="20"/>
    </row>
    <row r="14" spans="2:26" ht="15" customHeight="1" x14ac:dyDescent="0.25">
      <c r="B14" s="11"/>
      <c r="U14" s="20"/>
    </row>
    <row r="15" spans="2:26" ht="20.100000000000001" customHeight="1" x14ac:dyDescent="0.25">
      <c r="B15" s="52" t="s">
        <v>106</v>
      </c>
      <c r="U15" s="20"/>
    </row>
    <row r="16" spans="2:26" ht="20.100000000000001" customHeight="1" x14ac:dyDescent="0.25">
      <c r="B16" s="53" t="s">
        <v>76</v>
      </c>
      <c r="K16" s="24" t="s">
        <v>77</v>
      </c>
      <c r="L16" s="24"/>
      <c r="U16" s="20"/>
    </row>
    <row r="17" spans="2:23" s="3" customFormat="1" ht="20.100000000000001" customHeight="1" thickBot="1" x14ac:dyDescent="0.3">
      <c r="B17" s="394" t="s">
        <v>1</v>
      </c>
      <c r="C17" s="368" t="s">
        <v>5</v>
      </c>
      <c r="D17" s="369"/>
      <c r="E17" s="366" t="s">
        <v>153</v>
      </c>
      <c r="F17" s="396"/>
      <c r="G17" s="367"/>
      <c r="H17" s="366" t="s">
        <v>59</v>
      </c>
      <c r="I17" s="367"/>
      <c r="J17" s="5"/>
      <c r="K17" s="345" t="s">
        <v>1</v>
      </c>
      <c r="L17" s="338" t="s">
        <v>5</v>
      </c>
      <c r="M17" s="339"/>
      <c r="N17" s="340" t="s">
        <v>13</v>
      </c>
      <c r="O17" s="341"/>
      <c r="P17" s="341"/>
      <c r="Q17" s="342"/>
      <c r="R17" s="340" t="s">
        <v>59</v>
      </c>
      <c r="S17" s="341"/>
      <c r="T17" s="341"/>
      <c r="U17" s="342"/>
      <c r="V17" s="9"/>
      <c r="W17" s="9"/>
    </row>
    <row r="18" spans="2:23" s="3" customFormat="1" ht="20.100000000000001" customHeight="1" thickTop="1" x14ac:dyDescent="0.25">
      <c r="B18" s="395"/>
      <c r="C18" s="370"/>
      <c r="D18" s="371"/>
      <c r="E18" s="373" t="s">
        <v>35</v>
      </c>
      <c r="F18" s="375"/>
      <c r="G18" s="314" t="s">
        <v>36</v>
      </c>
      <c r="H18" s="315" t="s">
        <v>35</v>
      </c>
      <c r="I18" s="316" t="s">
        <v>36</v>
      </c>
      <c r="J18" s="5"/>
      <c r="K18" s="346"/>
      <c r="L18" s="343"/>
      <c r="M18" s="344"/>
      <c r="N18" s="338" t="s">
        <v>35</v>
      </c>
      <c r="O18" s="339"/>
      <c r="P18" s="338" t="s">
        <v>36</v>
      </c>
      <c r="Q18" s="339"/>
      <c r="R18" s="338" t="s">
        <v>35</v>
      </c>
      <c r="S18" s="339"/>
      <c r="T18" s="338" t="s">
        <v>36</v>
      </c>
      <c r="U18" s="339"/>
      <c r="V18" s="9"/>
      <c r="W18" s="9"/>
    </row>
    <row r="19" spans="2:23" ht="24.95" customHeight="1" x14ac:dyDescent="0.25">
      <c r="B19" s="312">
        <v>1</v>
      </c>
      <c r="C19" s="383"/>
      <c r="D19" s="384"/>
      <c r="E19" s="336"/>
      <c r="F19" s="337"/>
      <c r="G19" s="317"/>
      <c r="H19" s="318"/>
      <c r="I19" s="312"/>
      <c r="J19" s="13"/>
      <c r="K19" s="312">
        <v>1</v>
      </c>
      <c r="L19" s="392"/>
      <c r="M19" s="393"/>
      <c r="N19" s="356"/>
      <c r="O19" s="337"/>
      <c r="P19" s="356"/>
      <c r="Q19" s="376"/>
      <c r="R19" s="356"/>
      <c r="S19" s="376"/>
      <c r="T19" s="356"/>
      <c r="U19" s="376"/>
      <c r="V19" s="9"/>
      <c r="W19" s="9"/>
    </row>
    <row r="20" spans="2:23" ht="24.95" customHeight="1" x14ac:dyDescent="0.25">
      <c r="B20" s="312">
        <v>2</v>
      </c>
      <c r="C20" s="383"/>
      <c r="D20" s="384"/>
      <c r="E20" s="336"/>
      <c r="F20" s="337"/>
      <c r="G20" s="317"/>
      <c r="H20" s="318"/>
      <c r="I20" s="317"/>
      <c r="J20" s="13"/>
      <c r="K20" s="312">
        <v>2</v>
      </c>
      <c r="L20" s="392"/>
      <c r="M20" s="393"/>
      <c r="N20" s="356"/>
      <c r="O20" s="376"/>
      <c r="P20" s="336"/>
      <c r="Q20" s="337"/>
      <c r="R20" s="336"/>
      <c r="S20" s="337"/>
      <c r="T20" s="336"/>
      <c r="U20" s="337"/>
    </row>
    <row r="21" spans="2:23" ht="15" customHeight="1" x14ac:dyDescent="0.25">
      <c r="B21" s="11"/>
      <c r="U21" s="20"/>
    </row>
    <row r="22" spans="2:23" ht="20.100000000000001" customHeight="1" x14ac:dyDescent="0.25">
      <c r="B22" s="21" t="s">
        <v>78</v>
      </c>
      <c r="C22" s="14"/>
      <c r="D22" s="14"/>
      <c r="E22" s="14"/>
      <c r="F22" s="14"/>
      <c r="G22" s="13"/>
      <c r="H22" s="13"/>
      <c r="I22" s="13"/>
      <c r="J22" s="13"/>
      <c r="K22" s="13"/>
      <c r="L22" s="13"/>
      <c r="M22" s="13"/>
      <c r="N22" s="13"/>
      <c r="O22" s="13"/>
      <c r="P22" s="13"/>
      <c r="Q22" s="13"/>
      <c r="R22" s="13"/>
      <c r="S22" s="13"/>
      <c r="T22" s="13"/>
      <c r="U22" s="54"/>
    </row>
    <row r="23" spans="2:23" s="3" customFormat="1" ht="20.100000000000001" customHeight="1" x14ac:dyDescent="0.25">
      <c r="B23" s="345" t="s">
        <v>1</v>
      </c>
      <c r="C23" s="338" t="s">
        <v>5</v>
      </c>
      <c r="D23" s="378"/>
      <c r="E23" s="378"/>
      <c r="F23" s="339"/>
      <c r="G23" s="373" t="s">
        <v>14</v>
      </c>
      <c r="H23" s="375"/>
      <c r="I23" s="386" t="s">
        <v>74</v>
      </c>
      <c r="J23" s="366" t="s">
        <v>15</v>
      </c>
      <c r="K23" s="396"/>
      <c r="L23" s="396"/>
      <c r="M23" s="367"/>
      <c r="N23" s="390" t="s">
        <v>73</v>
      </c>
      <c r="O23" s="390"/>
      <c r="P23" s="390"/>
      <c r="Q23" s="390"/>
      <c r="R23" s="390"/>
      <c r="S23" s="390"/>
      <c r="T23" s="390"/>
      <c r="U23" s="390"/>
      <c r="V23" s="9"/>
      <c r="W23" s="9"/>
    </row>
    <row r="24" spans="2:23" s="3" customFormat="1" ht="20.100000000000001" customHeight="1" thickBot="1" x14ac:dyDescent="0.3">
      <c r="B24" s="377"/>
      <c r="C24" s="379"/>
      <c r="D24" s="380"/>
      <c r="E24" s="380"/>
      <c r="F24" s="381"/>
      <c r="G24" s="397"/>
      <c r="H24" s="398"/>
      <c r="I24" s="415"/>
      <c r="J24" s="388" t="s">
        <v>17</v>
      </c>
      <c r="K24" s="389"/>
      <c r="L24" s="388" t="s">
        <v>16</v>
      </c>
      <c r="M24" s="389"/>
      <c r="N24" s="391"/>
      <c r="O24" s="391"/>
      <c r="P24" s="391"/>
      <c r="Q24" s="391"/>
      <c r="R24" s="391"/>
      <c r="S24" s="391"/>
      <c r="T24" s="391"/>
      <c r="U24" s="391"/>
      <c r="V24" s="9"/>
      <c r="W24" s="9"/>
    </row>
    <row r="25" spans="2:23" ht="50.1" customHeight="1" thickTop="1" x14ac:dyDescent="0.25">
      <c r="B25" s="748">
        <v>1</v>
      </c>
      <c r="C25" s="749">
        <f>C13</f>
        <v>45525</v>
      </c>
      <c r="D25" s="750" t="s">
        <v>6</v>
      </c>
      <c r="E25" s="750"/>
      <c r="F25" s="751">
        <f>F13</f>
        <v>45527</v>
      </c>
      <c r="G25" s="752" t="s">
        <v>244</v>
      </c>
      <c r="H25" s="753"/>
      <c r="I25" s="754">
        <v>3</v>
      </c>
      <c r="J25" s="755"/>
      <c r="K25" s="756"/>
      <c r="L25" s="755"/>
      <c r="M25" s="753"/>
      <c r="N25" s="757"/>
      <c r="O25" s="757"/>
      <c r="P25" s="757"/>
      <c r="Q25" s="757"/>
      <c r="R25" s="757"/>
      <c r="S25" s="757"/>
      <c r="T25" s="757"/>
      <c r="U25" s="757"/>
      <c r="V25" s="9"/>
      <c r="W25" s="9"/>
    </row>
    <row r="26" spans="2:23" ht="24.95" customHeight="1" x14ac:dyDescent="0.25">
      <c r="B26" s="55" t="s">
        <v>105</v>
      </c>
      <c r="C26" s="14"/>
      <c r="D26" s="14"/>
      <c r="E26" s="14" t="e">
        <f>VLOOKUP($D$25,A12:$H$16,5,0)</f>
        <v>#N/A</v>
      </c>
      <c r="F26" s="14"/>
      <c r="G26" s="13"/>
      <c r="H26" s="13"/>
      <c r="I26" s="13"/>
      <c r="J26" s="13"/>
      <c r="K26" s="13"/>
      <c r="L26" s="13"/>
      <c r="M26" s="13"/>
      <c r="N26" s="13"/>
      <c r="O26" s="13"/>
      <c r="U26" s="20"/>
    </row>
    <row r="27" spans="2:23" s="10" customFormat="1" ht="20.100000000000001" customHeight="1" x14ac:dyDescent="0.25">
      <c r="B27" s="29" t="s">
        <v>82</v>
      </c>
      <c r="C27" s="402" t="s">
        <v>127</v>
      </c>
      <c r="D27" s="402"/>
      <c r="E27" s="402"/>
      <c r="F27" s="402"/>
      <c r="G27" s="402"/>
      <c r="H27" s="402"/>
      <c r="I27" s="402"/>
      <c r="J27" s="411" t="s">
        <v>83</v>
      </c>
      <c r="K27" s="412"/>
      <c r="L27" s="413"/>
      <c r="M27" s="411" t="s">
        <v>84</v>
      </c>
      <c r="N27" s="412"/>
      <c r="O27" s="413"/>
      <c r="P27" s="402" t="s">
        <v>33</v>
      </c>
      <c r="Q27" s="402"/>
      <c r="R27" s="402"/>
      <c r="U27" s="25"/>
    </row>
    <row r="28" spans="2:23" s="28" customFormat="1" ht="17.100000000000001" customHeight="1" x14ac:dyDescent="0.25">
      <c r="B28" s="39">
        <v>1</v>
      </c>
      <c r="C28" s="403" t="s">
        <v>18</v>
      </c>
      <c r="D28" s="403"/>
      <c r="E28" s="403"/>
      <c r="F28" s="403"/>
      <c r="G28" s="403"/>
      <c r="H28" s="403"/>
      <c r="I28" s="403"/>
      <c r="J28" s="399" t="s">
        <v>30</v>
      </c>
      <c r="K28" s="400"/>
      <c r="L28" s="401"/>
      <c r="M28" s="399" t="s">
        <v>30</v>
      </c>
      <c r="N28" s="400"/>
      <c r="O28" s="401"/>
      <c r="P28" s="414" t="s">
        <v>30</v>
      </c>
      <c r="Q28" s="414"/>
      <c r="R28" s="414"/>
      <c r="U28" s="56"/>
    </row>
    <row r="29" spans="2:23" s="28" customFormat="1" ht="17.100000000000001" customHeight="1" x14ac:dyDescent="0.25">
      <c r="B29" s="39">
        <v>2</v>
      </c>
      <c r="C29" s="403" t="s">
        <v>19</v>
      </c>
      <c r="D29" s="403"/>
      <c r="E29" s="403"/>
      <c r="F29" s="403"/>
      <c r="G29" s="403"/>
      <c r="H29" s="403"/>
      <c r="I29" s="403"/>
      <c r="J29" s="399" t="s">
        <v>30</v>
      </c>
      <c r="K29" s="400"/>
      <c r="L29" s="401"/>
      <c r="M29" s="399" t="s">
        <v>30</v>
      </c>
      <c r="N29" s="400"/>
      <c r="O29" s="401"/>
      <c r="P29" s="414" t="s">
        <v>30</v>
      </c>
      <c r="Q29" s="414"/>
      <c r="R29" s="414"/>
      <c r="U29" s="56"/>
    </row>
    <row r="30" spans="2:23" s="28" customFormat="1" ht="17.100000000000001" customHeight="1" x14ac:dyDescent="0.25">
      <c r="B30" s="39">
        <v>3</v>
      </c>
      <c r="C30" s="404" t="s">
        <v>122</v>
      </c>
      <c r="D30" s="404"/>
      <c r="E30" s="404"/>
      <c r="F30" s="404"/>
      <c r="G30" s="404"/>
      <c r="H30" s="404"/>
      <c r="I30" s="404"/>
      <c r="J30" s="399" t="s">
        <v>30</v>
      </c>
      <c r="K30" s="400"/>
      <c r="L30" s="401"/>
      <c r="M30" s="399" t="s">
        <v>30</v>
      </c>
      <c r="N30" s="400"/>
      <c r="O30" s="401"/>
      <c r="P30" s="414" t="s">
        <v>30</v>
      </c>
      <c r="Q30" s="414"/>
      <c r="R30" s="414"/>
      <c r="U30" s="56"/>
    </row>
    <row r="31" spans="2:23" s="28" customFormat="1" ht="17.100000000000001" customHeight="1" x14ac:dyDescent="0.25">
      <c r="B31" s="39">
        <v>4</v>
      </c>
      <c r="C31" s="403" t="s">
        <v>20</v>
      </c>
      <c r="D31" s="403"/>
      <c r="E31" s="403"/>
      <c r="F31" s="403"/>
      <c r="G31" s="403"/>
      <c r="H31" s="403"/>
      <c r="I31" s="403"/>
      <c r="J31" s="399" t="s">
        <v>30</v>
      </c>
      <c r="K31" s="400"/>
      <c r="L31" s="401"/>
      <c r="M31" s="399" t="s">
        <v>30</v>
      </c>
      <c r="N31" s="400"/>
      <c r="O31" s="401"/>
      <c r="P31" s="414" t="s">
        <v>30</v>
      </c>
      <c r="Q31" s="414"/>
      <c r="R31" s="414"/>
      <c r="U31" s="56"/>
    </row>
    <row r="32" spans="2:23" s="28" customFormat="1" ht="17.100000000000001" customHeight="1" x14ac:dyDescent="0.25">
      <c r="B32" s="39">
        <v>5</v>
      </c>
      <c r="C32" s="403" t="s">
        <v>21</v>
      </c>
      <c r="D32" s="403"/>
      <c r="E32" s="403"/>
      <c r="F32" s="403"/>
      <c r="G32" s="403"/>
      <c r="H32" s="403"/>
      <c r="I32" s="403"/>
      <c r="J32" s="399" t="s">
        <v>30</v>
      </c>
      <c r="K32" s="400"/>
      <c r="L32" s="401"/>
      <c r="M32" s="399" t="s">
        <v>30</v>
      </c>
      <c r="N32" s="400"/>
      <c r="O32" s="401"/>
      <c r="P32" s="486" t="s">
        <v>30</v>
      </c>
      <c r="Q32" s="487"/>
      <c r="R32" s="488"/>
      <c r="U32" s="56"/>
    </row>
    <row r="33" spans="2:21" s="28" customFormat="1" ht="17.100000000000001" customHeight="1" x14ac:dyDescent="0.25">
      <c r="B33" s="39">
        <v>6</v>
      </c>
      <c r="C33" s="404" t="s">
        <v>123</v>
      </c>
      <c r="D33" s="404"/>
      <c r="E33" s="404"/>
      <c r="F33" s="404"/>
      <c r="G33" s="404"/>
      <c r="H33" s="404"/>
      <c r="I33" s="404"/>
      <c r="J33" s="399" t="s">
        <v>30</v>
      </c>
      <c r="K33" s="400"/>
      <c r="L33" s="401"/>
      <c r="M33" s="399" t="s">
        <v>30</v>
      </c>
      <c r="N33" s="400"/>
      <c r="O33" s="401"/>
      <c r="P33" s="489"/>
      <c r="Q33" s="490"/>
      <c r="R33" s="491"/>
      <c r="U33" s="56"/>
    </row>
    <row r="34" spans="2:21" s="28" customFormat="1" ht="35.1" customHeight="1" x14ac:dyDescent="0.25">
      <c r="B34" s="39">
        <v>7</v>
      </c>
      <c r="C34" s="403" t="s">
        <v>22</v>
      </c>
      <c r="D34" s="403"/>
      <c r="E34" s="403"/>
      <c r="F34" s="403"/>
      <c r="G34" s="403"/>
      <c r="H34" s="403"/>
      <c r="I34" s="403"/>
      <c r="J34" s="405" t="s">
        <v>124</v>
      </c>
      <c r="K34" s="406"/>
      <c r="L34" s="407"/>
      <c r="M34" s="405" t="s">
        <v>125</v>
      </c>
      <c r="N34" s="406"/>
      <c r="O34" s="407"/>
      <c r="P34" s="489"/>
      <c r="Q34" s="490"/>
      <c r="R34" s="491"/>
      <c r="U34" s="56"/>
    </row>
    <row r="35" spans="2:21" s="28" customFormat="1" ht="35.1" customHeight="1" x14ac:dyDescent="0.25">
      <c r="B35" s="39">
        <v>8</v>
      </c>
      <c r="C35" s="403" t="s">
        <v>23</v>
      </c>
      <c r="D35" s="403"/>
      <c r="E35" s="403"/>
      <c r="F35" s="403"/>
      <c r="G35" s="403"/>
      <c r="H35" s="403"/>
      <c r="I35" s="403"/>
      <c r="J35" s="408" t="s">
        <v>31</v>
      </c>
      <c r="K35" s="409"/>
      <c r="L35" s="410"/>
      <c r="M35" s="405" t="s">
        <v>126</v>
      </c>
      <c r="N35" s="406"/>
      <c r="O35" s="407"/>
      <c r="P35" s="492"/>
      <c r="Q35" s="493"/>
      <c r="R35" s="494"/>
      <c r="U35" s="56"/>
    </row>
    <row r="36" spans="2:21" s="28" customFormat="1" ht="17.100000000000001" customHeight="1" x14ac:dyDescent="0.25">
      <c r="B36" s="39">
        <v>9</v>
      </c>
      <c r="C36" s="403" t="s">
        <v>24</v>
      </c>
      <c r="D36" s="403"/>
      <c r="E36" s="403"/>
      <c r="F36" s="403"/>
      <c r="G36" s="403"/>
      <c r="H36" s="403"/>
      <c r="I36" s="403"/>
      <c r="J36" s="408" t="s">
        <v>31</v>
      </c>
      <c r="K36" s="409"/>
      <c r="L36" s="410"/>
      <c r="M36" s="408" t="s">
        <v>31</v>
      </c>
      <c r="N36" s="409"/>
      <c r="O36" s="410"/>
      <c r="P36" s="480" t="s">
        <v>31</v>
      </c>
      <c r="Q36" s="480"/>
      <c r="R36" s="480"/>
      <c r="U36" s="56"/>
    </row>
    <row r="37" spans="2:21" s="28" customFormat="1" ht="17.100000000000001" customHeight="1" x14ac:dyDescent="0.25">
      <c r="B37" s="39">
        <v>10</v>
      </c>
      <c r="C37" s="403" t="s">
        <v>25</v>
      </c>
      <c r="D37" s="403"/>
      <c r="E37" s="403"/>
      <c r="F37" s="403"/>
      <c r="G37" s="403"/>
      <c r="H37" s="403"/>
      <c r="I37" s="403"/>
      <c r="J37" s="408" t="s">
        <v>31</v>
      </c>
      <c r="K37" s="409"/>
      <c r="L37" s="410"/>
      <c r="M37" s="408" t="s">
        <v>31</v>
      </c>
      <c r="N37" s="409"/>
      <c r="O37" s="410"/>
      <c r="P37" s="480" t="s">
        <v>31</v>
      </c>
      <c r="Q37" s="480"/>
      <c r="R37" s="480"/>
      <c r="U37" s="56"/>
    </row>
    <row r="38" spans="2:21" s="28" customFormat="1" ht="17.100000000000001" customHeight="1" x14ac:dyDescent="0.25">
      <c r="B38" s="39">
        <v>11</v>
      </c>
      <c r="C38" s="403" t="s">
        <v>26</v>
      </c>
      <c r="D38" s="403"/>
      <c r="E38" s="403"/>
      <c r="F38" s="403"/>
      <c r="G38" s="403"/>
      <c r="H38" s="403"/>
      <c r="I38" s="403"/>
      <c r="J38" s="408" t="s">
        <v>31</v>
      </c>
      <c r="K38" s="409"/>
      <c r="L38" s="410"/>
      <c r="M38" s="408" t="s">
        <v>31</v>
      </c>
      <c r="N38" s="409"/>
      <c r="O38" s="410"/>
      <c r="P38" s="480" t="s">
        <v>31</v>
      </c>
      <c r="Q38" s="480"/>
      <c r="R38" s="480"/>
      <c r="U38" s="56"/>
    </row>
    <row r="39" spans="2:21" s="28" customFormat="1" ht="17.100000000000001" customHeight="1" x14ac:dyDescent="0.25">
      <c r="B39" s="39">
        <v>12</v>
      </c>
      <c r="C39" s="403" t="s">
        <v>27</v>
      </c>
      <c r="D39" s="403"/>
      <c r="E39" s="403"/>
      <c r="F39" s="403"/>
      <c r="G39" s="403"/>
      <c r="H39" s="403"/>
      <c r="I39" s="403"/>
      <c r="J39" s="408" t="s">
        <v>31</v>
      </c>
      <c r="K39" s="409"/>
      <c r="L39" s="410"/>
      <c r="M39" s="408" t="s">
        <v>31</v>
      </c>
      <c r="N39" s="409"/>
      <c r="O39" s="410"/>
      <c r="P39" s="480" t="s">
        <v>31</v>
      </c>
      <c r="Q39" s="480"/>
      <c r="R39" s="480"/>
      <c r="U39" s="56"/>
    </row>
    <row r="40" spans="2:21" s="28" customFormat="1" ht="17.100000000000001" customHeight="1" x14ac:dyDescent="0.25">
      <c r="B40" s="39">
        <v>13</v>
      </c>
      <c r="C40" s="403" t="s">
        <v>28</v>
      </c>
      <c r="D40" s="403"/>
      <c r="E40" s="403"/>
      <c r="F40" s="403"/>
      <c r="G40" s="403"/>
      <c r="H40" s="403"/>
      <c r="I40" s="403"/>
      <c r="J40" s="408" t="s">
        <v>32</v>
      </c>
      <c r="K40" s="409"/>
      <c r="L40" s="410"/>
      <c r="M40" s="408" t="s">
        <v>32</v>
      </c>
      <c r="N40" s="409"/>
      <c r="O40" s="410"/>
      <c r="P40" s="480" t="s">
        <v>32</v>
      </c>
      <c r="Q40" s="480"/>
      <c r="R40" s="480"/>
      <c r="U40" s="56"/>
    </row>
    <row r="41" spans="2:21" s="28" customFormat="1" ht="17.100000000000001" customHeight="1" x14ac:dyDescent="0.25">
      <c r="B41" s="39">
        <v>14</v>
      </c>
      <c r="C41" s="403" t="s">
        <v>29</v>
      </c>
      <c r="D41" s="403"/>
      <c r="E41" s="403"/>
      <c r="F41" s="403"/>
      <c r="G41" s="403"/>
      <c r="H41" s="403"/>
      <c r="I41" s="403"/>
      <c r="J41" s="408" t="s">
        <v>31</v>
      </c>
      <c r="K41" s="409"/>
      <c r="L41" s="410"/>
      <c r="M41" s="408" t="s">
        <v>31</v>
      </c>
      <c r="N41" s="409"/>
      <c r="O41" s="410"/>
      <c r="P41" s="480" t="s">
        <v>31</v>
      </c>
      <c r="Q41" s="480"/>
      <c r="R41" s="480"/>
      <c r="U41" s="56"/>
    </row>
    <row r="42" spans="2:21" ht="24.95" customHeight="1" x14ac:dyDescent="0.25">
      <c r="B42" s="55" t="s">
        <v>154</v>
      </c>
      <c r="C42" s="14"/>
      <c r="D42" s="14"/>
      <c r="E42" s="14"/>
      <c r="F42" s="14"/>
      <c r="G42" s="13"/>
      <c r="H42" s="13"/>
      <c r="I42" s="13"/>
      <c r="J42" s="13"/>
      <c r="K42" s="13"/>
      <c r="L42" s="13"/>
      <c r="M42" s="13"/>
      <c r="N42" s="13"/>
      <c r="O42" s="13"/>
      <c r="U42" s="20"/>
    </row>
    <row r="43" spans="2:21" s="32" customFormat="1" ht="17.100000000000001" customHeight="1" x14ac:dyDescent="0.25">
      <c r="B43" s="402" t="s">
        <v>50</v>
      </c>
      <c r="C43" s="402"/>
      <c r="D43" s="402" t="s">
        <v>97</v>
      </c>
      <c r="E43" s="402"/>
      <c r="F43" s="402"/>
      <c r="G43" s="402"/>
      <c r="H43" s="477" t="s">
        <v>102</v>
      </c>
      <c r="I43" s="477"/>
      <c r="J43" s="477"/>
      <c r="K43" s="477" t="s">
        <v>103</v>
      </c>
      <c r="L43" s="477"/>
      <c r="M43" s="477"/>
      <c r="N43" s="477"/>
      <c r="O43" s="477"/>
      <c r="U43" s="57"/>
    </row>
    <row r="44" spans="2:21" s="12" customFormat="1" ht="17.100000000000001" customHeight="1" x14ac:dyDescent="0.25">
      <c r="B44" s="478" t="s">
        <v>98</v>
      </c>
      <c r="C44" s="478"/>
      <c r="D44" s="478" t="s">
        <v>100</v>
      </c>
      <c r="E44" s="478"/>
      <c r="F44" s="478"/>
      <c r="G44" s="478"/>
      <c r="H44" s="475" t="s">
        <v>100</v>
      </c>
      <c r="I44" s="475"/>
      <c r="J44" s="475"/>
      <c r="K44" s="475" t="s">
        <v>104</v>
      </c>
      <c r="L44" s="475"/>
      <c r="M44" s="475"/>
      <c r="N44" s="475"/>
      <c r="O44" s="475"/>
      <c r="U44" s="58"/>
    </row>
    <row r="45" spans="2:21" s="12" customFormat="1" ht="17.100000000000001" customHeight="1" x14ac:dyDescent="0.25">
      <c r="B45" s="478" t="s">
        <v>99</v>
      </c>
      <c r="C45" s="478"/>
      <c r="D45" s="478" t="s">
        <v>101</v>
      </c>
      <c r="E45" s="478"/>
      <c r="F45" s="478"/>
      <c r="G45" s="478"/>
      <c r="H45" s="475" t="s">
        <v>100</v>
      </c>
      <c r="I45" s="475"/>
      <c r="J45" s="475"/>
      <c r="K45" s="475" t="s">
        <v>100</v>
      </c>
      <c r="L45" s="475"/>
      <c r="M45" s="475"/>
      <c r="N45" s="475"/>
      <c r="O45" s="475"/>
      <c r="U45" s="58"/>
    </row>
    <row r="46" spans="2:21" s="28" customFormat="1" ht="15" customHeight="1" x14ac:dyDescent="0.25">
      <c r="B46" s="37"/>
      <c r="C46" s="31"/>
      <c r="D46" s="31"/>
      <c r="E46" s="31"/>
      <c r="F46" s="31"/>
      <c r="G46" s="31"/>
      <c r="H46" s="31"/>
      <c r="I46" s="31"/>
      <c r="J46" s="30"/>
      <c r="K46" s="30"/>
      <c r="L46" s="30"/>
      <c r="M46" s="30"/>
      <c r="N46" s="30"/>
      <c r="O46" s="30"/>
      <c r="U46" s="56"/>
    </row>
    <row r="47" spans="2:21" ht="20.100000000000001" customHeight="1" x14ac:dyDescent="0.25">
      <c r="B47" s="52" t="s">
        <v>75</v>
      </c>
      <c r="U47" s="20"/>
    </row>
    <row r="48" spans="2:21" s="27" customFormat="1" ht="20.100000000000001" customHeight="1" x14ac:dyDescent="0.25">
      <c r="B48" s="345" t="s">
        <v>1</v>
      </c>
      <c r="C48" s="338" t="s">
        <v>51</v>
      </c>
      <c r="D48" s="378"/>
      <c r="E48" s="378"/>
      <c r="F48" s="339"/>
      <c r="G48" s="338" t="s">
        <v>52</v>
      </c>
      <c r="H48" s="378"/>
      <c r="I48" s="378"/>
      <c r="J48" s="378"/>
      <c r="K48" s="339"/>
      <c r="L48" s="473" t="s">
        <v>121</v>
      </c>
      <c r="M48" s="473"/>
      <c r="N48" s="473"/>
      <c r="O48" s="473"/>
      <c r="P48" s="473"/>
      <c r="Q48" s="473"/>
      <c r="R48" s="473"/>
      <c r="S48" s="473"/>
      <c r="U48" s="59"/>
    </row>
    <row r="49" spans="2:21" s="27" customFormat="1" ht="20.100000000000001" customHeight="1" thickBot="1" x14ac:dyDescent="0.3">
      <c r="B49" s="377"/>
      <c r="C49" s="379"/>
      <c r="D49" s="380"/>
      <c r="E49" s="380"/>
      <c r="F49" s="381"/>
      <c r="G49" s="379"/>
      <c r="H49" s="380"/>
      <c r="I49" s="380"/>
      <c r="J49" s="380"/>
      <c r="K49" s="381"/>
      <c r="L49" s="394" t="s">
        <v>79</v>
      </c>
      <c r="M49" s="394"/>
      <c r="N49" s="394" t="s">
        <v>80</v>
      </c>
      <c r="O49" s="394"/>
      <c r="P49" s="394" t="s">
        <v>81</v>
      </c>
      <c r="Q49" s="394"/>
      <c r="R49" s="394" t="s">
        <v>116</v>
      </c>
      <c r="S49" s="394"/>
      <c r="U49" s="59"/>
    </row>
    <row r="50" spans="2:21" ht="28.5" customHeight="1" thickTop="1" x14ac:dyDescent="0.25">
      <c r="B50" s="38">
        <v>1</v>
      </c>
      <c r="C50" s="479" t="s">
        <v>242</v>
      </c>
      <c r="D50" s="479"/>
      <c r="E50" s="479"/>
      <c r="F50" s="479"/>
      <c r="G50" s="476" t="s">
        <v>243</v>
      </c>
      <c r="H50" s="476"/>
      <c r="I50" s="476"/>
      <c r="J50" s="476"/>
      <c r="K50" s="476"/>
      <c r="L50" s="474"/>
      <c r="M50" s="474"/>
      <c r="N50" s="474"/>
      <c r="O50" s="474"/>
      <c r="P50" s="474"/>
      <c r="Q50" s="474"/>
      <c r="R50" s="474"/>
      <c r="S50" s="474"/>
      <c r="U50" s="20"/>
    </row>
    <row r="51" spans="2:21" ht="24.95" customHeight="1" x14ac:dyDescent="0.25">
      <c r="B51" s="55" t="s">
        <v>155</v>
      </c>
      <c r="U51" s="20"/>
    </row>
    <row r="52" spans="2:21" s="28" customFormat="1" ht="20.100000000000001" customHeight="1" x14ac:dyDescent="0.25">
      <c r="B52" s="411" t="s">
        <v>86</v>
      </c>
      <c r="C52" s="413"/>
      <c r="D52" s="411" t="s">
        <v>85</v>
      </c>
      <c r="E52" s="412"/>
      <c r="F52" s="412"/>
      <c r="G52" s="413"/>
      <c r="H52" s="402" t="s">
        <v>115</v>
      </c>
      <c r="I52" s="402"/>
      <c r="J52" s="402"/>
      <c r="K52" s="402"/>
      <c r="L52" s="30"/>
      <c r="M52" s="30"/>
      <c r="N52" s="30"/>
      <c r="O52" s="30"/>
      <c r="P52" s="30"/>
      <c r="Q52" s="30"/>
      <c r="U52" s="56"/>
    </row>
    <row r="53" spans="2:21" s="28" customFormat="1" ht="17.100000000000001" customHeight="1" x14ac:dyDescent="0.25">
      <c r="B53" s="446" t="s">
        <v>87</v>
      </c>
      <c r="C53" s="447"/>
      <c r="D53" s="438" t="s">
        <v>94</v>
      </c>
      <c r="E53" s="439"/>
      <c r="F53" s="439"/>
      <c r="G53" s="472"/>
      <c r="H53" s="464" t="s">
        <v>120</v>
      </c>
      <c r="I53" s="464"/>
      <c r="J53" s="464"/>
      <c r="K53" s="464"/>
      <c r="L53" s="30"/>
      <c r="M53" s="30"/>
      <c r="N53" s="30"/>
      <c r="O53" s="466" t="s">
        <v>118</v>
      </c>
      <c r="P53" s="467"/>
      <c r="Q53" s="468"/>
      <c r="U53" s="56"/>
    </row>
    <row r="54" spans="2:21" s="28" customFormat="1" ht="17.100000000000001" customHeight="1" x14ac:dyDescent="0.2">
      <c r="B54" s="446" t="s">
        <v>88</v>
      </c>
      <c r="C54" s="447"/>
      <c r="D54" s="438" t="s">
        <v>94</v>
      </c>
      <c r="E54" s="439"/>
      <c r="F54" s="439"/>
      <c r="G54" s="472"/>
      <c r="H54" s="464"/>
      <c r="I54" s="464"/>
      <c r="J54" s="464"/>
      <c r="K54" s="464"/>
      <c r="L54" s="30"/>
      <c r="M54" s="30"/>
      <c r="N54" s="30"/>
      <c r="O54" s="469"/>
      <c r="P54" s="470"/>
      <c r="Q54" s="471"/>
      <c r="U54" s="56"/>
    </row>
    <row r="55" spans="2:21" s="28" customFormat="1" ht="17.100000000000001" customHeight="1" x14ac:dyDescent="0.25">
      <c r="B55" s="446" t="s">
        <v>89</v>
      </c>
      <c r="C55" s="447"/>
      <c r="D55" s="438" t="s">
        <v>94</v>
      </c>
      <c r="E55" s="439"/>
      <c r="F55" s="439"/>
      <c r="G55" s="472"/>
      <c r="H55" s="464"/>
      <c r="I55" s="464"/>
      <c r="J55" s="464"/>
      <c r="K55" s="464"/>
      <c r="L55" s="30"/>
      <c r="M55" s="30"/>
      <c r="N55" s="30"/>
      <c r="O55" s="458"/>
      <c r="P55" s="459"/>
      <c r="Q55" s="460"/>
      <c r="U55" s="56"/>
    </row>
    <row r="56" spans="2:21" s="28" customFormat="1" ht="17.100000000000001" customHeight="1" x14ac:dyDescent="0.2">
      <c r="B56" s="446" t="s">
        <v>90</v>
      </c>
      <c r="C56" s="447"/>
      <c r="D56" s="438" t="s">
        <v>95</v>
      </c>
      <c r="E56" s="439"/>
      <c r="F56" s="440"/>
      <c r="G56" s="441"/>
      <c r="H56" s="465"/>
      <c r="I56" s="465"/>
      <c r="J56" s="465"/>
      <c r="K56" s="465"/>
      <c r="L56" s="325"/>
      <c r="M56" s="30"/>
      <c r="N56" s="30"/>
      <c r="O56" s="461"/>
      <c r="P56" s="462"/>
      <c r="Q56" s="463"/>
      <c r="U56" s="56"/>
    </row>
    <row r="57" spans="2:21" s="28" customFormat="1" ht="17.100000000000001" customHeight="1" x14ac:dyDescent="0.25">
      <c r="B57" s="446" t="s">
        <v>91</v>
      </c>
      <c r="C57" s="447"/>
      <c r="D57" s="438" t="s">
        <v>95</v>
      </c>
      <c r="E57" s="439"/>
      <c r="F57" s="439"/>
      <c r="G57" s="472"/>
      <c r="H57" s="464"/>
      <c r="I57" s="464"/>
      <c r="J57" s="464"/>
      <c r="K57" s="464"/>
      <c r="L57" s="30"/>
      <c r="M57" s="30"/>
      <c r="N57" s="30"/>
      <c r="O57" s="79" t="s">
        <v>117</v>
      </c>
      <c r="P57" s="106"/>
      <c r="Q57" s="80"/>
      <c r="U57" s="56"/>
    </row>
    <row r="58" spans="2:21" s="28" customFormat="1" ht="17.100000000000001" customHeight="1" x14ac:dyDescent="0.25">
      <c r="B58" s="446" t="s">
        <v>92</v>
      </c>
      <c r="C58" s="447"/>
      <c r="D58" s="438" t="s">
        <v>96</v>
      </c>
      <c r="E58" s="439"/>
      <c r="F58" s="439"/>
      <c r="G58" s="472"/>
      <c r="H58" s="464"/>
      <c r="I58" s="464"/>
      <c r="J58" s="464"/>
      <c r="K58" s="464"/>
      <c r="L58" s="30"/>
      <c r="M58" s="30"/>
      <c r="N58" s="30"/>
      <c r="O58" s="79" t="s">
        <v>158</v>
      </c>
      <c r="P58" s="163"/>
      <c r="Q58" s="105"/>
      <c r="U58" s="56"/>
    </row>
    <row r="59" spans="2:21" s="28" customFormat="1" ht="17.100000000000001" customHeight="1" x14ac:dyDescent="0.25">
      <c r="B59" s="446" t="s">
        <v>93</v>
      </c>
      <c r="C59" s="447"/>
      <c r="D59" s="438" t="s">
        <v>96</v>
      </c>
      <c r="E59" s="439"/>
      <c r="F59" s="439"/>
      <c r="G59" s="472"/>
      <c r="H59" s="464"/>
      <c r="I59" s="464"/>
      <c r="J59" s="464"/>
      <c r="K59" s="464"/>
      <c r="L59" s="30"/>
      <c r="M59" s="30"/>
      <c r="N59" s="30"/>
      <c r="O59" s="30"/>
      <c r="P59" s="30"/>
      <c r="U59" s="56"/>
    </row>
    <row r="60" spans="2:21" s="28" customFormat="1" ht="9.9499999999999993" customHeight="1" thickBot="1" x14ac:dyDescent="0.3">
      <c r="B60" s="60"/>
      <c r="C60" s="45"/>
      <c r="D60" s="45"/>
      <c r="E60" s="45"/>
      <c r="F60" s="45"/>
      <c r="G60" s="46"/>
      <c r="H60" s="46"/>
      <c r="I60" s="46"/>
      <c r="J60" s="46"/>
      <c r="K60" s="46"/>
      <c r="L60" s="47"/>
      <c r="M60" s="47"/>
      <c r="N60" s="47"/>
      <c r="O60" s="47"/>
      <c r="P60" s="47"/>
      <c r="Q60" s="47"/>
      <c r="R60" s="48"/>
      <c r="S60" s="48"/>
      <c r="T60" s="48"/>
      <c r="U60" s="61"/>
    </row>
    <row r="61" spans="2:21" s="13" customFormat="1" ht="17.100000000000001" customHeight="1" thickTop="1" x14ac:dyDescent="0.25">
      <c r="B61" s="442" t="s">
        <v>140</v>
      </c>
      <c r="C61" s="443"/>
      <c r="D61" s="443"/>
      <c r="E61" s="443"/>
      <c r="F61" s="443"/>
      <c r="G61" s="443"/>
      <c r="H61" s="443"/>
      <c r="I61" s="443"/>
      <c r="J61" s="62"/>
      <c r="K61" s="62"/>
      <c r="L61" s="63"/>
      <c r="M61" s="63"/>
      <c r="N61" s="63"/>
      <c r="O61" s="63"/>
      <c r="P61" s="63"/>
      <c r="Q61" s="63"/>
      <c r="R61" s="483" t="s">
        <v>149</v>
      </c>
      <c r="S61" s="484"/>
      <c r="T61" s="484"/>
      <c r="U61" s="485"/>
    </row>
    <row r="62" spans="2:21" s="13" customFormat="1" ht="17.100000000000001" customHeight="1" x14ac:dyDescent="0.25">
      <c r="B62" s="444"/>
      <c r="C62" s="445"/>
      <c r="D62" s="445"/>
      <c r="E62" s="445"/>
      <c r="F62" s="445"/>
      <c r="G62" s="445"/>
      <c r="H62" s="445"/>
      <c r="I62" s="445"/>
      <c r="J62" s="62"/>
      <c r="K62" s="62"/>
      <c r="L62" s="63"/>
      <c r="M62" s="63"/>
      <c r="N62" s="63"/>
      <c r="O62" s="63"/>
      <c r="P62" s="63"/>
      <c r="Q62" s="63"/>
      <c r="R62" s="482" t="s">
        <v>141</v>
      </c>
      <c r="S62" s="482"/>
      <c r="T62" s="482"/>
      <c r="U62" s="482"/>
    </row>
    <row r="63" spans="2:21" s="27" customFormat="1" ht="17.100000000000001" customHeight="1" x14ac:dyDescent="0.25">
      <c r="B63" s="65" t="s">
        <v>128</v>
      </c>
      <c r="C63" s="435" t="s">
        <v>129</v>
      </c>
      <c r="D63" s="436"/>
      <c r="E63" s="436"/>
      <c r="F63" s="436"/>
      <c r="G63" s="436"/>
      <c r="H63" s="436"/>
      <c r="I63" s="436"/>
      <c r="J63" s="436"/>
      <c r="K63" s="437"/>
      <c r="L63" s="65" t="s">
        <v>136</v>
      </c>
      <c r="M63" s="435" t="s">
        <v>142</v>
      </c>
      <c r="N63" s="436"/>
      <c r="O63" s="436"/>
      <c r="P63" s="436"/>
      <c r="Q63" s="437"/>
      <c r="R63" s="482" t="s">
        <v>151</v>
      </c>
      <c r="S63" s="482"/>
      <c r="T63" s="482" t="s">
        <v>152</v>
      </c>
      <c r="U63" s="482"/>
    </row>
    <row r="64" spans="2:21" s="13" customFormat="1" ht="17.100000000000001" customHeight="1" x14ac:dyDescent="0.25">
      <c r="B64" s="16">
        <v>1</v>
      </c>
      <c r="C64" s="421" t="s">
        <v>130</v>
      </c>
      <c r="D64" s="422"/>
      <c r="E64" s="422"/>
      <c r="F64" s="422"/>
      <c r="G64" s="422"/>
      <c r="H64" s="422"/>
      <c r="I64" s="422"/>
      <c r="J64" s="422"/>
      <c r="K64" s="423"/>
      <c r="L64" s="16" t="s">
        <v>137</v>
      </c>
      <c r="M64" s="336" t="s">
        <v>145</v>
      </c>
      <c r="N64" s="372"/>
      <c r="O64" s="372"/>
      <c r="P64" s="372"/>
      <c r="Q64" s="372"/>
      <c r="R64" s="432">
        <f>+C13-15</f>
        <v>45510</v>
      </c>
      <c r="S64" s="333"/>
      <c r="T64" s="432">
        <v>45485</v>
      </c>
      <c r="U64" s="432"/>
    </row>
    <row r="65" spans="2:21" s="13" customFormat="1" ht="17.100000000000001" customHeight="1" x14ac:dyDescent="0.25">
      <c r="B65" s="16">
        <v>2</v>
      </c>
      <c r="C65" s="421" t="s">
        <v>131</v>
      </c>
      <c r="D65" s="422"/>
      <c r="E65" s="422"/>
      <c r="F65" s="422"/>
      <c r="G65" s="422"/>
      <c r="H65" s="422"/>
      <c r="I65" s="422"/>
      <c r="J65" s="422"/>
      <c r="K65" s="423"/>
      <c r="L65" s="16" t="s">
        <v>138</v>
      </c>
      <c r="M65" s="336" t="s">
        <v>144</v>
      </c>
      <c r="N65" s="372"/>
      <c r="O65" s="372"/>
      <c r="P65" s="372"/>
      <c r="Q65" s="372"/>
      <c r="R65" s="432">
        <f>+C13-13</f>
        <v>45512</v>
      </c>
      <c r="S65" s="333"/>
      <c r="T65" s="432"/>
      <c r="U65" s="432"/>
    </row>
    <row r="66" spans="2:21" s="13" customFormat="1" ht="17.100000000000001" customHeight="1" x14ac:dyDescent="0.25">
      <c r="B66" s="16">
        <v>3</v>
      </c>
      <c r="C66" s="421" t="s">
        <v>156</v>
      </c>
      <c r="D66" s="422"/>
      <c r="E66" s="422"/>
      <c r="F66" s="422"/>
      <c r="G66" s="422"/>
      <c r="H66" s="422"/>
      <c r="I66" s="422"/>
      <c r="J66" s="422"/>
      <c r="K66" s="423"/>
      <c r="L66" s="16" t="s">
        <v>137</v>
      </c>
      <c r="M66" s="336" t="s">
        <v>143</v>
      </c>
      <c r="N66" s="372"/>
      <c r="O66" s="372"/>
      <c r="P66" s="372"/>
      <c r="Q66" s="372"/>
      <c r="R66" s="432">
        <f>+C13-10</f>
        <v>45515</v>
      </c>
      <c r="S66" s="333"/>
      <c r="T66" s="432"/>
      <c r="U66" s="432"/>
    </row>
    <row r="67" spans="2:21" s="13" customFormat="1" ht="17.100000000000001" customHeight="1" x14ac:dyDescent="0.25">
      <c r="B67" s="16">
        <v>4</v>
      </c>
      <c r="C67" s="421" t="s">
        <v>132</v>
      </c>
      <c r="D67" s="422"/>
      <c r="E67" s="422"/>
      <c r="F67" s="422"/>
      <c r="G67" s="422"/>
      <c r="H67" s="422"/>
      <c r="I67" s="422"/>
      <c r="J67" s="422"/>
      <c r="K67" s="423"/>
      <c r="L67" s="16" t="s">
        <v>138</v>
      </c>
      <c r="M67" s="336" t="s">
        <v>148</v>
      </c>
      <c r="N67" s="372"/>
      <c r="O67" s="372"/>
      <c r="P67" s="372"/>
      <c r="Q67" s="372"/>
      <c r="R67" s="432">
        <f>+C13-8</f>
        <v>45517</v>
      </c>
      <c r="S67" s="333"/>
      <c r="T67" s="432"/>
      <c r="U67" s="432"/>
    </row>
    <row r="68" spans="2:21" s="13" customFormat="1" ht="17.100000000000001" customHeight="1" x14ac:dyDescent="0.25">
      <c r="B68" s="16">
        <v>5</v>
      </c>
      <c r="C68" s="421" t="s">
        <v>133</v>
      </c>
      <c r="D68" s="422"/>
      <c r="E68" s="422"/>
      <c r="F68" s="422"/>
      <c r="G68" s="422"/>
      <c r="H68" s="422"/>
      <c r="I68" s="422"/>
      <c r="J68" s="422"/>
      <c r="K68" s="423"/>
      <c r="L68" s="16" t="s">
        <v>137</v>
      </c>
      <c r="M68" s="336" t="s">
        <v>188</v>
      </c>
      <c r="N68" s="372"/>
      <c r="O68" s="372"/>
      <c r="P68" s="372"/>
      <c r="Q68" s="372"/>
      <c r="R68" s="481">
        <v>45495</v>
      </c>
      <c r="S68" s="481"/>
      <c r="T68" s="432"/>
      <c r="U68" s="432"/>
    </row>
    <row r="69" spans="2:21" s="13" customFormat="1" ht="17.100000000000001" customHeight="1" x14ac:dyDescent="0.25">
      <c r="B69" s="16">
        <v>6</v>
      </c>
      <c r="C69" s="421" t="s">
        <v>134</v>
      </c>
      <c r="D69" s="422"/>
      <c r="E69" s="422"/>
      <c r="F69" s="422"/>
      <c r="G69" s="422"/>
      <c r="H69" s="422"/>
      <c r="I69" s="422"/>
      <c r="J69" s="422"/>
      <c r="K69" s="423"/>
      <c r="L69" s="16" t="s">
        <v>137</v>
      </c>
      <c r="M69" s="336" t="s">
        <v>159</v>
      </c>
      <c r="N69" s="372"/>
      <c r="O69" s="372"/>
      <c r="P69" s="372"/>
      <c r="Q69" s="372"/>
      <c r="R69" s="432">
        <f>+R67+7</f>
        <v>45524</v>
      </c>
      <c r="S69" s="333"/>
      <c r="T69" s="432"/>
      <c r="U69" s="432"/>
    </row>
    <row r="70" spans="2:21" s="13" customFormat="1" ht="17.100000000000001" customHeight="1" x14ac:dyDescent="0.25">
      <c r="B70" s="16">
        <v>7</v>
      </c>
      <c r="C70" s="421" t="s">
        <v>139</v>
      </c>
      <c r="D70" s="422"/>
      <c r="E70" s="422"/>
      <c r="F70" s="422"/>
      <c r="G70" s="422"/>
      <c r="H70" s="422"/>
      <c r="I70" s="422"/>
      <c r="J70" s="422"/>
      <c r="K70" s="423"/>
      <c r="L70" s="16" t="s">
        <v>138</v>
      </c>
      <c r="M70" s="336" t="s">
        <v>147</v>
      </c>
      <c r="N70" s="372"/>
      <c r="O70" s="372"/>
      <c r="P70" s="372"/>
      <c r="Q70" s="372"/>
      <c r="R70" s="432">
        <f>+C13-7</f>
        <v>45518</v>
      </c>
      <c r="S70" s="333"/>
      <c r="T70" s="432"/>
      <c r="U70" s="432"/>
    </row>
    <row r="71" spans="2:21" s="13" customFormat="1" ht="17.100000000000001" customHeight="1" x14ac:dyDescent="0.25">
      <c r="B71" s="16">
        <v>8</v>
      </c>
      <c r="C71" s="421" t="s">
        <v>135</v>
      </c>
      <c r="D71" s="422"/>
      <c r="E71" s="422"/>
      <c r="F71" s="422"/>
      <c r="G71" s="422"/>
      <c r="H71" s="422"/>
      <c r="I71" s="422"/>
      <c r="J71" s="422"/>
      <c r="K71" s="423"/>
      <c r="L71" s="16">
        <v>1019000</v>
      </c>
      <c r="M71" s="336" t="s">
        <v>146</v>
      </c>
      <c r="N71" s="372"/>
      <c r="O71" s="372"/>
      <c r="P71" s="372"/>
      <c r="Q71" s="372"/>
      <c r="R71" s="432">
        <f>+C13-1</f>
        <v>45524</v>
      </c>
      <c r="S71" s="333"/>
      <c r="T71" s="432"/>
      <c r="U71" s="432"/>
    </row>
    <row r="72" spans="2:21" s="13" customFormat="1" ht="17.100000000000001" customHeight="1" x14ac:dyDescent="0.25">
      <c r="B72" s="16">
        <v>9</v>
      </c>
      <c r="C72" s="421" t="s">
        <v>150</v>
      </c>
      <c r="D72" s="422"/>
      <c r="E72" s="422"/>
      <c r="F72" s="422"/>
      <c r="G72" s="422"/>
      <c r="H72" s="422"/>
      <c r="I72" s="422"/>
      <c r="J72" s="422"/>
      <c r="K72" s="423"/>
      <c r="L72" s="16">
        <v>767000</v>
      </c>
      <c r="M72" s="336" t="s">
        <v>146</v>
      </c>
      <c r="N72" s="372"/>
      <c r="O72" s="372"/>
      <c r="P72" s="372"/>
      <c r="Q72" s="372"/>
      <c r="R72" s="432">
        <f>+C13-1</f>
        <v>45524</v>
      </c>
      <c r="S72" s="333"/>
      <c r="T72" s="432"/>
      <c r="U72" s="432"/>
    </row>
    <row r="73" spans="2:21" s="13" customFormat="1" ht="17.100000000000001" customHeight="1" x14ac:dyDescent="0.25">
      <c r="B73" s="64"/>
      <c r="C73" s="62"/>
      <c r="D73" s="62"/>
      <c r="E73" s="62"/>
      <c r="F73" s="62"/>
      <c r="G73" s="62"/>
      <c r="H73" s="62"/>
      <c r="I73" s="62"/>
      <c r="J73" s="62"/>
      <c r="K73" s="62"/>
      <c r="L73" s="63"/>
      <c r="M73" s="63"/>
      <c r="N73" s="63"/>
      <c r="O73" s="63"/>
      <c r="P73" s="63"/>
      <c r="Q73" s="63"/>
      <c r="U73" s="54"/>
    </row>
    <row r="74" spans="2:21" s="12" customFormat="1" ht="15" customHeight="1" x14ac:dyDescent="0.25">
      <c r="B74" s="448" t="s">
        <v>113</v>
      </c>
      <c r="C74" s="449"/>
      <c r="D74" s="449"/>
      <c r="E74" s="449"/>
      <c r="F74" s="450"/>
      <c r="G74" s="418"/>
      <c r="H74" s="424" t="s">
        <v>114</v>
      </c>
      <c r="I74" s="425"/>
      <c r="J74" s="26"/>
      <c r="K74" s="416"/>
      <c r="L74" s="434"/>
      <c r="M74" s="434"/>
      <c r="N74" s="417"/>
      <c r="O74" s="416"/>
      <c r="P74" s="417"/>
      <c r="Q74" s="26"/>
      <c r="R74" s="26"/>
      <c r="S74" s="416"/>
      <c r="T74" s="417"/>
      <c r="U74" s="26"/>
    </row>
    <row r="75" spans="2:21" s="12" customFormat="1" ht="15" customHeight="1" x14ac:dyDescent="0.25">
      <c r="B75" s="451"/>
      <c r="C75" s="452"/>
      <c r="D75" s="452"/>
      <c r="E75" s="452"/>
      <c r="F75" s="453"/>
      <c r="G75" s="419"/>
      <c r="H75" s="426"/>
      <c r="I75" s="427"/>
      <c r="J75" s="26"/>
      <c r="K75" s="416"/>
      <c r="L75" s="434"/>
      <c r="M75" s="434"/>
      <c r="N75" s="417"/>
      <c r="O75" s="416"/>
      <c r="P75" s="417"/>
      <c r="Q75" s="26"/>
      <c r="R75" s="26"/>
      <c r="S75" s="416"/>
      <c r="T75" s="417"/>
      <c r="U75" s="26"/>
    </row>
    <row r="76" spans="2:21" s="12" customFormat="1" ht="15" customHeight="1" x14ac:dyDescent="0.25">
      <c r="B76" s="451"/>
      <c r="C76" s="452"/>
      <c r="D76" s="452"/>
      <c r="E76" s="452"/>
      <c r="F76" s="453"/>
      <c r="G76" s="419"/>
      <c r="H76" s="426"/>
      <c r="I76" s="427"/>
      <c r="J76" s="26"/>
      <c r="K76" s="34"/>
      <c r="L76" s="35"/>
      <c r="M76" s="35"/>
      <c r="N76" s="36"/>
      <c r="O76" s="34"/>
      <c r="P76" s="36"/>
      <c r="Q76" s="26"/>
      <c r="R76" s="26"/>
      <c r="S76" s="34"/>
      <c r="T76" s="36"/>
      <c r="U76" s="26"/>
    </row>
    <row r="77" spans="2:21" s="12" customFormat="1" ht="15" customHeight="1" x14ac:dyDescent="0.25">
      <c r="B77" s="451"/>
      <c r="C77" s="452"/>
      <c r="D77" s="452"/>
      <c r="E77" s="452"/>
      <c r="F77" s="453"/>
      <c r="G77" s="419"/>
      <c r="H77" s="426"/>
      <c r="I77" s="427"/>
      <c r="J77" s="26"/>
      <c r="K77" s="416"/>
      <c r="L77" s="434"/>
      <c r="M77" s="434"/>
      <c r="N77" s="417"/>
      <c r="O77" s="416"/>
      <c r="P77" s="417"/>
      <c r="Q77" s="26"/>
      <c r="R77" s="26"/>
      <c r="S77" s="416"/>
      <c r="T77" s="417"/>
      <c r="U77" s="26"/>
    </row>
    <row r="78" spans="2:21" s="12" customFormat="1" ht="15" customHeight="1" x14ac:dyDescent="0.25">
      <c r="B78" s="451"/>
      <c r="C78" s="452"/>
      <c r="D78" s="452"/>
      <c r="E78" s="452"/>
      <c r="F78" s="453"/>
      <c r="G78" s="419"/>
      <c r="H78" s="426"/>
      <c r="I78" s="427"/>
      <c r="J78" s="26">
        <v>0</v>
      </c>
      <c r="K78" s="416" t="s">
        <v>112</v>
      </c>
      <c r="L78" s="434"/>
      <c r="M78" s="434"/>
      <c r="N78" s="417"/>
      <c r="O78" s="457">
        <v>45112</v>
      </c>
      <c r="P78" s="417"/>
      <c r="Q78" s="26" t="s">
        <v>55</v>
      </c>
      <c r="R78" s="26" t="s">
        <v>7</v>
      </c>
      <c r="S78" s="416" t="s">
        <v>7</v>
      </c>
      <c r="T78" s="417"/>
      <c r="U78" s="26" t="s">
        <v>7</v>
      </c>
    </row>
    <row r="79" spans="2:21" s="3" customFormat="1" ht="15" customHeight="1" x14ac:dyDescent="0.25">
      <c r="B79" s="454"/>
      <c r="C79" s="455"/>
      <c r="D79" s="455"/>
      <c r="E79" s="455"/>
      <c r="F79" s="456"/>
      <c r="G79" s="420"/>
      <c r="H79" s="428"/>
      <c r="I79" s="429"/>
      <c r="J79" s="26">
        <v>0</v>
      </c>
      <c r="K79" s="430" t="s">
        <v>110</v>
      </c>
      <c r="L79" s="433"/>
      <c r="M79" s="433"/>
      <c r="N79" s="431"/>
      <c r="O79" s="430" t="s">
        <v>5</v>
      </c>
      <c r="P79" s="431"/>
      <c r="Q79" s="33" t="s">
        <v>107</v>
      </c>
      <c r="R79" s="33" t="s">
        <v>108</v>
      </c>
      <c r="S79" s="430" t="s">
        <v>109</v>
      </c>
      <c r="T79" s="431"/>
      <c r="U79" s="33" t="s">
        <v>107</v>
      </c>
    </row>
    <row r="80" spans="2:21" ht="20.100000000000001" customHeight="1" x14ac:dyDescent="0.25">
      <c r="G80" s="1">
        <f>L72</f>
        <v>767000</v>
      </c>
      <c r="J80" s="26">
        <v>0</v>
      </c>
    </row>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sheetData>
  <mergeCells count="226">
    <mergeCell ref="M39:O39"/>
    <mergeCell ref="C38:I38"/>
    <mergeCell ref="J38:L38"/>
    <mergeCell ref="M40:O40"/>
    <mergeCell ref="C41:I41"/>
    <mergeCell ref="P36:R36"/>
    <mergeCell ref="B43:C43"/>
    <mergeCell ref="C40:I40"/>
    <mergeCell ref="R62:U62"/>
    <mergeCell ref="R61:U61"/>
    <mergeCell ref="C64:K64"/>
    <mergeCell ref="R63:S63"/>
    <mergeCell ref="T63:U63"/>
    <mergeCell ref="P49:Q49"/>
    <mergeCell ref="D53:G53"/>
    <mergeCell ref="D54:G54"/>
    <mergeCell ref="B58:C58"/>
    <mergeCell ref="P50:Q50"/>
    <mergeCell ref="R49:S49"/>
    <mergeCell ref="R50:S50"/>
    <mergeCell ref="B48:B49"/>
    <mergeCell ref="N49:O49"/>
    <mergeCell ref="B57:C57"/>
    <mergeCell ref="D55:G55"/>
    <mergeCell ref="C48:F49"/>
    <mergeCell ref="G48:K49"/>
    <mergeCell ref="L49:M49"/>
    <mergeCell ref="T71:U71"/>
    <mergeCell ref="M69:Q69"/>
    <mergeCell ref="M70:Q70"/>
    <mergeCell ref="M71:Q71"/>
    <mergeCell ref="R64:S64"/>
    <mergeCell ref="R65:S65"/>
    <mergeCell ref="R66:S66"/>
    <mergeCell ref="R67:S67"/>
    <mergeCell ref="M64:Q64"/>
    <mergeCell ref="M65:Q65"/>
    <mergeCell ref="R68:S68"/>
    <mergeCell ref="R69:S69"/>
    <mergeCell ref="R70:S70"/>
    <mergeCell ref="R71:S71"/>
    <mergeCell ref="M68:Q68"/>
    <mergeCell ref="T64:U64"/>
    <mergeCell ref="T65:U65"/>
    <mergeCell ref="T66:U66"/>
    <mergeCell ref="T67:U67"/>
    <mergeCell ref="T68:U68"/>
    <mergeCell ref="T69:U69"/>
    <mergeCell ref="T70:U70"/>
    <mergeCell ref="K44:O44"/>
    <mergeCell ref="C50:F50"/>
    <mergeCell ref="H43:J43"/>
    <mergeCell ref="H44:J44"/>
    <mergeCell ref="H45:J45"/>
    <mergeCell ref="J40:L40"/>
    <mergeCell ref="J41:L41"/>
    <mergeCell ref="P37:R37"/>
    <mergeCell ref="P38:R38"/>
    <mergeCell ref="P39:R39"/>
    <mergeCell ref="P41:R41"/>
    <mergeCell ref="P40:R40"/>
    <mergeCell ref="D44:G44"/>
    <mergeCell ref="D45:G45"/>
    <mergeCell ref="M35:O35"/>
    <mergeCell ref="J36:L36"/>
    <mergeCell ref="J37:L37"/>
    <mergeCell ref="H52:K52"/>
    <mergeCell ref="C36:I36"/>
    <mergeCell ref="C37:I37"/>
    <mergeCell ref="M41:O41"/>
    <mergeCell ref="C39:I39"/>
    <mergeCell ref="L48:S48"/>
    <mergeCell ref="L50:M50"/>
    <mergeCell ref="N50:O50"/>
    <mergeCell ref="K45:O45"/>
    <mergeCell ref="G50:K50"/>
    <mergeCell ref="M36:O36"/>
    <mergeCell ref="M37:O37"/>
    <mergeCell ref="M38:O38"/>
    <mergeCell ref="K43:O43"/>
    <mergeCell ref="J39:L39"/>
    <mergeCell ref="B44:C44"/>
    <mergeCell ref="B45:C45"/>
    <mergeCell ref="D43:G43"/>
    <mergeCell ref="C69:K69"/>
    <mergeCell ref="C70:K70"/>
    <mergeCell ref="C66:K66"/>
    <mergeCell ref="C67:K67"/>
    <mergeCell ref="M63:Q63"/>
    <mergeCell ref="M66:Q66"/>
    <mergeCell ref="M67:Q67"/>
    <mergeCell ref="D57:G57"/>
    <mergeCell ref="D58:G58"/>
    <mergeCell ref="D59:G59"/>
    <mergeCell ref="C71:K71"/>
    <mergeCell ref="C63:K63"/>
    <mergeCell ref="O75:P75"/>
    <mergeCell ref="C68:K68"/>
    <mergeCell ref="D56:G56"/>
    <mergeCell ref="B61:I62"/>
    <mergeCell ref="C65:K65"/>
    <mergeCell ref="B52:C52"/>
    <mergeCell ref="B53:C53"/>
    <mergeCell ref="B54:C54"/>
    <mergeCell ref="B55:C55"/>
    <mergeCell ref="B56:C56"/>
    <mergeCell ref="B74:F79"/>
    <mergeCell ref="O77:P77"/>
    <mergeCell ref="O78:P78"/>
    <mergeCell ref="O79:P79"/>
    <mergeCell ref="O74:P74"/>
    <mergeCell ref="O55:Q55"/>
    <mergeCell ref="O56:Q56"/>
    <mergeCell ref="H53:K59"/>
    <mergeCell ref="B59:C59"/>
    <mergeCell ref="O53:Q53"/>
    <mergeCell ref="O54:Q54"/>
    <mergeCell ref="D52:G52"/>
    <mergeCell ref="S74:T74"/>
    <mergeCell ref="S75:T75"/>
    <mergeCell ref="S77:T77"/>
    <mergeCell ref="S78:T78"/>
    <mergeCell ref="G74:G79"/>
    <mergeCell ref="C72:K72"/>
    <mergeCell ref="H74:I79"/>
    <mergeCell ref="S79:T79"/>
    <mergeCell ref="T72:U72"/>
    <mergeCell ref="R72:S72"/>
    <mergeCell ref="M72:Q72"/>
    <mergeCell ref="K79:N79"/>
    <mergeCell ref="K74:N74"/>
    <mergeCell ref="K75:N75"/>
    <mergeCell ref="K77:N77"/>
    <mergeCell ref="K78:N78"/>
    <mergeCell ref="I12:J12"/>
    <mergeCell ref="P28:R28"/>
    <mergeCell ref="P29:R29"/>
    <mergeCell ref="P30:R30"/>
    <mergeCell ref="P31:R31"/>
    <mergeCell ref="L19:M19"/>
    <mergeCell ref="J23:M23"/>
    <mergeCell ref="J25:K25"/>
    <mergeCell ref="N20:O20"/>
    <mergeCell ref="M27:O27"/>
    <mergeCell ref="M28:O28"/>
    <mergeCell ref="M29:O29"/>
    <mergeCell ref="M30:O30"/>
    <mergeCell ref="I23:I24"/>
    <mergeCell ref="J24:K24"/>
    <mergeCell ref="K13:L13"/>
    <mergeCell ref="C31:I31"/>
    <mergeCell ref="M33:O33"/>
    <mergeCell ref="M34:O34"/>
    <mergeCell ref="C33:I33"/>
    <mergeCell ref="C34:I34"/>
    <mergeCell ref="G25:H25"/>
    <mergeCell ref="L25:M25"/>
    <mergeCell ref="N25:U25"/>
    <mergeCell ref="M31:O31"/>
    <mergeCell ref="M32:O32"/>
    <mergeCell ref="J27:L27"/>
    <mergeCell ref="C32:I32"/>
    <mergeCell ref="P32:R35"/>
    <mergeCell ref="C35:I35"/>
    <mergeCell ref="J30:L30"/>
    <mergeCell ref="J31:L31"/>
    <mergeCell ref="C27:I27"/>
    <mergeCell ref="C28:I28"/>
    <mergeCell ref="C29:I29"/>
    <mergeCell ref="C30:I30"/>
    <mergeCell ref="J33:L33"/>
    <mergeCell ref="J34:L34"/>
    <mergeCell ref="J35:L35"/>
    <mergeCell ref="R20:S20"/>
    <mergeCell ref="T18:U18"/>
    <mergeCell ref="G23:H24"/>
    <mergeCell ref="R19:S19"/>
    <mergeCell ref="J28:L28"/>
    <mergeCell ref="J29:L29"/>
    <mergeCell ref="P27:R27"/>
    <mergeCell ref="J32:L32"/>
    <mergeCell ref="D25:E25"/>
    <mergeCell ref="P20:Q20"/>
    <mergeCell ref="P19:Q19"/>
    <mergeCell ref="D13:E13"/>
    <mergeCell ref="C12:F12"/>
    <mergeCell ref="T19:U19"/>
    <mergeCell ref="B23:B24"/>
    <mergeCell ref="C23:F24"/>
    <mergeCell ref="Y12:Z12"/>
    <mergeCell ref="C20:D20"/>
    <mergeCell ref="E20:F20"/>
    <mergeCell ref="C19:D19"/>
    <mergeCell ref="G13:H13"/>
    <mergeCell ref="K12:L12"/>
    <mergeCell ref="M12:Q12"/>
    <mergeCell ref="I13:J13"/>
    <mergeCell ref="L24:M24"/>
    <mergeCell ref="N23:U24"/>
    <mergeCell ref="L20:M20"/>
    <mergeCell ref="B17:B18"/>
    <mergeCell ref="E18:F18"/>
    <mergeCell ref="E17:G17"/>
    <mergeCell ref="H17:I17"/>
    <mergeCell ref="T20:U20"/>
    <mergeCell ref="T2:U2"/>
    <mergeCell ref="R6:S6"/>
    <mergeCell ref="R2:S2"/>
    <mergeCell ref="P6:Q6"/>
    <mergeCell ref="P2:Q2"/>
    <mergeCell ref="E19:F19"/>
    <mergeCell ref="N6:O6"/>
    <mergeCell ref="R18:S18"/>
    <mergeCell ref="R17:U17"/>
    <mergeCell ref="P18:Q18"/>
    <mergeCell ref="L17:M18"/>
    <mergeCell ref="K17:K18"/>
    <mergeCell ref="T6:U6"/>
    <mergeCell ref="N3:U5"/>
    <mergeCell ref="N2:O2"/>
    <mergeCell ref="N18:O18"/>
    <mergeCell ref="N17:Q17"/>
    <mergeCell ref="N19:O19"/>
    <mergeCell ref="B3:H6"/>
    <mergeCell ref="G12:H12"/>
    <mergeCell ref="C17:D18"/>
  </mergeCells>
  <printOptions horizontalCentered="1" verticalCentered="1"/>
  <pageMargins left="0" right="0" top="0" bottom="0" header="0" footer="0"/>
  <pageSetup paperSize="9"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S79"/>
  <sheetViews>
    <sheetView showGridLines="0" view="pageBreakPreview" topLeftCell="A22" zoomScale="85" zoomScaleNormal="85" zoomScaleSheetLayoutView="85" workbookViewId="0">
      <selection activeCell="H31" sqref="H31"/>
    </sheetView>
  </sheetViews>
  <sheetFormatPr defaultRowHeight="15" x14ac:dyDescent="0.25"/>
  <cols>
    <col min="1" max="1" width="5.7109375" style="1" customWidth="1"/>
    <col min="2" max="5" width="14.7109375" style="2" customWidth="1"/>
    <col min="6" max="15" width="14.7109375" style="1" customWidth="1"/>
    <col min="16" max="16" width="1.7109375" style="1" customWidth="1"/>
    <col min="17" max="46" width="15.7109375" style="1" customWidth="1"/>
    <col min="47" max="16384" width="9.140625" style="1"/>
  </cols>
  <sheetData>
    <row r="1" spans="1:15" x14ac:dyDescent="0.25">
      <c r="O1" s="97" t="s">
        <v>119</v>
      </c>
    </row>
    <row r="2" spans="1:15" ht="15" customHeight="1" x14ac:dyDescent="0.25">
      <c r="A2" s="85" t="s">
        <v>38</v>
      </c>
      <c r="B2" s="78"/>
      <c r="C2" s="78"/>
      <c r="D2" s="78"/>
      <c r="E2" s="78"/>
      <c r="F2" s="86"/>
      <c r="G2" s="86"/>
      <c r="H2" s="87" t="s">
        <v>61</v>
      </c>
      <c r="I2" s="89" t="s">
        <v>62</v>
      </c>
      <c r="J2" s="89" t="s">
        <v>167</v>
      </c>
      <c r="K2" s="90"/>
      <c r="L2" s="4" t="s">
        <v>67</v>
      </c>
      <c r="M2" s="4" t="s">
        <v>66</v>
      </c>
      <c r="N2" s="4" t="s">
        <v>54</v>
      </c>
      <c r="O2" s="4" t="s">
        <v>53</v>
      </c>
    </row>
    <row r="3" spans="1:15" ht="15" customHeight="1" x14ac:dyDescent="0.25">
      <c r="A3" s="540" t="s">
        <v>168</v>
      </c>
      <c r="B3" s="541"/>
      <c r="C3" s="541"/>
      <c r="D3" s="541"/>
      <c r="E3" s="541"/>
      <c r="F3" s="541"/>
      <c r="G3" s="541"/>
      <c r="H3" s="542"/>
      <c r="I3" s="92" t="s">
        <v>5</v>
      </c>
      <c r="J3" s="92" t="s">
        <v>189</v>
      </c>
      <c r="K3" s="93"/>
      <c r="L3" s="347" t="s">
        <v>161</v>
      </c>
      <c r="M3" s="348"/>
      <c r="N3" s="348"/>
      <c r="O3" s="349"/>
    </row>
    <row r="4" spans="1:15" ht="15" customHeight="1" x14ac:dyDescent="0.25">
      <c r="A4" s="543"/>
      <c r="B4" s="544"/>
      <c r="C4" s="544"/>
      <c r="D4" s="544"/>
      <c r="E4" s="544"/>
      <c r="F4" s="544"/>
      <c r="G4" s="544"/>
      <c r="H4" s="545"/>
      <c r="I4" s="92" t="s">
        <v>63</v>
      </c>
      <c r="J4" s="92" t="s">
        <v>166</v>
      </c>
      <c r="K4" s="93"/>
      <c r="L4" s="350"/>
      <c r="M4" s="351"/>
      <c r="N4" s="351"/>
      <c r="O4" s="352"/>
    </row>
    <row r="5" spans="1:15" ht="15" customHeight="1" x14ac:dyDescent="0.25">
      <c r="A5" s="543"/>
      <c r="B5" s="544"/>
      <c r="C5" s="544"/>
      <c r="D5" s="544"/>
      <c r="E5" s="544"/>
      <c r="F5" s="544"/>
      <c r="G5" s="544"/>
      <c r="H5" s="545"/>
      <c r="I5" s="92" t="s">
        <v>162</v>
      </c>
      <c r="J5" s="92" t="s">
        <v>205</v>
      </c>
      <c r="K5" s="93"/>
      <c r="L5" s="353"/>
      <c r="M5" s="354"/>
      <c r="N5" s="354"/>
      <c r="O5" s="355"/>
    </row>
    <row r="6" spans="1:15" ht="15" customHeight="1" x14ac:dyDescent="0.25">
      <c r="A6" s="543"/>
      <c r="B6" s="544"/>
      <c r="C6" s="544"/>
      <c r="D6" s="544"/>
      <c r="E6" s="544"/>
      <c r="F6" s="544"/>
      <c r="G6" s="544"/>
      <c r="H6" s="545"/>
      <c r="I6" s="107" t="s">
        <v>65</v>
      </c>
      <c r="J6" s="107" t="s">
        <v>190</v>
      </c>
      <c r="K6" s="108"/>
      <c r="L6" s="109" t="s">
        <v>68</v>
      </c>
      <c r="M6" s="109" t="s">
        <v>57</v>
      </c>
      <c r="N6" s="109" t="s">
        <v>56</v>
      </c>
      <c r="O6" s="109" t="s">
        <v>176</v>
      </c>
    </row>
    <row r="7" spans="1:15" ht="9.9499999999999993" customHeight="1" x14ac:dyDescent="0.25">
      <c r="A7" s="101"/>
      <c r="B7" s="19"/>
      <c r="C7" s="19"/>
      <c r="D7" s="19"/>
      <c r="E7" s="19"/>
      <c r="F7" s="76"/>
      <c r="G7" s="76"/>
      <c r="H7" s="76"/>
      <c r="I7" s="76"/>
      <c r="J7" s="76"/>
      <c r="K7" s="76"/>
      <c r="L7" s="76"/>
      <c r="M7" s="76"/>
      <c r="N7" s="76"/>
      <c r="O7" s="81"/>
    </row>
    <row r="8" spans="1:15" ht="24.95" customHeight="1" x14ac:dyDescent="0.25">
      <c r="A8" s="104" t="s">
        <v>177</v>
      </c>
      <c r="E8" s="2" t="str">
        <f>+'TAHAP 1'!G9</f>
        <v>: MAINTEE &amp; ENG MEETING TERM 84</v>
      </c>
      <c r="O8" s="20"/>
    </row>
    <row r="9" spans="1:15" ht="9.9499999999999993" customHeight="1" thickBot="1" x14ac:dyDescent="0.3">
      <c r="A9" s="110"/>
      <c r="B9" s="111"/>
      <c r="C9" s="111"/>
      <c r="D9" s="111"/>
      <c r="E9" s="111"/>
      <c r="F9" s="112"/>
      <c r="G9" s="112"/>
      <c r="H9" s="112"/>
      <c r="I9" s="112"/>
      <c r="J9" s="112"/>
      <c r="K9" s="112"/>
      <c r="L9" s="112"/>
      <c r="M9" s="112"/>
      <c r="N9" s="112"/>
      <c r="O9" s="113"/>
    </row>
    <row r="10" spans="1:15" ht="24.95" customHeight="1" thickTop="1" x14ac:dyDescent="0.25">
      <c r="A10" s="546" t="s">
        <v>192</v>
      </c>
      <c r="B10" s="547"/>
      <c r="C10" s="547"/>
      <c r="L10" s="548"/>
      <c r="M10" s="548"/>
      <c r="N10" s="548"/>
      <c r="O10" s="549"/>
    </row>
    <row r="11" spans="1:15" s="115" customFormat="1" ht="20.100000000000001" customHeight="1" x14ac:dyDescent="0.3">
      <c r="A11" s="166" t="s">
        <v>164</v>
      </c>
      <c r="B11" s="129"/>
      <c r="C11" s="129"/>
      <c r="D11" s="129"/>
      <c r="E11" s="129"/>
      <c r="L11" s="146"/>
      <c r="M11" s="146"/>
      <c r="O11" s="116"/>
    </row>
    <row r="12" spans="1:15" s="115" customFormat="1" ht="15" customHeight="1" x14ac:dyDescent="0.25">
      <c r="A12" s="167" t="s">
        <v>86</v>
      </c>
      <c r="B12" s="168"/>
      <c r="C12" s="168"/>
      <c r="D12" s="169"/>
      <c r="E12" s="170" t="s">
        <v>11</v>
      </c>
      <c r="F12" s="171" t="s">
        <v>80</v>
      </c>
      <c r="G12" s="171" t="s">
        <v>197</v>
      </c>
      <c r="H12" s="170" t="s">
        <v>198</v>
      </c>
      <c r="L12" s="146"/>
      <c r="M12" s="146"/>
      <c r="O12" s="116"/>
    </row>
    <row r="13" spans="1:15" s="115" customFormat="1" ht="15" customHeight="1" x14ac:dyDescent="0.25">
      <c r="A13" s="172" t="s">
        <v>87</v>
      </c>
      <c r="B13" s="173"/>
      <c r="C13" s="173"/>
      <c r="D13" s="174"/>
      <c r="E13" s="175">
        <v>30000</v>
      </c>
      <c r="F13" s="176">
        <v>12500</v>
      </c>
      <c r="G13" s="176">
        <v>20000</v>
      </c>
      <c r="H13" s="175">
        <v>20000</v>
      </c>
      <c r="L13" s="146"/>
      <c r="M13" s="146"/>
      <c r="O13" s="116"/>
    </row>
    <row r="14" spans="1:15" s="115" customFormat="1" ht="15" customHeight="1" x14ac:dyDescent="0.25">
      <c r="A14" s="172" t="s">
        <v>88</v>
      </c>
      <c r="B14" s="173"/>
      <c r="C14" s="173"/>
      <c r="D14" s="174"/>
      <c r="E14" s="175">
        <v>30000</v>
      </c>
      <c r="F14" s="176">
        <v>12500</v>
      </c>
      <c r="G14" s="176">
        <v>20000</v>
      </c>
      <c r="H14" s="175">
        <v>20000</v>
      </c>
      <c r="O14" s="116"/>
    </row>
    <row r="15" spans="1:15" s="115" customFormat="1" ht="15" customHeight="1" x14ac:dyDescent="0.25">
      <c r="A15" s="172" t="s">
        <v>89</v>
      </c>
      <c r="B15" s="173"/>
      <c r="C15" s="173"/>
      <c r="D15" s="174"/>
      <c r="E15" s="175">
        <v>35000</v>
      </c>
      <c r="F15" s="176">
        <v>12500</v>
      </c>
      <c r="G15" s="176">
        <v>20000</v>
      </c>
      <c r="H15" s="175">
        <v>20000</v>
      </c>
      <c r="O15" s="116"/>
    </row>
    <row r="16" spans="1:15" s="115" customFormat="1" ht="15" customHeight="1" x14ac:dyDescent="0.25">
      <c r="A16" s="172" t="s">
        <v>90</v>
      </c>
      <c r="B16" s="173"/>
      <c r="C16" s="173"/>
      <c r="D16" s="174"/>
      <c r="E16" s="175">
        <v>40000</v>
      </c>
      <c r="F16" s="176">
        <v>12500</v>
      </c>
      <c r="G16" s="176">
        <v>27500</v>
      </c>
      <c r="H16" s="175">
        <v>27500</v>
      </c>
      <c r="O16" s="116"/>
    </row>
    <row r="17" spans="1:17" s="115" customFormat="1" ht="15" customHeight="1" x14ac:dyDescent="0.25">
      <c r="A17" s="172" t="s">
        <v>91</v>
      </c>
      <c r="B17" s="173"/>
      <c r="C17" s="173"/>
      <c r="D17" s="174"/>
      <c r="E17" s="175">
        <v>50000</v>
      </c>
      <c r="F17" s="176">
        <v>22500</v>
      </c>
      <c r="G17" s="176">
        <v>30000</v>
      </c>
      <c r="H17" s="175">
        <v>30000</v>
      </c>
      <c r="O17" s="116"/>
    </row>
    <row r="18" spans="1:17" s="115" customFormat="1" ht="15" customHeight="1" x14ac:dyDescent="0.25">
      <c r="A18" s="172" t="s">
        <v>92</v>
      </c>
      <c r="B18" s="173"/>
      <c r="C18" s="173"/>
      <c r="D18" s="174"/>
      <c r="E18" s="175">
        <v>60000</v>
      </c>
      <c r="F18" s="176">
        <v>22500</v>
      </c>
      <c r="G18" s="176">
        <v>50000</v>
      </c>
      <c r="H18" s="175">
        <v>50000</v>
      </c>
      <c r="O18" s="116"/>
    </row>
    <row r="19" spans="1:17" s="115" customFormat="1" ht="15" customHeight="1" x14ac:dyDescent="0.25">
      <c r="A19" s="172" t="s">
        <v>93</v>
      </c>
      <c r="B19" s="173"/>
      <c r="C19" s="173"/>
      <c r="D19" s="174"/>
      <c r="E19" s="175">
        <v>70000</v>
      </c>
      <c r="F19" s="176">
        <v>22500</v>
      </c>
      <c r="G19" s="176">
        <v>60000</v>
      </c>
      <c r="H19" s="175">
        <v>60000</v>
      </c>
      <c r="O19" s="116"/>
    </row>
    <row r="20" spans="1:17" s="115" customFormat="1" ht="20.100000000000001" customHeight="1" x14ac:dyDescent="0.25">
      <c r="A20" s="264"/>
      <c r="B20" s="265"/>
      <c r="C20" s="265"/>
      <c r="D20" s="266"/>
      <c r="E20" s="129"/>
      <c r="O20" s="116"/>
    </row>
    <row r="21" spans="1:17" s="115" customFormat="1" ht="20.100000000000001" customHeight="1" x14ac:dyDescent="0.25">
      <c r="A21" s="137"/>
      <c r="B21" s="139" t="s">
        <v>196</v>
      </c>
      <c r="C21" s="138" t="s">
        <v>10</v>
      </c>
      <c r="D21" s="138" t="s">
        <v>91</v>
      </c>
      <c r="E21" s="138"/>
      <c r="F21" s="138"/>
      <c r="G21" s="138"/>
      <c r="H21" s="138"/>
      <c r="I21" s="138"/>
      <c r="O21" s="116"/>
    </row>
    <row r="22" spans="1:17" s="310" customFormat="1" ht="17.100000000000001" customHeight="1" x14ac:dyDescent="0.25">
      <c r="A22" s="313" t="s">
        <v>34</v>
      </c>
      <c r="B22" s="550" t="s">
        <v>5</v>
      </c>
      <c r="C22" s="550"/>
      <c r="D22" s="550"/>
      <c r="E22" s="313" t="str">
        <f>+$E$12</f>
        <v>UANG SAKU</v>
      </c>
      <c r="F22" s="313" t="str">
        <f>+$F$12</f>
        <v>BREAKFAST</v>
      </c>
      <c r="G22" s="313" t="s">
        <v>246</v>
      </c>
      <c r="H22" s="313" t="str">
        <f>+$H$12</f>
        <v>DINNER</v>
      </c>
      <c r="I22" s="313" t="s">
        <v>41</v>
      </c>
      <c r="O22" s="311"/>
    </row>
    <row r="23" spans="1:17" s="115" customFormat="1" ht="17.100000000000001" customHeight="1" x14ac:dyDescent="0.25">
      <c r="A23" s="122">
        <v>1</v>
      </c>
      <c r="B23" s="552">
        <f>+'TAHAP 1'!$C$13</f>
        <v>45525</v>
      </c>
      <c r="C23" s="552"/>
      <c r="D23" s="552"/>
      <c r="E23" s="279">
        <f>VLOOKUP($D$21,A12:$H$19,5,0)</f>
        <v>50000</v>
      </c>
      <c r="F23" s="279" t="s">
        <v>224</v>
      </c>
      <c r="G23" s="279">
        <f>VLOOKUP($D$21,A12:$H$19,8,0)</f>
        <v>30000</v>
      </c>
      <c r="H23" s="279">
        <f>VLOOKUP($D$21,A12:$H$19,8,0)</f>
        <v>30000</v>
      </c>
      <c r="I23" s="190">
        <f>SUM(E23:H23)</f>
        <v>110000</v>
      </c>
      <c r="K23" s="280"/>
      <c r="O23" s="116"/>
    </row>
    <row r="24" spans="1:17" s="115" customFormat="1" ht="17.100000000000001" customHeight="1" x14ac:dyDescent="0.25">
      <c r="A24" s="122">
        <v>2</v>
      </c>
      <c r="B24" s="552">
        <f>+B23+1</f>
        <v>45526</v>
      </c>
      <c r="C24" s="552"/>
      <c r="D24" s="552"/>
      <c r="E24" s="279">
        <f>VLOOKUP($D$21,A$12:$H19,5,0)</f>
        <v>50000</v>
      </c>
      <c r="F24" s="279" t="s">
        <v>220</v>
      </c>
      <c r="G24" s="279" t="s">
        <v>223</v>
      </c>
      <c r="H24" s="279">
        <f>VLOOKUP($D$21,A$12:$H19,8,0)</f>
        <v>30000</v>
      </c>
      <c r="I24" s="190">
        <f>SUM(E24:H24)</f>
        <v>80000</v>
      </c>
      <c r="O24" s="116"/>
    </row>
    <row r="25" spans="1:17" s="115" customFormat="1" ht="17.100000000000001" customHeight="1" x14ac:dyDescent="0.25">
      <c r="A25" s="122">
        <v>3</v>
      </c>
      <c r="B25" s="552">
        <f>+B24+1</f>
        <v>45527</v>
      </c>
      <c r="C25" s="552"/>
      <c r="D25" s="552"/>
      <c r="E25" s="279">
        <f>VLOOKUP($D$21,A$12:$H19,5,0)</f>
        <v>50000</v>
      </c>
      <c r="F25" s="279" t="s">
        <v>220</v>
      </c>
      <c r="G25" s="279" t="s">
        <v>223</v>
      </c>
      <c r="H25" s="279">
        <f>VLOOKUP($D$21,A$12:$H19,8,0)</f>
        <v>30000</v>
      </c>
      <c r="I25" s="190">
        <f>SUM(E25:H25)</f>
        <v>80000</v>
      </c>
      <c r="O25" s="116"/>
    </row>
    <row r="26" spans="1:17" s="115" customFormat="1" ht="16.5" customHeight="1" x14ac:dyDescent="0.25">
      <c r="A26" s="551" t="s">
        <v>12</v>
      </c>
      <c r="B26" s="551"/>
      <c r="C26" s="551"/>
      <c r="D26" s="551"/>
      <c r="E26" s="553"/>
      <c r="F26" s="554"/>
      <c r="G26" s="554"/>
      <c r="H26" s="555"/>
      <c r="I26" s="196">
        <f>SUM(I23:I25)</f>
        <v>270000</v>
      </c>
      <c r="O26" s="116"/>
    </row>
    <row r="27" spans="1:17" s="13" customFormat="1" ht="20.100000000000001" customHeight="1" x14ac:dyDescent="0.25">
      <c r="A27" s="267" t="s">
        <v>185</v>
      </c>
      <c r="B27" s="262"/>
      <c r="C27" s="262"/>
      <c r="D27" s="262"/>
      <c r="E27" s="103"/>
      <c r="F27" s="103"/>
      <c r="G27" s="103"/>
      <c r="H27" s="103"/>
      <c r="I27" s="103"/>
      <c r="J27" s="117"/>
      <c r="K27" s="118"/>
      <c r="L27" s="118"/>
      <c r="M27" s="118"/>
      <c r="N27" s="118"/>
      <c r="O27" s="119"/>
    </row>
    <row r="28" spans="1:17" s="115" customFormat="1" ht="24.95" customHeight="1" x14ac:dyDescent="0.25">
      <c r="A28" s="178" t="s">
        <v>34</v>
      </c>
      <c r="B28" s="586" t="s">
        <v>3</v>
      </c>
      <c r="C28" s="587"/>
      <c r="D28" s="587"/>
      <c r="E28" s="588"/>
      <c r="F28" s="178" t="s">
        <v>178</v>
      </c>
      <c r="G28" s="588" t="s">
        <v>185</v>
      </c>
      <c r="H28" s="103"/>
      <c r="I28" s="103"/>
      <c r="J28" s="130"/>
      <c r="K28" s="123"/>
      <c r="L28" s="123"/>
      <c r="O28" s="128"/>
    </row>
    <row r="29" spans="1:17" s="115" customFormat="1" ht="20.100000000000001" customHeight="1" thickBot="1" x14ac:dyDescent="0.3">
      <c r="A29" s="122">
        <v>1</v>
      </c>
      <c r="B29" s="320" t="str">
        <f>'TAHAP 1'!M13</f>
        <v>KENTA KATO</v>
      </c>
      <c r="C29" s="321"/>
      <c r="D29" s="321"/>
      <c r="E29" s="322"/>
      <c r="F29" s="194" t="s">
        <v>91</v>
      </c>
      <c r="G29" s="589">
        <f>I26</f>
        <v>270000</v>
      </c>
      <c r="H29" s="103"/>
      <c r="I29" s="103"/>
      <c r="J29" s="177"/>
      <c r="K29" s="123"/>
      <c r="L29" s="123"/>
      <c r="O29" s="128"/>
      <c r="Q29" s="327">
        <f>'TAHAP 2.2 (Rincian)'!H61</f>
        <v>0</v>
      </c>
    </row>
    <row r="30" spans="1:17" s="115" customFormat="1" ht="24.95" customHeight="1" thickTop="1" x14ac:dyDescent="0.25">
      <c r="A30" s="577" t="s">
        <v>12</v>
      </c>
      <c r="B30" s="578"/>
      <c r="C30" s="578"/>
      <c r="D30" s="578"/>
      <c r="E30" s="578"/>
      <c r="F30" s="579"/>
      <c r="G30" s="284">
        <f>SUM(G29:G29)</f>
        <v>270000</v>
      </c>
      <c r="H30" s="103"/>
      <c r="I30" s="103"/>
      <c r="J30" s="130"/>
      <c r="K30" s="123"/>
      <c r="L30" s="123"/>
      <c r="O30" s="128"/>
    </row>
    <row r="31" spans="1:17" s="115" customFormat="1" ht="24.95" customHeight="1" thickBot="1" x14ac:dyDescent="0.3">
      <c r="A31" s="164"/>
      <c r="B31" s="123"/>
      <c r="C31" s="123"/>
      <c r="D31" s="123"/>
      <c r="E31" s="123"/>
      <c r="F31" s="123"/>
      <c r="G31" s="143"/>
      <c r="H31" s="103"/>
      <c r="I31" s="103"/>
      <c r="J31" s="130"/>
      <c r="K31" s="123"/>
      <c r="L31" s="123"/>
      <c r="O31" s="128"/>
    </row>
    <row r="32" spans="1:17" s="115" customFormat="1" ht="20.100000000000001" customHeight="1" thickTop="1" x14ac:dyDescent="0.25">
      <c r="A32" s="580" t="s">
        <v>193</v>
      </c>
      <c r="B32" s="581"/>
      <c r="C32" s="581"/>
      <c r="D32" s="581"/>
      <c r="E32" s="581"/>
      <c r="F32" s="581"/>
      <c r="G32" s="581"/>
      <c r="H32" s="581"/>
      <c r="I32" s="581"/>
      <c r="J32" s="581"/>
      <c r="K32" s="581"/>
      <c r="L32" s="581"/>
      <c r="M32" s="581"/>
      <c r="N32" s="581"/>
      <c r="O32" s="582"/>
    </row>
    <row r="33" spans="1:15" s="115" customFormat="1" ht="20.100000000000001" customHeight="1" x14ac:dyDescent="0.25">
      <c r="A33" s="583"/>
      <c r="B33" s="584"/>
      <c r="C33" s="584"/>
      <c r="D33" s="584"/>
      <c r="E33" s="584"/>
      <c r="F33" s="584"/>
      <c r="G33" s="584"/>
      <c r="H33" s="584"/>
      <c r="I33" s="584"/>
      <c r="J33" s="584"/>
      <c r="K33" s="584"/>
      <c r="L33" s="584"/>
      <c r="M33" s="584"/>
      <c r="N33" s="584"/>
      <c r="O33" s="585"/>
    </row>
    <row r="34" spans="1:15" s="115" customFormat="1" ht="24.95" customHeight="1" x14ac:dyDescent="0.25">
      <c r="A34" s="134" t="s">
        <v>216</v>
      </c>
      <c r="B34" s="114" t="s">
        <v>225</v>
      </c>
      <c r="C34" s="114"/>
      <c r="D34" s="129"/>
      <c r="E34" s="129"/>
      <c r="O34" s="116"/>
    </row>
    <row r="35" spans="1:15" s="115" customFormat="1" ht="20.100000000000001" customHeight="1" x14ac:dyDescent="0.25">
      <c r="A35" s="271" t="s">
        <v>34</v>
      </c>
      <c r="B35" s="550" t="s">
        <v>50</v>
      </c>
      <c r="C35" s="550"/>
      <c r="D35" s="550" t="s">
        <v>228</v>
      </c>
      <c r="E35" s="550"/>
      <c r="F35" s="550"/>
      <c r="G35" s="550"/>
      <c r="H35" s="550"/>
      <c r="I35" s="550"/>
      <c r="J35" s="135" t="s">
        <v>186</v>
      </c>
      <c r="K35" s="127" t="s">
        <v>219</v>
      </c>
      <c r="L35" s="127" t="s">
        <v>41</v>
      </c>
      <c r="M35" s="127" t="s">
        <v>12</v>
      </c>
      <c r="O35" s="116"/>
    </row>
    <row r="36" spans="1:15" s="115" customFormat="1" ht="20.100000000000001" customHeight="1" x14ac:dyDescent="0.25">
      <c r="A36" s="272">
        <v>1</v>
      </c>
      <c r="B36" s="565" t="s">
        <v>217</v>
      </c>
      <c r="C36" s="566"/>
      <c r="D36" s="562"/>
      <c r="E36" s="562"/>
      <c r="F36" s="562"/>
      <c r="G36" s="562"/>
      <c r="H36" s="562"/>
      <c r="I36" s="562"/>
      <c r="J36" s="567"/>
      <c r="K36" s="567"/>
      <c r="L36" s="567"/>
      <c r="M36" s="563"/>
      <c r="O36" s="116"/>
    </row>
    <row r="37" spans="1:15" s="115" customFormat="1" ht="20.100000000000001" customHeight="1" x14ac:dyDescent="0.25">
      <c r="A37" s="272">
        <v>2</v>
      </c>
      <c r="B37" s="565" t="s">
        <v>218</v>
      </c>
      <c r="C37" s="566"/>
      <c r="D37" s="562"/>
      <c r="E37" s="562"/>
      <c r="F37" s="562"/>
      <c r="G37" s="562"/>
      <c r="H37" s="562"/>
      <c r="I37" s="562"/>
      <c r="J37" s="568"/>
      <c r="K37" s="568"/>
      <c r="L37" s="568"/>
      <c r="M37" s="564"/>
      <c r="O37" s="116"/>
    </row>
    <row r="38" spans="1:15" s="115" customFormat="1" ht="20.100000000000001" customHeight="1" x14ac:dyDescent="0.25">
      <c r="A38" s="102"/>
      <c r="B38" s="103"/>
      <c r="C38" s="103"/>
      <c r="D38" s="103"/>
      <c r="E38" s="103"/>
      <c r="F38" s="103"/>
      <c r="G38" s="24"/>
      <c r="H38" s="143"/>
      <c r="I38" s="103"/>
      <c r="J38" s="130"/>
      <c r="K38" s="123"/>
      <c r="L38" s="123"/>
      <c r="O38" s="116"/>
    </row>
    <row r="39" spans="1:15" s="115" customFormat="1" ht="20.100000000000001" customHeight="1" x14ac:dyDescent="0.25">
      <c r="A39" s="102"/>
      <c r="B39" s="103"/>
      <c r="C39" s="103"/>
      <c r="D39" s="103"/>
      <c r="E39" s="103"/>
      <c r="F39" s="103"/>
      <c r="G39" s="24"/>
      <c r="H39" s="143"/>
      <c r="I39" s="103"/>
      <c r="J39" s="130"/>
      <c r="K39" s="123"/>
      <c r="L39" s="123"/>
      <c r="O39" s="116"/>
    </row>
    <row r="40" spans="1:15" s="115" customFormat="1" ht="24.95" customHeight="1" x14ac:dyDescent="0.25">
      <c r="A40" s="134" t="s">
        <v>222</v>
      </c>
      <c r="B40" s="114"/>
      <c r="C40" s="114"/>
      <c r="D40" s="287"/>
      <c r="E40" s="287"/>
      <c r="O40" s="116"/>
    </row>
    <row r="41" spans="1:15" s="115" customFormat="1" ht="24.95" hidden="1" customHeight="1" x14ac:dyDescent="0.25">
      <c r="A41" s="144"/>
      <c r="B41" s="103"/>
      <c r="C41" s="103"/>
      <c r="D41" s="129"/>
      <c r="E41" s="129"/>
      <c r="O41" s="116"/>
    </row>
    <row r="42" spans="1:15" s="115" customFormat="1" ht="20.100000000000001" hidden="1" customHeight="1" x14ac:dyDescent="0.25">
      <c r="A42" s="157"/>
      <c r="B42" s="103"/>
      <c r="C42" s="103"/>
      <c r="D42" s="129"/>
      <c r="E42" s="129"/>
      <c r="O42" s="116"/>
    </row>
    <row r="43" spans="1:15" s="115" customFormat="1" ht="20.100000000000001" hidden="1" customHeight="1" x14ac:dyDescent="0.25">
      <c r="A43" s="157"/>
      <c r="B43" s="103"/>
      <c r="C43" s="103"/>
      <c r="D43" s="129"/>
      <c r="E43" s="129"/>
      <c r="O43" s="116"/>
    </row>
    <row r="44" spans="1:15" s="115" customFormat="1" ht="9.9499999999999993" customHeight="1" x14ac:dyDescent="0.25">
      <c r="A44" s="102"/>
      <c r="B44" s="129"/>
      <c r="C44" s="129"/>
      <c r="D44" s="129"/>
      <c r="E44" s="129"/>
      <c r="O44" s="116"/>
    </row>
    <row r="45" spans="1:15" s="24" customFormat="1" ht="24.95" customHeight="1" x14ac:dyDescent="0.25">
      <c r="A45" s="127" t="s">
        <v>34</v>
      </c>
      <c r="B45" s="501" t="s">
        <v>48</v>
      </c>
      <c r="C45" s="502"/>
      <c r="D45" s="503"/>
      <c r="E45" s="135" t="s">
        <v>39</v>
      </c>
      <c r="F45" s="127" t="s">
        <v>40</v>
      </c>
      <c r="G45" s="575" t="s">
        <v>199</v>
      </c>
      <c r="H45" s="576"/>
      <c r="O45" s="84"/>
    </row>
    <row r="46" spans="1:15" s="115" customFormat="1" ht="17.100000000000001" customHeight="1" thickBot="1" x14ac:dyDescent="0.3">
      <c r="A46" s="122">
        <v>1</v>
      </c>
      <c r="B46" s="498"/>
      <c r="C46" s="499"/>
      <c r="D46" s="500"/>
      <c r="E46" s="190"/>
      <c r="F46" s="191"/>
      <c r="G46" s="192"/>
      <c r="H46" s="203"/>
      <c r="O46" s="116"/>
    </row>
    <row r="47" spans="1:15" s="115" customFormat="1" ht="24.95" customHeight="1" thickTop="1" x14ac:dyDescent="0.25">
      <c r="A47" s="569" t="s">
        <v>210</v>
      </c>
      <c r="B47" s="570"/>
      <c r="C47" s="570"/>
      <c r="D47" s="570"/>
      <c r="E47" s="570"/>
      <c r="F47" s="571"/>
      <c r="G47" s="204"/>
      <c r="H47" s="195">
        <f>SUM(H40:H46)</f>
        <v>0</v>
      </c>
      <c r="N47" s="24"/>
      <c r="O47" s="84"/>
    </row>
    <row r="48" spans="1:15" s="115" customFormat="1" ht="17.100000000000001" customHeight="1" x14ac:dyDescent="0.25">
      <c r="A48" s="209"/>
      <c r="B48" s="210"/>
      <c r="C48" s="210"/>
      <c r="D48" s="210"/>
      <c r="E48" s="211"/>
      <c r="F48" s="211"/>
      <c r="G48" s="212"/>
      <c r="H48" s="212"/>
      <c r="O48" s="116"/>
    </row>
    <row r="49" spans="1:16" s="115" customFormat="1" ht="17.100000000000001" customHeight="1" x14ac:dyDescent="0.25">
      <c r="A49" s="205"/>
      <c r="B49" s="206"/>
      <c r="C49" s="206"/>
      <c r="D49" s="206"/>
      <c r="E49" s="207"/>
      <c r="F49" s="207"/>
      <c r="G49" s="208"/>
      <c r="H49" s="208"/>
      <c r="O49" s="116"/>
    </row>
    <row r="50" spans="1:16" s="24" customFormat="1" ht="24.95" customHeight="1" x14ac:dyDescent="0.25">
      <c r="A50" s="127" t="s">
        <v>34</v>
      </c>
      <c r="B50" s="501" t="s">
        <v>48</v>
      </c>
      <c r="C50" s="502"/>
      <c r="D50" s="503"/>
      <c r="E50" s="135" t="s">
        <v>39</v>
      </c>
      <c r="F50" s="127" t="s">
        <v>40</v>
      </c>
      <c r="G50" s="575" t="s">
        <v>199</v>
      </c>
      <c r="H50" s="576"/>
      <c r="O50" s="84"/>
    </row>
    <row r="51" spans="1:16" s="115" customFormat="1" ht="17.100000000000001" customHeight="1" x14ac:dyDescent="0.25">
      <c r="A51" s="122">
        <v>1</v>
      </c>
      <c r="B51" s="498" t="s">
        <v>49</v>
      </c>
      <c r="C51" s="499"/>
      <c r="D51" s="500"/>
      <c r="E51" s="190">
        <v>0</v>
      </c>
      <c r="F51" s="771">
        <v>0</v>
      </c>
      <c r="G51" s="772"/>
      <c r="H51" s="773">
        <f t="shared" ref="H51:H58" si="0">+E51*F51</f>
        <v>0</v>
      </c>
      <c r="I51" s="774"/>
      <c r="J51" s="774"/>
      <c r="K51" s="774"/>
      <c r="L51" s="774"/>
      <c r="O51" s="116"/>
    </row>
    <row r="52" spans="1:16" s="115" customFormat="1" ht="17.100000000000001" customHeight="1" x14ac:dyDescent="0.25">
      <c r="A52" s="122">
        <v>2</v>
      </c>
      <c r="B52" s="140" t="s">
        <v>46</v>
      </c>
      <c r="C52" s="141"/>
      <c r="D52" s="142"/>
      <c r="E52" s="190">
        <v>0</v>
      </c>
      <c r="F52" s="771">
        <v>0</v>
      </c>
      <c r="G52" s="285"/>
      <c r="H52" s="286">
        <f t="shared" si="0"/>
        <v>0</v>
      </c>
      <c r="O52" s="116"/>
    </row>
    <row r="53" spans="1:16" s="115" customFormat="1" ht="17.100000000000001" customHeight="1" x14ac:dyDescent="0.25">
      <c r="A53" s="122">
        <v>3</v>
      </c>
      <c r="B53" s="140" t="s">
        <v>47</v>
      </c>
      <c r="C53" s="141"/>
      <c r="D53" s="142"/>
      <c r="E53" s="190">
        <v>0</v>
      </c>
      <c r="F53" s="771">
        <v>0</v>
      </c>
      <c r="G53" s="285"/>
      <c r="H53" s="286">
        <f>+E53*F53</f>
        <v>0</v>
      </c>
      <c r="O53" s="116"/>
    </row>
    <row r="54" spans="1:16" s="115" customFormat="1" ht="17.100000000000001" customHeight="1" x14ac:dyDescent="0.25">
      <c r="A54" s="122">
        <v>4</v>
      </c>
      <c r="B54" s="140" t="s">
        <v>45</v>
      </c>
      <c r="C54" s="141"/>
      <c r="D54" s="142"/>
      <c r="E54" s="190">
        <v>0</v>
      </c>
      <c r="F54" s="771">
        <v>0</v>
      </c>
      <c r="G54" s="285"/>
      <c r="H54" s="286">
        <f t="shared" si="0"/>
        <v>0</v>
      </c>
      <c r="O54" s="116"/>
    </row>
    <row r="55" spans="1:16" s="115" customFormat="1" ht="17.100000000000001" customHeight="1" x14ac:dyDescent="0.25">
      <c r="A55" s="122">
        <v>5</v>
      </c>
      <c r="B55" s="498" t="s">
        <v>42</v>
      </c>
      <c r="C55" s="499"/>
      <c r="D55" s="500"/>
      <c r="E55" s="190">
        <v>0</v>
      </c>
      <c r="F55" s="771">
        <v>0</v>
      </c>
      <c r="G55" s="285"/>
      <c r="H55" s="286">
        <f t="shared" si="0"/>
        <v>0</v>
      </c>
      <c r="O55" s="116"/>
    </row>
    <row r="56" spans="1:16" s="115" customFormat="1" ht="17.100000000000001" customHeight="1" x14ac:dyDescent="0.25">
      <c r="A56" s="122">
        <v>6</v>
      </c>
      <c r="B56" s="498" t="s">
        <v>43</v>
      </c>
      <c r="C56" s="499"/>
      <c r="D56" s="500"/>
      <c r="E56" s="190">
        <v>0</v>
      </c>
      <c r="F56" s="771">
        <v>0</v>
      </c>
      <c r="G56" s="285"/>
      <c r="H56" s="286">
        <f t="shared" si="0"/>
        <v>0</v>
      </c>
      <c r="O56" s="116"/>
    </row>
    <row r="57" spans="1:16" s="115" customFormat="1" ht="17.100000000000001" customHeight="1" x14ac:dyDescent="0.25">
      <c r="A57" s="122">
        <v>7</v>
      </c>
      <c r="B57" s="495" t="s">
        <v>44</v>
      </c>
      <c r="C57" s="495"/>
      <c r="D57" s="495"/>
      <c r="E57" s="190">
        <v>0</v>
      </c>
      <c r="F57" s="771">
        <v>0</v>
      </c>
      <c r="G57" s="496">
        <f>+E57*F57</f>
        <v>0</v>
      </c>
      <c r="H57" s="497"/>
      <c r="O57" s="116"/>
    </row>
    <row r="58" spans="1:16" s="115" customFormat="1" ht="17.100000000000001" customHeight="1" thickBot="1" x14ac:dyDescent="0.3">
      <c r="A58" s="268">
        <v>8</v>
      </c>
      <c r="B58" s="572" t="s">
        <v>215</v>
      </c>
      <c r="C58" s="573"/>
      <c r="D58" s="574"/>
      <c r="E58" s="190">
        <v>0</v>
      </c>
      <c r="F58" s="771">
        <v>0</v>
      </c>
      <c r="G58" s="269"/>
      <c r="H58" s="270">
        <f t="shared" si="0"/>
        <v>0</v>
      </c>
      <c r="O58" s="116"/>
    </row>
    <row r="59" spans="1:16" s="115" customFormat="1" ht="24.95" customHeight="1" thickTop="1" x14ac:dyDescent="0.25">
      <c r="A59" s="569" t="s">
        <v>211</v>
      </c>
      <c r="B59" s="570"/>
      <c r="C59" s="570"/>
      <c r="D59" s="570"/>
      <c r="E59" s="570"/>
      <c r="F59" s="571"/>
      <c r="G59" s="204"/>
      <c r="H59" s="195">
        <f>SUM(G51:H58)</f>
        <v>0</v>
      </c>
      <c r="N59" s="24"/>
      <c r="O59" s="84"/>
    </row>
    <row r="60" spans="1:16" s="115" customFormat="1" ht="20.100000000000001" customHeight="1" x14ac:dyDescent="0.25">
      <c r="A60" s="102"/>
      <c r="B60" s="103"/>
      <c r="C60" s="103"/>
      <c r="D60" s="103"/>
      <c r="E60" s="103"/>
      <c r="F60" s="103"/>
      <c r="G60" s="24"/>
      <c r="H60" s="143"/>
      <c r="I60" s="103"/>
      <c r="J60" s="130"/>
      <c r="K60" s="123"/>
      <c r="L60" s="123"/>
      <c r="O60" s="116"/>
    </row>
    <row r="61" spans="1:16" s="115" customFormat="1" ht="20.100000000000001" customHeight="1" x14ac:dyDescent="0.25">
      <c r="A61" s="102"/>
      <c r="B61" s="103"/>
      <c r="C61" s="103"/>
      <c r="D61" s="103"/>
      <c r="E61" s="103"/>
      <c r="F61" s="103"/>
      <c r="G61" s="213"/>
      <c r="H61" s="193">
        <f>+H59+H47</f>
        <v>0</v>
      </c>
      <c r="I61" s="283"/>
      <c r="J61" s="130"/>
      <c r="K61" s="123"/>
      <c r="L61" s="123"/>
      <c r="O61" s="116"/>
    </row>
    <row r="62" spans="1:16" s="115" customFormat="1" ht="20.100000000000001" customHeight="1" x14ac:dyDescent="0.25">
      <c r="A62" s="102"/>
      <c r="B62" s="103"/>
      <c r="C62" s="103"/>
      <c r="D62" s="103"/>
      <c r="E62" s="103"/>
      <c r="F62" s="103"/>
      <c r="I62" s="103"/>
      <c r="J62" s="130"/>
      <c r="K62" s="123"/>
      <c r="L62" s="123"/>
      <c r="N62" s="179"/>
      <c r="O62" s="152"/>
    </row>
    <row r="63" spans="1:16" s="115" customFormat="1" ht="24.95" customHeight="1" x14ac:dyDescent="0.25">
      <c r="A63" s="153" t="s">
        <v>75</v>
      </c>
      <c r="B63" s="154"/>
      <c r="C63" s="154"/>
      <c r="D63" s="155"/>
      <c r="E63" s="155"/>
      <c r="F63" s="155"/>
      <c r="G63" s="155"/>
      <c r="H63" s="155"/>
      <c r="I63" s="155"/>
      <c r="J63" s="156"/>
      <c r="K63" s="156"/>
      <c r="L63" s="186"/>
      <c r="M63" s="186"/>
      <c r="N63" s="186"/>
      <c r="O63" s="187"/>
      <c r="P63" s="147"/>
    </row>
    <row r="64" spans="1:16" s="145" customFormat="1" ht="20.100000000000001" customHeight="1" x14ac:dyDescent="0.25">
      <c r="A64" s="511" t="s">
        <v>1</v>
      </c>
      <c r="B64" s="513" t="s">
        <v>200</v>
      </c>
      <c r="C64" s="514"/>
      <c r="D64" s="514"/>
      <c r="E64" s="515"/>
      <c r="F64" s="507" t="s">
        <v>51</v>
      </c>
      <c r="G64" s="516"/>
      <c r="H64" s="516"/>
      <c r="I64" s="508"/>
      <c r="J64" s="507" t="s">
        <v>201</v>
      </c>
      <c r="K64" s="508"/>
      <c r="L64" s="507" t="s">
        <v>39</v>
      </c>
      <c r="M64" s="508"/>
      <c r="N64" s="505"/>
      <c r="O64" s="506"/>
      <c r="P64" s="505"/>
    </row>
    <row r="65" spans="1:19" s="145" customFormat="1" ht="20.100000000000001" customHeight="1" thickBot="1" x14ac:dyDescent="0.3">
      <c r="A65" s="512"/>
      <c r="B65" s="518" t="s">
        <v>202</v>
      </c>
      <c r="C65" s="519"/>
      <c r="D65" s="518" t="s">
        <v>203</v>
      </c>
      <c r="E65" s="519"/>
      <c r="F65" s="509"/>
      <c r="G65" s="517"/>
      <c r="H65" s="517"/>
      <c r="I65" s="510"/>
      <c r="J65" s="509"/>
      <c r="K65" s="510"/>
      <c r="L65" s="509"/>
      <c r="M65" s="510"/>
      <c r="N65" s="505"/>
      <c r="O65" s="506"/>
      <c r="P65" s="505"/>
    </row>
    <row r="66" spans="1:19" s="129" customFormat="1" ht="99.95" customHeight="1" thickTop="1" x14ac:dyDescent="0.25">
      <c r="A66" s="763">
        <v>1</v>
      </c>
      <c r="B66" s="764">
        <f>+'TAHAP 1'!C13</f>
        <v>45525</v>
      </c>
      <c r="C66" s="765"/>
      <c r="D66" s="764">
        <f>+'TAHAP 1'!F13</f>
        <v>45527</v>
      </c>
      <c r="E66" s="765"/>
      <c r="F66" s="766" t="s">
        <v>240</v>
      </c>
      <c r="G66" s="767"/>
      <c r="H66" s="767"/>
      <c r="I66" s="767"/>
      <c r="J66" s="768" t="s">
        <v>226</v>
      </c>
      <c r="K66" s="768"/>
      <c r="L66" s="769">
        <v>1026000</v>
      </c>
      <c r="M66" s="770"/>
      <c r="N66" s="188"/>
      <c r="O66" s="189"/>
      <c r="P66" s="185"/>
    </row>
    <row r="67" spans="1:19" s="129" customFormat="1" ht="21.95" customHeight="1" x14ac:dyDescent="0.25">
      <c r="A67" s="181"/>
      <c r="B67" s="182"/>
      <c r="C67" s="182"/>
      <c r="D67" s="182"/>
      <c r="E67" s="182"/>
      <c r="F67" s="263" t="str">
        <f>+F66</f>
        <v>Fairfield by Marriott Surabaya
Jl. Mayjen Sungkono No. 178, Dukuh Kupang, Kec. Dukuhpakis, Surabaya, Jawa Timur 60225</v>
      </c>
      <c r="G67" s="165"/>
      <c r="H67" s="165"/>
      <c r="I67" s="165"/>
      <c r="J67" s="165"/>
      <c r="K67" s="165"/>
      <c r="L67" s="165"/>
      <c r="M67" s="183"/>
      <c r="N67" s="183"/>
      <c r="O67" s="184"/>
      <c r="P67" s="180"/>
    </row>
    <row r="68" spans="1:19" s="129" customFormat="1" ht="21.95" customHeight="1" x14ac:dyDescent="0.25">
      <c r="A68" s="181"/>
      <c r="B68" s="182"/>
      <c r="C68" s="182"/>
      <c r="D68" s="182"/>
      <c r="E68" s="182"/>
      <c r="F68" s="165"/>
      <c r="G68" s="165"/>
      <c r="H68" s="165"/>
      <c r="I68" s="165"/>
      <c r="J68" s="165"/>
      <c r="K68" s="165"/>
      <c r="L68" s="165"/>
      <c r="M68" s="183"/>
      <c r="N68" s="183"/>
      <c r="O68" s="184"/>
      <c r="P68" s="180"/>
    </row>
    <row r="69" spans="1:19" s="129" customFormat="1" ht="21.95" customHeight="1" x14ac:dyDescent="0.25">
      <c r="A69" s="181"/>
      <c r="B69" s="556" t="s">
        <v>3</v>
      </c>
      <c r="C69" s="557"/>
      <c r="D69" s="560" t="s">
        <v>209</v>
      </c>
      <c r="E69" s="560" t="s">
        <v>207</v>
      </c>
      <c r="F69" s="560" t="s">
        <v>208</v>
      </c>
      <c r="G69" s="560" t="s">
        <v>186</v>
      </c>
      <c r="H69" s="560" t="s">
        <v>12</v>
      </c>
      <c r="I69" s="560" t="s">
        <v>80</v>
      </c>
      <c r="J69" s="520" t="s">
        <v>79</v>
      </c>
      <c r="K69" s="504" t="s">
        <v>81</v>
      </c>
      <c r="L69" s="165"/>
      <c r="M69" s="183"/>
      <c r="N69" s="351"/>
      <c r="O69" s="352"/>
      <c r="P69" s="185"/>
    </row>
    <row r="70" spans="1:19" s="129" customFormat="1" ht="21.95" customHeight="1" x14ac:dyDescent="0.25">
      <c r="A70" s="181"/>
      <c r="B70" s="558"/>
      <c r="C70" s="559"/>
      <c r="D70" s="561"/>
      <c r="E70" s="561"/>
      <c r="F70" s="561"/>
      <c r="G70" s="561"/>
      <c r="H70" s="561"/>
      <c r="I70" s="561"/>
      <c r="J70" s="521"/>
      <c r="K70" s="504"/>
      <c r="L70" s="165"/>
      <c r="M70" s="183"/>
      <c r="N70" s="123"/>
      <c r="O70" s="128"/>
      <c r="P70" s="185"/>
    </row>
    <row r="71" spans="1:19" s="129" customFormat="1" ht="21.95" customHeight="1" x14ac:dyDescent="0.25">
      <c r="A71" s="181"/>
      <c r="B71" s="522" t="str">
        <f>B29</f>
        <v>KENTA KATO</v>
      </c>
      <c r="C71" s="522"/>
      <c r="D71" s="202" t="str">
        <f>J66</f>
        <v>Deluxe</v>
      </c>
      <c r="E71" s="194">
        <v>1</v>
      </c>
      <c r="F71" s="194">
        <v>2</v>
      </c>
      <c r="G71" s="197">
        <f>+L66</f>
        <v>1026000</v>
      </c>
      <c r="H71" s="197">
        <f>+G71*F71*E71</f>
        <v>2052000</v>
      </c>
      <c r="I71" s="197" t="s">
        <v>221</v>
      </c>
      <c r="J71" s="197" t="s">
        <v>82</v>
      </c>
      <c r="K71" s="197" t="s">
        <v>82</v>
      </c>
      <c r="L71" s="165"/>
      <c r="M71" s="183"/>
      <c r="N71" s="115"/>
      <c r="O71" s="116"/>
      <c r="P71" s="185"/>
    </row>
    <row r="72" spans="1:19" s="14" customFormat="1" ht="21.95" customHeight="1" x14ac:dyDescent="0.25">
      <c r="A72" s="148"/>
      <c r="B72" s="149"/>
      <c r="C72" s="149"/>
      <c r="D72" s="149"/>
      <c r="E72" s="149"/>
      <c r="F72" s="136"/>
      <c r="G72" s="136"/>
      <c r="H72" s="136"/>
      <c r="I72" s="136"/>
      <c r="J72" s="136"/>
      <c r="K72" s="136"/>
      <c r="L72" s="150"/>
      <c r="M72" s="151"/>
      <c r="N72" s="199"/>
      <c r="O72" s="152"/>
      <c r="P72" s="198"/>
    </row>
    <row r="73" spans="1:19" s="115" customFormat="1" ht="21.95" customHeight="1" thickBot="1" x14ac:dyDescent="0.3">
      <c r="A73" s="120"/>
      <c r="B73" s="121"/>
      <c r="C73" s="121"/>
      <c r="D73" s="131"/>
      <c r="E73" s="131"/>
      <c r="F73" s="131"/>
      <c r="G73" s="131"/>
      <c r="H73" s="131"/>
      <c r="I73" s="131"/>
      <c r="J73" s="132"/>
      <c r="K73" s="132"/>
      <c r="L73" s="133"/>
      <c r="M73" s="133"/>
      <c r="N73" s="200"/>
      <c r="O73" s="201"/>
      <c r="R73" s="146"/>
      <c r="S73" s="146"/>
    </row>
    <row r="74" spans="1:19" ht="15" customHeight="1" thickTop="1" x14ac:dyDescent="0.25">
      <c r="A74" s="524" t="s">
        <v>113</v>
      </c>
      <c r="B74" s="525"/>
      <c r="C74" s="525"/>
      <c r="D74" s="525"/>
      <c r="E74" s="526"/>
      <c r="F74" s="531"/>
      <c r="G74" s="533" t="s">
        <v>163</v>
      </c>
      <c r="H74" s="534"/>
      <c r="I74" s="539" t="s">
        <v>174</v>
      </c>
      <c r="J74" s="539"/>
      <c r="K74" s="124">
        <v>45118</v>
      </c>
      <c r="L74" s="99" t="s">
        <v>55</v>
      </c>
      <c r="M74" s="99"/>
      <c r="N74" s="100"/>
      <c r="O74" s="99"/>
    </row>
    <row r="75" spans="1:19" ht="15" customHeight="1" x14ac:dyDescent="0.25">
      <c r="A75" s="527"/>
      <c r="B75" s="525"/>
      <c r="C75" s="525"/>
      <c r="D75" s="525"/>
      <c r="E75" s="526"/>
      <c r="F75" s="531"/>
      <c r="G75" s="535"/>
      <c r="H75" s="536"/>
      <c r="I75" s="539" t="s">
        <v>171</v>
      </c>
      <c r="J75" s="539"/>
      <c r="K75" s="125">
        <v>44702</v>
      </c>
      <c r="L75" s="4" t="s">
        <v>55</v>
      </c>
      <c r="M75" s="4"/>
      <c r="N75" s="98"/>
      <c r="O75" s="4"/>
    </row>
    <row r="76" spans="1:19" ht="15" customHeight="1" x14ac:dyDescent="0.25">
      <c r="A76" s="527"/>
      <c r="B76" s="525"/>
      <c r="C76" s="525"/>
      <c r="D76" s="525"/>
      <c r="E76" s="526"/>
      <c r="F76" s="531"/>
      <c r="G76" s="535"/>
      <c r="H76" s="536"/>
      <c r="I76" s="539" t="s">
        <v>170</v>
      </c>
      <c r="J76" s="539"/>
      <c r="K76" s="125">
        <v>44314</v>
      </c>
      <c r="L76" s="4" t="s">
        <v>55</v>
      </c>
      <c r="M76" s="4">
        <v>3</v>
      </c>
      <c r="N76" s="98">
        <f>+K74</f>
        <v>45118</v>
      </c>
      <c r="O76" s="4" t="s">
        <v>57</v>
      </c>
    </row>
    <row r="77" spans="1:19" ht="15" customHeight="1" x14ac:dyDescent="0.25">
      <c r="A77" s="527"/>
      <c r="B77" s="525"/>
      <c r="C77" s="525"/>
      <c r="D77" s="525"/>
      <c r="E77" s="526"/>
      <c r="F77" s="531"/>
      <c r="G77" s="535"/>
      <c r="H77" s="536"/>
      <c r="I77" s="539" t="s">
        <v>169</v>
      </c>
      <c r="J77" s="539"/>
      <c r="K77" s="125">
        <v>44147</v>
      </c>
      <c r="L77" s="4" t="s">
        <v>55</v>
      </c>
      <c r="M77" s="4">
        <v>2</v>
      </c>
      <c r="N77" s="98">
        <v>44702</v>
      </c>
      <c r="O77" s="4" t="s">
        <v>173</v>
      </c>
    </row>
    <row r="78" spans="1:19" ht="15" customHeight="1" x14ac:dyDescent="0.25">
      <c r="A78" s="527"/>
      <c r="B78" s="525"/>
      <c r="C78" s="525"/>
      <c r="D78" s="525"/>
      <c r="E78" s="526"/>
      <c r="F78" s="531"/>
      <c r="G78" s="535"/>
      <c r="H78" s="536"/>
      <c r="I78" s="539" t="s">
        <v>112</v>
      </c>
      <c r="J78" s="539"/>
      <c r="K78" s="125">
        <v>45113</v>
      </c>
      <c r="L78" s="4" t="s">
        <v>172</v>
      </c>
      <c r="M78" s="4">
        <v>1</v>
      </c>
      <c r="N78" s="98">
        <v>44314</v>
      </c>
      <c r="O78" s="4" t="s">
        <v>57</v>
      </c>
    </row>
    <row r="79" spans="1:19" s="3" customFormat="1" ht="15" customHeight="1" x14ac:dyDescent="0.25">
      <c r="A79" s="528"/>
      <c r="B79" s="529"/>
      <c r="C79" s="529"/>
      <c r="D79" s="529"/>
      <c r="E79" s="530"/>
      <c r="F79" s="532"/>
      <c r="G79" s="537"/>
      <c r="H79" s="538"/>
      <c r="I79" s="523" t="s">
        <v>110</v>
      </c>
      <c r="J79" s="523"/>
      <c r="K79" s="18" t="s">
        <v>5</v>
      </c>
      <c r="L79" s="18" t="s">
        <v>107</v>
      </c>
      <c r="M79" s="18" t="s">
        <v>108</v>
      </c>
      <c r="N79" s="18" t="s">
        <v>109</v>
      </c>
      <c r="O79" s="18" t="s">
        <v>107</v>
      </c>
    </row>
  </sheetData>
  <mergeCells count="73">
    <mergeCell ref="E26:H26"/>
    <mergeCell ref="B28:E28"/>
    <mergeCell ref="G28"/>
    <mergeCell ref="G29"/>
    <mergeCell ref="B22:D22"/>
    <mergeCell ref="B23:D23"/>
    <mergeCell ref="B24:D24"/>
    <mergeCell ref="B25:D25"/>
    <mergeCell ref="A26:D26"/>
    <mergeCell ref="B35:C35"/>
    <mergeCell ref="A30:F30"/>
    <mergeCell ref="A32:O33"/>
    <mergeCell ref="D35:I35"/>
    <mergeCell ref="G45:H45"/>
    <mergeCell ref="L66:M66"/>
    <mergeCell ref="D36:I36"/>
    <mergeCell ref="D37:I37"/>
    <mergeCell ref="M36:M37"/>
    <mergeCell ref="B36:C36"/>
    <mergeCell ref="B37:C37"/>
    <mergeCell ref="J36:J37"/>
    <mergeCell ref="K36:K37"/>
    <mergeCell ref="L36:L37"/>
    <mergeCell ref="A59:F59"/>
    <mergeCell ref="B58:D58"/>
    <mergeCell ref="B45:D45"/>
    <mergeCell ref="A47:F47"/>
    <mergeCell ref="B55:D55"/>
    <mergeCell ref="B46:D46"/>
    <mergeCell ref="G50:H50"/>
    <mergeCell ref="B69:C70"/>
    <mergeCell ref="I69:I70"/>
    <mergeCell ref="H69:H70"/>
    <mergeCell ref="G69:G70"/>
    <mergeCell ref="F69:F70"/>
    <mergeCell ref="E69:E70"/>
    <mergeCell ref="D69:D70"/>
    <mergeCell ref="A3:H6"/>
    <mergeCell ref="L3:O5"/>
    <mergeCell ref="A10:C10"/>
    <mergeCell ref="L10:M10"/>
    <mergeCell ref="N10:O10"/>
    <mergeCell ref="B71:C71"/>
    <mergeCell ref="I79:J79"/>
    <mergeCell ref="A74:E79"/>
    <mergeCell ref="F74:F79"/>
    <mergeCell ref="G74:H79"/>
    <mergeCell ref="I74:J74"/>
    <mergeCell ref="I75:J75"/>
    <mergeCell ref="I76:J76"/>
    <mergeCell ref="I77:J77"/>
    <mergeCell ref="I78:J78"/>
    <mergeCell ref="K69:K70"/>
    <mergeCell ref="P64:P65"/>
    <mergeCell ref="N64:O65"/>
    <mergeCell ref="J64:K65"/>
    <mergeCell ref="A64:A65"/>
    <mergeCell ref="B64:E64"/>
    <mergeCell ref="L64:M65"/>
    <mergeCell ref="N69:O69"/>
    <mergeCell ref="J66:K66"/>
    <mergeCell ref="F64:I65"/>
    <mergeCell ref="F66:I66"/>
    <mergeCell ref="D65:E65"/>
    <mergeCell ref="B65:C65"/>
    <mergeCell ref="J69:J70"/>
    <mergeCell ref="B66:C66"/>
    <mergeCell ref="D66:E66"/>
    <mergeCell ref="B57:D57"/>
    <mergeCell ref="G57:H57"/>
    <mergeCell ref="B51:D51"/>
    <mergeCell ref="B56:D56"/>
    <mergeCell ref="B50:D50"/>
  </mergeCells>
  <printOptions horizontalCentered="1"/>
  <pageMargins left="0" right="0" top="0.75" bottom="0" header="0.75" footer="0"/>
  <pageSetup paperSize="9" scale="4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pageSetUpPr fitToPage="1"/>
  </sheetPr>
  <dimension ref="A1:AB79"/>
  <sheetViews>
    <sheetView showGridLines="0" tabSelected="1" view="pageBreakPreview" topLeftCell="A4" zoomScale="80" zoomScaleNormal="80" zoomScaleSheetLayoutView="80" workbookViewId="0">
      <selection activeCell="N10" sqref="N10"/>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7" t="s">
        <v>119</v>
      </c>
    </row>
    <row r="2" spans="2:23" ht="20.100000000000001" customHeight="1" x14ac:dyDescent="0.25">
      <c r="B2" s="85" t="s">
        <v>0</v>
      </c>
      <c r="C2" s="78"/>
      <c r="D2" s="78"/>
      <c r="E2" s="78"/>
      <c r="F2" s="78"/>
      <c r="G2" s="86"/>
      <c r="H2" s="86"/>
      <c r="I2" s="86"/>
      <c r="J2" s="86"/>
      <c r="K2" s="87" t="s">
        <v>61</v>
      </c>
      <c r="L2" s="88" t="s">
        <v>62</v>
      </c>
      <c r="M2" s="89"/>
      <c r="N2" s="89" t="s">
        <v>167</v>
      </c>
      <c r="O2" s="89"/>
      <c r="P2" s="89"/>
      <c r="Q2" s="90"/>
      <c r="R2" s="4" t="s">
        <v>67</v>
      </c>
      <c r="S2" s="4" t="s">
        <v>66</v>
      </c>
      <c r="T2" s="334" t="s">
        <v>54</v>
      </c>
      <c r="U2" s="335"/>
      <c r="V2" s="334" t="s">
        <v>53</v>
      </c>
      <c r="W2" s="335"/>
    </row>
    <row r="3" spans="2:23" ht="20.100000000000001" customHeight="1" x14ac:dyDescent="0.25">
      <c r="B3" s="708" t="s">
        <v>168</v>
      </c>
      <c r="C3" s="709"/>
      <c r="D3" s="709"/>
      <c r="E3" s="709"/>
      <c r="F3" s="709"/>
      <c r="G3" s="709"/>
      <c r="H3" s="709"/>
      <c r="I3" s="709"/>
      <c r="J3" s="709"/>
      <c r="K3" s="710"/>
      <c r="L3" s="91" t="s">
        <v>5</v>
      </c>
      <c r="M3" s="92"/>
      <c r="N3" s="92" t="s">
        <v>189</v>
      </c>
      <c r="O3" s="92"/>
      <c r="P3" s="92"/>
      <c r="Q3" s="93"/>
      <c r="R3" s="347" t="s">
        <v>161</v>
      </c>
      <c r="S3" s="348"/>
      <c r="T3" s="348"/>
      <c r="U3" s="348"/>
      <c r="V3" s="348"/>
      <c r="W3" s="349"/>
    </row>
    <row r="4" spans="2:23" ht="20.100000000000001" customHeight="1" x14ac:dyDescent="0.25">
      <c r="B4" s="711"/>
      <c r="C4" s="712"/>
      <c r="D4" s="712"/>
      <c r="E4" s="712"/>
      <c r="F4" s="712"/>
      <c r="G4" s="712"/>
      <c r="H4" s="712"/>
      <c r="I4" s="712"/>
      <c r="J4" s="712"/>
      <c r="K4" s="713"/>
      <c r="L4" s="91" t="s">
        <v>63</v>
      </c>
      <c r="M4" s="92"/>
      <c r="N4" s="92" t="s">
        <v>166</v>
      </c>
      <c r="O4" s="92"/>
      <c r="P4" s="92"/>
      <c r="Q4" s="93"/>
      <c r="R4" s="350"/>
      <c r="S4" s="351"/>
      <c r="T4" s="351"/>
      <c r="U4" s="351"/>
      <c r="V4" s="351"/>
      <c r="W4" s="352"/>
    </row>
    <row r="5" spans="2:23" ht="20.100000000000001" customHeight="1" x14ac:dyDescent="0.25">
      <c r="B5" s="711"/>
      <c r="C5" s="712"/>
      <c r="D5" s="712"/>
      <c r="E5" s="712"/>
      <c r="F5" s="712"/>
      <c r="G5" s="712"/>
      <c r="H5" s="712"/>
      <c r="I5" s="712"/>
      <c r="J5" s="712"/>
      <c r="K5" s="713"/>
      <c r="L5" s="91" t="s">
        <v>162</v>
      </c>
      <c r="M5" s="92"/>
      <c r="N5" s="92" t="s">
        <v>165</v>
      </c>
      <c r="O5" s="92"/>
      <c r="P5" s="92"/>
      <c r="Q5" s="93"/>
      <c r="R5" s="353"/>
      <c r="S5" s="354"/>
      <c r="T5" s="354"/>
      <c r="U5" s="354"/>
      <c r="V5" s="354"/>
      <c r="W5" s="355"/>
    </row>
    <row r="6" spans="2:23" ht="20.100000000000001" customHeight="1" x14ac:dyDescent="0.25">
      <c r="B6" s="714"/>
      <c r="C6" s="715"/>
      <c r="D6" s="715"/>
      <c r="E6" s="715"/>
      <c r="F6" s="715"/>
      <c r="G6" s="715"/>
      <c r="H6" s="715"/>
      <c r="I6" s="715"/>
      <c r="J6" s="715"/>
      <c r="K6" s="716"/>
      <c r="L6" s="94" t="s">
        <v>65</v>
      </c>
      <c r="M6" s="95"/>
      <c r="N6" s="95" t="s">
        <v>190</v>
      </c>
      <c r="O6" s="95"/>
      <c r="P6" s="95"/>
      <c r="Q6" s="96"/>
      <c r="R6" s="4" t="s">
        <v>68</v>
      </c>
      <c r="S6" s="4" t="s">
        <v>57</v>
      </c>
      <c r="T6" s="334" t="s">
        <v>56</v>
      </c>
      <c r="U6" s="335"/>
      <c r="V6" s="334" t="s">
        <v>55</v>
      </c>
      <c r="W6" s="335"/>
    </row>
    <row r="7" spans="2:23" s="217" customFormat="1" ht="15" customHeight="1" x14ac:dyDescent="0.3">
      <c r="B7" s="214"/>
      <c r="C7" s="215"/>
      <c r="D7" s="215"/>
      <c r="E7" s="215"/>
      <c r="F7" s="216"/>
      <c r="G7" s="216"/>
      <c r="H7" s="216"/>
      <c r="I7" s="216"/>
      <c r="W7" s="218"/>
    </row>
    <row r="8" spans="2:23" s="217" customFormat="1" ht="15" customHeight="1" x14ac:dyDescent="0.3">
      <c r="B8" s="214"/>
      <c r="C8" s="215"/>
      <c r="D8" s="215"/>
      <c r="E8" s="215"/>
      <c r="F8" s="215"/>
      <c r="G8" s="215"/>
      <c r="H8" s="215"/>
      <c r="I8" s="215"/>
      <c r="W8" s="218"/>
    </row>
    <row r="9" spans="2:23" s="224" customFormat="1" ht="39.950000000000003" customHeight="1" x14ac:dyDescent="0.35">
      <c r="B9" s="219" t="s">
        <v>8</v>
      </c>
      <c r="C9" s="220"/>
      <c r="D9" s="220"/>
      <c r="E9" s="220"/>
      <c r="F9" s="220"/>
      <c r="G9" s="220"/>
      <c r="H9" s="220"/>
      <c r="I9" s="221" t="str">
        <f>+'TAHAP 1'!G8</f>
        <v>: SAI - JAI</v>
      </c>
      <c r="J9" s="220"/>
      <c r="K9" s="220"/>
      <c r="L9" s="220"/>
      <c r="M9" s="220"/>
      <c r="N9" s="220"/>
      <c r="O9" s="220"/>
      <c r="P9" s="222"/>
      <c r="Q9" s="222"/>
      <c r="R9" s="222"/>
      <c r="S9" s="222"/>
      <c r="T9" s="222"/>
      <c r="U9" s="222"/>
      <c r="V9" s="222"/>
      <c r="W9" s="223"/>
    </row>
    <row r="10" spans="2:23" s="224" customFormat="1" ht="39.950000000000003" customHeight="1" x14ac:dyDescent="0.35">
      <c r="B10" s="261" t="s">
        <v>9</v>
      </c>
      <c r="C10" s="225"/>
      <c r="D10" s="225"/>
      <c r="E10" s="225"/>
      <c r="F10" s="225"/>
      <c r="G10" s="225"/>
      <c r="H10" s="225"/>
      <c r="I10" s="221" t="str">
        <f>+'TAHAP 1'!G9</f>
        <v>: MAINTEE &amp; ENG MEETING TERM 84</v>
      </c>
      <c r="J10" s="225"/>
      <c r="K10" s="225"/>
      <c r="L10" s="225"/>
      <c r="M10" s="225"/>
      <c r="N10" s="225"/>
      <c r="O10" s="225"/>
      <c r="P10" s="222"/>
      <c r="Q10" s="222"/>
      <c r="R10" s="222"/>
      <c r="S10" s="222"/>
      <c r="T10" s="222"/>
      <c r="U10" s="222"/>
      <c r="V10" s="222"/>
      <c r="W10" s="223"/>
    </row>
    <row r="11" spans="2:23" s="228" customFormat="1" ht="20.100000000000001" customHeight="1" x14ac:dyDescent="0.25">
      <c r="B11" s="226"/>
      <c r="C11" s="227"/>
      <c r="D11" s="227"/>
      <c r="E11" s="227"/>
      <c r="F11" s="227"/>
      <c r="N11" s="229"/>
      <c r="O11" s="229"/>
      <c r="P11" s="229"/>
      <c r="Q11" s="229"/>
      <c r="R11" s="229"/>
      <c r="S11" s="229"/>
      <c r="T11" s="229"/>
      <c r="U11" s="229"/>
      <c r="V11" s="229"/>
      <c r="W11" s="230"/>
    </row>
    <row r="12" spans="2:23" s="228" customFormat="1" ht="20.100000000000001" customHeight="1" x14ac:dyDescent="0.25">
      <c r="B12" s="226"/>
      <c r="C12" s="227"/>
      <c r="D12" s="227"/>
      <c r="E12" s="227"/>
      <c r="F12" s="227"/>
      <c r="N12" s="229"/>
      <c r="O12" s="229"/>
      <c r="P12" s="229"/>
      <c r="Q12" s="229"/>
      <c r="R12" s="229"/>
      <c r="S12" s="229"/>
      <c r="T12" s="229"/>
      <c r="U12" s="229"/>
      <c r="V12" s="229"/>
      <c r="W12" s="230"/>
    </row>
    <row r="13" spans="2:23" s="228" customFormat="1" ht="20.100000000000001" customHeight="1" x14ac:dyDescent="0.25">
      <c r="B13" s="226"/>
      <c r="C13" s="227"/>
      <c r="D13" s="227"/>
      <c r="E13" s="227"/>
      <c r="F13" s="227"/>
      <c r="N13" s="229"/>
      <c r="O13" s="229"/>
      <c r="P13" s="229"/>
      <c r="Q13" s="229"/>
      <c r="R13" s="229"/>
      <c r="S13" s="229"/>
      <c r="T13" s="229"/>
      <c r="U13" s="229"/>
      <c r="V13" s="229"/>
      <c r="W13" s="230"/>
    </row>
    <row r="14" spans="2:23" s="229" customFormat="1" ht="24.95" customHeight="1" x14ac:dyDescent="0.25">
      <c r="B14" s="231" t="s">
        <v>180</v>
      </c>
      <c r="C14" s="232"/>
      <c r="D14" s="232"/>
      <c r="E14" s="232"/>
      <c r="F14" s="232"/>
      <c r="W14" s="233"/>
    </row>
    <row r="15" spans="2:23" s="236" customFormat="1" ht="24.95" customHeight="1" x14ac:dyDescent="0.25">
      <c r="B15" s="726" t="s">
        <v>1</v>
      </c>
      <c r="C15" s="604" t="s">
        <v>5</v>
      </c>
      <c r="D15" s="605"/>
      <c r="E15" s="605"/>
      <c r="F15" s="606"/>
      <c r="G15" s="604" t="s">
        <v>4</v>
      </c>
      <c r="H15" s="606"/>
      <c r="I15" s="694" t="s">
        <v>60</v>
      </c>
      <c r="J15" s="695"/>
      <c r="K15" s="717" t="s">
        <v>2</v>
      </c>
      <c r="L15" s="719"/>
      <c r="M15" s="717" t="s">
        <v>3</v>
      </c>
      <c r="N15" s="718"/>
      <c r="O15" s="719"/>
      <c r="P15" s="234">
        <v>1</v>
      </c>
      <c r="Q15" s="234">
        <v>2</v>
      </c>
      <c r="R15" s="234">
        <v>3</v>
      </c>
      <c r="S15" s="234">
        <v>4</v>
      </c>
      <c r="T15" s="635">
        <v>5</v>
      </c>
      <c r="U15" s="637"/>
      <c r="V15" s="235"/>
      <c r="W15" s="701"/>
    </row>
    <row r="16" spans="2:23" s="236" customFormat="1" ht="16.5" customHeight="1" x14ac:dyDescent="0.25">
      <c r="B16" s="727"/>
      <c r="C16" s="607"/>
      <c r="D16" s="729"/>
      <c r="E16" s="729"/>
      <c r="F16" s="609"/>
      <c r="G16" s="607"/>
      <c r="H16" s="609"/>
      <c r="I16" s="699"/>
      <c r="J16" s="700"/>
      <c r="K16" s="720"/>
      <c r="L16" s="722"/>
      <c r="M16" s="720"/>
      <c r="N16" s="721"/>
      <c r="O16" s="722"/>
      <c r="P16" s="735" t="s">
        <v>191</v>
      </c>
      <c r="Q16" s="643" t="s">
        <v>194</v>
      </c>
      <c r="R16" s="643" t="s">
        <v>212</v>
      </c>
      <c r="S16" s="643" t="s">
        <v>181</v>
      </c>
      <c r="T16" s="702" t="s">
        <v>182</v>
      </c>
      <c r="U16" s="703"/>
      <c r="V16" s="235"/>
      <c r="W16" s="701"/>
    </row>
    <row r="17" spans="2:28" s="236" customFormat="1" ht="16.5" customHeight="1" x14ac:dyDescent="0.25">
      <c r="B17" s="727"/>
      <c r="C17" s="607"/>
      <c r="D17" s="729"/>
      <c r="E17" s="729"/>
      <c r="F17" s="609"/>
      <c r="G17" s="607"/>
      <c r="H17" s="609"/>
      <c r="I17" s="699"/>
      <c r="J17" s="700"/>
      <c r="K17" s="720"/>
      <c r="L17" s="722"/>
      <c r="M17" s="720"/>
      <c r="N17" s="721"/>
      <c r="O17" s="722"/>
      <c r="P17" s="736"/>
      <c r="Q17" s="644"/>
      <c r="R17" s="644"/>
      <c r="S17" s="644"/>
      <c r="T17" s="704"/>
      <c r="U17" s="705"/>
      <c r="V17" s="235"/>
      <c r="W17" s="701"/>
    </row>
    <row r="18" spans="2:28" s="236" customFormat="1" ht="17.100000000000001" customHeight="1" x14ac:dyDescent="0.25">
      <c r="B18" s="728"/>
      <c r="C18" s="730"/>
      <c r="D18" s="731"/>
      <c r="E18" s="731"/>
      <c r="F18" s="732"/>
      <c r="G18" s="730"/>
      <c r="H18" s="732"/>
      <c r="I18" s="733"/>
      <c r="J18" s="734"/>
      <c r="K18" s="723"/>
      <c r="L18" s="725"/>
      <c r="M18" s="723"/>
      <c r="N18" s="724"/>
      <c r="O18" s="725"/>
      <c r="P18" s="737"/>
      <c r="Q18" s="645"/>
      <c r="R18" s="645"/>
      <c r="S18" s="645"/>
      <c r="T18" s="706"/>
      <c r="U18" s="707"/>
      <c r="V18" s="235"/>
      <c r="W18" s="701"/>
    </row>
    <row r="19" spans="2:28" s="237" customFormat="1" ht="99.95" customHeight="1" x14ac:dyDescent="0.25">
      <c r="B19" s="290">
        <v>1</v>
      </c>
      <c r="C19" s="238">
        <f>+'TAHAP 1'!C13</f>
        <v>45525</v>
      </c>
      <c r="D19" s="603" t="s">
        <v>6</v>
      </c>
      <c r="E19" s="603"/>
      <c r="F19" s="305">
        <f>+'TAHAP 1'!F13</f>
        <v>45527</v>
      </c>
      <c r="G19" s="758" t="str">
        <f>+'TAHAP 1'!G13:H13</f>
        <v>PE / MANAGEMENT</v>
      </c>
      <c r="H19" s="759"/>
      <c r="I19" s="601" t="str">
        <f>+'TAHAP 1'!I13:J13</f>
        <v>SENIOR MANAGER</v>
      </c>
      <c r="J19" s="602"/>
      <c r="K19" s="590">
        <f>+'TAHAP 1'!K13:L13</f>
        <v>25252</v>
      </c>
      <c r="L19" s="591"/>
      <c r="M19" s="592" t="str">
        <f>+'TAHAP 1'!M13</f>
        <v>KENTA KATO</v>
      </c>
      <c r="N19" s="593"/>
      <c r="O19" s="594"/>
      <c r="P19" s="288" t="s">
        <v>248</v>
      </c>
      <c r="Q19" s="319" t="s">
        <v>7</v>
      </c>
      <c r="R19" s="319" t="s">
        <v>7</v>
      </c>
      <c r="S19" s="288" t="s">
        <v>241</v>
      </c>
      <c r="T19" s="760" t="s">
        <v>227</v>
      </c>
      <c r="U19" s="761"/>
      <c r="V19" s="217"/>
      <c r="W19" s="239"/>
      <c r="Y19" s="240" t="str">
        <f>+G19</f>
        <v>PE / MANAGEMENT</v>
      </c>
      <c r="Z19" s="240" t="str">
        <f>+I19</f>
        <v>SENIOR MANAGER</v>
      </c>
      <c r="AA19" s="240">
        <f>+K19</f>
        <v>25252</v>
      </c>
      <c r="AB19" s="240" t="str">
        <f>+M19</f>
        <v>KENTA KATO</v>
      </c>
    </row>
    <row r="20" spans="2:28" s="228" customFormat="1" x14ac:dyDescent="0.25">
      <c r="B20" s="226"/>
      <c r="C20" s="227"/>
      <c r="D20" s="227"/>
      <c r="E20" s="227"/>
      <c r="F20" s="227"/>
      <c r="W20" s="230"/>
    </row>
    <row r="21" spans="2:28" s="228" customFormat="1" x14ac:dyDescent="0.25">
      <c r="B21" s="226"/>
      <c r="C21" s="227"/>
      <c r="D21" s="227"/>
      <c r="E21" s="227"/>
      <c r="F21" s="227"/>
      <c r="W21" s="230"/>
    </row>
    <row r="22" spans="2:28" s="228" customFormat="1" x14ac:dyDescent="0.25">
      <c r="B22" s="226"/>
      <c r="C22" s="227"/>
      <c r="D22" s="227"/>
      <c r="E22" s="227"/>
      <c r="F22" s="227"/>
      <c r="W22" s="230"/>
    </row>
    <row r="23" spans="2:28" s="228" customFormat="1" x14ac:dyDescent="0.25">
      <c r="B23" s="226"/>
      <c r="C23" s="227"/>
      <c r="D23" s="227"/>
      <c r="E23" s="227"/>
      <c r="F23" s="227"/>
      <c r="W23" s="230"/>
    </row>
    <row r="24" spans="2:28" s="228" customFormat="1" x14ac:dyDescent="0.25">
      <c r="B24" s="226"/>
      <c r="C24" s="227"/>
      <c r="D24" s="227"/>
      <c r="E24" s="227"/>
      <c r="F24" s="227"/>
      <c r="W24" s="230"/>
    </row>
    <row r="25" spans="2:28" s="232" customFormat="1" ht="27.95" customHeight="1" x14ac:dyDescent="0.25">
      <c r="B25" s="622" t="s">
        <v>184</v>
      </c>
      <c r="C25" s="623"/>
      <c r="D25" s="623"/>
      <c r="E25" s="623"/>
      <c r="F25" s="623"/>
      <c r="G25" s="623"/>
      <c r="H25" s="623"/>
      <c r="I25" s="623"/>
      <c r="J25" s="623"/>
      <c r="K25" s="624"/>
      <c r="L25" s="604" t="s">
        <v>185</v>
      </c>
      <c r="M25" s="605"/>
      <c r="N25" s="606"/>
      <c r="O25" s="638" t="s">
        <v>204</v>
      </c>
      <c r="P25" s="639"/>
      <c r="Q25" s="639"/>
      <c r="R25" s="640"/>
      <c r="S25" s="693" t="s">
        <v>37</v>
      </c>
      <c r="T25" s="693"/>
      <c r="U25" s="693"/>
      <c r="V25" s="693"/>
      <c r="W25" s="241"/>
    </row>
    <row r="26" spans="2:28" s="232" customFormat="1" ht="30" customHeight="1" x14ac:dyDescent="0.25">
      <c r="B26" s="622"/>
      <c r="C26" s="623"/>
      <c r="D26" s="623"/>
      <c r="E26" s="623"/>
      <c r="F26" s="623"/>
      <c r="G26" s="623"/>
      <c r="H26" s="623"/>
      <c r="I26" s="623"/>
      <c r="J26" s="623"/>
      <c r="K26" s="624"/>
      <c r="L26" s="607"/>
      <c r="M26" s="608"/>
      <c r="N26" s="609"/>
      <c r="O26" s="694" t="s">
        <v>229</v>
      </c>
      <c r="P26" s="695"/>
      <c r="Q26" s="694" t="s">
        <v>230</v>
      </c>
      <c r="R26" s="695"/>
      <c r="S26" s="612" t="str">
        <f>+'TAHAP 2.2 (Rincian)'!F67</f>
        <v>Fairfield by Marriott Surabaya
Jl. Mayjen Sungkono No. 178, Dukuh Kupang, Kec. Dukuhpakis, Surabaya, Jawa Timur 60225</v>
      </c>
      <c r="T26" s="613"/>
      <c r="U26" s="613"/>
      <c r="V26" s="614"/>
      <c r="W26" s="241"/>
    </row>
    <row r="27" spans="2:28" s="232" customFormat="1" ht="41.25" customHeight="1" x14ac:dyDescent="0.25">
      <c r="B27" s="622"/>
      <c r="C27" s="623"/>
      <c r="D27" s="623"/>
      <c r="E27" s="623"/>
      <c r="F27" s="623"/>
      <c r="G27" s="623"/>
      <c r="H27" s="623"/>
      <c r="I27" s="623"/>
      <c r="J27" s="623"/>
      <c r="K27" s="624"/>
      <c r="L27" s="302"/>
      <c r="M27" s="304"/>
      <c r="N27" s="303"/>
      <c r="O27" s="699"/>
      <c r="P27" s="700"/>
      <c r="Q27" s="696" t="s">
        <v>232</v>
      </c>
      <c r="R27" s="697"/>
      <c r="S27" s="615"/>
      <c r="T27" s="616"/>
      <c r="U27" s="616"/>
      <c r="V27" s="617"/>
      <c r="W27" s="241"/>
    </row>
    <row r="28" spans="2:28" s="232" customFormat="1" ht="64.5" customHeight="1" x14ac:dyDescent="0.25">
      <c r="B28" s="622"/>
      <c r="C28" s="623"/>
      <c r="D28" s="623"/>
      <c r="E28" s="623"/>
      <c r="F28" s="623"/>
      <c r="G28" s="623"/>
      <c r="H28" s="623"/>
      <c r="I28" s="623"/>
      <c r="J28" s="623"/>
      <c r="K28" s="624"/>
      <c r="L28" s="273"/>
      <c r="M28" s="291"/>
      <c r="N28" s="274"/>
      <c r="O28" s="699"/>
      <c r="P28" s="700"/>
      <c r="Q28" s="696" t="s">
        <v>231</v>
      </c>
      <c r="R28" s="697"/>
      <c r="S28" s="612" t="e" cm="1">
        <f t="array" ref="S28:V28">+'TAHAP 2.2 (Rincian)'!#REF!</f>
        <v>#REF!</v>
      </c>
      <c r="T28" s="613" t="e">
        <v>#REF!</v>
      </c>
      <c r="U28" s="613" t="e">
        <v>#REF!</v>
      </c>
      <c r="V28" s="614" t="e">
        <v>#REF!</v>
      </c>
      <c r="W28" s="241"/>
    </row>
    <row r="29" spans="2:28" s="232" customFormat="1" ht="60" hidden="1" customHeight="1" x14ac:dyDescent="0.25">
      <c r="B29" s="622"/>
      <c r="C29" s="623"/>
      <c r="D29" s="623"/>
      <c r="E29" s="623"/>
      <c r="F29" s="623"/>
      <c r="G29" s="623"/>
      <c r="H29" s="623"/>
      <c r="I29" s="623"/>
      <c r="J29" s="623"/>
      <c r="K29" s="624"/>
      <c r="L29" s="273"/>
      <c r="M29" s="291"/>
      <c r="N29" s="274"/>
      <c r="O29" s="618"/>
      <c r="P29" s="619"/>
      <c r="Q29" s="306"/>
      <c r="R29" s="307"/>
      <c r="S29" s="293"/>
      <c r="T29" s="294"/>
      <c r="U29" s="294"/>
      <c r="V29" s="295"/>
      <c r="W29" s="241"/>
    </row>
    <row r="30" spans="2:28" s="232" customFormat="1" ht="27.95" hidden="1" customHeight="1" x14ac:dyDescent="0.25">
      <c r="B30" s="622"/>
      <c r="C30" s="623"/>
      <c r="D30" s="623"/>
      <c r="E30" s="623"/>
      <c r="F30" s="623"/>
      <c r="G30" s="623"/>
      <c r="H30" s="623"/>
      <c r="I30" s="623"/>
      <c r="J30" s="623"/>
      <c r="K30" s="624"/>
      <c r="L30" s="273"/>
      <c r="M30" s="291"/>
      <c r="N30" s="274"/>
      <c r="O30" s="281"/>
      <c r="P30" s="282"/>
      <c r="Q30" s="306"/>
      <c r="R30" s="307"/>
      <c r="S30" s="293"/>
      <c r="T30" s="294"/>
      <c r="U30" s="294"/>
      <c r="V30" s="295"/>
      <c r="W30" s="241"/>
    </row>
    <row r="31" spans="2:28" s="232" customFormat="1" ht="60" hidden="1" customHeight="1" x14ac:dyDescent="0.25">
      <c r="B31" s="625"/>
      <c r="C31" s="626"/>
      <c r="D31" s="626"/>
      <c r="E31" s="626"/>
      <c r="F31" s="626"/>
      <c r="G31" s="626"/>
      <c r="H31" s="626"/>
      <c r="I31" s="626"/>
      <c r="J31" s="626"/>
      <c r="K31" s="627"/>
      <c r="L31" s="275"/>
      <c r="M31" s="276"/>
      <c r="N31" s="277"/>
      <c r="O31" s="620"/>
      <c r="P31" s="621"/>
      <c r="Q31" s="308"/>
      <c r="R31" s="309"/>
      <c r="S31" s="296"/>
      <c r="T31" s="297"/>
      <c r="U31" s="297"/>
      <c r="V31" s="298"/>
      <c r="W31" s="241"/>
    </row>
    <row r="32" spans="2:28" s="232" customFormat="1" ht="50.1" customHeight="1" x14ac:dyDescent="0.25">
      <c r="B32" s="300" t="s">
        <v>1</v>
      </c>
      <c r="C32" s="635" t="s">
        <v>3</v>
      </c>
      <c r="D32" s="636"/>
      <c r="E32" s="636"/>
      <c r="F32" s="637"/>
      <c r="G32" s="300" t="s">
        <v>2</v>
      </c>
      <c r="H32" s="638" t="s">
        <v>160</v>
      </c>
      <c r="I32" s="639"/>
      <c r="J32" s="639"/>
      <c r="K32" s="640"/>
      <c r="L32" s="641" t="s">
        <v>186</v>
      </c>
      <c r="M32" s="642"/>
      <c r="N32" s="292" t="s">
        <v>195</v>
      </c>
      <c r="O32" s="301" t="s">
        <v>187</v>
      </c>
      <c r="P32" s="301" t="s">
        <v>195</v>
      </c>
      <c r="Q32" s="301" t="s">
        <v>187</v>
      </c>
      <c r="R32" s="301" t="s">
        <v>195</v>
      </c>
      <c r="S32" s="301" t="s">
        <v>187</v>
      </c>
      <c r="T32" s="629" t="s">
        <v>195</v>
      </c>
      <c r="U32" s="629"/>
      <c r="V32" s="629"/>
      <c r="W32" s="241" t="s">
        <v>206</v>
      </c>
    </row>
    <row r="33" spans="2:23" s="242" customFormat="1" ht="50.1" customHeight="1" x14ac:dyDescent="0.25">
      <c r="B33" s="243">
        <f>+'TAHAP 2.2 (Rincian)'!A29</f>
        <v>1</v>
      </c>
      <c r="C33" s="244" t="str">
        <f>'TAHAP 2.2 (Rincian)'!B29</f>
        <v>KENTA KATO</v>
      </c>
      <c r="D33" s="245"/>
      <c r="E33" s="245"/>
      <c r="F33" s="246"/>
      <c r="G33" s="243">
        <f>+'TAHAP 1'!K13</f>
        <v>25252</v>
      </c>
      <c r="H33" s="632"/>
      <c r="I33" s="633"/>
      <c r="J33" s="633"/>
      <c r="K33" s="634"/>
      <c r="L33" s="630">
        <f>'TAHAP 2.2 (Rincian)'!G29</f>
        <v>270000</v>
      </c>
      <c r="M33" s="631"/>
      <c r="N33" s="299"/>
      <c r="O33" s="289">
        <f>+'TAHAP 2.2 (Rincian)'!J38</f>
        <v>0</v>
      </c>
      <c r="P33" s="328"/>
      <c r="Q33" s="762"/>
      <c r="R33" s="278"/>
      <c r="S33" s="247">
        <f>+'TAHAP 2.2 (Rincian)'!H71</f>
        <v>2052000</v>
      </c>
      <c r="T33" s="628"/>
      <c r="U33" s="628"/>
      <c r="V33" s="628"/>
      <c r="W33" s="248"/>
    </row>
    <row r="34" spans="2:23" s="232" customFormat="1" ht="35.1" customHeight="1" x14ac:dyDescent="0.25">
      <c r="B34" s="610" t="s">
        <v>179</v>
      </c>
      <c r="C34" s="610"/>
      <c r="D34" s="610"/>
      <c r="E34" s="610"/>
      <c r="F34" s="610"/>
      <c r="G34" s="610"/>
      <c r="H34" s="610"/>
      <c r="I34" s="610"/>
      <c r="J34" s="610"/>
      <c r="K34" s="610"/>
      <c r="L34" s="611">
        <f>SUM(L33:M33)</f>
        <v>270000</v>
      </c>
      <c r="M34" s="611"/>
      <c r="N34" s="611"/>
      <c r="O34" s="611">
        <f>SUM(O33:O33)</f>
        <v>0</v>
      </c>
      <c r="P34" s="611"/>
      <c r="Q34" s="611">
        <f>SUM(Q33:Q33)</f>
        <v>0</v>
      </c>
      <c r="R34" s="611"/>
      <c r="S34" s="611">
        <f>SUM(S33:S33)</f>
        <v>2052000</v>
      </c>
      <c r="T34" s="611"/>
      <c r="U34" s="611"/>
      <c r="V34" s="611"/>
      <c r="W34" s="241"/>
    </row>
    <row r="35" spans="2:23" s="242" customFormat="1" ht="45" customHeight="1" x14ac:dyDescent="0.25">
      <c r="B35" s="698" t="s">
        <v>12</v>
      </c>
      <c r="C35" s="698"/>
      <c r="D35" s="698"/>
      <c r="E35" s="698"/>
      <c r="F35" s="698"/>
      <c r="G35" s="698"/>
      <c r="H35" s="698"/>
      <c r="I35" s="698"/>
      <c r="J35" s="698"/>
      <c r="K35" s="698"/>
      <c r="L35" s="680">
        <f>SUM(L34:V34)</f>
        <v>2322000</v>
      </c>
      <c r="M35" s="680"/>
      <c r="N35" s="680"/>
      <c r="O35" s="680"/>
      <c r="P35" s="680"/>
      <c r="Q35" s="680"/>
      <c r="R35" s="680"/>
      <c r="S35" s="680"/>
      <c r="T35" s="680"/>
      <c r="U35" s="680"/>
      <c r="V35" s="680"/>
      <c r="W35" s="248"/>
    </row>
    <row r="36" spans="2:23" s="228" customFormat="1" ht="20.100000000000001" customHeight="1" x14ac:dyDescent="0.25">
      <c r="B36" s="226"/>
      <c r="C36" s="227"/>
      <c r="D36" s="227"/>
      <c r="E36" s="227"/>
      <c r="F36" s="227"/>
      <c r="W36" s="230"/>
    </row>
    <row r="37" spans="2:23" s="228" customFormat="1" ht="20.100000000000001" customHeight="1" x14ac:dyDescent="0.25">
      <c r="B37" s="226"/>
      <c r="C37" s="227"/>
      <c r="D37" s="227"/>
      <c r="E37" s="227"/>
      <c r="F37" s="227"/>
      <c r="W37" s="230"/>
    </row>
    <row r="38" spans="2:23" s="228" customFormat="1" ht="20.100000000000001" customHeight="1" x14ac:dyDescent="0.25">
      <c r="B38" s="671" t="s">
        <v>214</v>
      </c>
      <c r="C38" s="672"/>
      <c r="D38" s="672"/>
      <c r="E38" s="672"/>
      <c r="F38" s="672"/>
      <c r="G38" s="672"/>
      <c r="H38" s="672"/>
      <c r="I38" s="672"/>
      <c r="J38" s="672"/>
      <c r="K38" s="672"/>
      <c r="L38" s="672"/>
      <c r="M38" s="672"/>
      <c r="N38" s="672"/>
      <c r="O38" s="672"/>
      <c r="P38" s="672"/>
      <c r="Q38" s="672"/>
      <c r="R38" s="673"/>
      <c r="S38" s="249"/>
      <c r="T38" s="681" t="s">
        <v>213</v>
      </c>
      <c r="U38" s="682"/>
      <c r="V38" s="683"/>
      <c r="W38" s="230"/>
    </row>
    <row r="39" spans="2:23" s="228" customFormat="1" ht="20.100000000000001" customHeight="1" x14ac:dyDescent="0.25">
      <c r="B39" s="674"/>
      <c r="C39" s="675"/>
      <c r="D39" s="675"/>
      <c r="E39" s="675"/>
      <c r="F39" s="675"/>
      <c r="G39" s="675"/>
      <c r="H39" s="675"/>
      <c r="I39" s="675"/>
      <c r="J39" s="675"/>
      <c r="K39" s="675"/>
      <c r="L39" s="675"/>
      <c r="M39" s="675"/>
      <c r="N39" s="675"/>
      <c r="O39" s="675"/>
      <c r="P39" s="675"/>
      <c r="Q39" s="675"/>
      <c r="R39" s="676"/>
      <c r="S39" s="249"/>
      <c r="T39" s="684"/>
      <c r="U39" s="685"/>
      <c r="V39" s="686"/>
      <c r="W39" s="230"/>
    </row>
    <row r="40" spans="2:23" s="228" customFormat="1" ht="20.100000000000001" customHeight="1" x14ac:dyDescent="0.25">
      <c r="B40" s="674"/>
      <c r="C40" s="675"/>
      <c r="D40" s="675"/>
      <c r="E40" s="675"/>
      <c r="F40" s="675"/>
      <c r="G40" s="675"/>
      <c r="H40" s="675"/>
      <c r="I40" s="675"/>
      <c r="J40" s="675"/>
      <c r="K40" s="675"/>
      <c r="L40" s="675"/>
      <c r="M40" s="675"/>
      <c r="N40" s="675"/>
      <c r="O40" s="675"/>
      <c r="P40" s="675"/>
      <c r="Q40" s="675"/>
      <c r="R40" s="676"/>
      <c r="S40" s="249"/>
      <c r="T40" s="687"/>
      <c r="U40" s="688"/>
      <c r="V40" s="689"/>
      <c r="W40" s="230"/>
    </row>
    <row r="41" spans="2:23" s="228" customFormat="1" ht="20.100000000000001" customHeight="1" x14ac:dyDescent="0.25">
      <c r="B41" s="674"/>
      <c r="C41" s="675"/>
      <c r="D41" s="675"/>
      <c r="E41" s="675"/>
      <c r="F41" s="675"/>
      <c r="G41" s="675"/>
      <c r="H41" s="675"/>
      <c r="I41" s="675"/>
      <c r="J41" s="675"/>
      <c r="K41" s="675"/>
      <c r="L41" s="675"/>
      <c r="M41" s="675"/>
      <c r="N41" s="675"/>
      <c r="O41" s="675"/>
      <c r="P41" s="675"/>
      <c r="Q41" s="675"/>
      <c r="R41" s="676"/>
      <c r="S41" s="249"/>
      <c r="T41" s="595" t="s">
        <v>183</v>
      </c>
      <c r="U41" s="690"/>
      <c r="V41" s="596"/>
      <c r="W41" s="230"/>
    </row>
    <row r="42" spans="2:23" s="229" customFormat="1" ht="20.100000000000001" customHeight="1" x14ac:dyDescent="0.25">
      <c r="B42" s="674"/>
      <c r="C42" s="675"/>
      <c r="D42" s="675"/>
      <c r="E42" s="675"/>
      <c r="F42" s="675"/>
      <c r="G42" s="675"/>
      <c r="H42" s="675"/>
      <c r="I42" s="675"/>
      <c r="J42" s="675"/>
      <c r="K42" s="675"/>
      <c r="L42" s="675"/>
      <c r="M42" s="675"/>
      <c r="N42" s="675"/>
      <c r="O42" s="675"/>
      <c r="P42" s="675"/>
      <c r="Q42" s="675"/>
      <c r="R42" s="676"/>
      <c r="S42" s="249"/>
      <c r="T42" s="597"/>
      <c r="U42" s="691"/>
      <c r="V42" s="598"/>
      <c r="W42" s="233"/>
    </row>
    <row r="43" spans="2:23" s="229" customFormat="1" ht="20.100000000000001" customHeight="1" x14ac:dyDescent="0.25">
      <c r="B43" s="674"/>
      <c r="C43" s="675"/>
      <c r="D43" s="675"/>
      <c r="E43" s="675"/>
      <c r="F43" s="675"/>
      <c r="G43" s="675"/>
      <c r="H43" s="675"/>
      <c r="I43" s="675"/>
      <c r="J43" s="675"/>
      <c r="K43" s="675"/>
      <c r="L43" s="675"/>
      <c r="M43" s="675"/>
      <c r="N43" s="675"/>
      <c r="O43" s="675"/>
      <c r="P43" s="675"/>
      <c r="Q43" s="675"/>
      <c r="R43" s="676"/>
      <c r="S43" s="249"/>
      <c r="T43" s="597"/>
      <c r="U43" s="691"/>
      <c r="V43" s="598"/>
      <c r="W43" s="250"/>
    </row>
    <row r="44" spans="2:23" s="229" customFormat="1" ht="20.100000000000001" customHeight="1" x14ac:dyDescent="0.25">
      <c r="B44" s="677"/>
      <c r="C44" s="678"/>
      <c r="D44" s="678"/>
      <c r="E44" s="678"/>
      <c r="F44" s="678"/>
      <c r="G44" s="678"/>
      <c r="H44" s="678"/>
      <c r="I44" s="678"/>
      <c r="J44" s="678"/>
      <c r="K44" s="678"/>
      <c r="L44" s="678"/>
      <c r="M44" s="678"/>
      <c r="N44" s="678"/>
      <c r="O44" s="678"/>
      <c r="P44" s="678"/>
      <c r="Q44" s="678"/>
      <c r="R44" s="679"/>
      <c r="S44" s="249"/>
      <c r="T44" s="599"/>
      <c r="U44" s="692"/>
      <c r="V44" s="600"/>
      <c r="W44" s="250"/>
    </row>
    <row r="45" spans="2:23" s="229" customFormat="1" ht="15.75" x14ac:dyDescent="0.25">
      <c r="B45" s="251"/>
      <c r="C45" s="252"/>
      <c r="D45" s="252"/>
      <c r="E45" s="252"/>
      <c r="F45" s="252"/>
      <c r="G45" s="252"/>
      <c r="H45" s="252"/>
      <c r="I45" s="252"/>
      <c r="J45" s="252"/>
      <c r="K45" s="252"/>
      <c r="L45" s="252"/>
      <c r="M45" s="252"/>
      <c r="N45" s="252"/>
      <c r="O45" s="252"/>
      <c r="P45" s="252"/>
      <c r="Q45" s="252"/>
      <c r="R45" s="232"/>
      <c r="T45" s="253"/>
      <c r="U45" s="253"/>
      <c r="V45" s="253"/>
      <c r="W45" s="254"/>
    </row>
    <row r="46" spans="2:23" s="229" customFormat="1" ht="15.75" x14ac:dyDescent="0.25">
      <c r="B46" s="251"/>
      <c r="C46" s="252"/>
      <c r="D46" s="252"/>
      <c r="E46" s="252"/>
      <c r="F46" s="252"/>
      <c r="G46" s="252"/>
      <c r="H46" s="252"/>
      <c r="I46" s="252"/>
      <c r="J46" s="252"/>
      <c r="K46" s="252"/>
      <c r="L46" s="252"/>
      <c r="M46" s="252"/>
      <c r="N46" s="252"/>
      <c r="O46" s="252"/>
      <c r="P46" s="252"/>
      <c r="Q46" s="252"/>
      <c r="R46" s="232"/>
      <c r="T46" s="253"/>
      <c r="U46" s="253"/>
      <c r="V46" s="253"/>
      <c r="W46" s="254"/>
    </row>
    <row r="47" spans="2:23" s="229" customFormat="1" ht="15.75" x14ac:dyDescent="0.25">
      <c r="B47" s="251"/>
      <c r="C47" s="252"/>
      <c r="D47" s="252"/>
      <c r="E47" s="252"/>
      <c r="F47" s="252"/>
      <c r="G47" s="252"/>
      <c r="H47" s="252"/>
      <c r="I47" s="252"/>
      <c r="J47" s="252"/>
      <c r="K47" s="252"/>
      <c r="L47" s="252"/>
      <c r="M47" s="252"/>
      <c r="N47" s="252"/>
      <c r="O47" s="252"/>
      <c r="P47" s="252"/>
      <c r="Q47" s="252"/>
      <c r="R47" s="232"/>
      <c r="T47" s="253"/>
      <c r="U47" s="253"/>
      <c r="V47" s="253"/>
      <c r="W47" s="254"/>
    </row>
    <row r="48" spans="2:23" s="229" customFormat="1" ht="15.75" x14ac:dyDescent="0.25">
      <c r="B48" s="251"/>
      <c r="C48" s="252"/>
      <c r="D48" s="252"/>
      <c r="E48" s="252"/>
      <c r="F48" s="252"/>
      <c r="G48" s="252"/>
      <c r="H48" s="252"/>
      <c r="I48" s="252"/>
      <c r="J48" s="252"/>
      <c r="K48" s="252"/>
      <c r="L48" s="252"/>
      <c r="M48" s="252"/>
      <c r="N48" s="252"/>
      <c r="O48" s="252"/>
      <c r="P48" s="252"/>
      <c r="Q48" s="252"/>
      <c r="R48" s="232"/>
      <c r="T48" s="253"/>
      <c r="U48" s="253"/>
      <c r="V48" s="253"/>
      <c r="W48" s="254"/>
    </row>
    <row r="49" spans="1:24" s="229" customFormat="1" ht="16.5" thickBot="1" x14ac:dyDescent="0.3">
      <c r="B49" s="255"/>
      <c r="C49" s="256"/>
      <c r="D49" s="257"/>
      <c r="E49" s="256"/>
      <c r="F49" s="256"/>
      <c r="G49" s="258"/>
      <c r="H49" s="258"/>
      <c r="I49" s="258"/>
      <c r="J49" s="258"/>
      <c r="K49" s="258"/>
      <c r="L49" s="258"/>
      <c r="M49" s="258"/>
      <c r="N49" s="258"/>
      <c r="O49" s="258"/>
      <c r="P49" s="258"/>
      <c r="Q49" s="258"/>
      <c r="R49" s="258"/>
      <c r="S49" s="258"/>
      <c r="T49" s="259"/>
      <c r="U49" s="259"/>
      <c r="V49" s="259"/>
      <c r="W49" s="260"/>
    </row>
    <row r="50" spans="1:24" ht="20.100000000000001" customHeight="1" thickTop="1" x14ac:dyDescent="0.25">
      <c r="B50" s="524" t="s">
        <v>113</v>
      </c>
      <c r="C50" s="525"/>
      <c r="D50" s="525"/>
      <c r="E50" s="525"/>
      <c r="F50" s="526"/>
      <c r="G50" s="531"/>
      <c r="H50" s="650"/>
      <c r="I50" s="535" t="s">
        <v>163</v>
      </c>
      <c r="J50" s="653"/>
      <c r="K50" s="653"/>
      <c r="L50" s="654"/>
      <c r="M50" s="99">
        <v>4</v>
      </c>
      <c r="N50" s="659" t="s">
        <v>174</v>
      </c>
      <c r="O50" s="660"/>
      <c r="P50" s="661"/>
      <c r="Q50" s="124">
        <v>45118</v>
      </c>
      <c r="R50" s="99" t="s">
        <v>55</v>
      </c>
      <c r="S50" s="99"/>
      <c r="T50" s="665"/>
      <c r="U50" s="666"/>
      <c r="V50" s="667"/>
      <c r="W50" s="99"/>
    </row>
    <row r="51" spans="1:24" ht="20.100000000000001" customHeight="1" x14ac:dyDescent="0.25">
      <c r="B51" s="527"/>
      <c r="C51" s="525"/>
      <c r="D51" s="525"/>
      <c r="E51" s="525"/>
      <c r="F51" s="526"/>
      <c r="G51" s="531"/>
      <c r="H51" s="650"/>
      <c r="I51" s="655"/>
      <c r="J51" s="653"/>
      <c r="K51" s="653"/>
      <c r="L51" s="654"/>
      <c r="M51" s="4">
        <v>3</v>
      </c>
      <c r="N51" s="662" t="s">
        <v>171</v>
      </c>
      <c r="O51" s="663"/>
      <c r="P51" s="664"/>
      <c r="Q51" s="125">
        <v>44702</v>
      </c>
      <c r="R51" s="4" t="s">
        <v>55</v>
      </c>
      <c r="S51" s="4"/>
      <c r="T51" s="668"/>
      <c r="U51" s="669"/>
      <c r="V51" s="670"/>
      <c r="W51" s="4"/>
    </row>
    <row r="52" spans="1:24" ht="20.100000000000001" customHeight="1" x14ac:dyDescent="0.25">
      <c r="B52" s="527"/>
      <c r="C52" s="525"/>
      <c r="D52" s="525"/>
      <c r="E52" s="525"/>
      <c r="F52" s="526"/>
      <c r="G52" s="531"/>
      <c r="H52" s="650"/>
      <c r="I52" s="655"/>
      <c r="J52" s="653"/>
      <c r="K52" s="653"/>
      <c r="L52" s="654"/>
      <c r="M52" s="4">
        <v>2</v>
      </c>
      <c r="N52" s="662" t="s">
        <v>170</v>
      </c>
      <c r="O52" s="663"/>
      <c r="P52" s="664"/>
      <c r="Q52" s="125">
        <v>44314</v>
      </c>
      <c r="R52" s="4" t="s">
        <v>55</v>
      </c>
      <c r="S52" s="4">
        <v>3</v>
      </c>
      <c r="T52" s="668">
        <f>+Q50</f>
        <v>45118</v>
      </c>
      <c r="U52" s="669"/>
      <c r="V52" s="670"/>
      <c r="W52" s="4" t="s">
        <v>57</v>
      </c>
    </row>
    <row r="53" spans="1:24" ht="20.100000000000001" customHeight="1" x14ac:dyDescent="0.25">
      <c r="B53" s="527"/>
      <c r="C53" s="525"/>
      <c r="D53" s="525"/>
      <c r="E53" s="525"/>
      <c r="F53" s="526"/>
      <c r="G53" s="531"/>
      <c r="H53" s="650"/>
      <c r="I53" s="655"/>
      <c r="J53" s="653"/>
      <c r="K53" s="653"/>
      <c r="L53" s="654"/>
      <c r="M53" s="4">
        <v>1</v>
      </c>
      <c r="N53" s="662" t="s">
        <v>169</v>
      </c>
      <c r="O53" s="663"/>
      <c r="P53" s="664"/>
      <c r="Q53" s="125">
        <v>44147</v>
      </c>
      <c r="R53" s="4" t="s">
        <v>55</v>
      </c>
      <c r="S53" s="4">
        <v>2</v>
      </c>
      <c r="T53" s="668">
        <v>44702</v>
      </c>
      <c r="U53" s="669"/>
      <c r="V53" s="670"/>
      <c r="W53" s="4" t="s">
        <v>173</v>
      </c>
    </row>
    <row r="54" spans="1:24" ht="20.100000000000001" customHeight="1" x14ac:dyDescent="0.25">
      <c r="B54" s="527"/>
      <c r="C54" s="525"/>
      <c r="D54" s="525"/>
      <c r="E54" s="525"/>
      <c r="F54" s="526"/>
      <c r="G54" s="531"/>
      <c r="H54" s="650"/>
      <c r="I54" s="655"/>
      <c r="J54" s="653"/>
      <c r="K54" s="653"/>
      <c r="L54" s="654"/>
      <c r="M54" s="4">
        <v>0</v>
      </c>
      <c r="N54" s="662" t="s">
        <v>112</v>
      </c>
      <c r="O54" s="663"/>
      <c r="P54" s="664"/>
      <c r="Q54" s="125">
        <v>45113</v>
      </c>
      <c r="R54" s="4" t="s">
        <v>172</v>
      </c>
      <c r="S54" s="4">
        <v>1</v>
      </c>
      <c r="T54" s="668">
        <v>44314</v>
      </c>
      <c r="U54" s="669"/>
      <c r="V54" s="670"/>
      <c r="W54" s="4" t="s">
        <v>57</v>
      </c>
    </row>
    <row r="55" spans="1:24" s="3" customFormat="1" ht="20.100000000000001" customHeight="1" x14ac:dyDescent="0.25">
      <c r="B55" s="528"/>
      <c r="C55" s="529"/>
      <c r="D55" s="529"/>
      <c r="E55" s="529"/>
      <c r="F55" s="649"/>
      <c r="G55" s="651"/>
      <c r="H55" s="652"/>
      <c r="I55" s="656"/>
      <c r="J55" s="657"/>
      <c r="K55" s="657"/>
      <c r="L55" s="658"/>
      <c r="M55" s="18" t="s">
        <v>111</v>
      </c>
      <c r="N55" s="646" t="s">
        <v>110</v>
      </c>
      <c r="O55" s="647"/>
      <c r="P55" s="648"/>
      <c r="Q55" s="126" t="s">
        <v>5</v>
      </c>
      <c r="R55" s="18" t="s">
        <v>107</v>
      </c>
      <c r="S55" s="18" t="s">
        <v>108</v>
      </c>
      <c r="T55" s="466" t="s">
        <v>109</v>
      </c>
      <c r="U55" s="467"/>
      <c r="V55" s="468"/>
      <c r="W55" s="18" t="s">
        <v>107</v>
      </c>
    </row>
    <row r="56" spans="1:24" s="13" customFormat="1" ht="16.5" thickBot="1" x14ac:dyDescent="0.3">
      <c r="A56" s="82"/>
      <c r="B56" s="82"/>
      <c r="C56" s="83"/>
      <c r="D56" s="83"/>
      <c r="E56" s="83"/>
      <c r="F56" s="83"/>
      <c r="G56" s="82"/>
      <c r="H56" s="82"/>
      <c r="I56" s="82"/>
      <c r="J56" s="82"/>
      <c r="K56" s="82"/>
      <c r="L56" s="82"/>
      <c r="M56" s="82"/>
      <c r="N56" s="82"/>
      <c r="O56" s="82"/>
      <c r="P56" s="82"/>
      <c r="Q56" s="82"/>
      <c r="R56" s="82"/>
      <c r="S56" s="82"/>
      <c r="T56" s="82"/>
      <c r="U56" s="82"/>
      <c r="V56" s="82"/>
      <c r="W56" s="82"/>
      <c r="X56" s="82"/>
    </row>
    <row r="57" spans="1:24" ht="15.75" thickTop="1" x14ac:dyDescent="0.25">
      <c r="W57" s="97"/>
    </row>
    <row r="70" spans="7:12" x14ac:dyDescent="0.25">
      <c r="L70" s="1">
        <v>1019000</v>
      </c>
    </row>
    <row r="71" spans="7:12" x14ac:dyDescent="0.25">
      <c r="L71" s="1">
        <v>767000</v>
      </c>
    </row>
    <row r="77" spans="7:12" x14ac:dyDescent="0.25">
      <c r="G77" s="1">
        <f>L71</f>
        <v>767000</v>
      </c>
    </row>
    <row r="78" spans="7:12" x14ac:dyDescent="0.25">
      <c r="G78" s="1">
        <f>L71</f>
        <v>767000</v>
      </c>
    </row>
    <row r="79" spans="7:12" x14ac:dyDescent="0.25">
      <c r="G79" s="1">
        <f>L71</f>
        <v>767000</v>
      </c>
    </row>
  </sheetData>
  <mergeCells count="69">
    <mergeCell ref="B3:K6"/>
    <mergeCell ref="R3:W5"/>
    <mergeCell ref="D19:E19"/>
    <mergeCell ref="G19:H19"/>
    <mergeCell ref="I19:J19"/>
    <mergeCell ref="K19:L19"/>
    <mergeCell ref="M19:O19"/>
    <mergeCell ref="M15:O18"/>
    <mergeCell ref="B15:B18"/>
    <mergeCell ref="C15:F18"/>
    <mergeCell ref="G15:H18"/>
    <mergeCell ref="I15:J18"/>
    <mergeCell ref="K15:L18"/>
    <mergeCell ref="P16:P18"/>
    <mergeCell ref="S16:S18"/>
    <mergeCell ref="R16:R18"/>
    <mergeCell ref="V2:W2"/>
    <mergeCell ref="V6:W6"/>
    <mergeCell ref="T6:U6"/>
    <mergeCell ref="T2:U2"/>
    <mergeCell ref="W15:W18"/>
    <mergeCell ref="T15:U15"/>
    <mergeCell ref="T16:U18"/>
    <mergeCell ref="B38:R44"/>
    <mergeCell ref="L35:V35"/>
    <mergeCell ref="T38:V40"/>
    <mergeCell ref="T41:V44"/>
    <mergeCell ref="S25:V25"/>
    <mergeCell ref="Q26:R26"/>
    <mergeCell ref="Q27:R27"/>
    <mergeCell ref="Q28:R28"/>
    <mergeCell ref="B35:K35"/>
    <mergeCell ref="O26:P28"/>
    <mergeCell ref="O25:R25"/>
    <mergeCell ref="O34:P34"/>
    <mergeCell ref="Q34:R34"/>
    <mergeCell ref="H33:K33"/>
    <mergeCell ref="Q16:Q18"/>
    <mergeCell ref="T55:V55"/>
    <mergeCell ref="N55:P55"/>
    <mergeCell ref="B50:F55"/>
    <mergeCell ref="G50:H55"/>
    <mergeCell ref="I50:L55"/>
    <mergeCell ref="N50:P50"/>
    <mergeCell ref="N51:P51"/>
    <mergeCell ref="N52:P52"/>
    <mergeCell ref="N53:P53"/>
    <mergeCell ref="N54:P54"/>
    <mergeCell ref="T50:V50"/>
    <mergeCell ref="T51:V51"/>
    <mergeCell ref="T53:V53"/>
    <mergeCell ref="T54:V54"/>
    <mergeCell ref="T52:V52"/>
    <mergeCell ref="C32:F32"/>
    <mergeCell ref="H32:K32"/>
    <mergeCell ref="L32:M32"/>
    <mergeCell ref="L25:N26"/>
    <mergeCell ref="B34:K34"/>
    <mergeCell ref="L34:N34"/>
    <mergeCell ref="S26:V27"/>
    <mergeCell ref="S28:V28"/>
    <mergeCell ref="O29:P29"/>
    <mergeCell ref="O31:P31"/>
    <mergeCell ref="B25:K31"/>
    <mergeCell ref="S34:V34"/>
    <mergeCell ref="T33:V33"/>
    <mergeCell ref="T32:V32"/>
    <mergeCell ref="L33:M33"/>
    <mergeCell ref="T19:U19"/>
  </mergeCells>
  <printOptions horizontalCentered="1"/>
  <pageMargins left="0" right="0" top="1" bottom="0" header="1" footer="0"/>
  <pageSetup paperSize="9" scale="4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N10"/>
  <sheetViews>
    <sheetView workbookViewId="0">
      <selection activeCell="G20" sqref="G20"/>
    </sheetView>
  </sheetViews>
  <sheetFormatPr defaultRowHeight="15" x14ac:dyDescent="0.25"/>
  <cols>
    <col min="3" max="3" width="12.5703125" customWidth="1"/>
    <col min="4" max="9" width="10.7109375" customWidth="1"/>
  </cols>
  <sheetData>
    <row r="4" spans="1:14" s="326" customFormat="1" ht="21.95" customHeight="1" x14ac:dyDescent="0.25">
      <c r="A4" s="181"/>
      <c r="B4" s="744" t="s">
        <v>3</v>
      </c>
      <c r="C4" s="745"/>
      <c r="D4" s="739" t="s">
        <v>209</v>
      </c>
      <c r="E4" s="739" t="s">
        <v>207</v>
      </c>
      <c r="F4" s="739" t="s">
        <v>208</v>
      </c>
      <c r="G4" s="739" t="s">
        <v>80</v>
      </c>
      <c r="H4" s="741" t="s">
        <v>79</v>
      </c>
      <c r="I4" s="743" t="s">
        <v>81</v>
      </c>
      <c r="J4" s="165"/>
      <c r="K4" s="183"/>
      <c r="L4" s="351"/>
      <c r="M4" s="352"/>
      <c r="N4" s="185"/>
    </row>
    <row r="5" spans="1:14" s="326" customFormat="1" ht="21.95" customHeight="1" x14ac:dyDescent="0.25">
      <c r="A5" s="181"/>
      <c r="B5" s="746"/>
      <c r="C5" s="747"/>
      <c r="D5" s="740"/>
      <c r="E5" s="740"/>
      <c r="F5" s="740"/>
      <c r="G5" s="740"/>
      <c r="H5" s="742"/>
      <c r="I5" s="743"/>
      <c r="J5" s="165"/>
      <c r="K5" s="183"/>
      <c r="L5" s="323"/>
      <c r="M5" s="324"/>
      <c r="N5" s="185"/>
    </row>
    <row r="6" spans="1:14" s="326" customFormat="1" ht="21.95" customHeight="1" x14ac:dyDescent="0.25">
      <c r="A6" s="181"/>
      <c r="B6" s="738" t="s">
        <v>236</v>
      </c>
      <c r="C6" s="738"/>
      <c r="D6" s="329" t="s">
        <v>226</v>
      </c>
      <c r="E6" s="330">
        <v>1</v>
      </c>
      <c r="F6" s="330">
        <v>2</v>
      </c>
      <c r="G6" s="331" t="s">
        <v>221</v>
      </c>
      <c r="H6" s="331" t="s">
        <v>82</v>
      </c>
      <c r="I6" s="331" t="s">
        <v>82</v>
      </c>
      <c r="J6" s="165"/>
      <c r="K6" s="183"/>
      <c r="L6" s="115"/>
      <c r="M6" s="116"/>
      <c r="N6" s="185"/>
    </row>
    <row r="7" spans="1:14" s="326" customFormat="1" ht="21.95" customHeight="1" x14ac:dyDescent="0.25">
      <c r="A7" s="181"/>
      <c r="B7" s="738" t="s">
        <v>247</v>
      </c>
      <c r="C7" s="738"/>
      <c r="D7" s="329" t="s">
        <v>226</v>
      </c>
      <c r="E7" s="330">
        <v>1</v>
      </c>
      <c r="F7" s="330">
        <v>2</v>
      </c>
      <c r="G7" s="331" t="s">
        <v>221</v>
      </c>
      <c r="H7" s="331" t="s">
        <v>82</v>
      </c>
      <c r="I7" s="331" t="s">
        <v>82</v>
      </c>
      <c r="J7" s="165"/>
      <c r="K7" s="183"/>
      <c r="L7" s="115"/>
      <c r="M7" s="116"/>
      <c r="N7" s="185"/>
    </row>
    <row r="8" spans="1:14" s="326" customFormat="1" ht="21.95" customHeight="1" x14ac:dyDescent="0.25">
      <c r="A8" s="181"/>
      <c r="B8" s="738" t="s">
        <v>237</v>
      </c>
      <c r="C8" s="738"/>
      <c r="D8" s="329" t="s">
        <v>226</v>
      </c>
      <c r="E8" s="330">
        <v>1</v>
      </c>
      <c r="F8" s="330">
        <v>2</v>
      </c>
      <c r="G8" s="331" t="s">
        <v>221</v>
      </c>
      <c r="H8" s="331" t="s">
        <v>82</v>
      </c>
      <c r="I8" s="331" t="s">
        <v>82</v>
      </c>
      <c r="J8" s="165"/>
      <c r="K8" s="183"/>
      <c r="L8" s="115"/>
      <c r="M8" s="116"/>
      <c r="N8" s="185"/>
    </row>
    <row r="9" spans="1:14" s="326" customFormat="1" ht="21.95" customHeight="1" x14ac:dyDescent="0.25">
      <c r="A9" s="181"/>
      <c r="B9" s="738" t="s">
        <v>238</v>
      </c>
      <c r="C9" s="738"/>
      <c r="D9" s="329" t="s">
        <v>226</v>
      </c>
      <c r="E9" s="330">
        <v>1</v>
      </c>
      <c r="F9" s="330">
        <v>2</v>
      </c>
      <c r="G9" s="331" t="s">
        <v>221</v>
      </c>
      <c r="H9" s="331" t="s">
        <v>82</v>
      </c>
      <c r="I9" s="331" t="s">
        <v>82</v>
      </c>
      <c r="J9" s="165"/>
      <c r="K9" s="183"/>
      <c r="L9" s="115"/>
      <c r="M9" s="116"/>
      <c r="N9" s="185"/>
    </row>
    <row r="10" spans="1:14" s="326" customFormat="1" ht="21.95" customHeight="1" x14ac:dyDescent="0.25">
      <c r="A10" s="181"/>
      <c r="B10" s="738" t="s">
        <v>239</v>
      </c>
      <c r="C10" s="738"/>
      <c r="D10" s="329" t="s">
        <v>226</v>
      </c>
      <c r="E10" s="330">
        <v>1</v>
      </c>
      <c r="F10" s="330">
        <v>2</v>
      </c>
      <c r="G10" s="331" t="s">
        <v>221</v>
      </c>
      <c r="H10" s="331" t="s">
        <v>82</v>
      </c>
      <c r="I10" s="331" t="s">
        <v>82</v>
      </c>
      <c r="J10" s="165"/>
      <c r="K10" s="183"/>
      <c r="L10" s="115"/>
      <c r="M10" s="116"/>
      <c r="N10" s="185"/>
    </row>
  </sheetData>
  <mergeCells count="13">
    <mergeCell ref="I4:I5"/>
    <mergeCell ref="L4:M4"/>
    <mergeCell ref="B6:C6"/>
    <mergeCell ref="B7:C7"/>
    <mergeCell ref="B4:C5"/>
    <mergeCell ref="D4:D5"/>
    <mergeCell ref="E4:E5"/>
    <mergeCell ref="F4:F5"/>
    <mergeCell ref="B8:C8"/>
    <mergeCell ref="B9:C9"/>
    <mergeCell ref="B10:C10"/>
    <mergeCell ref="G4:G5"/>
    <mergeCell ref="H4:H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TAHAP 1</vt:lpstr>
      <vt:lpstr>TAHAP 2.2 (Rincian)</vt:lpstr>
      <vt:lpstr>TAHAP 2.1 (SPD)</vt:lpstr>
      <vt:lpstr>Sheet1</vt:lpstr>
      <vt:lpstr>'TAHAP 1'!Print_Area</vt:lpstr>
      <vt:lpstr>'TAHAP 2.1 (SPD)'!Print_Area</vt:lpstr>
      <vt:lpstr>'TAHAP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GA-05</cp:lastModifiedBy>
  <cp:lastPrinted>2024-07-13T08:17:54Z</cp:lastPrinted>
  <dcterms:created xsi:type="dcterms:W3CDTF">2023-06-18T02:33:15Z</dcterms:created>
  <dcterms:modified xsi:type="dcterms:W3CDTF">2024-08-07T06:44:04Z</dcterms:modified>
</cp:coreProperties>
</file>