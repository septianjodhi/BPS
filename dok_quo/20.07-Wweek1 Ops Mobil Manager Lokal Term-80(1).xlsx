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5600" windowHeight="10035"/>
  </bookViews>
  <sheets>
    <sheet name="JULI" sheetId="46" r:id="rId1"/>
    <sheet name="No. Rek" sheetId="36" r:id="rId2"/>
  </sheets>
  <definedNames>
    <definedName name="_xlnm.Print_Area" localSheetId="0">JULI!$A$2:$AD$95</definedName>
    <definedName name="_xlnm.Print_Area" localSheetId="1">'No. Rek'!$B$2:$G$13</definedName>
  </definedNames>
  <calcPr calcId="144525"/>
</workbook>
</file>

<file path=xl/calcChain.xml><?xml version="1.0" encoding="utf-8"?>
<calcChain xmlns="http://schemas.openxmlformats.org/spreadsheetml/2006/main">
  <c r="K48" i="46" l="1"/>
  <c r="K47" i="46"/>
  <c r="G16" i="36" l="1"/>
  <c r="G12" i="36"/>
  <c r="G14" i="36" s="1"/>
  <c r="X52" i="46" l="1"/>
  <c r="AB52" i="46" s="1"/>
  <c r="J52" i="46"/>
  <c r="N52" i="46" s="1"/>
  <c r="X51" i="46"/>
  <c r="AB51" i="46" s="1"/>
  <c r="J51" i="46"/>
  <c r="N51" i="46" s="1"/>
  <c r="X50" i="46"/>
  <c r="AB50" i="46" s="1"/>
  <c r="J50" i="46"/>
  <c r="N50" i="46" s="1"/>
  <c r="X49" i="46"/>
  <c r="AB49" i="46" s="1"/>
  <c r="J49" i="46"/>
  <c r="N49" i="46" s="1"/>
  <c r="X48" i="46"/>
  <c r="AB48" i="46" s="1"/>
  <c r="J48" i="46"/>
  <c r="N48" i="46" s="1"/>
  <c r="AB47" i="46"/>
  <c r="X47" i="46"/>
  <c r="N47" i="46"/>
  <c r="J47" i="46"/>
  <c r="J46" i="46"/>
  <c r="N46" i="46" s="1"/>
  <c r="M83" i="46"/>
  <c r="E91" i="46" s="1"/>
  <c r="L83" i="46"/>
  <c r="E90" i="46" s="1"/>
  <c r="K83" i="46"/>
  <c r="E89" i="46" s="1"/>
  <c r="J82" i="46"/>
  <c r="N82" i="46" s="1"/>
  <c r="J81" i="46"/>
  <c r="N81" i="46" s="1"/>
  <c r="J80" i="46"/>
  <c r="N80" i="46" s="1"/>
  <c r="J79" i="46"/>
  <c r="N79" i="46" s="1"/>
  <c r="J78" i="46"/>
  <c r="N78" i="46" s="1"/>
  <c r="N77" i="46"/>
  <c r="J76" i="46"/>
  <c r="N76" i="46" s="1"/>
  <c r="AA53" i="46"/>
  <c r="S61" i="46" s="1"/>
  <c r="Z53" i="46"/>
  <c r="S60" i="46" s="1"/>
  <c r="Y53" i="46"/>
  <c r="S59" i="46" s="1"/>
  <c r="M53" i="46"/>
  <c r="E61" i="46" s="1"/>
  <c r="L53" i="46"/>
  <c r="E60" i="46" s="1"/>
  <c r="K53" i="46"/>
  <c r="E59" i="46" s="1"/>
  <c r="AA23" i="46"/>
  <c r="S31" i="46" s="1"/>
  <c r="Z23" i="46"/>
  <c r="S30" i="46" s="1"/>
  <c r="Y23" i="46"/>
  <c r="S29" i="46" s="1"/>
  <c r="M23" i="46"/>
  <c r="E31" i="46" s="1"/>
  <c r="L23" i="46"/>
  <c r="E30" i="46" s="1"/>
  <c r="K23" i="46"/>
  <c r="E29" i="46" s="1"/>
  <c r="X22" i="46"/>
  <c r="AB22" i="46" s="1"/>
  <c r="J22" i="46"/>
  <c r="N22" i="46" s="1"/>
  <c r="X21" i="46"/>
  <c r="AB21" i="46" s="1"/>
  <c r="J21" i="46"/>
  <c r="N21" i="46" s="1"/>
  <c r="X20" i="46"/>
  <c r="AB20" i="46" s="1"/>
  <c r="J20" i="46"/>
  <c r="N20" i="46" s="1"/>
  <c r="X19" i="46"/>
  <c r="AB19" i="46" s="1"/>
  <c r="J19" i="46"/>
  <c r="N19" i="46" s="1"/>
  <c r="X18" i="46"/>
  <c r="AB18" i="46" s="1"/>
  <c r="J18" i="46"/>
  <c r="N18" i="46" s="1"/>
  <c r="AB17" i="46"/>
  <c r="X17" i="46"/>
  <c r="N17" i="46"/>
  <c r="J17" i="46"/>
  <c r="J16" i="46"/>
  <c r="N16" i="46" s="1"/>
  <c r="X53" i="46" l="1"/>
  <c r="S58" i="46" s="1"/>
  <c r="S62" i="46" s="1"/>
  <c r="J23" i="46"/>
  <c r="E28" i="46" s="1"/>
  <c r="E32" i="46" s="1"/>
  <c r="Z78" i="46" s="1"/>
  <c r="N53" i="46"/>
  <c r="X23" i="46"/>
  <c r="S28" i="46" s="1"/>
  <c r="S32" i="46" s="1"/>
  <c r="Z79" i="46" s="1"/>
  <c r="AB53" i="46"/>
  <c r="AB23" i="46"/>
  <c r="J53" i="46"/>
  <c r="E58" i="46" s="1"/>
  <c r="E62" i="46" s="1"/>
  <c r="Z80" i="46" s="1"/>
  <c r="N83" i="46"/>
  <c r="N23" i="46"/>
  <c r="J83" i="46"/>
  <c r="E88" i="46" s="1"/>
  <c r="E92" i="46" s="1"/>
  <c r="Z82" i="46" l="1"/>
  <c r="Q69" i="46"/>
  <c r="Z81" i="46"/>
  <c r="Z83" i="46" l="1"/>
</calcChain>
</file>

<file path=xl/sharedStrings.xml><?xml version="1.0" encoding="utf-8"?>
<sst xmlns="http://schemas.openxmlformats.org/spreadsheetml/2006/main" count="309" uniqueCount="99">
  <si>
    <t>NAMA</t>
  </si>
  <si>
    <t>NO MOBIL</t>
  </si>
  <si>
    <t>BBM</t>
  </si>
  <si>
    <t>TOL</t>
  </si>
  <si>
    <t>PARKIR</t>
  </si>
  <si>
    <t>LAIN-LAIN</t>
  </si>
  <si>
    <t>MIS</t>
  </si>
  <si>
    <t>BRI</t>
  </si>
  <si>
    <t>AWI</t>
  </si>
  <si>
    <t>AMU</t>
  </si>
  <si>
    <t>+</t>
  </si>
  <si>
    <t xml:space="preserve">TYPE MOBIL </t>
  </si>
  <si>
    <t>: INNOVA</t>
  </si>
  <si>
    <t>: H 8700 MY</t>
  </si>
  <si>
    <t>HARI</t>
  </si>
  <si>
    <t>SENIN</t>
  </si>
  <si>
    <t>SELASA</t>
  </si>
  <si>
    <t>RABU</t>
  </si>
  <si>
    <t>KAMIS</t>
  </si>
  <si>
    <t>JUM'AT</t>
  </si>
  <si>
    <t>SABTU</t>
  </si>
  <si>
    <t>MINGGU</t>
  </si>
  <si>
    <t>TANGGAL</t>
  </si>
  <si>
    <t>LITER</t>
  </si>
  <si>
    <t>JENIS BBM</t>
  </si>
  <si>
    <t>NOMINAL</t>
  </si>
  <si>
    <t>KM</t>
  </si>
  <si>
    <t>RINCIAN PEMBELIAN BBM</t>
  </si>
  <si>
    <t>DEKLARASI OPERASIONAL MOBIL</t>
  </si>
  <si>
    <t>PENERIMA</t>
  </si>
  <si>
    <t>Revisi</t>
  </si>
  <si>
    <t>Last Update</t>
  </si>
  <si>
    <t>No Doc</t>
  </si>
  <si>
    <t>PT. SEMARANG AUTOCOMP MANUFACTURING INDONESIA</t>
  </si>
  <si>
    <t>LAPORAN OPERASIONAL MOBIL MANAGER LOKAL</t>
  </si>
  <si>
    <t>: MANSUR ISNAENI (MIS)</t>
  </si>
  <si>
    <t>: LOML-GA-001</t>
  </si>
  <si>
    <t>: BAMBANG RIANTO (BRI)</t>
  </si>
  <si>
    <t>: H 8765 CW</t>
  </si>
  <si>
    <t>P. BRI</t>
  </si>
  <si>
    <t>STANDART (PERTALITE)</t>
  </si>
  <si>
    <t>P. MIS</t>
  </si>
  <si>
    <t>: YOEN YOEDONO SOEBROTO (YYS)</t>
  </si>
  <si>
    <t>P. YYS</t>
  </si>
  <si>
    <t>: ARI WIJAYANTI (AWI)</t>
  </si>
  <si>
    <t>: MOBILIO</t>
  </si>
  <si>
    <t>B. AWI</t>
  </si>
  <si>
    <t>P. AMU</t>
  </si>
  <si>
    <t>: AHMAD MUBAROK (AMU)</t>
  </si>
  <si>
    <t>: H 9367 SG</t>
  </si>
  <si>
    <t>: AE 1726 ES</t>
  </si>
  <si>
    <t>: H 8682 VW</t>
  </si>
  <si>
    <t>KM / Liter</t>
  </si>
  <si>
    <t>SELISIH</t>
  </si>
  <si>
    <t>PERTALITE</t>
  </si>
  <si>
    <t>minggu ke-1</t>
  </si>
  <si>
    <t>pertalite 
/liter</t>
  </si>
  <si>
    <t>: 1</t>
  </si>
  <si>
    <t>: 21 Agustus2018</t>
  </si>
  <si>
    <t>JUMLAH
perhari</t>
  </si>
  <si>
    <t>01</t>
  </si>
  <si>
    <t>02</t>
  </si>
  <si>
    <t>03</t>
  </si>
  <si>
    <t>04</t>
  </si>
  <si>
    <t>di buat oleh,</t>
  </si>
  <si>
    <t>(GA)</t>
  </si>
  <si>
    <t>JUMLAH</t>
  </si>
  <si>
    <t xml:space="preserve"> </t>
  </si>
  <si>
    <r>
      <rPr>
        <b/>
        <i/>
        <sz val="25"/>
        <color theme="1"/>
        <rFont val="Calibri"/>
        <family val="2"/>
        <scheme val="minor"/>
      </rPr>
      <t>TOTAL ALL</t>
    </r>
    <r>
      <rPr>
        <i/>
        <sz val="15"/>
        <color theme="1"/>
        <rFont val="Calibri"/>
        <family val="2"/>
        <scheme val="minor"/>
      </rPr>
      <t xml:space="preserve">
</t>
    </r>
    <r>
      <rPr>
        <i/>
        <sz val="18"/>
        <color theme="1"/>
        <rFont val="Calibri"/>
        <family val="2"/>
        <scheme val="minor"/>
      </rPr>
      <t xml:space="preserve">ops mobil manager lokal </t>
    </r>
  </si>
  <si>
    <t>Renny</t>
  </si>
  <si>
    <t>NO</t>
  </si>
  <si>
    <t>-</t>
  </si>
  <si>
    <t>PERIODE :</t>
  </si>
  <si>
    <t>YYS</t>
  </si>
  <si>
    <t>NOMOR REKENING MANAGER LOKAL UNTUK TRANSFER BIAYA OPERASIONAL MOBIL</t>
  </si>
  <si>
    <t>BANK</t>
  </si>
  <si>
    <t>NO. REKENING</t>
  </si>
  <si>
    <t>MANDIRI</t>
  </si>
  <si>
    <t xml:space="preserve">1360004486319       </t>
  </si>
  <si>
    <t xml:space="preserve">1350004442651       </t>
  </si>
  <si>
    <t xml:space="preserve">1360004315575       </t>
  </si>
  <si>
    <t>BCA</t>
  </si>
  <si>
    <t>initial</t>
  </si>
  <si>
    <t>Ms. Ari Wijayanti</t>
  </si>
  <si>
    <t>Mr. Mansur Isnaeni</t>
  </si>
  <si>
    <t>Mr. Yoen Yoedono Soebroto</t>
  </si>
  <si>
    <t>Mr. Bambang Rianto</t>
  </si>
  <si>
    <t>Mr. Ahmad Mubarok</t>
  </si>
  <si>
    <t>INITIAL</t>
  </si>
  <si>
    <t>JUMLAH TRANSFER</t>
  </si>
  <si>
    <t>WEEK 1</t>
  </si>
  <si>
    <t>TOTAL BIAYA</t>
  </si>
  <si>
    <t>JUMLAH ORANG</t>
  </si>
  <si>
    <t>PER-ORANG</t>
  </si>
  <si>
    <t>PENCOCOKAN</t>
  </si>
  <si>
    <t>PEMBULATAN</t>
  </si>
  <si>
    <t>25 - 31 MEI 2020</t>
  </si>
  <si>
    <t>PERIODE : JUNI 2020</t>
  </si>
  <si>
    <t>22 - 28 Juni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</si>
</sst>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_([$Rp-421]* #,##0_);_([$Rp-421]* \(#,##0\);_([$Rp-421]* &quot;-&quot;_);_(@_)"/>
    <numFmt numFmtId="167" formatCode="[$-409]d\-mmm;@"/>
    <numFmt numFmtId="168" formatCode="_-[$Rp-421]* #,##0_ ;_-[$Rp-421]* \-#,##0\ ;_-[$Rp-421]* &quot;-&quot;_ ;_-@_ "/>
    <numFmt numFmtId="169" formatCode="_-* #,##0.00_-;\-* #,##0.00_-;_-* &quot;-&quot;_-;_-@_-"/>
    <numFmt numFmtId="170" formatCode="_-* #,##0.0_-;\-* #,##0.0_-;_-* &quot;-&quot;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C00000"/>
      <name val="Calibri"/>
      <family val="2"/>
      <scheme val="minor"/>
    </font>
    <font>
      <b/>
      <i/>
      <sz val="35"/>
      <color theme="1"/>
      <name val="Calibri"/>
      <family val="2"/>
      <scheme val="minor"/>
    </font>
    <font>
      <i/>
      <sz val="15"/>
      <color theme="1"/>
      <name val="Calibri"/>
      <family val="2"/>
      <scheme val="minor"/>
    </font>
    <font>
      <b/>
      <i/>
      <sz val="25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name val="Calibri"/>
      <family val="2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6"/>
      <color theme="1"/>
      <name val="Aharoni"/>
      <charset val="177"/>
    </font>
    <font>
      <sz val="10"/>
      <color theme="1"/>
      <name val="Aharoni"/>
      <charset val="177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/>
      <top style="slantDashDot">
        <color auto="1"/>
      </top>
      <bottom/>
      <diagonal/>
    </border>
    <border>
      <left/>
      <right/>
      <top style="mediumDashed">
        <color auto="1"/>
      </top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7" fillId="2" borderId="1" xfId="1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165" fontId="2" fillId="0" borderId="0" xfId="1" applyNumberFormat="1" applyFont="1" applyBorder="1" applyAlignment="1">
      <alignment horizontal="center" vertical="center"/>
    </xf>
    <xf numFmtId="165" fontId="2" fillId="0" borderId="0" xfId="1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5" fontId="3" fillId="0" borderId="0" xfId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65" fontId="2" fillId="0" borderId="12" xfId="1" applyNumberFormat="1" applyFont="1" applyBorder="1" applyAlignment="1">
      <alignment horizontal="center" vertical="center"/>
    </xf>
    <xf numFmtId="165" fontId="2" fillId="0" borderId="12" xfId="1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165" fontId="2" fillId="0" borderId="8" xfId="1" applyNumberFormat="1" applyFont="1" applyBorder="1" applyAlignment="1">
      <alignment horizontal="center" vertical="center"/>
    </xf>
    <xf numFmtId="165" fontId="2" fillId="0" borderId="10" xfId="1" applyNumberFormat="1" applyFont="1" applyBorder="1" applyAlignment="1">
      <alignment horizontal="center" vertical="center"/>
    </xf>
    <xf numFmtId="165" fontId="2" fillId="0" borderId="13" xfId="1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5" fontId="0" fillId="0" borderId="0" xfId="1" applyNumberFormat="1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16" fontId="15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65" fontId="15" fillId="0" borderId="0" xfId="1" applyNumberFormat="1" applyFont="1" applyBorder="1" applyAlignment="1">
      <alignment horizontal="center" vertical="center"/>
    </xf>
    <xf numFmtId="165" fontId="14" fillId="0" borderId="0" xfId="1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41" fontId="8" fillId="0" borderId="1" xfId="2" applyFont="1" applyBorder="1" applyAlignment="1">
      <alignment horizontal="center" vertical="center"/>
    </xf>
    <xf numFmtId="41" fontId="6" fillId="0" borderId="1" xfId="2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41" fontId="0" fillId="0" borderId="0" xfId="2" applyFont="1" applyAlignment="1">
      <alignment horizontal="center" vertical="center"/>
    </xf>
    <xf numFmtId="41" fontId="2" fillId="0" borderId="0" xfId="2" applyFont="1" applyBorder="1" applyAlignment="1">
      <alignment horizontal="center" vertical="center"/>
    </xf>
    <xf numFmtId="41" fontId="0" fillId="0" borderId="0" xfId="2" applyFont="1" applyBorder="1" applyAlignment="1">
      <alignment horizontal="center" vertical="center"/>
    </xf>
    <xf numFmtId="41" fontId="4" fillId="0" borderId="1" xfId="2" applyFont="1" applyBorder="1" applyAlignment="1">
      <alignment horizontal="center" vertical="center"/>
    </xf>
    <xf numFmtId="41" fontId="6" fillId="0" borderId="0" xfId="2" applyFont="1" applyBorder="1" applyAlignment="1">
      <alignment horizontal="center" vertical="center"/>
    </xf>
    <xf numFmtId="41" fontId="15" fillId="0" borderId="0" xfId="2" applyFont="1" applyBorder="1" applyAlignment="1">
      <alignment horizontal="center" vertical="center"/>
    </xf>
    <xf numFmtId="41" fontId="2" fillId="0" borderId="12" xfId="2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41" fontId="0" fillId="0" borderId="28" xfId="2" applyFont="1" applyBorder="1" applyAlignment="1">
      <alignment horizontal="center" vertical="center"/>
    </xf>
    <xf numFmtId="165" fontId="0" fillId="0" borderId="28" xfId="1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vertical="center"/>
    </xf>
    <xf numFmtId="41" fontId="13" fillId="0" borderId="0" xfId="2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vertical="center"/>
    </xf>
    <xf numFmtId="41" fontId="0" fillId="0" borderId="33" xfId="2" applyFont="1" applyBorder="1" applyAlignment="1">
      <alignment horizontal="center" vertical="center"/>
    </xf>
    <xf numFmtId="165" fontId="0" fillId="0" borderId="33" xfId="1" applyNumberFormat="1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5" fontId="0" fillId="0" borderId="0" xfId="1" applyNumberFormat="1" applyFont="1" applyFill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5" fontId="0" fillId="0" borderId="28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165" fontId="7" fillId="0" borderId="1" xfId="1" applyNumberFormat="1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165" fontId="2" fillId="0" borderId="12" xfId="1" applyNumberFormat="1" applyFont="1" applyFill="1" applyBorder="1" applyAlignment="1">
      <alignment vertical="center"/>
    </xf>
    <xf numFmtId="165" fontId="0" fillId="0" borderId="33" xfId="1" applyNumberFormat="1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165" fontId="2" fillId="2" borderId="1" xfId="1" applyNumberFormat="1" applyFont="1" applyFill="1" applyBorder="1" applyAlignment="1">
      <alignment vertical="center"/>
    </xf>
    <xf numFmtId="165" fontId="7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41" fontId="2" fillId="0" borderId="0" xfId="2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41" fontId="4" fillId="0" borderId="0" xfId="2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vertical="center"/>
    </xf>
    <xf numFmtId="165" fontId="2" fillId="0" borderId="0" xfId="1" quotePrefix="1" applyNumberFormat="1" applyFont="1" applyFill="1" applyBorder="1" applyAlignment="1">
      <alignment vertical="center"/>
    </xf>
    <xf numFmtId="0" fontId="2" fillId="0" borderId="0" xfId="0" quotePrefix="1" applyFont="1" applyBorder="1" applyAlignment="1">
      <alignment vertical="center"/>
    </xf>
    <xf numFmtId="167" fontId="8" fillId="0" borderId="1" xfId="0" applyNumberFormat="1" applyFont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67" fontId="14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1" fontId="8" fillId="0" borderId="0" xfId="2" applyFont="1" applyFill="1" applyBorder="1" applyAlignment="1">
      <alignment horizontal="center" vertical="center"/>
    </xf>
    <xf numFmtId="0" fontId="14" fillId="0" borderId="3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41" fontId="3" fillId="0" borderId="0" xfId="2" applyFont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Border="1" applyAlignment="1">
      <alignment vertical="center"/>
    </xf>
    <xf numFmtId="165" fontId="2" fillId="0" borderId="0" xfId="1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65" fontId="14" fillId="0" borderId="0" xfId="1" applyNumberFormat="1" applyFont="1" applyAlignment="1">
      <alignment vertical="center"/>
    </xf>
    <xf numFmtId="165" fontId="15" fillId="0" borderId="0" xfId="1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41" fontId="2" fillId="0" borderId="0" xfId="2" applyFont="1" applyAlignment="1">
      <alignment vertical="center"/>
    </xf>
    <xf numFmtId="0" fontId="23" fillId="0" borderId="0" xfId="0" applyFont="1" applyAlignment="1">
      <alignment vertical="center"/>
    </xf>
    <xf numFmtId="0" fontId="24" fillId="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vertical="center" wrapText="1"/>
    </xf>
    <xf numFmtId="1" fontId="31" fillId="0" borderId="1" xfId="0" applyNumberFormat="1" applyFont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left" vertical="center"/>
    </xf>
    <xf numFmtId="0" fontId="32" fillId="0" borderId="0" xfId="0" applyFont="1" applyAlignment="1">
      <alignment vertical="center" wrapText="1"/>
    </xf>
    <xf numFmtId="0" fontId="32" fillId="0" borderId="37" xfId="0" applyFont="1" applyBorder="1" applyAlignment="1">
      <alignment vertical="center" wrapText="1"/>
    </xf>
    <xf numFmtId="168" fontId="16" fillId="0" borderId="0" xfId="2" applyNumberFormat="1" applyFont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Fill="1" applyBorder="1" applyAlignment="1">
      <alignment vertical="center" wrapText="1"/>
    </xf>
    <xf numFmtId="41" fontId="23" fillId="4" borderId="1" xfId="2" applyFont="1" applyFill="1" applyBorder="1" applyAlignment="1">
      <alignment horizontal="center" vertical="center" wrapText="1"/>
    </xf>
    <xf numFmtId="0" fontId="34" fillId="0" borderId="37" xfId="0" applyFont="1" applyBorder="1" applyAlignment="1">
      <alignment vertical="center"/>
    </xf>
    <xf numFmtId="0" fontId="10" fillId="0" borderId="0" xfId="0" applyFont="1" applyAlignment="1">
      <alignment vertical="center"/>
    </xf>
    <xf numFmtId="169" fontId="10" fillId="0" borderId="0" xfId="2" applyNumberFormat="1" applyFont="1" applyAlignment="1">
      <alignment vertical="center"/>
    </xf>
    <xf numFmtId="41" fontId="10" fillId="0" borderId="0" xfId="2" applyNumberFormat="1" applyFont="1" applyAlignment="1">
      <alignment vertical="center"/>
    </xf>
    <xf numFmtId="41" fontId="11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170" fontId="10" fillId="0" borderId="0" xfId="2" applyNumberFormat="1" applyFont="1" applyAlignment="1">
      <alignment vertical="center"/>
    </xf>
    <xf numFmtId="0" fontId="33" fillId="0" borderId="1" xfId="0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6" fillId="0" borderId="1" xfId="0" applyFont="1" applyBorder="1" applyAlignment="1">
      <alignment vertical="center"/>
    </xf>
    <xf numFmtId="167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41" fontId="35" fillId="0" borderId="0" xfId="2" applyFont="1" applyAlignment="1">
      <alignment vertical="center"/>
    </xf>
    <xf numFmtId="0" fontId="19" fillId="5" borderId="35" xfId="0" applyFont="1" applyFill="1" applyBorder="1" applyAlignment="1">
      <alignment horizontal="left" vertical="center"/>
    </xf>
    <xf numFmtId="0" fontId="0" fillId="5" borderId="0" xfId="0" applyFill="1" applyBorder="1" applyAlignment="1">
      <alignment horizontal="center" vertical="center"/>
    </xf>
    <xf numFmtId="0" fontId="0" fillId="5" borderId="35" xfId="0" applyFill="1" applyBorder="1" applyAlignment="1">
      <alignment vertical="center"/>
    </xf>
    <xf numFmtId="41" fontId="0" fillId="5" borderId="35" xfId="2" applyFont="1" applyFill="1" applyBorder="1" applyAlignment="1">
      <alignment horizontal="center" vertical="center"/>
    </xf>
    <xf numFmtId="165" fontId="0" fillId="5" borderId="35" xfId="1" applyNumberFormat="1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41" fontId="3" fillId="0" borderId="0" xfId="2" applyFont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 wrapText="1"/>
    </xf>
    <xf numFmtId="165" fontId="27" fillId="0" borderId="1" xfId="1" applyNumberFormat="1" applyFont="1" applyFill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8" fontId="2" fillId="0" borderId="4" xfId="1" applyNumberFormat="1" applyFont="1" applyBorder="1" applyAlignment="1">
      <alignment horizontal="righ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8" fontId="16" fillId="0" borderId="1" xfId="2" applyNumberFormat="1" applyFont="1" applyBorder="1" applyAlignment="1">
      <alignment horizontal="center" vertical="center"/>
    </xf>
    <xf numFmtId="165" fontId="2" fillId="2" borderId="5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4" fontId="13" fillId="3" borderId="1" xfId="0" applyNumberFormat="1" applyFont="1" applyFill="1" applyBorder="1" applyAlignment="1">
      <alignment horizontal="center" vertical="center"/>
    </xf>
    <xf numFmtId="168" fontId="2" fillId="0" borderId="3" xfId="1" applyNumberFormat="1" applyFont="1" applyBorder="1" applyAlignment="1">
      <alignment horizontal="right" vertical="center"/>
    </xf>
    <xf numFmtId="165" fontId="2" fillId="0" borderId="19" xfId="1" applyNumberFormat="1" applyFont="1" applyBorder="1" applyAlignment="1">
      <alignment horizontal="center"/>
    </xf>
    <xf numFmtId="165" fontId="2" fillId="0" borderId="20" xfId="1" applyNumberFormat="1" applyFont="1" applyBorder="1" applyAlignment="1">
      <alignment horizontal="center"/>
    </xf>
    <xf numFmtId="165" fontId="2" fillId="0" borderId="17" xfId="1" applyNumberFormat="1" applyFont="1" applyBorder="1" applyAlignment="1">
      <alignment horizontal="center"/>
    </xf>
    <xf numFmtId="165" fontId="2" fillId="0" borderId="18" xfId="1" applyNumberFormat="1" applyFont="1" applyBorder="1" applyAlignment="1">
      <alignment horizontal="center"/>
    </xf>
    <xf numFmtId="165" fontId="2" fillId="0" borderId="21" xfId="1" applyNumberFormat="1" applyFont="1" applyBorder="1" applyAlignment="1">
      <alignment horizontal="center"/>
    </xf>
    <xf numFmtId="165" fontId="2" fillId="0" borderId="22" xfId="1" applyNumberFormat="1" applyFont="1" applyBorder="1" applyAlignment="1">
      <alignment horizont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66" fontId="22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65" fontId="22" fillId="0" borderId="0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1" fontId="3" fillId="0" borderId="0" xfId="0" applyNumberFormat="1" applyFont="1" applyBorder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4" fontId="13" fillId="3" borderId="25" xfId="0" applyNumberFormat="1" applyFont="1" applyFill="1" applyBorder="1" applyAlignment="1">
      <alignment horizontal="center" vertical="center"/>
    </xf>
    <xf numFmtId="4" fontId="13" fillId="3" borderId="26" xfId="0" applyNumberFormat="1" applyFont="1" applyFill="1" applyBorder="1" applyAlignment="1">
      <alignment horizontal="center" vertical="center"/>
    </xf>
    <xf numFmtId="166" fontId="5" fillId="0" borderId="23" xfId="1" applyNumberFormat="1" applyFont="1" applyBorder="1" applyAlignment="1">
      <alignment horizontal="center" vertical="center"/>
    </xf>
    <xf numFmtId="165" fontId="2" fillId="0" borderId="25" xfId="1" applyNumberFormat="1" applyFont="1" applyBorder="1" applyAlignment="1">
      <alignment horizontal="center" vertical="center"/>
    </xf>
    <xf numFmtId="165" fontId="2" fillId="0" borderId="26" xfId="1" applyNumberFormat="1" applyFont="1" applyBorder="1" applyAlignment="1">
      <alignment horizontal="center" vertical="center"/>
    </xf>
    <xf numFmtId="168" fontId="2" fillId="0" borderId="24" xfId="1" applyNumberFormat="1" applyFont="1" applyBorder="1" applyAlignment="1">
      <alignment horizontal="righ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5" fillId="0" borderId="25" xfId="0" applyFont="1" applyFill="1" applyBorder="1" applyAlignment="1">
      <alignment horizontal="left" vertical="center" wrapText="1"/>
    </xf>
    <xf numFmtId="0" fontId="25" fillId="0" borderId="38" xfId="0" applyFont="1" applyFill="1" applyBorder="1" applyAlignment="1">
      <alignment horizontal="left" vertical="center" wrapText="1"/>
    </xf>
    <xf numFmtId="0" fontId="25" fillId="0" borderId="26" xfId="0" applyFont="1" applyFill="1" applyBorder="1" applyAlignment="1">
      <alignment horizontal="left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38" xfId="0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165" fontId="8" fillId="0" borderId="23" xfId="0" applyNumberFormat="1" applyFont="1" applyBorder="1" applyAlignment="1">
      <alignment horizontal="center" vertical="center"/>
    </xf>
    <xf numFmtId="0" fontId="30" fillId="4" borderId="25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center" vertical="center" wrapText="1"/>
    </xf>
    <xf numFmtId="165" fontId="27" fillId="0" borderId="25" xfId="1" applyNumberFormat="1" applyFont="1" applyFill="1" applyBorder="1" applyAlignment="1">
      <alignment horizontal="center" vertical="center"/>
    </xf>
    <xf numFmtId="165" fontId="27" fillId="0" borderId="38" xfId="1" applyNumberFormat="1" applyFont="1" applyFill="1" applyBorder="1" applyAlignment="1">
      <alignment horizontal="center" vertical="center"/>
    </xf>
    <xf numFmtId="165" fontId="27" fillId="0" borderId="26" xfId="1" applyNumberFormat="1" applyFont="1" applyFill="1" applyBorder="1" applyAlignment="1">
      <alignment horizontal="center" vertical="center"/>
    </xf>
    <xf numFmtId="165" fontId="27" fillId="0" borderId="1" xfId="1" applyNumberFormat="1" applyFont="1" applyFill="1" applyBorder="1" applyAlignment="1">
      <alignment horizontal="center" vertical="center"/>
    </xf>
    <xf numFmtId="165" fontId="28" fillId="4" borderId="1" xfId="1" applyNumberFormat="1" applyFont="1" applyFill="1" applyBorder="1" applyAlignment="1">
      <alignment horizontal="center" vertical="center" wrapText="1"/>
    </xf>
    <xf numFmtId="1" fontId="25" fillId="0" borderId="25" xfId="0" applyNumberFormat="1" applyFont="1" applyBorder="1" applyAlignment="1">
      <alignment horizontal="left" vertical="center" wrapText="1"/>
    </xf>
    <xf numFmtId="1" fontId="25" fillId="0" borderId="26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36" fillId="0" borderId="19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F95"/>
  <sheetViews>
    <sheetView tabSelected="1" zoomScale="85" zoomScaleNormal="85" workbookViewId="0">
      <selection activeCell="A2" sqref="A2:AD95"/>
    </sheetView>
  </sheetViews>
  <sheetFormatPr defaultRowHeight="15" x14ac:dyDescent="0.25"/>
  <cols>
    <col min="1" max="1" width="5.7109375" style="53" customWidth="1"/>
    <col min="2" max="2" width="1.7109375" style="53" customWidth="1"/>
    <col min="3" max="3" width="2.7109375" style="4" customWidth="1"/>
    <col min="4" max="4" width="10.7109375" style="4" customWidth="1"/>
    <col min="5" max="7" width="7.7109375" style="4" customWidth="1"/>
    <col min="8" max="8" width="8.7109375" style="67" customWidth="1"/>
    <col min="9" max="9" width="9.7109375" style="4" customWidth="1"/>
    <col min="10" max="10" width="10.7109375" style="4" customWidth="1"/>
    <col min="11" max="11" width="8.7109375" style="8" customWidth="1"/>
    <col min="12" max="13" width="8.7109375" style="103" customWidth="1"/>
    <col min="14" max="14" width="10.7109375" style="103" customWidth="1"/>
    <col min="15" max="15" width="2.7109375" style="4" customWidth="1"/>
    <col min="16" max="16" width="1.7109375" style="53" customWidth="1"/>
    <col min="17" max="17" width="2.7109375" style="4" customWidth="1"/>
    <col min="18" max="18" width="10.7109375" style="4" customWidth="1"/>
    <col min="19" max="21" width="7.7109375" style="4" customWidth="1"/>
    <col min="22" max="22" width="8.7109375" style="67" customWidth="1"/>
    <col min="23" max="23" width="9.7109375" style="4" customWidth="1"/>
    <col min="24" max="24" width="10.7109375" style="4" customWidth="1"/>
    <col min="25" max="25" width="8.7109375" style="8" customWidth="1"/>
    <col min="26" max="27" width="8.7109375" style="103" customWidth="1"/>
    <col min="28" max="28" width="10.7109375" style="103" customWidth="1"/>
    <col min="29" max="29" width="2.7109375" style="4" customWidth="1"/>
    <col min="30" max="30" width="1.7109375" style="4" customWidth="1"/>
    <col min="31" max="31" width="9.140625" style="4"/>
    <col min="32" max="32" width="12.42578125" style="8" bestFit="1" customWidth="1"/>
    <col min="33" max="16384" width="9.140625" style="4"/>
  </cols>
  <sheetData>
    <row r="1" spans="1:32" ht="15.75" thickBot="1" x14ac:dyDescent="0.3">
      <c r="B1" s="102"/>
      <c r="P1" s="102"/>
    </row>
    <row r="2" spans="1:32" s="189" customFormat="1" ht="21" x14ac:dyDescent="0.25">
      <c r="A2" s="187" t="s">
        <v>55</v>
      </c>
      <c r="B2" s="188"/>
      <c r="H2" s="190"/>
      <c r="K2" s="191"/>
      <c r="L2" s="191"/>
      <c r="M2" s="191"/>
      <c r="N2" s="191"/>
      <c r="P2" s="188"/>
      <c r="V2" s="190"/>
      <c r="Y2" s="191"/>
      <c r="Z2" s="191"/>
      <c r="AA2" s="191"/>
      <c r="AB2" s="191"/>
      <c r="AF2" s="191"/>
    </row>
    <row r="3" spans="1:32" s="66" customFormat="1" ht="15.75" thickBot="1" x14ac:dyDescent="0.3">
      <c r="A3" s="101"/>
      <c r="B3" s="101"/>
      <c r="H3" s="69"/>
      <c r="K3" s="38"/>
      <c r="L3" s="104"/>
      <c r="M3" s="104"/>
      <c r="N3" s="104"/>
      <c r="P3" s="101"/>
      <c r="V3" s="69"/>
      <c r="Y3" s="38"/>
      <c r="Z3" s="104"/>
      <c r="AA3" s="104"/>
      <c r="AB3" s="104"/>
      <c r="AF3" s="38"/>
    </row>
    <row r="4" spans="1:32" ht="11.1" customHeight="1" thickBot="1" x14ac:dyDescent="0.3">
      <c r="B4" s="75"/>
      <c r="C4" s="76"/>
      <c r="D4" s="76"/>
      <c r="E4" s="76"/>
      <c r="F4" s="76"/>
      <c r="G4" s="76"/>
      <c r="H4" s="77"/>
      <c r="I4" s="76"/>
      <c r="J4" s="76"/>
      <c r="K4" s="78"/>
      <c r="L4" s="105"/>
      <c r="M4" s="105"/>
      <c r="N4" s="105"/>
      <c r="O4" s="76"/>
      <c r="P4" s="126"/>
      <c r="Q4" s="76"/>
      <c r="R4" s="76"/>
      <c r="S4" s="76"/>
      <c r="T4" s="76"/>
      <c r="U4" s="76"/>
      <c r="V4" s="77"/>
      <c r="W4" s="76"/>
      <c r="X4" s="76"/>
      <c r="Y4" s="78"/>
      <c r="Z4" s="105"/>
      <c r="AA4" s="105"/>
      <c r="AB4" s="105"/>
      <c r="AC4" s="76"/>
      <c r="AD4" s="79"/>
    </row>
    <row r="5" spans="1:32" s="1" customFormat="1" ht="17.100000000000001" customHeight="1" thickBot="1" x14ac:dyDescent="0.3">
      <c r="A5" s="74"/>
      <c r="B5" s="80"/>
      <c r="C5" s="199" t="s">
        <v>33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1"/>
      <c r="P5" s="80"/>
      <c r="Q5" s="199" t="s">
        <v>33</v>
      </c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1"/>
      <c r="AD5" s="82"/>
      <c r="AF5" s="149"/>
    </row>
    <row r="6" spans="1:32" s="1" customFormat="1" ht="17.100000000000001" customHeight="1" x14ac:dyDescent="0.25">
      <c r="A6" s="54"/>
      <c r="B6" s="81"/>
      <c r="C6" s="202" t="s">
        <v>34</v>
      </c>
      <c r="D6" s="203"/>
      <c r="E6" s="203"/>
      <c r="F6" s="203"/>
      <c r="G6" s="203"/>
      <c r="H6" s="203"/>
      <c r="I6" s="203"/>
      <c r="J6" s="203"/>
      <c r="K6" s="203"/>
      <c r="L6" s="204"/>
      <c r="M6" s="32" t="s">
        <v>32</v>
      </c>
      <c r="N6" s="32" t="s">
        <v>36</v>
      </c>
      <c r="O6" s="33"/>
      <c r="P6" s="81"/>
      <c r="Q6" s="202" t="s">
        <v>34</v>
      </c>
      <c r="R6" s="203"/>
      <c r="S6" s="203"/>
      <c r="T6" s="203"/>
      <c r="U6" s="203"/>
      <c r="V6" s="203"/>
      <c r="W6" s="203"/>
      <c r="X6" s="203"/>
      <c r="Y6" s="203"/>
      <c r="Z6" s="204"/>
      <c r="AA6" s="32" t="s">
        <v>32</v>
      </c>
      <c r="AB6" s="32" t="s">
        <v>36</v>
      </c>
      <c r="AC6" s="33"/>
      <c r="AD6" s="82"/>
      <c r="AF6" s="149"/>
    </row>
    <row r="7" spans="1:32" s="1" customFormat="1" ht="17.100000000000001" customHeight="1" x14ac:dyDescent="0.25">
      <c r="A7" s="54"/>
      <c r="B7" s="81"/>
      <c r="C7" s="205"/>
      <c r="D7" s="206"/>
      <c r="E7" s="206"/>
      <c r="F7" s="206"/>
      <c r="G7" s="206"/>
      <c r="H7" s="206"/>
      <c r="I7" s="206"/>
      <c r="J7" s="206"/>
      <c r="K7" s="206"/>
      <c r="L7" s="207"/>
      <c r="M7" s="12" t="s">
        <v>30</v>
      </c>
      <c r="N7" s="12" t="s">
        <v>57</v>
      </c>
      <c r="O7" s="34"/>
      <c r="P7" s="81"/>
      <c r="Q7" s="205"/>
      <c r="R7" s="206"/>
      <c r="S7" s="206"/>
      <c r="T7" s="206"/>
      <c r="U7" s="206"/>
      <c r="V7" s="206"/>
      <c r="W7" s="206"/>
      <c r="X7" s="206"/>
      <c r="Y7" s="206"/>
      <c r="Z7" s="207"/>
      <c r="AA7" s="12" t="s">
        <v>30</v>
      </c>
      <c r="AB7" s="12" t="s">
        <v>57</v>
      </c>
      <c r="AC7" s="34"/>
      <c r="AD7" s="82"/>
      <c r="AF7" s="149"/>
    </row>
    <row r="8" spans="1:32" s="1" customFormat="1" ht="16.5" customHeight="1" thickBot="1" x14ac:dyDescent="0.3">
      <c r="A8" s="54"/>
      <c r="B8" s="81"/>
      <c r="C8" s="208"/>
      <c r="D8" s="209"/>
      <c r="E8" s="209"/>
      <c r="F8" s="209"/>
      <c r="G8" s="209"/>
      <c r="H8" s="209"/>
      <c r="I8" s="209"/>
      <c r="J8" s="209"/>
      <c r="K8" s="209"/>
      <c r="L8" s="210"/>
      <c r="M8" s="39" t="s">
        <v>31</v>
      </c>
      <c r="N8" s="39" t="s">
        <v>58</v>
      </c>
      <c r="O8" s="35"/>
      <c r="P8" s="81"/>
      <c r="Q8" s="208"/>
      <c r="R8" s="209"/>
      <c r="S8" s="209"/>
      <c r="T8" s="209"/>
      <c r="U8" s="209"/>
      <c r="V8" s="209"/>
      <c r="W8" s="209"/>
      <c r="X8" s="209"/>
      <c r="Y8" s="209"/>
      <c r="Z8" s="210"/>
      <c r="AA8" s="39" t="s">
        <v>31</v>
      </c>
      <c r="AB8" s="39" t="s">
        <v>58</v>
      </c>
      <c r="AC8" s="35"/>
      <c r="AD8" s="82"/>
      <c r="AF8" s="149"/>
    </row>
    <row r="9" spans="1:32" s="1" customFormat="1" ht="9.9499999999999993" customHeight="1" x14ac:dyDescent="0.25">
      <c r="A9" s="54"/>
      <c r="B9" s="81"/>
      <c r="C9" s="40"/>
      <c r="D9" s="41"/>
      <c r="E9" s="41"/>
      <c r="F9" s="11"/>
      <c r="G9" s="11"/>
      <c r="H9" s="68"/>
      <c r="I9" s="11"/>
      <c r="J9" s="11"/>
      <c r="K9" s="14"/>
      <c r="L9" s="106"/>
      <c r="M9" s="106"/>
      <c r="N9" s="106"/>
      <c r="O9" s="15"/>
      <c r="P9" s="81"/>
      <c r="Q9" s="40"/>
      <c r="R9" s="41"/>
      <c r="S9" s="41"/>
      <c r="T9" s="11"/>
      <c r="U9" s="11"/>
      <c r="V9" s="68"/>
      <c r="W9" s="11"/>
      <c r="X9" s="11"/>
      <c r="Y9" s="14"/>
      <c r="Z9" s="106"/>
      <c r="AA9" s="106"/>
      <c r="AB9" s="106"/>
      <c r="AC9" s="15"/>
      <c r="AD9" s="82"/>
      <c r="AF9" s="149"/>
    </row>
    <row r="10" spans="1:32" s="1" customFormat="1" ht="17.100000000000001" customHeight="1" x14ac:dyDescent="0.25">
      <c r="A10" s="54"/>
      <c r="B10" s="81"/>
      <c r="C10" s="10"/>
      <c r="D10" s="11" t="s">
        <v>0</v>
      </c>
      <c r="E10" s="11" t="s">
        <v>35</v>
      </c>
      <c r="F10" s="11"/>
      <c r="G10" s="11"/>
      <c r="H10" s="131" t="s">
        <v>60</v>
      </c>
      <c r="I10" s="11"/>
      <c r="J10" s="13" t="s">
        <v>72</v>
      </c>
      <c r="K10" s="11" t="s">
        <v>96</v>
      </c>
      <c r="L10" s="11"/>
      <c r="M10" s="130"/>
      <c r="N10" s="106"/>
      <c r="O10" s="15"/>
      <c r="P10" s="81"/>
      <c r="Q10" s="10"/>
      <c r="R10" s="11" t="s">
        <v>0</v>
      </c>
      <c r="S10" s="11" t="s">
        <v>37</v>
      </c>
      <c r="T10" s="11"/>
      <c r="U10" s="11"/>
      <c r="V10" s="131" t="s">
        <v>61</v>
      </c>
      <c r="W10" s="11"/>
      <c r="X10" s="13" t="s">
        <v>72</v>
      </c>
      <c r="Y10" s="11" t="s">
        <v>96</v>
      </c>
      <c r="Z10" s="11"/>
      <c r="AA10" s="106"/>
      <c r="AB10" s="106"/>
      <c r="AC10" s="15"/>
      <c r="AD10" s="82"/>
      <c r="AF10" s="149"/>
    </row>
    <row r="11" spans="1:32" s="1" customFormat="1" ht="17.100000000000001" customHeight="1" x14ac:dyDescent="0.25">
      <c r="A11" s="54"/>
      <c r="B11" s="81"/>
      <c r="C11" s="10"/>
      <c r="D11" s="11" t="s">
        <v>11</v>
      </c>
      <c r="E11" s="11" t="s">
        <v>12</v>
      </c>
      <c r="F11" s="11"/>
      <c r="G11" s="11"/>
      <c r="H11" s="68"/>
      <c r="I11" s="11"/>
      <c r="J11" s="11"/>
      <c r="K11" s="14"/>
      <c r="L11" s="106"/>
      <c r="M11" s="106"/>
      <c r="N11" s="106"/>
      <c r="O11" s="15"/>
      <c r="P11" s="81"/>
      <c r="Q11" s="10"/>
      <c r="R11" s="11" t="s">
        <v>11</v>
      </c>
      <c r="S11" s="11" t="s">
        <v>12</v>
      </c>
      <c r="T11" s="11"/>
      <c r="U11" s="11"/>
      <c r="V11" s="68"/>
      <c r="W11" s="11"/>
      <c r="X11" s="11"/>
      <c r="Y11" s="14"/>
      <c r="Z11" s="106"/>
      <c r="AA11" s="106"/>
      <c r="AB11" s="106"/>
      <c r="AC11" s="15"/>
      <c r="AD11" s="82"/>
      <c r="AF11" s="149"/>
    </row>
    <row r="12" spans="1:32" s="1" customFormat="1" ht="17.100000000000001" customHeight="1" x14ac:dyDescent="0.25">
      <c r="A12" s="54"/>
      <c r="B12" s="81"/>
      <c r="C12" s="10"/>
      <c r="D12" s="11" t="s">
        <v>1</v>
      </c>
      <c r="E12" s="11" t="s">
        <v>13</v>
      </c>
      <c r="F12" s="11"/>
      <c r="G12" s="11"/>
      <c r="H12" s="68"/>
      <c r="I12" s="11"/>
      <c r="J12" s="212" t="s">
        <v>56</v>
      </c>
      <c r="K12" s="106"/>
      <c r="L12" s="106"/>
      <c r="M12" s="106"/>
      <c r="O12" s="15"/>
      <c r="P12" s="81"/>
      <c r="Q12" s="10"/>
      <c r="R12" s="11" t="s">
        <v>1</v>
      </c>
      <c r="S12" s="11" t="s">
        <v>38</v>
      </c>
      <c r="T12" s="11"/>
      <c r="U12" s="11"/>
      <c r="V12" s="68"/>
      <c r="W12" s="11"/>
      <c r="X12" s="212" t="s">
        <v>56</v>
      </c>
      <c r="Y12" s="106"/>
      <c r="Z12" s="106"/>
      <c r="AA12" s="106"/>
      <c r="AC12" s="15"/>
      <c r="AD12" s="82"/>
      <c r="AF12" s="149"/>
    </row>
    <row r="13" spans="1:32" s="2" customFormat="1" ht="9.9499999999999993" customHeight="1" x14ac:dyDescent="0.25">
      <c r="A13" s="55"/>
      <c r="B13" s="83"/>
      <c r="C13" s="16"/>
      <c r="D13" s="37"/>
      <c r="E13" s="37"/>
      <c r="F13" s="37"/>
      <c r="G13" s="37"/>
      <c r="H13" s="69"/>
      <c r="I13" s="37"/>
      <c r="J13" s="213"/>
      <c r="K13" s="104"/>
      <c r="L13" s="104"/>
      <c r="M13" s="104"/>
      <c r="O13" s="17"/>
      <c r="P13" s="83"/>
      <c r="Q13" s="16"/>
      <c r="R13" s="37"/>
      <c r="S13" s="37"/>
      <c r="T13" s="37"/>
      <c r="U13" s="37"/>
      <c r="V13" s="69"/>
      <c r="W13" s="37"/>
      <c r="X13" s="213"/>
      <c r="Y13" s="104"/>
      <c r="Z13" s="104"/>
      <c r="AA13" s="104"/>
      <c r="AC13" s="17"/>
      <c r="AD13" s="84"/>
      <c r="AF13" s="8"/>
    </row>
    <row r="14" spans="1:32" s="1" customFormat="1" ht="23.1" customHeight="1" x14ac:dyDescent="0.25">
      <c r="A14" s="54"/>
      <c r="B14" s="81"/>
      <c r="C14" s="10"/>
      <c r="D14" s="36" t="s">
        <v>27</v>
      </c>
      <c r="E14" s="11"/>
      <c r="F14" s="11"/>
      <c r="G14" s="11"/>
      <c r="H14" s="68"/>
      <c r="I14" s="11"/>
      <c r="J14" s="116">
        <v>7650</v>
      </c>
      <c r="K14" s="106"/>
      <c r="L14" s="106"/>
      <c r="M14" s="106"/>
      <c r="O14" s="15"/>
      <c r="P14" s="81"/>
      <c r="Q14" s="10"/>
      <c r="R14" s="36" t="s">
        <v>27</v>
      </c>
      <c r="S14" s="11"/>
      <c r="T14" s="11"/>
      <c r="U14" s="11"/>
      <c r="V14" s="68"/>
      <c r="W14" s="11"/>
      <c r="X14" s="116">
        <v>7650</v>
      </c>
      <c r="Y14" s="106"/>
      <c r="Z14" s="106"/>
      <c r="AA14" s="106"/>
      <c r="AC14" s="15"/>
      <c r="AD14" s="82"/>
      <c r="AF14" s="149"/>
    </row>
    <row r="15" spans="1:32" s="5" customFormat="1" ht="30" customHeight="1" x14ac:dyDescent="0.25">
      <c r="B15" s="85"/>
      <c r="C15" s="18"/>
      <c r="D15" s="6" t="s">
        <v>14</v>
      </c>
      <c r="E15" s="6" t="s">
        <v>22</v>
      </c>
      <c r="F15" s="6" t="s">
        <v>26</v>
      </c>
      <c r="G15" s="6" t="s">
        <v>23</v>
      </c>
      <c r="H15" s="70" t="s">
        <v>25</v>
      </c>
      <c r="I15" s="6" t="s">
        <v>24</v>
      </c>
      <c r="J15" s="107" t="s">
        <v>40</v>
      </c>
      <c r="K15" s="107" t="s">
        <v>3</v>
      </c>
      <c r="L15" s="107" t="s">
        <v>4</v>
      </c>
      <c r="M15" s="107" t="s">
        <v>5</v>
      </c>
      <c r="N15" s="127" t="s">
        <v>59</v>
      </c>
      <c r="O15" s="19"/>
      <c r="P15" s="85"/>
      <c r="Q15" s="18"/>
      <c r="R15" s="6" t="s">
        <v>14</v>
      </c>
      <c r="S15" s="6" t="s">
        <v>22</v>
      </c>
      <c r="T15" s="6" t="s">
        <v>26</v>
      </c>
      <c r="U15" s="6" t="s">
        <v>23</v>
      </c>
      <c r="V15" s="70" t="s">
        <v>25</v>
      </c>
      <c r="W15" s="6" t="s">
        <v>24</v>
      </c>
      <c r="X15" s="107" t="s">
        <v>40</v>
      </c>
      <c r="Y15" s="107" t="s">
        <v>3</v>
      </c>
      <c r="Z15" s="107" t="s">
        <v>4</v>
      </c>
      <c r="AA15" s="107" t="s">
        <v>5</v>
      </c>
      <c r="AB15" s="127" t="s">
        <v>59</v>
      </c>
      <c r="AC15" s="19"/>
      <c r="AD15" s="86"/>
      <c r="AF15" s="150"/>
    </row>
    <row r="16" spans="1:32" s="144" customFormat="1" ht="20.100000000000001" customHeight="1" x14ac:dyDescent="0.25">
      <c r="A16" s="134"/>
      <c r="B16" s="135"/>
      <c r="C16" s="136"/>
      <c r="D16" s="63" t="s">
        <v>15</v>
      </c>
      <c r="E16" s="132">
        <v>44004</v>
      </c>
      <c r="F16" s="58">
        <v>98341</v>
      </c>
      <c r="G16" s="58">
        <v>39.21</v>
      </c>
      <c r="H16" s="64">
        <v>300000</v>
      </c>
      <c r="I16" s="58" t="s">
        <v>54</v>
      </c>
      <c r="J16" s="108">
        <f t="shared" ref="J16" si="0">+H16</f>
        <v>300000</v>
      </c>
      <c r="K16" s="108"/>
      <c r="L16" s="108"/>
      <c r="M16" s="108" t="s">
        <v>71</v>
      </c>
      <c r="N16" s="129">
        <f t="shared" ref="N16" si="1">SUM(J16:M16)</f>
        <v>300000</v>
      </c>
      <c r="O16" s="137"/>
      <c r="P16" s="135"/>
      <c r="Q16" s="136"/>
      <c r="R16" s="63" t="s">
        <v>15</v>
      </c>
      <c r="S16" s="132">
        <v>44004</v>
      </c>
      <c r="T16" s="58"/>
      <c r="U16" s="58"/>
      <c r="V16" s="64"/>
      <c r="W16" s="58"/>
      <c r="X16" s="108"/>
      <c r="Y16" s="108"/>
      <c r="Z16" s="108"/>
      <c r="AA16" s="108"/>
      <c r="AB16" s="129"/>
      <c r="AC16" s="137"/>
      <c r="AD16" s="143"/>
      <c r="AF16" s="151"/>
    </row>
    <row r="17" spans="1:32" s="144" customFormat="1" ht="20.100000000000001" customHeight="1" x14ac:dyDescent="0.25">
      <c r="A17" s="134"/>
      <c r="B17" s="135"/>
      <c r="C17" s="136"/>
      <c r="D17" s="63" t="s">
        <v>16</v>
      </c>
      <c r="E17" s="132">
        <v>44005</v>
      </c>
      <c r="F17" s="58"/>
      <c r="G17" s="58"/>
      <c r="H17" s="64"/>
      <c r="I17" s="58"/>
      <c r="J17" s="108">
        <f>+H17</f>
        <v>0</v>
      </c>
      <c r="K17" s="108"/>
      <c r="L17" s="108"/>
      <c r="M17" s="108"/>
      <c r="N17" s="129">
        <f>SUM(K17:M17)</f>
        <v>0</v>
      </c>
      <c r="O17" s="137"/>
      <c r="P17" s="135"/>
      <c r="Q17" s="136"/>
      <c r="R17" s="63" t="s">
        <v>16</v>
      </c>
      <c r="S17" s="132">
        <v>44005</v>
      </c>
      <c r="T17" s="58"/>
      <c r="U17" s="58"/>
      <c r="V17" s="64"/>
      <c r="W17" s="58"/>
      <c r="X17" s="108">
        <f>V17</f>
        <v>0</v>
      </c>
      <c r="Y17" s="108"/>
      <c r="Z17" s="108"/>
      <c r="AA17" s="108"/>
      <c r="AB17" s="129">
        <f>SUM(Y17:AA17)</f>
        <v>0</v>
      </c>
      <c r="AC17" s="137"/>
      <c r="AD17" s="143"/>
      <c r="AF17" s="151"/>
    </row>
    <row r="18" spans="1:32" s="144" customFormat="1" ht="20.100000000000001" customHeight="1" x14ac:dyDescent="0.25">
      <c r="A18" s="134"/>
      <c r="B18" s="135"/>
      <c r="C18" s="136"/>
      <c r="D18" s="63" t="s">
        <v>17</v>
      </c>
      <c r="E18" s="132">
        <v>44006</v>
      </c>
      <c r="F18" s="58"/>
      <c r="G18" s="58"/>
      <c r="H18" s="64"/>
      <c r="I18" s="58"/>
      <c r="J18" s="108">
        <f>H18</f>
        <v>0</v>
      </c>
      <c r="K18" s="108"/>
      <c r="L18" s="108"/>
      <c r="M18" s="108"/>
      <c r="N18" s="129">
        <f t="shared" ref="N18:N22" si="2">SUM(J18:M18)</f>
        <v>0</v>
      </c>
      <c r="O18" s="137"/>
      <c r="P18" s="135"/>
      <c r="Q18" s="136"/>
      <c r="R18" s="63" t="s">
        <v>17</v>
      </c>
      <c r="S18" s="132">
        <v>44006</v>
      </c>
      <c r="T18" s="58"/>
      <c r="U18" s="58"/>
      <c r="V18" s="64"/>
      <c r="W18" s="58"/>
      <c r="X18" s="108">
        <f>V18</f>
        <v>0</v>
      </c>
      <c r="Y18" s="108"/>
      <c r="Z18" s="108"/>
      <c r="AA18" s="108"/>
      <c r="AB18" s="129">
        <f t="shared" ref="AB18:AB22" si="3">SUM(X18:AA18)</f>
        <v>0</v>
      </c>
      <c r="AC18" s="137"/>
      <c r="AD18" s="143"/>
      <c r="AF18" s="151"/>
    </row>
    <row r="19" spans="1:32" s="144" customFormat="1" ht="20.100000000000001" customHeight="1" x14ac:dyDescent="0.25">
      <c r="A19" s="134"/>
      <c r="B19" s="135"/>
      <c r="C19" s="136"/>
      <c r="D19" s="63" t="s">
        <v>18</v>
      </c>
      <c r="E19" s="132">
        <v>44007</v>
      </c>
      <c r="F19" s="58"/>
      <c r="G19" s="58"/>
      <c r="H19" s="64"/>
      <c r="I19" s="58"/>
      <c r="J19" s="108">
        <f>+G19*$J$13</f>
        <v>0</v>
      </c>
      <c r="K19" s="108"/>
      <c r="L19" s="108"/>
      <c r="M19" s="108"/>
      <c r="N19" s="129">
        <f t="shared" si="2"/>
        <v>0</v>
      </c>
      <c r="O19" s="137"/>
      <c r="P19" s="135"/>
      <c r="Q19" s="136"/>
      <c r="R19" s="63" t="s">
        <v>18</v>
      </c>
      <c r="S19" s="132">
        <v>44007</v>
      </c>
      <c r="T19" s="58"/>
      <c r="U19" s="58"/>
      <c r="V19" s="64"/>
      <c r="W19" s="58"/>
      <c r="X19" s="108">
        <f>+V19</f>
        <v>0</v>
      </c>
      <c r="Y19" s="108"/>
      <c r="Z19" s="108"/>
      <c r="AA19" s="108"/>
      <c r="AB19" s="129">
        <f t="shared" si="3"/>
        <v>0</v>
      </c>
      <c r="AC19" s="137"/>
      <c r="AD19" s="143"/>
      <c r="AF19" s="151"/>
    </row>
    <row r="20" spans="1:32" s="144" customFormat="1" ht="20.100000000000001" customHeight="1" x14ac:dyDescent="0.25">
      <c r="A20" s="134"/>
      <c r="B20" s="135"/>
      <c r="C20" s="136"/>
      <c r="D20" s="63" t="s">
        <v>19</v>
      </c>
      <c r="E20" s="132">
        <v>44008</v>
      </c>
      <c r="F20" s="58"/>
      <c r="G20" s="58"/>
      <c r="H20" s="64"/>
      <c r="I20" s="58"/>
      <c r="J20" s="108">
        <f>H20</f>
        <v>0</v>
      </c>
      <c r="K20" s="108"/>
      <c r="L20" s="108"/>
      <c r="M20" s="108"/>
      <c r="N20" s="129">
        <f t="shared" si="2"/>
        <v>0</v>
      </c>
      <c r="O20" s="137"/>
      <c r="P20" s="135"/>
      <c r="Q20" s="136"/>
      <c r="R20" s="63" t="s">
        <v>19</v>
      </c>
      <c r="S20" s="132">
        <v>44008</v>
      </c>
      <c r="T20" s="58">
        <v>8657</v>
      </c>
      <c r="U20" s="58">
        <v>39.21</v>
      </c>
      <c r="V20" s="64">
        <v>300000</v>
      </c>
      <c r="W20" s="58" t="s">
        <v>54</v>
      </c>
      <c r="X20" s="108">
        <f>V20</f>
        <v>300000</v>
      </c>
      <c r="Y20" s="108"/>
      <c r="Z20" s="108"/>
      <c r="AA20" s="108"/>
      <c r="AB20" s="129">
        <f t="shared" si="3"/>
        <v>300000</v>
      </c>
      <c r="AC20" s="137"/>
      <c r="AD20" s="143"/>
      <c r="AF20" s="151"/>
    </row>
    <row r="21" spans="1:32" s="62" customFormat="1" ht="20.100000000000001" customHeight="1" x14ac:dyDescent="0.25">
      <c r="A21" s="59"/>
      <c r="B21" s="87"/>
      <c r="C21" s="60"/>
      <c r="D21" s="185" t="s">
        <v>20</v>
      </c>
      <c r="E21" s="184">
        <v>44009</v>
      </c>
      <c r="F21" s="7"/>
      <c r="G21" s="7"/>
      <c r="H21" s="65"/>
      <c r="I21" s="7"/>
      <c r="J21" s="109">
        <f>+H21</f>
        <v>0</v>
      </c>
      <c r="K21" s="109"/>
      <c r="L21" s="109"/>
      <c r="M21" s="109"/>
      <c r="N21" s="128">
        <f t="shared" si="2"/>
        <v>0</v>
      </c>
      <c r="O21" s="61"/>
      <c r="P21" s="87"/>
      <c r="Q21" s="60"/>
      <c r="R21" s="185" t="s">
        <v>20</v>
      </c>
      <c r="S21" s="184">
        <v>44009</v>
      </c>
      <c r="T21" s="7"/>
      <c r="U21" s="7"/>
      <c r="V21" s="65"/>
      <c r="W21" s="7"/>
      <c r="X21" s="109">
        <f>V21</f>
        <v>0</v>
      </c>
      <c r="Y21" s="109"/>
      <c r="Z21" s="109"/>
      <c r="AA21" s="109"/>
      <c r="AB21" s="128">
        <f t="shared" si="3"/>
        <v>0</v>
      </c>
      <c r="AC21" s="61"/>
      <c r="AD21" s="88"/>
      <c r="AF21" s="152"/>
    </row>
    <row r="22" spans="1:32" s="62" customFormat="1" ht="20.100000000000001" customHeight="1" x14ac:dyDescent="0.25">
      <c r="A22" s="59"/>
      <c r="B22" s="87"/>
      <c r="C22" s="60"/>
      <c r="D22" s="183" t="s">
        <v>21</v>
      </c>
      <c r="E22" s="184">
        <v>44010</v>
      </c>
      <c r="F22" s="7"/>
      <c r="G22" s="7"/>
      <c r="H22" s="65"/>
      <c r="I22" s="7"/>
      <c r="J22" s="109">
        <f t="shared" ref="J22" si="4">+G22*$J$13</f>
        <v>0</v>
      </c>
      <c r="K22" s="109"/>
      <c r="L22" s="109"/>
      <c r="M22" s="109"/>
      <c r="N22" s="128">
        <f t="shared" si="2"/>
        <v>0</v>
      </c>
      <c r="O22" s="61"/>
      <c r="P22" s="87"/>
      <c r="Q22" s="60"/>
      <c r="R22" s="183" t="s">
        <v>21</v>
      </c>
      <c r="S22" s="184">
        <v>44010</v>
      </c>
      <c r="T22" s="7"/>
      <c r="U22" s="7"/>
      <c r="V22" s="65"/>
      <c r="W22" s="7"/>
      <c r="X22" s="109">
        <f t="shared" ref="X22" si="5">+U22*$J$13</f>
        <v>0</v>
      </c>
      <c r="Y22" s="109"/>
      <c r="Z22" s="109"/>
      <c r="AA22" s="109"/>
      <c r="AB22" s="128">
        <f t="shared" si="3"/>
        <v>0</v>
      </c>
      <c r="AC22" s="61"/>
      <c r="AD22" s="88"/>
      <c r="AF22" s="152"/>
    </row>
    <row r="23" spans="1:32" s="62" customFormat="1" ht="20.100000000000001" customHeight="1" x14ac:dyDescent="0.25">
      <c r="A23" s="59"/>
      <c r="B23" s="87"/>
      <c r="C23" s="60"/>
      <c r="D23" s="214" t="s">
        <v>66</v>
      </c>
      <c r="E23" s="215"/>
      <c r="F23" s="215"/>
      <c r="G23" s="215"/>
      <c r="H23" s="215"/>
      <c r="I23" s="216"/>
      <c r="J23" s="133">
        <f>SUM(J16:J22)</f>
        <v>300000</v>
      </c>
      <c r="K23" s="133">
        <f>SUM(K16:K22)</f>
        <v>0</v>
      </c>
      <c r="L23" s="133">
        <f>SUM(L16:L22)</f>
        <v>0</v>
      </c>
      <c r="M23" s="133">
        <f>SUM(M16:M22)</f>
        <v>0</v>
      </c>
      <c r="N23" s="133">
        <f>SUM(N16:N22)</f>
        <v>300000</v>
      </c>
      <c r="O23" s="61"/>
      <c r="P23" s="87"/>
      <c r="Q23" s="60"/>
      <c r="R23" s="214" t="s">
        <v>66</v>
      </c>
      <c r="S23" s="215"/>
      <c r="T23" s="215"/>
      <c r="U23" s="215"/>
      <c r="V23" s="215"/>
      <c r="W23" s="216"/>
      <c r="X23" s="133">
        <f>SUM(X16:X22)</f>
        <v>300000</v>
      </c>
      <c r="Y23" s="133">
        <f>SUM(Y16:Y22)</f>
        <v>0</v>
      </c>
      <c r="Z23" s="133">
        <f>SUM(Z16:Z22)</f>
        <v>0</v>
      </c>
      <c r="AA23" s="133">
        <f>SUM(AA16:AA22)</f>
        <v>0</v>
      </c>
      <c r="AB23" s="133">
        <f>SUM(AB16:AB22)</f>
        <v>300000</v>
      </c>
      <c r="AC23" s="61"/>
      <c r="AD23" s="88"/>
      <c r="AF23" s="152"/>
    </row>
    <row r="24" spans="1:32" s="45" customFormat="1" ht="17.100000000000001" customHeight="1" x14ac:dyDescent="0.25">
      <c r="A24" s="56"/>
      <c r="B24" s="89"/>
      <c r="C24" s="42"/>
      <c r="D24" s="230" t="s">
        <v>53</v>
      </c>
      <c r="E24" s="230"/>
      <c r="F24" s="228"/>
      <c r="G24" s="229"/>
      <c r="H24" s="91"/>
      <c r="I24" s="44"/>
      <c r="J24" s="44"/>
      <c r="K24" s="44"/>
      <c r="L24" s="110"/>
      <c r="M24" s="110"/>
      <c r="N24" s="110"/>
      <c r="O24" s="43"/>
      <c r="P24" s="89"/>
      <c r="Q24" s="42"/>
      <c r="R24" s="218" t="s">
        <v>53</v>
      </c>
      <c r="S24" s="219"/>
      <c r="T24" s="218"/>
      <c r="U24" s="219"/>
      <c r="V24" s="91"/>
      <c r="W24" s="44"/>
      <c r="X24" s="44"/>
      <c r="Y24" s="44"/>
      <c r="Z24" s="110"/>
      <c r="AA24" s="110"/>
      <c r="AB24" s="110"/>
      <c r="AC24" s="43"/>
      <c r="AD24" s="90"/>
      <c r="AF24" s="153"/>
    </row>
    <row r="25" spans="1:32" s="45" customFormat="1" ht="17.100000000000001" customHeight="1" x14ac:dyDescent="0.25">
      <c r="A25" s="56"/>
      <c r="B25" s="89"/>
      <c r="C25" s="42"/>
      <c r="D25" s="217" t="s">
        <v>52</v>
      </c>
      <c r="E25" s="217"/>
      <c r="F25" s="220"/>
      <c r="G25" s="220"/>
      <c r="H25" s="71"/>
      <c r="I25" s="51"/>
      <c r="J25" s="51"/>
      <c r="K25" s="52"/>
      <c r="L25" s="52"/>
      <c r="M25" s="52"/>
      <c r="N25" s="52"/>
      <c r="O25" s="43"/>
      <c r="P25" s="89"/>
      <c r="Q25" s="42"/>
      <c r="R25" s="218" t="s">
        <v>52</v>
      </c>
      <c r="S25" s="219"/>
      <c r="T25" s="237"/>
      <c r="U25" s="238"/>
      <c r="V25" s="71"/>
      <c r="W25" s="51"/>
      <c r="X25" s="51"/>
      <c r="Y25" s="52"/>
      <c r="Z25" s="52"/>
      <c r="AA25" s="52"/>
      <c r="AB25" s="52"/>
      <c r="AC25" s="43"/>
      <c r="AD25" s="90"/>
      <c r="AF25" s="153"/>
    </row>
    <row r="26" spans="1:32" s="1" customFormat="1" ht="9.9499999999999993" customHeight="1" x14ac:dyDescent="0.25">
      <c r="A26" s="54"/>
      <c r="B26" s="81"/>
      <c r="C26" s="10"/>
      <c r="D26" s="46"/>
      <c r="E26" s="47"/>
      <c r="F26" s="48"/>
      <c r="G26" s="48"/>
      <c r="H26" s="72"/>
      <c r="I26" s="48"/>
      <c r="J26" s="48"/>
      <c r="K26" s="50"/>
      <c r="L26" s="50"/>
      <c r="M26" s="50"/>
      <c r="N26" s="50"/>
      <c r="O26" s="15"/>
      <c r="P26" s="81"/>
      <c r="Q26" s="10"/>
      <c r="R26" s="46"/>
      <c r="S26" s="47"/>
      <c r="T26" s="48"/>
      <c r="U26" s="48"/>
      <c r="V26" s="72"/>
      <c r="W26" s="48"/>
      <c r="X26" s="48"/>
      <c r="Y26" s="50"/>
      <c r="Z26" s="50"/>
      <c r="AA26" s="50"/>
      <c r="AB26" s="50"/>
      <c r="AC26" s="15"/>
      <c r="AD26" s="82"/>
      <c r="AF26" s="149"/>
    </row>
    <row r="27" spans="1:32" s="3" customFormat="1" ht="23.1" customHeight="1" x14ac:dyDescent="0.25">
      <c r="A27" s="57"/>
      <c r="B27" s="92"/>
      <c r="C27" s="20"/>
      <c r="D27" s="21" t="s">
        <v>28</v>
      </c>
      <c r="E27" s="22"/>
      <c r="F27" s="22"/>
      <c r="G27" s="22"/>
      <c r="H27" s="193"/>
      <c r="I27" s="235"/>
      <c r="J27" s="235"/>
      <c r="K27" s="25"/>
      <c r="L27" s="111"/>
      <c r="M27" s="111"/>
      <c r="N27" s="111"/>
      <c r="O27" s="26"/>
      <c r="P27" s="92"/>
      <c r="Q27" s="20"/>
      <c r="R27" s="21" t="s">
        <v>28</v>
      </c>
      <c r="S27" s="22"/>
      <c r="T27" s="22"/>
      <c r="U27" s="22"/>
      <c r="V27" s="193"/>
      <c r="W27" s="22"/>
      <c r="X27" s="24"/>
      <c r="Y27" s="25"/>
      <c r="Z27" s="111"/>
      <c r="AA27" s="111"/>
      <c r="AB27" s="111"/>
      <c r="AC27" s="26"/>
      <c r="AD27" s="93"/>
      <c r="AF27" s="154"/>
    </row>
    <row r="28" spans="1:32" s="1" customFormat="1" ht="17.100000000000001" customHeight="1" x14ac:dyDescent="0.25">
      <c r="A28" s="54"/>
      <c r="B28" s="81"/>
      <c r="C28" s="10"/>
      <c r="D28" s="11" t="s">
        <v>2</v>
      </c>
      <c r="E28" s="221">
        <f>+J23</f>
        <v>300000</v>
      </c>
      <c r="F28" s="221"/>
      <c r="G28" s="11"/>
      <c r="H28" s="11"/>
      <c r="I28" s="11"/>
      <c r="J28" s="11"/>
      <c r="K28" s="14"/>
      <c r="L28" s="222" t="s">
        <v>41</v>
      </c>
      <c r="M28" s="223"/>
      <c r="N28" s="106"/>
      <c r="O28" s="15"/>
      <c r="P28" s="81"/>
      <c r="Q28" s="10"/>
      <c r="R28" s="11" t="s">
        <v>2</v>
      </c>
      <c r="S28" s="221">
        <f>+X23</f>
        <v>300000</v>
      </c>
      <c r="T28" s="221"/>
      <c r="U28" s="11"/>
      <c r="V28" s="11"/>
      <c r="W28" s="11"/>
      <c r="X28" s="11"/>
      <c r="Y28" s="14"/>
      <c r="Z28" s="222" t="s">
        <v>39</v>
      </c>
      <c r="AA28" s="223"/>
      <c r="AB28" s="106"/>
      <c r="AC28" s="15"/>
      <c r="AD28" s="82"/>
      <c r="AF28" s="149"/>
    </row>
    <row r="29" spans="1:32" s="1" customFormat="1" ht="17.100000000000001" customHeight="1" x14ac:dyDescent="0.25">
      <c r="A29" s="54"/>
      <c r="B29" s="81"/>
      <c r="C29" s="10"/>
      <c r="D29" s="11" t="s">
        <v>3</v>
      </c>
      <c r="E29" s="221">
        <f>+K23</f>
        <v>0</v>
      </c>
      <c r="F29" s="221"/>
      <c r="G29" s="11"/>
      <c r="H29" s="11"/>
      <c r="I29" s="11"/>
      <c r="J29" s="11"/>
      <c r="K29" s="14"/>
      <c r="L29" s="224"/>
      <c r="M29" s="225"/>
      <c r="N29" s="106"/>
      <c r="O29" s="15"/>
      <c r="P29" s="81"/>
      <c r="Q29" s="10"/>
      <c r="R29" s="11" t="s">
        <v>3</v>
      </c>
      <c r="S29" s="242">
        <f>+Y23</f>
        <v>0</v>
      </c>
      <c r="T29" s="242"/>
      <c r="U29" s="11"/>
      <c r="V29" s="11"/>
      <c r="W29" s="11"/>
      <c r="X29" s="11"/>
      <c r="Y29" s="14"/>
      <c r="Z29" s="224"/>
      <c r="AA29" s="225"/>
      <c r="AB29" s="106"/>
      <c r="AC29" s="15"/>
      <c r="AD29" s="82"/>
      <c r="AF29" s="149"/>
    </row>
    <row r="30" spans="1:32" s="1" customFormat="1" ht="17.100000000000001" customHeight="1" x14ac:dyDescent="0.25">
      <c r="A30" s="54"/>
      <c r="B30" s="81"/>
      <c r="C30" s="10"/>
      <c r="D30" s="11" t="s">
        <v>4</v>
      </c>
      <c r="E30" s="221">
        <f>+L23</f>
        <v>0</v>
      </c>
      <c r="F30" s="221"/>
      <c r="G30" s="11"/>
      <c r="H30" s="11"/>
      <c r="I30" s="11"/>
      <c r="J30" s="11"/>
      <c r="K30" s="14"/>
      <c r="L30" s="224"/>
      <c r="M30" s="225"/>
      <c r="N30" s="106"/>
      <c r="O30" s="15"/>
      <c r="P30" s="81"/>
      <c r="Q30" s="10"/>
      <c r="R30" s="11" t="s">
        <v>4</v>
      </c>
      <c r="S30" s="242">
        <f>+Z23</f>
        <v>0</v>
      </c>
      <c r="T30" s="242"/>
      <c r="U30" s="11"/>
      <c r="V30" s="11"/>
      <c r="W30" s="11"/>
      <c r="X30" s="11"/>
      <c r="Y30" s="14"/>
      <c r="Z30" s="224"/>
      <c r="AA30" s="225"/>
      <c r="AB30" s="106"/>
      <c r="AC30" s="15"/>
      <c r="AD30" s="82"/>
      <c r="AF30" s="149"/>
    </row>
    <row r="31" spans="1:32" s="1" customFormat="1" ht="17.100000000000001" customHeight="1" x14ac:dyDescent="0.25">
      <c r="A31" s="54"/>
      <c r="B31" s="81"/>
      <c r="C31" s="10"/>
      <c r="D31" s="11" t="s">
        <v>5</v>
      </c>
      <c r="E31" s="198">
        <f>+M23</f>
        <v>0</v>
      </c>
      <c r="F31" s="198"/>
      <c r="G31" s="115" t="s">
        <v>10</v>
      </c>
      <c r="H31" s="11"/>
      <c r="I31" s="11"/>
      <c r="J31" s="11"/>
      <c r="K31" s="14"/>
      <c r="L31" s="226"/>
      <c r="M31" s="227"/>
      <c r="N31" s="106"/>
      <c r="O31" s="15"/>
      <c r="P31" s="81"/>
      <c r="Q31" s="10"/>
      <c r="R31" s="11" t="s">
        <v>5</v>
      </c>
      <c r="S31" s="198">
        <f>+AA23</f>
        <v>0</v>
      </c>
      <c r="T31" s="198"/>
      <c r="U31" s="115" t="s">
        <v>10</v>
      </c>
      <c r="V31" s="11"/>
      <c r="W31" s="11"/>
      <c r="X31" s="11"/>
      <c r="Y31" s="14"/>
      <c r="Z31" s="226"/>
      <c r="AA31" s="227"/>
      <c r="AB31" s="106"/>
      <c r="AC31" s="15"/>
      <c r="AD31" s="82"/>
      <c r="AF31" s="149"/>
    </row>
    <row r="32" spans="1:32" s="1" customFormat="1" ht="24.95" customHeight="1" x14ac:dyDescent="0.25">
      <c r="A32" s="54"/>
      <c r="B32" s="81"/>
      <c r="C32" s="10"/>
      <c r="D32" s="11"/>
      <c r="E32" s="196">
        <f>MROUND(SUM(E28:F31),100)</f>
        <v>300000</v>
      </c>
      <c r="F32" s="196"/>
      <c r="G32" s="11"/>
      <c r="H32" s="11"/>
      <c r="I32" s="11"/>
      <c r="J32" s="11"/>
      <c r="K32" s="24"/>
      <c r="L32" s="197" t="s">
        <v>29</v>
      </c>
      <c r="M32" s="197"/>
      <c r="N32" s="112"/>
      <c r="O32" s="15"/>
      <c r="P32" s="81"/>
      <c r="Q32" s="10"/>
      <c r="R32" s="11"/>
      <c r="S32" s="239">
        <f>MROUND(SUM(S28:T31),100)</f>
        <v>300000</v>
      </c>
      <c r="T32" s="239"/>
      <c r="U32" s="11"/>
      <c r="V32" s="11"/>
      <c r="W32" s="11"/>
      <c r="X32" s="11"/>
      <c r="Y32" s="24"/>
      <c r="Z32" s="240" t="s">
        <v>29</v>
      </c>
      <c r="AA32" s="241"/>
      <c r="AB32" s="112"/>
      <c r="AC32" s="15"/>
      <c r="AD32" s="82"/>
      <c r="AF32" s="149"/>
    </row>
    <row r="33" spans="1:32" s="1" customFormat="1" ht="17.100000000000001" customHeight="1" thickBot="1" x14ac:dyDescent="0.3">
      <c r="A33" s="54"/>
      <c r="B33" s="81"/>
      <c r="C33" s="27"/>
      <c r="D33" s="28"/>
      <c r="E33" s="28"/>
      <c r="F33" s="28"/>
      <c r="G33" s="28"/>
      <c r="H33" s="73"/>
      <c r="I33" s="28"/>
      <c r="J33" s="28"/>
      <c r="K33" s="30"/>
      <c r="L33" s="113"/>
      <c r="M33" s="113"/>
      <c r="N33" s="113"/>
      <c r="O33" s="31"/>
      <c r="P33" s="81"/>
      <c r="Q33" s="27"/>
      <c r="R33" s="28"/>
      <c r="S33" s="28"/>
      <c r="T33" s="28"/>
      <c r="U33" s="28"/>
      <c r="V33" s="73"/>
      <c r="W33" s="28"/>
      <c r="X33" s="28"/>
      <c r="Y33" s="30"/>
      <c r="Z33" s="113"/>
      <c r="AA33" s="113"/>
      <c r="AB33" s="113"/>
      <c r="AC33" s="31"/>
      <c r="AD33" s="82"/>
      <c r="AF33" s="149"/>
    </row>
    <row r="34" spans="1:32" ht="15.75" thickBot="1" x14ac:dyDescent="0.3">
      <c r="B34" s="94"/>
      <c r="C34" s="66"/>
      <c r="D34" s="66"/>
      <c r="E34" s="66"/>
      <c r="F34" s="66"/>
      <c r="G34" s="66"/>
      <c r="H34" s="69"/>
      <c r="I34" s="66"/>
      <c r="J34" s="66"/>
      <c r="K34" s="38"/>
      <c r="L34" s="104"/>
      <c r="M34" s="104"/>
      <c r="N34" s="104"/>
      <c r="O34" s="66"/>
      <c r="P34" s="101"/>
      <c r="Q34" s="66"/>
      <c r="R34" s="66"/>
      <c r="S34" s="66"/>
      <c r="T34" s="66"/>
      <c r="U34" s="66"/>
      <c r="V34" s="69"/>
      <c r="W34" s="66"/>
      <c r="X34" s="66"/>
      <c r="Y34" s="38"/>
      <c r="Z34" s="104"/>
      <c r="AA34" s="104"/>
      <c r="AB34" s="104"/>
      <c r="AC34" s="66"/>
      <c r="AD34" s="95"/>
    </row>
    <row r="35" spans="1:32" s="1" customFormat="1" ht="17.100000000000001" customHeight="1" thickBot="1" x14ac:dyDescent="0.3">
      <c r="A35" s="74"/>
      <c r="B35" s="80"/>
      <c r="C35" s="199" t="s">
        <v>33</v>
      </c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1"/>
      <c r="P35" s="80"/>
      <c r="Q35" s="199" t="s">
        <v>33</v>
      </c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1"/>
      <c r="AD35" s="82"/>
      <c r="AF35" s="149"/>
    </row>
    <row r="36" spans="1:32" s="1" customFormat="1" ht="17.100000000000001" customHeight="1" x14ac:dyDescent="0.25">
      <c r="A36" s="54"/>
      <c r="B36" s="81"/>
      <c r="C36" s="202" t="s">
        <v>34</v>
      </c>
      <c r="D36" s="203"/>
      <c r="E36" s="203"/>
      <c r="F36" s="203"/>
      <c r="G36" s="203"/>
      <c r="H36" s="203"/>
      <c r="I36" s="203"/>
      <c r="J36" s="203"/>
      <c r="K36" s="203"/>
      <c r="L36" s="204"/>
      <c r="M36" s="32" t="s">
        <v>32</v>
      </c>
      <c r="N36" s="32" t="s">
        <v>36</v>
      </c>
      <c r="O36" s="33"/>
      <c r="P36" s="81"/>
      <c r="Q36" s="202" t="s">
        <v>34</v>
      </c>
      <c r="R36" s="203"/>
      <c r="S36" s="203"/>
      <c r="T36" s="203"/>
      <c r="U36" s="203"/>
      <c r="V36" s="203"/>
      <c r="W36" s="203"/>
      <c r="X36" s="203"/>
      <c r="Y36" s="203"/>
      <c r="Z36" s="204"/>
      <c r="AA36" s="32" t="s">
        <v>32</v>
      </c>
      <c r="AB36" s="32" t="s">
        <v>36</v>
      </c>
      <c r="AC36" s="33"/>
      <c r="AD36" s="82"/>
      <c r="AF36" s="149"/>
    </row>
    <row r="37" spans="1:32" s="1" customFormat="1" ht="17.100000000000001" customHeight="1" x14ac:dyDescent="0.25">
      <c r="A37" s="54"/>
      <c r="B37" s="81"/>
      <c r="C37" s="205"/>
      <c r="D37" s="206"/>
      <c r="E37" s="206"/>
      <c r="F37" s="206"/>
      <c r="G37" s="206"/>
      <c r="H37" s="206"/>
      <c r="I37" s="206"/>
      <c r="J37" s="206"/>
      <c r="K37" s="206"/>
      <c r="L37" s="207"/>
      <c r="M37" s="12" t="s">
        <v>30</v>
      </c>
      <c r="N37" s="12" t="s">
        <v>57</v>
      </c>
      <c r="O37" s="34"/>
      <c r="P37" s="81"/>
      <c r="Q37" s="205"/>
      <c r="R37" s="206"/>
      <c r="S37" s="206"/>
      <c r="T37" s="206"/>
      <c r="U37" s="206"/>
      <c r="V37" s="206"/>
      <c r="W37" s="206"/>
      <c r="X37" s="206"/>
      <c r="Y37" s="206"/>
      <c r="Z37" s="207"/>
      <c r="AA37" s="12" t="s">
        <v>30</v>
      </c>
      <c r="AB37" s="12" t="s">
        <v>57</v>
      </c>
      <c r="AC37" s="34"/>
      <c r="AD37" s="82"/>
      <c r="AF37" s="149"/>
    </row>
    <row r="38" spans="1:32" s="1" customFormat="1" ht="16.5" customHeight="1" thickBot="1" x14ac:dyDescent="0.3">
      <c r="A38" s="54"/>
      <c r="B38" s="81"/>
      <c r="C38" s="208"/>
      <c r="D38" s="209"/>
      <c r="E38" s="209"/>
      <c r="F38" s="209"/>
      <c r="G38" s="209"/>
      <c r="H38" s="209"/>
      <c r="I38" s="209"/>
      <c r="J38" s="209"/>
      <c r="K38" s="209"/>
      <c r="L38" s="210"/>
      <c r="M38" s="39" t="s">
        <v>31</v>
      </c>
      <c r="N38" s="39" t="s">
        <v>58</v>
      </c>
      <c r="O38" s="35"/>
      <c r="P38" s="81"/>
      <c r="Q38" s="208"/>
      <c r="R38" s="209"/>
      <c r="S38" s="209"/>
      <c r="T38" s="209"/>
      <c r="U38" s="209"/>
      <c r="V38" s="209"/>
      <c r="W38" s="209"/>
      <c r="X38" s="209"/>
      <c r="Y38" s="209"/>
      <c r="Z38" s="210"/>
      <c r="AA38" s="39" t="s">
        <v>31</v>
      </c>
      <c r="AB38" s="39" t="s">
        <v>58</v>
      </c>
      <c r="AC38" s="35"/>
      <c r="AD38" s="82"/>
      <c r="AF38" s="149"/>
    </row>
    <row r="39" spans="1:32" s="1" customFormat="1" ht="9.9499999999999993" customHeight="1" x14ac:dyDescent="0.25">
      <c r="A39" s="54"/>
      <c r="B39" s="81"/>
      <c r="C39" s="40"/>
      <c r="D39" s="41"/>
      <c r="E39" s="41"/>
      <c r="F39" s="11"/>
      <c r="G39" s="11"/>
      <c r="H39" s="68"/>
      <c r="I39" s="11"/>
      <c r="J39" s="11"/>
      <c r="K39" s="14"/>
      <c r="L39" s="106"/>
      <c r="M39" s="106"/>
      <c r="N39" s="106"/>
      <c r="O39" s="15"/>
      <c r="P39" s="81"/>
      <c r="Q39" s="40"/>
      <c r="R39" s="41"/>
      <c r="S39" s="41"/>
      <c r="T39" s="11"/>
      <c r="U39" s="11"/>
      <c r="V39" s="68"/>
      <c r="W39" s="11"/>
      <c r="X39" s="11"/>
      <c r="Y39" s="14"/>
      <c r="Z39" s="106"/>
      <c r="AA39" s="106"/>
      <c r="AB39" s="106"/>
      <c r="AC39" s="15"/>
      <c r="AD39" s="82"/>
      <c r="AF39" s="149"/>
    </row>
    <row r="40" spans="1:32" s="1" customFormat="1" ht="17.100000000000001" customHeight="1" x14ac:dyDescent="0.25">
      <c r="A40" s="54"/>
      <c r="B40" s="81"/>
      <c r="C40" s="10"/>
      <c r="D40" s="11" t="s">
        <v>0</v>
      </c>
      <c r="E40" s="11" t="s">
        <v>42</v>
      </c>
      <c r="F40" s="11"/>
      <c r="G40" s="11"/>
      <c r="H40" s="131" t="s">
        <v>62</v>
      </c>
      <c r="I40" s="11"/>
      <c r="J40" s="13" t="s">
        <v>72</v>
      </c>
      <c r="K40" s="11" t="s">
        <v>96</v>
      </c>
      <c r="L40" s="11"/>
      <c r="M40" s="106"/>
      <c r="N40" s="106"/>
      <c r="O40" s="15"/>
      <c r="P40" s="81"/>
      <c r="Q40" s="10"/>
      <c r="R40" s="11" t="s">
        <v>0</v>
      </c>
      <c r="S40" s="11" t="s">
        <v>48</v>
      </c>
      <c r="T40" s="11"/>
      <c r="U40" s="11"/>
      <c r="V40" s="131" t="s">
        <v>63</v>
      </c>
      <c r="W40" s="11"/>
      <c r="X40" s="13" t="s">
        <v>72</v>
      </c>
      <c r="Y40" s="11" t="s">
        <v>96</v>
      </c>
      <c r="Z40" s="11"/>
      <c r="AA40" s="106"/>
      <c r="AB40" s="106"/>
      <c r="AC40" s="15"/>
      <c r="AD40" s="82"/>
      <c r="AF40" s="149"/>
    </row>
    <row r="41" spans="1:32" s="1" customFormat="1" ht="17.100000000000001" customHeight="1" x14ac:dyDescent="0.25">
      <c r="A41" s="54"/>
      <c r="B41" s="81"/>
      <c r="C41" s="10"/>
      <c r="D41" s="11" t="s">
        <v>11</v>
      </c>
      <c r="E41" s="11" t="s">
        <v>45</v>
      </c>
      <c r="F41" s="11"/>
      <c r="G41" s="11"/>
      <c r="H41" s="68"/>
      <c r="I41" s="11"/>
      <c r="J41" s="11"/>
      <c r="K41" s="14"/>
      <c r="L41" s="106"/>
      <c r="M41" s="106"/>
      <c r="N41" s="106"/>
      <c r="O41" s="15"/>
      <c r="P41" s="81"/>
      <c r="Q41" s="10"/>
      <c r="R41" s="11" t="s">
        <v>11</v>
      </c>
      <c r="S41" s="11" t="s">
        <v>45</v>
      </c>
      <c r="T41" s="11"/>
      <c r="U41" s="11"/>
      <c r="V41" s="68"/>
      <c r="W41" s="11"/>
      <c r="X41" s="11"/>
      <c r="Y41" s="14"/>
      <c r="Z41" s="106"/>
      <c r="AA41" s="106"/>
      <c r="AB41" s="106"/>
      <c r="AC41" s="15"/>
      <c r="AD41" s="82"/>
      <c r="AF41" s="149"/>
    </row>
    <row r="42" spans="1:32" s="1" customFormat="1" ht="17.100000000000001" customHeight="1" x14ac:dyDescent="0.25">
      <c r="A42" s="54"/>
      <c r="B42" s="81"/>
      <c r="C42" s="10"/>
      <c r="D42" s="11" t="s">
        <v>1</v>
      </c>
      <c r="E42" s="11" t="s">
        <v>49</v>
      </c>
      <c r="F42" s="11"/>
      <c r="G42" s="11"/>
      <c r="H42" s="68"/>
      <c r="I42" s="11"/>
      <c r="J42" s="212" t="s">
        <v>56</v>
      </c>
      <c r="K42" s="106"/>
      <c r="L42" s="106"/>
      <c r="M42" s="106"/>
      <c r="O42" s="15"/>
      <c r="P42" s="81"/>
      <c r="Q42" s="10"/>
      <c r="R42" s="11" t="s">
        <v>1</v>
      </c>
      <c r="S42" s="11" t="s">
        <v>51</v>
      </c>
      <c r="T42" s="11"/>
      <c r="U42" s="11"/>
      <c r="V42" s="68"/>
      <c r="W42" s="11"/>
      <c r="X42" s="212" t="s">
        <v>56</v>
      </c>
      <c r="Y42" s="106"/>
      <c r="Z42" s="106"/>
      <c r="AA42" s="106"/>
      <c r="AC42" s="15"/>
      <c r="AD42" s="82"/>
      <c r="AF42" s="149"/>
    </row>
    <row r="43" spans="1:32" s="2" customFormat="1" ht="9.9499999999999993" customHeight="1" x14ac:dyDescent="0.25">
      <c r="A43" s="55"/>
      <c r="B43" s="83"/>
      <c r="C43" s="16"/>
      <c r="D43" s="37"/>
      <c r="E43" s="37"/>
      <c r="F43" s="37"/>
      <c r="G43" s="37"/>
      <c r="H43" s="69"/>
      <c r="I43" s="37"/>
      <c r="J43" s="213"/>
      <c r="K43" s="104"/>
      <c r="L43" s="104"/>
      <c r="M43" s="104"/>
      <c r="O43" s="17"/>
      <c r="P43" s="83"/>
      <c r="Q43" s="16"/>
      <c r="R43" s="37"/>
      <c r="S43" s="37"/>
      <c r="T43" s="37"/>
      <c r="U43" s="37"/>
      <c r="V43" s="69"/>
      <c r="W43" s="37"/>
      <c r="X43" s="213"/>
      <c r="Y43" s="104"/>
      <c r="Z43" s="104"/>
      <c r="AA43" s="104"/>
      <c r="AC43" s="17"/>
      <c r="AD43" s="84"/>
      <c r="AF43" s="8"/>
    </row>
    <row r="44" spans="1:32" s="1" customFormat="1" ht="23.1" customHeight="1" x14ac:dyDescent="0.25">
      <c r="A44" s="54"/>
      <c r="B44" s="81"/>
      <c r="C44" s="10"/>
      <c r="D44" s="36" t="s">
        <v>27</v>
      </c>
      <c r="E44" s="11"/>
      <c r="F44" s="11"/>
      <c r="G44" s="11"/>
      <c r="H44" s="68"/>
      <c r="I44" s="11"/>
      <c r="J44" s="116">
        <v>7650</v>
      </c>
      <c r="K44" s="106"/>
      <c r="L44" s="106"/>
      <c r="M44" s="106"/>
      <c r="O44" s="15"/>
      <c r="P44" s="81"/>
      <c r="Q44" s="10"/>
      <c r="R44" s="36" t="s">
        <v>27</v>
      </c>
      <c r="S44" s="11"/>
      <c r="T44" s="11"/>
      <c r="U44" s="11"/>
      <c r="V44" s="68"/>
      <c r="W44" s="11"/>
      <c r="X44" s="116">
        <v>7650</v>
      </c>
      <c r="Y44" s="106"/>
      <c r="Z44" s="106"/>
      <c r="AA44" s="106"/>
      <c r="AC44" s="15"/>
      <c r="AD44" s="82"/>
      <c r="AF44" s="149"/>
    </row>
    <row r="45" spans="1:32" s="5" customFormat="1" ht="30" customHeight="1" x14ac:dyDescent="0.25">
      <c r="B45" s="85"/>
      <c r="C45" s="18"/>
      <c r="D45" s="6" t="s">
        <v>14</v>
      </c>
      <c r="E45" s="6" t="s">
        <v>22</v>
      </c>
      <c r="F45" s="6" t="s">
        <v>26</v>
      </c>
      <c r="G45" s="6" t="s">
        <v>23</v>
      </c>
      <c r="H45" s="70" t="s">
        <v>25</v>
      </c>
      <c r="I45" s="6" t="s">
        <v>24</v>
      </c>
      <c r="J45" s="107" t="s">
        <v>40</v>
      </c>
      <c r="K45" s="107" t="s">
        <v>3</v>
      </c>
      <c r="L45" s="107" t="s">
        <v>4</v>
      </c>
      <c r="M45" s="107" t="s">
        <v>5</v>
      </c>
      <c r="N45" s="127" t="s">
        <v>59</v>
      </c>
      <c r="O45" s="19"/>
      <c r="P45" s="85"/>
      <c r="Q45" s="18"/>
      <c r="R45" s="6" t="s">
        <v>14</v>
      </c>
      <c r="S45" s="6" t="s">
        <v>22</v>
      </c>
      <c r="T45" s="6" t="s">
        <v>26</v>
      </c>
      <c r="U45" s="6" t="s">
        <v>23</v>
      </c>
      <c r="V45" s="70" t="s">
        <v>25</v>
      </c>
      <c r="W45" s="6" t="s">
        <v>24</v>
      </c>
      <c r="X45" s="107" t="s">
        <v>40</v>
      </c>
      <c r="Y45" s="107" t="s">
        <v>3</v>
      </c>
      <c r="Z45" s="107" t="s">
        <v>4</v>
      </c>
      <c r="AA45" s="107" t="s">
        <v>5</v>
      </c>
      <c r="AB45" s="127" t="s">
        <v>59</v>
      </c>
      <c r="AC45" s="19"/>
      <c r="AD45" s="86"/>
      <c r="AF45" s="150"/>
    </row>
    <row r="46" spans="1:32" s="144" customFormat="1" ht="20.100000000000001" customHeight="1" x14ac:dyDescent="0.25">
      <c r="A46" s="134"/>
      <c r="B46" s="135"/>
      <c r="C46" s="136"/>
      <c r="D46" s="63" t="s">
        <v>15</v>
      </c>
      <c r="E46" s="132">
        <v>44004</v>
      </c>
      <c r="F46" s="58"/>
      <c r="G46" s="58"/>
      <c r="H46" s="64"/>
      <c r="I46" s="58"/>
      <c r="J46" s="108">
        <f t="shared" ref="J46" si="6">+H46</f>
        <v>0</v>
      </c>
      <c r="K46" s="108">
        <v>5000</v>
      </c>
      <c r="L46" s="108"/>
      <c r="M46" s="108" t="s">
        <v>71</v>
      </c>
      <c r="N46" s="129">
        <f t="shared" ref="N46" si="7">SUM(J46:M46)</f>
        <v>5000</v>
      </c>
      <c r="O46" s="137"/>
      <c r="P46" s="135"/>
      <c r="Q46" s="136"/>
      <c r="R46" s="63" t="s">
        <v>15</v>
      </c>
      <c r="S46" s="132">
        <v>44004</v>
      </c>
      <c r="T46" s="58"/>
      <c r="U46" s="58"/>
      <c r="V46" s="64"/>
      <c r="W46" s="58"/>
      <c r="X46" s="108"/>
      <c r="Y46" s="108"/>
      <c r="Z46" s="108"/>
      <c r="AA46" s="108"/>
      <c r="AB46" s="129"/>
      <c r="AC46" s="137"/>
      <c r="AD46" s="143"/>
      <c r="AF46" s="151"/>
    </row>
    <row r="47" spans="1:32" s="144" customFormat="1" ht="20.100000000000001" customHeight="1" x14ac:dyDescent="0.25">
      <c r="A47" s="134"/>
      <c r="B47" s="135"/>
      <c r="C47" s="136"/>
      <c r="D47" s="63" t="s">
        <v>16</v>
      </c>
      <c r="E47" s="132">
        <v>44005</v>
      </c>
      <c r="F47" s="58">
        <v>67405</v>
      </c>
      <c r="G47" s="58">
        <v>26.17</v>
      </c>
      <c r="H47" s="64">
        <v>200000</v>
      </c>
      <c r="I47" s="58" t="s">
        <v>54</v>
      </c>
      <c r="J47" s="108">
        <f>+H47</f>
        <v>200000</v>
      </c>
      <c r="K47" s="108">
        <f>5000+5000+5000+5000</f>
        <v>20000</v>
      </c>
      <c r="L47" s="108"/>
      <c r="M47" s="108"/>
      <c r="N47" s="129">
        <f>SUM(K47:M47)</f>
        <v>20000</v>
      </c>
      <c r="O47" s="137"/>
      <c r="P47" s="135"/>
      <c r="Q47" s="136"/>
      <c r="R47" s="63" t="s">
        <v>16</v>
      </c>
      <c r="S47" s="132">
        <v>44005</v>
      </c>
      <c r="T47" s="58"/>
      <c r="U47" s="58"/>
      <c r="V47" s="64"/>
      <c r="W47" s="58"/>
      <c r="X47" s="108">
        <f>V47</f>
        <v>0</v>
      </c>
      <c r="Y47" s="108"/>
      <c r="Z47" s="108"/>
      <c r="AA47" s="108"/>
      <c r="AB47" s="129">
        <f>SUM(Y47:AA47)</f>
        <v>0</v>
      </c>
      <c r="AC47" s="137"/>
      <c r="AD47" s="143"/>
      <c r="AF47" s="151"/>
    </row>
    <row r="48" spans="1:32" s="144" customFormat="1" ht="20.100000000000001" customHeight="1" x14ac:dyDescent="0.25">
      <c r="A48" s="134"/>
      <c r="B48" s="135"/>
      <c r="C48" s="136"/>
      <c r="D48" s="63" t="s">
        <v>17</v>
      </c>
      <c r="E48" s="132">
        <v>44006</v>
      </c>
      <c r="F48" s="58"/>
      <c r="G48" s="58"/>
      <c r="H48" s="64"/>
      <c r="I48" s="58"/>
      <c r="J48" s="108">
        <f>H48</f>
        <v>0</v>
      </c>
      <c r="K48" s="108">
        <f>5000+5000</f>
        <v>10000</v>
      </c>
      <c r="L48" s="108"/>
      <c r="M48" s="108"/>
      <c r="N48" s="129">
        <f t="shared" ref="N48:N52" si="8">SUM(J48:M48)</f>
        <v>10000</v>
      </c>
      <c r="O48" s="137"/>
      <c r="P48" s="135"/>
      <c r="Q48" s="136"/>
      <c r="R48" s="63" t="s">
        <v>17</v>
      </c>
      <c r="S48" s="132">
        <v>44006</v>
      </c>
      <c r="T48" s="58"/>
      <c r="U48" s="58"/>
      <c r="V48" s="64"/>
      <c r="W48" s="58"/>
      <c r="X48" s="108">
        <f>V48</f>
        <v>0</v>
      </c>
      <c r="Y48" s="108"/>
      <c r="Z48" s="108"/>
      <c r="AA48" s="108"/>
      <c r="AB48" s="129">
        <f t="shared" ref="AB48:AB52" si="9">SUM(X48:AA48)</f>
        <v>0</v>
      </c>
      <c r="AC48" s="137"/>
      <c r="AD48" s="143"/>
      <c r="AF48" s="151"/>
    </row>
    <row r="49" spans="1:32" s="144" customFormat="1" ht="20.100000000000001" customHeight="1" x14ac:dyDescent="0.25">
      <c r="A49" s="134"/>
      <c r="B49" s="135"/>
      <c r="C49" s="136"/>
      <c r="D49" s="63" t="s">
        <v>18</v>
      </c>
      <c r="E49" s="132">
        <v>44007</v>
      </c>
      <c r="F49" s="58"/>
      <c r="G49" s="58"/>
      <c r="H49" s="64"/>
      <c r="I49" s="58"/>
      <c r="J49" s="108">
        <f>+G49*$J$13</f>
        <v>0</v>
      </c>
      <c r="K49" s="108">
        <v>5000</v>
      </c>
      <c r="L49" s="108"/>
      <c r="M49" s="108"/>
      <c r="N49" s="129">
        <f t="shared" si="8"/>
        <v>5000</v>
      </c>
      <c r="O49" s="137"/>
      <c r="P49" s="135"/>
      <c r="Q49" s="136"/>
      <c r="R49" s="63" t="s">
        <v>18</v>
      </c>
      <c r="S49" s="132">
        <v>44007</v>
      </c>
      <c r="T49" s="58"/>
      <c r="U49" s="58"/>
      <c r="V49" s="64"/>
      <c r="W49" s="58"/>
      <c r="X49" s="108">
        <f>+V49</f>
        <v>0</v>
      </c>
      <c r="Y49" s="108"/>
      <c r="Z49" s="108"/>
      <c r="AA49" s="108"/>
      <c r="AB49" s="129">
        <f t="shared" si="9"/>
        <v>0</v>
      </c>
      <c r="AC49" s="137"/>
      <c r="AD49" s="143"/>
      <c r="AF49" s="151"/>
    </row>
    <row r="50" spans="1:32" s="144" customFormat="1" ht="20.100000000000001" customHeight="1" x14ac:dyDescent="0.25">
      <c r="A50" s="134"/>
      <c r="B50" s="135"/>
      <c r="C50" s="136"/>
      <c r="D50" s="63" t="s">
        <v>19</v>
      </c>
      <c r="E50" s="132">
        <v>44008</v>
      </c>
      <c r="F50" s="58"/>
      <c r="G50" s="58"/>
      <c r="H50" s="64"/>
      <c r="I50" s="58"/>
      <c r="J50" s="108">
        <f>H50</f>
        <v>0</v>
      </c>
      <c r="K50" s="108">
        <v>5000</v>
      </c>
      <c r="L50" s="108"/>
      <c r="M50" s="108"/>
      <c r="N50" s="129">
        <f t="shared" si="8"/>
        <v>5000</v>
      </c>
      <c r="O50" s="137"/>
      <c r="P50" s="135"/>
      <c r="Q50" s="136"/>
      <c r="R50" s="63" t="s">
        <v>19</v>
      </c>
      <c r="S50" s="132">
        <v>44008</v>
      </c>
      <c r="T50" s="58">
        <v>110377</v>
      </c>
      <c r="U50" s="58">
        <v>32.67</v>
      </c>
      <c r="V50" s="64">
        <v>200000</v>
      </c>
      <c r="W50" s="58" t="s">
        <v>54</v>
      </c>
      <c r="X50" s="108">
        <f>V50</f>
        <v>200000</v>
      </c>
      <c r="Y50" s="108"/>
      <c r="Z50" s="108"/>
      <c r="AA50" s="108"/>
      <c r="AB50" s="129">
        <f t="shared" si="9"/>
        <v>200000</v>
      </c>
      <c r="AC50" s="137"/>
      <c r="AD50" s="143"/>
      <c r="AF50" s="151"/>
    </row>
    <row r="51" spans="1:32" s="62" customFormat="1" ht="20.100000000000001" customHeight="1" x14ac:dyDescent="0.25">
      <c r="A51" s="59"/>
      <c r="B51" s="87"/>
      <c r="C51" s="60"/>
      <c r="D51" s="185" t="s">
        <v>20</v>
      </c>
      <c r="E51" s="184">
        <v>44009</v>
      </c>
      <c r="F51" s="7"/>
      <c r="G51" s="7"/>
      <c r="H51" s="65"/>
      <c r="I51" s="7"/>
      <c r="J51" s="109">
        <f>+H51</f>
        <v>0</v>
      </c>
      <c r="K51" s="109"/>
      <c r="L51" s="109"/>
      <c r="M51" s="109"/>
      <c r="N51" s="128">
        <f t="shared" si="8"/>
        <v>0</v>
      </c>
      <c r="O51" s="61"/>
      <c r="P51" s="87"/>
      <c r="Q51" s="60"/>
      <c r="R51" s="185" t="s">
        <v>20</v>
      </c>
      <c r="S51" s="184">
        <v>44009</v>
      </c>
      <c r="T51" s="7"/>
      <c r="U51" s="7"/>
      <c r="V51" s="65"/>
      <c r="W51" s="7"/>
      <c r="X51" s="109">
        <f>V51</f>
        <v>0</v>
      </c>
      <c r="Y51" s="109"/>
      <c r="Z51" s="109"/>
      <c r="AA51" s="109"/>
      <c r="AB51" s="128">
        <f t="shared" si="9"/>
        <v>0</v>
      </c>
      <c r="AC51" s="61"/>
      <c r="AD51" s="88"/>
      <c r="AF51" s="152"/>
    </row>
    <row r="52" spans="1:32" s="62" customFormat="1" ht="20.100000000000001" customHeight="1" x14ac:dyDescent="0.25">
      <c r="A52" s="59"/>
      <c r="B52" s="87"/>
      <c r="C52" s="60"/>
      <c r="D52" s="183" t="s">
        <v>21</v>
      </c>
      <c r="E52" s="184">
        <v>44010</v>
      </c>
      <c r="F52" s="7"/>
      <c r="G52" s="7"/>
      <c r="H52" s="65"/>
      <c r="I52" s="7"/>
      <c r="J52" s="109">
        <f t="shared" ref="J52" si="10">+G52*$J$13</f>
        <v>0</v>
      </c>
      <c r="K52" s="109"/>
      <c r="L52" s="109"/>
      <c r="M52" s="109"/>
      <c r="N52" s="128">
        <f t="shared" si="8"/>
        <v>0</v>
      </c>
      <c r="O52" s="61"/>
      <c r="P52" s="87"/>
      <c r="Q52" s="60"/>
      <c r="R52" s="183" t="s">
        <v>21</v>
      </c>
      <c r="S52" s="184">
        <v>44010</v>
      </c>
      <c r="T52" s="7"/>
      <c r="U52" s="7"/>
      <c r="V52" s="65"/>
      <c r="W52" s="7"/>
      <c r="X52" s="109">
        <f t="shared" ref="X52" si="11">+U52*$J$13</f>
        <v>0</v>
      </c>
      <c r="Y52" s="109"/>
      <c r="Z52" s="109"/>
      <c r="AA52" s="109"/>
      <c r="AB52" s="128">
        <f t="shared" si="9"/>
        <v>0</v>
      </c>
      <c r="AC52" s="61"/>
      <c r="AD52" s="88"/>
      <c r="AF52" s="152"/>
    </row>
    <row r="53" spans="1:32" s="62" customFormat="1" ht="20.100000000000001" customHeight="1" x14ac:dyDescent="0.25">
      <c r="A53" s="59"/>
      <c r="B53" s="87"/>
      <c r="C53" s="60"/>
      <c r="D53" s="214" t="s">
        <v>66</v>
      </c>
      <c r="E53" s="215"/>
      <c r="F53" s="215"/>
      <c r="G53" s="215"/>
      <c r="H53" s="215"/>
      <c r="I53" s="216"/>
      <c r="J53" s="133">
        <f>SUM(J46:J52)</f>
        <v>200000</v>
      </c>
      <c r="K53" s="133">
        <f>SUM(K46:K52)</f>
        <v>45000</v>
      </c>
      <c r="L53" s="133">
        <f>SUM(L46:L52)</f>
        <v>0</v>
      </c>
      <c r="M53" s="133">
        <f>SUM(M46:M52)</f>
        <v>0</v>
      </c>
      <c r="N53" s="133">
        <f>SUM(N46:N52)</f>
        <v>45000</v>
      </c>
      <c r="O53" s="61"/>
      <c r="P53" s="87"/>
      <c r="Q53" s="60"/>
      <c r="R53" s="214" t="s">
        <v>66</v>
      </c>
      <c r="S53" s="215"/>
      <c r="T53" s="215"/>
      <c r="U53" s="215"/>
      <c r="V53" s="215"/>
      <c r="W53" s="216"/>
      <c r="X53" s="133">
        <f>SUM(X46:X52)</f>
        <v>200000</v>
      </c>
      <c r="Y53" s="133">
        <f>SUM(Y46:Y52)</f>
        <v>0</v>
      </c>
      <c r="Z53" s="133">
        <f>SUM(Z46:Z52)</f>
        <v>0</v>
      </c>
      <c r="AA53" s="133">
        <f>SUM(AA46:AA52)</f>
        <v>0</v>
      </c>
      <c r="AB53" s="133">
        <f>SUM(AB46:AB52)</f>
        <v>200000</v>
      </c>
      <c r="AC53" s="61"/>
      <c r="AD53" s="88"/>
      <c r="AF53" s="152"/>
    </row>
    <row r="54" spans="1:32" s="45" customFormat="1" ht="17.100000000000001" customHeight="1" x14ac:dyDescent="0.25">
      <c r="A54" s="56"/>
      <c r="B54" s="89"/>
      <c r="C54" s="42"/>
      <c r="D54" s="218" t="s">
        <v>53</v>
      </c>
      <c r="E54" s="219"/>
      <c r="F54" s="218"/>
      <c r="G54" s="219"/>
      <c r="H54" s="91"/>
      <c r="I54" s="44"/>
      <c r="J54" s="44"/>
      <c r="K54" s="44"/>
      <c r="L54" s="110"/>
      <c r="M54" s="110"/>
      <c r="N54" s="110"/>
      <c r="O54" s="43"/>
      <c r="P54" s="89"/>
      <c r="Q54" s="42"/>
      <c r="R54" s="218" t="s">
        <v>53</v>
      </c>
      <c r="S54" s="219"/>
      <c r="T54" s="218"/>
      <c r="U54" s="219"/>
      <c r="V54" s="91"/>
      <c r="W54" s="44"/>
      <c r="X54" s="44"/>
      <c r="Y54" s="44"/>
      <c r="Z54" s="110"/>
      <c r="AA54" s="110"/>
      <c r="AB54" s="110"/>
      <c r="AC54" s="43"/>
      <c r="AD54" s="90"/>
      <c r="AF54" s="153"/>
    </row>
    <row r="55" spans="1:32" s="45" customFormat="1" ht="17.100000000000001" customHeight="1" x14ac:dyDescent="0.25">
      <c r="A55" s="56"/>
      <c r="B55" s="89"/>
      <c r="C55" s="42"/>
      <c r="D55" s="218" t="s">
        <v>52</v>
      </c>
      <c r="E55" s="219"/>
      <c r="F55" s="237"/>
      <c r="G55" s="238"/>
      <c r="H55" s="72"/>
      <c r="I55" s="48"/>
      <c r="J55" s="48"/>
      <c r="K55" s="50"/>
      <c r="L55" s="50"/>
      <c r="M55" s="50"/>
      <c r="N55" s="50"/>
      <c r="O55" s="43"/>
      <c r="P55" s="89"/>
      <c r="Q55" s="42"/>
      <c r="R55" s="218" t="s">
        <v>52</v>
      </c>
      <c r="S55" s="219"/>
      <c r="T55" s="237"/>
      <c r="U55" s="238"/>
      <c r="V55" s="72"/>
      <c r="W55" s="48"/>
      <c r="X55" s="48"/>
      <c r="Y55" s="50"/>
      <c r="Z55" s="50"/>
      <c r="AA55" s="50"/>
      <c r="AB55" s="50"/>
      <c r="AC55" s="43"/>
      <c r="AD55" s="90"/>
      <c r="AF55" s="153"/>
    </row>
    <row r="56" spans="1:32" s="1" customFormat="1" ht="9.9499999999999993" customHeight="1" x14ac:dyDescent="0.25">
      <c r="A56" s="54"/>
      <c r="B56" s="81"/>
      <c r="C56" s="10"/>
      <c r="D56" s="11"/>
      <c r="E56" s="11"/>
      <c r="F56" s="11"/>
      <c r="G56" s="11"/>
      <c r="H56" s="68"/>
      <c r="I56" s="11"/>
      <c r="J56" s="11"/>
      <c r="K56" s="14"/>
      <c r="L56" s="106"/>
      <c r="M56" s="106"/>
      <c r="N56" s="106"/>
      <c r="O56" s="15"/>
      <c r="P56" s="81"/>
      <c r="Q56" s="10"/>
      <c r="R56" s="11"/>
      <c r="S56" s="11"/>
      <c r="T56" s="11"/>
      <c r="U56" s="11"/>
      <c r="V56" s="68"/>
      <c r="W56" s="11"/>
      <c r="X56" s="11"/>
      <c r="Y56" s="14"/>
      <c r="Z56" s="106"/>
      <c r="AA56" s="106"/>
      <c r="AB56" s="106"/>
      <c r="AC56" s="15"/>
      <c r="AD56" s="82"/>
      <c r="AF56" s="149"/>
    </row>
    <row r="57" spans="1:32" s="3" customFormat="1" ht="23.1" customHeight="1" x14ac:dyDescent="0.25">
      <c r="A57" s="57"/>
      <c r="B57" s="92"/>
      <c r="C57" s="20"/>
      <c r="D57" s="21" t="s">
        <v>28</v>
      </c>
      <c r="E57" s="22"/>
      <c r="F57" s="22"/>
      <c r="G57" s="22"/>
      <c r="H57" s="193"/>
      <c r="I57" s="146"/>
      <c r="J57" s="24"/>
      <c r="K57" s="25"/>
      <c r="L57" s="111"/>
      <c r="M57" s="111"/>
      <c r="N57" s="111"/>
      <c r="O57" s="26"/>
      <c r="P57" s="92"/>
      <c r="Q57" s="20"/>
      <c r="R57" s="21" t="s">
        <v>28</v>
      </c>
      <c r="S57" s="22"/>
      <c r="T57" s="22"/>
      <c r="U57" s="22"/>
      <c r="V57" s="193"/>
      <c r="W57" s="146"/>
      <c r="X57" s="24"/>
      <c r="Y57" s="25"/>
      <c r="Z57" s="111"/>
      <c r="AA57" s="111"/>
      <c r="AB57" s="111"/>
      <c r="AC57" s="26"/>
      <c r="AD57" s="93"/>
      <c r="AF57" s="154"/>
    </row>
    <row r="58" spans="1:32" s="1" customFormat="1" ht="17.100000000000001" customHeight="1" x14ac:dyDescent="0.25">
      <c r="A58" s="54"/>
      <c r="B58" s="81"/>
      <c r="C58" s="10"/>
      <c r="D58" s="11" t="s">
        <v>2</v>
      </c>
      <c r="E58" s="221">
        <f>+J53</f>
        <v>200000</v>
      </c>
      <c r="F58" s="221"/>
      <c r="G58" s="11"/>
      <c r="H58" s="11"/>
      <c r="I58" s="11"/>
      <c r="J58" s="11"/>
      <c r="K58" s="14"/>
      <c r="L58" s="222" t="s">
        <v>43</v>
      </c>
      <c r="M58" s="223"/>
      <c r="N58" s="106"/>
      <c r="O58" s="15"/>
      <c r="P58" s="81"/>
      <c r="Q58" s="10"/>
      <c r="R58" s="11" t="s">
        <v>2</v>
      </c>
      <c r="S58" s="221">
        <f>+X53</f>
        <v>200000</v>
      </c>
      <c r="T58" s="221"/>
      <c r="U58" s="11"/>
      <c r="V58" s="11"/>
      <c r="W58" s="11"/>
      <c r="X58" s="11"/>
      <c r="Y58" s="14"/>
      <c r="Z58" s="222" t="s">
        <v>47</v>
      </c>
      <c r="AA58" s="223"/>
      <c r="AB58" s="106"/>
      <c r="AC58" s="15"/>
      <c r="AD58" s="82"/>
      <c r="AF58" s="149"/>
    </row>
    <row r="59" spans="1:32" s="1" customFormat="1" ht="17.100000000000001" customHeight="1" x14ac:dyDescent="0.25">
      <c r="A59" s="54"/>
      <c r="B59" s="81"/>
      <c r="C59" s="10"/>
      <c r="D59" s="11" t="s">
        <v>3</v>
      </c>
      <c r="E59" s="242">
        <f>+K53</f>
        <v>45000</v>
      </c>
      <c r="F59" s="242"/>
      <c r="G59" s="11"/>
      <c r="H59" s="11"/>
      <c r="I59" s="11"/>
      <c r="J59" s="11"/>
      <c r="K59" s="14"/>
      <c r="L59" s="224"/>
      <c r="M59" s="225"/>
      <c r="N59" s="106"/>
      <c r="O59" s="15"/>
      <c r="P59" s="81"/>
      <c r="Q59" s="10"/>
      <c r="R59" s="11" t="s">
        <v>3</v>
      </c>
      <c r="S59" s="242">
        <f>+Y53</f>
        <v>0</v>
      </c>
      <c r="T59" s="242"/>
      <c r="U59" s="11"/>
      <c r="V59" s="11"/>
      <c r="W59" s="11"/>
      <c r="X59" s="11"/>
      <c r="Y59" s="14"/>
      <c r="Z59" s="224"/>
      <c r="AA59" s="225"/>
      <c r="AB59" s="106"/>
      <c r="AC59" s="15"/>
      <c r="AD59" s="82"/>
      <c r="AF59" s="149"/>
    </row>
    <row r="60" spans="1:32" s="1" customFormat="1" ht="17.100000000000001" customHeight="1" x14ac:dyDescent="0.25">
      <c r="A60" s="54"/>
      <c r="B60" s="81"/>
      <c r="C60" s="10"/>
      <c r="D60" s="11" t="s">
        <v>4</v>
      </c>
      <c r="E60" s="242">
        <f>+L53</f>
        <v>0</v>
      </c>
      <c r="F60" s="242"/>
      <c r="G60" s="11"/>
      <c r="H60" s="11"/>
      <c r="I60" s="11"/>
      <c r="J60" s="11"/>
      <c r="K60" s="14"/>
      <c r="L60" s="224"/>
      <c r="M60" s="225"/>
      <c r="N60" s="106"/>
      <c r="O60" s="15"/>
      <c r="P60" s="81"/>
      <c r="Q60" s="10"/>
      <c r="R60" s="11" t="s">
        <v>4</v>
      </c>
      <c r="S60" s="242">
        <f>+Z53</f>
        <v>0</v>
      </c>
      <c r="T60" s="242"/>
      <c r="U60" s="11"/>
      <c r="V60" s="11"/>
      <c r="W60" s="11"/>
      <c r="X60" s="11"/>
      <c r="Y60" s="14"/>
      <c r="Z60" s="224"/>
      <c r="AA60" s="225"/>
      <c r="AB60" s="106"/>
      <c r="AC60" s="15"/>
      <c r="AD60" s="82"/>
      <c r="AF60" s="149"/>
    </row>
    <row r="61" spans="1:32" s="1" customFormat="1" ht="17.100000000000001" customHeight="1" x14ac:dyDescent="0.25">
      <c r="A61" s="54"/>
      <c r="B61" s="81"/>
      <c r="C61" s="10"/>
      <c r="D61" s="11" t="s">
        <v>5</v>
      </c>
      <c r="E61" s="198">
        <f>+M53</f>
        <v>0</v>
      </c>
      <c r="F61" s="198"/>
      <c r="G61" s="115" t="s">
        <v>10</v>
      </c>
      <c r="H61" s="11"/>
      <c r="I61" s="11"/>
      <c r="J61" s="11"/>
      <c r="K61" s="14"/>
      <c r="L61" s="226"/>
      <c r="M61" s="227"/>
      <c r="N61" s="106"/>
      <c r="O61" s="15"/>
      <c r="P61" s="81"/>
      <c r="Q61" s="10"/>
      <c r="R61" s="11" t="s">
        <v>5</v>
      </c>
      <c r="S61" s="198">
        <f>+AA53</f>
        <v>0</v>
      </c>
      <c r="T61" s="198"/>
      <c r="U61" s="115" t="s">
        <v>10</v>
      </c>
      <c r="V61" s="11"/>
      <c r="W61" s="11"/>
      <c r="X61" s="11"/>
      <c r="Y61" s="14"/>
      <c r="Z61" s="226"/>
      <c r="AA61" s="227"/>
      <c r="AB61" s="106"/>
      <c r="AC61" s="15"/>
      <c r="AD61" s="82"/>
      <c r="AF61" s="149"/>
    </row>
    <row r="62" spans="1:32" s="1" customFormat="1" ht="24.95" customHeight="1" x14ac:dyDescent="0.25">
      <c r="A62" s="54"/>
      <c r="B62" s="81"/>
      <c r="C62" s="10"/>
      <c r="D62" s="11"/>
      <c r="E62" s="239">
        <f>MROUND(SUM(E58:F61),100)</f>
        <v>245000</v>
      </c>
      <c r="F62" s="239"/>
      <c r="G62" s="11"/>
      <c r="H62" s="11"/>
      <c r="I62" s="11"/>
      <c r="J62" s="11"/>
      <c r="K62" s="24"/>
      <c r="L62" s="240" t="s">
        <v>29</v>
      </c>
      <c r="M62" s="241"/>
      <c r="N62" s="112"/>
      <c r="O62" s="15"/>
      <c r="P62" s="81"/>
      <c r="Q62" s="10"/>
      <c r="R62" s="11"/>
      <c r="S62" s="239">
        <f>MROUND(SUM(S58:T61),100)</f>
        <v>200000</v>
      </c>
      <c r="T62" s="239"/>
      <c r="U62" s="11"/>
      <c r="V62" s="11"/>
      <c r="W62" s="11"/>
      <c r="X62" s="11"/>
      <c r="Y62" s="24"/>
      <c r="Z62" s="240" t="s">
        <v>29</v>
      </c>
      <c r="AA62" s="241"/>
      <c r="AB62" s="112"/>
      <c r="AC62" s="15"/>
      <c r="AD62" s="82"/>
      <c r="AF62" s="149"/>
    </row>
    <row r="63" spans="1:32" s="1" customFormat="1" ht="17.100000000000001" customHeight="1" thickBot="1" x14ac:dyDescent="0.3">
      <c r="A63" s="54"/>
      <c r="B63" s="81"/>
      <c r="C63" s="27"/>
      <c r="D63" s="28"/>
      <c r="E63" s="28"/>
      <c r="F63" s="28"/>
      <c r="G63" s="28"/>
      <c r="H63" s="73"/>
      <c r="I63" s="28"/>
      <c r="J63" s="28"/>
      <c r="K63" s="30"/>
      <c r="L63" s="113"/>
      <c r="M63" s="113"/>
      <c r="N63" s="113"/>
      <c r="O63" s="31"/>
      <c r="P63" s="81"/>
      <c r="Q63" s="27"/>
      <c r="R63" s="28"/>
      <c r="S63" s="28"/>
      <c r="T63" s="28"/>
      <c r="U63" s="28"/>
      <c r="V63" s="73"/>
      <c r="W63" s="28"/>
      <c r="X63" s="28"/>
      <c r="Y63" s="30"/>
      <c r="Z63" s="113"/>
      <c r="AA63" s="113"/>
      <c r="AB63" s="113"/>
      <c r="AC63" s="31"/>
      <c r="AD63" s="82"/>
      <c r="AF63" s="149"/>
    </row>
    <row r="64" spans="1:32" ht="15.75" thickBot="1" x14ac:dyDescent="0.3">
      <c r="B64" s="94"/>
      <c r="C64" s="66"/>
      <c r="D64" s="66"/>
      <c r="E64" s="66"/>
      <c r="F64" s="66"/>
      <c r="G64" s="66"/>
      <c r="H64" s="69"/>
      <c r="I64" s="66"/>
      <c r="J64" s="66"/>
      <c r="K64" s="38"/>
      <c r="L64" s="104"/>
      <c r="M64" s="104"/>
      <c r="N64" s="104"/>
      <c r="O64" s="66"/>
      <c r="P64" s="101"/>
      <c r="Q64" s="66"/>
      <c r="R64" s="66"/>
      <c r="S64" s="66"/>
      <c r="T64" s="66"/>
      <c r="U64" s="66"/>
      <c r="V64" s="69"/>
      <c r="W64" s="66"/>
      <c r="X64" s="66"/>
      <c r="Y64" s="38"/>
      <c r="Z64" s="104"/>
      <c r="AA64" s="104"/>
      <c r="AB64" s="104"/>
      <c r="AC64" s="66"/>
      <c r="AD64" s="95"/>
    </row>
    <row r="65" spans="1:32" s="1" customFormat="1" ht="17.100000000000001" customHeight="1" thickBot="1" x14ac:dyDescent="0.3">
      <c r="A65" s="74"/>
      <c r="B65" s="80"/>
      <c r="C65" s="199" t="s">
        <v>33</v>
      </c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1"/>
      <c r="P65" s="80"/>
      <c r="Q65" s="264" t="s">
        <v>68</v>
      </c>
      <c r="R65" s="264"/>
      <c r="S65" s="264"/>
      <c r="T65" s="264"/>
      <c r="U65" s="264"/>
      <c r="V65" s="264"/>
      <c r="W65" s="264"/>
      <c r="X65" s="264"/>
      <c r="Y65" s="264"/>
      <c r="Z65" s="264"/>
      <c r="AA65" s="264"/>
      <c r="AB65" s="264"/>
      <c r="AC65" s="264"/>
      <c r="AD65" s="82"/>
      <c r="AF65" s="149"/>
    </row>
    <row r="66" spans="1:32" s="1" customFormat="1" ht="17.100000000000001" customHeight="1" x14ac:dyDescent="0.25">
      <c r="A66" s="54"/>
      <c r="B66" s="81"/>
      <c r="C66" s="202" t="s">
        <v>34</v>
      </c>
      <c r="D66" s="203"/>
      <c r="E66" s="203"/>
      <c r="F66" s="203"/>
      <c r="G66" s="203"/>
      <c r="H66" s="203"/>
      <c r="I66" s="203"/>
      <c r="J66" s="203"/>
      <c r="K66" s="203"/>
      <c r="L66" s="204"/>
      <c r="M66" s="32" t="s">
        <v>32</v>
      </c>
      <c r="N66" s="32" t="s">
        <v>36</v>
      </c>
      <c r="O66" s="33"/>
      <c r="P66" s="81"/>
      <c r="Q66" s="264"/>
      <c r="R66" s="264"/>
      <c r="S66" s="264"/>
      <c r="T66" s="264"/>
      <c r="U66" s="264"/>
      <c r="V66" s="264"/>
      <c r="W66" s="264"/>
      <c r="X66" s="264"/>
      <c r="Y66" s="264"/>
      <c r="Z66" s="264"/>
      <c r="AA66" s="264"/>
      <c r="AB66" s="264"/>
      <c r="AC66" s="264"/>
      <c r="AD66" s="82"/>
      <c r="AF66" s="149"/>
    </row>
    <row r="67" spans="1:32" s="1" customFormat="1" ht="17.100000000000001" customHeight="1" x14ac:dyDescent="0.25">
      <c r="A67" s="54"/>
      <c r="B67" s="81"/>
      <c r="C67" s="205"/>
      <c r="D67" s="206"/>
      <c r="E67" s="206"/>
      <c r="F67" s="206"/>
      <c r="G67" s="206"/>
      <c r="H67" s="206"/>
      <c r="I67" s="206"/>
      <c r="J67" s="206"/>
      <c r="K67" s="206"/>
      <c r="L67" s="207"/>
      <c r="M67" s="12" t="s">
        <v>30</v>
      </c>
      <c r="N67" s="12" t="s">
        <v>57</v>
      </c>
      <c r="O67" s="34"/>
      <c r="P67" s="81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264"/>
      <c r="AB67" s="264"/>
      <c r="AC67" s="264"/>
      <c r="AD67" s="82"/>
      <c r="AF67" s="149"/>
    </row>
    <row r="68" spans="1:32" s="1" customFormat="1" ht="16.5" customHeight="1" thickBot="1" x14ac:dyDescent="0.3">
      <c r="A68" s="54"/>
      <c r="B68" s="81"/>
      <c r="C68" s="208"/>
      <c r="D68" s="209"/>
      <c r="E68" s="209"/>
      <c r="F68" s="209"/>
      <c r="G68" s="209"/>
      <c r="H68" s="209"/>
      <c r="I68" s="209"/>
      <c r="J68" s="209"/>
      <c r="K68" s="209"/>
      <c r="L68" s="210"/>
      <c r="M68" s="39" t="s">
        <v>31</v>
      </c>
      <c r="N68" s="39" t="s">
        <v>58</v>
      </c>
      <c r="O68" s="35"/>
      <c r="P68" s="81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82"/>
      <c r="AF68" s="149"/>
    </row>
    <row r="69" spans="1:32" s="1" customFormat="1" ht="9.9499999999999993" customHeight="1" x14ac:dyDescent="0.25">
      <c r="A69" s="54"/>
      <c r="B69" s="81"/>
      <c r="C69" s="40"/>
      <c r="D69" s="41"/>
      <c r="E69" s="41"/>
      <c r="F69" s="11"/>
      <c r="G69" s="11"/>
      <c r="H69" s="13"/>
      <c r="I69" s="11"/>
      <c r="J69" s="11"/>
      <c r="K69" s="14"/>
      <c r="L69" s="106"/>
      <c r="M69" s="106"/>
      <c r="N69" s="106"/>
      <c r="O69" s="15"/>
      <c r="P69" s="81"/>
      <c r="Q69" s="211">
        <f>+E92+E62+S62+S32+E32</f>
        <v>1045000</v>
      </c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82"/>
      <c r="AF69" s="149"/>
    </row>
    <row r="70" spans="1:32" s="1" customFormat="1" ht="17.100000000000001" customHeight="1" x14ac:dyDescent="0.25">
      <c r="A70" s="54"/>
      <c r="B70" s="81"/>
      <c r="C70" s="10"/>
      <c r="D70" s="11" t="s">
        <v>0</v>
      </c>
      <c r="E70" s="11" t="s">
        <v>44</v>
      </c>
      <c r="F70" s="11"/>
      <c r="G70" s="131"/>
      <c r="H70" s="11"/>
      <c r="I70" s="11"/>
      <c r="J70" s="13" t="s">
        <v>72</v>
      </c>
      <c r="K70" s="11" t="s">
        <v>96</v>
      </c>
      <c r="L70" s="11"/>
      <c r="M70" s="106"/>
      <c r="N70" s="106"/>
      <c r="O70" s="15"/>
      <c r="P70" s="8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82"/>
      <c r="AF70" s="149"/>
    </row>
    <row r="71" spans="1:32" s="1" customFormat="1" ht="17.100000000000001" customHeight="1" x14ac:dyDescent="0.25">
      <c r="A71" s="54"/>
      <c r="B71" s="81"/>
      <c r="C71" s="10"/>
      <c r="D71" s="11" t="s">
        <v>11</v>
      </c>
      <c r="E71" s="11" t="s">
        <v>45</v>
      </c>
      <c r="F71" s="11"/>
      <c r="G71" s="11"/>
      <c r="H71" s="68"/>
      <c r="I71" s="11"/>
      <c r="J71" s="11"/>
      <c r="K71" s="14"/>
      <c r="L71" s="106"/>
      <c r="M71" s="106"/>
      <c r="N71" s="106"/>
      <c r="O71" s="15"/>
      <c r="P71" s="8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82"/>
      <c r="AF71" s="149"/>
    </row>
    <row r="72" spans="1:32" s="1" customFormat="1" ht="17.100000000000001" customHeight="1" x14ac:dyDescent="0.25">
      <c r="A72" s="54"/>
      <c r="B72" s="81"/>
      <c r="C72" s="10"/>
      <c r="D72" s="11" t="s">
        <v>1</v>
      </c>
      <c r="E72" s="11" t="s">
        <v>50</v>
      </c>
      <c r="F72" s="11"/>
      <c r="G72" s="11"/>
      <c r="H72" s="68"/>
      <c r="I72" s="11"/>
      <c r="J72" s="212" t="s">
        <v>56</v>
      </c>
      <c r="K72" s="106"/>
      <c r="L72" s="106"/>
      <c r="M72" s="106"/>
      <c r="O72" s="15"/>
      <c r="P72" s="8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82"/>
      <c r="AF72" s="149"/>
    </row>
    <row r="73" spans="1:32" s="2" customFormat="1" ht="9.9499999999999993" customHeight="1" x14ac:dyDescent="0.25">
      <c r="A73" s="55"/>
      <c r="B73" s="83"/>
      <c r="C73" s="16"/>
      <c r="D73" s="37"/>
      <c r="E73" s="37"/>
      <c r="F73" s="37"/>
      <c r="G73" s="37"/>
      <c r="H73" s="69"/>
      <c r="I73" s="37"/>
      <c r="J73" s="213"/>
      <c r="K73" s="104"/>
      <c r="L73" s="104"/>
      <c r="M73" s="104"/>
      <c r="O73" s="17"/>
      <c r="P73" s="83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84"/>
      <c r="AF73" s="8"/>
    </row>
    <row r="74" spans="1:32" s="1" customFormat="1" ht="23.1" customHeight="1" x14ac:dyDescent="0.25">
      <c r="A74" s="54"/>
      <c r="B74" s="81"/>
      <c r="C74" s="10"/>
      <c r="D74" s="36" t="s">
        <v>27</v>
      </c>
      <c r="E74" s="11"/>
      <c r="F74" s="11"/>
      <c r="G74" s="11"/>
      <c r="H74" s="68"/>
      <c r="I74" s="11"/>
      <c r="J74" s="116">
        <v>7650</v>
      </c>
      <c r="K74" s="106"/>
      <c r="L74" s="106"/>
      <c r="M74" s="106"/>
      <c r="O74" s="15"/>
      <c r="P74" s="81"/>
      <c r="Q74" s="118"/>
      <c r="R74" s="120"/>
      <c r="S74" s="118"/>
      <c r="T74" s="118"/>
      <c r="U74" s="118"/>
      <c r="V74" s="119"/>
      <c r="W74" s="118"/>
      <c r="X74" s="118"/>
      <c r="Y74" s="106"/>
      <c r="Z74" s="106"/>
      <c r="AA74" s="106"/>
      <c r="AB74" s="106"/>
      <c r="AC74" s="118"/>
      <c r="AD74" s="82"/>
      <c r="AF74" s="149"/>
    </row>
    <row r="75" spans="1:32" s="5" customFormat="1" ht="30" customHeight="1" x14ac:dyDescent="0.25">
      <c r="B75" s="85"/>
      <c r="C75" s="18"/>
      <c r="D75" s="6" t="s">
        <v>14</v>
      </c>
      <c r="E75" s="6" t="s">
        <v>22</v>
      </c>
      <c r="F75" s="6" t="s">
        <v>26</v>
      </c>
      <c r="G75" s="6" t="s">
        <v>23</v>
      </c>
      <c r="H75" s="70" t="s">
        <v>25</v>
      </c>
      <c r="I75" s="6" t="s">
        <v>24</v>
      </c>
      <c r="J75" s="9" t="s">
        <v>40</v>
      </c>
      <c r="K75" s="107" t="s">
        <v>3</v>
      </c>
      <c r="L75" s="107" t="s">
        <v>4</v>
      </c>
      <c r="M75" s="107" t="s">
        <v>5</v>
      </c>
      <c r="N75" s="127" t="s">
        <v>59</v>
      </c>
      <c r="O75" s="19"/>
      <c r="P75" s="85"/>
      <c r="Q75" s="121"/>
      <c r="R75" s="121"/>
      <c r="S75" s="121"/>
      <c r="T75" s="121"/>
      <c r="U75" s="121"/>
      <c r="V75" s="122"/>
      <c r="W75" s="121"/>
      <c r="X75" s="121"/>
      <c r="Y75" s="117"/>
      <c r="Z75" s="117"/>
      <c r="AA75" s="117"/>
      <c r="AB75" s="117"/>
      <c r="AC75" s="121"/>
      <c r="AD75" s="86"/>
      <c r="AF75" s="150"/>
    </row>
    <row r="76" spans="1:32" s="144" customFormat="1" ht="20.100000000000001" customHeight="1" x14ac:dyDescent="0.25">
      <c r="A76" s="134"/>
      <c r="B76" s="135"/>
      <c r="C76" s="136"/>
      <c r="D76" s="63" t="s">
        <v>15</v>
      </c>
      <c r="E76" s="132">
        <v>44004</v>
      </c>
      <c r="F76" s="58"/>
      <c r="G76" s="58"/>
      <c r="H76" s="64"/>
      <c r="I76" s="58"/>
      <c r="J76" s="108">
        <f t="shared" ref="J76" si="12">+H76</f>
        <v>0</v>
      </c>
      <c r="K76" s="108"/>
      <c r="L76" s="108"/>
      <c r="M76" s="108" t="s">
        <v>71</v>
      </c>
      <c r="N76" s="129">
        <f t="shared" ref="N76" si="13">SUM(J76:M76)</f>
        <v>0</v>
      </c>
      <c r="O76" s="137"/>
      <c r="P76" s="135"/>
      <c r="Q76" s="138"/>
      <c r="R76" s="139"/>
      <c r="S76" s="140"/>
      <c r="T76" s="141"/>
      <c r="U76" s="141"/>
      <c r="V76" s="142"/>
      <c r="W76" s="141"/>
      <c r="X76" s="141"/>
      <c r="Y76" s="52"/>
      <c r="Z76" s="52"/>
      <c r="AA76" s="52"/>
      <c r="AB76" s="52"/>
      <c r="AC76" s="138"/>
      <c r="AD76" s="143"/>
      <c r="AF76" s="151"/>
    </row>
    <row r="77" spans="1:32" s="144" customFormat="1" ht="20.100000000000001" customHeight="1" x14ac:dyDescent="0.25">
      <c r="A77" s="134"/>
      <c r="B77" s="135"/>
      <c r="C77" s="136"/>
      <c r="D77" s="63" t="s">
        <v>16</v>
      </c>
      <c r="E77" s="132">
        <v>44005</v>
      </c>
      <c r="F77" s="58"/>
      <c r="G77" s="58"/>
      <c r="H77" s="64"/>
      <c r="I77" s="58"/>
      <c r="J77" s="108"/>
      <c r="K77" s="108"/>
      <c r="L77" s="108"/>
      <c r="M77" s="108"/>
      <c r="N77" s="129">
        <f>SUM(K77:M77)</f>
        <v>0</v>
      </c>
      <c r="O77" s="137"/>
      <c r="P77" s="135"/>
      <c r="Q77" s="138"/>
      <c r="R77" s="194" t="s">
        <v>70</v>
      </c>
      <c r="S77" s="248" t="s">
        <v>0</v>
      </c>
      <c r="T77" s="249"/>
      <c r="U77" s="250"/>
      <c r="V77" s="157" t="s">
        <v>88</v>
      </c>
      <c r="W77" s="194" t="s">
        <v>75</v>
      </c>
      <c r="X77" s="255" t="s">
        <v>76</v>
      </c>
      <c r="Y77" s="256"/>
      <c r="Z77" s="261" t="s">
        <v>89</v>
      </c>
      <c r="AA77" s="261"/>
      <c r="AB77" s="261"/>
      <c r="AC77" s="138"/>
      <c r="AD77" s="143"/>
      <c r="AF77" s="151"/>
    </row>
    <row r="78" spans="1:32" s="144" customFormat="1" ht="20.100000000000001" customHeight="1" x14ac:dyDescent="0.25">
      <c r="A78" s="134"/>
      <c r="B78" s="135"/>
      <c r="C78" s="136"/>
      <c r="D78" s="63" t="s">
        <v>17</v>
      </c>
      <c r="E78" s="132">
        <v>44006</v>
      </c>
      <c r="F78" s="58"/>
      <c r="G78" s="58"/>
      <c r="H78" s="64"/>
      <c r="I78" s="58"/>
      <c r="J78" s="108">
        <f>H78</f>
        <v>0</v>
      </c>
      <c r="K78" s="108"/>
      <c r="L78" s="108"/>
      <c r="M78" s="108"/>
      <c r="N78" s="129">
        <f t="shared" ref="N78:N82" si="14">SUM(J78:M78)</f>
        <v>0</v>
      </c>
      <c r="O78" s="137"/>
      <c r="P78" s="135"/>
      <c r="Q78" s="138"/>
      <c r="R78" s="158">
        <v>1</v>
      </c>
      <c r="S78" s="251" t="s">
        <v>84</v>
      </c>
      <c r="T78" s="252"/>
      <c r="U78" s="253"/>
      <c r="V78" s="158" t="s">
        <v>6</v>
      </c>
      <c r="W78" s="171" t="s">
        <v>77</v>
      </c>
      <c r="X78" s="251" t="s">
        <v>79</v>
      </c>
      <c r="Y78" s="253"/>
      <c r="Z78" s="260">
        <f>+E32</f>
        <v>300000</v>
      </c>
      <c r="AA78" s="260"/>
      <c r="AB78" s="260"/>
      <c r="AC78" s="138"/>
      <c r="AD78" s="143"/>
      <c r="AF78" s="151"/>
    </row>
    <row r="79" spans="1:32" s="144" customFormat="1" ht="20.100000000000001" customHeight="1" x14ac:dyDescent="0.25">
      <c r="A79" s="134"/>
      <c r="B79" s="135"/>
      <c r="C79" s="136"/>
      <c r="D79" s="63" t="s">
        <v>18</v>
      </c>
      <c r="E79" s="132">
        <v>44007</v>
      </c>
      <c r="F79" s="58"/>
      <c r="G79" s="58"/>
      <c r="H79" s="64"/>
      <c r="I79" s="58"/>
      <c r="J79" s="108">
        <f>+G79*$J$13</f>
        <v>0</v>
      </c>
      <c r="K79" s="108"/>
      <c r="L79" s="108"/>
      <c r="M79" s="108"/>
      <c r="N79" s="129">
        <f t="shared" si="14"/>
        <v>0</v>
      </c>
      <c r="O79" s="137"/>
      <c r="P79" s="135"/>
      <c r="Q79" s="138"/>
      <c r="R79" s="158">
        <v>2</v>
      </c>
      <c r="S79" s="251" t="s">
        <v>86</v>
      </c>
      <c r="T79" s="252"/>
      <c r="U79" s="253"/>
      <c r="V79" s="158" t="s">
        <v>7</v>
      </c>
      <c r="W79" s="171" t="s">
        <v>77</v>
      </c>
      <c r="X79" s="262">
        <v>1420007122673</v>
      </c>
      <c r="Y79" s="263"/>
      <c r="Z79" s="260">
        <f>+S32</f>
        <v>300000</v>
      </c>
      <c r="AA79" s="260"/>
      <c r="AB79" s="260"/>
      <c r="AC79" s="138"/>
      <c r="AD79" s="143"/>
      <c r="AF79" s="151"/>
    </row>
    <row r="80" spans="1:32" s="144" customFormat="1" ht="20.100000000000001" customHeight="1" x14ac:dyDescent="0.25">
      <c r="A80" s="134"/>
      <c r="B80" s="135"/>
      <c r="C80" s="136"/>
      <c r="D80" s="63" t="s">
        <v>19</v>
      </c>
      <c r="E80" s="132">
        <v>44008</v>
      </c>
      <c r="F80" s="58"/>
      <c r="G80" s="58"/>
      <c r="H80" s="64"/>
      <c r="I80" s="58"/>
      <c r="J80" s="108">
        <f>H80</f>
        <v>0</v>
      </c>
      <c r="K80" s="108"/>
      <c r="L80" s="108"/>
      <c r="M80" s="108"/>
      <c r="N80" s="129">
        <f t="shared" si="14"/>
        <v>0</v>
      </c>
      <c r="O80" s="137"/>
      <c r="P80" s="135"/>
      <c r="Q80" s="138"/>
      <c r="R80" s="158">
        <v>3</v>
      </c>
      <c r="S80" s="251" t="s">
        <v>85</v>
      </c>
      <c r="T80" s="252"/>
      <c r="U80" s="253"/>
      <c r="V80" s="158" t="s">
        <v>73</v>
      </c>
      <c r="W80" s="171" t="s">
        <v>77</v>
      </c>
      <c r="X80" s="251" t="s">
        <v>80</v>
      </c>
      <c r="Y80" s="253"/>
      <c r="Z80" s="260">
        <f>+E62</f>
        <v>245000</v>
      </c>
      <c r="AA80" s="260"/>
      <c r="AB80" s="260"/>
      <c r="AC80" s="138"/>
      <c r="AD80" s="143"/>
      <c r="AF80" s="151"/>
    </row>
    <row r="81" spans="1:32" s="45" customFormat="1" ht="20.100000000000001" customHeight="1" x14ac:dyDescent="0.25">
      <c r="A81" s="56"/>
      <c r="B81" s="89"/>
      <c r="C81" s="42"/>
      <c r="D81" s="185" t="s">
        <v>20</v>
      </c>
      <c r="E81" s="184">
        <v>44009</v>
      </c>
      <c r="F81" s="58"/>
      <c r="G81" s="58"/>
      <c r="H81" s="64"/>
      <c r="I81" s="58"/>
      <c r="J81" s="108">
        <f>+H81</f>
        <v>0</v>
      </c>
      <c r="K81" s="108"/>
      <c r="L81" s="108"/>
      <c r="M81" s="108"/>
      <c r="N81" s="129">
        <f t="shared" si="14"/>
        <v>0</v>
      </c>
      <c r="O81" s="43"/>
      <c r="P81" s="89"/>
      <c r="Q81" s="110"/>
      <c r="R81" s="158">
        <v>4</v>
      </c>
      <c r="S81" s="245" t="s">
        <v>87</v>
      </c>
      <c r="T81" s="246"/>
      <c r="U81" s="247"/>
      <c r="V81" s="159" t="s">
        <v>9</v>
      </c>
      <c r="W81" s="172" t="s">
        <v>81</v>
      </c>
      <c r="X81" s="265">
        <v>2465204484</v>
      </c>
      <c r="Y81" s="266"/>
      <c r="Z81" s="257">
        <f>+S62</f>
        <v>200000</v>
      </c>
      <c r="AA81" s="258"/>
      <c r="AB81" s="259"/>
      <c r="AC81" s="110"/>
      <c r="AD81" s="90"/>
      <c r="AF81" s="153"/>
    </row>
    <row r="82" spans="1:32" s="62" customFormat="1" ht="20.100000000000001" customHeight="1" x14ac:dyDescent="0.25">
      <c r="A82" s="59"/>
      <c r="B82" s="87"/>
      <c r="C82" s="60"/>
      <c r="D82" s="183" t="s">
        <v>21</v>
      </c>
      <c r="E82" s="184">
        <v>44010</v>
      </c>
      <c r="F82" s="7"/>
      <c r="G82" s="7"/>
      <c r="H82" s="65"/>
      <c r="I82" s="7"/>
      <c r="J82" s="109">
        <f t="shared" ref="J82" si="15">+G82*$J$13</f>
        <v>0</v>
      </c>
      <c r="K82" s="109"/>
      <c r="L82" s="109"/>
      <c r="M82" s="109"/>
      <c r="N82" s="128">
        <f t="shared" si="14"/>
        <v>0</v>
      </c>
      <c r="O82" s="61"/>
      <c r="P82" s="87"/>
      <c r="Q82" s="123"/>
      <c r="R82" s="159">
        <v>5</v>
      </c>
      <c r="S82" s="251" t="s">
        <v>83</v>
      </c>
      <c r="T82" s="252"/>
      <c r="U82" s="253"/>
      <c r="V82" s="158" t="s">
        <v>8</v>
      </c>
      <c r="W82" s="171" t="s">
        <v>77</v>
      </c>
      <c r="X82" s="251" t="s">
        <v>78</v>
      </c>
      <c r="Y82" s="253"/>
      <c r="Z82" s="257">
        <f>+E92</f>
        <v>0</v>
      </c>
      <c r="AA82" s="258"/>
      <c r="AB82" s="259"/>
      <c r="AC82" s="123"/>
      <c r="AD82" s="88"/>
      <c r="AF82" s="152"/>
    </row>
    <row r="83" spans="1:32" s="62" customFormat="1" ht="20.100000000000001" customHeight="1" x14ac:dyDescent="0.25">
      <c r="A83" s="59"/>
      <c r="B83" s="87"/>
      <c r="C83" s="60"/>
      <c r="D83" s="214" t="s">
        <v>66</v>
      </c>
      <c r="E83" s="215"/>
      <c r="F83" s="215"/>
      <c r="G83" s="215"/>
      <c r="H83" s="215"/>
      <c r="I83" s="216"/>
      <c r="J83" s="133">
        <f>SUM(J76:J82)</f>
        <v>0</v>
      </c>
      <c r="K83" s="133">
        <f>SUM(K76:K82)</f>
        <v>0</v>
      </c>
      <c r="L83" s="133">
        <f t="shared" ref="L83:N83" si="16">SUM(L76:L82)</f>
        <v>0</v>
      </c>
      <c r="M83" s="133">
        <f t="shared" si="16"/>
        <v>0</v>
      </c>
      <c r="N83" s="133">
        <f t="shared" si="16"/>
        <v>0</v>
      </c>
      <c r="O83" s="61"/>
      <c r="P83" s="87"/>
      <c r="Q83" s="123"/>
      <c r="R83" s="144"/>
      <c r="S83" s="144"/>
      <c r="T83" s="144"/>
      <c r="U83" s="144"/>
      <c r="V83" s="144"/>
      <c r="W83" s="144"/>
      <c r="X83" s="144"/>
      <c r="Y83" s="144"/>
      <c r="Z83" s="254">
        <f>SUM(Z78:AB82)</f>
        <v>1045000</v>
      </c>
      <c r="AA83" s="254"/>
      <c r="AB83" s="254"/>
      <c r="AC83" s="123"/>
      <c r="AD83" s="88"/>
      <c r="AF83" s="152"/>
    </row>
    <row r="84" spans="1:32" s="45" customFormat="1" ht="17.100000000000001" customHeight="1" x14ac:dyDescent="0.25">
      <c r="A84" s="56"/>
      <c r="B84" s="89"/>
      <c r="C84" s="42"/>
      <c r="D84" s="218" t="s">
        <v>53</v>
      </c>
      <c r="E84" s="219"/>
      <c r="F84" s="218"/>
      <c r="G84" s="219"/>
      <c r="H84" s="44"/>
      <c r="I84" s="44"/>
      <c r="J84" s="44"/>
      <c r="K84" s="44" t="s">
        <v>67</v>
      </c>
      <c r="L84" s="110"/>
      <c r="M84" s="110"/>
      <c r="N84" s="110"/>
      <c r="O84" s="43"/>
      <c r="P84" s="89"/>
      <c r="Q84" s="11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10"/>
      <c r="AD84" s="90"/>
      <c r="AF84" s="153"/>
    </row>
    <row r="85" spans="1:32" s="45" customFormat="1" ht="17.100000000000001" customHeight="1" x14ac:dyDescent="0.25">
      <c r="A85" s="56"/>
      <c r="B85" s="89"/>
      <c r="C85" s="42"/>
      <c r="D85" s="218" t="s">
        <v>52</v>
      </c>
      <c r="E85" s="219"/>
      <c r="F85" s="237"/>
      <c r="G85" s="238"/>
      <c r="H85" s="49"/>
      <c r="I85" s="48"/>
      <c r="J85" s="48"/>
      <c r="K85" s="50"/>
      <c r="L85" s="50"/>
      <c r="M85" s="50"/>
      <c r="N85" s="50"/>
      <c r="O85" s="43"/>
      <c r="P85" s="89"/>
      <c r="Q85" s="11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10"/>
      <c r="AD85" s="90"/>
      <c r="AF85" s="153"/>
    </row>
    <row r="86" spans="1:32" s="1" customFormat="1" ht="9.9499999999999993" customHeight="1" x14ac:dyDescent="0.25">
      <c r="A86" s="54"/>
      <c r="B86" s="81"/>
      <c r="C86" s="10"/>
      <c r="D86" s="11"/>
      <c r="E86" s="11"/>
      <c r="F86" s="11"/>
      <c r="G86" s="11"/>
      <c r="H86" s="13"/>
      <c r="I86" s="11"/>
      <c r="J86" s="11"/>
      <c r="K86" s="14"/>
      <c r="L86" s="106"/>
      <c r="M86" s="106"/>
      <c r="N86" s="106"/>
      <c r="O86" s="15"/>
      <c r="P86" s="81"/>
      <c r="Q86" s="118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18"/>
      <c r="AD86" s="82"/>
      <c r="AF86" s="149"/>
    </row>
    <row r="87" spans="1:32" s="3" customFormat="1" ht="23.1" customHeight="1" x14ac:dyDescent="0.25">
      <c r="A87" s="57"/>
      <c r="B87" s="92"/>
      <c r="C87" s="20"/>
      <c r="D87" s="21" t="s">
        <v>28</v>
      </c>
      <c r="E87" s="22"/>
      <c r="F87" s="22"/>
      <c r="G87" s="22"/>
      <c r="H87" s="23"/>
      <c r="I87" s="22"/>
      <c r="J87" s="24"/>
      <c r="K87" s="25"/>
      <c r="L87" s="111"/>
      <c r="M87" s="111"/>
      <c r="N87" s="111"/>
      <c r="O87" s="26"/>
      <c r="P87" s="92"/>
      <c r="Q87" s="124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24"/>
      <c r="AD87" s="93"/>
      <c r="AF87" s="154"/>
    </row>
    <row r="88" spans="1:32" s="1" customFormat="1" ht="17.100000000000001" customHeight="1" x14ac:dyDescent="0.25">
      <c r="A88" s="54"/>
      <c r="B88" s="81"/>
      <c r="C88" s="10"/>
      <c r="D88" s="11" t="s">
        <v>2</v>
      </c>
      <c r="E88" s="221">
        <f>+J83</f>
        <v>0</v>
      </c>
      <c r="F88" s="221"/>
      <c r="G88" s="11"/>
      <c r="H88" s="11"/>
      <c r="I88" s="145"/>
      <c r="J88" s="145"/>
      <c r="K88" s="14"/>
      <c r="L88" s="222" t="s">
        <v>46</v>
      </c>
      <c r="M88" s="223"/>
      <c r="N88" s="106"/>
      <c r="O88" s="15"/>
      <c r="P88" s="81"/>
      <c r="Q88" s="118"/>
      <c r="AC88" s="118"/>
      <c r="AD88" s="82"/>
      <c r="AF88" s="149"/>
    </row>
    <row r="89" spans="1:32" s="1" customFormat="1" ht="17.100000000000001" customHeight="1" x14ac:dyDescent="0.25">
      <c r="A89" s="54"/>
      <c r="B89" s="81"/>
      <c r="C89" s="10"/>
      <c r="D89" s="11" t="s">
        <v>3</v>
      </c>
      <c r="E89" s="242">
        <f>+K83</f>
        <v>0</v>
      </c>
      <c r="F89" s="242"/>
      <c r="G89" s="11"/>
      <c r="H89" s="11"/>
      <c r="I89" s="145"/>
      <c r="J89" s="145"/>
      <c r="K89" s="14"/>
      <c r="L89" s="224"/>
      <c r="M89" s="225"/>
      <c r="N89" s="106"/>
      <c r="O89" s="15"/>
      <c r="P89" s="81"/>
      <c r="Q89" s="118"/>
      <c r="R89" s="192"/>
      <c r="S89" s="234"/>
      <c r="T89" s="234"/>
      <c r="U89" s="234"/>
      <c r="V89" s="234"/>
      <c r="W89" s="234"/>
      <c r="X89" s="234"/>
      <c r="Y89" s="234"/>
      <c r="Z89" s="234"/>
      <c r="AA89" s="243" t="s">
        <v>64</v>
      </c>
      <c r="AB89" s="244"/>
      <c r="AC89" s="118"/>
      <c r="AD89" s="82"/>
      <c r="AF89" s="149"/>
    </row>
    <row r="90" spans="1:32" s="1" customFormat="1" ht="17.100000000000001" customHeight="1" x14ac:dyDescent="0.25">
      <c r="A90" s="54"/>
      <c r="B90" s="81"/>
      <c r="C90" s="10"/>
      <c r="D90" s="11" t="s">
        <v>4</v>
      </c>
      <c r="E90" s="242">
        <f>+L83</f>
        <v>0</v>
      </c>
      <c r="F90" s="242"/>
      <c r="G90" s="11"/>
      <c r="H90" s="11"/>
      <c r="I90" s="145"/>
      <c r="J90" s="145"/>
      <c r="K90" s="14"/>
      <c r="L90" s="224"/>
      <c r="M90" s="225"/>
      <c r="N90" s="106"/>
      <c r="O90" s="15"/>
      <c r="P90" s="81"/>
      <c r="Q90" s="118"/>
      <c r="R90" s="147"/>
      <c r="S90" s="236"/>
      <c r="T90" s="234"/>
      <c r="U90" s="236"/>
      <c r="V90" s="234"/>
      <c r="W90" s="236"/>
      <c r="X90" s="234"/>
      <c r="Y90" s="236"/>
      <c r="Z90" s="234"/>
      <c r="AA90" s="267" t="s">
        <v>69</v>
      </c>
      <c r="AB90" s="268"/>
      <c r="AC90" s="118"/>
      <c r="AD90" s="82"/>
      <c r="AF90" s="149"/>
    </row>
    <row r="91" spans="1:32" s="1" customFormat="1" ht="17.100000000000001" customHeight="1" x14ac:dyDescent="0.25">
      <c r="A91" s="54"/>
      <c r="B91" s="81"/>
      <c r="C91" s="10"/>
      <c r="D91" s="11" t="s">
        <v>5</v>
      </c>
      <c r="E91" s="198">
        <f>+M83</f>
        <v>0</v>
      </c>
      <c r="F91" s="198"/>
      <c r="G91" s="115" t="s">
        <v>10</v>
      </c>
      <c r="H91" s="11"/>
      <c r="I91" s="145"/>
      <c r="J91" s="145"/>
      <c r="K91" s="14"/>
      <c r="L91" s="226"/>
      <c r="M91" s="227"/>
      <c r="N91" s="106"/>
      <c r="O91" s="15"/>
      <c r="P91" s="81"/>
      <c r="Q91" s="118"/>
      <c r="R91" s="147"/>
      <c r="S91" s="236"/>
      <c r="T91" s="234"/>
      <c r="U91" s="236"/>
      <c r="V91" s="234"/>
      <c r="W91" s="236"/>
      <c r="X91" s="234"/>
      <c r="Y91" s="236"/>
      <c r="Z91" s="234"/>
      <c r="AA91" s="269"/>
      <c r="AB91" s="270"/>
      <c r="AC91" s="118"/>
      <c r="AD91" s="82"/>
      <c r="AF91" s="149"/>
    </row>
    <row r="92" spans="1:32" s="1" customFormat="1" ht="24.95" customHeight="1" x14ac:dyDescent="0.25">
      <c r="A92" s="54"/>
      <c r="B92" s="81"/>
      <c r="C92" s="10"/>
      <c r="D92" s="11"/>
      <c r="E92" s="239">
        <f>MROUND(SUM(E88:F91),100)</f>
        <v>0</v>
      </c>
      <c r="F92" s="239"/>
      <c r="G92" s="11"/>
      <c r="H92" s="11"/>
      <c r="I92" s="145"/>
      <c r="J92" s="145"/>
      <c r="K92" s="24"/>
      <c r="L92" s="240" t="s">
        <v>29</v>
      </c>
      <c r="M92" s="241"/>
      <c r="N92" s="112"/>
      <c r="O92" s="15"/>
      <c r="P92" s="81"/>
      <c r="Q92" s="118"/>
      <c r="R92" s="147"/>
      <c r="S92" s="236"/>
      <c r="T92" s="234"/>
      <c r="U92" s="236"/>
      <c r="V92" s="234"/>
      <c r="W92" s="236"/>
      <c r="X92" s="234"/>
      <c r="Y92" s="236"/>
      <c r="Z92" s="234"/>
      <c r="AA92" s="271"/>
      <c r="AB92" s="272"/>
      <c r="AC92" s="118"/>
      <c r="AD92" s="82"/>
      <c r="AF92" s="149"/>
    </row>
    <row r="93" spans="1:32" s="1" customFormat="1" ht="17.100000000000001" customHeight="1" thickBot="1" x14ac:dyDescent="0.3">
      <c r="A93" s="54"/>
      <c r="B93" s="81"/>
      <c r="C93" s="27"/>
      <c r="D93" s="28"/>
      <c r="E93" s="28"/>
      <c r="F93" s="28"/>
      <c r="G93" s="28"/>
      <c r="H93" s="29"/>
      <c r="I93" s="28"/>
      <c r="J93" s="28"/>
      <c r="K93" s="30"/>
      <c r="L93" s="113"/>
      <c r="M93" s="113"/>
      <c r="N93" s="113"/>
      <c r="O93" s="31"/>
      <c r="P93" s="81"/>
      <c r="Q93" s="118"/>
      <c r="R93" s="147"/>
      <c r="S93" s="236"/>
      <c r="T93" s="234"/>
      <c r="U93" s="236"/>
      <c r="V93" s="234"/>
      <c r="W93" s="236"/>
      <c r="X93" s="234"/>
      <c r="Y93" s="236"/>
      <c r="Z93" s="234"/>
      <c r="AA93" s="243" t="s">
        <v>65</v>
      </c>
      <c r="AB93" s="244"/>
      <c r="AC93" s="118"/>
      <c r="AD93" s="82"/>
      <c r="AF93" s="149"/>
    </row>
    <row r="94" spans="1:32" x14ac:dyDescent="0.25">
      <c r="B94" s="94"/>
      <c r="C94" s="66"/>
      <c r="D94" s="66"/>
      <c r="E94" s="66"/>
      <c r="F94" s="66"/>
      <c r="G94" s="66"/>
      <c r="H94" s="69"/>
      <c r="I94" s="66"/>
      <c r="J94" s="66"/>
      <c r="K94" s="38"/>
      <c r="L94" s="104"/>
      <c r="M94" s="104"/>
      <c r="N94" s="104"/>
      <c r="O94" s="66"/>
      <c r="P94" s="101"/>
      <c r="Q94" s="66"/>
      <c r="R94" s="148"/>
      <c r="S94" s="236"/>
      <c r="T94" s="234"/>
      <c r="U94" s="231"/>
      <c r="V94" s="231"/>
      <c r="W94" s="231"/>
      <c r="X94" s="232"/>
      <c r="Y94" s="233"/>
      <c r="Z94" s="233"/>
      <c r="AA94" s="104"/>
      <c r="AB94" s="104"/>
      <c r="AC94" s="66"/>
      <c r="AD94" s="95"/>
    </row>
    <row r="95" spans="1:32" ht="11.1" customHeight="1" thickBot="1" x14ac:dyDescent="0.3">
      <c r="B95" s="96"/>
      <c r="C95" s="97"/>
      <c r="D95" s="97"/>
      <c r="E95" s="97"/>
      <c r="F95" s="97"/>
      <c r="G95" s="97"/>
      <c r="H95" s="98"/>
      <c r="I95" s="97"/>
      <c r="J95" s="97"/>
      <c r="K95" s="99"/>
      <c r="L95" s="114"/>
      <c r="M95" s="114"/>
      <c r="N95" s="114"/>
      <c r="O95" s="97"/>
      <c r="P95" s="125"/>
      <c r="Q95" s="97"/>
      <c r="R95" s="97"/>
      <c r="S95" s="97"/>
      <c r="T95" s="97"/>
      <c r="U95" s="97"/>
      <c r="V95" s="98"/>
      <c r="W95" s="97"/>
      <c r="X95" s="97"/>
      <c r="Y95" s="99"/>
      <c r="Z95" s="114"/>
      <c r="AA95" s="114"/>
      <c r="AB95" s="114"/>
      <c r="AC95" s="97"/>
      <c r="AD95" s="100"/>
    </row>
  </sheetData>
  <mergeCells count="124">
    <mergeCell ref="C5:O5"/>
    <mergeCell ref="Q5:AC5"/>
    <mergeCell ref="C6:L8"/>
    <mergeCell ref="Q6:Z8"/>
    <mergeCell ref="J12:J13"/>
    <mergeCell ref="X12:X13"/>
    <mergeCell ref="D25:E25"/>
    <mergeCell ref="F25:G25"/>
    <mergeCell ref="R25:S25"/>
    <mergeCell ref="T25:U25"/>
    <mergeCell ref="I27:J27"/>
    <mergeCell ref="E28:F28"/>
    <mergeCell ref="L28:M31"/>
    <mergeCell ref="S28:T28"/>
    <mergeCell ref="D23:I23"/>
    <mergeCell ref="R23:W23"/>
    <mergeCell ref="D24:E24"/>
    <mergeCell ref="F24:G24"/>
    <mergeCell ref="R24:S24"/>
    <mergeCell ref="T24:U24"/>
    <mergeCell ref="E32:F32"/>
    <mergeCell ref="L32:M32"/>
    <mergeCell ref="S32:T32"/>
    <mergeCell ref="Z32:AA32"/>
    <mergeCell ref="C35:O35"/>
    <mergeCell ref="Q35:AC35"/>
    <mergeCell ref="Z28:AA31"/>
    <mergeCell ref="E29:F29"/>
    <mergeCell ref="S29:T29"/>
    <mergeCell ref="E30:F30"/>
    <mergeCell ref="S30:T30"/>
    <mergeCell ref="E31:F31"/>
    <mergeCell ref="S31:T31"/>
    <mergeCell ref="D54:E54"/>
    <mergeCell ref="F54:G54"/>
    <mergeCell ref="R54:S54"/>
    <mergeCell ref="T54:U54"/>
    <mergeCell ref="D55:E55"/>
    <mergeCell ref="F55:G55"/>
    <mergeCell ref="R55:S55"/>
    <mergeCell ref="T55:U55"/>
    <mergeCell ref="C36:L38"/>
    <mergeCell ref="Q36:Z38"/>
    <mergeCell ref="J42:J43"/>
    <mergeCell ref="X42:X43"/>
    <mergeCell ref="D53:I53"/>
    <mergeCell ref="R53:W53"/>
    <mergeCell ref="E62:F62"/>
    <mergeCell ref="L62:M62"/>
    <mergeCell ref="S62:T62"/>
    <mergeCell ref="Z62:AA62"/>
    <mergeCell ref="C65:O65"/>
    <mergeCell ref="Q65:AC68"/>
    <mergeCell ref="C66:L68"/>
    <mergeCell ref="E58:F58"/>
    <mergeCell ref="L58:M61"/>
    <mergeCell ref="S58:T58"/>
    <mergeCell ref="Z58:AA61"/>
    <mergeCell ref="E59:F59"/>
    <mergeCell ref="S59:T59"/>
    <mergeCell ref="E60:F60"/>
    <mergeCell ref="S60:T60"/>
    <mergeCell ref="E61:F61"/>
    <mergeCell ref="S61:T61"/>
    <mergeCell ref="S79:U79"/>
    <mergeCell ref="X79:Y79"/>
    <mergeCell ref="Z79:AB79"/>
    <mergeCell ref="S80:U80"/>
    <mergeCell ref="X80:Y80"/>
    <mergeCell ref="Z80:AB80"/>
    <mergeCell ref="Q69:AC73"/>
    <mergeCell ref="J72:J73"/>
    <mergeCell ref="S77:U77"/>
    <mergeCell ref="X77:Y77"/>
    <mergeCell ref="Z77:AB77"/>
    <mergeCell ref="S78:U78"/>
    <mergeCell ref="X78:Y78"/>
    <mergeCell ref="Z78:AB78"/>
    <mergeCell ref="Z83:AB83"/>
    <mergeCell ref="D84:E84"/>
    <mergeCell ref="F84:G84"/>
    <mergeCell ref="D85:E85"/>
    <mergeCell ref="F85:G85"/>
    <mergeCell ref="S81:U81"/>
    <mergeCell ref="X81:Y81"/>
    <mergeCell ref="Z81:AB81"/>
    <mergeCell ref="S82:U82"/>
    <mergeCell ref="X82:Y82"/>
    <mergeCell ref="Z82:AB82"/>
    <mergeCell ref="E88:F88"/>
    <mergeCell ref="L88:M91"/>
    <mergeCell ref="E89:F89"/>
    <mergeCell ref="S89:T89"/>
    <mergeCell ref="U89:V89"/>
    <mergeCell ref="W89:X89"/>
    <mergeCell ref="U91:V91"/>
    <mergeCell ref="W91:X91"/>
    <mergeCell ref="D83:I83"/>
    <mergeCell ref="Y91:Z91"/>
    <mergeCell ref="E92:F92"/>
    <mergeCell ref="L92:M92"/>
    <mergeCell ref="S92:T92"/>
    <mergeCell ref="U92:V92"/>
    <mergeCell ref="W92:X92"/>
    <mergeCell ref="Y92:Z92"/>
    <mergeCell ref="Y89:Z89"/>
    <mergeCell ref="AA89:AB89"/>
    <mergeCell ref="E90:F90"/>
    <mergeCell ref="S90:T90"/>
    <mergeCell ref="U90:V90"/>
    <mergeCell ref="W90:X90"/>
    <mergeCell ref="Y90:Z90"/>
    <mergeCell ref="AA90:AB92"/>
    <mergeCell ref="E91:F91"/>
    <mergeCell ref="S91:T91"/>
    <mergeCell ref="S93:T93"/>
    <mergeCell ref="U93:V93"/>
    <mergeCell ref="W93:X93"/>
    <mergeCell ref="Y93:Z93"/>
    <mergeCell ref="AA93:AB93"/>
    <mergeCell ref="S94:T94"/>
    <mergeCell ref="U94:V94"/>
    <mergeCell ref="W94:X94"/>
    <mergeCell ref="Y94:Z94"/>
  </mergeCells>
  <printOptions horizontalCentered="1" verticalCentered="1"/>
  <pageMargins left="0" right="0" top="0" bottom="0" header="0" footer="0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N134"/>
  <sheetViews>
    <sheetView workbookViewId="0">
      <selection activeCell="G16" sqref="G16"/>
    </sheetView>
  </sheetViews>
  <sheetFormatPr defaultRowHeight="12.75" x14ac:dyDescent="0.25"/>
  <cols>
    <col min="1" max="1" width="1.7109375" style="1" customWidth="1"/>
    <col min="2" max="2" width="7.7109375" style="1" customWidth="1"/>
    <col min="3" max="3" width="27.140625" style="54" bestFit="1" customWidth="1"/>
    <col min="4" max="4" width="10.7109375" style="54" customWidth="1"/>
    <col min="5" max="5" width="12.7109375" style="1" customWidth="1"/>
    <col min="6" max="6" width="20.7109375" style="1" customWidth="1"/>
    <col min="7" max="7" width="20.7109375" style="155" customWidth="1"/>
    <col min="8" max="16384" width="9.140625" style="1"/>
  </cols>
  <sheetData>
    <row r="1" spans="2:7" ht="20.100000000000001" customHeight="1" x14ac:dyDescent="0.25"/>
    <row r="2" spans="2:7" s="156" customFormat="1" ht="30" customHeight="1" x14ac:dyDescent="0.25">
      <c r="B2" s="273" t="s">
        <v>74</v>
      </c>
      <c r="C2" s="273"/>
      <c r="D2" s="273"/>
      <c r="E2" s="273"/>
      <c r="F2" s="273"/>
      <c r="G2" s="168"/>
    </row>
    <row r="3" spans="2:7" s="182" customFormat="1" ht="30" customHeight="1" x14ac:dyDescent="0.25">
      <c r="B3" s="273"/>
      <c r="C3" s="273"/>
      <c r="D3" s="273"/>
      <c r="E3" s="273"/>
      <c r="F3" s="273"/>
    </row>
    <row r="4" spans="2:7" s="156" customFormat="1" ht="30" customHeight="1" x14ac:dyDescent="0.2">
      <c r="B4" s="174" t="s">
        <v>97</v>
      </c>
      <c r="C4" s="169"/>
      <c r="D4" s="169"/>
      <c r="E4" s="169"/>
      <c r="F4" s="169"/>
      <c r="G4" s="181" t="s">
        <v>90</v>
      </c>
    </row>
    <row r="5" spans="2:7" s="57" customFormat="1" ht="30" customHeight="1" x14ac:dyDescent="0.25">
      <c r="B5" s="274" t="s">
        <v>70</v>
      </c>
      <c r="C5" s="274" t="s">
        <v>0</v>
      </c>
      <c r="D5" s="274" t="s">
        <v>82</v>
      </c>
      <c r="E5" s="274" t="s">
        <v>75</v>
      </c>
      <c r="F5" s="274" t="s">
        <v>76</v>
      </c>
      <c r="G5" s="173" t="s">
        <v>89</v>
      </c>
    </row>
    <row r="6" spans="2:7" s="57" customFormat="1" ht="30" customHeight="1" x14ac:dyDescent="0.25">
      <c r="B6" s="275"/>
      <c r="C6" s="275"/>
      <c r="D6" s="275"/>
      <c r="E6" s="275"/>
      <c r="F6" s="275"/>
      <c r="G6" s="173" t="s">
        <v>98</v>
      </c>
    </row>
    <row r="7" spans="2:7" ht="30" customHeight="1" x14ac:dyDescent="0.25">
      <c r="B7" s="160">
        <v>1</v>
      </c>
      <c r="C7" s="162" t="s">
        <v>84</v>
      </c>
      <c r="D7" s="160" t="s">
        <v>6</v>
      </c>
      <c r="E7" s="163" t="s">
        <v>77</v>
      </c>
      <c r="F7" s="163" t="s">
        <v>79</v>
      </c>
      <c r="G7" s="195">
        <v>300000</v>
      </c>
    </row>
    <row r="8" spans="2:7" ht="30" customHeight="1" x14ac:dyDescent="0.25">
      <c r="B8" s="160">
        <v>2</v>
      </c>
      <c r="C8" s="162" t="s">
        <v>86</v>
      </c>
      <c r="D8" s="160" t="s">
        <v>7</v>
      </c>
      <c r="E8" s="163" t="s">
        <v>77</v>
      </c>
      <c r="F8" s="164">
        <v>1420007122673</v>
      </c>
      <c r="G8" s="195">
        <v>300000</v>
      </c>
    </row>
    <row r="9" spans="2:7" ht="30" customHeight="1" x14ac:dyDescent="0.25">
      <c r="B9" s="160">
        <v>3</v>
      </c>
      <c r="C9" s="162" t="s">
        <v>85</v>
      </c>
      <c r="D9" s="160" t="s">
        <v>73</v>
      </c>
      <c r="E9" s="163" t="s">
        <v>77</v>
      </c>
      <c r="F9" s="163" t="s">
        <v>80</v>
      </c>
      <c r="G9" s="195">
        <v>245000</v>
      </c>
    </row>
    <row r="10" spans="2:7" ht="30" customHeight="1" x14ac:dyDescent="0.25">
      <c r="B10" s="161">
        <v>4</v>
      </c>
      <c r="C10" s="165" t="s">
        <v>87</v>
      </c>
      <c r="D10" s="161" t="s">
        <v>9</v>
      </c>
      <c r="E10" s="166" t="s">
        <v>81</v>
      </c>
      <c r="F10" s="167">
        <v>2465204484</v>
      </c>
      <c r="G10" s="195">
        <v>200000</v>
      </c>
    </row>
    <row r="11" spans="2:7" ht="30" customHeight="1" x14ac:dyDescent="0.25">
      <c r="B11" s="160">
        <v>5</v>
      </c>
      <c r="C11" s="162" t="s">
        <v>83</v>
      </c>
      <c r="D11" s="160" t="s">
        <v>8</v>
      </c>
      <c r="E11" s="163" t="s">
        <v>77</v>
      </c>
      <c r="F11" s="163" t="s">
        <v>78</v>
      </c>
      <c r="G11" s="195">
        <v>0</v>
      </c>
    </row>
    <row r="12" spans="2:7" ht="30" customHeight="1" x14ac:dyDescent="0.25">
      <c r="F12" s="179" t="s">
        <v>91</v>
      </c>
      <c r="G12" s="186">
        <f t="shared" ref="G12" si="0">SUM(G7:G11)</f>
        <v>1045000</v>
      </c>
    </row>
    <row r="13" spans="2:7" ht="30" customHeight="1" x14ac:dyDescent="0.25">
      <c r="F13" s="175" t="s">
        <v>92</v>
      </c>
      <c r="G13" s="177">
        <v>4</v>
      </c>
    </row>
    <row r="14" spans="2:7" ht="30" customHeight="1" x14ac:dyDescent="0.25">
      <c r="F14" s="175" t="s">
        <v>93</v>
      </c>
      <c r="G14" s="176">
        <f t="shared" ref="G14" si="1">+G12/G13</f>
        <v>261250</v>
      </c>
    </row>
    <row r="15" spans="2:7" ht="30" customHeight="1" x14ac:dyDescent="0.25">
      <c r="F15" s="179" t="s">
        <v>95</v>
      </c>
      <c r="G15" s="178">
        <v>261250</v>
      </c>
    </row>
    <row r="16" spans="2:7" ht="30" customHeight="1" x14ac:dyDescent="0.25">
      <c r="F16" s="175" t="s">
        <v>94</v>
      </c>
      <c r="G16" s="180">
        <f>+G15*G13</f>
        <v>1045000</v>
      </c>
    </row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</sheetData>
  <mergeCells count="6">
    <mergeCell ref="B2:F3"/>
    <mergeCell ref="F5:F6"/>
    <mergeCell ref="E5:E6"/>
    <mergeCell ref="D5:D6"/>
    <mergeCell ref="C5:C6"/>
    <mergeCell ref="B5:B6"/>
  </mergeCells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JULI</vt:lpstr>
      <vt:lpstr>No. Rek</vt:lpstr>
      <vt:lpstr>JULI!Print_Area</vt:lpstr>
      <vt:lpstr>'No. Rek'!Print_Area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cp:lastPrinted>2020-06-22T06:38:05Z</cp:lastPrinted>
  <dcterms:created xsi:type="dcterms:W3CDTF">2018-01-04T09:05:54Z</dcterms:created>
  <dcterms:modified xsi:type="dcterms:W3CDTF">2020-06-29T04:58:43Z</dcterms:modified>
</cp:coreProperties>
</file>