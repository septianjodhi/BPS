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drawings/drawing4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G:\DATANE LP BPI\2. Data Vendor\0.A.  Supplier List &amp; Supplier Perfome\"/>
    </mc:Choice>
  </mc:AlternateContent>
  <bookViews>
    <workbookView xWindow="-120" yWindow="-120" windowWidth="29040" windowHeight="15840"/>
  </bookViews>
  <sheets>
    <sheet name="Kontrak ALL" sheetId="1" r:id="rId1"/>
  </sheets>
  <definedNames>
    <definedName name="_xlnm._FilterDatabase" localSheetId="0" hidden="1">'Kontrak ALL'!$A$133:$AO$522</definedName>
    <definedName name="_xlnm.Print_Area" localSheetId="0">'Kontrak ALL'!$A$1:$AO$523</definedName>
    <definedName name="_xlnm.Print_Titles" localSheetId="0">'Kontrak ALL'!$132:$133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22" i="1" l="1"/>
  <c r="X522" i="1" s="1"/>
  <c r="S522" i="1"/>
  <c r="P522" i="1"/>
  <c r="W521" i="1"/>
  <c r="X521" i="1" s="1"/>
  <c r="S521" i="1"/>
  <c r="P521" i="1"/>
  <c r="W520" i="1"/>
  <c r="X520" i="1" s="1"/>
  <c r="S520" i="1"/>
  <c r="W519" i="1"/>
  <c r="X519" i="1" s="1"/>
  <c r="S519" i="1"/>
  <c r="W518" i="1"/>
  <c r="X518" i="1" s="1"/>
  <c r="S518" i="1"/>
  <c r="W517" i="1"/>
  <c r="X517" i="1" s="1"/>
  <c r="S517" i="1"/>
  <c r="W516" i="1"/>
  <c r="X516" i="1" s="1"/>
  <c r="S516" i="1"/>
  <c r="W515" i="1"/>
  <c r="X515" i="1" s="1"/>
  <c r="S515" i="1"/>
  <c r="W514" i="1"/>
  <c r="X514" i="1" s="1"/>
  <c r="S514" i="1"/>
  <c r="W513" i="1"/>
  <c r="X513" i="1" s="1"/>
  <c r="S513" i="1"/>
  <c r="W512" i="1"/>
  <c r="X512" i="1" s="1"/>
  <c r="S512" i="1"/>
  <c r="W511" i="1"/>
  <c r="X511" i="1" s="1"/>
  <c r="S511" i="1"/>
  <c r="W510" i="1"/>
  <c r="X510" i="1" s="1"/>
  <c r="S510" i="1"/>
  <c r="W509" i="1"/>
  <c r="X509" i="1" s="1"/>
  <c r="S509" i="1"/>
  <c r="W508" i="1"/>
  <c r="X508" i="1" s="1"/>
  <c r="S508" i="1"/>
  <c r="W507" i="1"/>
  <c r="X507" i="1" s="1"/>
  <c r="S507" i="1"/>
  <c r="W506" i="1"/>
  <c r="X506" i="1" s="1"/>
  <c r="S506" i="1"/>
  <c r="W505" i="1"/>
  <c r="X505" i="1" s="1"/>
  <c r="S505" i="1"/>
  <c r="W504" i="1"/>
  <c r="X504" i="1" s="1"/>
  <c r="S504" i="1"/>
  <c r="P504" i="1"/>
  <c r="W503" i="1"/>
  <c r="X503" i="1" s="1"/>
  <c r="S503" i="1"/>
  <c r="P503" i="1"/>
  <c r="W502" i="1"/>
  <c r="X502" i="1" s="1"/>
  <c r="S502" i="1"/>
  <c r="P502" i="1"/>
  <c r="W501" i="1"/>
  <c r="X501" i="1" s="1"/>
  <c r="S501" i="1"/>
  <c r="P501" i="1"/>
  <c r="W500" i="1"/>
  <c r="X500" i="1" s="1"/>
  <c r="S500" i="1"/>
  <c r="P500" i="1"/>
  <c r="W499" i="1"/>
  <c r="X499" i="1" s="1"/>
  <c r="S499" i="1"/>
  <c r="W498" i="1"/>
  <c r="X498" i="1" s="1"/>
  <c r="S498" i="1"/>
  <c r="W497" i="1"/>
  <c r="X497" i="1" s="1"/>
  <c r="S497" i="1"/>
  <c r="W496" i="1"/>
  <c r="X496" i="1" s="1"/>
  <c r="S496" i="1"/>
  <c r="W495" i="1"/>
  <c r="X495" i="1" s="1"/>
  <c r="S495" i="1"/>
  <c r="W494" i="1"/>
  <c r="X494" i="1" s="1"/>
  <c r="S494" i="1"/>
  <c r="W493" i="1"/>
  <c r="X493" i="1" s="1"/>
  <c r="S493" i="1"/>
  <c r="W492" i="1"/>
  <c r="X492" i="1" s="1"/>
  <c r="S492" i="1"/>
  <c r="W491" i="1"/>
  <c r="X491" i="1" s="1"/>
  <c r="S491" i="1"/>
  <c r="W490" i="1"/>
  <c r="X490" i="1" s="1"/>
  <c r="S490" i="1"/>
  <c r="W489" i="1"/>
  <c r="X489" i="1" s="1"/>
  <c r="S489" i="1"/>
  <c r="W488" i="1"/>
  <c r="X488" i="1" s="1"/>
  <c r="S488" i="1"/>
  <c r="W487" i="1"/>
  <c r="X487" i="1" s="1"/>
  <c r="S487" i="1"/>
  <c r="W486" i="1"/>
  <c r="X486" i="1" s="1"/>
  <c r="S486" i="1"/>
  <c r="W485" i="1"/>
  <c r="X485" i="1" s="1"/>
  <c r="S485" i="1"/>
  <c r="W484" i="1"/>
  <c r="X484" i="1" s="1"/>
  <c r="S484" i="1"/>
  <c r="W483" i="1"/>
  <c r="X483" i="1" s="1"/>
  <c r="S483" i="1"/>
  <c r="W482" i="1"/>
  <c r="X482" i="1" s="1"/>
  <c r="S482" i="1"/>
  <c r="W481" i="1"/>
  <c r="X481" i="1" s="1"/>
  <c r="S481" i="1"/>
  <c r="W480" i="1"/>
  <c r="X480" i="1" s="1"/>
  <c r="S480" i="1"/>
  <c r="W479" i="1"/>
  <c r="X479" i="1" s="1"/>
  <c r="S479" i="1"/>
  <c r="W478" i="1"/>
  <c r="X478" i="1" s="1"/>
  <c r="S478" i="1"/>
  <c r="W477" i="1"/>
  <c r="X477" i="1" s="1"/>
  <c r="S477" i="1"/>
  <c r="W476" i="1"/>
  <c r="X476" i="1" s="1"/>
  <c r="S476" i="1"/>
  <c r="W475" i="1"/>
  <c r="X475" i="1" s="1"/>
  <c r="S475" i="1"/>
  <c r="W474" i="1"/>
  <c r="X474" i="1" s="1"/>
  <c r="S474" i="1"/>
  <c r="W473" i="1"/>
  <c r="X473" i="1" s="1"/>
  <c r="S473" i="1"/>
  <c r="W472" i="1"/>
  <c r="X472" i="1" s="1"/>
  <c r="S472" i="1"/>
  <c r="W471" i="1"/>
  <c r="X471" i="1" s="1"/>
  <c r="S471" i="1"/>
  <c r="W470" i="1"/>
  <c r="X470" i="1" s="1"/>
  <c r="S470" i="1"/>
  <c r="W469" i="1"/>
  <c r="X469" i="1" s="1"/>
  <c r="S469" i="1"/>
  <c r="W468" i="1"/>
  <c r="X468" i="1" s="1"/>
  <c r="S468" i="1"/>
  <c r="W467" i="1"/>
  <c r="X467" i="1" s="1"/>
  <c r="S467" i="1"/>
  <c r="W466" i="1"/>
  <c r="X466" i="1" s="1"/>
  <c r="S466" i="1"/>
  <c r="W465" i="1"/>
  <c r="X465" i="1" s="1"/>
  <c r="S465" i="1"/>
  <c r="W464" i="1"/>
  <c r="X464" i="1" s="1"/>
  <c r="S464" i="1"/>
  <c r="W463" i="1"/>
  <c r="X463" i="1" s="1"/>
  <c r="S463" i="1"/>
  <c r="W462" i="1"/>
  <c r="X462" i="1" s="1"/>
  <c r="S462" i="1"/>
  <c r="P462" i="1"/>
  <c r="W461" i="1"/>
  <c r="X461" i="1" s="1"/>
  <c r="S461" i="1"/>
  <c r="P461" i="1"/>
  <c r="W460" i="1"/>
  <c r="X460" i="1" s="1"/>
  <c r="S460" i="1"/>
  <c r="P460" i="1"/>
  <c r="W459" i="1"/>
  <c r="X459" i="1" s="1"/>
  <c r="S459" i="1"/>
  <c r="W458" i="1"/>
  <c r="X458" i="1" s="1"/>
  <c r="S458" i="1"/>
  <c r="W457" i="1"/>
  <c r="X457" i="1" s="1"/>
  <c r="S457" i="1"/>
  <c r="W456" i="1"/>
  <c r="X456" i="1" s="1"/>
  <c r="S456" i="1"/>
  <c r="W455" i="1"/>
  <c r="X455" i="1" s="1"/>
  <c r="S455" i="1"/>
  <c r="W454" i="1"/>
  <c r="X454" i="1" s="1"/>
  <c r="S454" i="1"/>
  <c r="W453" i="1"/>
  <c r="X453" i="1" s="1"/>
  <c r="S453" i="1"/>
  <c r="AB452" i="1"/>
  <c r="AA452" i="1"/>
  <c r="W452" i="1"/>
  <c r="X452" i="1" s="1"/>
  <c r="R452" i="1"/>
  <c r="S452" i="1" s="1"/>
  <c r="P452" i="1"/>
  <c r="W451" i="1"/>
  <c r="X451" i="1" s="1"/>
  <c r="S451" i="1"/>
  <c r="AB450" i="1"/>
  <c r="AA450" i="1"/>
  <c r="W450" i="1"/>
  <c r="X450" i="1" s="1"/>
  <c r="R450" i="1"/>
  <c r="S450" i="1" s="1"/>
  <c r="P450" i="1"/>
  <c r="W449" i="1"/>
  <c r="X449" i="1" s="1"/>
  <c r="S449" i="1"/>
  <c r="W448" i="1"/>
  <c r="X448" i="1" s="1"/>
  <c r="S448" i="1"/>
  <c r="AB447" i="1"/>
  <c r="AA447" i="1"/>
  <c r="W447" i="1"/>
  <c r="X447" i="1" s="1"/>
  <c r="R447" i="1"/>
  <c r="S447" i="1" s="1"/>
  <c r="P447" i="1"/>
  <c r="AB446" i="1"/>
  <c r="AA446" i="1"/>
  <c r="W446" i="1"/>
  <c r="X446" i="1" s="1"/>
  <c r="R446" i="1"/>
  <c r="S446" i="1" s="1"/>
  <c r="P446" i="1"/>
  <c r="AA445" i="1"/>
  <c r="W445" i="1"/>
  <c r="X445" i="1" s="1"/>
  <c r="R445" i="1"/>
  <c r="S445" i="1" s="1"/>
  <c r="P445" i="1"/>
  <c r="AB444" i="1"/>
  <c r="AA444" i="1"/>
  <c r="W444" i="1"/>
  <c r="X444" i="1" s="1"/>
  <c r="R444" i="1"/>
  <c r="S444" i="1" s="1"/>
  <c r="P444" i="1"/>
  <c r="W443" i="1"/>
  <c r="X443" i="1" s="1"/>
  <c r="S443" i="1"/>
  <c r="P443" i="1"/>
  <c r="AC442" i="1"/>
  <c r="AB442" i="1"/>
  <c r="AA442" i="1"/>
  <c r="W442" i="1"/>
  <c r="X442" i="1" s="1"/>
  <c r="R442" i="1"/>
  <c r="S442" i="1" s="1"/>
  <c r="P442" i="1"/>
  <c r="W441" i="1"/>
  <c r="X441" i="1" s="1"/>
  <c r="S441" i="1"/>
  <c r="W440" i="1"/>
  <c r="X440" i="1" s="1"/>
  <c r="S440" i="1"/>
  <c r="AB439" i="1"/>
  <c r="AA439" i="1"/>
  <c r="W439" i="1"/>
  <c r="X439" i="1" s="1"/>
  <c r="R439" i="1"/>
  <c r="S439" i="1" s="1"/>
  <c r="P439" i="1"/>
  <c r="AC438" i="1"/>
  <c r="AB438" i="1"/>
  <c r="AA438" i="1"/>
  <c r="W438" i="1"/>
  <c r="X438" i="1" s="1"/>
  <c r="R438" i="1"/>
  <c r="S438" i="1" s="1"/>
  <c r="P438" i="1"/>
  <c r="W437" i="1"/>
  <c r="X437" i="1" s="1"/>
  <c r="S437" i="1"/>
  <c r="AB436" i="1"/>
  <c r="AA436" i="1"/>
  <c r="W436" i="1"/>
  <c r="X436" i="1" s="1"/>
  <c r="R436" i="1"/>
  <c r="S436" i="1" s="1"/>
  <c r="P436" i="1"/>
  <c r="AB435" i="1"/>
  <c r="AA435" i="1"/>
  <c r="W435" i="1"/>
  <c r="X435" i="1" s="1"/>
  <c r="R435" i="1"/>
  <c r="S435" i="1" s="1"/>
  <c r="P435" i="1"/>
  <c r="W434" i="1"/>
  <c r="X434" i="1" s="1"/>
  <c r="S434" i="1"/>
  <c r="AC433" i="1"/>
  <c r="AB433" i="1"/>
  <c r="AA433" i="1"/>
  <c r="W433" i="1"/>
  <c r="X433" i="1" s="1"/>
  <c r="R433" i="1"/>
  <c r="S433" i="1" s="1"/>
  <c r="P433" i="1"/>
  <c r="AC432" i="1"/>
  <c r="AB432" i="1"/>
  <c r="AA432" i="1"/>
  <c r="W432" i="1"/>
  <c r="X432" i="1" s="1"/>
  <c r="R432" i="1"/>
  <c r="S432" i="1" s="1"/>
  <c r="P432" i="1"/>
  <c r="AC431" i="1"/>
  <c r="AB431" i="1"/>
  <c r="AA431" i="1"/>
  <c r="W431" i="1"/>
  <c r="X431" i="1" s="1"/>
  <c r="R431" i="1"/>
  <c r="S431" i="1" s="1"/>
  <c r="P431" i="1"/>
  <c r="AB430" i="1"/>
  <c r="AA430" i="1"/>
  <c r="W430" i="1"/>
  <c r="X430" i="1" s="1"/>
  <c r="R430" i="1"/>
  <c r="S430" i="1" s="1"/>
  <c r="P430" i="1"/>
  <c r="AC429" i="1"/>
  <c r="AB429" i="1"/>
  <c r="AA429" i="1"/>
  <c r="W429" i="1"/>
  <c r="X429" i="1" s="1"/>
  <c r="R429" i="1"/>
  <c r="S429" i="1" s="1"/>
  <c r="P429" i="1"/>
  <c r="W428" i="1"/>
  <c r="X428" i="1" s="1"/>
  <c r="S428" i="1"/>
  <c r="AB427" i="1"/>
  <c r="AA427" i="1"/>
  <c r="W427" i="1"/>
  <c r="X427" i="1" s="1"/>
  <c r="R427" i="1"/>
  <c r="S427" i="1" s="1"/>
  <c r="P427" i="1"/>
  <c r="AB426" i="1"/>
  <c r="AA426" i="1"/>
  <c r="W426" i="1"/>
  <c r="X426" i="1" s="1"/>
  <c r="R426" i="1"/>
  <c r="S426" i="1" s="1"/>
  <c r="P426" i="1"/>
  <c r="AB425" i="1"/>
  <c r="AA425" i="1"/>
  <c r="W425" i="1"/>
  <c r="X425" i="1" s="1"/>
  <c r="R425" i="1"/>
  <c r="S425" i="1" s="1"/>
  <c r="P425" i="1"/>
  <c r="AC424" i="1"/>
  <c r="AB424" i="1"/>
  <c r="AA424" i="1"/>
  <c r="W424" i="1"/>
  <c r="X424" i="1" s="1"/>
  <c r="R424" i="1"/>
  <c r="S424" i="1" s="1"/>
  <c r="P424" i="1"/>
  <c r="AB423" i="1"/>
  <c r="AA423" i="1"/>
  <c r="W423" i="1"/>
  <c r="X423" i="1" s="1"/>
  <c r="R423" i="1"/>
  <c r="S423" i="1" s="1"/>
  <c r="P423" i="1"/>
  <c r="AB422" i="1"/>
  <c r="AA422" i="1"/>
  <c r="W422" i="1"/>
  <c r="X422" i="1" s="1"/>
  <c r="R422" i="1"/>
  <c r="S422" i="1" s="1"/>
  <c r="P422" i="1"/>
  <c r="W421" i="1"/>
  <c r="X421" i="1" s="1"/>
  <c r="S421" i="1"/>
  <c r="W420" i="1"/>
  <c r="X420" i="1" s="1"/>
  <c r="R420" i="1"/>
  <c r="S420" i="1" s="1"/>
  <c r="P420" i="1"/>
  <c r="AC419" i="1"/>
  <c r="AB419" i="1"/>
  <c r="AA419" i="1"/>
  <c r="W419" i="1"/>
  <c r="X419" i="1" s="1"/>
  <c r="R419" i="1"/>
  <c r="S419" i="1" s="1"/>
  <c r="P419" i="1"/>
  <c r="AC418" i="1"/>
  <c r="AB418" i="1"/>
  <c r="AA418" i="1"/>
  <c r="W418" i="1"/>
  <c r="X418" i="1" s="1"/>
  <c r="R418" i="1"/>
  <c r="S418" i="1" s="1"/>
  <c r="P418" i="1"/>
  <c r="AB417" i="1"/>
  <c r="AA417" i="1"/>
  <c r="W417" i="1"/>
  <c r="X417" i="1" s="1"/>
  <c r="R417" i="1"/>
  <c r="S417" i="1" s="1"/>
  <c r="P417" i="1"/>
  <c r="AB416" i="1"/>
  <c r="AA416" i="1"/>
  <c r="W416" i="1"/>
  <c r="X416" i="1" s="1"/>
  <c r="R416" i="1"/>
  <c r="S416" i="1" s="1"/>
  <c r="P416" i="1"/>
  <c r="W415" i="1"/>
  <c r="X415" i="1" s="1"/>
  <c r="S415" i="1"/>
  <c r="AC414" i="1"/>
  <c r="AB414" i="1"/>
  <c r="AA414" i="1"/>
  <c r="W414" i="1"/>
  <c r="X414" i="1" s="1"/>
  <c r="R414" i="1"/>
  <c r="S414" i="1" s="1"/>
  <c r="P414" i="1"/>
  <c r="AC413" i="1"/>
  <c r="AB413" i="1"/>
  <c r="AA413" i="1"/>
  <c r="W413" i="1"/>
  <c r="X413" i="1" s="1"/>
  <c r="R413" i="1"/>
  <c r="S413" i="1" s="1"/>
  <c r="P413" i="1"/>
  <c r="W412" i="1"/>
  <c r="X412" i="1" s="1"/>
  <c r="S412" i="1"/>
  <c r="W411" i="1"/>
  <c r="X411" i="1" s="1"/>
  <c r="R411" i="1"/>
  <c r="S411" i="1" s="1"/>
  <c r="P411" i="1"/>
  <c r="W410" i="1"/>
  <c r="X410" i="1" s="1"/>
  <c r="S410" i="1"/>
  <c r="AC409" i="1"/>
  <c r="AB409" i="1"/>
  <c r="AA409" i="1"/>
  <c r="W409" i="1"/>
  <c r="X409" i="1" s="1"/>
  <c r="R409" i="1"/>
  <c r="S409" i="1" s="1"/>
  <c r="P409" i="1"/>
  <c r="AB408" i="1"/>
  <c r="AA408" i="1"/>
  <c r="W408" i="1"/>
  <c r="X408" i="1" s="1"/>
  <c r="R408" i="1"/>
  <c r="S408" i="1" s="1"/>
  <c r="P408" i="1"/>
  <c r="W407" i="1"/>
  <c r="X407" i="1" s="1"/>
  <c r="R407" i="1"/>
  <c r="S407" i="1" s="1"/>
  <c r="P407" i="1"/>
  <c r="W406" i="1"/>
  <c r="X406" i="1" s="1"/>
  <c r="S406" i="1"/>
  <c r="P406" i="1"/>
  <c r="AC405" i="1"/>
  <c r="AB405" i="1"/>
  <c r="AA405" i="1"/>
  <c r="W405" i="1"/>
  <c r="X405" i="1" s="1"/>
  <c r="R405" i="1"/>
  <c r="S405" i="1" s="1"/>
  <c r="P405" i="1"/>
  <c r="W404" i="1"/>
  <c r="X404" i="1" s="1"/>
  <c r="R404" i="1"/>
  <c r="S404" i="1" s="1"/>
  <c r="P404" i="1"/>
  <c r="W403" i="1"/>
  <c r="X403" i="1" s="1"/>
  <c r="S403" i="1"/>
  <c r="W402" i="1"/>
  <c r="X402" i="1" s="1"/>
  <c r="R402" i="1"/>
  <c r="S402" i="1" s="1"/>
  <c r="P402" i="1"/>
  <c r="AB401" i="1"/>
  <c r="AA401" i="1"/>
  <c r="W401" i="1"/>
  <c r="X401" i="1" s="1"/>
  <c r="R401" i="1"/>
  <c r="S401" i="1" s="1"/>
  <c r="P401" i="1"/>
  <c r="AC400" i="1"/>
  <c r="AB400" i="1"/>
  <c r="AA400" i="1"/>
  <c r="W400" i="1"/>
  <c r="X400" i="1" s="1"/>
  <c r="R400" i="1"/>
  <c r="S400" i="1" s="1"/>
  <c r="P400" i="1"/>
  <c r="AB399" i="1"/>
  <c r="AA399" i="1"/>
  <c r="W399" i="1"/>
  <c r="X399" i="1" s="1"/>
  <c r="R399" i="1"/>
  <c r="S399" i="1" s="1"/>
  <c r="P399" i="1"/>
  <c r="AC398" i="1"/>
  <c r="AB398" i="1"/>
  <c r="AA398" i="1"/>
  <c r="W398" i="1"/>
  <c r="X398" i="1" s="1"/>
  <c r="R398" i="1"/>
  <c r="S398" i="1" s="1"/>
  <c r="P398" i="1"/>
  <c r="W397" i="1"/>
  <c r="X397" i="1" s="1"/>
  <c r="R397" i="1"/>
  <c r="S397" i="1" s="1"/>
  <c r="P397" i="1"/>
  <c r="W396" i="1"/>
  <c r="X396" i="1" s="1"/>
  <c r="R396" i="1"/>
  <c r="S396" i="1" s="1"/>
  <c r="P396" i="1"/>
  <c r="AC395" i="1"/>
  <c r="AB395" i="1"/>
  <c r="AA395" i="1"/>
  <c r="W395" i="1"/>
  <c r="X395" i="1" s="1"/>
  <c r="R395" i="1"/>
  <c r="S395" i="1" s="1"/>
  <c r="P395" i="1"/>
  <c r="AB394" i="1"/>
  <c r="AA394" i="1"/>
  <c r="W394" i="1"/>
  <c r="X394" i="1" s="1"/>
  <c r="R394" i="1"/>
  <c r="S394" i="1" s="1"/>
  <c r="P394" i="1"/>
  <c r="W393" i="1"/>
  <c r="X393" i="1" s="1"/>
  <c r="R393" i="1"/>
  <c r="S393" i="1" s="1"/>
  <c r="P393" i="1"/>
  <c r="W392" i="1"/>
  <c r="X392" i="1" s="1"/>
  <c r="R392" i="1"/>
  <c r="S392" i="1" s="1"/>
  <c r="P392" i="1"/>
  <c r="AC391" i="1"/>
  <c r="AB391" i="1"/>
  <c r="AA391" i="1"/>
  <c r="W391" i="1"/>
  <c r="X391" i="1" s="1"/>
  <c r="R391" i="1"/>
  <c r="S391" i="1" s="1"/>
  <c r="P391" i="1"/>
  <c r="W390" i="1"/>
  <c r="X390" i="1" s="1"/>
  <c r="S390" i="1"/>
  <c r="P390" i="1"/>
  <c r="W389" i="1"/>
  <c r="X389" i="1" s="1"/>
  <c r="R389" i="1"/>
  <c r="S389" i="1" s="1"/>
  <c r="P389" i="1"/>
  <c r="W388" i="1"/>
  <c r="X388" i="1" s="1"/>
  <c r="R388" i="1"/>
  <c r="S388" i="1" s="1"/>
  <c r="P388" i="1"/>
  <c r="W387" i="1"/>
  <c r="X387" i="1" s="1"/>
  <c r="R387" i="1"/>
  <c r="S387" i="1" s="1"/>
  <c r="P387" i="1"/>
  <c r="W386" i="1"/>
  <c r="X386" i="1" s="1"/>
  <c r="R386" i="1"/>
  <c r="S386" i="1" s="1"/>
  <c r="P386" i="1"/>
  <c r="W385" i="1"/>
  <c r="X385" i="1" s="1"/>
  <c r="R385" i="1"/>
  <c r="S385" i="1" s="1"/>
  <c r="P385" i="1"/>
  <c r="W384" i="1"/>
  <c r="X384" i="1" s="1"/>
  <c r="R384" i="1"/>
  <c r="S384" i="1" s="1"/>
  <c r="P384" i="1"/>
  <c r="W383" i="1"/>
  <c r="X383" i="1" s="1"/>
  <c r="R383" i="1"/>
  <c r="S383" i="1" s="1"/>
  <c r="P383" i="1"/>
  <c r="W382" i="1"/>
  <c r="X382" i="1" s="1"/>
  <c r="S382" i="1"/>
  <c r="P382" i="1"/>
  <c r="W381" i="1"/>
  <c r="X381" i="1" s="1"/>
  <c r="R381" i="1"/>
  <c r="S381" i="1" s="1"/>
  <c r="P381" i="1"/>
  <c r="W380" i="1"/>
  <c r="X380" i="1" s="1"/>
  <c r="R380" i="1"/>
  <c r="S380" i="1" s="1"/>
  <c r="P380" i="1"/>
  <c r="W379" i="1"/>
  <c r="X379" i="1" s="1"/>
  <c r="R379" i="1"/>
  <c r="S379" i="1" s="1"/>
  <c r="P379" i="1"/>
  <c r="W378" i="1"/>
  <c r="X378" i="1" s="1"/>
  <c r="R378" i="1"/>
  <c r="S378" i="1" s="1"/>
  <c r="P378" i="1"/>
  <c r="W377" i="1"/>
  <c r="X377" i="1" s="1"/>
  <c r="R377" i="1"/>
  <c r="S377" i="1" s="1"/>
  <c r="P377" i="1"/>
  <c r="W376" i="1"/>
  <c r="X376" i="1" s="1"/>
  <c r="R376" i="1"/>
  <c r="S376" i="1" s="1"/>
  <c r="P376" i="1"/>
  <c r="W375" i="1"/>
  <c r="X375" i="1" s="1"/>
  <c r="R375" i="1"/>
  <c r="S375" i="1" s="1"/>
  <c r="P375" i="1"/>
  <c r="W374" i="1"/>
  <c r="X374" i="1" s="1"/>
  <c r="R374" i="1"/>
  <c r="S374" i="1" s="1"/>
  <c r="P374" i="1"/>
  <c r="W373" i="1"/>
  <c r="X373" i="1" s="1"/>
  <c r="R373" i="1"/>
  <c r="S373" i="1" s="1"/>
  <c r="P373" i="1"/>
  <c r="W372" i="1"/>
  <c r="X372" i="1" s="1"/>
  <c r="R372" i="1"/>
  <c r="S372" i="1" s="1"/>
  <c r="P372" i="1"/>
  <c r="W371" i="1"/>
  <c r="X371" i="1" s="1"/>
  <c r="R371" i="1"/>
  <c r="S371" i="1" s="1"/>
  <c r="P371" i="1"/>
  <c r="W370" i="1"/>
  <c r="X370" i="1" s="1"/>
  <c r="S370" i="1"/>
  <c r="W369" i="1"/>
  <c r="X369" i="1" s="1"/>
  <c r="R369" i="1"/>
  <c r="S369" i="1" s="1"/>
  <c r="P369" i="1"/>
  <c r="W368" i="1"/>
  <c r="X368" i="1" s="1"/>
  <c r="R368" i="1"/>
  <c r="S368" i="1" s="1"/>
  <c r="P368" i="1"/>
  <c r="W367" i="1"/>
  <c r="X367" i="1" s="1"/>
  <c r="R367" i="1"/>
  <c r="S367" i="1" s="1"/>
  <c r="P367" i="1"/>
  <c r="W366" i="1"/>
  <c r="X366" i="1" s="1"/>
  <c r="R366" i="1"/>
  <c r="S366" i="1" s="1"/>
  <c r="P366" i="1"/>
  <c r="W365" i="1"/>
  <c r="X365" i="1" s="1"/>
  <c r="R365" i="1"/>
  <c r="S365" i="1" s="1"/>
  <c r="P365" i="1"/>
  <c r="W364" i="1"/>
  <c r="X364" i="1" s="1"/>
  <c r="R364" i="1"/>
  <c r="S364" i="1" s="1"/>
  <c r="P364" i="1"/>
  <c r="W363" i="1"/>
  <c r="X363" i="1" s="1"/>
  <c r="R363" i="1"/>
  <c r="S363" i="1" s="1"/>
  <c r="P363" i="1"/>
  <c r="W362" i="1"/>
  <c r="X362" i="1" s="1"/>
  <c r="R362" i="1"/>
  <c r="S362" i="1" s="1"/>
  <c r="P362" i="1"/>
  <c r="AC361" i="1"/>
  <c r="AB361" i="1"/>
  <c r="AA361" i="1"/>
  <c r="W361" i="1"/>
  <c r="X361" i="1" s="1"/>
  <c r="R361" i="1"/>
  <c r="S361" i="1" s="1"/>
  <c r="P361" i="1"/>
  <c r="W360" i="1"/>
  <c r="X360" i="1" s="1"/>
  <c r="R360" i="1"/>
  <c r="S360" i="1" s="1"/>
  <c r="P360" i="1"/>
  <c r="W359" i="1"/>
  <c r="X359" i="1" s="1"/>
  <c r="S359" i="1"/>
  <c r="P359" i="1"/>
  <c r="W358" i="1"/>
  <c r="X358" i="1" s="1"/>
  <c r="R358" i="1"/>
  <c r="S358" i="1" s="1"/>
  <c r="P358" i="1"/>
  <c r="AC357" i="1"/>
  <c r="AB357" i="1"/>
  <c r="AA357" i="1"/>
  <c r="W357" i="1"/>
  <c r="X357" i="1" s="1"/>
  <c r="R357" i="1"/>
  <c r="S357" i="1" s="1"/>
  <c r="P357" i="1"/>
  <c r="AB356" i="1"/>
  <c r="AA356" i="1"/>
  <c r="W356" i="1"/>
  <c r="X356" i="1" s="1"/>
  <c r="S356" i="1"/>
  <c r="AB355" i="1"/>
  <c r="AA355" i="1"/>
  <c r="W355" i="1"/>
  <c r="X355" i="1" s="1"/>
  <c r="R355" i="1"/>
  <c r="S355" i="1" s="1"/>
  <c r="P355" i="1"/>
  <c r="W354" i="1"/>
  <c r="X354" i="1" s="1"/>
  <c r="S354" i="1"/>
  <c r="AC353" i="1"/>
  <c r="AB353" i="1"/>
  <c r="AA353" i="1"/>
  <c r="W353" i="1"/>
  <c r="X353" i="1" s="1"/>
  <c r="R353" i="1"/>
  <c r="S353" i="1" s="1"/>
  <c r="P353" i="1"/>
  <c r="W352" i="1"/>
  <c r="X352" i="1" s="1"/>
  <c r="R352" i="1"/>
  <c r="S352" i="1" s="1"/>
  <c r="P352" i="1"/>
  <c r="W351" i="1"/>
  <c r="X351" i="1" s="1"/>
  <c r="R351" i="1"/>
  <c r="S351" i="1" s="1"/>
  <c r="P351" i="1"/>
  <c r="AB350" i="1"/>
  <c r="AA350" i="1"/>
  <c r="W350" i="1"/>
  <c r="X350" i="1" s="1"/>
  <c r="S350" i="1"/>
  <c r="AB349" i="1"/>
  <c r="AA349" i="1"/>
  <c r="W349" i="1"/>
  <c r="X349" i="1" s="1"/>
  <c r="R349" i="1"/>
  <c r="S349" i="1" s="1"/>
  <c r="P349" i="1"/>
  <c r="AB348" i="1"/>
  <c r="AA348" i="1"/>
  <c r="W348" i="1"/>
  <c r="X348" i="1" s="1"/>
  <c r="R348" i="1"/>
  <c r="S348" i="1" s="1"/>
  <c r="P348" i="1"/>
  <c r="AB347" i="1"/>
  <c r="AA347" i="1"/>
  <c r="W347" i="1"/>
  <c r="X347" i="1" s="1"/>
  <c r="R347" i="1"/>
  <c r="S347" i="1" s="1"/>
  <c r="P347" i="1"/>
  <c r="AC346" i="1"/>
  <c r="AB346" i="1"/>
  <c r="AA346" i="1"/>
  <c r="W346" i="1"/>
  <c r="X346" i="1" s="1"/>
  <c r="R346" i="1"/>
  <c r="S346" i="1" s="1"/>
  <c r="P346" i="1"/>
  <c r="AC345" i="1"/>
  <c r="AB345" i="1"/>
  <c r="AA345" i="1"/>
  <c r="W345" i="1"/>
  <c r="X345" i="1" s="1"/>
  <c r="R345" i="1"/>
  <c r="S345" i="1" s="1"/>
  <c r="P345" i="1"/>
  <c r="AC344" i="1"/>
  <c r="AB344" i="1"/>
  <c r="AA344" i="1"/>
  <c r="W344" i="1"/>
  <c r="X344" i="1" s="1"/>
  <c r="S344" i="1"/>
  <c r="P344" i="1"/>
  <c r="AC343" i="1"/>
  <c r="AB343" i="1"/>
  <c r="AA343" i="1"/>
  <c r="W343" i="1"/>
  <c r="X343" i="1" s="1"/>
  <c r="R343" i="1"/>
  <c r="S343" i="1" s="1"/>
  <c r="P343" i="1"/>
  <c r="AC342" i="1"/>
  <c r="AB342" i="1"/>
  <c r="AA342" i="1"/>
  <c r="W342" i="1"/>
  <c r="X342" i="1" s="1"/>
  <c r="R342" i="1"/>
  <c r="S342" i="1" s="1"/>
  <c r="P342" i="1"/>
  <c r="AC341" i="1"/>
  <c r="AB341" i="1"/>
  <c r="AA341" i="1"/>
  <c r="W341" i="1"/>
  <c r="X341" i="1" s="1"/>
  <c r="R341" i="1"/>
  <c r="S341" i="1" s="1"/>
  <c r="P341" i="1"/>
  <c r="AB340" i="1"/>
  <c r="AA340" i="1"/>
  <c r="W340" i="1"/>
  <c r="X340" i="1" s="1"/>
  <c r="S340" i="1"/>
  <c r="AB339" i="1"/>
  <c r="AA339" i="1"/>
  <c r="W339" i="1"/>
  <c r="X339" i="1" s="1"/>
  <c r="R339" i="1"/>
  <c r="S339" i="1" s="1"/>
  <c r="P339" i="1"/>
  <c r="AB338" i="1"/>
  <c r="AA338" i="1"/>
  <c r="W338" i="1"/>
  <c r="X338" i="1" s="1"/>
  <c r="R338" i="1"/>
  <c r="S338" i="1" s="1"/>
  <c r="P338" i="1"/>
  <c r="AB337" i="1"/>
  <c r="AA337" i="1"/>
  <c r="W337" i="1"/>
  <c r="X337" i="1" s="1"/>
  <c r="R337" i="1"/>
  <c r="S337" i="1" s="1"/>
  <c r="P337" i="1"/>
  <c r="AB336" i="1"/>
  <c r="AA336" i="1"/>
  <c r="W336" i="1"/>
  <c r="X336" i="1" s="1"/>
  <c r="S336" i="1"/>
  <c r="P336" i="1"/>
  <c r="W335" i="1"/>
  <c r="X335" i="1" s="1"/>
  <c r="S335" i="1"/>
  <c r="AC334" i="1"/>
  <c r="AB334" i="1"/>
  <c r="AA334" i="1"/>
  <c r="W334" i="1"/>
  <c r="X334" i="1" s="1"/>
  <c r="R334" i="1"/>
  <c r="S334" i="1" s="1"/>
  <c r="P334" i="1"/>
  <c r="AC333" i="1"/>
  <c r="AB333" i="1"/>
  <c r="AA333" i="1"/>
  <c r="W333" i="1"/>
  <c r="X333" i="1" s="1"/>
  <c r="S333" i="1"/>
  <c r="P333" i="1"/>
  <c r="AC332" i="1"/>
  <c r="AB332" i="1"/>
  <c r="AA332" i="1"/>
  <c r="W332" i="1"/>
  <c r="X332" i="1" s="1"/>
  <c r="R332" i="1"/>
  <c r="S332" i="1" s="1"/>
  <c r="P332" i="1"/>
  <c r="AC331" i="1"/>
  <c r="AB331" i="1"/>
  <c r="AA331" i="1"/>
  <c r="W331" i="1"/>
  <c r="X331" i="1" s="1"/>
  <c r="S331" i="1"/>
  <c r="P331" i="1"/>
  <c r="W330" i="1"/>
  <c r="X330" i="1" s="1"/>
  <c r="S330" i="1"/>
  <c r="AC329" i="1"/>
  <c r="AB329" i="1"/>
  <c r="AA329" i="1"/>
  <c r="W329" i="1"/>
  <c r="X329" i="1" s="1"/>
  <c r="R329" i="1"/>
  <c r="S329" i="1" s="1"/>
  <c r="P329" i="1"/>
  <c r="W328" i="1"/>
  <c r="X328" i="1" s="1"/>
  <c r="S328" i="1"/>
  <c r="W327" i="1"/>
  <c r="X327" i="1" s="1"/>
  <c r="S327" i="1"/>
  <c r="W326" i="1"/>
  <c r="X326" i="1" s="1"/>
  <c r="S326" i="1"/>
  <c r="AB325" i="1"/>
  <c r="AA325" i="1"/>
  <c r="W325" i="1"/>
  <c r="X325" i="1" s="1"/>
  <c r="R325" i="1"/>
  <c r="S325" i="1" s="1"/>
  <c r="P325" i="1"/>
  <c r="W324" i="1"/>
  <c r="X324" i="1" s="1"/>
  <c r="S324" i="1"/>
  <c r="AB323" i="1"/>
  <c r="AA323" i="1"/>
  <c r="W323" i="1"/>
  <c r="X323" i="1" s="1"/>
  <c r="R323" i="1"/>
  <c r="S323" i="1" s="1"/>
  <c r="P323" i="1"/>
  <c r="AC322" i="1"/>
  <c r="AB322" i="1"/>
  <c r="AA322" i="1"/>
  <c r="W322" i="1"/>
  <c r="X322" i="1" s="1"/>
  <c r="S322" i="1"/>
  <c r="W321" i="1"/>
  <c r="X321" i="1" s="1"/>
  <c r="S321" i="1"/>
  <c r="AB320" i="1"/>
  <c r="AA320" i="1"/>
  <c r="W320" i="1"/>
  <c r="X320" i="1" s="1"/>
  <c r="R320" i="1"/>
  <c r="S320" i="1" s="1"/>
  <c r="P320" i="1"/>
  <c r="W319" i="1"/>
  <c r="X319" i="1" s="1"/>
  <c r="R319" i="1"/>
  <c r="S319" i="1" s="1"/>
  <c r="P319" i="1"/>
  <c r="AB318" i="1"/>
  <c r="AA318" i="1"/>
  <c r="W318" i="1"/>
  <c r="X318" i="1" s="1"/>
  <c r="R318" i="1"/>
  <c r="S318" i="1" s="1"/>
  <c r="P318" i="1"/>
  <c r="L318" i="1"/>
  <c r="W317" i="1"/>
  <c r="X317" i="1" s="1"/>
  <c r="R317" i="1"/>
  <c r="S317" i="1" s="1"/>
  <c r="P317" i="1"/>
  <c r="W316" i="1"/>
  <c r="X316" i="1" s="1"/>
  <c r="R316" i="1"/>
  <c r="S316" i="1" s="1"/>
  <c r="P316" i="1"/>
  <c r="W315" i="1"/>
  <c r="X315" i="1" s="1"/>
  <c r="R315" i="1"/>
  <c r="S315" i="1" s="1"/>
  <c r="P315" i="1"/>
  <c r="W314" i="1"/>
  <c r="X314" i="1" s="1"/>
  <c r="R314" i="1"/>
  <c r="S314" i="1" s="1"/>
  <c r="P314" i="1"/>
  <c r="AB313" i="1"/>
  <c r="AA313" i="1"/>
  <c r="W313" i="1"/>
  <c r="X313" i="1" s="1"/>
  <c r="R313" i="1"/>
  <c r="S313" i="1" s="1"/>
  <c r="P313" i="1"/>
  <c r="W312" i="1"/>
  <c r="X312" i="1" s="1"/>
  <c r="R312" i="1"/>
  <c r="S312" i="1" s="1"/>
  <c r="P312" i="1"/>
  <c r="AB311" i="1"/>
  <c r="AA311" i="1"/>
  <c r="W311" i="1"/>
  <c r="X311" i="1" s="1"/>
  <c r="S311" i="1"/>
  <c r="P311" i="1"/>
  <c r="AC310" i="1"/>
  <c r="AB310" i="1"/>
  <c r="AA310" i="1"/>
  <c r="W310" i="1"/>
  <c r="X310" i="1" s="1"/>
  <c r="R310" i="1"/>
  <c r="S310" i="1" s="1"/>
  <c r="P310" i="1"/>
  <c r="AB309" i="1"/>
  <c r="AA309" i="1"/>
  <c r="W309" i="1"/>
  <c r="X309" i="1" s="1"/>
  <c r="R309" i="1"/>
  <c r="S309" i="1" s="1"/>
  <c r="P309" i="1"/>
  <c r="AB308" i="1"/>
  <c r="AA308" i="1"/>
  <c r="W308" i="1"/>
  <c r="X308" i="1" s="1"/>
  <c r="R308" i="1"/>
  <c r="S308" i="1" s="1"/>
  <c r="P308" i="1"/>
  <c r="W307" i="1"/>
  <c r="X307" i="1" s="1"/>
  <c r="R307" i="1"/>
  <c r="S307" i="1" s="1"/>
  <c r="P307" i="1"/>
  <c r="AB306" i="1"/>
  <c r="AA306" i="1"/>
  <c r="W306" i="1"/>
  <c r="X306" i="1" s="1"/>
  <c r="R306" i="1"/>
  <c r="S306" i="1" s="1"/>
  <c r="P306" i="1"/>
  <c r="AC305" i="1"/>
  <c r="AB305" i="1"/>
  <c r="AA305" i="1"/>
  <c r="W305" i="1"/>
  <c r="X305" i="1" s="1"/>
  <c r="R305" i="1"/>
  <c r="S305" i="1" s="1"/>
  <c r="P305" i="1"/>
  <c r="AC304" i="1"/>
  <c r="AB304" i="1"/>
  <c r="AA304" i="1"/>
  <c r="W304" i="1"/>
  <c r="X304" i="1" s="1"/>
  <c r="R304" i="1"/>
  <c r="S304" i="1" s="1"/>
  <c r="P304" i="1"/>
  <c r="W303" i="1"/>
  <c r="X303" i="1" s="1"/>
  <c r="R303" i="1"/>
  <c r="S303" i="1" s="1"/>
  <c r="P303" i="1"/>
  <c r="W302" i="1"/>
  <c r="X302" i="1" s="1"/>
  <c r="S302" i="1"/>
  <c r="P302" i="1"/>
  <c r="W301" i="1"/>
  <c r="X301" i="1" s="1"/>
  <c r="R301" i="1"/>
  <c r="S301" i="1" s="1"/>
  <c r="P301" i="1"/>
  <c r="W300" i="1"/>
  <c r="X300" i="1" s="1"/>
  <c r="S300" i="1"/>
  <c r="P300" i="1"/>
  <c r="W299" i="1"/>
  <c r="X299" i="1" s="1"/>
  <c r="R299" i="1"/>
  <c r="S299" i="1" s="1"/>
  <c r="P299" i="1"/>
  <c r="W298" i="1"/>
  <c r="X298" i="1" s="1"/>
  <c r="R298" i="1"/>
  <c r="S298" i="1" s="1"/>
  <c r="P298" i="1"/>
  <c r="W297" i="1"/>
  <c r="X297" i="1" s="1"/>
  <c r="R297" i="1"/>
  <c r="S297" i="1" s="1"/>
  <c r="P297" i="1"/>
  <c r="W296" i="1"/>
  <c r="X296" i="1" s="1"/>
  <c r="R296" i="1"/>
  <c r="S296" i="1" s="1"/>
  <c r="P296" i="1"/>
  <c r="W295" i="1"/>
  <c r="X295" i="1" s="1"/>
  <c r="S295" i="1"/>
  <c r="P295" i="1"/>
  <c r="W294" i="1"/>
  <c r="X294" i="1" s="1"/>
  <c r="S294" i="1"/>
  <c r="P294" i="1"/>
  <c r="W293" i="1"/>
  <c r="X293" i="1" s="1"/>
  <c r="R293" i="1"/>
  <c r="S293" i="1" s="1"/>
  <c r="P293" i="1"/>
  <c r="W292" i="1"/>
  <c r="X292" i="1" s="1"/>
  <c r="R292" i="1"/>
  <c r="S292" i="1" s="1"/>
  <c r="P292" i="1"/>
  <c r="W291" i="1"/>
  <c r="X291" i="1" s="1"/>
  <c r="R291" i="1"/>
  <c r="S291" i="1" s="1"/>
  <c r="P291" i="1"/>
  <c r="W290" i="1"/>
  <c r="X290" i="1" s="1"/>
  <c r="R290" i="1"/>
  <c r="S290" i="1" s="1"/>
  <c r="P290" i="1"/>
  <c r="W289" i="1"/>
  <c r="X289" i="1" s="1"/>
  <c r="R289" i="1"/>
  <c r="S289" i="1" s="1"/>
  <c r="P289" i="1"/>
  <c r="W288" i="1"/>
  <c r="X288" i="1" s="1"/>
  <c r="S288" i="1"/>
  <c r="P288" i="1"/>
  <c r="W287" i="1"/>
  <c r="X287" i="1" s="1"/>
  <c r="R287" i="1"/>
  <c r="S287" i="1" s="1"/>
  <c r="P287" i="1"/>
  <c r="W286" i="1"/>
  <c r="X286" i="1" s="1"/>
  <c r="S286" i="1"/>
  <c r="W285" i="1"/>
  <c r="X285" i="1" s="1"/>
  <c r="S285" i="1"/>
  <c r="P285" i="1"/>
  <c r="W284" i="1"/>
  <c r="X284" i="1" s="1"/>
  <c r="S284" i="1"/>
  <c r="P284" i="1"/>
  <c r="W283" i="1"/>
  <c r="X283" i="1" s="1"/>
  <c r="S283" i="1"/>
  <c r="W282" i="1"/>
  <c r="X282" i="1" s="1"/>
  <c r="R282" i="1"/>
  <c r="S282" i="1" s="1"/>
  <c r="P282" i="1"/>
  <c r="W281" i="1"/>
  <c r="X281" i="1" s="1"/>
  <c r="S281" i="1"/>
  <c r="P281" i="1"/>
  <c r="L281" i="1"/>
  <c r="W280" i="1"/>
  <c r="X280" i="1" s="1"/>
  <c r="S280" i="1"/>
  <c r="P280" i="1"/>
  <c r="W279" i="1"/>
  <c r="X279" i="1" s="1"/>
  <c r="R279" i="1"/>
  <c r="S279" i="1" s="1"/>
  <c r="P279" i="1"/>
  <c r="W278" i="1"/>
  <c r="X278" i="1" s="1"/>
  <c r="R278" i="1"/>
  <c r="S278" i="1" s="1"/>
  <c r="P278" i="1"/>
  <c r="W277" i="1"/>
  <c r="X277" i="1" s="1"/>
  <c r="S277" i="1"/>
  <c r="P277" i="1"/>
  <c r="W276" i="1"/>
  <c r="X276" i="1" s="1"/>
  <c r="S276" i="1"/>
  <c r="P276" i="1"/>
  <c r="L276" i="1"/>
  <c r="W275" i="1"/>
  <c r="X275" i="1" s="1"/>
  <c r="S275" i="1"/>
  <c r="P275" i="1"/>
  <c r="L275" i="1"/>
  <c r="W274" i="1"/>
  <c r="X274" i="1" s="1"/>
  <c r="S274" i="1"/>
  <c r="P274" i="1"/>
  <c r="W273" i="1"/>
  <c r="X273" i="1" s="1"/>
  <c r="S273" i="1"/>
  <c r="W272" i="1"/>
  <c r="X272" i="1" s="1"/>
  <c r="S272" i="1"/>
  <c r="P272" i="1"/>
  <c r="W271" i="1"/>
  <c r="X271" i="1" s="1"/>
  <c r="S271" i="1"/>
  <c r="P271" i="1"/>
  <c r="W270" i="1"/>
  <c r="X270" i="1" s="1"/>
  <c r="R270" i="1"/>
  <c r="S270" i="1" s="1"/>
  <c r="P270" i="1"/>
  <c r="W269" i="1"/>
  <c r="X269" i="1" s="1"/>
  <c r="R269" i="1"/>
  <c r="S269" i="1" s="1"/>
  <c r="P269" i="1"/>
  <c r="W268" i="1"/>
  <c r="X268" i="1" s="1"/>
  <c r="R268" i="1"/>
  <c r="S268" i="1" s="1"/>
  <c r="P268" i="1"/>
  <c r="AC267" i="1"/>
  <c r="AB267" i="1"/>
  <c r="AA267" i="1"/>
  <c r="W267" i="1"/>
  <c r="X267" i="1" s="1"/>
  <c r="R267" i="1"/>
  <c r="S267" i="1" s="1"/>
  <c r="P267" i="1"/>
  <c r="AB266" i="1"/>
  <c r="AA266" i="1"/>
  <c r="W266" i="1"/>
  <c r="X266" i="1" s="1"/>
  <c r="R266" i="1"/>
  <c r="S266" i="1" s="1"/>
  <c r="P266" i="1"/>
  <c r="W265" i="1"/>
  <c r="X265" i="1" s="1"/>
  <c r="R265" i="1"/>
  <c r="S265" i="1" s="1"/>
  <c r="P265" i="1"/>
  <c r="W264" i="1"/>
  <c r="X264" i="1" s="1"/>
  <c r="S264" i="1"/>
  <c r="P264" i="1"/>
  <c r="W263" i="1"/>
  <c r="X263" i="1" s="1"/>
  <c r="R263" i="1"/>
  <c r="S263" i="1" s="1"/>
  <c r="P263" i="1"/>
  <c r="W262" i="1"/>
  <c r="X262" i="1" s="1"/>
  <c r="R262" i="1"/>
  <c r="S262" i="1" s="1"/>
  <c r="P262" i="1"/>
  <c r="W261" i="1"/>
  <c r="X261" i="1" s="1"/>
  <c r="R261" i="1"/>
  <c r="S261" i="1" s="1"/>
  <c r="P261" i="1"/>
  <c r="W260" i="1"/>
  <c r="X260" i="1" s="1"/>
  <c r="R260" i="1"/>
  <c r="S260" i="1" s="1"/>
  <c r="P260" i="1"/>
  <c r="W259" i="1"/>
  <c r="X259" i="1" s="1"/>
  <c r="R259" i="1"/>
  <c r="S259" i="1" s="1"/>
  <c r="P259" i="1"/>
  <c r="AB258" i="1"/>
  <c r="AA258" i="1"/>
  <c r="W258" i="1"/>
  <c r="X258" i="1" s="1"/>
  <c r="R258" i="1"/>
  <c r="S258" i="1" s="1"/>
  <c r="P258" i="1"/>
  <c r="W257" i="1"/>
  <c r="X257" i="1" s="1"/>
  <c r="S257" i="1"/>
  <c r="W256" i="1"/>
  <c r="X256" i="1" s="1"/>
  <c r="S256" i="1"/>
  <c r="P256" i="1"/>
  <c r="W255" i="1"/>
  <c r="X255" i="1" s="1"/>
  <c r="R255" i="1"/>
  <c r="S255" i="1" s="1"/>
  <c r="P255" i="1"/>
  <c r="W254" i="1"/>
  <c r="X254" i="1" s="1"/>
  <c r="R254" i="1"/>
  <c r="S254" i="1" s="1"/>
  <c r="P254" i="1"/>
  <c r="W253" i="1"/>
  <c r="X253" i="1" s="1"/>
  <c r="S253" i="1"/>
  <c r="P253" i="1"/>
  <c r="W252" i="1"/>
  <c r="X252" i="1" s="1"/>
  <c r="S252" i="1"/>
  <c r="P252" i="1"/>
  <c r="W251" i="1"/>
  <c r="X251" i="1" s="1"/>
  <c r="S251" i="1"/>
  <c r="P251" i="1"/>
  <c r="W250" i="1"/>
  <c r="X250" i="1" s="1"/>
  <c r="R250" i="1"/>
  <c r="S250" i="1" s="1"/>
  <c r="P250" i="1"/>
  <c r="W249" i="1"/>
  <c r="X249" i="1" s="1"/>
  <c r="R249" i="1"/>
  <c r="S249" i="1" s="1"/>
  <c r="P249" i="1"/>
  <c r="AC248" i="1"/>
  <c r="AB248" i="1"/>
  <c r="AA248" i="1"/>
  <c r="W248" i="1"/>
  <c r="X248" i="1" s="1"/>
  <c r="R248" i="1"/>
  <c r="S248" i="1" s="1"/>
  <c r="P248" i="1"/>
  <c r="AC247" i="1"/>
  <c r="AB247" i="1"/>
  <c r="AA247" i="1"/>
  <c r="W247" i="1"/>
  <c r="X247" i="1" s="1"/>
  <c r="R247" i="1"/>
  <c r="S247" i="1" s="1"/>
  <c r="P247" i="1"/>
  <c r="W246" i="1"/>
  <c r="X246" i="1" s="1"/>
  <c r="S246" i="1"/>
  <c r="W245" i="1"/>
  <c r="X245" i="1" s="1"/>
  <c r="R245" i="1"/>
  <c r="S245" i="1" s="1"/>
  <c r="P245" i="1"/>
  <c r="AC244" i="1"/>
  <c r="AB244" i="1"/>
  <c r="AA244" i="1"/>
  <c r="W244" i="1"/>
  <c r="X244" i="1" s="1"/>
  <c r="R244" i="1"/>
  <c r="S244" i="1" s="1"/>
  <c r="P244" i="1"/>
  <c r="AB243" i="1"/>
  <c r="AA243" i="1"/>
  <c r="W243" i="1"/>
  <c r="X243" i="1" s="1"/>
  <c r="R243" i="1"/>
  <c r="S243" i="1" s="1"/>
  <c r="P243" i="1"/>
  <c r="W242" i="1"/>
  <c r="X242" i="1" s="1"/>
  <c r="S242" i="1"/>
  <c r="W241" i="1"/>
  <c r="X241" i="1" s="1"/>
  <c r="R241" i="1"/>
  <c r="S241" i="1" s="1"/>
  <c r="P241" i="1"/>
  <c r="AC240" i="1"/>
  <c r="AB240" i="1"/>
  <c r="AA240" i="1"/>
  <c r="W240" i="1"/>
  <c r="X240" i="1" s="1"/>
  <c r="S240" i="1"/>
  <c r="P240" i="1"/>
  <c r="W239" i="1"/>
  <c r="X239" i="1" s="1"/>
  <c r="S239" i="1"/>
  <c r="W238" i="1"/>
  <c r="X238" i="1" s="1"/>
  <c r="S238" i="1"/>
  <c r="W237" i="1"/>
  <c r="X237" i="1" s="1"/>
  <c r="S237" i="1"/>
  <c r="W236" i="1"/>
  <c r="X236" i="1" s="1"/>
  <c r="S236" i="1"/>
  <c r="W235" i="1"/>
  <c r="X235" i="1" s="1"/>
  <c r="R235" i="1"/>
  <c r="S235" i="1" s="1"/>
  <c r="P235" i="1"/>
  <c r="W234" i="1"/>
  <c r="X234" i="1" s="1"/>
  <c r="S234" i="1"/>
  <c r="P234" i="1"/>
  <c r="AB233" i="1"/>
  <c r="AA233" i="1"/>
  <c r="W233" i="1"/>
  <c r="X233" i="1" s="1"/>
  <c r="R233" i="1"/>
  <c r="S233" i="1" s="1"/>
  <c r="P233" i="1"/>
  <c r="AC232" i="1"/>
  <c r="AB232" i="1"/>
  <c r="AA232" i="1"/>
  <c r="W232" i="1"/>
  <c r="X232" i="1" s="1"/>
  <c r="R232" i="1"/>
  <c r="S232" i="1" s="1"/>
  <c r="P232" i="1"/>
  <c r="W231" i="1"/>
  <c r="X231" i="1" s="1"/>
  <c r="R231" i="1"/>
  <c r="S231" i="1" s="1"/>
  <c r="P231" i="1"/>
  <c r="W230" i="1"/>
  <c r="X230" i="1" s="1"/>
  <c r="R230" i="1"/>
  <c r="S230" i="1" s="1"/>
  <c r="P230" i="1"/>
  <c r="AC229" i="1"/>
  <c r="AB229" i="1"/>
  <c r="AA229" i="1"/>
  <c r="W229" i="1"/>
  <c r="X229" i="1" s="1"/>
  <c r="R229" i="1"/>
  <c r="S229" i="1" s="1"/>
  <c r="P229" i="1"/>
  <c r="AC228" i="1"/>
  <c r="AB228" i="1"/>
  <c r="AA228" i="1"/>
  <c r="W228" i="1"/>
  <c r="X228" i="1" s="1"/>
  <c r="R228" i="1"/>
  <c r="S228" i="1" s="1"/>
  <c r="P228" i="1"/>
  <c r="AB227" i="1"/>
  <c r="AA227" i="1"/>
  <c r="W227" i="1"/>
  <c r="X227" i="1" s="1"/>
  <c r="R227" i="1"/>
  <c r="S227" i="1" s="1"/>
  <c r="P227" i="1"/>
  <c r="AB226" i="1"/>
  <c r="AA226" i="1"/>
  <c r="W226" i="1"/>
  <c r="X226" i="1" s="1"/>
  <c r="R226" i="1"/>
  <c r="S226" i="1" s="1"/>
  <c r="P226" i="1"/>
  <c r="W225" i="1"/>
  <c r="X225" i="1" s="1"/>
  <c r="R225" i="1"/>
  <c r="S225" i="1" s="1"/>
  <c r="P225" i="1"/>
  <c r="W224" i="1"/>
  <c r="X224" i="1" s="1"/>
  <c r="S224" i="1"/>
  <c r="P224" i="1"/>
  <c r="W223" i="1"/>
  <c r="X223" i="1" s="1"/>
  <c r="R223" i="1"/>
  <c r="S223" i="1" s="1"/>
  <c r="P223" i="1"/>
  <c r="W222" i="1"/>
  <c r="X222" i="1" s="1"/>
  <c r="R222" i="1"/>
  <c r="S222" i="1" s="1"/>
  <c r="P222" i="1"/>
  <c r="W221" i="1"/>
  <c r="X221" i="1" s="1"/>
  <c r="S221" i="1"/>
  <c r="W220" i="1"/>
  <c r="X220" i="1" s="1"/>
  <c r="R220" i="1"/>
  <c r="S220" i="1" s="1"/>
  <c r="P220" i="1"/>
  <c r="W219" i="1"/>
  <c r="X219" i="1" s="1"/>
  <c r="R219" i="1"/>
  <c r="S219" i="1" s="1"/>
  <c r="P219" i="1"/>
  <c r="W218" i="1"/>
  <c r="X218" i="1" s="1"/>
  <c r="R218" i="1"/>
  <c r="S218" i="1" s="1"/>
  <c r="P218" i="1"/>
  <c r="W217" i="1"/>
  <c r="X217" i="1" s="1"/>
  <c r="R217" i="1"/>
  <c r="S217" i="1" s="1"/>
  <c r="P217" i="1"/>
  <c r="W216" i="1"/>
  <c r="X216" i="1" s="1"/>
  <c r="R216" i="1"/>
  <c r="S216" i="1" s="1"/>
  <c r="P216" i="1"/>
  <c r="AC215" i="1"/>
  <c r="AB215" i="1"/>
  <c r="AA215" i="1"/>
  <c r="W215" i="1"/>
  <c r="X215" i="1" s="1"/>
  <c r="R215" i="1"/>
  <c r="S215" i="1" s="1"/>
  <c r="P215" i="1"/>
  <c r="AC214" i="1"/>
  <c r="AB214" i="1"/>
  <c r="AA214" i="1"/>
  <c r="W214" i="1"/>
  <c r="X214" i="1" s="1"/>
  <c r="R214" i="1"/>
  <c r="S214" i="1" s="1"/>
  <c r="P214" i="1"/>
  <c r="AB213" i="1"/>
  <c r="AA213" i="1"/>
  <c r="W213" i="1"/>
  <c r="X213" i="1" s="1"/>
  <c r="R213" i="1"/>
  <c r="S213" i="1" s="1"/>
  <c r="P213" i="1"/>
  <c r="W212" i="1"/>
  <c r="X212" i="1" s="1"/>
  <c r="R212" i="1"/>
  <c r="S212" i="1" s="1"/>
  <c r="P212" i="1"/>
  <c r="W211" i="1"/>
  <c r="X211" i="1" s="1"/>
  <c r="S211" i="1"/>
  <c r="AC210" i="1"/>
  <c r="AB210" i="1"/>
  <c r="AA210" i="1"/>
  <c r="W210" i="1"/>
  <c r="X210" i="1" s="1"/>
  <c r="R210" i="1"/>
  <c r="S210" i="1" s="1"/>
  <c r="P210" i="1"/>
  <c r="W209" i="1"/>
  <c r="X209" i="1" s="1"/>
  <c r="R209" i="1"/>
  <c r="S209" i="1" s="1"/>
  <c r="P209" i="1"/>
  <c r="AC208" i="1"/>
  <c r="AB208" i="1"/>
  <c r="AA208" i="1"/>
  <c r="W208" i="1"/>
  <c r="X208" i="1" s="1"/>
  <c r="R208" i="1"/>
  <c r="S208" i="1" s="1"/>
  <c r="P208" i="1"/>
  <c r="AC207" i="1"/>
  <c r="AB207" i="1"/>
  <c r="AA207" i="1"/>
  <c r="W207" i="1"/>
  <c r="X207" i="1" s="1"/>
  <c r="R207" i="1"/>
  <c r="S207" i="1" s="1"/>
  <c r="P207" i="1"/>
  <c r="AC206" i="1"/>
  <c r="AB206" i="1"/>
  <c r="AA206" i="1"/>
  <c r="W206" i="1"/>
  <c r="X206" i="1" s="1"/>
  <c r="R206" i="1"/>
  <c r="S206" i="1" s="1"/>
  <c r="P206" i="1"/>
  <c r="AB205" i="1"/>
  <c r="AA205" i="1"/>
  <c r="W205" i="1"/>
  <c r="X205" i="1" s="1"/>
  <c r="R205" i="1"/>
  <c r="S205" i="1" s="1"/>
  <c r="P205" i="1"/>
  <c r="AC204" i="1"/>
  <c r="AB204" i="1"/>
  <c r="AA204" i="1"/>
  <c r="W204" i="1"/>
  <c r="X204" i="1" s="1"/>
  <c r="R204" i="1"/>
  <c r="S204" i="1" s="1"/>
  <c r="P204" i="1"/>
  <c r="W203" i="1"/>
  <c r="X203" i="1" s="1"/>
  <c r="R203" i="1"/>
  <c r="S203" i="1" s="1"/>
  <c r="P203" i="1"/>
  <c r="W202" i="1"/>
  <c r="X202" i="1" s="1"/>
  <c r="S202" i="1"/>
  <c r="P202" i="1"/>
  <c r="L202" i="1"/>
  <c r="W201" i="1"/>
  <c r="X201" i="1" s="1"/>
  <c r="R201" i="1"/>
  <c r="S201" i="1" s="1"/>
  <c r="P201" i="1"/>
  <c r="W200" i="1"/>
  <c r="X200" i="1" s="1"/>
  <c r="R200" i="1"/>
  <c r="S200" i="1" s="1"/>
  <c r="P200" i="1"/>
  <c r="W199" i="1"/>
  <c r="X199" i="1" s="1"/>
  <c r="S199" i="1"/>
  <c r="P199" i="1"/>
  <c r="AC198" i="1"/>
  <c r="AB198" i="1"/>
  <c r="AA198" i="1"/>
  <c r="W198" i="1"/>
  <c r="X198" i="1" s="1"/>
  <c r="R198" i="1"/>
  <c r="S198" i="1" s="1"/>
  <c r="P198" i="1"/>
  <c r="AC197" i="1"/>
  <c r="AB197" i="1"/>
  <c r="AA197" i="1"/>
  <c r="W197" i="1"/>
  <c r="X197" i="1" s="1"/>
  <c r="R197" i="1"/>
  <c r="S197" i="1" s="1"/>
  <c r="P197" i="1"/>
  <c r="W196" i="1"/>
  <c r="X196" i="1" s="1"/>
  <c r="S196" i="1"/>
  <c r="P196" i="1"/>
  <c r="W195" i="1"/>
  <c r="X195" i="1" s="1"/>
  <c r="R195" i="1"/>
  <c r="S195" i="1" s="1"/>
  <c r="P195" i="1"/>
  <c r="W194" i="1"/>
  <c r="X194" i="1" s="1"/>
  <c r="R194" i="1"/>
  <c r="S194" i="1" s="1"/>
  <c r="P194" i="1"/>
  <c r="W193" i="1"/>
  <c r="X193" i="1" s="1"/>
  <c r="S193" i="1"/>
  <c r="W192" i="1"/>
  <c r="X192" i="1" s="1"/>
  <c r="R192" i="1"/>
  <c r="S192" i="1" s="1"/>
  <c r="P192" i="1"/>
  <c r="W191" i="1"/>
  <c r="X191" i="1" s="1"/>
  <c r="R191" i="1"/>
  <c r="S191" i="1" s="1"/>
  <c r="P191" i="1"/>
  <c r="W190" i="1"/>
  <c r="X190" i="1" s="1"/>
  <c r="R190" i="1"/>
  <c r="S190" i="1" s="1"/>
  <c r="P190" i="1"/>
  <c r="W189" i="1"/>
  <c r="X189" i="1" s="1"/>
  <c r="S189" i="1"/>
  <c r="P189" i="1"/>
  <c r="W188" i="1"/>
  <c r="X188" i="1" s="1"/>
  <c r="R188" i="1"/>
  <c r="S188" i="1" s="1"/>
  <c r="P188" i="1"/>
  <c r="W187" i="1"/>
  <c r="X187" i="1" s="1"/>
  <c r="R187" i="1"/>
  <c r="S187" i="1" s="1"/>
  <c r="P187" i="1"/>
  <c r="W186" i="1"/>
  <c r="X186" i="1" s="1"/>
  <c r="R186" i="1"/>
  <c r="S186" i="1" s="1"/>
  <c r="P186" i="1"/>
  <c r="AC185" i="1"/>
  <c r="AB185" i="1"/>
  <c r="AA185" i="1"/>
  <c r="W185" i="1"/>
  <c r="X185" i="1" s="1"/>
  <c r="R185" i="1"/>
  <c r="S185" i="1" s="1"/>
  <c r="P185" i="1"/>
  <c r="W184" i="1"/>
  <c r="X184" i="1" s="1"/>
  <c r="R184" i="1"/>
  <c r="S184" i="1" s="1"/>
  <c r="P184" i="1"/>
  <c r="W183" i="1"/>
  <c r="X183" i="1" s="1"/>
  <c r="R183" i="1"/>
  <c r="S183" i="1" s="1"/>
  <c r="P183" i="1"/>
  <c r="W182" i="1"/>
  <c r="X182" i="1" s="1"/>
  <c r="R182" i="1"/>
  <c r="S182" i="1" s="1"/>
  <c r="P182" i="1"/>
  <c r="W181" i="1"/>
  <c r="X181" i="1" s="1"/>
  <c r="S181" i="1"/>
  <c r="P181" i="1"/>
  <c r="W180" i="1"/>
  <c r="X180" i="1" s="1"/>
  <c r="S180" i="1"/>
  <c r="P180" i="1"/>
  <c r="W179" i="1"/>
  <c r="X179" i="1" s="1"/>
  <c r="S179" i="1"/>
  <c r="W178" i="1"/>
  <c r="X178" i="1" s="1"/>
  <c r="R178" i="1"/>
  <c r="S178" i="1" s="1"/>
  <c r="P178" i="1"/>
  <c r="W177" i="1"/>
  <c r="X177" i="1" s="1"/>
  <c r="R177" i="1"/>
  <c r="S177" i="1" s="1"/>
  <c r="P177" i="1"/>
  <c r="W176" i="1"/>
  <c r="X176" i="1" s="1"/>
  <c r="R176" i="1"/>
  <c r="S176" i="1" s="1"/>
  <c r="P176" i="1"/>
  <c r="W175" i="1"/>
  <c r="X175" i="1" s="1"/>
  <c r="S175" i="1"/>
  <c r="P175" i="1"/>
  <c r="W174" i="1"/>
  <c r="X174" i="1" s="1"/>
  <c r="S174" i="1"/>
  <c r="P174" i="1"/>
  <c r="W173" i="1"/>
  <c r="X173" i="1" s="1"/>
  <c r="S173" i="1"/>
  <c r="P173" i="1"/>
  <c r="W172" i="1"/>
  <c r="X172" i="1" s="1"/>
  <c r="S172" i="1"/>
  <c r="P172" i="1"/>
  <c r="W171" i="1"/>
  <c r="X171" i="1" s="1"/>
  <c r="S171" i="1"/>
  <c r="P171" i="1"/>
  <c r="W170" i="1"/>
  <c r="X170" i="1" s="1"/>
  <c r="S170" i="1"/>
  <c r="P170" i="1"/>
  <c r="X169" i="1"/>
  <c r="R169" i="1"/>
  <c r="S169" i="1" s="1"/>
  <c r="P169" i="1"/>
  <c r="W168" i="1"/>
  <c r="X168" i="1" s="1"/>
  <c r="R168" i="1"/>
  <c r="S168" i="1" s="1"/>
  <c r="P168" i="1"/>
  <c r="W167" i="1"/>
  <c r="X167" i="1" s="1"/>
  <c r="S167" i="1"/>
  <c r="P167" i="1"/>
  <c r="AC166" i="1"/>
  <c r="AB166" i="1"/>
  <c r="AA166" i="1"/>
  <c r="W166" i="1"/>
  <c r="X166" i="1" s="1"/>
  <c r="R166" i="1"/>
  <c r="S166" i="1" s="1"/>
  <c r="P166" i="1"/>
  <c r="AC165" i="1"/>
  <c r="AB165" i="1"/>
  <c r="AA165" i="1"/>
  <c r="W165" i="1"/>
  <c r="X165" i="1" s="1"/>
  <c r="R165" i="1"/>
  <c r="S165" i="1" s="1"/>
  <c r="P165" i="1"/>
  <c r="W164" i="1"/>
  <c r="X164" i="1" s="1"/>
  <c r="R164" i="1"/>
  <c r="S164" i="1" s="1"/>
  <c r="P164" i="1"/>
  <c r="AC163" i="1"/>
  <c r="AB163" i="1"/>
  <c r="AA163" i="1"/>
  <c r="W163" i="1"/>
  <c r="X163" i="1" s="1"/>
  <c r="R163" i="1"/>
  <c r="S163" i="1" s="1"/>
  <c r="P163" i="1"/>
  <c r="AC162" i="1"/>
  <c r="AB162" i="1"/>
  <c r="AA162" i="1"/>
  <c r="W162" i="1"/>
  <c r="X162" i="1" s="1"/>
  <c r="R162" i="1"/>
  <c r="S162" i="1" s="1"/>
  <c r="P162" i="1"/>
  <c r="AC161" i="1"/>
  <c r="AB161" i="1"/>
  <c r="AA161" i="1"/>
  <c r="W161" i="1"/>
  <c r="X161" i="1" s="1"/>
  <c r="R161" i="1"/>
  <c r="S161" i="1" s="1"/>
  <c r="P161" i="1"/>
  <c r="W160" i="1"/>
  <c r="X160" i="1" s="1"/>
  <c r="S160" i="1"/>
  <c r="P160" i="1"/>
  <c r="W159" i="1"/>
  <c r="X159" i="1" s="1"/>
  <c r="S159" i="1"/>
  <c r="P159" i="1"/>
  <c r="W158" i="1"/>
  <c r="X158" i="1" s="1"/>
  <c r="S158" i="1"/>
  <c r="P158" i="1"/>
  <c r="AC157" i="1"/>
  <c r="AB157" i="1"/>
  <c r="AA157" i="1"/>
  <c r="W157" i="1"/>
  <c r="X157" i="1" s="1"/>
  <c r="R157" i="1"/>
  <c r="S157" i="1" s="1"/>
  <c r="P157" i="1"/>
  <c r="AC156" i="1"/>
  <c r="AB156" i="1"/>
  <c r="AA156" i="1"/>
  <c r="W156" i="1"/>
  <c r="X156" i="1" s="1"/>
  <c r="R156" i="1"/>
  <c r="S156" i="1" s="1"/>
  <c r="P156" i="1"/>
  <c r="W155" i="1"/>
  <c r="X155" i="1" s="1"/>
  <c r="S155" i="1"/>
  <c r="P155" i="1"/>
  <c r="AC154" i="1"/>
  <c r="AB154" i="1"/>
  <c r="AA154" i="1"/>
  <c r="W154" i="1"/>
  <c r="X154" i="1" s="1"/>
  <c r="R154" i="1"/>
  <c r="S154" i="1" s="1"/>
  <c r="P154" i="1"/>
  <c r="W153" i="1"/>
  <c r="X153" i="1" s="1"/>
  <c r="S153" i="1"/>
  <c r="P153" i="1"/>
  <c r="AC152" i="1"/>
  <c r="AB152" i="1"/>
  <c r="AA152" i="1"/>
  <c r="W152" i="1"/>
  <c r="X152" i="1" s="1"/>
  <c r="R152" i="1"/>
  <c r="S152" i="1" s="1"/>
  <c r="P152" i="1"/>
  <c r="AC151" i="1"/>
  <c r="AB151" i="1"/>
  <c r="AA151" i="1"/>
  <c r="W151" i="1"/>
  <c r="X151" i="1" s="1"/>
  <c r="R151" i="1"/>
  <c r="S151" i="1" s="1"/>
  <c r="P151" i="1"/>
  <c r="AC150" i="1"/>
  <c r="AB150" i="1"/>
  <c r="AA150" i="1"/>
  <c r="W150" i="1"/>
  <c r="X150" i="1" s="1"/>
  <c r="S150" i="1"/>
  <c r="P150" i="1"/>
  <c r="W149" i="1"/>
  <c r="X149" i="1" s="1"/>
  <c r="S149" i="1"/>
  <c r="P149" i="1"/>
  <c r="AC148" i="1"/>
  <c r="AB148" i="1"/>
  <c r="AA148" i="1"/>
  <c r="W148" i="1"/>
  <c r="X148" i="1" s="1"/>
  <c r="R148" i="1"/>
  <c r="S148" i="1" s="1"/>
  <c r="P148" i="1"/>
  <c r="AC147" i="1"/>
  <c r="AB147" i="1"/>
  <c r="AA147" i="1"/>
  <c r="W147" i="1"/>
  <c r="X147" i="1" s="1"/>
  <c r="R147" i="1"/>
  <c r="S147" i="1" s="1"/>
  <c r="P147" i="1"/>
  <c r="W146" i="1"/>
  <c r="X146" i="1" s="1"/>
  <c r="R146" i="1"/>
  <c r="S146" i="1" s="1"/>
  <c r="P146" i="1"/>
  <c r="W145" i="1"/>
  <c r="X145" i="1" s="1"/>
  <c r="R145" i="1"/>
  <c r="S145" i="1" s="1"/>
  <c r="P145" i="1"/>
  <c r="W144" i="1"/>
  <c r="X144" i="1" s="1"/>
  <c r="R144" i="1"/>
  <c r="S144" i="1" s="1"/>
  <c r="P144" i="1"/>
  <c r="W143" i="1"/>
  <c r="X143" i="1" s="1"/>
  <c r="R143" i="1"/>
  <c r="S143" i="1" s="1"/>
  <c r="P143" i="1"/>
  <c r="W142" i="1"/>
  <c r="X142" i="1" s="1"/>
  <c r="R142" i="1"/>
  <c r="S142" i="1" s="1"/>
  <c r="P142" i="1"/>
  <c r="W141" i="1"/>
  <c r="X141" i="1" s="1"/>
  <c r="R141" i="1"/>
  <c r="S141" i="1" s="1"/>
  <c r="P141" i="1"/>
  <c r="W140" i="1"/>
  <c r="X140" i="1" s="1"/>
  <c r="S140" i="1"/>
  <c r="P140" i="1"/>
  <c r="W139" i="1"/>
  <c r="X139" i="1" s="1"/>
  <c r="R139" i="1"/>
  <c r="S139" i="1" s="1"/>
  <c r="P139" i="1"/>
  <c r="W138" i="1"/>
  <c r="X138" i="1" s="1"/>
  <c r="S138" i="1"/>
  <c r="P138" i="1"/>
  <c r="W137" i="1"/>
  <c r="X137" i="1" s="1"/>
  <c r="R137" i="1"/>
  <c r="S137" i="1" s="1"/>
  <c r="P137" i="1"/>
  <c r="W136" i="1"/>
  <c r="X136" i="1" s="1"/>
  <c r="S136" i="1"/>
  <c r="P136" i="1"/>
  <c r="W135" i="1"/>
  <c r="X135" i="1" s="1"/>
  <c r="R135" i="1"/>
  <c r="S135" i="1" s="1"/>
  <c r="P135" i="1"/>
  <c r="W134" i="1"/>
  <c r="X134" i="1" s="1"/>
  <c r="S134" i="1"/>
  <c r="P134" i="1"/>
  <c r="GF68" i="1"/>
  <c r="GE68" i="1"/>
  <c r="GD68" i="1"/>
  <c r="GC68" i="1"/>
  <c r="GB68" i="1"/>
  <c r="GA68" i="1"/>
  <c r="FZ68" i="1"/>
  <c r="FY68" i="1"/>
  <c r="FX68" i="1"/>
  <c r="FW68" i="1"/>
  <c r="FV68" i="1"/>
  <c r="FU68" i="1"/>
  <c r="FT68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N68" i="1"/>
  <c r="EM68" i="1"/>
  <c r="EL68" i="1"/>
  <c r="EK68" i="1"/>
  <c r="EJ68" i="1"/>
  <c r="EI68" i="1"/>
  <c r="EH68" i="1"/>
  <c r="EG68" i="1"/>
  <c r="EF68" i="1"/>
  <c r="EE68" i="1"/>
  <c r="ED68" i="1"/>
  <c r="EC68" i="1"/>
  <c r="EB68" i="1"/>
  <c r="EA68" i="1"/>
  <c r="DZ68" i="1"/>
  <c r="DY68" i="1"/>
  <c r="DX68" i="1"/>
  <c r="DW68" i="1"/>
  <c r="DV68" i="1"/>
  <c r="DU68" i="1"/>
  <c r="DT68" i="1"/>
  <c r="DS68" i="1"/>
  <c r="DR68" i="1"/>
  <c r="DQ68" i="1"/>
  <c r="DP68" i="1"/>
  <c r="DO68" i="1"/>
  <c r="DN68" i="1"/>
  <c r="DM68" i="1"/>
  <c r="DL68" i="1"/>
  <c r="DK68" i="1"/>
  <c r="DJ68" i="1"/>
  <c r="DI68" i="1"/>
  <c r="DH68" i="1"/>
  <c r="DG68" i="1"/>
  <c r="DF68" i="1"/>
  <c r="DE68" i="1"/>
  <c r="DD68" i="1"/>
  <c r="DC68" i="1"/>
  <c r="DB68" i="1"/>
  <c r="DA68" i="1"/>
  <c r="CZ68" i="1"/>
  <c r="CY68" i="1"/>
  <c r="CX68" i="1"/>
  <c r="CW68" i="1"/>
  <c r="CV68" i="1"/>
  <c r="CU68" i="1"/>
  <c r="CT68" i="1"/>
  <c r="CS68" i="1"/>
  <c r="CR68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AF50" i="1"/>
  <c r="AE50" i="1"/>
  <c r="AD50" i="1"/>
  <c r="AC50" i="1"/>
  <c r="AB50" i="1"/>
  <c r="AA50" i="1"/>
  <c r="Y50" i="1"/>
  <c r="X50" i="1"/>
  <c r="W50" i="1"/>
  <c r="V50" i="1"/>
  <c r="U50" i="1"/>
  <c r="T50" i="1"/>
  <c r="R50" i="1"/>
  <c r="Q50" i="1"/>
  <c r="P50" i="1"/>
  <c r="O50" i="1"/>
  <c r="N50" i="1"/>
  <c r="M50" i="1"/>
  <c r="K50" i="1"/>
  <c r="J50" i="1"/>
  <c r="I50" i="1"/>
  <c r="H50" i="1"/>
  <c r="G50" i="1"/>
  <c r="F50" i="1"/>
  <c r="AF49" i="1"/>
  <c r="AE49" i="1"/>
  <c r="AD49" i="1"/>
  <c r="AC49" i="1"/>
  <c r="AB49" i="1"/>
  <c r="AA49" i="1"/>
  <c r="Y49" i="1"/>
  <c r="X49" i="1"/>
  <c r="W49" i="1"/>
  <c r="V49" i="1"/>
  <c r="U49" i="1"/>
  <c r="T49" i="1"/>
  <c r="R49" i="1"/>
  <c r="Q49" i="1"/>
  <c r="P49" i="1"/>
  <c r="O49" i="1"/>
  <c r="N49" i="1"/>
  <c r="M49" i="1"/>
  <c r="K49" i="1"/>
  <c r="J49" i="1"/>
  <c r="I49" i="1"/>
  <c r="H49" i="1"/>
  <c r="G49" i="1"/>
  <c r="F49" i="1"/>
  <c r="AF48" i="1"/>
  <c r="AE48" i="1"/>
  <c r="AD48" i="1"/>
  <c r="AC48" i="1"/>
  <c r="AB48" i="1"/>
  <c r="AA48" i="1"/>
  <c r="Y48" i="1"/>
  <c r="X48" i="1"/>
  <c r="W48" i="1"/>
  <c r="V48" i="1"/>
  <c r="U48" i="1"/>
  <c r="T48" i="1"/>
  <c r="R48" i="1"/>
  <c r="Q48" i="1"/>
  <c r="P48" i="1"/>
  <c r="O48" i="1"/>
  <c r="N48" i="1"/>
  <c r="M48" i="1"/>
  <c r="K48" i="1"/>
  <c r="J48" i="1"/>
  <c r="I48" i="1"/>
  <c r="H48" i="1"/>
  <c r="G48" i="1"/>
  <c r="F48" i="1"/>
  <c r="CC47" i="1"/>
  <c r="AF47" i="1"/>
  <c r="AE47" i="1"/>
  <c r="AD47" i="1"/>
  <c r="AC47" i="1"/>
  <c r="AB47" i="1"/>
  <c r="AA47" i="1"/>
  <c r="Y47" i="1"/>
  <c r="X47" i="1"/>
  <c r="W47" i="1"/>
  <c r="V47" i="1"/>
  <c r="U47" i="1"/>
  <c r="T47" i="1"/>
  <c r="R47" i="1"/>
  <c r="Q47" i="1"/>
  <c r="P47" i="1"/>
  <c r="O47" i="1"/>
  <c r="N47" i="1"/>
  <c r="M47" i="1"/>
  <c r="K47" i="1"/>
  <c r="J47" i="1"/>
  <c r="I47" i="1"/>
  <c r="H47" i="1"/>
  <c r="G47" i="1"/>
  <c r="F47" i="1"/>
  <c r="AF46" i="1"/>
  <c r="AE46" i="1"/>
  <c r="AD46" i="1"/>
  <c r="AC46" i="1"/>
  <c r="AA46" i="1"/>
  <c r="Y46" i="1"/>
  <c r="X46" i="1"/>
  <c r="W46" i="1"/>
  <c r="V46" i="1"/>
  <c r="T46" i="1"/>
  <c r="R46" i="1"/>
  <c r="Q46" i="1"/>
  <c r="P46" i="1"/>
  <c r="O46" i="1"/>
  <c r="M46" i="1"/>
  <c r="K46" i="1"/>
  <c r="J46" i="1"/>
  <c r="I46" i="1"/>
  <c r="H46" i="1"/>
  <c r="F46" i="1"/>
  <c r="AF45" i="1"/>
  <c r="AE45" i="1"/>
  <c r="AD45" i="1"/>
  <c r="AC45" i="1"/>
  <c r="AB45" i="1"/>
  <c r="AA45" i="1"/>
  <c r="Y45" i="1"/>
  <c r="X45" i="1"/>
  <c r="W45" i="1"/>
  <c r="V45" i="1"/>
  <c r="U45" i="1"/>
  <c r="T45" i="1"/>
  <c r="R45" i="1"/>
  <c r="Q45" i="1"/>
  <c r="P45" i="1"/>
  <c r="O45" i="1"/>
  <c r="N45" i="1"/>
  <c r="M45" i="1"/>
  <c r="K45" i="1"/>
  <c r="J45" i="1"/>
  <c r="I45" i="1"/>
  <c r="H45" i="1"/>
  <c r="G45" i="1"/>
  <c r="F45" i="1"/>
  <c r="AF44" i="1"/>
  <c r="AE44" i="1"/>
  <c r="AD44" i="1"/>
  <c r="AC44" i="1"/>
  <c r="AB44" i="1"/>
  <c r="AA44" i="1"/>
  <c r="Y44" i="1"/>
  <c r="X44" i="1"/>
  <c r="W44" i="1"/>
  <c r="V44" i="1"/>
  <c r="U44" i="1"/>
  <c r="T44" i="1"/>
  <c r="R44" i="1"/>
  <c r="Q44" i="1"/>
  <c r="P44" i="1"/>
  <c r="O44" i="1"/>
  <c r="N44" i="1"/>
  <c r="M44" i="1"/>
  <c r="K44" i="1"/>
  <c r="J44" i="1"/>
  <c r="I44" i="1"/>
  <c r="H44" i="1"/>
  <c r="G44" i="1"/>
  <c r="F44" i="1"/>
  <c r="CR43" i="1"/>
  <c r="CH43" i="1"/>
  <c r="AF43" i="1"/>
  <c r="AE43" i="1"/>
  <c r="AD43" i="1"/>
  <c r="AC43" i="1"/>
  <c r="AB43" i="1"/>
  <c r="AA43" i="1"/>
  <c r="Y43" i="1"/>
  <c r="X43" i="1"/>
  <c r="W43" i="1"/>
  <c r="V43" i="1"/>
  <c r="U43" i="1"/>
  <c r="T43" i="1"/>
  <c r="R43" i="1"/>
  <c r="Q43" i="1"/>
  <c r="P43" i="1"/>
  <c r="O43" i="1"/>
  <c r="N43" i="1"/>
  <c r="M43" i="1"/>
  <c r="K43" i="1"/>
  <c r="J43" i="1"/>
  <c r="I43" i="1"/>
  <c r="H43" i="1"/>
  <c r="G43" i="1"/>
  <c r="F43" i="1"/>
  <c r="CR42" i="1"/>
  <c r="CH42" i="1"/>
  <c r="AF42" i="1"/>
  <c r="AE42" i="1"/>
  <c r="AD42" i="1"/>
  <c r="AC42" i="1"/>
  <c r="AB42" i="1"/>
  <c r="AA42" i="1"/>
  <c r="Y42" i="1"/>
  <c r="X42" i="1"/>
  <c r="W42" i="1"/>
  <c r="V42" i="1"/>
  <c r="U42" i="1"/>
  <c r="T42" i="1"/>
  <c r="R42" i="1"/>
  <c r="Q42" i="1"/>
  <c r="P42" i="1"/>
  <c r="O42" i="1"/>
  <c r="N42" i="1"/>
  <c r="M42" i="1"/>
  <c r="K42" i="1"/>
  <c r="J42" i="1"/>
  <c r="I42" i="1"/>
  <c r="H42" i="1"/>
  <c r="G42" i="1"/>
  <c r="F42" i="1"/>
  <c r="CR41" i="1"/>
  <c r="CH41" i="1"/>
  <c r="AF41" i="1"/>
  <c r="AE41" i="1"/>
  <c r="AD41" i="1"/>
  <c r="AC41" i="1"/>
  <c r="AB41" i="1"/>
  <c r="AA41" i="1"/>
  <c r="Y41" i="1"/>
  <c r="X41" i="1"/>
  <c r="W41" i="1"/>
  <c r="V41" i="1"/>
  <c r="U41" i="1"/>
  <c r="T41" i="1"/>
  <c r="R41" i="1"/>
  <c r="Q41" i="1"/>
  <c r="P41" i="1"/>
  <c r="O41" i="1"/>
  <c r="N41" i="1"/>
  <c r="M41" i="1"/>
  <c r="K41" i="1"/>
  <c r="J41" i="1"/>
  <c r="I41" i="1"/>
  <c r="H41" i="1"/>
  <c r="G41" i="1"/>
  <c r="F41" i="1"/>
  <c r="CR40" i="1"/>
  <c r="CH40" i="1"/>
  <c r="AF40" i="1"/>
  <c r="AE40" i="1"/>
  <c r="AD40" i="1"/>
  <c r="AC40" i="1"/>
  <c r="AB40" i="1"/>
  <c r="AA40" i="1"/>
  <c r="Y40" i="1"/>
  <c r="X40" i="1"/>
  <c r="W40" i="1"/>
  <c r="V40" i="1"/>
  <c r="U40" i="1"/>
  <c r="T40" i="1"/>
  <c r="R40" i="1"/>
  <c r="Q40" i="1"/>
  <c r="P40" i="1"/>
  <c r="O40" i="1"/>
  <c r="N40" i="1"/>
  <c r="M40" i="1"/>
  <c r="K40" i="1"/>
  <c r="J40" i="1"/>
  <c r="I40" i="1"/>
  <c r="H40" i="1"/>
  <c r="G40" i="1"/>
  <c r="F40" i="1"/>
  <c r="CR39" i="1"/>
  <c r="CH39" i="1"/>
  <c r="AF39" i="1"/>
  <c r="AE39" i="1"/>
  <c r="AD39" i="1"/>
  <c r="AC39" i="1"/>
  <c r="AB39" i="1"/>
  <c r="AA39" i="1"/>
  <c r="Y39" i="1"/>
  <c r="X39" i="1"/>
  <c r="W39" i="1"/>
  <c r="V39" i="1"/>
  <c r="U39" i="1"/>
  <c r="T39" i="1"/>
  <c r="R39" i="1"/>
  <c r="Q39" i="1"/>
  <c r="P39" i="1"/>
  <c r="O39" i="1"/>
  <c r="N39" i="1"/>
  <c r="M39" i="1"/>
  <c r="K39" i="1"/>
  <c r="J39" i="1"/>
  <c r="I39" i="1"/>
  <c r="H39" i="1"/>
  <c r="G39" i="1"/>
  <c r="F39" i="1"/>
  <c r="AS29" i="1"/>
  <c r="AS28" i="1"/>
  <c r="AS27" i="1"/>
  <c r="AS26" i="1"/>
  <c r="AS25" i="1"/>
  <c r="CR24" i="1"/>
  <c r="CH24" i="1"/>
  <c r="AS24" i="1"/>
  <c r="CR23" i="1"/>
  <c r="CH23" i="1"/>
  <c r="AS23" i="1"/>
  <c r="CR22" i="1"/>
  <c r="CH22" i="1"/>
  <c r="AS22" i="1"/>
  <c r="CR21" i="1"/>
  <c r="CH21" i="1"/>
  <c r="AS21" i="1"/>
  <c r="CR20" i="1"/>
  <c r="AS20" i="1"/>
  <c r="CH19" i="1"/>
  <c r="CI19" i="1" s="1"/>
  <c r="AS19" i="1"/>
  <c r="AS18" i="1"/>
  <c r="Y13" i="1"/>
  <c r="Q26" i="1" l="1"/>
  <c r="AB46" i="1"/>
  <c r="L26" i="1"/>
  <c r="M26" i="1"/>
  <c r="K26" i="1"/>
  <c r="P51" i="1"/>
  <c r="P26" i="1"/>
  <c r="S26" i="1"/>
  <c r="G29" i="1"/>
  <c r="S19" i="1"/>
  <c r="CC21" i="1"/>
  <c r="G26" i="1"/>
  <c r="F26" i="1"/>
  <c r="F29" i="1"/>
  <c r="U46" i="1"/>
  <c r="U51" i="1" s="1"/>
  <c r="CH38" i="1"/>
  <c r="CI38" i="1" s="1"/>
  <c r="CI39" i="1" s="1"/>
  <c r="CR38" i="1"/>
  <c r="CS38" i="1" s="1"/>
  <c r="CS39" i="1" s="1"/>
  <c r="AX41" i="1"/>
  <c r="P19" i="1"/>
  <c r="X51" i="1"/>
  <c r="S40" i="1"/>
  <c r="L42" i="1"/>
  <c r="S43" i="1"/>
  <c r="S45" i="1"/>
  <c r="G23" i="1"/>
  <c r="F21" i="1"/>
  <c r="G21" i="1"/>
  <c r="L48" i="1"/>
  <c r="AG50" i="1"/>
  <c r="J51" i="1"/>
  <c r="AZ42" i="1"/>
  <c r="AG44" i="1"/>
  <c r="AY46" i="1"/>
  <c r="AX48" i="1"/>
  <c r="AX50" i="1"/>
  <c r="AZ46" i="1"/>
  <c r="S48" i="1"/>
  <c r="AY48" i="1"/>
  <c r="AY50" i="1"/>
  <c r="AW41" i="1"/>
  <c r="AY44" i="1"/>
  <c r="AZ44" i="1"/>
  <c r="Q51" i="1"/>
  <c r="Z42" i="1"/>
  <c r="AG43" i="1"/>
  <c r="CH20" i="1"/>
  <c r="CI20" i="1" s="1"/>
  <c r="CI21" i="1" s="1"/>
  <c r="G20" i="1"/>
  <c r="S47" i="1"/>
  <c r="AY47" i="1"/>
  <c r="AX49" i="1"/>
  <c r="G24" i="1"/>
  <c r="AY40" i="1"/>
  <c r="AY45" i="1"/>
  <c r="G18" i="1"/>
  <c r="F18" i="1"/>
  <c r="O19" i="1"/>
  <c r="G19" i="1"/>
  <c r="F19" i="1"/>
  <c r="G28" i="1"/>
  <c r="F28" i="1"/>
  <c r="G27" i="1"/>
  <c r="F27" i="1"/>
  <c r="G25" i="1"/>
  <c r="F25" i="1"/>
  <c r="F22" i="1"/>
  <c r="G22" i="1"/>
  <c r="W51" i="1"/>
  <c r="AX40" i="1"/>
  <c r="AZ43" i="1"/>
  <c r="AX45" i="1"/>
  <c r="AX47" i="1"/>
  <c r="Z48" i="1"/>
  <c r="AW49" i="1"/>
  <c r="Z50" i="1"/>
  <c r="Q20" i="1"/>
  <c r="Y51" i="1"/>
  <c r="AZ40" i="1"/>
  <c r="AV42" i="1"/>
  <c r="AZ45" i="1"/>
  <c r="AZ47" i="1"/>
  <c r="S49" i="1"/>
  <c r="AY49" i="1"/>
  <c r="F24" i="1"/>
  <c r="H51" i="1"/>
  <c r="AA51" i="1"/>
  <c r="Z41" i="1"/>
  <c r="AW42" i="1"/>
  <c r="AZ49" i="1"/>
  <c r="I51" i="1"/>
  <c r="AB51" i="1"/>
  <c r="AX42" i="1"/>
  <c r="G46" i="1"/>
  <c r="G51" i="1" s="1"/>
  <c r="L50" i="1"/>
  <c r="AW39" i="1"/>
  <c r="L41" i="1"/>
  <c r="S42" i="1"/>
  <c r="AY42" i="1"/>
  <c r="L44" i="1"/>
  <c r="AD51" i="1"/>
  <c r="M51" i="1"/>
  <c r="AE51" i="1"/>
  <c r="Z40" i="1"/>
  <c r="AG41" i="1"/>
  <c r="Z43" i="1"/>
  <c r="AW44" i="1"/>
  <c r="Z45" i="1"/>
  <c r="AW46" i="1"/>
  <c r="Z47" i="1"/>
  <c r="AV48" i="1"/>
  <c r="CC43" i="1"/>
  <c r="AZ39" i="1"/>
  <c r="AV41" i="1"/>
  <c r="AX44" i="1"/>
  <c r="AX46" i="1"/>
  <c r="AW48" i="1"/>
  <c r="Z49" i="1"/>
  <c r="K22" i="1"/>
  <c r="O51" i="1"/>
  <c r="L43" i="1"/>
  <c r="S44" i="1"/>
  <c r="S27" i="1"/>
  <c r="N46" i="1"/>
  <c r="S46" i="1" s="1"/>
  <c r="K25" i="1"/>
  <c r="CM19" i="1"/>
  <c r="CN19" i="1" s="1"/>
  <c r="K28" i="1"/>
  <c r="AY41" i="1"/>
  <c r="AZ48" i="1"/>
  <c r="K19" i="1"/>
  <c r="S23" i="1"/>
  <c r="F20" i="1"/>
  <c r="R51" i="1"/>
  <c r="AZ41" i="1"/>
  <c r="AV43" i="1"/>
  <c r="S50" i="1"/>
  <c r="CC44" i="1"/>
  <c r="T51" i="1"/>
  <c r="L40" i="1"/>
  <c r="S41" i="1"/>
  <c r="AW43" i="1"/>
  <c r="L45" i="1"/>
  <c r="L47" i="1"/>
  <c r="M24" i="1"/>
  <c r="K51" i="1"/>
  <c r="CR19" i="1"/>
  <c r="CS19" i="1" s="1"/>
  <c r="CS20" i="1" s="1"/>
  <c r="CS21" i="1" s="1"/>
  <c r="CS22" i="1" s="1"/>
  <c r="AG40" i="1"/>
  <c r="AX43" i="1"/>
  <c r="AV45" i="1"/>
  <c r="AV47" i="1"/>
  <c r="L49" i="1"/>
  <c r="Q21" i="1"/>
  <c r="F23" i="1"/>
  <c r="V51" i="1"/>
  <c r="AW40" i="1"/>
  <c r="AY43" i="1"/>
  <c r="Z44" i="1"/>
  <c r="AW45" i="1"/>
  <c r="AW47" i="1"/>
  <c r="AV49" i="1"/>
  <c r="CC39" i="1"/>
  <c r="CC41" i="1"/>
  <c r="K29" i="1"/>
  <c r="P29" i="1"/>
  <c r="CC20" i="1"/>
  <c r="Q18" i="1"/>
  <c r="CM26" i="1"/>
  <c r="O23" i="1"/>
  <c r="J19" i="1"/>
  <c r="CC40" i="1"/>
  <c r="CC26" i="1"/>
  <c r="I26" i="1"/>
  <c r="P20" i="1"/>
  <c r="P18" i="1"/>
  <c r="CC46" i="1"/>
  <c r="R26" i="1"/>
  <c r="Q24" i="1"/>
  <c r="L24" i="1"/>
  <c r="CM20" i="1"/>
  <c r="P24" i="1"/>
  <c r="K24" i="1"/>
  <c r="J24" i="1"/>
  <c r="CM42" i="1"/>
  <c r="CC25" i="1"/>
  <c r="O24" i="1"/>
  <c r="S24" i="1"/>
  <c r="S21" i="1"/>
  <c r="J21" i="1"/>
  <c r="CC27" i="1"/>
  <c r="O21" i="1"/>
  <c r="M25" i="1"/>
  <c r="R25" i="1"/>
  <c r="I25" i="1"/>
  <c r="L25" i="1"/>
  <c r="Q25" i="1"/>
  <c r="S22" i="1"/>
  <c r="O22" i="1"/>
  <c r="J22" i="1"/>
  <c r="R22" i="1"/>
  <c r="I22" i="1"/>
  <c r="CC19" i="1"/>
  <c r="CD19" i="1" s="1"/>
  <c r="M22" i="1"/>
  <c r="CM44" i="1"/>
  <c r="R28" i="1"/>
  <c r="I28" i="1"/>
  <c r="M28" i="1"/>
  <c r="CM48" i="1"/>
  <c r="CC28" i="1"/>
  <c r="Q28" i="1"/>
  <c r="L28" i="1"/>
  <c r="K18" i="1"/>
  <c r="K20" i="1"/>
  <c r="I21" i="1"/>
  <c r="R21" i="1"/>
  <c r="L22" i="1"/>
  <c r="CC22" i="1"/>
  <c r="R24" i="1"/>
  <c r="P25" i="1"/>
  <c r="P28" i="1"/>
  <c r="CC42" i="1"/>
  <c r="S18" i="1"/>
  <c r="O18" i="1"/>
  <c r="J18" i="1"/>
  <c r="I18" i="1"/>
  <c r="CM40" i="1"/>
  <c r="R18" i="1"/>
  <c r="M18" i="1"/>
  <c r="S29" i="1"/>
  <c r="O29" i="1"/>
  <c r="J29" i="1"/>
  <c r="CM25" i="1"/>
  <c r="I29" i="1"/>
  <c r="CM39" i="1"/>
  <c r="R29" i="1"/>
  <c r="M29" i="1"/>
  <c r="Q29" i="1"/>
  <c r="L29" i="1"/>
  <c r="S20" i="1"/>
  <c r="O20" i="1"/>
  <c r="J20" i="1"/>
  <c r="M20" i="1"/>
  <c r="CM28" i="1"/>
  <c r="R20" i="1"/>
  <c r="I20" i="1"/>
  <c r="CC29" i="1"/>
  <c r="CM27" i="1"/>
  <c r="R23" i="1"/>
  <c r="M23" i="1"/>
  <c r="I23" i="1"/>
  <c r="Q23" i="1"/>
  <c r="CC23" i="1"/>
  <c r="L23" i="1"/>
  <c r="CM21" i="1"/>
  <c r="K23" i="1"/>
  <c r="P23" i="1"/>
  <c r="S28" i="1"/>
  <c r="L18" i="1"/>
  <c r="L20" i="1"/>
  <c r="L21" i="1"/>
  <c r="P22" i="1"/>
  <c r="J23" i="1"/>
  <c r="J27" i="1"/>
  <c r="CC48" i="1"/>
  <c r="R27" i="1"/>
  <c r="M27" i="1"/>
  <c r="I27" i="1"/>
  <c r="CC24" i="1"/>
  <c r="CM22" i="1"/>
  <c r="L27" i="1"/>
  <c r="CM38" i="1"/>
  <c r="CN38" i="1" s="1"/>
  <c r="Q27" i="1"/>
  <c r="P27" i="1"/>
  <c r="K27" i="1"/>
  <c r="M21" i="1"/>
  <c r="Q22" i="1"/>
  <c r="CM23" i="1"/>
  <c r="I24" i="1"/>
  <c r="U24" i="1" s="1"/>
  <c r="AT45" i="1" s="1"/>
  <c r="O27" i="1"/>
  <c r="R19" i="1"/>
  <c r="M19" i="1"/>
  <c r="I19" i="1"/>
  <c r="L19" i="1"/>
  <c r="CM24" i="1"/>
  <c r="Q19" i="1"/>
  <c r="CM46" i="1"/>
  <c r="CM47" i="1"/>
  <c r="CM45" i="1"/>
  <c r="CM29" i="1"/>
  <c r="CM41" i="1"/>
  <c r="CM43" i="1"/>
  <c r="CC45" i="1"/>
  <c r="K21" i="1"/>
  <c r="P21" i="1"/>
  <c r="J25" i="1"/>
  <c r="O25" i="1"/>
  <c r="S25" i="1"/>
  <c r="J26" i="1"/>
  <c r="O26" i="1"/>
  <c r="J28" i="1"/>
  <c r="O28" i="1"/>
  <c r="CC38" i="1"/>
  <c r="CD38" i="1" s="1"/>
  <c r="F51" i="1"/>
  <c r="L39" i="1"/>
  <c r="N51" i="1"/>
  <c r="S39" i="1"/>
  <c r="Z39" i="1"/>
  <c r="AX39" i="1"/>
  <c r="AV40" i="1"/>
  <c r="AV44" i="1"/>
  <c r="AC51" i="1"/>
  <c r="AW51" i="1" s="1"/>
  <c r="AY39" i="1"/>
  <c r="AG42" i="1"/>
  <c r="AG45" i="1"/>
  <c r="AG46" i="1"/>
  <c r="AG47" i="1"/>
  <c r="AG48" i="1"/>
  <c r="AU48" i="1" s="1"/>
  <c r="AG49" i="1"/>
  <c r="AF51" i="1"/>
  <c r="AV39" i="1"/>
  <c r="AV50" i="1"/>
  <c r="AZ50" i="1"/>
  <c r="AG39" i="1"/>
  <c r="AW50" i="1"/>
  <c r="U26" i="1" l="1"/>
  <c r="AT47" i="1" s="1"/>
  <c r="Y19" i="1"/>
  <c r="W28" i="1"/>
  <c r="AX51" i="1"/>
  <c r="W20" i="1"/>
  <c r="W26" i="1"/>
  <c r="CN39" i="1"/>
  <c r="CN40" i="1" s="1"/>
  <c r="AY51" i="1"/>
  <c r="H22" i="1"/>
  <c r="Z46" i="1"/>
  <c r="CD39" i="1"/>
  <c r="CD40" i="1" s="1"/>
  <c r="BD39" i="1"/>
  <c r="Y26" i="1"/>
  <c r="Y23" i="1"/>
  <c r="V19" i="1"/>
  <c r="X26" i="1"/>
  <c r="Y28" i="1"/>
  <c r="H26" i="1"/>
  <c r="AU42" i="1"/>
  <c r="BC42" i="1" s="1"/>
  <c r="H23" i="1"/>
  <c r="H20" i="1"/>
  <c r="H29" i="1"/>
  <c r="T52" i="1"/>
  <c r="AU44" i="1"/>
  <c r="BC44" i="1" s="1"/>
  <c r="AU43" i="1"/>
  <c r="BC43" i="1" s="1"/>
  <c r="Y24" i="1"/>
  <c r="V18" i="1"/>
  <c r="W21" i="1"/>
  <c r="BD47" i="1"/>
  <c r="Z51" i="1"/>
  <c r="W18" i="1"/>
  <c r="BD44" i="1"/>
  <c r="BD49" i="1"/>
  <c r="AU50" i="1"/>
  <c r="BC50" i="1" s="1"/>
  <c r="X22" i="1"/>
  <c r="U19" i="1"/>
  <c r="AT40" i="1" s="1"/>
  <c r="U23" i="1"/>
  <c r="AT44" i="1" s="1"/>
  <c r="BD42" i="1"/>
  <c r="U29" i="1"/>
  <c r="AT50" i="1" s="1"/>
  <c r="H19" i="1"/>
  <c r="T21" i="1"/>
  <c r="AU45" i="1"/>
  <c r="BC45" i="1" s="1"/>
  <c r="N26" i="1"/>
  <c r="AU47" i="1"/>
  <c r="BC47" i="1" s="1"/>
  <c r="AU41" i="1"/>
  <c r="BC41" i="1" s="1"/>
  <c r="X21" i="1"/>
  <c r="W25" i="1"/>
  <c r="AU40" i="1"/>
  <c r="BC40" i="1" s="1"/>
  <c r="AV46" i="1"/>
  <c r="BD46" i="1" s="1"/>
  <c r="BD40" i="1"/>
  <c r="Y27" i="1"/>
  <c r="U27" i="1"/>
  <c r="AT48" i="1" s="1"/>
  <c r="BA48" i="1" s="1"/>
  <c r="CD20" i="1"/>
  <c r="CD21" i="1" s="1"/>
  <c r="W22" i="1"/>
  <c r="W24" i="1"/>
  <c r="AU49" i="1"/>
  <c r="BC49" i="1" s="1"/>
  <c r="L46" i="1"/>
  <c r="H24" i="1"/>
  <c r="M52" i="1"/>
  <c r="H25" i="1"/>
  <c r="BC48" i="1"/>
  <c r="H28" i="1"/>
  <c r="AZ51" i="1"/>
  <c r="V29" i="1"/>
  <c r="H21" i="1"/>
  <c r="X18" i="1"/>
  <c r="V27" i="1"/>
  <c r="W23" i="1"/>
  <c r="T18" i="1"/>
  <c r="Y29" i="1"/>
  <c r="X27" i="1"/>
  <c r="N24" i="1"/>
  <c r="N18" i="1"/>
  <c r="W19" i="1"/>
  <c r="N28" i="1"/>
  <c r="BD41" i="1"/>
  <c r="F30" i="1"/>
  <c r="T29" i="1"/>
  <c r="BD48" i="1"/>
  <c r="R30" i="1"/>
  <c r="H27" i="1"/>
  <c r="U21" i="1"/>
  <c r="AT42" i="1" s="1"/>
  <c r="BD43" i="1"/>
  <c r="N25" i="1"/>
  <c r="CN20" i="1"/>
  <c r="CN21" i="1" s="1"/>
  <c r="CN22" i="1" s="1"/>
  <c r="CN23" i="1" s="1"/>
  <c r="BD45" i="1"/>
  <c r="AG51" i="1"/>
  <c r="W27" i="1"/>
  <c r="H18" i="1"/>
  <c r="G30" i="1"/>
  <c r="T26" i="1"/>
  <c r="X29" i="1"/>
  <c r="U18" i="1"/>
  <c r="AT39" i="1" s="1"/>
  <c r="W29" i="1"/>
  <c r="V23" i="1"/>
  <c r="U22" i="1"/>
  <c r="AT43" i="1" s="1"/>
  <c r="U28" i="1"/>
  <c r="AT49" i="1" s="1"/>
  <c r="Y21" i="1"/>
  <c r="V25" i="1"/>
  <c r="T19" i="1"/>
  <c r="N29" i="1"/>
  <c r="Q30" i="1"/>
  <c r="Y20" i="1"/>
  <c r="V20" i="1"/>
  <c r="T23" i="1"/>
  <c r="U20" i="1"/>
  <c r="AT41" i="1" s="1"/>
  <c r="M30" i="1"/>
  <c r="T27" i="1"/>
  <c r="N23" i="1"/>
  <c r="N22" i="1"/>
  <c r="J30" i="1"/>
  <c r="T28" i="1"/>
  <c r="P30" i="1"/>
  <c r="L30" i="1"/>
  <c r="O30" i="1"/>
  <c r="T25" i="1"/>
  <c r="K30" i="1"/>
  <c r="Y25" i="1"/>
  <c r="S30" i="1"/>
  <c r="X28" i="1"/>
  <c r="Y22" i="1"/>
  <c r="V22" i="1"/>
  <c r="X25" i="1"/>
  <c r="V24" i="1"/>
  <c r="X24" i="1"/>
  <c r="T20" i="1"/>
  <c r="V21" i="1"/>
  <c r="N21" i="1"/>
  <c r="V28" i="1"/>
  <c r="N19" i="1"/>
  <c r="V26" i="1"/>
  <c r="Y18" i="1"/>
  <c r="X19" i="1"/>
  <c r="N27" i="1"/>
  <c r="X20" i="1"/>
  <c r="X23" i="1"/>
  <c r="N20" i="1"/>
  <c r="I30" i="1"/>
  <c r="T22" i="1"/>
  <c r="U25" i="1"/>
  <c r="AT46" i="1" s="1"/>
  <c r="T24" i="1"/>
  <c r="CS23" i="1"/>
  <c r="S51" i="1"/>
  <c r="BD50" i="1"/>
  <c r="AA52" i="1"/>
  <c r="AV51" i="1"/>
  <c r="F52" i="1"/>
  <c r="L51" i="1"/>
  <c r="CI22" i="1"/>
  <c r="AU39" i="1"/>
  <c r="BC39" i="1" s="1"/>
  <c r="CS40" i="1"/>
  <c r="CI40" i="1"/>
  <c r="BA42" i="1" l="1"/>
  <c r="AU46" i="1"/>
  <c r="BC46" i="1" s="1"/>
  <c r="BC51" i="1" s="1"/>
  <c r="BA50" i="1"/>
  <c r="BA40" i="1"/>
  <c r="BA43" i="1"/>
  <c r="BA47" i="1"/>
  <c r="BA44" i="1"/>
  <c r="BA41" i="1"/>
  <c r="H30" i="1"/>
  <c r="F31" i="1"/>
  <c r="BA45" i="1"/>
  <c r="AV52" i="1"/>
  <c r="BA49" i="1"/>
  <c r="W30" i="1"/>
  <c r="AU51" i="1"/>
  <c r="BD51" i="1"/>
  <c r="X30" i="1"/>
  <c r="Y30" i="1"/>
  <c r="V30" i="1"/>
  <c r="U30" i="1"/>
  <c r="O31" i="1"/>
  <c r="T30" i="1"/>
  <c r="I31" i="1"/>
  <c r="N30" i="1"/>
  <c r="CN24" i="1"/>
  <c r="CI41" i="1"/>
  <c r="CD41" i="1"/>
  <c r="CD22" i="1"/>
  <c r="CS24" i="1"/>
  <c r="CT23" i="1" s="1"/>
  <c r="CI23" i="1"/>
  <c r="CS41" i="1"/>
  <c r="CN41" i="1"/>
  <c r="AT51" i="1"/>
  <c r="BA39" i="1"/>
  <c r="BC52" i="1" l="1"/>
  <c r="BA46" i="1"/>
  <c r="U31" i="1"/>
  <c r="X31" i="1"/>
  <c r="U32" i="1"/>
  <c r="CS42" i="1"/>
  <c r="CI24" i="1"/>
  <c r="CD23" i="1"/>
  <c r="CI42" i="1"/>
  <c r="BA51" i="1"/>
  <c r="BB53" i="1" s="1"/>
  <c r="BB54" i="1" s="1"/>
  <c r="CN42" i="1"/>
  <c r="CT24" i="1"/>
  <c r="CT19" i="1"/>
  <c r="CT20" i="1"/>
  <c r="CT21" i="1"/>
  <c r="CT22" i="1"/>
  <c r="CD42" i="1"/>
  <c r="CN25" i="1"/>
  <c r="U33" i="1" l="1"/>
  <c r="CD43" i="1"/>
  <c r="CI43" i="1"/>
  <c r="CJ42" i="1" s="1"/>
  <c r="CN26" i="1"/>
  <c r="CS43" i="1"/>
  <c r="CT42" i="1" s="1"/>
  <c r="CJ24" i="1"/>
  <c r="CJ19" i="1"/>
  <c r="CJ20" i="1"/>
  <c r="CJ21" i="1"/>
  <c r="CJ22" i="1"/>
  <c r="CJ23" i="1"/>
  <c r="CD24" i="1"/>
  <c r="CN43" i="1"/>
  <c r="CD44" i="1" l="1"/>
  <c r="CD25" i="1"/>
  <c r="CT43" i="1"/>
  <c r="CT38" i="1"/>
  <c r="CT39" i="1"/>
  <c r="CT40" i="1"/>
  <c r="CT41" i="1"/>
  <c r="CJ43" i="1"/>
  <c r="CJ38" i="1"/>
  <c r="CJ39" i="1"/>
  <c r="CJ40" i="1"/>
  <c r="CJ41" i="1"/>
  <c r="CN44" i="1"/>
  <c r="CN27" i="1"/>
  <c r="CN45" i="1" l="1"/>
  <c r="CD26" i="1"/>
  <c r="CN28" i="1"/>
  <c r="CD45" i="1"/>
  <c r="CN29" i="1" l="1"/>
  <c r="CN46" i="1"/>
  <c r="CD46" i="1"/>
  <c r="CD27" i="1"/>
  <c r="CD47" i="1" l="1"/>
  <c r="CO29" i="1"/>
  <c r="CO19" i="1"/>
  <c r="CO20" i="1"/>
  <c r="CO21" i="1"/>
  <c r="CO22" i="1"/>
  <c r="CO23" i="1"/>
  <c r="CO24" i="1"/>
  <c r="CO25" i="1"/>
  <c r="CO26" i="1"/>
  <c r="CO27" i="1"/>
  <c r="CO28" i="1"/>
  <c r="CD28" i="1"/>
  <c r="CN47" i="1"/>
  <c r="CD29" i="1" l="1"/>
  <c r="CD48" i="1"/>
  <c r="CN48" i="1"/>
  <c r="CO47" i="1" s="1"/>
  <c r="CE48" i="1" l="1"/>
  <c r="CE38" i="1"/>
  <c r="CE39" i="1"/>
  <c r="CE40" i="1"/>
  <c r="CE41" i="1"/>
  <c r="CE42" i="1"/>
  <c r="CE43" i="1"/>
  <c r="CE44" i="1"/>
  <c r="CE45" i="1"/>
  <c r="CE46" i="1"/>
  <c r="CE47" i="1"/>
  <c r="CO48" i="1"/>
  <c r="CO38" i="1"/>
  <c r="CO39" i="1"/>
  <c r="CO40" i="1"/>
  <c r="CO41" i="1"/>
  <c r="CO42" i="1"/>
  <c r="CO43" i="1"/>
  <c r="CO44" i="1"/>
  <c r="CO45" i="1"/>
  <c r="CO46" i="1"/>
  <c r="CE29" i="1"/>
  <c r="CE19" i="1"/>
  <c r="CE20" i="1"/>
  <c r="CE21" i="1"/>
  <c r="CE22" i="1"/>
  <c r="CE23" i="1"/>
  <c r="CE24" i="1"/>
  <c r="CE25" i="1"/>
  <c r="CE26" i="1"/>
  <c r="CE27" i="1"/>
  <c r="CE28" i="1"/>
</calcChain>
</file>

<file path=xl/sharedStrings.xml><?xml version="1.0" encoding="utf-8"?>
<sst xmlns="http://schemas.openxmlformats.org/spreadsheetml/2006/main" count="5201" uniqueCount="1285">
  <si>
    <t>DATABASE KONTRAK KERJASAMA
PT SEMARANG AUTOCOMP MANUFACTURING INDONESIA - TUGU FACTORY
Bulan April 2022</t>
  </si>
  <si>
    <t>Printed:</t>
  </si>
  <si>
    <t>NO</t>
  </si>
  <si>
    <t>DEPT</t>
  </si>
  <si>
    <t>AREA</t>
  </si>
  <si>
    <t>Kategori</t>
  </si>
  <si>
    <t>Penting</t>
  </si>
  <si>
    <t>Biasa</t>
  </si>
  <si>
    <t>Total Ada Kontrak</t>
  </si>
  <si>
    <t>Total Tidak Ada Kontrak</t>
  </si>
  <si>
    <t>PENTING</t>
  </si>
  <si>
    <t>Total</t>
  </si>
  <si>
    <t>Ada Kontrak</t>
  </si>
  <si>
    <t>Tidak Ada Kontrak</t>
  </si>
  <si>
    <t>Aktif</t>
  </si>
  <si>
    <t>Kadaluarsa&lt;=0 Bulan</t>
  </si>
  <si>
    <t>End Contract</t>
  </si>
  <si>
    <t>Belum Pernah Ada Kontrak</t>
  </si>
  <si>
    <t>Cancel</t>
  </si>
  <si>
    <t>Term 81</t>
  </si>
  <si>
    <t>Kadaluarsa</t>
  </si>
  <si>
    <t>Bulan</t>
  </si>
  <si>
    <t>Ada</t>
  </si>
  <si>
    <t>Tidak Ada</t>
  </si>
  <si>
    <t>Area</t>
  </si>
  <si>
    <t>Jumlah</t>
  </si>
  <si>
    <t>Cumulative Jumlah</t>
  </si>
  <si>
    <t>Cumulative %</t>
  </si>
  <si>
    <t>PGA</t>
  </si>
  <si>
    <t>GA</t>
  </si>
  <si>
    <t>SHE</t>
  </si>
  <si>
    <t>EXIM</t>
  </si>
  <si>
    <t>Translate</t>
  </si>
  <si>
    <t>MPC</t>
  </si>
  <si>
    <t>Vendor</t>
  </si>
  <si>
    <t>HR</t>
  </si>
  <si>
    <t>QA</t>
  </si>
  <si>
    <t>LD</t>
  </si>
  <si>
    <t>Legal</t>
  </si>
  <si>
    <t>IT</t>
  </si>
  <si>
    <t>PPC</t>
  </si>
  <si>
    <t>LOG</t>
  </si>
  <si>
    <t>User</t>
  </si>
  <si>
    <t>MTP</t>
  </si>
  <si>
    <t>Direktur</t>
  </si>
  <si>
    <t>Draft Kontrak</t>
  </si>
  <si>
    <t>WHS</t>
  </si>
  <si>
    <t>PE</t>
  </si>
  <si>
    <t>FA</t>
  </si>
  <si>
    <t>Ontime</t>
  </si>
  <si>
    <t>BIASA</t>
  </si>
  <si>
    <t>Penting "Progress Proses Kadaluarsa"</t>
  </si>
  <si>
    <t>Penting "Progress Proses Belum Pernah Ada Kontrak"</t>
  </si>
  <si>
    <t>Biasa "Progress Proses Kadaluarsa"</t>
  </si>
  <si>
    <t>Biasa "Progress Proses Belum Pernah Ada Kontrak"</t>
  </si>
  <si>
    <t>Perundingan</t>
  </si>
  <si>
    <t>ADA</t>
  </si>
  <si>
    <t>TIDAK ADA</t>
  </si>
  <si>
    <t>Presdir</t>
  </si>
  <si>
    <t>On Process</t>
  </si>
  <si>
    <t>Approved</t>
  </si>
  <si>
    <t>PER BULAN</t>
  </si>
  <si>
    <t>APPROVED PER AREA</t>
  </si>
  <si>
    <t>Ketarangan:</t>
  </si>
  <si>
    <t>Font biru</t>
  </si>
  <si>
    <t>: Penting</t>
  </si>
  <si>
    <t>: masih berlaku</t>
  </si>
  <si>
    <t>: kontrak belum pernah ada</t>
  </si>
  <si>
    <t>: kadaluarsa/ masa berlaku habis</t>
  </si>
  <si>
    <t>: masa berlaku &lt;4 bulan</t>
  </si>
  <si>
    <t>: end contract</t>
  </si>
  <si>
    <t>: cancel</t>
  </si>
  <si>
    <t>FILING HARDCOPY</t>
  </si>
  <si>
    <t>NILAI KONTRAK　価格</t>
  </si>
  <si>
    <t>PERIODE　契約期間</t>
  </si>
  <si>
    <t>PRIORITAS　優先順位</t>
  </si>
  <si>
    <t>PLAN</t>
  </si>
  <si>
    <t xml:space="preserve">CANCEL/END CONTRACT
現状
</t>
  </si>
  <si>
    <t>C/S</t>
  </si>
  <si>
    <t>LOKASI</t>
  </si>
  <si>
    <t>BINDER</t>
  </si>
  <si>
    <t>KATEGORI
R = Rutin
S = Sekali selasai</t>
  </si>
  <si>
    <t>NO PERJANJIAN
契約番号</t>
  </si>
  <si>
    <t>NAMA PERJANJIAN
契約名</t>
  </si>
  <si>
    <t>VENDOR/SUPPLIER
業者名</t>
  </si>
  <si>
    <t>NDA</t>
  </si>
  <si>
    <t>PRODUK
契約対象</t>
  </si>
  <si>
    <t>KONTAK PERSON
取引先の担当者</t>
  </si>
  <si>
    <t>RP</t>
  </si>
  <si>
    <t>PER</t>
  </si>
  <si>
    <t>MULAI</t>
  </si>
  <si>
    <t>AKHIR</t>
  </si>
  <si>
    <t>PERIODE (Tahun)</t>
  </si>
  <si>
    <t>PIC AREA
ユーザ</t>
  </si>
  <si>
    <t>SISA MASA BERLAKU (bulan)
切れるまでのタイミング</t>
  </si>
  <si>
    <t>AVAILABILITY
現状
O = Available
X = Not Available
Y = Kadaluarsa
Z = End Contract
C = Cancel</t>
  </si>
  <si>
    <t>Q</t>
  </si>
  <si>
    <t>C</t>
  </si>
  <si>
    <t>D</t>
  </si>
  <si>
    <t>SKOR</t>
  </si>
  <si>
    <t>KATEGORI</t>
  </si>
  <si>
    <t>REMARK
備考</t>
  </si>
  <si>
    <t>V=Review</t>
  </si>
  <si>
    <t>KET</t>
  </si>
  <si>
    <t>BULAN</t>
  </si>
  <si>
    <t>PIC PROSES
SAMIの担当者</t>
  </si>
  <si>
    <t>V = ADA
X = TIDAK ADA</t>
  </si>
  <si>
    <t>Approval by</t>
  </si>
  <si>
    <t>Approval date</t>
  </si>
  <si>
    <t>TF</t>
  </si>
  <si>
    <t>-</t>
  </si>
  <si>
    <t>Sewa Apartemen (Akira Kobayashi)</t>
  </si>
  <si>
    <t>GJ Iwan Hardjasudarma</t>
  </si>
  <si>
    <t>Not Available</t>
  </si>
  <si>
    <t>1 unit Apartemen Barong Unit A Lt.1</t>
  </si>
  <si>
    <t>Iwan, 0816666608, (024)3542202
iwanhardjasudarma@gmail.com</t>
  </si>
  <si>
    <t>2 bulan</t>
  </si>
  <si>
    <t>End</t>
  </si>
  <si>
    <t>WIN</t>
  </si>
  <si>
    <t>V</t>
  </si>
  <si>
    <t>Legal 4</t>
  </si>
  <si>
    <t>R</t>
  </si>
  <si>
    <t>Sewa Apartemen (Suzuki)</t>
  </si>
  <si>
    <t>GJ Iwan Hardjasudarma &amp; A. Ira Ananta Arman</t>
  </si>
  <si>
    <t>1 tahun</t>
  </si>
  <si>
    <t>New</t>
  </si>
  <si>
    <t>Tatsuya Matsushita</t>
  </si>
  <si>
    <t>Sewa Apartemen (Takashi Nagamori)</t>
  </si>
  <si>
    <t>1 unit Apartemen Barong Unit F Lt.3</t>
  </si>
  <si>
    <t>Sewa Apartemen (Kenta Kuroda)</t>
  </si>
  <si>
    <t>Chris Christopher</t>
  </si>
  <si>
    <t>1 unit Apartemen Bromo Unit A Lt.1</t>
  </si>
  <si>
    <t>Chris, 087831045578
chris_24c@yahoo.com</t>
  </si>
  <si>
    <t>SAMI/LKM-LA/05-2019/040</t>
  </si>
  <si>
    <t>Sewa Apartemen (Shinji Masuda)</t>
  </si>
  <si>
    <t>Chandra Suryana</t>
  </si>
  <si>
    <t>1 unit Apartemen Parama Graha Jl. Sisingamangaraja Lt.2 Unit 204</t>
  </si>
  <si>
    <t>Chandra, 08122876518</t>
  </si>
  <si>
    <t>3 bulan</t>
  </si>
  <si>
    <t>Sewa Apartemen (Teppei Mimura)</t>
  </si>
  <si>
    <t>1 unit Apartemen Bromo unit E Lt. 2</t>
  </si>
  <si>
    <t>Sewa Apartemen (Hisayoshi Hamagawa)</t>
  </si>
  <si>
    <t>1 unit Apartemen Barong Unit D Lt.2</t>
  </si>
  <si>
    <t>1 bulan</t>
  </si>
  <si>
    <t>Sewa Apartemen (Toru Yamamoto)</t>
  </si>
  <si>
    <t>Sewa Apartemen (Kato Kenta)</t>
  </si>
  <si>
    <t>1 unit Apartemen Bromo Unit C Lt.1</t>
  </si>
  <si>
    <t>SAMI/LKM-LA/05-2018/038</t>
  </si>
  <si>
    <t>Sewa Apartemen (Tatsuya Matsushita)</t>
  </si>
  <si>
    <t>1 unit Apartemen Bromo Unit B Lt.1</t>
  </si>
  <si>
    <t>Sewa Apartemen (Katsuhito Gonda)</t>
  </si>
  <si>
    <t>1 unit Apartemen Barong Unit C Lt. 2</t>
  </si>
  <si>
    <t>Sewa Apartemen (Nozomi Kawazaki)</t>
  </si>
  <si>
    <t>PT. Parama Dewa Raharja</t>
  </si>
  <si>
    <t>1 unit Apartemen Parama Graha, Suite no. 103</t>
  </si>
  <si>
    <t>Sewa Apartemen (Kishimoto)</t>
  </si>
  <si>
    <t>Anastasia Ira Ananta Arman</t>
  </si>
  <si>
    <t>008/LT/LGL.SS.SMG-317/II/2022</t>
  </si>
  <si>
    <t>Sewa Kendaraan (Operasional SAMI-TF)</t>
  </si>
  <si>
    <t>PT. Surya Sudeco (Tunas Rental)</t>
  </si>
  <si>
    <t>Available</t>
  </si>
  <si>
    <t>2 unit Mobil Toyota New Avanza 1.5 M/T Tahun 2022</t>
  </si>
  <si>
    <t>Dewi Sidomukti, (024)6721758
dewi.sidomukti@intra.tunasgroup.com</t>
  </si>
  <si>
    <t>1 unit</t>
  </si>
  <si>
    <t>New (gabung)</t>
  </si>
  <si>
    <t>072/LT//LGL.SS.SMG-317/XI/2020</t>
  </si>
  <si>
    <t>Sewa Kendaraan (Tadahiko Kotoda)</t>
  </si>
  <si>
    <t>Mobil Toyota All New Kijang Innova 2.0 M/T Luxury</t>
  </si>
  <si>
    <t>039/LT/LGL.SS.SMG-317/IX/2016</t>
  </si>
  <si>
    <t>Sewa Kendaraan (ex. Takafumi Harano)</t>
  </si>
  <si>
    <t xml:space="preserve">Mobil Nissan Evalia 1.5 XV M/T
</t>
  </si>
  <si>
    <t>065/LT/SS-SMG-317/XI/2018</t>
  </si>
  <si>
    <t>Sewa Kendaraan (Tatsuya Matsushita)</t>
  </si>
  <si>
    <t>Mobil All New Innova Venturer 2.0 A/T 2018 H-8827-ZP</t>
  </si>
  <si>
    <t>move to JF</t>
  </si>
  <si>
    <t>009/LT/LGL.SS.SMG-3317/II/2022</t>
  </si>
  <si>
    <t>Sewa Kendaraan (Kazuo Abe)</t>
  </si>
  <si>
    <t>Mobil Toyota New Veloz 1.5 M/T Tahun 2022</t>
  </si>
  <si>
    <t>059/LT/SS-SMG-317/IX/2020</t>
  </si>
  <si>
    <t>Sewa Kendaraan (Takashi Nagamori)</t>
  </si>
  <si>
    <t>Mobil Mitsubishi Xpander Exceed M/T 2018 H-9126-YP</t>
  </si>
  <si>
    <t>001/SMG/I/MKT-TN/2019</t>
  </si>
  <si>
    <t>Sewa Kendaraan (Kenta Kuroda)</t>
  </si>
  <si>
    <t>PT. Tritama Nusantara</t>
  </si>
  <si>
    <t>Mobil Toyota Innova G MT 2.0 Th. 2016 Hitam metalik H-8920-YZ</t>
  </si>
  <si>
    <t>001/LT/LGL.SS.SMG-317/I/2021</t>
  </si>
  <si>
    <t>Mobil Toyota Avanza Grand New Veloz 1.5 M/T 2020</t>
  </si>
  <si>
    <t>039/LT/SS-SMG-317/VII/2020</t>
  </si>
  <si>
    <t>Sewa Kendaraan (Hisayoshi Hamagawa)</t>
  </si>
  <si>
    <t>Mobil Toyota all new Kijang Innova 2.0 G M/T 2018</t>
  </si>
  <si>
    <t>038/LT/LGL.SS.SMG-317/VII/2021</t>
  </si>
  <si>
    <t>Sewa Kendaraan (Kishimoto)</t>
  </si>
  <si>
    <t>Mobil Toyota Avanza Grand New Veloz 1.5 M/T 2021</t>
  </si>
  <si>
    <t>084/LT/LGL.SS.SMG-317/XII/2020</t>
  </si>
  <si>
    <t>Sewa Kendaraan (Suzuki)</t>
  </si>
  <si>
    <t>016/SMG/XII/MKT-TN/2019</t>
  </si>
  <si>
    <t>Sewa Kendaraan (Akira Kobayashi)</t>
  </si>
  <si>
    <t>Mobil Toyota Innova 2016 Hitam H-9147-UZ</t>
  </si>
  <si>
    <t>013/SMG/IV/MKT-TN/2019</t>
  </si>
  <si>
    <t>Sewa Kendaraan (Kikuchi)</t>
  </si>
  <si>
    <t>Mobil Toyota Innova G MT 2.0 Th. 2016 Hitam metalik H-9147-UZ</t>
  </si>
  <si>
    <t>035LT/SS-SMG-317/V/2019</t>
  </si>
  <si>
    <t>Mobil Toyota Innova G MT 2.0 Th. 2015 B-2109-SFU</t>
  </si>
  <si>
    <t>1200004247/LEG/XI/14</t>
  </si>
  <si>
    <t>Sewa Kendaraan (Bambang Rianto)</t>
  </si>
  <si>
    <t>PT. Adi Sarana Armada</t>
  </si>
  <si>
    <t>Mobil Toyota New Innova 2.0 G A/T H-8553-RY</t>
  </si>
  <si>
    <t>004/LT/SS-SMG-317/I/2020</t>
  </si>
  <si>
    <t>Sewa Kendaraan (Teppei Mimura)</t>
  </si>
  <si>
    <t>Mobil Toyota All New Innova 2.0 V M/T</t>
  </si>
  <si>
    <t>005/LT/SS-SMG-317/I/2020</t>
  </si>
  <si>
    <t>Sewa Kendaraan (Katsuhito Gonda)</t>
  </si>
  <si>
    <t>Mobil Toyota All New Innova 2.0 G M/T</t>
  </si>
  <si>
    <t>LT-1121.1210059735-1</t>
  </si>
  <si>
    <t>Sewa Kendaraan (Mansur Isnaeni)</t>
  </si>
  <si>
    <t>Mobil Toyota New Innova 2.0 V A/T
B-2959-UFB</t>
  </si>
  <si>
    <t>X</t>
  </si>
  <si>
    <t>024/LT/SS-SMG-317/IV/2021</t>
  </si>
  <si>
    <t>Sewa Kendaraan (Ahmad Mubarak)</t>
  </si>
  <si>
    <t>Mobil Toyota Avanza Grand New Veloz 1.5 A/T</t>
  </si>
  <si>
    <t>057/LT/SS-SMG-317/IX/2021</t>
  </si>
  <si>
    <t>Sewa Kendaraan (Agus Nugroho)</t>
  </si>
  <si>
    <t>Mobil Toyota Avanza Grand New Veloz 1.5 A/T GR Limited 2021</t>
  </si>
  <si>
    <t>006/SMG/III/MKT-TN/2020</t>
  </si>
  <si>
    <t>Mobil Toyota Innova G MT 2.0 Tahun 2016</t>
  </si>
  <si>
    <t>SAMI/LKM-LA/12-2021/123</t>
  </si>
  <si>
    <t>Kontrak Perjanjian Cleaning Servise SAMI Tugu</t>
  </si>
  <si>
    <t>PT. Bintara Mitra Andalan</t>
  </si>
  <si>
    <t>Gardener</t>
  </si>
  <si>
    <t>addendum SAMI/LKM-LA/01-2022/014 Pasal 5A Standard Syarat Pekerja</t>
  </si>
  <si>
    <t>STI</t>
  </si>
  <si>
    <t>SAMI/LKM-LA/12-2021/122</t>
  </si>
  <si>
    <t>PT. Amazon Karya Elok Daya Mandiri</t>
  </si>
  <si>
    <t>Cleaning servis outside (kecuali gardener), inside, polytainer, sewa washroom &amp; pest control</t>
  </si>
  <si>
    <t>Budi, 08157700609</t>
  </si>
  <si>
    <t>Kontrak Perjanjian Kerjasama Pekerjaan Kebersihan (Cleaning Polytainer)</t>
  </si>
  <si>
    <t>Cleaning polytainer SAMI-TF</t>
  </si>
  <si>
    <t>End, Gabung</t>
  </si>
  <si>
    <t>3012/VII/AZ-SAMI.SMG/II/2018</t>
  </si>
  <si>
    <t>Kontrak Perjanjian Kerjasama Pekerjaan Kebersihan (Cleaning Service SAMI Tugu) - Inside</t>
  </si>
  <si>
    <t>Cleaning service SAMI-TF (inside)</t>
  </si>
  <si>
    <t>0109/I/AZ-SAMI.SMG/IX/2017</t>
  </si>
  <si>
    <t>Kontrak Perjanjian Kerjasama Pekerjaan Kebersihan (Cleaning Service SAMI Tugu) - Outside</t>
  </si>
  <si>
    <t>Cleaning service SAMI-TF (outside)</t>
  </si>
  <si>
    <t>0109/I/AZ-PC/SAMI.SMG/IX/2017</t>
  </si>
  <si>
    <t>Kontrak Perjanjian Kerjasama Pekerjaan Kebersihan (Pest Control SAMI Tugu)</t>
  </si>
  <si>
    <t>Pest control</t>
  </si>
  <si>
    <t>2309/I/AZ-SAMI.SMG/IX/2017</t>
  </si>
  <si>
    <t>Kontrak Perjanjian Kerjasama Pekerjaan Kebersihan (Sewa Washroom)</t>
  </si>
  <si>
    <t>Sewa washroom</t>
  </si>
  <si>
    <t>SAMI/LKM-LA/01-2021/003
07/GUN.SEJAHTERA-SAMI/SMG/I/2021</t>
  </si>
  <si>
    <t>Penyediaan dan Pengelolaan Tenaga Pengamanan</t>
  </si>
  <si>
    <t>PT. Garda Utama Nusa Sejahtera</t>
  </si>
  <si>
    <t>Tenaga pengamanan (Security) SAMI-TF</t>
  </si>
  <si>
    <t>smg.guns@yahoo.co.id
0828 9203 2880</t>
  </si>
  <si>
    <t>Tidak diperpanjang</t>
  </si>
  <si>
    <t>SAMI/LKM-LA/12-2021/117</t>
  </si>
  <si>
    <t>Penyediaan dan pengelolaan personil satpam</t>
  </si>
  <si>
    <t>Kuswari Lusianawati/ Alwi Subekhi
bintaramitraandalan@yahoo.com
alwisubekhibima@gmail.com
024-76420025</t>
  </si>
  <si>
    <t>SAMI/LKM-LA/01-2022/013</t>
  </si>
  <si>
    <t>Pengolahan Sampah SAMI-TF</t>
  </si>
  <si>
    <t>PT. Eben Haezer</t>
  </si>
  <si>
    <t>Pengelolaan sampah</t>
  </si>
  <si>
    <t>Agus Suriyanto, (0295)4746122
08122847819</t>
  </si>
  <si>
    <t>SAMI/LKM-LA/11-2021/099</t>
  </si>
  <si>
    <t>Pembuatan Seragam Karyawan dan barang lain dari kain</t>
  </si>
  <si>
    <t>Cipta cemerlang abadi</t>
  </si>
  <si>
    <t>seragam, rompi, wearpack, bendera, celemek, topi, dll</t>
  </si>
  <si>
    <t>Rohmat, 085727198941, 085105729200
rohmatcca69@gmail.com</t>
  </si>
  <si>
    <t>Lampiran</t>
  </si>
  <si>
    <t>FYH
NZA</t>
  </si>
  <si>
    <t>Perjanjian Sambungan Telkom</t>
  </si>
  <si>
    <t>PT. Telkom</t>
  </si>
  <si>
    <t>Sambungan telekomunikasi</t>
  </si>
  <si>
    <t>FYH</t>
  </si>
  <si>
    <t>Coorporate Garuda Indonesia</t>
  </si>
  <si>
    <t>PT. Garuda Indonesia (PERSERO) Tbk.</t>
  </si>
  <si>
    <t>Diskon harga tiket pesawat Garuda</t>
  </si>
  <si>
    <t>(024)3517007, 081226125600
marketingsalesbosrg@garuda-indonesia.com, marga.tina@garuda-indonesia.com</t>
  </si>
  <si>
    <t>SAMI/LKM-LA/4/2017/008</t>
  </si>
  <si>
    <t>Perjanjian Pengelolaan Cafetaria Tugu</t>
  </si>
  <si>
    <t>Koperasi</t>
  </si>
  <si>
    <t>Pengelolaan Cafetaria</t>
  </si>
  <si>
    <t>Taufik Widianto</t>
  </si>
  <si>
    <t>SAMI/LKM-LA/02-2022/016</t>
  </si>
  <si>
    <t>Sulis Hariyanto</t>
  </si>
  <si>
    <t>0312/III/AZ-SAMI-SMG/I/2022</t>
  </si>
  <si>
    <t>Kerjasama Tenaga Masak Expat</t>
  </si>
  <si>
    <t>Tenaga masak</t>
  </si>
  <si>
    <t>Budi Sanyoto
024-8412753
az.dayamandiri@gmail.com</t>
  </si>
  <si>
    <t>Sekali selesai</t>
  </si>
  <si>
    <t>S</t>
  </si>
  <si>
    <t>SAMI/LKM-LA/10-2021/088</t>
  </si>
  <si>
    <t>Agen Property</t>
  </si>
  <si>
    <t>PT. Karunia Sola Gratia (LJ Hooker Semarang Kota)</t>
  </si>
  <si>
    <t>Jasa pemasaran penjualan tanah milik PT SAMI di Bergas</t>
  </si>
  <si>
    <t>Thio Mei Lan
ljhsemarangkota@gmail.com
024-8410099</t>
  </si>
  <si>
    <t>nilai jual</t>
  </si>
  <si>
    <t>AWI</t>
  </si>
  <si>
    <t>SAMI/LKM-LA/10-2021/084</t>
  </si>
  <si>
    <t>Sewa Printer</t>
  </si>
  <si>
    <t>CV. Mitra Media Sukses</t>
  </si>
  <si>
    <t>Printer 20 unit</t>
  </si>
  <si>
    <t>Toni Rahmawan
mitramedia.computer@yahoo.com
081904300844</t>
  </si>
  <si>
    <t>400.000
300.000</t>
  </si>
  <si>
    <t>1 Printer off
1 Printer prd</t>
  </si>
  <si>
    <t>SAMI/LKM-LA/04-2021/034</t>
  </si>
  <si>
    <t>Sewa Mesin fotocopy</t>
  </si>
  <si>
    <t>CV. Dea Copier</t>
  </si>
  <si>
    <t>1 unit mesin konica minolta bizhub 554e dan 1 unit mesin konica minolta bizhub 362 backup</t>
  </si>
  <si>
    <t>tata9wib1278@gmail.com
081 2253 2554</t>
  </si>
  <si>
    <t>SAMI/LKM-LA/06-2020/066</t>
  </si>
  <si>
    <t>Pembelian</t>
  </si>
  <si>
    <t>CV. Acindo Perkasa</t>
  </si>
  <si>
    <t>4 unit AC ruang GA, IT, Traning</t>
  </si>
  <si>
    <t>Afan Haryono
acindoperkasa@gmail.com
081901027575</t>
  </si>
  <si>
    <t>4 unit</t>
  </si>
  <si>
    <t>garansi pemasangan 6 bulan
garansi elektronik 1 tahun
garansi compresor outdor 3 tahun</t>
  </si>
  <si>
    <t>SAMI/LKM-LA/09-2021/078</t>
  </si>
  <si>
    <t>Pengurusan SLF</t>
  </si>
  <si>
    <t>CV. Reswara Praptama</t>
  </si>
  <si>
    <t>Pengurusan SLF termasuk Andalalin dan Rekom Kebakaran</t>
  </si>
  <si>
    <t>Wahyu Siswoyo
089601903678
wahyu.reswara@gmail.com</t>
  </si>
  <si>
    <t>SAMI/LKM-LA/10-2021/085</t>
  </si>
  <si>
    <t>Pembuatan Ram Goter</t>
  </si>
  <si>
    <t>CV. Sangroni Putra</t>
  </si>
  <si>
    <t>Pekerjaan pembuatan dan jasa pemasangan ram goter</t>
  </si>
  <si>
    <t>Imam Hidayat
sangroniputra@gmail.com
081320410997</t>
  </si>
  <si>
    <t>garansi 6 bulan</t>
  </si>
  <si>
    <t>SAMI/LKM-LA/01-2022/012</t>
  </si>
  <si>
    <t>Pembuatan Kanopi</t>
  </si>
  <si>
    <t>Pekerjaan pembuatan kanopi samping mushola</t>
  </si>
  <si>
    <t>pekerjaan</t>
  </si>
  <si>
    <t>SAMI/LKM-LA/10-2021/080</t>
  </si>
  <si>
    <t>CV. Bie Jav Engineering</t>
  </si>
  <si>
    <t>Pembelian dan jasa pemasangan lampu jalan</t>
  </si>
  <si>
    <t>Triesal
biejav@gmail.com
024-76332280</t>
  </si>
  <si>
    <t>10 set</t>
  </si>
  <si>
    <t>garansi lampu 3 tahun
garansi pemasangan 6 bulan</t>
  </si>
  <si>
    <t>SAMI/LKM-LA/10-2021/083</t>
  </si>
  <si>
    <t>Perbaikan plafon</t>
  </si>
  <si>
    <t>CV. Karya Tuwuh</t>
  </si>
  <si>
    <t>Pekerjaan penggantian plafon PVC rest area depan kantin</t>
  </si>
  <si>
    <t>Suryadi
karyatuwuh01@gmail.com
085881114328</t>
  </si>
  <si>
    <t>2072/AJS/PS-A/XI/2021</t>
  </si>
  <si>
    <t>CV. Aneka Jaya</t>
  </si>
  <si>
    <t>3.725 paket sembako</t>
  </si>
  <si>
    <t>paket</t>
  </si>
  <si>
    <t>SAMI/LKM-LA/11-2021/093</t>
  </si>
  <si>
    <t>PT. Maxima Surya Abadi</t>
  </si>
  <si>
    <t>46 komputer &amp; 8 laptop</t>
  </si>
  <si>
    <t>Hamsyah Irawan
irhamsyah@maxsa.co.id
031-9925707</t>
  </si>
  <si>
    <t>15.940.000
24.000.000</t>
  </si>
  <si>
    <t>komputer
laptop</t>
  </si>
  <si>
    <t>SAMI/LKM-LA/12-2021/126</t>
  </si>
  <si>
    <t>SAMI/LKM-LA/09-2018/074</t>
  </si>
  <si>
    <t>PT. Smartnetindo Multi Solusi</t>
  </si>
  <si>
    <t>Perangkat komputer</t>
  </si>
  <si>
    <t>Wahyu
085329365556</t>
  </si>
  <si>
    <t>Base on quotation letter</t>
  </si>
  <si>
    <t>SAMI/LKM-LA/04-2019/028</t>
  </si>
  <si>
    <t>CV. ABASIS SOLUSI MANDIRI</t>
  </si>
  <si>
    <t>Perangkat lunak komputer</t>
  </si>
  <si>
    <t>Ahmad Sopian,
081219510096</t>
  </si>
  <si>
    <t>otomatis perpanjang untuk 1 tahun berikutnya</t>
  </si>
  <si>
    <t>Hiroshi Yamashita</t>
  </si>
  <si>
    <t>SAMI/LKM-LA/04-2019/034</t>
  </si>
  <si>
    <t>CV. ANUGRAH AGUNG</t>
  </si>
  <si>
    <t>alat listrik, material perawatan gedung &amp; sanitari, alat teknik</t>
  </si>
  <si>
    <t>Tary
anugrahagung_adm@yahoo.com
024-76489095</t>
  </si>
  <si>
    <t>SAMI/LKM-LA/07-2020/086</t>
  </si>
  <si>
    <t>CV. ANUGRAH SENTOSA</t>
  </si>
  <si>
    <t>safety shoes &amp; sarung tangan</t>
  </si>
  <si>
    <t>Carina Kusumaningrum.
024-3560445
anugrahsentosasmg@gmail.com</t>
  </si>
  <si>
    <t>ganti dari CV ke PT. Anugrah Sentosa Proteksindo</t>
  </si>
  <si>
    <t>SAMI/LKM-LA/11-2021/095</t>
  </si>
  <si>
    <t>PT. Anugrah Sentosa Proteksindo</t>
  </si>
  <si>
    <t>Sarung tangan comet</t>
  </si>
  <si>
    <t>Rahmat Suwitono
024-3560445</t>
  </si>
  <si>
    <t>SAMI/LKM-LA/05-2021/038</t>
  </si>
  <si>
    <t>CV. CAHAYA PURNAMA MENTARI</t>
  </si>
  <si>
    <t>Stiker &amp; Plastik</t>
  </si>
  <si>
    <t>Akhid</t>
  </si>
  <si>
    <t>FYH
TOY</t>
  </si>
  <si>
    <t>001/KMC/CJE/SAMI/X/18
SAMI/LKM-LA/11-2018/093</t>
  </si>
  <si>
    <t>Servis air compressor dan air dryer</t>
  </si>
  <si>
    <t>CV. CENTRAL JAVA ENGINEERING</t>
  </si>
  <si>
    <t>- 1 unit Air compressor GA90VSD Atlas Copco
- 1 unit Air Dryer FX 16 Atlas Copco</t>
  </si>
  <si>
    <t>Taryono
(024)76727414</t>
  </si>
  <si>
    <t>5 kali servis</t>
  </si>
  <si>
    <t>JAW</t>
  </si>
  <si>
    <t>Legal 5</t>
  </si>
  <si>
    <t>SAMI/LKM-LA/06-2021/060</t>
  </si>
  <si>
    <t>1 unit air compressor GA90VSD Atlas Copco dan 1 unit air dryer FX16 Atlas Copco</t>
  </si>
  <si>
    <t>SAMI/LKM-LA/04-2019/036</t>
  </si>
  <si>
    <t>CV. GEMA INSAN MANDIRI</t>
  </si>
  <si>
    <t>SAMI/LKM-LA/06-2020/079</t>
  </si>
  <si>
    <t>CV. JAYA PROTECT</t>
  </si>
  <si>
    <t>Refill APAR</t>
  </si>
  <si>
    <t>Marno,
024-76485055
jayaprotect@yahoo.co.id</t>
  </si>
  <si>
    <t>Tidak diperpanjang
ganti nama PT. Aman Multi Indonesia</t>
  </si>
  <si>
    <t>002/CV/JJA/KDL/IV/'19
SAMI/LKM-LA/05-2019/050</t>
  </si>
  <si>
    <t>CV. JTWO JAYA ABADI</t>
  </si>
  <si>
    <t>jasa advertising/ barang cetakan</t>
  </si>
  <si>
    <t>Moh. Adib
082113425503
mohadib371@gmail.com</t>
  </si>
  <si>
    <t>SAMI/LKM-LA/11-2018/101</t>
  </si>
  <si>
    <t>CV. MITRA TEKNIK</t>
  </si>
  <si>
    <t>perangkat keamanan seperti cctv, alarm, akses door, dll</t>
  </si>
  <si>
    <t>Romi,
024-7609131
info@mitrateknik.co.id</t>
  </si>
  <si>
    <t>037/MR-INS/X/2018
SAMI/LKM-LA/04-2019/036</t>
  </si>
  <si>
    <t>CV. MUSTIKA RAJAWALI</t>
  </si>
  <si>
    <t>Refill toner dan sparepart</t>
  </si>
  <si>
    <t>Ery Dwi Wahyuni,
085100560656/085100173728</t>
  </si>
  <si>
    <t>unit</t>
  </si>
  <si>
    <t>SAMI/LKM-LA/06-2021/052</t>
  </si>
  <si>
    <t>CV. PREMA JAYA</t>
  </si>
  <si>
    <t>stempel, sticker, percetakan</t>
  </si>
  <si>
    <t>Budi Dwi Priyanto
08164888581/085100127029
premajaya_1970@yahoo.com</t>
  </si>
  <si>
    <t>SAMI/LKM-LA/05-2019/045</t>
  </si>
  <si>
    <t>CV. PRIMA ENGINEERING</t>
  </si>
  <si>
    <t>spare part industri</t>
  </si>
  <si>
    <t>Prasetyo
087731733313
rudigloyor@ymail.com</t>
  </si>
  <si>
    <t>CV. RIZKY MAKMUR</t>
  </si>
  <si>
    <t>SAMI/LKM-LA/06-2021/046</t>
  </si>
  <si>
    <t>CV. SARANA MITRA SEJAHTERA</t>
  </si>
  <si>
    <t>perlengkapan kantor, peralatan kerja</t>
  </si>
  <si>
    <t>Hary, 081325144858/085865734858
harry_saranams@yahoo.com</t>
  </si>
  <si>
    <t>base on quotation &amp; lampiran</t>
  </si>
  <si>
    <t>FYH
TOY
NZA</t>
  </si>
  <si>
    <t>SAMI/LKM-LA/06-2020/064</t>
  </si>
  <si>
    <t>CV. SENTRAL TEKNIK UTAMA</t>
  </si>
  <si>
    <t>material building</t>
  </si>
  <si>
    <t>Eko Wibowo
024-76921544
sentral.teknik.utama@gmail.com</t>
  </si>
  <si>
    <t>SAMI/LKM-LA/11-2018/102</t>
  </si>
  <si>
    <t>CV. SUMBER REJEKI</t>
  </si>
  <si>
    <t>aneka barang</t>
  </si>
  <si>
    <t>Eko Kristianto
08987000054
cvsumberrejeki007@gmail.com</t>
  </si>
  <si>
    <t>SAMI/LKM-LA/11-2018/099</t>
  </si>
  <si>
    <t>CV. XPIT PILAR</t>
  </si>
  <si>
    <t>Perangkat komputer &amp; jaringan</t>
  </si>
  <si>
    <t>Budi, 081225048910</t>
  </si>
  <si>
    <t>Legal 7</t>
  </si>
  <si>
    <t>SAMI/LKM-LA/11-2021/091</t>
  </si>
  <si>
    <t>CV. Gusmanto Kedungombo Putro</t>
  </si>
  <si>
    <t>Air Bersih</t>
  </si>
  <si>
    <t>Gusmanto
081390497282
yunantohandoko4682@gmail.com</t>
  </si>
  <si>
    <t>8m3</t>
  </si>
  <si>
    <t>SAMI/LKM-LA/11-2021/094</t>
  </si>
  <si>
    <t>CV. Kembar Putra Makmur</t>
  </si>
  <si>
    <t>Sairah Riyanti
081904410877
cheche.riyanti5@gmail.com</t>
  </si>
  <si>
    <t>SAMI/LKM-LA/11-2021/096</t>
  </si>
  <si>
    <t>CV. Elang Jagad Group</t>
  </si>
  <si>
    <t>Raeka Angel Setyowati
082133902979
elangjagadgroup21@gmail.com</t>
  </si>
  <si>
    <t>SAMI/LKM-LA/11-2021/103</t>
  </si>
  <si>
    <t>Tunggak Semi Floris</t>
  </si>
  <si>
    <t>Tanaman</t>
  </si>
  <si>
    <t>Mardi
pakmardi298@gmail.com
085640212218</t>
  </si>
  <si>
    <t>SAMI/LKM-LA/11-2021/100</t>
  </si>
  <si>
    <t>PT. Aman Multi Indonesia</t>
  </si>
  <si>
    <t>Marnoto
081575383875
amanmultiindonesia@gmail.com</t>
  </si>
  <si>
    <t>MILADO</t>
  </si>
  <si>
    <t>cancel</t>
  </si>
  <si>
    <t>Legal 6</t>
  </si>
  <si>
    <t>SAMI/LKM-LA/12-2021/125</t>
  </si>
  <si>
    <t>Jasa kalibrasi dan preventive screwdriver desoutter</t>
  </si>
  <si>
    <t>PT. ATLAS COPCO INDONESIA</t>
  </si>
  <si>
    <t>kalibrasi &amp; preventive screwdriver desoutter</t>
  </si>
  <si>
    <t>eko, 08118470756
eko.sarjono@desouttertools.com</t>
  </si>
  <si>
    <t>AZP</t>
  </si>
  <si>
    <t>SAMI/LKM-LA/12-2021/119</t>
  </si>
  <si>
    <t>Jasa kalibrasi</t>
  </si>
  <si>
    <t>PT. ANAMETRI METROLOGI INDONESIA</t>
  </si>
  <si>
    <t>kalibrasi voltage tester, push pull tester, tube gauge, dll</t>
  </si>
  <si>
    <t>Dita permana putra
anametrimetrologi@gmail.com
sekretariat@anametri.com
024 76402446</t>
  </si>
  <si>
    <t>SAMI/LKM-LA/07-2020/084</t>
  </si>
  <si>
    <t>Jasa Kalibrasi</t>
  </si>
  <si>
    <t>CV. KASHELARA</t>
  </si>
  <si>
    <t>Kalibrasi survey meter/ pendose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</si>
  <si>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</si>
  <si>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SAMI/LKM-LA/06-2021/054</t>
  </si>
  <si>
    <t>PT. CALTESYS INDONESIA</t>
  </si>
  <si>
    <t>Kalibrasi alat ukur</t>
  </si>
  <si>
    <t>Yunus Rahadiono
yunus@catesys.com
024 76431688</t>
  </si>
  <si>
    <t>USI-1014/1118</t>
  </si>
  <si>
    <t>Sertifikasi IATF 16949:2016 &amp; ISO 9001:2015</t>
  </si>
  <si>
    <t>PT URS SERVICES INDONESIA</t>
  </si>
  <si>
    <t>- 87.500.000
- 66.500.000
- 66.500.000</t>
  </si>
  <si>
    <t>-Recertification
-Audit surveillance 2023
-Audit surveillance 2024</t>
  </si>
  <si>
    <t>DMJ</t>
  </si>
  <si>
    <t>Register DUNS Number</t>
  </si>
  <si>
    <t>PT. D&amp;B INDONESIA</t>
  </si>
  <si>
    <t>Sertifikat DUNS</t>
  </si>
  <si>
    <t>SAMI/LKM-LA/05-2019/055</t>
  </si>
  <si>
    <t>PT. AUTOJAYA IDETECH</t>
  </si>
  <si>
    <t>barang elektronik dan perlengkapan komputer</t>
  </si>
  <si>
    <t>Adrian Dewantoro
adrian.d@acsgroup.co.id
024-76638095/93</t>
  </si>
  <si>
    <t>SAMI/LKM-LA/05-2019/054</t>
  </si>
  <si>
    <t>PT. BINO MITRA SEJATI</t>
  </si>
  <si>
    <t>perlengkapan kantor merk Bantex</t>
  </si>
  <si>
    <t>Fendi Firmansyah
adm.binosemarang@gmail.com
024-7627367</t>
  </si>
  <si>
    <t>SAMI/LKM-LA/11-2021/111</t>
  </si>
  <si>
    <t>PT. CENTRAL PLOTTER INDONESIA</t>
  </si>
  <si>
    <t>tinta ploter &amp; printhead</t>
  </si>
  <si>
    <t>Zera Donna
zera@centralplotter.com
021 8309744</t>
  </si>
  <si>
    <t>SAMI/LKM-LA/06-2021/056</t>
  </si>
  <si>
    <t>PT. GADING MURNI</t>
  </si>
  <si>
    <t>alat tulis kantor</t>
  </si>
  <si>
    <t>Venny Adrianto
031-5474461
venny@gadingmurni.co.id</t>
  </si>
  <si>
    <t>SAMI/LKM-LA/05-2019/043</t>
  </si>
  <si>
    <t>PT. GLOBAL DEALS ASIA</t>
  </si>
  <si>
    <t>Calibration tools</t>
  </si>
  <si>
    <t>Robert Handoyo Susetyo
021-59892241
robert@globaldeals.asia</t>
  </si>
  <si>
    <t>SAMI/LKM-LA/06-2020/065</t>
  </si>
  <si>
    <t>PT. GRAFITAMA DELTAKREASI</t>
  </si>
  <si>
    <t>cartridge remanufactur</t>
  </si>
  <si>
    <t>Nana/ Didik
astriana.rengganis@grafitama.com
didik.widiatmoko@grafitama.com</t>
  </si>
  <si>
    <t>SAMI/LKM-LA/11-2019/129</t>
  </si>
  <si>
    <t>Pembelian compressor</t>
  </si>
  <si>
    <t>PT. KOBELINDO COMPRESSORS</t>
  </si>
  <si>
    <t>1 unit compresscor merk Cobelco</t>
  </si>
  <si>
    <t>Achmad Fajri
marketing@kobelindo.co.id
021-7827002</t>
  </si>
  <si>
    <t>SAMI/LKM-LA/06-2021/044</t>
  </si>
  <si>
    <t>PT. KAHAR DUTA SARANA</t>
  </si>
  <si>
    <t>Label thermal, label sticker syntetic</t>
  </si>
  <si>
    <t>Siti Arifatun
arifatun@kahar.co.id
024-3563879</t>
  </si>
  <si>
    <t>PT. KAWAN LAMA SEJAHTERA</t>
  </si>
  <si>
    <t>PT. KRISBOW INDONESIA</t>
  </si>
  <si>
    <t>PT. MANDALA ADHIPERKASA SEJATI</t>
  </si>
  <si>
    <t>PT. NACHINDO TAPE INDUSTRY</t>
  </si>
  <si>
    <t>SAMI/LKM-LA/11-2018/087</t>
  </si>
  <si>
    <t>PT. SARANA SOLUSINDO INFORMATIKA</t>
  </si>
  <si>
    <t>Rudy Siswanto,
021-7201419
rudys@solusi.com</t>
  </si>
  <si>
    <t>05/03/22 BPI: pembelian tidak rutin dan nilai kurang dari 10juta</t>
  </si>
  <si>
    <t>SAMI/LKM-LA/11-2021/098</t>
  </si>
  <si>
    <t>Servis generator set</t>
  </si>
  <si>
    <t>CV. BIE JAV ENGINEERING</t>
  </si>
  <si>
    <t>servis 2 unit genset model PL 800</t>
  </si>
  <si>
    <t>21.735.980
22.344.792</t>
  </si>
  <si>
    <t>nov 21/unit
mei 22/unit</t>
  </si>
  <si>
    <t>ROSKY COLLECTION SEMARANG</t>
  </si>
  <si>
    <t>SAMI/LKM-LA/06-2020/081</t>
  </si>
  <si>
    <t>CV. AKSARA MEDIA PROMOSI</t>
  </si>
  <si>
    <t>MMT</t>
  </si>
  <si>
    <t>Dewi Ratnasari,
08988758080
aksaramediapromosi@gmail.com</t>
  </si>
  <si>
    <t>SAMI/LKM-LA/05-2019/058</t>
  </si>
  <si>
    <t>TOKO PLASTIK 21</t>
  </si>
  <si>
    <t>peralatan kebersihan dan perlengkapan rumah tangga</t>
  </si>
  <si>
    <t>Jenni Harsono
harsono_jenni@gmail.com
024-3510464</t>
  </si>
  <si>
    <t>SAMI/LKM-LA/06-2021/049</t>
  </si>
  <si>
    <t>CV. TRI JAYA</t>
  </si>
  <si>
    <t>alat tulis</t>
  </si>
  <si>
    <t>Nova/ Tini/ Kiky
024-3587278
rudy_budiono@yahoo.com</t>
  </si>
  <si>
    <t>addendum GADSL, dll</t>
  </si>
  <si>
    <t>ZONA COMPUTER</t>
  </si>
  <si>
    <t>SAMI/LKM-LA/05-2019/051</t>
  </si>
  <si>
    <t>CV. DELTA TEKNIK</t>
  </si>
  <si>
    <t>perlengkapan komputer dan elektronik dan fire alarm</t>
  </si>
  <si>
    <t>Nur Rochman
024-6712424
info@deltateknik.co.id</t>
  </si>
  <si>
    <t>SAMI/LKM-LA/09-2021/075</t>
  </si>
  <si>
    <t>Sewa printer plotter</t>
  </si>
  <si>
    <t>PT. Sahabat Makmur Mandiri</t>
  </si>
  <si>
    <t>1 unit printer plotter T1700</t>
  </si>
  <si>
    <t>Muh. Sunarso
sahabatmakmurmandiri@gmail.com
024-776405991</t>
  </si>
  <si>
    <t>SAMI/LKM-LA/09-2021/079</t>
  </si>
  <si>
    <t>Servis Plotter</t>
  </si>
  <si>
    <t>servis plotter HP Designjet T5130</t>
  </si>
  <si>
    <t>SAMI/LKM-LA/10-2021/081</t>
  </si>
  <si>
    <t>CV. Pramunegeri</t>
  </si>
  <si>
    <t>1 unit printer laser warna M750</t>
  </si>
  <si>
    <t>Shofi
085878124000
elhamedia@ymail.com</t>
  </si>
  <si>
    <t>SAMI/LKM-LA/08-2020/091</t>
  </si>
  <si>
    <t>AKIP</t>
  </si>
  <si>
    <t>1 unit printer plotter HP Disignjet 500 PS</t>
  </si>
  <si>
    <t>Akip
081222672928
081931160417</t>
  </si>
  <si>
    <t>SAMI/LKM-LA/01-2021/019</t>
  </si>
  <si>
    <t>Sewa printer</t>
  </si>
  <si>
    <t>1 unit printer HP Color Laserjet CP5225</t>
  </si>
  <si>
    <t>SAMI/LKM-LA/01-2021/017</t>
  </si>
  <si>
    <t>PT. Sato Label Solutions</t>
  </si>
  <si>
    <t>SATO Barcode Printer dan Accessories</t>
  </si>
  <si>
    <t>Oni Zukhriaddin
oni.zukhriaddin@sato-global.com
024-7603055, 024-76638058</t>
  </si>
  <si>
    <t>22.000.000
6.300.000</t>
  </si>
  <si>
    <t>Printer
Accessories</t>
  </si>
  <si>
    <t>garansi 12 bulan</t>
  </si>
  <si>
    <t>SAMI/LKM-LA/03-2022/020</t>
  </si>
  <si>
    <t>CV. Tri Mulyanto Teknik</t>
  </si>
  <si>
    <t>tangki solar genset kapasitas 8000 liter</t>
  </si>
  <si>
    <t>Tri Mulyanto
tmbajaringan@gmail.com
081226258435</t>
  </si>
  <si>
    <t>SAMI/LKM-LA/11-2021/090</t>
  </si>
  <si>
    <t>Sewa Bus Karyawan</t>
  </si>
  <si>
    <t>CV. Pratama Jaya</t>
  </si>
  <si>
    <t>2 unit bus AC kapasitas 31 kursi + driver</t>
  </si>
  <si>
    <t>Arie Kestiawan
ariekestiawan0206@gmail.com
0838-3689-9220</t>
  </si>
  <si>
    <t>1 bus/rute</t>
  </si>
  <si>
    <t>SAMI/LKM-LA/10-2018/076</t>
  </si>
  <si>
    <t>CV. Mandiri Jaya Makmur</t>
  </si>
  <si>
    <t>Hadi, 082221668074
dewianjarini@gmail.com</t>
  </si>
  <si>
    <t>Mulia Teknik</t>
  </si>
  <si>
    <t>SAMI/LKM-LA/11-2021/097</t>
  </si>
  <si>
    <t>Pembelian Air Minum Galon</t>
  </si>
  <si>
    <t>PT. Mitra Tirta Buwana</t>
  </si>
  <si>
    <t>Air minum kemasan galon merk Hexsoul</t>
  </si>
  <si>
    <t>Surono
surono.se.kokola@gmail.com
mitratirtabuwana_jogja@yahoo.com
0274-488811</t>
  </si>
  <si>
    <t>1 galon</t>
  </si>
  <si>
    <t>SAMI/LKM-LA/11-2021/101</t>
  </si>
  <si>
    <t>CV. Jaya Makmur</t>
  </si>
  <si>
    <t>perangkat hardware PC</t>
  </si>
  <si>
    <t>Reza/Lies Siana
lies@jayamakmurkomputer.com
024-3516396</t>
  </si>
  <si>
    <t>SAMI/LKM-LA/11-2021/106</t>
  </si>
  <si>
    <t>printer &amp; spare part printer</t>
  </si>
  <si>
    <t>SAMI/LKM-LA/01-2022/001</t>
  </si>
  <si>
    <t>Konveksi Sumber Rejeki</t>
  </si>
  <si>
    <t>seragam, rompi, celemek</t>
  </si>
  <si>
    <t>Muhammad Taufiq
taufiq.piji@gmail.com
082324205828</t>
  </si>
  <si>
    <t>SAMI/LKM-LA/01-2022/002</t>
  </si>
  <si>
    <t>Konveksi Passive Clothing</t>
  </si>
  <si>
    <t>Eka Rahman
ekaninoo38@gmail.com
08562750571</t>
  </si>
  <si>
    <t>SAMI/LKM-LA/11-2021/110</t>
  </si>
  <si>
    <t>PT. Yakult Indonesia Persada</t>
  </si>
  <si>
    <t>yakult</t>
  </si>
  <si>
    <t>Mimid Hamid Arif
mimid.hamid@yakult.co.id
024-7602460</t>
  </si>
  <si>
    <t>004/SPP/I/2018</t>
  </si>
  <si>
    <t>Sewa Forklift</t>
  </si>
  <si>
    <t>PT. Satria Piranti Perkasa</t>
  </si>
  <si>
    <t>2 unit forklift TOYOTA</t>
  </si>
  <si>
    <t>1 bulan/ unit</t>
  </si>
  <si>
    <t>TOY</t>
  </si>
  <si>
    <t>SAMI/LKM-LA/12-2021/113</t>
  </si>
  <si>
    <t>Sambungan Telepon</t>
  </si>
  <si>
    <t>PT. Flexindo Mandiri Utama</t>
  </si>
  <si>
    <t>Layanan aktivasi sambungan telepon baik SLJJ dan ponsel melalui jaringan GSM</t>
  </si>
  <si>
    <t>Wahyu Setyo Utomo
adm.project@flexindo.co.id
024-76438544</t>
  </si>
  <si>
    <t>SAMI/LKM-LA/03-2021/023</t>
  </si>
  <si>
    <t>CV. Karunia Mas Sewatama</t>
  </si>
  <si>
    <t>1 unit forklift engine TOYOTA</t>
  </si>
  <si>
    <t>SAMI/LKM-LA/09-2020/092</t>
  </si>
  <si>
    <t>2 unit forklift electric TOYOTA</t>
  </si>
  <si>
    <t>SAMI/LKM-LA/8-2019/075</t>
  </si>
  <si>
    <t>Perbaikan/ penambalan talang</t>
  </si>
  <si>
    <t>CV. Varia Usaha Mandiri</t>
  </si>
  <si>
    <t>penambalan talang area produksi</t>
  </si>
  <si>
    <t>Baskoro
(024) 8415648
cvvariausahamandiri@gmail.com</t>
  </si>
  <si>
    <t>garansi 10 tahun</t>
  </si>
  <si>
    <t>SAMI/LKM-LA/07-2020/088</t>
  </si>
  <si>
    <t>PT. Berjaya Bersama Sahabat</t>
  </si>
  <si>
    <t>penambalan talang area produksi seluas 893 M2</t>
  </si>
  <si>
    <t>Faisal
bbs.smg@outlook.com
024 76332280
085101574156</t>
  </si>
  <si>
    <t>SAMI/LKM-LA/08-2021/064</t>
  </si>
  <si>
    <t>Pekerjaan Instalasi Pipa Air Bersih</t>
  </si>
  <si>
    <t>Eka Budi
semarangbbs@gmail.com
085727711224</t>
  </si>
  <si>
    <t>garansi instalasi pipa 3 tahun
garansi aksesoris utama 6 bulan</t>
  </si>
  <si>
    <t>SAMI/LKM-LA/3-2017/004</t>
  </si>
  <si>
    <t xml:space="preserve">Pengadaan &amp; pemasangan lampu LED </t>
  </si>
  <si>
    <t>PT. Mandala Adhiperkasa Sejati</t>
  </si>
  <si>
    <t>Lampu highbay BY268 Philip 700 lux qty 35</t>
  </si>
  <si>
    <t>Marisa, (024)3565268
marisa@mandalasmg.com</t>
  </si>
  <si>
    <t>Garansi lampu LED 2 tahun
Garansi pengerjaan 6 bulan</t>
  </si>
  <si>
    <t>SAMI/LKM-LA/4-2017/009</t>
  </si>
  <si>
    <t>CV. Dwi Berkah Mandiri Jaya</t>
  </si>
  <si>
    <t>Lampu highbay BY268P Philip 700 lux qty 44
Lampu highbay BY268P Philip 350 lux qty 326</t>
  </si>
  <si>
    <t>Suhariyanto, (024)7623361
dwiberkahmandirijaya@yahoo.co.id</t>
  </si>
  <si>
    <t>Modification Ducting Compressor</t>
  </si>
  <si>
    <t>PT. Shimizu Bangun Cipta Kontraktor</t>
  </si>
  <si>
    <t>SAMI/LKM-LA/08-2016/010</t>
  </si>
  <si>
    <t>Pemborongan pekerjaan pembangunan ruang sekat (movable partition)</t>
  </si>
  <si>
    <t>PT. ABACCURA INDONESIA</t>
  </si>
  <si>
    <t>Garansi 5 tahun</t>
  </si>
  <si>
    <t>SAMI/LKM-LA/7-2017/029</t>
  </si>
  <si>
    <t>Pembelian/ pengadaan CPU</t>
  </si>
  <si>
    <t>Pembelian perangkat komputer HP 280 G3 MT-1RY23PA sebanyak 34 unit</t>
  </si>
  <si>
    <t>Teguh, 024-7462212
gemasmg@yahoo.com</t>
  </si>
  <si>
    <t xml:space="preserve">Garansi perangkat 3 tahun
</t>
  </si>
  <si>
    <t>SAMI/LKM-LA/7-2017/033</t>
  </si>
  <si>
    <t>Pembelian/ pengadaan Monitor</t>
  </si>
  <si>
    <t>Pembelian monitor Led Dell S2240T 21,5" sebanyak 34 unit</t>
  </si>
  <si>
    <t>SAMI/LKM-LA/9-2017/060</t>
  </si>
  <si>
    <t>Car Ownership Program (COP) AMU</t>
  </si>
  <si>
    <t>Ahmad Mubarak</t>
  </si>
  <si>
    <t>Mobil Honda Mobilio DD4 1,5 E M-CVT</t>
  </si>
  <si>
    <t>SAMI/LKM-LA/9-2017/061</t>
  </si>
  <si>
    <t>Car Ownership Program (COP) AWI</t>
  </si>
  <si>
    <t>Ari Wijayanti</t>
  </si>
  <si>
    <t>Motoaki Tamaya</t>
  </si>
  <si>
    <t>SAMI/LKM-LA/9-2017/062</t>
  </si>
  <si>
    <t>Car Ownership Program (COP) YYS</t>
  </si>
  <si>
    <t>Yoen Yoedono S</t>
  </si>
  <si>
    <t>SAMI/LKM-LA/9-2017/063</t>
  </si>
  <si>
    <t>Car Ownership Program (COP) MIS</t>
  </si>
  <si>
    <t>Mansur Isnaeni</t>
  </si>
  <si>
    <t>Mobil Toyota Innova 2,0 V A/T</t>
  </si>
  <si>
    <t>SAMI/LKM-LA/03-2018/030</t>
  </si>
  <si>
    <t>Pembelian server</t>
  </si>
  <si>
    <t>PT. Mitra Infosarana</t>
  </si>
  <si>
    <t>2 unit server Dell R740</t>
  </si>
  <si>
    <t>SAMI/LKM-LA/07-2020/087</t>
  </si>
  <si>
    <t>Perangkat HCI Nutanix-NRDK dan Switch Ruckus</t>
  </si>
  <si>
    <t>Handri Bayudhi
handri@mitrainfosarana.co.id
024 3547356</t>
  </si>
  <si>
    <t>Y-1</t>
  </si>
  <si>
    <t>Agreement (plant and equipment investment plan)</t>
  </si>
  <si>
    <t>Yazaki Corporation</t>
  </si>
  <si>
    <t>respect to project management agreement  executed as 24.07.17</t>
  </si>
  <si>
    <t>TMA</t>
  </si>
  <si>
    <t>Y-2</t>
  </si>
  <si>
    <t>Project Management Agreement (plan and equipment investment plan)</t>
  </si>
  <si>
    <t>SAMI-BBF Building Demolish &amp; Landslides Prevention Work</t>
  </si>
  <si>
    <t>Addendum agreement 30.09.19 article 5.1</t>
  </si>
  <si>
    <t>Y-3</t>
  </si>
  <si>
    <t>Expansion of SAMI production technology building</t>
  </si>
  <si>
    <t>Addendum termination agreement 30.06.20</t>
  </si>
  <si>
    <t>Y-4</t>
  </si>
  <si>
    <t>Corporate Support Services Agreement</t>
  </si>
  <si>
    <t>Y-5</t>
  </si>
  <si>
    <t>Manpower Agreement</t>
  </si>
  <si>
    <t>automatically be renewed for one year</t>
  </si>
  <si>
    <t>Tadahiko Kotoda</t>
  </si>
  <si>
    <t>SAMI/LKM-LA/05-2018/034</t>
  </si>
  <si>
    <t>Jasa kalibrasi Leak Tester</t>
  </si>
  <si>
    <t>PT. Ateq Instruments Indonesia</t>
  </si>
  <si>
    <t>Kalibrasi 1 unit leak tester</t>
  </si>
  <si>
    <t>HAS</t>
  </si>
  <si>
    <t>395/PPLI-LOA/V-2021</t>
  </si>
  <si>
    <t>Sampah B3 SAMI-TF</t>
  </si>
  <si>
    <t>PPLi</t>
  </si>
  <si>
    <t>Pengelolaan sampah B3</t>
  </si>
  <si>
    <t xml:space="preserve">Machmud Badres, (021)8674042
</t>
  </si>
  <si>
    <t>SWN/JAW</t>
  </si>
  <si>
    <t>SAMI/LKM-LA/01-2022/003</t>
  </si>
  <si>
    <t>Catering</t>
  </si>
  <si>
    <t>Yukama Catering</t>
  </si>
  <si>
    <t>Penyediaan makan catering</t>
  </si>
  <si>
    <t>Siti Sutami
yukamaputraabadi@gmail.com
085225309187, 085726770334</t>
  </si>
  <si>
    <t>rantang</t>
  </si>
  <si>
    <t>Addendum No. SAMI/LKM-LA/04-2022/028 Harga menjadi Rp 9.000,- mulai 16 April 2022</t>
  </si>
  <si>
    <t>SAMI/LKM-LA/01-2022/009</t>
  </si>
  <si>
    <t>Arto Catering</t>
  </si>
  <si>
    <t>Suyami
setyosantoso58@gmail.com
081932125222</t>
  </si>
  <si>
    <t>Addendum No. SAMI/LKM-LA/04-2022/023 Harga menjadi Rp 9.000,- mulai 16 April 2022</t>
  </si>
  <si>
    <t>SAMI/LKM-LA/01-2022/004</t>
  </si>
  <si>
    <t>Anugrah Catering</t>
  </si>
  <si>
    <t>Jarot Andy Hermawan
sriendangpurwaningsih@gmail.com
081575889058</t>
  </si>
  <si>
    <t>Addendum No. SAMI/LKM-LA/04-2022/021 Harga menjadi Rp 9.000,- mulai 16 April 2022</t>
  </si>
  <si>
    <t>SAMI/LKM-LA/01-2022/006</t>
  </si>
  <si>
    <t>Mandiri Catering</t>
  </si>
  <si>
    <t>Rahmad Widodo
dodoksaputra2018@gmail.com
085326417491</t>
  </si>
  <si>
    <t>Addendum No. SAMI/LKM-LA/04-2022/025 Harga menjadi Rp 9.000,- mulai 16 April 2022</t>
  </si>
  <si>
    <t>SAMI/LKM-LA/04-2021/036</t>
  </si>
  <si>
    <t>Citra Utama Catering</t>
  </si>
  <si>
    <t>Muslimah
citrautama22@gmail.com
0813 2902 0022</t>
  </si>
  <si>
    <t>Barokah Catering</t>
  </si>
  <si>
    <t>SAMI/LKM-LA/01-2022/008</t>
  </si>
  <si>
    <t>Kenanga Catering</t>
  </si>
  <si>
    <t>Nur Amin, Tedy
087821312242</t>
  </si>
  <si>
    <t>Addendum No. SAMI/LKM-LA/04-2022/024 Harga menjadi Rp 9.000,- mulai 16 April 2022</t>
  </si>
  <si>
    <t>SAMI/LKM-LA/01-2022/007</t>
  </si>
  <si>
    <t>Yulia Catering</t>
  </si>
  <si>
    <t>Yulia Ismiani
089504053000, 089677229972</t>
  </si>
  <si>
    <t>Addendum No. SAMI/LKM-LA/04-2022/029 Harga menjadi Rp 9.000,- mulai 16 April 2022</t>
  </si>
  <si>
    <t>SAMI/LKM-LA/01-2022/005</t>
  </si>
  <si>
    <t>Melati Catering</t>
  </si>
  <si>
    <t>Moch. Ari Budiharjo
mocharibudiharjo@gmail.com
081225178843</t>
  </si>
  <si>
    <t>Addendum No. SAMI/LKM-LA/04-2022/026 Harga menjadi Rp 9.000,- mulai 16 April 2022</t>
  </si>
  <si>
    <t>SAMI/LKM-LA/01-2022/010</t>
  </si>
  <si>
    <t>CV. Wahyu Lestari Sumber Waras</t>
  </si>
  <si>
    <t>Nina Juliani
cvwlsumberlaras@gmail.com
081336484299</t>
  </si>
  <si>
    <t>Addendum No. SAMI/LKM-LA/04-2022/027 Harga menjadi Rp 9.000,- mulai 16 April 2022</t>
  </si>
  <si>
    <t>SAMI/LKM-LA/06-2020/073</t>
  </si>
  <si>
    <t>Ian Putra Catering</t>
  </si>
  <si>
    <t>028/CDU-MOU/IX/2021
SAMI/LKM-LA/09-2021/076</t>
  </si>
  <si>
    <t>Perjanjian Laboratorium Kesehatan Masyarakat</t>
  </si>
  <si>
    <t>PT. Cito Diagnostika Utama</t>
  </si>
  <si>
    <t>Pengujian lingkungan</t>
  </si>
  <si>
    <t>FY. Indriana
citolabkesmas@yahoo.com
024-7615511
08122522348</t>
  </si>
  <si>
    <t>44282/CPU002.7/KCA.X/2020
SAMI/LKM-LA/10-2020/102</t>
  </si>
  <si>
    <t>Pelayanan Kesehatan</t>
  </si>
  <si>
    <t>PT. Cito Putra Utama</t>
  </si>
  <si>
    <t>In-House Clinic, rawat jalan, pemeriksaan laboratorium (SAMI-TF)</t>
  </si>
  <si>
    <t>bulan</t>
  </si>
  <si>
    <t>1428/MOU/NMC/10/2021
SAMI/LKM-LA/10-2021/086</t>
  </si>
  <si>
    <t>PT. Nala Mega Cipta</t>
  </si>
  <si>
    <t>In house clinic, pemeriksaan laboratorium, medical check up, swab PCR &amp; rapid test antigen</t>
  </si>
  <si>
    <t>Yuni Artin (082134047522)
Putri Anggit (081225091819)
nmc_health@yahoo.co.id</t>
  </si>
  <si>
    <t>in house clinic
per bulan</t>
  </si>
  <si>
    <t>SAMI/LKM-LA/03-2019/021
445/PKS/596</t>
  </si>
  <si>
    <t>Hospital Kontrak</t>
  </si>
  <si>
    <t>RSUD Tugurejo</t>
  </si>
  <si>
    <t>Pelayanan kesehatan karyawan</t>
  </si>
  <si>
    <t>DPS/FAD</t>
  </si>
  <si>
    <t>4554/RSPWC/PK/IX/2017
SAMI/LKM-LA/10-2017/074</t>
  </si>
  <si>
    <t>RS Panti Wilasa Citarum</t>
  </si>
  <si>
    <t>Riries Anjari BP
marketing.pantiwilasa.citarum@gmail.com
085728098940</t>
  </si>
  <si>
    <t>diperpanjang secara otomatis dalam masa waktu yang sama</t>
  </si>
  <si>
    <t>SAMI/LKM-LA/09-2021/077
035/Dir-RSPM/PKS/X/2021</t>
  </si>
  <si>
    <t>Rs. Permata Medika</t>
  </si>
  <si>
    <t>Dr. Adhi, (024)7625005
rspm_smg@yahoo.co.id</t>
  </si>
  <si>
    <t>SAMI/LKM-LA/11-2021/092</t>
  </si>
  <si>
    <t>RS ST Elisabeth Semarang</t>
  </si>
  <si>
    <t xml:space="preserve">(024)8310076, 8310035
</t>
  </si>
  <si>
    <t>SAMI/LKM-LA/01-2018/002
HK.03.01/I.IV/1747/2017</t>
  </si>
  <si>
    <t>RSUP Dokter Kariadi Semarang</t>
  </si>
  <si>
    <t>(024)8413476
humas_rskariadi@yahoo.co.id</t>
  </si>
  <si>
    <t>SAMI/LKM-LA/02-2021/022</t>
  </si>
  <si>
    <t>PT. Belefina Sarana Medika (RS Columbia Asia)</t>
  </si>
  <si>
    <t>(024)7629999
customercare.semarang@columbiaasia.com</t>
  </si>
  <si>
    <t>diperpanjang otomatis untuk 1 tahun setelah jangka waktu berakhir</t>
  </si>
  <si>
    <t>2009033/SIP-SDM/MA/202009</t>
  </si>
  <si>
    <t>Perawatan system</t>
  </si>
  <si>
    <t>PT. Suluh Insan Persada</t>
  </si>
  <si>
    <t>Perawatan sistem SIP-SDM</t>
  </si>
  <si>
    <t>R07.Br.SKC/246/2020
SAMI/LKM-LA/03-2020/017</t>
  </si>
  <si>
    <t>Layanan payroll</t>
  </si>
  <si>
    <t>PT. Bank Mandiri (Persero) Tbk.</t>
  </si>
  <si>
    <t>layanan Mandiri payroll package</t>
  </si>
  <si>
    <t>Ari Widyastuti
024-7612381
13611@bankmandiri.co.id</t>
  </si>
  <si>
    <t>SAMI/LKM-LA/02-2022/018
14/RSPWDC/PKS.03/I/2022</t>
  </si>
  <si>
    <t>RS Panti Wilasa Dr. Cipto</t>
  </si>
  <si>
    <t>Daniel Widhi Herminto
danielxsinga@yahoo.com
081578402367</t>
  </si>
  <si>
    <t>7/4/22 sudah approved TMA, kurang tanda tangan vendor</t>
  </si>
  <si>
    <t>Dana Pensiun</t>
  </si>
  <si>
    <t>DPLK Manulife Indonesia</t>
  </si>
  <si>
    <t>Pengelolaan program pensiun bagi karyawan SAMI</t>
  </si>
  <si>
    <r>
      <t xml:space="preserve">otomatis perpanjang untuk 2 tahun berikutnya
</t>
    </r>
    <r>
      <rPr>
        <i/>
        <sz val="22"/>
        <color theme="1"/>
        <rFont val="Times New Roman"/>
        <family val="1"/>
      </rPr>
      <t>note: email DPS 09.12.21 kontrak diperpanjang otomatis</t>
    </r>
  </si>
  <si>
    <t>Mitsuho Honda</t>
  </si>
  <si>
    <t>SAMI/LKM-LA/12-2021/118</t>
  </si>
  <si>
    <t>Pekerjaan Pemeliharaan Aplikasi Finished Good &amp; Invoicing</t>
  </si>
  <si>
    <t>PT. DUTASOFT</t>
  </si>
  <si>
    <t>Layanan pemeliharaan aplikasi finished good &amp; invoicing</t>
  </si>
  <si>
    <t>AFK/AKA</t>
  </si>
  <si>
    <t>015/PASI-LGL/III/2021</t>
  </si>
  <si>
    <t>Biaya-biaya (reimbursement) oleh PASI ke SAMI</t>
  </si>
  <si>
    <t>PASI</t>
  </si>
  <si>
    <t>Jaringan internet &amp; sortware maintenance</t>
  </si>
  <si>
    <t>03.0068.0311</t>
  </si>
  <si>
    <t>Perjanjian Berlangganan Sistem Jaringan Layanan Internet-SAMI TF</t>
  </si>
  <si>
    <t>PT. Media Sarana Data / GMEDIA</t>
  </si>
  <si>
    <t>Langganan sistem jaringan komunikasi data</t>
  </si>
  <si>
    <t>PANDU, 081327663777</t>
  </si>
  <si>
    <t>AI</t>
  </si>
  <si>
    <t>03.0399.0811</t>
  </si>
  <si>
    <t>Perjanjian Berlangganan Sistem Jaringan Layanan Internet-SAMI CANDI</t>
  </si>
  <si>
    <t>0002/MOU/DATA-SMG/I/2020
SAMI/LKM-LA/12-2020/109</t>
  </si>
  <si>
    <t>Layanan akses internet</t>
  </si>
  <si>
    <t>PT Data Utama Dinamika</t>
  </si>
  <si>
    <t>jaringan akses internet lokal SAMI Tugu ke Jepara 13 Mbps CIR 1:1 (IIX Only)</t>
  </si>
  <si>
    <t>finance@datautama.net.id
024-8453481</t>
  </si>
  <si>
    <t>SAMI/LKM-LA/06-2021/061</t>
  </si>
  <si>
    <t>Maintenance GPNet</t>
  </si>
  <si>
    <t>PT. Global Infotech Solution</t>
  </si>
  <si>
    <t>maintenance Gpnet</t>
  </si>
  <si>
    <t>Della Gitariana
021-5708178</t>
  </si>
  <si>
    <t>Jasa ICS (Indosat Conectivity Solution)</t>
  </si>
  <si>
    <t>PT. Indosat Tbk.</t>
  </si>
  <si>
    <t>berlanggaran jasa ICS dari Indosat</t>
  </si>
  <si>
    <t>diperpanjang otomatis setiap bulan</t>
  </si>
  <si>
    <t>Legal 8</t>
  </si>
  <si>
    <t>PENGADAAN MATERIAL</t>
  </si>
  <si>
    <t>ELCOM (YAZAKI NORTH AMERICA, INC EL PASO)</t>
  </si>
  <si>
    <t>21/2/20 ajukan ke TMA, request matrix resiko
9/4/20 approved TMA, tanda tangan supplier</t>
  </si>
  <si>
    <t>SNK</t>
  </si>
  <si>
    <t>YUKBL (YAZAKI EUROPE LIMITED)</t>
  </si>
  <si>
    <t>masa berlaku sampai para pihak mengakhiri dengan pemberitahuan 3 bulan sebelumnya.</t>
  </si>
  <si>
    <t>Ver.2012, vol.001</t>
  </si>
  <si>
    <t>HIB (Yazaki Corporation)</t>
  </si>
  <si>
    <t>material wiring harness</t>
  </si>
  <si>
    <t>automatically extended in additional 1 year periods</t>
  </si>
  <si>
    <t>copy</t>
  </si>
  <si>
    <t>AYC/ CPS/ YNA</t>
  </si>
  <si>
    <t>15/5/20 approved TMA, tanda tangan supplier.
'- this agreement will be valid from the date signature from both parties until termination by either party three months in advance</t>
  </si>
  <si>
    <t>Thai Arrow Products Co., Ltd. (TAP-C: Injection, Auto Wire and VTA Tape)</t>
  </si>
  <si>
    <t>APTIV</t>
  </si>
  <si>
    <t>Gabung YCIC</t>
  </si>
  <si>
    <t>ARTRON (TOA E&amp;I INTERNATIONAL PTE LTD)</t>
  </si>
  <si>
    <t>3/7/19 tunggu feedback supplier
29/10/19 user follow up vendor
27/5/20 user follow up supplier
27/5/20 supplier reply tdk ada tanggapan dari SAI
28/5/20 supplier kirim koreksi kontrak
16/7/20 cek legal kirim ke user
17/7/20 user email ke vendor
27/7/20 user follow up vendor
29/7/20 user follow up vendor</t>
  </si>
  <si>
    <t>HZY (HANGZHOU YAZAKI PARTS CO., LTD)</t>
  </si>
  <si>
    <t>29/10/19 user follow up vendor
10/3/20 dibantu follow up oleh PASI (pak Mogi)
27/5/20 user follow up supplier
27/7/20 user follow up supplier</t>
  </si>
  <si>
    <t>YGP (YGP PTE LTD)</t>
  </si>
  <si>
    <t>BAT (BOSCH AUTOMOTIVE (THAILAND) CO., LTD.)</t>
  </si>
  <si>
    <t>start Des'19 gabung YGP
28/2/20 email dari SNK minta cancel, gabung YGP</t>
  </si>
  <si>
    <t>C-LUX</t>
  </si>
  <si>
    <t>17/01/2022 email dari SNK, gabung YGP</t>
  </si>
  <si>
    <t>MHART
(Guangzhou Emhart Fastening System Co., Ltd.,)</t>
  </si>
  <si>
    <t>MHATT
(Emhart Teknologies (Thailand) Ltd.)</t>
  </si>
  <si>
    <t>TDK Singapore (Pte) Ltd</t>
  </si>
  <si>
    <t>TESA (TESA TAPE ASIA PACIFIC PTE LTD)</t>
  </si>
  <si>
    <t>HELTY (HELLERMANN TYTON PTE LTD)</t>
  </si>
  <si>
    <t>NISEI (Nissei Electric (H.K) Co., Ltd</t>
  </si>
  <si>
    <t>YCIC (YAZAKI (CHINA)INVESTMENT CORP.)</t>
  </si>
  <si>
    <t>PASAW</t>
  </si>
  <si>
    <t>PASI-SPA-03</t>
  </si>
  <si>
    <t>tetap berlaku efektif kecuali ada perubahan atas isi dan persyaratan didalamnya</t>
  </si>
  <si>
    <t>IWPI (PT. Indowire Prima Industrindo)</t>
  </si>
  <si>
    <t>kontrak ada di iwpi</t>
  </si>
  <si>
    <t>NMI (Nitto Material Indonesia)</t>
  </si>
  <si>
    <t>material wiring harness - JF</t>
  </si>
  <si>
    <t>PTDKP (PT. Duta Kalingga Pratama)</t>
  </si>
  <si>
    <t>SATO (PT. Satoseiki)</t>
  </si>
  <si>
    <t>AMANDEMEN PERJANJIAN PERGUDANGAN</t>
  </si>
  <si>
    <t>PT AGILITY INTERNATIONAL</t>
  </si>
  <si>
    <t>Jasa pengelolaan gudang (ruang gudang, ruang kantor, personil)</t>
  </si>
  <si>
    <t>YYS</t>
  </si>
  <si>
    <t>08/AGILITY/SAMI/XII/2018</t>
  </si>
  <si>
    <t>PENGELOLAAN GUDANG PLB (Pusat Logistik Berikat)</t>
  </si>
  <si>
    <t>Pengelolaan gudang PLB</t>
  </si>
  <si>
    <t>715.000.000
16.875.000
67.500
67.500</t>
  </si>
  <si>
    <t>- penyimpanan tetap
- manajemen
- handling in
- handling out</t>
  </si>
  <si>
    <t>Addendum per 31/08/21:
a. tambahan luasan pergudangan
b. biaya pergudangan</t>
  </si>
  <si>
    <t>FMTHA (FEDERAL MOGUL THAILAND)</t>
  </si>
  <si>
    <t>PT EDS Manufacturing Indonesia Automotive Wire Division</t>
  </si>
  <si>
    <t>Finished Part Master Supply Agreement</t>
  </si>
  <si>
    <t>wiring harnesses, battery cables, high tension cables, etc</t>
  </si>
  <si>
    <t>automatically extended in additional 1 year periods
- memorandum 01.10.19
- memorandum 10.11.20</t>
  </si>
  <si>
    <t>WHY</t>
  </si>
  <si>
    <t>PASI-SPA-02</t>
  </si>
  <si>
    <t>Finished Goods Sale And Purchase Agreement For Domestic Customers</t>
  </si>
  <si>
    <t>PT. Autocomp System Indonesia</t>
  </si>
  <si>
    <t>Jual beli wiring harness</t>
  </si>
  <si>
    <t>perjanjian tetap berlaku dan mengikat selama kondisi bisnis masih berjalan</t>
  </si>
  <si>
    <t>198/PASI/SALES-PRC/XI/2021</t>
  </si>
  <si>
    <t>Sales Contract</t>
  </si>
  <si>
    <t>pcs</t>
  </si>
  <si>
    <t>SAMI/LKM-LA/09-2021/074
10/SUAI/EXIM/X/2021</t>
  </si>
  <si>
    <t>PT SUBANG AUTOCOMP INDONESIA</t>
  </si>
  <si>
    <t>Jual beli jyunkan circuit automotive wiring harness</t>
  </si>
  <si>
    <t>Master Supply Agreement</t>
  </si>
  <si>
    <t>PT. SAI (Surabaya Autocomp Indonesia)</t>
  </si>
  <si>
    <t>Jula beli produk dan komponen wiring harness</t>
  </si>
  <si>
    <t>PT Jatim Autocomp Indonesia</t>
  </si>
  <si>
    <t>12/20 end contract. Info dari TZA sudah tidak ada transaksi sejak Sept 2020</t>
  </si>
  <si>
    <t>Vol. 2013-001</t>
  </si>
  <si>
    <t>Components And Parts Master Supply Agreement</t>
  </si>
  <si>
    <t>Foshan Shunde Yazaki China</t>
  </si>
  <si>
    <t>Jual beli jyunkan circuit automotive wiring harness (toyota)</t>
  </si>
  <si>
    <t>Yazaki North America Inc.</t>
  </si>
  <si>
    <t>Jula beli produk dan komponen</t>
  </si>
  <si>
    <t>Part Purchasing Agreement</t>
  </si>
  <si>
    <t>Thai Arrow Products Co., Ltd. (TAP)</t>
  </si>
  <si>
    <t>automotive parts</t>
  </si>
  <si>
    <t>SAMI/LKM-LA/08-2021/074</t>
  </si>
  <si>
    <t>Trucking domestic untuk SAMI Group</t>
  </si>
  <si>
    <t>CV. Tangi Luhur</t>
  </si>
  <si>
    <t>3 unit kendaraan truk peti kemas, supir truk kontainer beserta container</t>
  </si>
  <si>
    <t>1 bulan 1 unit</t>
  </si>
  <si>
    <t>FEP</t>
  </si>
  <si>
    <t>012/PU/SAMI/III/2019
SAMI/LKM-LA/03-2019/024</t>
  </si>
  <si>
    <t>CV. Prayoga Utama</t>
  </si>
  <si>
    <t>1 unit Kendaraan truk peti kemas, supir truk kontainer beserta container</t>
  </si>
  <si>
    <t>Custom clearance handling exim</t>
  </si>
  <si>
    <t>PT. YAMATO INDONESIA FORWARDING</t>
  </si>
  <si>
    <t>Jasa pengurusan kargo dan jasa angkut ekspor impor</t>
  </si>
  <si>
    <t>PT. Yusen Logisitc Indonesia</t>
  </si>
  <si>
    <t>Pengurusan jasa kepabeanan dan jasa transportasi</t>
  </si>
  <si>
    <t>SAMI/LKM-LA/12-2021/115
002/STE/DOM/SMG/II/2022</t>
  </si>
  <si>
    <t>Pengurusan Dokumen</t>
  </si>
  <si>
    <t>PT. SINAR TIRTA EMAS
(Domestik)</t>
  </si>
  <si>
    <t>Jasa pengurusan dokumen BC 2.5</t>
  </si>
  <si>
    <t>Siti Dhohiroh, email: siti@putrasm.com</t>
  </si>
  <si>
    <t>001/STE/SMG/V/2021</t>
  </si>
  <si>
    <t>PT. SINAR TIRTA EMAS
(Ekspor)</t>
  </si>
  <si>
    <t>Jasa pengurusan jasa kepabeanan dan jasa transportasi</t>
  </si>
  <si>
    <t>SAMI/LKM-LA/12-2021/120</t>
  </si>
  <si>
    <t>PT. SEJAHTERA ABADI TRANS</t>
  </si>
  <si>
    <t>10 unit kendaraan truk peti kemas, supir truk kontainer beserta container</t>
  </si>
  <si>
    <t>1 unit / 1 bulan</t>
  </si>
  <si>
    <t>004/AGL/SMG/VIII/2021</t>
  </si>
  <si>
    <t>PT. ASIA GROW LOGISTICS</t>
  </si>
  <si>
    <t>Harti Kawuri
wuri@asiagrow.com
024-76632980</t>
  </si>
  <si>
    <t>SAMI/LKM-LA/07-2021/063</t>
  </si>
  <si>
    <t>CV. SAKA AKSARA</t>
  </si>
  <si>
    <t>Kasmanto
sakaaksara66@gmail.com 
024-3517896</t>
  </si>
  <si>
    <t>handling</t>
  </si>
  <si>
    <t>021/MoA-KRR/MKT/I/2022</t>
  </si>
  <si>
    <t>Pengangkutan Barang</t>
  </si>
  <si>
    <t>PT. KARURA FREIGHT FORWARDING LOGISTICS</t>
  </si>
  <si>
    <t>Jasa pengangkutan barang</t>
  </si>
  <si>
    <t>hendry untara indrapraja
hendry.ui@karura-logistic.com
031-8988035 / 36</t>
  </si>
  <si>
    <t>SAMI/LKM-LA/12-2021/116</t>
  </si>
  <si>
    <t xml:space="preserve">PUTRA MANDIRI TRANSPORT                                                         </t>
  </si>
  <si>
    <t>Andy
putramandiri.transport@yahoo.com
024-76673430</t>
  </si>
  <si>
    <t>next tambah klausul penggelapan barang &amp; sub contract</t>
  </si>
  <si>
    <t>SAMI/LKM-LA/11-2021/114</t>
  </si>
  <si>
    <t>Jasa pengiriman container</t>
  </si>
  <si>
    <t>PT Pataya Raya</t>
  </si>
  <si>
    <t>Jasa pengiriman container dari dan ke pelabuhan Semarang</t>
  </si>
  <si>
    <t>Riyadi Pataya
riyadipataya@ptpatayaraya.com
024-76631718</t>
  </si>
  <si>
    <t>PT. SAMUDERA PERDANA</t>
  </si>
  <si>
    <t>SAMI/LKM-LA/12-2021/124</t>
  </si>
  <si>
    <t>PT. Platinum Jaya Logistic Semarang</t>
  </si>
  <si>
    <t>Agung Cahyo Budianto
agung_srg@platinumjayalogistic.com
024-76585260 / 08156531770</t>
  </si>
  <si>
    <t>002/PKK/X/2021</t>
  </si>
  <si>
    <t>PT. MCL Trans Indonesia</t>
  </si>
  <si>
    <t>Andi Setiawan
andi_smg@mcltransindo.com
021-6629707</t>
  </si>
  <si>
    <t>SAMI/LKM-LA/05-2021/039</t>
  </si>
  <si>
    <t>MITRA DUNIA PALLETINDO, CV</t>
  </si>
  <si>
    <t>Karton box</t>
  </si>
  <si>
    <t>SAMI/LKM-LA/05-2021/041</t>
  </si>
  <si>
    <t>SAMUDRA ANUGRAH SION, CV</t>
  </si>
  <si>
    <t>SAMI/LKM-LA/05-2021/042</t>
  </si>
  <si>
    <t>SEMARANG DAMAI PRINTING, CV</t>
  </si>
  <si>
    <t>SAMI/LKM-LA/06-2021/047</t>
  </si>
  <si>
    <t>SURYAMAS BOXINDO, CV</t>
  </si>
  <si>
    <t>SAMI/LKM-LA/06-2021/043</t>
  </si>
  <si>
    <t>GRAHA MULTISARANA MESINDO, PT</t>
  </si>
  <si>
    <t>Container plastik rabbit, LID 6303</t>
  </si>
  <si>
    <t>Henry Santoso
024-76633263
henry.s@grahamultisarana.com</t>
  </si>
  <si>
    <t>SAMI/LKM-LA/-06-2021/045</t>
  </si>
  <si>
    <t>NACHINDO TAPE INDONESIA, PT</t>
  </si>
  <si>
    <t>paper tape, double tape</t>
  </si>
  <si>
    <t>Lanny Lindawati
024-3560740
smg.nachindo@yahoo.com</t>
  </si>
  <si>
    <t>SAMI/LKM-LA/06-2021/048</t>
  </si>
  <si>
    <t>TUNAS MITRA SENTOSA, PT</t>
  </si>
  <si>
    <t>strech film</t>
  </si>
  <si>
    <t>Novan
024-6719014
novan@tunasmitra.co.id</t>
  </si>
  <si>
    <t>SAMI/LKM-LA/05-2020/052</t>
  </si>
  <si>
    <t>UD. FILINA</t>
  </si>
  <si>
    <t>karet gelang, kain majun, masker kain, sarung tangan</t>
  </si>
  <si>
    <t>Sanafi, 024-6590118
filina.semarang@gmail.com</t>
  </si>
  <si>
    <t>LD tidak pakai lagi</t>
  </si>
  <si>
    <t>TOY
NZA</t>
  </si>
  <si>
    <t>SAMI/LKM-LA/05-2021/040</t>
  </si>
  <si>
    <t>MITRA LESTARI,CV</t>
  </si>
  <si>
    <t>pallet karton, top cover</t>
  </si>
  <si>
    <t>Saheri, 087832930017
saheri17@yahoo.com
mitralestari83@gmail.com</t>
  </si>
  <si>
    <t>SAMI/LKM-LA/06-2021/050</t>
  </si>
  <si>
    <t>ABADI KEMAS PITADOS, PT</t>
  </si>
  <si>
    <t>Orgapack PP &amp; PET strapping tools, spare part orgapack OR-T 50</t>
  </si>
  <si>
    <t>Yulia Dewi Mariska
085776518967
abadikemaspitados@yahoo.co.id</t>
  </si>
  <si>
    <t>SAMI/LKM-LA/07-2021/062</t>
  </si>
  <si>
    <t>PLL Packaging Sdn. Bhd.</t>
  </si>
  <si>
    <t>Slip Sheet</t>
  </si>
  <si>
    <t>dapat diperpanjang otomatis 1 tahun berikutnya
addendum GADSL, dll</t>
  </si>
  <si>
    <t>SAMI/LKM-LA/05-2021/037</t>
  </si>
  <si>
    <t>CV. Agung Jaya Sentosa</t>
  </si>
  <si>
    <t>Isi staples, dll</t>
  </si>
  <si>
    <t>SAMI/LKM-LA/06-2021/051</t>
  </si>
  <si>
    <t>PT. NIHON SAMPOERNA PACKINDO</t>
  </si>
  <si>
    <t>Lakban</t>
  </si>
  <si>
    <t>roll</t>
  </si>
  <si>
    <t>Vendor tidak sepakat dengan isi kontrak</t>
  </si>
  <si>
    <t>MULTILATERAL NETTING AMONG GROUP COMPANIES</t>
  </si>
  <si>
    <t>YAZAKI CORPORATION</t>
  </si>
  <si>
    <t>Yamada,Aya_山田 亜弥 &lt;aya.yamada@jp.yazaki.com&gt;</t>
  </si>
  <si>
    <t>04.10.21 email dari RMU tidak ada perubahan kontrak --&gt; perpanjang otomatis
(1 tahun dan diperpanjang otomatis lagi untuk 1 tahun berikutnya dan seterusnya jika tidak ada perubahan)</t>
  </si>
  <si>
    <t>MBM</t>
  </si>
  <si>
    <t>NOTICE OF SERVICE FEES FOR NETTING SERVICE</t>
  </si>
  <si>
    <t>CASH MANAGEMENT AGREEMENT / PERJANJIAN PENGELOLAAN KAS</t>
  </si>
  <si>
    <t>MUFG BANK, LTD.</t>
  </si>
  <si>
    <t>Layanan dari bank dalam pengelolaan kas</t>
  </si>
  <si>
    <t>Telp. (021)5706185
Fax. (021)5703953</t>
  </si>
  <si>
    <t>064/PASI-LGL/VII/2020</t>
  </si>
  <si>
    <t xml:space="preserve">INTER COMPANY LOAN AGREEMENT </t>
  </si>
  <si>
    <t>PT. AUTOCOMP SYSTEM INDONESIA</t>
  </si>
  <si>
    <t>Intern company loan</t>
  </si>
  <si>
    <t>Balaraja, (021)5951535
Cikarang, (021)29288502</t>
  </si>
  <si>
    <t>15/7/21 email dari RMU tidak ada perubahan, perpanjangan otomatis</t>
  </si>
  <si>
    <t>ROYALTY AGREEMENT / TECHNICAL ASSISTANCE AGREEMENT</t>
  </si>
  <si>
    <t>Royalti</t>
  </si>
  <si>
    <t>Fukasawa,Shuhei_深澤 周平 &lt;shuhei.fukasawa@jp.yazaki.com&gt;</t>
  </si>
  <si>
    <t>5 tahun diperpanjang otomatis untuk 5 tahun - 5 tahun berikutnya jika tidak ada perubahan</t>
  </si>
  <si>
    <t>EL-055/TPIII/2022</t>
  </si>
  <si>
    <t>Transfer Pricing</t>
  </si>
  <si>
    <t>TAX PRIME</t>
  </si>
  <si>
    <t>Transfer Pricing Documentation Preparation - Local File For Fiscal Year 2021</t>
  </si>
  <si>
    <t>Nozomi Kawasaki</t>
  </si>
  <si>
    <t>EL-028/TPII/2022</t>
  </si>
  <si>
    <t>Preparation Of Corporate Income Tax Return (CITR)</t>
  </si>
  <si>
    <t>Preparation Of Corporate Income Tax Return (CITR) For Taxable Year 2021</t>
  </si>
  <si>
    <t>Kontrak Kerjasama Jual Beli Material</t>
  </si>
  <si>
    <t>PT. Trustindo Mekatronics Mulya</t>
  </si>
  <si>
    <t>Jual beli material</t>
  </si>
  <si>
    <t>Perpanjang otomatis untuk 6 bulan berikutnya</t>
  </si>
  <si>
    <t>NZA</t>
  </si>
  <si>
    <t>CV. Djaya Mandiri Teknik</t>
  </si>
  <si>
    <t>ANUGRAH UTAMA</t>
  </si>
  <si>
    <t>018/KT/AJT/10/2018
SAMI/LKM-LA/11-2018/096</t>
  </si>
  <si>
    <t>CV. ADIJAYA TEKNIK</t>
  </si>
  <si>
    <t>spare part industri
(oil pot, plat SA, pengunci connector new design, plat dudukan Led, stoper ram, bracket applikator)</t>
  </si>
  <si>
    <t>Icoek Adi N
adijaya_teknik88@yahoo.com</t>
  </si>
  <si>
    <t>SAMI/LKM-LA/12-2019/160</t>
  </si>
  <si>
    <t>CV. BUMI RAYA INDONESIA</t>
  </si>
  <si>
    <t>barang-barang komputer, elektronik, dan alat-alat kantor</t>
  </si>
  <si>
    <t>Sri Kusmini
teknisi@hitechcomputer.co.id
081325460470, 024 3553888</t>
  </si>
  <si>
    <t>SAMI/LKM-LA/10-2019/107</t>
  </si>
  <si>
    <t>CV. KURNIA MAKMUR PERKASA</t>
  </si>
  <si>
    <t>spare part pneumatic &amp; electric</t>
  </si>
  <si>
    <t>Ria Purnamasari
kurniamakmurperkasa@yahoo.co.id
024-8311087 / 024-8446268</t>
  </si>
  <si>
    <t>CV. PUTRA JAYA ABADI</t>
  </si>
  <si>
    <t>CV. SIDOMARANG TECHNICS</t>
  </si>
  <si>
    <t>SAMI/LKM-LA/11-2019/142</t>
  </si>
  <si>
    <t>CV. SURYA PRANATA</t>
  </si>
  <si>
    <t>push button, saklar, bearing</t>
  </si>
  <si>
    <t>Arief Pranoto
pranatasurya5@gmail.com
081328204587</t>
  </si>
  <si>
    <t>base on quotation letter</t>
  </si>
  <si>
    <t>perpanjangan otomatis, harga sama sampai 2022</t>
  </si>
  <si>
    <t>SAMI/LKM-LA/06-2019/065</t>
  </si>
  <si>
    <t>CV. SURYA SINERGY</t>
  </si>
  <si>
    <t>barang elektrikal</t>
  </si>
  <si>
    <t>Verry Budi Santoso
surya.sinergy@gmail.com
024-76410779</t>
  </si>
  <si>
    <t>OMEGA ELECTRINDO</t>
  </si>
  <si>
    <t>SAMI/LKM-LA/11-2018/097</t>
  </si>
  <si>
    <t>PT. AKURASI SEMARANG TEKNOLOGI INDONESIA</t>
  </si>
  <si>
    <t>equipment fabrikasi logam, spt: safety cover, base applicator, part mesin grommet, dll</t>
  </si>
  <si>
    <t>Eka Yulia Purnietik
pt.asti@yahoo.com
024-7627179</t>
  </si>
  <si>
    <t>SAMI/LKM-LA/10-2018/086</t>
  </si>
  <si>
    <t>PT. DENKO WAHANA SAKTI</t>
  </si>
  <si>
    <t>roda trolly</t>
  </si>
  <si>
    <t>Agustina
tina@denko.co.id
024-76580101 / 081326567615</t>
  </si>
  <si>
    <t>SAMI/LKM-LA/07-2019/073</t>
  </si>
  <si>
    <t>PT. DOU YEE ENTERPRISES</t>
  </si>
  <si>
    <t>produk untuk proses silikon injectin di mesin WK13</t>
  </si>
  <si>
    <t>Robet Hutabarat
robet@douyee.com.sg 
021-89901153</t>
  </si>
  <si>
    <t>SAMI/LKM-LA/11-2018/098</t>
  </si>
  <si>
    <t>PT. ERAPERKASA MAJU CEMERLANG</t>
  </si>
  <si>
    <t>airtac peneumatic, autonics sensor control, fabrication</t>
  </si>
  <si>
    <t>Hardi Widodo,
semarang@eraperkasa.com
024-7627090/76469141</t>
  </si>
  <si>
    <t>PT. GLOBAL MULTI SENTOSA</t>
  </si>
  <si>
    <t>SAMI/LKM-LA/09-2019/091</t>
  </si>
  <si>
    <t>PT. HIBEX INDONESIA</t>
  </si>
  <si>
    <t>barang elektronika</t>
  </si>
  <si>
    <t>Diki Novriana
diki@hibex.co.id
021-8936920</t>
  </si>
  <si>
    <t>SAMI/LKM-LA/12-2019/159</t>
  </si>
  <si>
    <t>PT. KAIROS SOLUSI INDONESIA</t>
  </si>
  <si>
    <t>spare part automations</t>
  </si>
  <si>
    <t>Agus
031-8554391
sales@kairos-solusi.com</t>
  </si>
  <si>
    <t>SAMI/LKM-LA/09-2019/088</t>
  </si>
  <si>
    <t>PT. KEYENCE INDONESIA</t>
  </si>
  <si>
    <t>alat penunjang produksi</t>
  </si>
  <si>
    <t>Faikar
order@keyence.co.id
021-29660120</t>
  </si>
  <si>
    <t>SAMI/LKM-LA/04-2020/020</t>
  </si>
  <si>
    <t>PT. KARYA ABADI INTIBUANA</t>
  </si>
  <si>
    <t>Toluene AR 4 liter Smartlab katalog A-1075</t>
  </si>
  <si>
    <t>Ridho/Nana/Dwi
sales1@kadint.com, finance@kadint.com
03532898511</t>
  </si>
  <si>
    <t>botol</t>
  </si>
  <si>
    <t>SAMI/LKM-LA/03-2021/022</t>
  </si>
  <si>
    <t>PT. KREATIF MANDIRI TEKNOLOGI</t>
  </si>
  <si>
    <t>spare part</t>
  </si>
  <si>
    <t>Ahmad Hildan Nur
kreatifmandiriteknologi@gmail.com
021-22104298</t>
  </si>
  <si>
    <t>SAMI/LKM-LA/02-2020/015</t>
  </si>
  <si>
    <t>alat-alat industrial</t>
  </si>
  <si>
    <t>Novianto Susilo
sr6.srg@krisbow.com
024-7602329</t>
  </si>
  <si>
    <t>PT. MAJUJAYA TOOLSINDO</t>
  </si>
  <si>
    <t>SAMI/LKM-LA/08-2019/079</t>
  </si>
  <si>
    <t>insulock, kabel, push button, sensor, spiral, trafo</t>
  </si>
  <si>
    <t>mandala2@mandalasmg.com
085640250386</t>
  </si>
  <si>
    <t>SAMI/LKM-LA/01-2020/005</t>
  </si>
  <si>
    <t>PT. MISUMI INDONESIA</t>
  </si>
  <si>
    <t>limit switch, bearing, belt, toggle clamp, cutter, dll</t>
  </si>
  <si>
    <t>Novia Mardasari
novia.m@misumi.co.id
021-89840008</t>
  </si>
  <si>
    <t>system MISUMI</t>
  </si>
  <si>
    <t>SAMI/LKM-LA/12-2019/161</t>
  </si>
  <si>
    <t>PT. ORIENTAL ABADI INDONESIA</t>
  </si>
  <si>
    <t>spare part mesin produksi</t>
  </si>
  <si>
    <t>Sandra Natalea
sandra@oriental-abadi.com
(031) 8471039 - 40</t>
  </si>
  <si>
    <t>SAMI/LKM-LA/12-2019/162</t>
  </si>
  <si>
    <t>PT. RHEMA KONEKTIKA WIRATAMA</t>
  </si>
  <si>
    <t>tools, accessories, barang teknik</t>
  </si>
  <si>
    <t>Deddy/ Agung
info@rhemakonektika.com
024-7624131</t>
  </si>
  <si>
    <t>SAMI/LKM-LA/02-2019/010</t>
  </si>
  <si>
    <t>PT. SINERGI MULTI CITRAMAS</t>
  </si>
  <si>
    <t>barang teknik</t>
  </si>
  <si>
    <t>Amelia Rahardjo
accounting@sinergimulticitramas.co.id
(024) 3516599</t>
  </si>
  <si>
    <t>PT. SOLDER INDONESIA</t>
  </si>
  <si>
    <t>SAMI/LKM-LA/12-2019/158</t>
  </si>
  <si>
    <t>PT. SOLUSI PERIFERAL</t>
  </si>
  <si>
    <t>barcode scanner</t>
  </si>
  <si>
    <t>SAMI/LKM-LA/10-2019/111</t>
  </si>
  <si>
    <t>PT. SUGITY CREATIVES</t>
  </si>
  <si>
    <t>bobin</t>
  </si>
  <si>
    <t>Kevin Ajawaila
kevin.a.ajawaila@sugity.co.id
021-8980307</t>
  </si>
  <si>
    <t>PT. VOCUSS INDOTAMA</t>
  </si>
  <si>
    <t>WINJAYA LEROTAMA</t>
  </si>
  <si>
    <t>PT. SAMUDRA TEKNINDO HYDRAUMATIC</t>
  </si>
  <si>
    <t>SAMI/LKM-LA/09-2019/089</t>
  </si>
  <si>
    <t>PT. VICTORI SINDO UTAMA</t>
  </si>
  <si>
    <t>mobil lubricant</t>
  </si>
  <si>
    <t>Laelatul Munafidloh
laelatul@victori.co.id 
024-76928337</t>
  </si>
  <si>
    <t>PE/SAMI/10/2017/12</t>
  </si>
  <si>
    <t>Modifikasi Kereta Double Jig</t>
  </si>
  <si>
    <t>12 kereta double jig 2100x900</t>
  </si>
  <si>
    <t>SAMI/LKM-LA/06-2020/063</t>
  </si>
  <si>
    <t xml:space="preserve">EMDEP (SHANGHAI) AUTOMOTIVE HARNESS SYS.CO.LTD                                  </t>
  </si>
  <si>
    <t>mesin dan part mesin</t>
  </si>
  <si>
    <t>Zhang Huifeng
hfzhang@emdep.com
86-021-59953812</t>
  </si>
  <si>
    <t>SAMI/LKM-LA/11-2020/104</t>
  </si>
  <si>
    <t xml:space="preserve">JAPAN CHAIN TERMINAL CO., LTD                                                   </t>
  </si>
  <si>
    <t>crimping dies</t>
  </si>
  <si>
    <t>Ken Suzuki
ken_s@j-c-t.co.jp
81-23-653-0180</t>
  </si>
  <si>
    <t>SAMI/LKM-LA/05-2020/057</t>
  </si>
  <si>
    <t xml:space="preserve">KOMAX           </t>
  </si>
  <si>
    <t>mesin &amp; part mesin Komax</t>
  </si>
  <si>
    <t>Koh Sim Seng
kimseng.koh@komaxgroup.com
+65 62859713</t>
  </si>
  <si>
    <t>SAMI/LKM-LA/05-2020/058</t>
  </si>
  <si>
    <t xml:space="preserve">LAKES PRECISSION, INC                                                           </t>
  </si>
  <si>
    <t>cutter ac90</t>
  </si>
  <si>
    <t>jim@lakesprecision.com
715-546-3070 (USA)</t>
  </si>
  <si>
    <t xml:space="preserve">PHILIPPINE PRECISION TECHNOLOGY INC                                             </t>
  </si>
  <si>
    <t xml:space="preserve">QUADMECH ENGINEERING PTY.LTD                                                    </t>
  </si>
  <si>
    <t>SAMI/LKM-LA/06-2020/061</t>
  </si>
  <si>
    <t xml:space="preserve">SCHLEUNIGER JAPAN CO.LTD                                                        </t>
  </si>
  <si>
    <t>air filter, blade, transport belt, body fit screw, dll</t>
  </si>
  <si>
    <t>Mitsuhiro Chiba
81 42 401 6581
mitsuhiro.chiba@schleuniger.co.jp</t>
  </si>
  <si>
    <t xml:space="preserve">SUPHACHAI ENGINEERING LIMITED PART.                                             </t>
  </si>
  <si>
    <t>SAMI/LKM-LA/06-2020/062</t>
  </si>
  <si>
    <t xml:space="preserve">TOMAN CORPORATION                                                               </t>
  </si>
  <si>
    <t>info@toman-c.co.jp
+81542549600</t>
  </si>
  <si>
    <t>TRI WALL INDONESIA, PT</t>
  </si>
  <si>
    <t>AN-NUR COMPUTER</t>
  </si>
  <si>
    <t>CV. ERALIKA MITRA PERSADA</t>
  </si>
  <si>
    <t>CV. JAVATECH ADIMULYA</t>
  </si>
  <si>
    <t>PT. NERANGI SARANA KARYA</t>
  </si>
  <si>
    <t>PT. YOKOHAMA TECHNICA SBY</t>
  </si>
  <si>
    <t>PT. KAFITECH ENGINEERING</t>
  </si>
  <si>
    <t>SAMI/LKM-LA/11-2018/095</t>
  </si>
  <si>
    <t>Purchase Agreement</t>
  </si>
  <si>
    <t>QES (ASIA-PACIFIC) SDN BHD</t>
  </si>
  <si>
    <t>Pembelian mesin hitachi high tech science corporation fluorescent x-ray element analyzer</t>
  </si>
  <si>
    <t>Lampu highbay BY268 Philip 700 lux qty 84</t>
  </si>
  <si>
    <t>SAMI/LKM-LA/03-2018/027</t>
  </si>
  <si>
    <t>Jasa kalibrasi Torque Meter</t>
  </si>
  <si>
    <t>PT. Hibex Indonesia</t>
  </si>
  <si>
    <t>Kalibrasi 1 unit torque meter</t>
  </si>
  <si>
    <t>CV. LESTARI ENGINEERING</t>
  </si>
  <si>
    <t>CV. LULUS JAYA POWERINDO</t>
  </si>
  <si>
    <t>CV. MOONAIR JAYA ABADI</t>
  </si>
  <si>
    <t>PT. ARTHA INTILESTARI</t>
  </si>
  <si>
    <t>PT. KREASINDO SUKSES MANDIRI</t>
  </si>
  <si>
    <t>PT. SANKO MATERIAL INDONESIA</t>
  </si>
  <si>
    <t>PT. SM-CYCLO INDONESIA</t>
  </si>
  <si>
    <t>PT. TEKADE MITRA INDONESIA</t>
  </si>
  <si>
    <t>PT. TIDEX TITAN PERSADA</t>
  </si>
  <si>
    <t>PT. TRI WALL INDONESIA</t>
  </si>
  <si>
    <t>PT. VITA TATA CHEMIKA</t>
  </si>
  <si>
    <t>PT. GRAHA MULTISARANA MESINDO</t>
  </si>
  <si>
    <t>PT. WIRATAMA MITRA ABADI</t>
  </si>
  <si>
    <t>SINAR PERSADA</t>
  </si>
  <si>
    <t>CV. SEKUNDO BERJAYA</t>
  </si>
  <si>
    <t>CV. SINAR MAKMUR JAYA</t>
  </si>
  <si>
    <t>CV. SUKSES ANUGERAH MEKANIKA</t>
  </si>
  <si>
    <t>PT. ATEQ INSTRUMENTS INDONESIA</t>
  </si>
  <si>
    <t>PT. AUTOTEK JAYA</t>
  </si>
  <si>
    <t>PT. ERAGUNA</t>
  </si>
  <si>
    <t>PT. HADIKREASI MESINDO</t>
  </si>
  <si>
    <t>PT. KURNIA DUTA ELEKTRIK</t>
  </si>
  <si>
    <t>PT. NIHON DENKEI INDONESIA</t>
  </si>
  <si>
    <t>PT. NORGANTARA PRIMA PERKASA</t>
  </si>
  <si>
    <t>PT. SENTRAL KONEKSI INTERNASIONAL</t>
  </si>
  <si>
    <t>PT. THREEBOND GARPAN SALES INDONESIA</t>
  </si>
  <si>
    <t>PT. TIRTA PELUMASINDO JAYA</t>
  </si>
  <si>
    <t>PT. YAKIN MAJU SENTOSA</t>
  </si>
  <si>
    <t>CV. VTRON INDONESIA</t>
  </si>
  <si>
    <t>CV. BIG RED DRAGON PLASTIC</t>
  </si>
  <si>
    <t>CV. GLOBAL PERDANA SYSTEM</t>
  </si>
  <si>
    <t>PT. AGUSTA TRIASA</t>
  </si>
  <si>
    <t>MITRA SEJATI TERASHINE</t>
  </si>
  <si>
    <t>PT. MITRA INFOSARANA</t>
  </si>
  <si>
    <t>BBF</t>
  </si>
  <si>
    <t>Penggunaan Tenaga Satuan Pengamanan BBF</t>
  </si>
  <si>
    <t>PT. Bina Mitra Jaya</t>
  </si>
  <si>
    <t>Tenaga pengamanan (Security) SAMI-BBF</t>
  </si>
  <si>
    <t>DELFI (Delfingen PH-Filipinas)</t>
  </si>
  <si>
    <t>RELATS
(Relats Insulation Material (Suzhou) Co., Ltd.,)</t>
  </si>
  <si>
    <t>PTCAR (Caturindo Agungjaya Rubber)</t>
  </si>
  <si>
    <t>PTIKP (PT. Indokarlo Perkasa)</t>
  </si>
  <si>
    <t>PENGADAAN WIRING HARNESS</t>
  </si>
  <si>
    <t>YC (WSZ)</t>
  </si>
  <si>
    <t>YC (DIT)</t>
  </si>
  <si>
    <t>YC (TCS)</t>
  </si>
  <si>
    <t>PROFESIONAL FEE FOR  AUDIT FINANCIAL</t>
  </si>
  <si>
    <t>DELOITTE / OSMAN BING SATRIO &amp; ENY</t>
  </si>
  <si>
    <t>1x audit</t>
  </si>
  <si>
    <t>MRU</t>
  </si>
  <si>
    <t>DELOITTE / SATRIO BING ENY &amp; REKAN</t>
  </si>
  <si>
    <t>Jasa reviu atas pelaporan konsolidasian</t>
  </si>
  <si>
    <t>Jasa review atas pelaporan konsolidasian</t>
  </si>
  <si>
    <t>ACTUARIAL CALCULATION</t>
  </si>
  <si>
    <t>PADMA RADYA AKTUARIA</t>
  </si>
  <si>
    <t>1x kontrak</t>
  </si>
  <si>
    <t>Tax Assistance Services</t>
  </si>
  <si>
    <t>JOHANNES JUARA &amp; REKAN</t>
  </si>
  <si>
    <t>PWI</t>
  </si>
  <si>
    <t>PT. EKASURYA YASA CONSULT - EYC</t>
  </si>
  <si>
    <t>Jasa transfer pricing</t>
  </si>
  <si>
    <t>Jasa perhitungan aktuaria kewajiban diestimasi atas imbalan kerja karyawan</t>
  </si>
  <si>
    <t>012/LT/LGL.SS.SMG-317/II/2016</t>
  </si>
  <si>
    <t>Mobil All New Avanza G 1.3 M/T
B-1711-SIN</t>
  </si>
  <si>
    <t>71/LT/LGL.SS.SMG-317/XII/2017
SAMI/LKM-LA/01-2018/004</t>
  </si>
  <si>
    <t>Mobil All New Avanza G 1.3 M/T
B-1297-SIO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</si>
</sst>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[$-409]d\-mmm\-yy;@"/>
    <numFmt numFmtId="166" formatCode="_(* #,##0.0_);_(* \(#,##0.0\);_(* &quot;-&quot;??_);_(@_)"/>
    <numFmt numFmtId="167" formatCode="[$-409]mmm\-yy;@"/>
  </numFmts>
  <fonts count="2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name val="Times New Roman"/>
      <family val="1"/>
    </font>
    <font>
      <sz val="22"/>
      <name val="Times New Roman"/>
      <family val="1"/>
    </font>
    <font>
      <b/>
      <sz val="48"/>
      <name val="Times New Roman"/>
      <family val="1"/>
    </font>
    <font>
      <b/>
      <sz val="20"/>
      <name val="Times New Roman"/>
      <family val="1"/>
    </font>
    <font>
      <sz val="36"/>
      <name val="Times New Roman"/>
      <family val="1"/>
    </font>
    <font>
      <i/>
      <sz val="20"/>
      <name val="Times New Roman"/>
      <family val="1"/>
    </font>
    <font>
      <b/>
      <sz val="22"/>
      <name val="Times New Roman"/>
      <family val="1"/>
    </font>
    <font>
      <b/>
      <sz val="26"/>
      <name val="Times New Roman"/>
      <family val="1"/>
    </font>
    <font>
      <sz val="10"/>
      <color theme="1"/>
      <name val="Times New Roman"/>
      <family val="1"/>
    </font>
    <font>
      <sz val="26"/>
      <name val="Times New Roman"/>
      <family val="1"/>
    </font>
    <font>
      <sz val="22"/>
      <color rgb="FFFF0000"/>
      <name val="Times New Roman"/>
      <family val="1"/>
    </font>
    <font>
      <b/>
      <sz val="24"/>
      <name val="Times New Roman"/>
      <family val="1"/>
    </font>
    <font>
      <b/>
      <sz val="11"/>
      <name val="Times New Roman"/>
      <family val="1"/>
    </font>
    <font>
      <sz val="20"/>
      <name val="Times New Roman"/>
      <family val="1"/>
    </font>
    <font>
      <sz val="24"/>
      <name val="Times New Roman"/>
      <family val="1"/>
    </font>
    <font>
      <i/>
      <u/>
      <sz val="22"/>
      <name val="Times New Roman"/>
      <family val="1"/>
    </font>
    <font>
      <sz val="22"/>
      <color rgb="FF0000FF"/>
      <name val="Times New Roman"/>
      <family val="1"/>
    </font>
    <font>
      <b/>
      <sz val="18"/>
      <name val="Times New Roman"/>
      <family val="1"/>
    </font>
    <font>
      <b/>
      <sz val="18"/>
      <color theme="1"/>
      <name val="Times New Roman"/>
      <family val="1"/>
    </font>
    <font>
      <sz val="16"/>
      <name val="Times New Roman"/>
      <family val="1"/>
    </font>
    <font>
      <sz val="22"/>
      <color theme="1"/>
      <name val="Times New Roman"/>
      <family val="1"/>
    </font>
    <font>
      <sz val="30"/>
      <color theme="1"/>
      <name val="Calibri"/>
      <family val="2"/>
    </font>
    <font>
      <i/>
      <sz val="22"/>
      <color theme="1"/>
      <name val="Times New Roman"/>
      <family val="1"/>
    </font>
    <font>
      <sz val="18"/>
      <color theme="1"/>
      <name val="Times New Roman"/>
      <family val="1"/>
    </font>
    <font>
      <sz val="28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D874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522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EF76A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84E4A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4747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wrapText="1"/>
    </xf>
    <xf numFmtId="14" fontId="7" fillId="0" borderId="0" xfId="0" applyNumberFormat="1" applyFont="1" applyAlignment="1">
      <alignment horizontal="right" wrapText="1"/>
    </xf>
    <xf numFmtId="14" fontId="7" fillId="0" borderId="0" xfId="0" applyNumberFormat="1" applyFont="1"/>
    <xf numFmtId="1" fontId="2" fillId="0" borderId="0" xfId="0" applyNumberFormat="1" applyFont="1" applyAlignment="1">
      <alignment horizontal="center" wrapText="1"/>
    </xf>
    <xf numFmtId="0" fontId="8" fillId="0" borderId="0" xfId="0" applyFont="1" applyAlignment="1">
      <alignment horizontal="right" vertical="center"/>
    </xf>
    <xf numFmtId="14" fontId="8" fillId="0" borderId="0" xfId="0" applyNumberFormat="1" applyFont="1" applyAlignment="1">
      <alignment vertical="center"/>
    </xf>
    <xf numFmtId="0" fontId="9" fillId="0" borderId="1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11" fillId="7" borderId="0" xfId="0" applyFont="1" applyFill="1" applyAlignment="1">
      <alignment vertical="center"/>
    </xf>
    <xf numFmtId="0" fontId="8" fillId="0" borderId="0" xfId="0" applyFont="1"/>
    <xf numFmtId="0" fontId="9" fillId="8" borderId="13" xfId="0" applyFont="1" applyFill="1" applyBorder="1" applyAlignment="1">
      <alignment horizontal="center" vertical="center" wrapText="1"/>
    </xf>
    <xf numFmtId="0" fontId="9" fillId="9" borderId="13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1" borderId="13" xfId="0" applyFont="1" applyFill="1" applyBorder="1" applyAlignment="1">
      <alignment horizontal="center" vertical="center" wrapText="1"/>
    </xf>
    <xf numFmtId="0" fontId="9" fillId="12" borderId="13" xfId="0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 vertical="center" wrapText="1"/>
    </xf>
    <xf numFmtId="14" fontId="9" fillId="0" borderId="14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" fontId="12" fillId="0" borderId="13" xfId="0" applyNumberFormat="1" applyFont="1" applyBorder="1" applyAlignment="1">
      <alignment horizontal="center" vertical="center"/>
    </xf>
    <xf numFmtId="1" fontId="12" fillId="0" borderId="14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7" fontId="3" fillId="0" borderId="13" xfId="0" applyNumberFormat="1" applyFont="1" applyBorder="1" applyAlignment="1">
      <alignment vertical="center"/>
    </xf>
    <xf numFmtId="0" fontId="2" fillId="0" borderId="13" xfId="0" applyFont="1" applyBorder="1"/>
    <xf numFmtId="0" fontId="3" fillId="0" borderId="13" xfId="0" applyFont="1" applyBorder="1" applyAlignment="1">
      <alignment horizontal="center" vertical="center" wrapText="1"/>
    </xf>
    <xf numFmtId="1" fontId="3" fillId="0" borderId="13" xfId="0" applyNumberFormat="1" applyFont="1" applyBorder="1" applyAlignment="1">
      <alignment horizontal="center" vertical="center" wrapText="1"/>
    </xf>
    <xf numFmtId="9" fontId="3" fillId="0" borderId="13" xfId="2" applyFont="1" applyFill="1" applyBorder="1" applyAlignment="1">
      <alignment horizontal="center" vertical="center" wrapText="1"/>
    </xf>
    <xf numFmtId="1" fontId="3" fillId="0" borderId="14" xfId="0" applyNumberFormat="1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9" fontId="3" fillId="0" borderId="0" xfId="2" applyFont="1" applyFill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7" borderId="0" xfId="0" applyNumberFormat="1" applyFont="1" applyFill="1" applyAlignment="1">
      <alignment vertical="center"/>
    </xf>
    <xf numFmtId="1" fontId="13" fillId="3" borderId="12" xfId="0" applyNumberFormat="1" applyFont="1" applyFill="1" applyBorder="1" applyAlignment="1">
      <alignment horizontal="center" vertical="center"/>
    </xf>
    <xf numFmtId="1" fontId="13" fillId="4" borderId="13" xfId="0" applyNumberFormat="1" applyFont="1" applyFill="1" applyBorder="1" applyAlignment="1">
      <alignment horizontal="center" vertical="center"/>
    </xf>
    <xf numFmtId="1" fontId="8" fillId="0" borderId="13" xfId="0" applyNumberFormat="1" applyFont="1" applyBorder="1" applyAlignment="1">
      <alignment horizontal="center" vertical="center"/>
    </xf>
    <xf numFmtId="1" fontId="13" fillId="8" borderId="12" xfId="0" applyNumberFormat="1" applyFont="1" applyFill="1" applyBorder="1" applyAlignment="1">
      <alignment horizontal="center" vertical="center"/>
    </xf>
    <xf numFmtId="1" fontId="13" fillId="9" borderId="13" xfId="0" applyNumberFormat="1" applyFont="1" applyFill="1" applyBorder="1" applyAlignment="1">
      <alignment horizontal="center" vertical="center"/>
    </xf>
    <xf numFmtId="1" fontId="13" fillId="11" borderId="13" xfId="0" applyNumberFormat="1" applyFont="1" applyFill="1" applyBorder="1" applyAlignment="1">
      <alignment horizontal="center" vertical="center"/>
    </xf>
    <xf numFmtId="1" fontId="13" fillId="12" borderId="13" xfId="0" applyNumberFormat="1" applyFont="1" applyFill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1" fontId="8" fillId="4" borderId="10" xfId="0" applyNumberFormat="1" applyFont="1" applyFill="1" applyBorder="1" applyAlignment="1">
      <alignment horizontal="center" vertical="center"/>
    </xf>
    <xf numFmtId="1" fontId="9" fillId="10" borderId="13" xfId="0" applyNumberFormat="1" applyFont="1" applyFill="1" applyBorder="1" applyAlignment="1">
      <alignment horizontal="center" vertical="center" wrapText="1"/>
    </xf>
    <xf numFmtId="1" fontId="13" fillId="0" borderId="14" xfId="0" applyNumberFormat="1" applyFont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  <xf numFmtId="1" fontId="8" fillId="0" borderId="9" xfId="0" applyNumberFormat="1" applyFont="1" applyBorder="1" applyAlignment="1">
      <alignment vertical="center"/>
    </xf>
    <xf numFmtId="1" fontId="8" fillId="0" borderId="14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14" fillId="0" borderId="0" xfId="0" applyFont="1"/>
    <xf numFmtId="0" fontId="8" fillId="0" borderId="0" xfId="0" applyFont="1" applyAlignment="1">
      <alignment vertical="top"/>
    </xf>
    <xf numFmtId="0" fontId="5" fillId="0" borderId="0" xfId="0" applyFont="1"/>
    <xf numFmtId="9" fontId="5" fillId="0" borderId="0" xfId="2" applyFont="1" applyFill="1" applyBorder="1" applyAlignment="1">
      <alignment vertical="top"/>
    </xf>
    <xf numFmtId="0" fontId="3" fillId="0" borderId="0" xfId="0" applyFont="1" applyAlignment="1">
      <alignment horizontal="right" wrapText="1"/>
    </xf>
    <xf numFmtId="9" fontId="8" fillId="0" borderId="0" xfId="2" applyFont="1" applyFill="1" applyBorder="1" applyAlignment="1">
      <alignment horizontal="center" vertical="center"/>
    </xf>
    <xf numFmtId="2" fontId="15" fillId="0" borderId="0" xfId="0" applyNumberFormat="1" applyFont="1" applyAlignment="1">
      <alignment wrapText="1"/>
    </xf>
    <xf numFmtId="14" fontId="2" fillId="0" borderId="0" xfId="0" applyNumberFormat="1" applyFont="1"/>
    <xf numFmtId="0" fontId="9" fillId="0" borderId="9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" fontId="3" fillId="0" borderId="9" xfId="0" applyNumberFormat="1" applyFont="1" applyBorder="1" applyAlignment="1">
      <alignment horizontal="center" vertical="center" wrapText="1"/>
    </xf>
    <xf numFmtId="9" fontId="3" fillId="0" borderId="9" xfId="2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9" fillId="0" borderId="18" xfId="0" applyNumberFormat="1" applyFont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" fontId="13" fillId="0" borderId="13" xfId="0" applyNumberFormat="1" applyFont="1" applyBorder="1" applyAlignment="1">
      <alignment horizontal="center" vertical="center"/>
    </xf>
    <xf numFmtId="1" fontId="13" fillId="0" borderId="10" xfId="0" applyNumberFormat="1" applyFont="1" applyBorder="1" applyAlignment="1">
      <alignment horizontal="center" vertical="center"/>
    </xf>
    <xf numFmtId="1" fontId="8" fillId="13" borderId="10" xfId="0" applyNumberFormat="1" applyFont="1" applyFill="1" applyBorder="1" applyAlignment="1">
      <alignment vertical="center"/>
    </xf>
    <xf numFmtId="1" fontId="8" fillId="13" borderId="11" xfId="0" applyNumberFormat="1" applyFont="1" applyFill="1" applyBorder="1" applyAlignment="1">
      <alignment vertical="center"/>
    </xf>
    <xf numFmtId="1" fontId="8" fillId="13" borderId="12" xfId="0" applyNumberFormat="1" applyFont="1" applyFill="1" applyBorder="1" applyAlignment="1">
      <alignment vertical="center"/>
    </xf>
    <xf numFmtId="14" fontId="13" fillId="0" borderId="23" xfId="0" applyNumberFormat="1" applyFont="1" applyBorder="1" applyAlignment="1">
      <alignment horizontal="center" vertical="center"/>
    </xf>
    <xf numFmtId="14" fontId="16" fillId="0" borderId="13" xfId="0" applyNumberFormat="1" applyFont="1" applyBorder="1" applyAlignment="1">
      <alignment horizontal="center" vertical="center"/>
    </xf>
    <xf numFmtId="0" fontId="15" fillId="0" borderId="0" xfId="0" applyFont="1"/>
    <xf numFmtId="1" fontId="2" fillId="0" borderId="0" xfId="0" applyNumberFormat="1" applyFont="1" applyAlignment="1">
      <alignment horizontal="center"/>
    </xf>
    <xf numFmtId="0" fontId="9" fillId="0" borderId="0" xfId="0" applyFont="1" applyAlignment="1">
      <alignment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3" fillId="0" borderId="0" xfId="0" applyFont="1"/>
    <xf numFmtId="14" fontId="5" fillId="0" borderId="0" xfId="0" applyNumberFormat="1" applyFont="1" applyAlignment="1">
      <alignment vertical="center"/>
    </xf>
    <xf numFmtId="0" fontId="16" fillId="0" borderId="0" xfId="0" applyFont="1"/>
    <xf numFmtId="17" fontId="16" fillId="0" borderId="13" xfId="0" applyNumberFormat="1" applyFont="1" applyBorder="1"/>
    <xf numFmtId="0" fontId="17" fillId="0" borderId="0" xfId="0" applyFont="1"/>
    <xf numFmtId="0" fontId="18" fillId="0" borderId="0" xfId="0" applyFont="1"/>
    <xf numFmtId="0" fontId="18" fillId="14" borderId="13" xfId="0" applyFont="1" applyFill="1" applyBorder="1"/>
    <xf numFmtId="0" fontId="3" fillId="15" borderId="13" xfId="0" applyFont="1" applyFill="1" applyBorder="1"/>
    <xf numFmtId="0" fontId="3" fillId="9" borderId="13" xfId="0" applyFont="1" applyFill="1" applyBorder="1"/>
    <xf numFmtId="0" fontId="3" fillId="8" borderId="13" xfId="0" applyFont="1" applyFill="1" applyBorder="1"/>
    <xf numFmtId="0" fontId="3" fillId="10" borderId="13" xfId="0" applyFont="1" applyFill="1" applyBorder="1"/>
    <xf numFmtId="0" fontId="3" fillId="12" borderId="13" xfId="0" applyFont="1" applyFill="1" applyBorder="1"/>
    <xf numFmtId="0" fontId="19" fillId="0" borderId="9" xfId="0" applyFont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0" fontId="19" fillId="0" borderId="17" xfId="0" applyFont="1" applyBorder="1" applyAlignment="1">
      <alignment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 wrapText="1"/>
    </xf>
    <xf numFmtId="0" fontId="21" fillId="0" borderId="0" xfId="0" applyFont="1"/>
    <xf numFmtId="0" fontId="19" fillId="0" borderId="16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14" fontId="19" fillId="0" borderId="13" xfId="0" applyNumberFormat="1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" fontId="22" fillId="0" borderId="13" xfId="0" applyNumberFormat="1" applyFont="1" applyBorder="1" applyAlignment="1">
      <alignment horizontal="center" vertical="center"/>
    </xf>
    <xf numFmtId="1" fontId="22" fillId="0" borderId="13" xfId="0" applyNumberFormat="1" applyFont="1" applyBorder="1" applyAlignment="1">
      <alignment horizontal="center" vertical="center" wrapText="1"/>
    </xf>
    <xf numFmtId="1" fontId="22" fillId="0" borderId="13" xfId="0" applyNumberFormat="1" applyFont="1" applyBorder="1" applyAlignment="1">
      <alignment vertical="center" wrapText="1"/>
    </xf>
    <xf numFmtId="14" fontId="22" fillId="0" borderId="13" xfId="0" applyNumberFormat="1" applyFont="1" applyBorder="1" applyAlignment="1">
      <alignment vertical="center" wrapText="1"/>
    </xf>
    <xf numFmtId="14" fontId="22" fillId="0" borderId="13" xfId="0" applyNumberFormat="1" applyFont="1" applyBorder="1" applyAlignment="1" applyProtection="1">
      <alignment vertical="center" wrapText="1"/>
      <protection locked="0"/>
    </xf>
    <xf numFmtId="164" fontId="22" fillId="0" borderId="13" xfId="1" applyNumberFormat="1" applyFont="1" applyFill="1" applyBorder="1" applyAlignment="1">
      <alignment vertical="center" wrapText="1"/>
    </xf>
    <xf numFmtId="165" fontId="22" fillId="0" borderId="13" xfId="0" applyNumberFormat="1" applyFont="1" applyBorder="1" applyAlignment="1">
      <alignment vertical="center" wrapText="1"/>
    </xf>
    <xf numFmtId="166" fontId="22" fillId="0" borderId="13" xfId="1" applyNumberFormat="1" applyFont="1" applyFill="1" applyBorder="1" applyAlignment="1">
      <alignment horizontal="center" vertical="center" wrapText="1"/>
    </xf>
    <xf numFmtId="1" fontId="22" fillId="0" borderId="10" xfId="0" applyNumberFormat="1" applyFont="1" applyBorder="1" applyAlignment="1">
      <alignment horizontal="center" vertical="center" wrapText="1"/>
    </xf>
    <xf numFmtId="167" fontId="22" fillId="0" borderId="13" xfId="0" applyNumberFormat="1" applyFont="1" applyBorder="1" applyAlignment="1">
      <alignment vertical="center" wrapText="1"/>
    </xf>
    <xf numFmtId="165" fontId="3" fillId="0" borderId="13" xfId="0" applyNumberFormat="1" applyFont="1" applyBorder="1" applyAlignment="1">
      <alignment horizontal="center" vertical="center"/>
    </xf>
    <xf numFmtId="0" fontId="21" fillId="0" borderId="0" xfId="0" applyFont="1" applyAlignment="1">
      <alignment vertical="center"/>
    </xf>
    <xf numFmtId="1" fontId="23" fillId="0" borderId="13" xfId="0" applyNumberFormat="1" applyFont="1" applyBorder="1" applyAlignment="1">
      <alignment horizontal="center" vertical="center" wrapText="1"/>
    </xf>
    <xf numFmtId="43" fontId="22" fillId="0" borderId="13" xfId="1" applyFont="1" applyFill="1" applyBorder="1" applyAlignment="1">
      <alignment vertical="center" wrapText="1"/>
    </xf>
    <xf numFmtId="9" fontId="22" fillId="0" borderId="13" xfId="2" applyFont="1" applyFill="1" applyBorder="1" applyAlignment="1">
      <alignment vertical="center" wrapText="1"/>
    </xf>
    <xf numFmtId="164" fontId="22" fillId="0" borderId="13" xfId="1" quotePrefix="1" applyNumberFormat="1" applyFont="1" applyFill="1" applyBorder="1" applyAlignment="1">
      <alignment vertical="center" wrapText="1"/>
    </xf>
    <xf numFmtId="164" fontId="22" fillId="0" borderId="13" xfId="1" applyNumberFormat="1" applyFont="1" applyFill="1" applyBorder="1" applyAlignment="1">
      <alignment horizontal="right" vertical="center" wrapText="1"/>
    </xf>
    <xf numFmtId="1" fontId="22" fillId="0" borderId="13" xfId="0" quotePrefix="1" applyNumberFormat="1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" fontId="3" fillId="0" borderId="0" xfId="0" applyNumberFormat="1" applyFont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4" fontId="21" fillId="0" borderId="0" xfId="0" applyNumberFormat="1" applyFont="1" applyAlignment="1">
      <alignment vertical="center"/>
    </xf>
    <xf numFmtId="0" fontId="2" fillId="0" borderId="18" xfId="0" applyFont="1" applyBorder="1"/>
    <xf numFmtId="0" fontId="2" fillId="0" borderId="18" xfId="0" applyFont="1" applyBorder="1" applyAlignment="1">
      <alignment wrapText="1"/>
    </xf>
    <xf numFmtId="14" fontId="2" fillId="0" borderId="18" xfId="0" applyNumberFormat="1" applyFont="1" applyBorder="1" applyAlignment="1">
      <alignment wrapText="1"/>
    </xf>
    <xf numFmtId="1" fontId="25" fillId="0" borderId="0" xfId="0" applyNumberFormat="1" applyFont="1" applyAlignment="1">
      <alignment horizontal="left"/>
    </xf>
    <xf numFmtId="14" fontId="25" fillId="0" borderId="0" xfId="0" applyNumberFormat="1" applyFont="1" applyAlignment="1" applyProtection="1">
      <alignment vertical="top" wrapText="1"/>
      <protection locked="0"/>
    </xf>
    <xf numFmtId="14" fontId="25" fillId="0" borderId="0" xfId="0" applyNumberFormat="1" applyFont="1" applyAlignment="1">
      <alignment vertical="top" wrapText="1"/>
    </xf>
    <xf numFmtId="14" fontId="25" fillId="0" borderId="0" xfId="0" applyNumberFormat="1" applyFont="1" applyAlignment="1">
      <alignment vertical="center" wrapText="1"/>
    </xf>
    <xf numFmtId="164" fontId="25" fillId="0" borderId="0" xfId="1" applyNumberFormat="1" applyFont="1" applyFill="1" applyBorder="1" applyAlignment="1">
      <alignment vertical="top" wrapText="1"/>
    </xf>
    <xf numFmtId="165" fontId="25" fillId="0" borderId="0" xfId="0" applyNumberFormat="1" applyFont="1" applyAlignment="1">
      <alignment vertical="top" wrapText="1"/>
    </xf>
    <xf numFmtId="166" fontId="25" fillId="0" borderId="0" xfId="1" applyNumberFormat="1" applyFont="1" applyFill="1" applyBorder="1" applyAlignment="1">
      <alignment vertical="top" wrapText="1"/>
    </xf>
    <xf numFmtId="1" fontId="25" fillId="0" borderId="0" xfId="0" applyNumberFormat="1" applyFont="1" applyAlignment="1">
      <alignment vertical="top" wrapText="1"/>
    </xf>
    <xf numFmtId="1" fontId="25" fillId="0" borderId="0" xfId="0" applyNumberFormat="1" applyFont="1" applyAlignment="1">
      <alignment horizontal="center" vertical="top" wrapText="1"/>
    </xf>
    <xf numFmtId="1" fontId="25" fillId="0" borderId="0" xfId="0" applyNumberFormat="1" applyFont="1" applyAlignment="1">
      <alignment horizontal="center" vertical="center" wrapText="1"/>
    </xf>
    <xf numFmtId="1" fontId="22" fillId="0" borderId="0" xfId="0" applyNumberFormat="1" applyFont="1" applyAlignment="1">
      <alignment horizontal="center" vertical="center" wrapText="1"/>
    </xf>
    <xf numFmtId="1" fontId="25" fillId="0" borderId="0" xfId="0" applyNumberFormat="1" applyFont="1" applyAlignment="1">
      <alignment horizontal="left" wrapText="1"/>
    </xf>
    <xf numFmtId="0" fontId="26" fillId="0" borderId="0" xfId="0" applyFont="1" applyAlignment="1">
      <alignment wrapText="1"/>
    </xf>
    <xf numFmtId="1" fontId="22" fillId="8" borderId="13" xfId="0" applyNumberFormat="1" applyFont="1" applyFill="1" applyBorder="1" applyAlignment="1">
      <alignment horizontal="center" vertical="center"/>
    </xf>
    <xf numFmtId="1" fontId="22" fillId="8" borderId="13" xfId="0" applyNumberFormat="1" applyFont="1" applyFill="1" applyBorder="1" applyAlignment="1">
      <alignment horizontal="center" vertical="center" wrapText="1"/>
    </xf>
    <xf numFmtId="1" fontId="22" fillId="8" borderId="13" xfId="0" applyNumberFormat="1" applyFont="1" applyFill="1" applyBorder="1" applyAlignment="1">
      <alignment vertical="center" wrapText="1"/>
    </xf>
    <xf numFmtId="14" fontId="22" fillId="8" borderId="13" xfId="0" applyNumberFormat="1" applyFont="1" applyFill="1" applyBorder="1" applyAlignment="1">
      <alignment vertical="center" wrapText="1"/>
    </xf>
    <xf numFmtId="14" fontId="22" fillId="8" borderId="13" xfId="0" applyNumberFormat="1" applyFont="1" applyFill="1" applyBorder="1" applyAlignment="1" applyProtection="1">
      <alignment vertical="center" wrapText="1"/>
      <protection locked="0"/>
    </xf>
    <xf numFmtId="164" fontId="22" fillId="8" borderId="13" xfId="1" applyNumberFormat="1" applyFont="1" applyFill="1" applyBorder="1" applyAlignment="1">
      <alignment vertical="center" wrapText="1"/>
    </xf>
    <xf numFmtId="165" fontId="22" fillId="8" borderId="13" xfId="0" applyNumberFormat="1" applyFont="1" applyFill="1" applyBorder="1" applyAlignment="1">
      <alignment vertical="center" wrapText="1"/>
    </xf>
    <xf numFmtId="166" fontId="22" fillId="8" borderId="13" xfId="1" applyNumberFormat="1" applyFont="1" applyFill="1" applyBorder="1" applyAlignment="1">
      <alignment horizontal="center" vertical="center" wrapText="1"/>
    </xf>
    <xf numFmtId="1" fontId="22" fillId="8" borderId="10" xfId="0" applyNumberFormat="1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center" vertical="center"/>
    </xf>
    <xf numFmtId="167" fontId="22" fillId="8" borderId="13" xfId="0" applyNumberFormat="1" applyFont="1" applyFill="1" applyBorder="1" applyAlignment="1">
      <alignment vertical="center" wrapText="1"/>
    </xf>
    <xf numFmtId="165" fontId="3" fillId="8" borderId="13" xfId="0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14" fontId="19" fillId="0" borderId="10" xfId="0" applyNumberFormat="1" applyFont="1" applyBorder="1" applyAlignment="1">
      <alignment horizontal="center" vertical="center" wrapText="1"/>
    </xf>
    <xf numFmtId="14" fontId="19" fillId="0" borderId="12" xfId="0" applyNumberFormat="1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17" fontId="16" fillId="0" borderId="13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1" fontId="8" fillId="13" borderId="10" xfId="0" applyNumberFormat="1" applyFont="1" applyFill="1" applyBorder="1" applyAlignment="1">
      <alignment horizontal="center" vertical="center"/>
    </xf>
    <xf numFmtId="1" fontId="8" fillId="13" borderId="11" xfId="0" applyNumberFormat="1" applyFont="1" applyFill="1" applyBorder="1" applyAlignment="1">
      <alignment horizontal="center" vertical="center"/>
    </xf>
    <xf numFmtId="1" fontId="8" fillId="13" borderId="12" xfId="0" applyNumberFormat="1" applyFont="1" applyFill="1" applyBorder="1" applyAlignment="1">
      <alignment horizontal="center" vertical="center"/>
    </xf>
    <xf numFmtId="1" fontId="8" fillId="11" borderId="10" xfId="0" applyNumberFormat="1" applyFont="1" applyFill="1" applyBorder="1" applyAlignment="1">
      <alignment horizontal="center" vertical="center"/>
    </xf>
    <xf numFmtId="1" fontId="8" fillId="11" borderId="11" xfId="0" applyNumberFormat="1" applyFont="1" applyFill="1" applyBorder="1" applyAlignment="1">
      <alignment horizontal="center" vertical="center"/>
    </xf>
    <xf numFmtId="1" fontId="8" fillId="11" borderId="12" xfId="0" applyNumberFormat="1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4" fontId="9" fillId="2" borderId="9" xfId="0" applyNumberFormat="1" applyFont="1" applyFill="1" applyBorder="1" applyAlignment="1">
      <alignment horizontal="center" vertical="center" wrapText="1"/>
    </xf>
    <xf numFmtId="14" fontId="9" fillId="2" borderId="15" xfId="0" applyNumberFormat="1" applyFont="1" applyFill="1" applyBorder="1" applyAlignment="1">
      <alignment horizontal="center" vertical="center" wrapText="1"/>
    </xf>
    <xf numFmtId="14" fontId="9" fillId="2" borderId="16" xfId="0" applyNumberFormat="1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1" fontId="8" fillId="0" borderId="13" xfId="0" applyNumberFormat="1" applyFont="1" applyBorder="1" applyAlignment="1">
      <alignment horizontal="center" vertical="center"/>
    </xf>
    <xf numFmtId="9" fontId="8" fillId="0" borderId="13" xfId="2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/>
    </xf>
    <xf numFmtId="1" fontId="8" fillId="0" borderId="10" xfId="0" applyNumberFormat="1" applyFont="1" applyBorder="1" applyAlignment="1">
      <alignment horizontal="center" vertical="center"/>
    </xf>
    <xf numFmtId="1" fontId="8" fillId="0" borderId="12" xfId="0" applyNumberFormat="1" applyFont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1" fontId="8" fillId="4" borderId="13" xfId="0" applyNumberFormat="1" applyFont="1" applyFill="1" applyBorder="1" applyAlignment="1">
      <alignment horizontal="center" vertical="center"/>
    </xf>
    <xf numFmtId="1" fontId="8" fillId="5" borderId="13" xfId="0" applyNumberFormat="1" applyFont="1" applyFill="1" applyBorder="1" applyAlignment="1">
      <alignment horizontal="center" vertical="center"/>
    </xf>
    <xf numFmtId="1" fontId="8" fillId="6" borderId="13" xfId="0" applyNumberFormat="1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9" fillId="10" borderId="16" xfId="0" applyFont="1" applyFill="1" applyBorder="1" applyAlignment="1">
      <alignment horizontal="center"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9" fillId="11" borderId="16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9" fillId="12" borderId="16" xfId="0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6" borderId="13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9" fillId="5" borderId="13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3454"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66FFFF"/>
        </patternFill>
      </fill>
    </dxf>
    <dxf>
      <fill>
        <patternFill>
          <bgColor rgb="FFFF99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FF99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66FFFF"/>
        </patternFill>
      </fill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rgb="FF92D050"/>
        </patternFill>
      </fill>
    </dxf>
    <dxf>
      <fill>
        <patternFill>
          <bgColor rgb="FFFEF76A"/>
        </patternFill>
      </fill>
    </dxf>
    <dxf>
      <fill>
        <patternFill>
          <bgColor rgb="FFFF4747"/>
        </patternFill>
      </fill>
    </dxf>
    <dxf>
      <font>
        <color rgb="FF0000FF"/>
      </font>
    </dxf>
    <dxf>
      <fill>
        <patternFill>
          <bgColor theme="6" tint="0.39994506668294322"/>
        </patternFill>
      </fill>
    </dxf>
    <dxf>
      <fill>
        <patternFill>
          <bgColor rgb="FFFF66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6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id-ID"/>
              <a:t>Kategori Kontrak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explosion val="25"/>
          <c:dPt>
            <c:idx val="0"/>
            <c:bubble3D val="0"/>
            <c:spPr>
              <a:solidFill>
                <a:srgbClr val="00B0F0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61C-4E68-ADC7-21E7DA0F5A3E}"/>
              </c:ext>
            </c:extLst>
          </c:dPt>
          <c:dPt>
            <c:idx val="1"/>
            <c:bubble3D val="0"/>
            <c:spPr>
              <a:solidFill>
                <a:srgbClr val="FD8745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D61C-4E68-ADC7-21E7DA0F5A3E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'Kontrak ALL'!$F$16:$G$16</c:f>
              <c:strCache>
                <c:ptCount val="2"/>
                <c:pt idx="0">
                  <c:v>Penting</c:v>
                </c:pt>
                <c:pt idx="1">
                  <c:v>Biasa</c:v>
                </c:pt>
              </c:strCache>
            </c:strRef>
          </c:cat>
          <c:val>
            <c:numRef>
              <c:f>'Kontrak ALL'!$F$30:$G$30</c:f>
              <c:numCache>
                <c:formatCode>0</c:formatCode>
                <c:ptCount val="2"/>
                <c:pt idx="0">
                  <c:v>147</c:v>
                </c:pt>
                <c:pt idx="1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1C-4E68-ADC7-21E7DA0F5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layout/>
      <c:overlay val="0"/>
      <c:txPr>
        <a:bodyPr/>
        <a:lstStyle/>
        <a:p>
          <a:pPr>
            <a:defRPr sz="21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36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Penting "Kadaluarsa"</a:t>
            </a:r>
          </a:p>
        </c:rich>
      </c:tx>
      <c:layout>
        <c:manualLayout>
          <c:xMode val="edge"/>
          <c:yMode val="edge"/>
          <c:x val="0.35405188960951672"/>
          <c:y val="1.05988633581195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'Kontrak ALL'!$CC$17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FEF76A"/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ALL'!$CB$19:$CB$29</c:f>
              <c:strCache>
                <c:ptCount val="11"/>
                <c:pt idx="0">
                  <c:v>EXIM</c:v>
                </c:pt>
                <c:pt idx="1">
                  <c:v>QA</c:v>
                </c:pt>
                <c:pt idx="2">
                  <c:v>SHE</c:v>
                </c:pt>
                <c:pt idx="3">
                  <c:v>GA</c:v>
                </c:pt>
                <c:pt idx="4">
                  <c:v>PPC</c:v>
                </c:pt>
                <c:pt idx="5">
                  <c:v>MTP</c:v>
                </c:pt>
                <c:pt idx="6">
                  <c:v>LD</c:v>
                </c:pt>
                <c:pt idx="7">
                  <c:v>MPC</c:v>
                </c:pt>
                <c:pt idx="8">
                  <c:v>IT</c:v>
                </c:pt>
                <c:pt idx="9">
                  <c:v>FA</c:v>
                </c:pt>
                <c:pt idx="10">
                  <c:v>HR</c:v>
                </c:pt>
              </c:strCache>
            </c:strRef>
          </c:cat>
          <c:val>
            <c:numRef>
              <c:f>'Kontrak ALL'!$CC$19:$CC$29</c:f>
              <c:numCache>
                <c:formatCode>0</c:formatCode>
                <c:ptCount val="11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13</c:v>
                </c:pt>
                <c:pt idx="4">
                  <c:v>4</c:v>
                </c:pt>
                <c:pt idx="5">
                  <c:v>9</c:v>
                </c:pt>
                <c:pt idx="6">
                  <c:v>13</c:v>
                </c:pt>
                <c:pt idx="7">
                  <c:v>6</c:v>
                </c:pt>
                <c:pt idx="8">
                  <c:v>5</c:v>
                </c:pt>
                <c:pt idx="9">
                  <c:v>3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F-4536-964B-637A2DE5D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4709632"/>
        <c:axId val="56588480"/>
      </c:barChart>
      <c:lineChart>
        <c:grouping val="standard"/>
        <c:varyColors val="0"/>
        <c:ser>
          <c:idx val="1"/>
          <c:order val="1"/>
          <c:tx>
            <c:strRef>
              <c:f>'Kontrak ALL'!$CE$17</c:f>
              <c:strCache>
                <c:ptCount val="1"/>
                <c:pt idx="0">
                  <c:v>Cumulative %</c:v>
                </c:pt>
              </c:strCache>
            </c:strRef>
          </c:tx>
          <c:spPr>
            <a:ln w="63500">
              <a:solidFill>
                <a:srgbClr val="FF0000"/>
              </a:solidFill>
            </a:ln>
          </c:spPr>
          <c:marker>
            <c:spPr>
              <a:ln w="38100">
                <a:solidFill>
                  <a:srgbClr val="FF000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'Kontrak ALL'!$CE$18:$CE$29</c:f>
              <c:numCache>
                <c:formatCode>0%</c:formatCode>
                <c:ptCount val="12"/>
                <c:pt idx="0" formatCode="General">
                  <c:v>0</c:v>
                </c:pt>
                <c:pt idx="1">
                  <c:v>9.6774193548387094E-2</c:v>
                </c:pt>
                <c:pt idx="2">
                  <c:v>0.11290322580645161</c:v>
                </c:pt>
                <c:pt idx="3">
                  <c:v>0.14516129032258066</c:v>
                </c:pt>
                <c:pt idx="4">
                  <c:v>0.35483870967741937</c:v>
                </c:pt>
                <c:pt idx="5">
                  <c:v>0.41935483870967744</c:v>
                </c:pt>
                <c:pt idx="6">
                  <c:v>0.56451612903225812</c:v>
                </c:pt>
                <c:pt idx="7">
                  <c:v>0.77419354838709675</c:v>
                </c:pt>
                <c:pt idx="8">
                  <c:v>0.87096774193548387</c:v>
                </c:pt>
                <c:pt idx="9">
                  <c:v>0.95161290322580649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2F-4536-964B-637A2DE5D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356672"/>
        <c:axId val="56589632"/>
      </c:lineChart>
      <c:catAx>
        <c:axId val="10470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588480"/>
        <c:crosses val="autoZero"/>
        <c:auto val="1"/>
        <c:lblAlgn val="ctr"/>
        <c:lblOffset val="100"/>
        <c:noMultiLvlLbl val="0"/>
      </c:catAx>
      <c:valAx>
        <c:axId val="56588480"/>
        <c:scaling>
          <c:orientation val="minMax"/>
          <c:max val="1"/>
          <c:min val="0"/>
        </c:scaling>
        <c:delete val="0"/>
        <c:axPos val="l"/>
        <c:numFmt formatCode="0" sourceLinked="1"/>
        <c:majorTickMark val="in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09632"/>
        <c:crosses val="autoZero"/>
        <c:crossBetween val="between"/>
        <c:majorUnit val="1"/>
      </c:valAx>
      <c:catAx>
        <c:axId val="107356672"/>
        <c:scaling>
          <c:orientation val="minMax"/>
        </c:scaling>
        <c:delete val="0"/>
        <c:axPos val="t"/>
        <c:majorTickMark val="none"/>
        <c:minorTickMark val="none"/>
        <c:tickLblPos val="none"/>
        <c:crossAx val="56589632"/>
        <c:crosses val="max"/>
        <c:auto val="1"/>
        <c:lblAlgn val="ctr"/>
        <c:lblOffset val="100"/>
        <c:noMultiLvlLbl val="0"/>
      </c:catAx>
      <c:valAx>
        <c:axId val="56589632"/>
        <c:scaling>
          <c:orientation val="minMax"/>
          <c:max val="1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56672"/>
        <c:crosses val="max"/>
        <c:crossBetween val="midCat"/>
        <c:majorUnit val="0.2"/>
      </c:valAx>
    </c:plotArea>
    <c:legend>
      <c:legendPos val="b"/>
      <c:overlay val="0"/>
      <c:txPr>
        <a:bodyPr/>
        <a:lstStyle/>
        <a:p>
          <a:pPr>
            <a:defRPr sz="21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36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Penting "Belum Pernah Ada Kontrak"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'Kontrak ALL'!$CM$17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FF4747"/>
            </a:solidFill>
            <a:ln>
              <a:solidFill>
                <a:schemeClr val="bg1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ALL'!$CL$19:$CL$29</c:f>
              <c:strCache>
                <c:ptCount val="11"/>
                <c:pt idx="0">
                  <c:v>MPC</c:v>
                </c:pt>
                <c:pt idx="1">
                  <c:v>LD</c:v>
                </c:pt>
                <c:pt idx="2">
                  <c:v>PPC</c:v>
                </c:pt>
                <c:pt idx="3">
                  <c:v>MTP</c:v>
                </c:pt>
                <c:pt idx="4">
                  <c:v>EXIM</c:v>
                </c:pt>
                <c:pt idx="5">
                  <c:v>SHE</c:v>
                </c:pt>
                <c:pt idx="6">
                  <c:v>QA</c:v>
                </c:pt>
                <c:pt idx="7">
                  <c:v>GA</c:v>
                </c:pt>
                <c:pt idx="8">
                  <c:v>IT</c:v>
                </c:pt>
                <c:pt idx="9">
                  <c:v>HR</c:v>
                </c:pt>
                <c:pt idx="10">
                  <c:v>FA</c:v>
                </c:pt>
              </c:strCache>
            </c:strRef>
          </c:cat>
          <c:val>
            <c:numRef>
              <c:f>'Kontrak ALL'!$CM$19:$CM$29</c:f>
              <c:numCache>
                <c:formatCode>0</c:formatCode>
                <c:ptCount val="11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2-41A5-8345-3B411179F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7357696"/>
        <c:axId val="55440448"/>
      </c:barChart>
      <c:lineChart>
        <c:grouping val="standard"/>
        <c:varyColors val="0"/>
        <c:ser>
          <c:idx val="1"/>
          <c:order val="1"/>
          <c:tx>
            <c:strRef>
              <c:f>'Kontrak ALL'!$CO$17</c:f>
              <c:strCache>
                <c:ptCount val="1"/>
                <c:pt idx="0">
                  <c:v>Cumulative %</c:v>
                </c:pt>
              </c:strCache>
            </c:strRef>
          </c:tx>
          <c:spPr>
            <a:ln w="63500">
              <a:solidFill>
                <a:srgbClr val="0000FF"/>
              </a:solidFill>
            </a:ln>
          </c:spPr>
          <c:marker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'Kontrak ALL'!$CO$18:$CO$29</c:f>
              <c:numCache>
                <c:formatCode>0%</c:formatCode>
                <c:ptCount val="12"/>
                <c:pt idx="0" formatCode="General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02-41A5-8345-3B411179F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358720"/>
        <c:axId val="55441024"/>
      </c:lineChart>
      <c:catAx>
        <c:axId val="107357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5440448"/>
        <c:crosses val="autoZero"/>
        <c:auto val="1"/>
        <c:lblAlgn val="ctr"/>
        <c:lblOffset val="100"/>
        <c:noMultiLvlLbl val="0"/>
      </c:catAx>
      <c:valAx>
        <c:axId val="55440448"/>
        <c:scaling>
          <c:orientation val="minMax"/>
          <c:max val="4"/>
          <c:min val="0"/>
        </c:scaling>
        <c:delete val="0"/>
        <c:axPos val="l"/>
        <c:numFmt formatCode="0" sourceLinked="1"/>
        <c:majorTickMark val="in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57696"/>
        <c:crosses val="autoZero"/>
        <c:crossBetween val="between"/>
        <c:majorUnit val="1"/>
      </c:valAx>
      <c:catAx>
        <c:axId val="107358720"/>
        <c:scaling>
          <c:orientation val="minMax"/>
        </c:scaling>
        <c:delete val="0"/>
        <c:axPos val="t"/>
        <c:majorTickMark val="none"/>
        <c:minorTickMark val="none"/>
        <c:tickLblPos val="none"/>
        <c:crossAx val="55441024"/>
        <c:crosses val="max"/>
        <c:auto val="1"/>
        <c:lblAlgn val="ctr"/>
        <c:lblOffset val="100"/>
        <c:noMultiLvlLbl val="0"/>
      </c:catAx>
      <c:valAx>
        <c:axId val="55441024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358720"/>
        <c:crosses val="max"/>
        <c:crossBetween val="midCat"/>
      </c:valAx>
    </c:plotArea>
    <c:legend>
      <c:legendPos val="b"/>
      <c:overlay val="0"/>
      <c:txPr>
        <a:bodyPr/>
        <a:lstStyle/>
        <a:p>
          <a:pPr>
            <a:defRPr sz="21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id-ID"/>
              <a:t>Kontrak "Penting"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17719245384549"/>
          <c:y val="0.13577786110069576"/>
          <c:w val="0.48010267878761703"/>
          <c:h val="0.84094171561888098"/>
        </c:manualLayout>
      </c:layout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explosion val="25"/>
          <c:dPt>
            <c:idx val="0"/>
            <c:bubble3D val="0"/>
            <c:spPr>
              <a:solidFill>
                <a:srgbClr val="92D050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2B7-47FE-8064-020D26531B6E}"/>
              </c:ext>
            </c:extLst>
          </c:dPt>
          <c:dPt>
            <c:idx val="1"/>
            <c:bubble3D val="0"/>
            <c:spPr>
              <a:solidFill>
                <a:srgbClr val="FEF76A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2B7-47FE-8064-020D26531B6E}"/>
              </c:ext>
            </c:extLst>
          </c:dPt>
          <c:dPt>
            <c:idx val="2"/>
            <c:bubble3D val="0"/>
            <c:spPr>
              <a:solidFill>
                <a:srgbClr val="66FFFF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2B7-47FE-8064-020D26531B6E}"/>
              </c:ext>
            </c:extLst>
          </c:dPt>
          <c:dPt>
            <c:idx val="3"/>
            <c:bubble3D val="0"/>
            <c:spPr>
              <a:solidFill>
                <a:srgbClr val="F84E4A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52B7-47FE-8064-020D26531B6E}"/>
              </c:ext>
            </c:extLst>
          </c:dPt>
          <c:dPt>
            <c:idx val="4"/>
            <c:bubble3D val="0"/>
            <c:spPr>
              <a:solidFill>
                <a:srgbClr val="FF99FF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52B7-47FE-8064-020D26531B6E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'Kontrak ALL'!$I$16:$M$17</c:f>
              <c:multiLvlStrCache>
                <c:ptCount val="5"/>
                <c:lvl>
                  <c:pt idx="0">
                    <c:v>Aktif</c:v>
                  </c:pt>
                  <c:pt idx="1">
                    <c:v>Kadaluarsa&lt;=0 Bulan</c:v>
                  </c:pt>
                  <c:pt idx="2">
                    <c:v>End Contract</c:v>
                  </c:pt>
                  <c:pt idx="3">
                    <c:v>Belum Pernah Ada Kontrak</c:v>
                  </c:pt>
                  <c:pt idx="4">
                    <c:v>Cancel</c:v>
                  </c:pt>
                </c:lvl>
                <c:lvl>
                  <c:pt idx="0">
                    <c:v>Ada Kontrak</c:v>
                  </c:pt>
                  <c:pt idx="3">
                    <c:v>Tidak Ada Kontrak</c:v>
                  </c:pt>
                </c:lvl>
              </c:multiLvlStrCache>
            </c:multiLvlStrRef>
          </c:cat>
          <c:val>
            <c:numRef>
              <c:f>'Kontrak ALL'!$I$30:$M$30</c:f>
              <c:numCache>
                <c:formatCode>0</c:formatCode>
                <c:ptCount val="5"/>
                <c:pt idx="0">
                  <c:v>44</c:v>
                </c:pt>
                <c:pt idx="1">
                  <c:v>62</c:v>
                </c:pt>
                <c:pt idx="2" formatCode="General">
                  <c:v>31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2B7-47FE-8064-020D26531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8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id-ID"/>
              <a:t>Kontrak "Biasa"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717719245384549"/>
          <c:y val="0.13577786110069576"/>
          <c:w val="0.48010267878761703"/>
          <c:h val="0.84094171561888098"/>
        </c:manualLayout>
      </c:layout>
      <c:pieChart>
        <c:varyColors val="1"/>
        <c:ser>
          <c:idx val="0"/>
          <c:order val="0"/>
          <c:spPr>
            <a:ln>
              <a:solidFill>
                <a:sysClr val="windowText" lastClr="000000"/>
              </a:solidFill>
            </a:ln>
          </c:spPr>
          <c:explosion val="25"/>
          <c:dPt>
            <c:idx val="0"/>
            <c:bubble3D val="0"/>
            <c:spPr>
              <a:solidFill>
                <a:srgbClr val="92D050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8C1-4E16-9BEB-859EE4700D04}"/>
              </c:ext>
            </c:extLst>
          </c:dPt>
          <c:dPt>
            <c:idx val="1"/>
            <c:bubble3D val="0"/>
            <c:spPr>
              <a:solidFill>
                <a:srgbClr val="FEF76A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8C1-4E16-9BEB-859EE4700D04}"/>
              </c:ext>
            </c:extLst>
          </c:dPt>
          <c:dPt>
            <c:idx val="2"/>
            <c:bubble3D val="0"/>
            <c:spPr>
              <a:solidFill>
                <a:srgbClr val="66FFFF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48C1-4E16-9BEB-859EE4700D04}"/>
              </c:ext>
            </c:extLst>
          </c:dPt>
          <c:dPt>
            <c:idx val="3"/>
            <c:bubble3D val="0"/>
            <c:spPr>
              <a:solidFill>
                <a:srgbClr val="F84E4A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48C1-4E16-9BEB-859EE4700D04}"/>
              </c:ext>
            </c:extLst>
          </c:dPt>
          <c:dPt>
            <c:idx val="4"/>
            <c:bubble3D val="0"/>
            <c:spPr>
              <a:solidFill>
                <a:srgbClr val="FF99FF"/>
              </a:solidFill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48C1-4E16-9BEB-859EE4700D0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0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multiLvlStrRef>
              <c:f>'Kontrak ALL'!$O$16:$S$17</c:f>
              <c:multiLvlStrCache>
                <c:ptCount val="5"/>
                <c:lvl>
                  <c:pt idx="0">
                    <c:v>Aktif</c:v>
                  </c:pt>
                  <c:pt idx="1">
                    <c:v>Kadaluarsa&lt;=0 Bulan</c:v>
                  </c:pt>
                  <c:pt idx="2">
                    <c:v>End Contract</c:v>
                  </c:pt>
                  <c:pt idx="3">
                    <c:v>Belum Pernah Ada Kontrak</c:v>
                  </c:pt>
                  <c:pt idx="4">
                    <c:v>Cancel</c:v>
                  </c:pt>
                </c:lvl>
                <c:lvl>
                  <c:pt idx="0">
                    <c:v>Ada Kontrak</c:v>
                  </c:pt>
                  <c:pt idx="3">
                    <c:v>Tidak Ada Kontrak</c:v>
                  </c:pt>
                </c:lvl>
              </c:multiLvlStrCache>
            </c:multiLvlStrRef>
          </c:cat>
          <c:val>
            <c:numRef>
              <c:f>'Kontrak ALL'!$O$30:$S$30</c:f>
              <c:numCache>
                <c:formatCode>0</c:formatCode>
                <c:ptCount val="5"/>
                <c:pt idx="0">
                  <c:v>63</c:v>
                </c:pt>
                <c:pt idx="1">
                  <c:v>60</c:v>
                </c:pt>
                <c:pt idx="2" formatCode="General">
                  <c:v>54</c:v>
                </c:pt>
                <c:pt idx="3">
                  <c:v>0</c:v>
                </c:pt>
                <c:pt idx="4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C1-4E16-9BEB-859EE4700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txPr>
        <a:bodyPr/>
        <a:lstStyle/>
        <a:p>
          <a:pPr>
            <a:defRPr sz="18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84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Biasa "Kadaluarsa"</a:t>
            </a:r>
          </a:p>
        </c:rich>
      </c:tx>
      <c:layout>
        <c:manualLayout>
          <c:xMode val="edge"/>
          <c:yMode val="edge"/>
          <c:x val="0.35405194736563972"/>
          <c:y val="1.0598863358119515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</c:v>
          </c:tx>
          <c:spPr>
            <a:solidFill>
              <a:srgbClr val="FEF76A"/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ALL'!$CB$38:$CB$48</c:f>
              <c:strCache>
                <c:ptCount val="11"/>
                <c:pt idx="0">
                  <c:v>HR</c:v>
                </c:pt>
                <c:pt idx="1">
                  <c:v>GA</c:v>
                </c:pt>
                <c:pt idx="2">
                  <c:v>MTP</c:v>
                </c:pt>
                <c:pt idx="3">
                  <c:v>QA</c:v>
                </c:pt>
                <c:pt idx="4">
                  <c:v>LD</c:v>
                </c:pt>
                <c:pt idx="5">
                  <c:v>IT</c:v>
                </c:pt>
                <c:pt idx="6">
                  <c:v>SHE</c:v>
                </c:pt>
                <c:pt idx="7">
                  <c:v>FA</c:v>
                </c:pt>
                <c:pt idx="8">
                  <c:v>EXIM</c:v>
                </c:pt>
                <c:pt idx="9">
                  <c:v>PPC</c:v>
                </c:pt>
                <c:pt idx="10">
                  <c:v>MPC</c:v>
                </c:pt>
              </c:strCache>
            </c:strRef>
          </c:cat>
          <c:val>
            <c:numRef>
              <c:f>'Kontrak ALL'!$CC$38:$CC$48</c:f>
              <c:numCache>
                <c:formatCode>0</c:formatCode>
                <c:ptCount val="11"/>
                <c:pt idx="0">
                  <c:v>3</c:v>
                </c:pt>
                <c:pt idx="1">
                  <c:v>38</c:v>
                </c:pt>
                <c:pt idx="2">
                  <c:v>14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6-42F5-A4A3-8C0FF3E5E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8621824"/>
        <c:axId val="56584448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63500">
              <a:solidFill>
                <a:srgbClr val="FF0000"/>
              </a:solidFill>
            </a:ln>
          </c:spPr>
          <c:marker>
            <c:spPr>
              <a:ln w="38100">
                <a:solidFill>
                  <a:srgbClr val="FF0000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'Kontrak ALL'!$CE$37:$CE$48</c:f>
              <c:numCache>
                <c:formatCode>0%</c:formatCode>
                <c:ptCount val="12"/>
                <c:pt idx="0" formatCode="General">
                  <c:v>0</c:v>
                </c:pt>
                <c:pt idx="1">
                  <c:v>0.05</c:v>
                </c:pt>
                <c:pt idx="2">
                  <c:v>0.68333333333333335</c:v>
                </c:pt>
                <c:pt idx="3">
                  <c:v>0.91666666666666663</c:v>
                </c:pt>
                <c:pt idx="4">
                  <c:v>0.91666666666666663</c:v>
                </c:pt>
                <c:pt idx="5">
                  <c:v>0.96666666666666667</c:v>
                </c:pt>
                <c:pt idx="6">
                  <c:v>0.96666666666666667</c:v>
                </c:pt>
                <c:pt idx="7">
                  <c:v>0.96666666666666667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B6-42F5-A4A3-8C0FF3E5E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22848"/>
        <c:axId val="56585024"/>
      </c:lineChart>
      <c:catAx>
        <c:axId val="10862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584448"/>
        <c:crosses val="autoZero"/>
        <c:auto val="1"/>
        <c:lblAlgn val="ctr"/>
        <c:lblOffset val="100"/>
        <c:noMultiLvlLbl val="0"/>
      </c:catAx>
      <c:valAx>
        <c:axId val="56584448"/>
        <c:scaling>
          <c:orientation val="minMax"/>
          <c:max val="1"/>
          <c:min val="0"/>
        </c:scaling>
        <c:delete val="0"/>
        <c:axPos val="l"/>
        <c:numFmt formatCode="0" sourceLinked="1"/>
        <c:majorTickMark val="in"/>
        <c:minorTickMark val="none"/>
        <c:tickLblPos val="nextTo"/>
        <c:txPr>
          <a:bodyPr rot="0" vert="horz"/>
          <a:lstStyle/>
          <a:p>
            <a:pPr>
              <a:defRPr sz="3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21824"/>
        <c:crosses val="autoZero"/>
        <c:crossBetween val="between"/>
        <c:majorUnit val="1"/>
      </c:valAx>
      <c:catAx>
        <c:axId val="108622848"/>
        <c:scaling>
          <c:orientation val="minMax"/>
        </c:scaling>
        <c:delete val="0"/>
        <c:axPos val="t"/>
        <c:majorTickMark val="none"/>
        <c:minorTickMark val="none"/>
        <c:tickLblPos val="none"/>
        <c:crossAx val="56585024"/>
        <c:crosses val="max"/>
        <c:auto val="1"/>
        <c:lblAlgn val="ctr"/>
        <c:lblOffset val="100"/>
        <c:noMultiLvlLbl val="0"/>
      </c:catAx>
      <c:valAx>
        <c:axId val="56585024"/>
        <c:scaling>
          <c:orientation val="minMax"/>
          <c:max val="1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32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22848"/>
        <c:crosses val="max"/>
        <c:crossBetween val="midCat"/>
        <c:majorUnit val="0.2"/>
      </c:valAx>
    </c:plotArea>
    <c:legend>
      <c:legendPos val="b"/>
      <c:overlay val="0"/>
      <c:txPr>
        <a:bodyPr/>
        <a:lstStyle/>
        <a:p>
          <a:pPr>
            <a:defRPr sz="248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32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36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Biasa "Belum Pernah Ada Kontrak"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7209523695729234E-2"/>
          <c:y val="0.15683532217526644"/>
          <c:w val="0.85662289558266524"/>
          <c:h val="0.5761986358556731"/>
        </c:manualLayout>
      </c:layout>
      <c:barChart>
        <c:barDir val="col"/>
        <c:grouping val="clustered"/>
        <c:varyColors val="0"/>
        <c:ser>
          <c:idx val="0"/>
          <c:order val="0"/>
          <c:tx>
            <c:v>Jumlah</c:v>
          </c:tx>
          <c:spPr>
            <a:solidFill>
              <a:srgbClr val="FF4747"/>
            </a:solidFill>
            <a:ln>
              <a:solidFill>
                <a:schemeClr val="bg1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ALL'!$CL$38:$CL$48</c:f>
              <c:strCache>
                <c:ptCount val="11"/>
                <c:pt idx="0">
                  <c:v>MTP</c:v>
                </c:pt>
                <c:pt idx="1">
                  <c:v>QA</c:v>
                </c:pt>
                <c:pt idx="2">
                  <c:v>GA</c:v>
                </c:pt>
                <c:pt idx="3">
                  <c:v>IT</c:v>
                </c:pt>
                <c:pt idx="4">
                  <c:v>LD</c:v>
                </c:pt>
                <c:pt idx="5">
                  <c:v>MPC</c:v>
                </c:pt>
                <c:pt idx="6">
                  <c:v>EXIM</c:v>
                </c:pt>
                <c:pt idx="7">
                  <c:v>PPC</c:v>
                </c:pt>
                <c:pt idx="8">
                  <c:v>SHE</c:v>
                </c:pt>
                <c:pt idx="9">
                  <c:v>HR</c:v>
                </c:pt>
                <c:pt idx="10">
                  <c:v>FA</c:v>
                </c:pt>
              </c:strCache>
            </c:strRef>
          </c:cat>
          <c:val>
            <c:numRef>
              <c:f>'Kontrak ALL'!$CM$38:$CM$48</c:f>
              <c:numCache>
                <c:formatCode>0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2-433D-991E-EB22FB694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8623360"/>
        <c:axId val="56586752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63500">
              <a:solidFill>
                <a:srgbClr val="0000FF"/>
              </a:solidFill>
            </a:ln>
          </c:spPr>
          <c:marker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'Kontrak ALL'!$CO$37:$CO$48</c:f>
              <c:numCache>
                <c:formatCode>0%</c:formatCode>
                <c:ptCount val="12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A2-433D-991E-EB22FB694E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24384"/>
        <c:axId val="56587328"/>
      </c:lineChart>
      <c:catAx>
        <c:axId val="108623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586752"/>
        <c:crosses val="autoZero"/>
        <c:auto val="1"/>
        <c:lblAlgn val="ctr"/>
        <c:lblOffset val="100"/>
        <c:noMultiLvlLbl val="0"/>
      </c:catAx>
      <c:valAx>
        <c:axId val="56586752"/>
        <c:scaling>
          <c:orientation val="minMax"/>
          <c:max val="1"/>
          <c:min val="0"/>
        </c:scaling>
        <c:delete val="0"/>
        <c:axPos val="l"/>
        <c:numFmt formatCode="0" sourceLinked="1"/>
        <c:majorTickMark val="in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23360"/>
        <c:crosses val="autoZero"/>
        <c:crossBetween val="between"/>
        <c:majorUnit val="1"/>
      </c:valAx>
      <c:catAx>
        <c:axId val="108624384"/>
        <c:scaling>
          <c:orientation val="minMax"/>
        </c:scaling>
        <c:delete val="0"/>
        <c:axPos val="t"/>
        <c:majorTickMark val="none"/>
        <c:minorTickMark val="none"/>
        <c:tickLblPos val="none"/>
        <c:crossAx val="56587328"/>
        <c:crosses val="max"/>
        <c:auto val="1"/>
        <c:lblAlgn val="ctr"/>
        <c:lblOffset val="100"/>
        <c:noMultiLvlLbl val="0"/>
      </c:catAx>
      <c:valAx>
        <c:axId val="56587328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24384"/>
        <c:crosses val="max"/>
        <c:crossBetween val="midCat"/>
      </c:valAx>
    </c:plotArea>
    <c:legend>
      <c:legendPos val="b"/>
      <c:overlay val="0"/>
      <c:txPr>
        <a:bodyPr/>
        <a:lstStyle/>
        <a:p>
          <a:pPr>
            <a:defRPr sz="21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36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Progress Kontrak </a:t>
            </a:r>
            <a:r>
              <a:rPr lang="en-US"/>
              <a:t>Term 81</a:t>
            </a:r>
            <a:endParaRPr lang="id-ID"/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'Kontrak ALL'!$AQ$17</c:f>
              <c:strCache>
                <c:ptCount val="1"/>
                <c:pt idx="0">
                  <c:v>Ada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'Kontrak ALL'!$AP$18:$AP$29</c:f>
              <c:numCache>
                <c:formatCode>mmm\-yy</c:formatCode>
                <c:ptCount val="12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</c:numCache>
            </c:numRef>
          </c:cat>
          <c:val>
            <c:numRef>
              <c:f>'Kontrak ALL'!$AQ$18:$AQ$29</c:f>
              <c:numCache>
                <c:formatCode>General</c:formatCode>
                <c:ptCount val="12"/>
                <c:pt idx="0">
                  <c:v>211</c:v>
                </c:pt>
                <c:pt idx="1">
                  <c:v>210</c:v>
                </c:pt>
                <c:pt idx="2" formatCode="0">
                  <c:v>207</c:v>
                </c:pt>
                <c:pt idx="3" formatCode="0">
                  <c:v>209</c:v>
                </c:pt>
                <c:pt idx="4" formatCode="0">
                  <c:v>215</c:v>
                </c:pt>
                <c:pt idx="5" formatCode="0">
                  <c:v>216</c:v>
                </c:pt>
                <c:pt idx="6" formatCode="0">
                  <c:v>221</c:v>
                </c:pt>
                <c:pt idx="7" formatCode="0">
                  <c:v>223</c:v>
                </c:pt>
                <c:pt idx="8" formatCode="0">
                  <c:v>225</c:v>
                </c:pt>
                <c:pt idx="9" formatCode="0">
                  <c:v>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B8-41F8-B84C-555FAD2D0CDB}"/>
            </c:ext>
          </c:extLst>
        </c:ser>
        <c:ser>
          <c:idx val="1"/>
          <c:order val="1"/>
          <c:tx>
            <c:strRef>
              <c:f>'Kontrak ALL'!$AR$17</c:f>
              <c:strCache>
                <c:ptCount val="1"/>
                <c:pt idx="0">
                  <c:v>Tidak Ada</c:v>
                </c:pt>
              </c:strCache>
            </c:strRef>
          </c:tx>
          <c:spPr>
            <a:solidFill>
              <a:srgbClr val="FF5229"/>
            </a:solidFill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'Kontrak ALL'!$AP$18:$AP$29</c:f>
              <c:numCache>
                <c:formatCode>mmm\-yy</c:formatCode>
                <c:ptCount val="12"/>
                <c:pt idx="0">
                  <c:v>44378</c:v>
                </c:pt>
                <c:pt idx="1">
                  <c:v>44409</c:v>
                </c:pt>
                <c:pt idx="2">
                  <c:v>44440</c:v>
                </c:pt>
                <c:pt idx="3">
                  <c:v>44470</c:v>
                </c:pt>
                <c:pt idx="4">
                  <c:v>44501</c:v>
                </c:pt>
                <c:pt idx="5">
                  <c:v>44531</c:v>
                </c:pt>
                <c:pt idx="6">
                  <c:v>44562</c:v>
                </c:pt>
                <c:pt idx="7">
                  <c:v>44593</c:v>
                </c:pt>
                <c:pt idx="8">
                  <c:v>44621</c:v>
                </c:pt>
                <c:pt idx="9">
                  <c:v>44652</c:v>
                </c:pt>
                <c:pt idx="10">
                  <c:v>44682</c:v>
                </c:pt>
                <c:pt idx="11">
                  <c:v>44713</c:v>
                </c:pt>
              </c:numCache>
            </c:numRef>
          </c:cat>
          <c:val>
            <c:numRef>
              <c:f>'Kontrak ALL'!$AR$18:$AR$29</c:f>
              <c:numCache>
                <c:formatCode>General</c:formatCode>
                <c:ptCount val="12"/>
                <c:pt idx="0">
                  <c:v>5</c:v>
                </c:pt>
                <c:pt idx="1">
                  <c:v>4</c:v>
                </c:pt>
                <c:pt idx="2" formatCode="0">
                  <c:v>5</c:v>
                </c:pt>
                <c:pt idx="3" formatCode="0">
                  <c:v>4</c:v>
                </c:pt>
                <c:pt idx="4" formatCode="0">
                  <c:v>4</c:v>
                </c:pt>
                <c:pt idx="5" formatCode="0">
                  <c:v>4</c:v>
                </c:pt>
                <c:pt idx="6" formatCode="0">
                  <c:v>4</c:v>
                </c:pt>
                <c:pt idx="7" formatCode="0">
                  <c:v>4</c:v>
                </c:pt>
                <c:pt idx="8" formatCode="0">
                  <c:v>4</c:v>
                </c:pt>
                <c:pt idx="9" formatCode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B8-41F8-B84C-555FAD2D0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624896"/>
        <c:axId val="56590912"/>
      </c:barChart>
      <c:dateAx>
        <c:axId val="10862489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590912"/>
        <c:crosses val="autoZero"/>
        <c:auto val="1"/>
        <c:lblOffset val="100"/>
        <c:baseTimeUnit val="months"/>
      </c:dateAx>
      <c:valAx>
        <c:axId val="56590912"/>
        <c:scaling>
          <c:orientation val="minMax"/>
          <c:max val="25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24896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21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id-ID"/>
              <a:t>Penting "Progres Proses Kadaluarsa"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'Kontrak ALL'!$CM$17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FEF76A"/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ALL'!$CG$19:$CG$24</c:f>
              <c:strCache>
                <c:ptCount val="6"/>
                <c:pt idx="0">
                  <c:v>Translate</c:v>
                </c:pt>
                <c:pt idx="1">
                  <c:v>Vendor</c:v>
                </c:pt>
                <c:pt idx="2">
                  <c:v>Legal</c:v>
                </c:pt>
                <c:pt idx="3">
                  <c:v>User</c:v>
                </c:pt>
                <c:pt idx="4">
                  <c:v>Direktur</c:v>
                </c:pt>
                <c:pt idx="5">
                  <c:v>Draft Kontrak</c:v>
                </c:pt>
              </c:strCache>
            </c:strRef>
          </c:cat>
          <c:val>
            <c:numRef>
              <c:f>'Kontrak ALL'!$CH$19:$CH$24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A-4D46-B729-7F7870A7F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68410368"/>
        <c:axId val="56593216"/>
      </c:barChart>
      <c:lineChart>
        <c:grouping val="standard"/>
        <c:varyColors val="0"/>
        <c:ser>
          <c:idx val="1"/>
          <c:order val="1"/>
          <c:tx>
            <c:strRef>
              <c:f>'Kontrak ALL'!$CO$17</c:f>
              <c:strCache>
                <c:ptCount val="1"/>
                <c:pt idx="0">
                  <c:v>Cumulative %</c:v>
                </c:pt>
              </c:strCache>
            </c:strRef>
          </c:tx>
          <c:spPr>
            <a:ln w="63500">
              <a:solidFill>
                <a:srgbClr val="0000FF"/>
              </a:solidFill>
            </a:ln>
          </c:spPr>
          <c:marker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'Kontrak ALL'!$CJ$18:$CJ$24</c:f>
              <c:numCache>
                <c:formatCode>0%</c:formatCode>
                <c:ptCount val="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5A-4D46-B729-7F7870A7F0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706560"/>
        <c:axId val="56593792"/>
      </c:lineChart>
      <c:catAx>
        <c:axId val="68410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56593216"/>
        <c:crosses val="autoZero"/>
        <c:auto val="1"/>
        <c:lblAlgn val="ctr"/>
        <c:lblOffset val="100"/>
        <c:noMultiLvlLbl val="0"/>
      </c:catAx>
      <c:valAx>
        <c:axId val="56593216"/>
        <c:scaling>
          <c:orientation val="minMax"/>
          <c:max val="1"/>
          <c:min val="0"/>
        </c:scaling>
        <c:delete val="0"/>
        <c:axPos val="l"/>
        <c:numFmt formatCode="0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68410368"/>
        <c:crosses val="autoZero"/>
        <c:crossBetween val="between"/>
        <c:majorUnit val="1"/>
      </c:valAx>
      <c:catAx>
        <c:axId val="104706560"/>
        <c:scaling>
          <c:orientation val="minMax"/>
        </c:scaling>
        <c:delete val="0"/>
        <c:axPos val="t"/>
        <c:majorTickMark val="none"/>
        <c:minorTickMark val="none"/>
        <c:tickLblPos val="none"/>
        <c:crossAx val="56593792"/>
        <c:crosses val="max"/>
        <c:auto val="1"/>
        <c:lblAlgn val="ctr"/>
        <c:lblOffset val="100"/>
        <c:noMultiLvlLbl val="0"/>
      </c:catAx>
      <c:valAx>
        <c:axId val="56593792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104706560"/>
        <c:crosses val="max"/>
        <c:crossBetween val="midCat"/>
      </c:valAx>
    </c:plotArea>
    <c:legend>
      <c:legendPos val="b"/>
      <c:layout>
        <c:manualLayout>
          <c:xMode val="edge"/>
          <c:yMode val="edge"/>
          <c:x val="0.31610901255586293"/>
          <c:y val="0.89377246278146716"/>
          <c:w val="0.38354765198269136"/>
          <c:h val="8.665168077481343E-2"/>
        </c:manualLayout>
      </c:layout>
      <c:overlay val="0"/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36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Biasa  "Progres Proses Kadaluarsa"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'Kontrak ALL'!$CM$17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FEF76A"/>
            </a:solidFill>
            <a:ln>
              <a:solidFill>
                <a:sysClr val="windowText" lastClr="000000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ALL'!$CG$38:$CG$43</c:f>
              <c:strCache>
                <c:ptCount val="6"/>
                <c:pt idx="0">
                  <c:v>Vendor</c:v>
                </c:pt>
                <c:pt idx="1">
                  <c:v>Legal</c:v>
                </c:pt>
                <c:pt idx="2">
                  <c:v>User</c:v>
                </c:pt>
                <c:pt idx="3">
                  <c:v>Translate</c:v>
                </c:pt>
                <c:pt idx="4">
                  <c:v>Draft Kontrak</c:v>
                </c:pt>
                <c:pt idx="5">
                  <c:v>Direktur</c:v>
                </c:pt>
              </c:strCache>
            </c:strRef>
          </c:cat>
          <c:val>
            <c:numRef>
              <c:f>'Kontrak ALL'!$CH$38:$CH$43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0-4284-A734-7E949A6A9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8625408"/>
        <c:axId val="56596096"/>
      </c:barChart>
      <c:lineChart>
        <c:grouping val="standard"/>
        <c:varyColors val="0"/>
        <c:ser>
          <c:idx val="1"/>
          <c:order val="1"/>
          <c:tx>
            <c:strRef>
              <c:f>'Kontrak ALL'!$CO$17</c:f>
              <c:strCache>
                <c:ptCount val="1"/>
                <c:pt idx="0">
                  <c:v>Cumulative %</c:v>
                </c:pt>
              </c:strCache>
            </c:strRef>
          </c:tx>
          <c:spPr>
            <a:ln w="63500">
              <a:solidFill>
                <a:srgbClr val="0000FF"/>
              </a:solidFill>
            </a:ln>
          </c:spPr>
          <c:marker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ALL'!$CG$38:$CG$43</c:f>
              <c:strCache>
                <c:ptCount val="6"/>
                <c:pt idx="0">
                  <c:v>Vendor</c:v>
                </c:pt>
                <c:pt idx="1">
                  <c:v>Legal</c:v>
                </c:pt>
                <c:pt idx="2">
                  <c:v>User</c:v>
                </c:pt>
                <c:pt idx="3">
                  <c:v>Translate</c:v>
                </c:pt>
                <c:pt idx="4">
                  <c:v>Draft Kontrak</c:v>
                </c:pt>
                <c:pt idx="5">
                  <c:v>Direktur</c:v>
                </c:pt>
              </c:strCache>
            </c:strRef>
          </c:cat>
          <c:val>
            <c:numRef>
              <c:f>'Kontrak ALL'!$CJ$37:$CJ$43</c:f>
              <c:numCache>
                <c:formatCode>0%</c:formatCode>
                <c:ptCount val="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90-4284-A734-7E949A6A9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950016"/>
        <c:axId val="56596672"/>
      </c:lineChart>
      <c:catAx>
        <c:axId val="10862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6596096"/>
        <c:crosses val="autoZero"/>
        <c:auto val="1"/>
        <c:lblAlgn val="ctr"/>
        <c:lblOffset val="100"/>
        <c:noMultiLvlLbl val="0"/>
      </c:catAx>
      <c:valAx>
        <c:axId val="56596096"/>
        <c:scaling>
          <c:orientation val="minMax"/>
          <c:max val="1"/>
          <c:min val="0"/>
        </c:scaling>
        <c:delete val="0"/>
        <c:axPos val="l"/>
        <c:numFmt formatCode="0" sourceLinked="1"/>
        <c:majorTickMark val="in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25408"/>
        <c:crosses val="autoZero"/>
        <c:crossBetween val="between"/>
        <c:majorUnit val="1"/>
      </c:valAx>
      <c:catAx>
        <c:axId val="108950016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one"/>
        <c:crossAx val="56596672"/>
        <c:crosses val="max"/>
        <c:auto val="1"/>
        <c:lblAlgn val="ctr"/>
        <c:lblOffset val="100"/>
        <c:noMultiLvlLbl val="0"/>
      </c:catAx>
      <c:valAx>
        <c:axId val="56596672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50016"/>
        <c:crosses val="max"/>
        <c:crossBetween val="midCat"/>
      </c:valAx>
    </c:plotArea>
    <c:legend>
      <c:legendPos val="b"/>
      <c:overlay val="0"/>
      <c:txPr>
        <a:bodyPr/>
        <a:lstStyle/>
        <a:p>
          <a:pPr>
            <a:defRPr sz="21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36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Penting "Proses Belum Pernah Ada Kontrak"</a:t>
            </a:r>
          </a:p>
        </c:rich>
      </c:tx>
      <c:layout>
        <c:manualLayout>
          <c:xMode val="edge"/>
          <c:yMode val="edge"/>
          <c:x val="0.20550096752166999"/>
          <c:y val="1.0875477813595448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'Kontrak ALL'!$CM$17</c:f>
              <c:strCache>
                <c:ptCount val="1"/>
                <c:pt idx="0">
                  <c:v>Jumlah</c:v>
                </c:pt>
              </c:strCache>
            </c:strRef>
          </c:tx>
          <c:spPr>
            <a:solidFill>
              <a:srgbClr val="FF4747"/>
            </a:solidFill>
            <a:ln>
              <a:solidFill>
                <a:schemeClr val="bg1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ALL'!$CQ$19:$CQ$24</c:f>
              <c:strCache>
                <c:ptCount val="6"/>
                <c:pt idx="0">
                  <c:v>Vendor</c:v>
                </c:pt>
                <c:pt idx="1">
                  <c:v>Legal</c:v>
                </c:pt>
                <c:pt idx="2">
                  <c:v>Translate</c:v>
                </c:pt>
                <c:pt idx="3">
                  <c:v>User</c:v>
                </c:pt>
                <c:pt idx="4">
                  <c:v>Direktur</c:v>
                </c:pt>
                <c:pt idx="5">
                  <c:v>Draft Kontrak</c:v>
                </c:pt>
              </c:strCache>
            </c:strRef>
          </c:cat>
          <c:val>
            <c:numRef>
              <c:f>'Kontrak ALL'!$CR$19:$CR$24</c:f>
              <c:numCache>
                <c:formatCode>0</c:formatCode>
                <c:ptCount val="6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0-41E3-A7CD-1D8A8FEF0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8951040"/>
        <c:axId val="109052480"/>
      </c:barChart>
      <c:lineChart>
        <c:grouping val="standard"/>
        <c:varyColors val="0"/>
        <c:ser>
          <c:idx val="1"/>
          <c:order val="1"/>
          <c:tx>
            <c:strRef>
              <c:f>'Kontrak ALL'!$CO$17</c:f>
              <c:strCache>
                <c:ptCount val="1"/>
                <c:pt idx="0">
                  <c:v>Cumulative %</c:v>
                </c:pt>
              </c:strCache>
            </c:strRef>
          </c:tx>
          <c:spPr>
            <a:ln w="63500">
              <a:solidFill>
                <a:srgbClr val="0000FF"/>
              </a:solidFill>
            </a:ln>
          </c:spPr>
          <c:marker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'Kontrak ALL'!$CT$18:$CT$24</c:f>
              <c:numCache>
                <c:formatCode>0%</c:formatCode>
                <c:ptCount val="7"/>
                <c:pt idx="0" formatCode="General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50-41E3-A7CD-1D8A8FEF0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952064"/>
        <c:axId val="109053056"/>
      </c:lineChart>
      <c:catAx>
        <c:axId val="108951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52480"/>
        <c:crosses val="autoZero"/>
        <c:auto val="1"/>
        <c:lblAlgn val="ctr"/>
        <c:lblOffset val="100"/>
        <c:noMultiLvlLbl val="0"/>
      </c:catAx>
      <c:valAx>
        <c:axId val="109052480"/>
        <c:scaling>
          <c:orientation val="minMax"/>
          <c:max val="4"/>
          <c:min val="0"/>
        </c:scaling>
        <c:delete val="0"/>
        <c:axPos val="l"/>
        <c:numFmt formatCode="0" sourceLinked="1"/>
        <c:majorTickMark val="in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51040"/>
        <c:crosses val="autoZero"/>
        <c:crossBetween val="between"/>
        <c:majorUnit val="1"/>
      </c:valAx>
      <c:catAx>
        <c:axId val="108952064"/>
        <c:scaling>
          <c:orientation val="minMax"/>
        </c:scaling>
        <c:delete val="0"/>
        <c:axPos val="t"/>
        <c:majorTickMark val="none"/>
        <c:minorTickMark val="none"/>
        <c:tickLblPos val="none"/>
        <c:crossAx val="109053056"/>
        <c:crosses val="max"/>
        <c:auto val="1"/>
        <c:lblAlgn val="ctr"/>
        <c:lblOffset val="100"/>
        <c:noMultiLvlLbl val="0"/>
      </c:catAx>
      <c:valAx>
        <c:axId val="109053056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52064"/>
        <c:crosses val="max"/>
        <c:crossBetween val="midCat"/>
      </c:valAx>
    </c:plotArea>
    <c:legend>
      <c:legendPos val="b"/>
      <c:overlay val="0"/>
      <c:txPr>
        <a:bodyPr/>
        <a:lstStyle/>
        <a:p>
          <a:pPr>
            <a:defRPr sz="21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36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Biasa "Proses Belum Pernah Ada Kontrak"</a:t>
            </a:r>
          </a:p>
        </c:rich>
      </c:tx>
      <c:layout>
        <c:manualLayout>
          <c:xMode val="edge"/>
          <c:yMode val="edge"/>
          <c:x val="0.19409991699755477"/>
          <c:y val="1.5225743840843424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Jumlah</c:v>
          </c:tx>
          <c:spPr>
            <a:solidFill>
              <a:srgbClr val="FF4747"/>
            </a:solidFill>
            <a:ln>
              <a:solidFill>
                <a:schemeClr val="bg1"/>
              </a:solidFill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'Kontrak ALL'!$CQ$38:$CQ$43</c:f>
              <c:strCache>
                <c:ptCount val="6"/>
                <c:pt idx="0">
                  <c:v>Vendor</c:v>
                </c:pt>
                <c:pt idx="1">
                  <c:v>Legal</c:v>
                </c:pt>
                <c:pt idx="2">
                  <c:v>User</c:v>
                </c:pt>
                <c:pt idx="3">
                  <c:v>Direktur</c:v>
                </c:pt>
                <c:pt idx="4">
                  <c:v>Translate</c:v>
                </c:pt>
                <c:pt idx="5">
                  <c:v>Draft Kontrak</c:v>
                </c:pt>
              </c:strCache>
            </c:strRef>
          </c:cat>
          <c:val>
            <c:numRef>
              <c:f>'Kontrak ALL'!$CR$38:$CR$43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3-48E8-B1A7-9B21C2D2C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08953088"/>
        <c:axId val="109055360"/>
      </c:barChart>
      <c:lineChart>
        <c:grouping val="standard"/>
        <c:varyColors val="0"/>
        <c:ser>
          <c:idx val="1"/>
          <c:order val="1"/>
          <c:tx>
            <c:v>Cumulative %</c:v>
          </c:tx>
          <c:spPr>
            <a:ln w="63500">
              <a:solidFill>
                <a:srgbClr val="0000FF"/>
              </a:solidFill>
            </a:ln>
          </c:spPr>
          <c:marker>
            <c:spPr>
              <a:solidFill>
                <a:srgbClr val="0000FF"/>
              </a:solidFill>
              <a:ln>
                <a:solidFill>
                  <a:srgbClr val="0000FF"/>
                </a:solidFill>
              </a:ln>
            </c:spPr>
          </c:marker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28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'Kontrak ALL'!$CT$37:$CT$43</c:f>
              <c:numCache>
                <c:formatCode>0%</c:formatCode>
                <c:ptCount val="7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03-48E8-B1A7-9B21C2D2C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363712"/>
        <c:axId val="109055936"/>
      </c:lineChart>
      <c:catAx>
        <c:axId val="10895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55360"/>
        <c:crosses val="autoZero"/>
        <c:auto val="1"/>
        <c:lblAlgn val="ctr"/>
        <c:lblOffset val="100"/>
        <c:noMultiLvlLbl val="0"/>
      </c:catAx>
      <c:valAx>
        <c:axId val="109055360"/>
        <c:scaling>
          <c:orientation val="minMax"/>
          <c:max val="1"/>
          <c:min val="0"/>
        </c:scaling>
        <c:delete val="0"/>
        <c:axPos val="l"/>
        <c:numFmt formatCode="0" sourceLinked="1"/>
        <c:majorTickMark val="in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53088"/>
        <c:crosses val="autoZero"/>
        <c:crossBetween val="between"/>
        <c:majorUnit val="1"/>
      </c:valAx>
      <c:catAx>
        <c:axId val="109363712"/>
        <c:scaling>
          <c:orientation val="minMax"/>
        </c:scaling>
        <c:delete val="0"/>
        <c:axPos val="t"/>
        <c:majorTickMark val="none"/>
        <c:minorTickMark val="none"/>
        <c:tickLblPos val="none"/>
        <c:crossAx val="109055936"/>
        <c:crosses val="max"/>
        <c:auto val="1"/>
        <c:lblAlgn val="ctr"/>
        <c:lblOffset val="100"/>
        <c:noMultiLvlLbl val="0"/>
      </c:catAx>
      <c:valAx>
        <c:axId val="109055936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txPr>
          <a:bodyPr rot="0" vert="horz"/>
          <a:lstStyle/>
          <a:p>
            <a:pPr>
              <a:defRPr sz="2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63712"/>
        <c:crosses val="max"/>
        <c:crossBetween val="midCat"/>
      </c:valAx>
    </c:plotArea>
    <c:legend>
      <c:legendPos val="b"/>
      <c:overlay val="0"/>
      <c:txPr>
        <a:bodyPr/>
        <a:lstStyle/>
        <a:p>
          <a:pPr>
            <a:defRPr sz="21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28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10.xml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image" Target="../media/image1.png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95249</xdr:colOff>
      <xdr:row>1</xdr:row>
      <xdr:rowOff>76200</xdr:rowOff>
    </xdr:from>
    <xdr:to>
      <xdr:col>24</xdr:col>
      <xdr:colOff>3411682</xdr:colOff>
      <xdr:row>10</xdr:row>
      <xdr:rowOff>171450</xdr:rowOff>
    </xdr:to>
    <xdr:grpSp>
      <xdr:nvGrpSpPr>
        <xdr:cNvPr id="2" name="Group 15">
          <a:extLst>
            <a:ext uri="{FF2B5EF4-FFF2-40B4-BE49-F238E27FC236}">
              <a16:creationId xmlns:a16="http://schemas.microsoft.com/office/drawing/2014/main" id="{555C9976-8E7D-4E40-AF60-EB89DB57C708}"/>
            </a:ext>
          </a:extLst>
        </xdr:cNvPr>
        <xdr:cNvGrpSpPr>
          <a:grpSpLocks/>
        </xdr:cNvGrpSpPr>
      </xdr:nvGrpSpPr>
      <xdr:grpSpPr bwMode="auto">
        <a:xfrm>
          <a:off x="34804349" y="152400"/>
          <a:ext cx="12231833" cy="3181350"/>
          <a:chOff x="27443204" y="380999"/>
          <a:chExt cx="2756648" cy="1479176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A06BECA4-CCDB-4EC8-9C6E-CFCEB65DA224}"/>
              </a:ext>
            </a:extLst>
          </xdr:cNvPr>
          <xdr:cNvSpPr/>
        </xdr:nvSpPr>
        <xdr:spPr>
          <a:xfrm>
            <a:off x="29273885" y="380999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2400" b="1">
                <a:solidFill>
                  <a:sysClr val="windowText" lastClr="000000"/>
                </a:solidFill>
              </a:rPr>
              <a:t>Prepared</a:t>
            </a: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213E54C6-F370-43A1-9985-701854CEBFB3}"/>
              </a:ext>
            </a:extLst>
          </xdr:cNvPr>
          <xdr:cNvSpPr/>
        </xdr:nvSpPr>
        <xdr:spPr>
          <a:xfrm>
            <a:off x="28369171" y="380999"/>
            <a:ext cx="904715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24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BE3393D7-CB7C-41BA-9E58-7400E467B740}"/>
              </a:ext>
            </a:extLst>
          </xdr:cNvPr>
          <xdr:cNvSpPr/>
        </xdr:nvSpPr>
        <xdr:spPr>
          <a:xfrm>
            <a:off x="27443204" y="380999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24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95A9D6D7-EDD0-48C6-9FA1-AECAADD5FC22}"/>
              </a:ext>
            </a:extLst>
          </xdr:cNvPr>
          <xdr:cNvSpPr/>
        </xdr:nvSpPr>
        <xdr:spPr>
          <a:xfrm>
            <a:off x="29273885" y="625540"/>
            <a:ext cx="925967" cy="745552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id-ID"/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B66EB3D0-2891-4C2C-B61E-9F3FD223B5A9}"/>
              </a:ext>
            </a:extLst>
          </xdr:cNvPr>
          <xdr:cNvSpPr/>
        </xdr:nvSpPr>
        <xdr:spPr>
          <a:xfrm>
            <a:off x="28369171" y="625540"/>
            <a:ext cx="904715" cy="745552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id-ID"/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34777FF4-96EA-4A7B-8630-F355C79D0B02}"/>
              </a:ext>
            </a:extLst>
          </xdr:cNvPr>
          <xdr:cNvSpPr/>
        </xdr:nvSpPr>
        <xdr:spPr>
          <a:xfrm>
            <a:off x="27443204" y="625540"/>
            <a:ext cx="925967" cy="745552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id-ID"/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E00E4846-8859-4C7D-8D6F-D0E68A51B621}"/>
              </a:ext>
            </a:extLst>
          </xdr:cNvPr>
          <xdr:cNvSpPr/>
        </xdr:nvSpPr>
        <xdr:spPr>
          <a:xfrm>
            <a:off x="29273885" y="1371093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id-ID" sz="2400" b="1">
                <a:solidFill>
                  <a:sysClr val="windowText" lastClr="000000"/>
                </a:solidFill>
              </a:rPr>
              <a:t>RIY</a:t>
            </a:r>
            <a:endParaRPr lang="en-US" sz="2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A53BD1A8-19FE-4B5F-8746-7BCD707AD3F4}"/>
              </a:ext>
            </a:extLst>
          </xdr:cNvPr>
          <xdr:cNvSpPr/>
        </xdr:nvSpPr>
        <xdr:spPr>
          <a:xfrm>
            <a:off x="28369171" y="1371093"/>
            <a:ext cx="904715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id-ID" sz="2400" b="1">
                <a:solidFill>
                  <a:sysClr val="windowText" lastClr="000000"/>
                </a:solidFill>
              </a:rPr>
              <a:t>STI</a:t>
            </a:r>
            <a:endParaRPr lang="en-US" sz="2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F3DC7F1C-D95C-4429-A7CF-6ADD181A58B6}"/>
              </a:ext>
            </a:extLst>
          </xdr:cNvPr>
          <xdr:cNvSpPr/>
        </xdr:nvSpPr>
        <xdr:spPr>
          <a:xfrm>
            <a:off x="27443204" y="1371093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id-ID" sz="2400" b="1">
                <a:solidFill>
                  <a:sysClr val="windowText" lastClr="000000"/>
                </a:solidFill>
              </a:rPr>
              <a:t>AWI</a:t>
            </a:r>
            <a:endParaRPr lang="en-US" sz="2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61BDCCFB-8E91-49E6-BD62-14FAE8672B87}"/>
              </a:ext>
            </a:extLst>
          </xdr:cNvPr>
          <xdr:cNvSpPr/>
        </xdr:nvSpPr>
        <xdr:spPr>
          <a:xfrm>
            <a:off x="29273885" y="1615634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id-ID" sz="2400" b="1">
                <a:solidFill>
                  <a:sysClr val="windowText" lastClr="000000"/>
                </a:solidFill>
              </a:rPr>
              <a:t>LEADER</a:t>
            </a:r>
            <a:endParaRPr lang="en-US" sz="2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43501C1B-DF2D-4718-9ED0-39CC62A7D023}"/>
              </a:ext>
            </a:extLst>
          </xdr:cNvPr>
          <xdr:cNvSpPr/>
        </xdr:nvSpPr>
        <xdr:spPr>
          <a:xfrm>
            <a:off x="28369171" y="1615634"/>
            <a:ext cx="904715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id-ID" sz="2400" b="1">
                <a:solidFill>
                  <a:sysClr val="windowText" lastClr="000000"/>
                </a:solidFill>
              </a:rPr>
              <a:t>SUPERVISOR</a:t>
            </a:r>
            <a:endParaRPr lang="en-US" sz="2400" b="1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8CE9F5BC-CA94-49A4-A238-946DEEEA2545}"/>
              </a:ext>
            </a:extLst>
          </xdr:cNvPr>
          <xdr:cNvSpPr/>
        </xdr:nvSpPr>
        <xdr:spPr>
          <a:xfrm>
            <a:off x="27443204" y="1615634"/>
            <a:ext cx="925967" cy="244541"/>
          </a:xfrm>
          <a:prstGeom prst="rect">
            <a:avLst/>
          </a:prstGeom>
          <a:solidFill>
            <a:sysClr val="window" lastClr="FFFFFF"/>
          </a:solidFill>
          <a:ln w="63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r>
              <a:rPr lang="en-US" sz="2400" b="1">
                <a:solidFill>
                  <a:sysClr val="windowText" lastClr="000000"/>
                </a:solidFill>
              </a:rPr>
              <a:t>MANAGER</a:t>
            </a:r>
          </a:p>
        </xdr:txBody>
      </xdr:sp>
    </xdr:grpSp>
    <xdr:clientData/>
  </xdr:twoCellAnchor>
  <xdr:twoCellAnchor>
    <xdr:from>
      <xdr:col>2</xdr:col>
      <xdr:colOff>214312</xdr:colOff>
      <xdr:row>56</xdr:row>
      <xdr:rowOff>38100</xdr:rowOff>
    </xdr:from>
    <xdr:to>
      <xdr:col>6</xdr:col>
      <xdr:colOff>4314825</xdr:colOff>
      <xdr:row>74</xdr:row>
      <xdr:rowOff>38100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6C133AB4-5169-491E-9F32-E75C4F925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9525</xdr:colOff>
      <xdr:row>77</xdr:row>
      <xdr:rowOff>9525</xdr:rowOff>
    </xdr:from>
    <xdr:to>
      <xdr:col>10</xdr:col>
      <xdr:colOff>4495800</xdr:colOff>
      <xdr:row>95</xdr:row>
      <xdr:rowOff>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D6946F21-841A-4EDF-ACE4-329DB9620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442912</xdr:colOff>
      <xdr:row>77</xdr:row>
      <xdr:rowOff>119062</xdr:rowOff>
    </xdr:from>
    <xdr:to>
      <xdr:col>7</xdr:col>
      <xdr:colOff>2205037</xdr:colOff>
      <xdr:row>79</xdr:row>
      <xdr:rowOff>136922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2E2D49-A133-426E-85C1-8E1BB8BDC005}"/>
            </a:ext>
          </a:extLst>
        </xdr:cNvPr>
        <xdr:cNvSpPr txBox="1"/>
      </xdr:nvSpPr>
      <xdr:spPr>
        <a:xfrm>
          <a:off x="12653962" y="28627387"/>
          <a:ext cx="1762125" cy="665560"/>
        </a:xfrm>
        <a:prstGeom prst="rect">
          <a:avLst/>
        </a:prstGeom>
        <a:solidFill>
          <a:srgbClr val="FEF76A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800" b="1"/>
            <a:t>N = </a:t>
          </a:r>
          <a:r>
            <a:rPr lang="en-US" sz="2800" b="1"/>
            <a:t>1</a:t>
          </a:r>
          <a:endParaRPr lang="id-ID" sz="2800" b="1"/>
        </a:p>
      </xdr:txBody>
    </xdr:sp>
    <xdr:clientData/>
  </xdr:twoCellAnchor>
  <xdr:twoCellAnchor>
    <xdr:from>
      <xdr:col>18</xdr:col>
      <xdr:colOff>733426</xdr:colOff>
      <xdr:row>77</xdr:row>
      <xdr:rowOff>95250</xdr:rowOff>
    </xdr:from>
    <xdr:to>
      <xdr:col>25</xdr:col>
      <xdr:colOff>1285875</xdr:colOff>
      <xdr:row>94</xdr:row>
      <xdr:rowOff>266700</xdr:rowOff>
    </xdr:to>
    <xdr:graphicFrame macro="">
      <xdr:nvGraphicFramePr>
        <xdr:cNvPr id="18" name="Chart 28">
          <a:extLst>
            <a:ext uri="{FF2B5EF4-FFF2-40B4-BE49-F238E27FC236}">
              <a16:creationId xmlns:a16="http://schemas.microsoft.com/office/drawing/2014/main" id="{C1517A13-EF43-4F92-868F-4E41F4832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923925</xdr:colOff>
      <xdr:row>77</xdr:row>
      <xdr:rowOff>261938</xdr:rowOff>
    </xdr:from>
    <xdr:to>
      <xdr:col>19</xdr:col>
      <xdr:colOff>1185862</xdr:colOff>
      <xdr:row>79</xdr:row>
      <xdr:rowOff>291704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3FF0A24-36DE-40D5-BD8A-F23CE5D497DF}"/>
            </a:ext>
          </a:extLst>
        </xdr:cNvPr>
        <xdr:cNvSpPr txBox="1"/>
      </xdr:nvSpPr>
      <xdr:spPr>
        <a:xfrm>
          <a:off x="35575875" y="28770263"/>
          <a:ext cx="1747837" cy="677466"/>
        </a:xfrm>
        <a:prstGeom prst="rect">
          <a:avLst/>
        </a:prstGeom>
        <a:solidFill>
          <a:srgbClr val="FF4747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800" b="1"/>
            <a:t>N = </a:t>
          </a:r>
          <a:r>
            <a:rPr lang="en-US" sz="2800" b="1"/>
            <a:t>4</a:t>
          </a:r>
          <a:endParaRPr lang="id-ID" sz="2800" b="1"/>
        </a:p>
      </xdr:txBody>
    </xdr:sp>
    <xdr:clientData/>
  </xdr:twoCellAnchor>
  <xdr:twoCellAnchor editAs="oneCell">
    <xdr:from>
      <xdr:col>19</xdr:col>
      <xdr:colOff>666750</xdr:colOff>
      <xdr:row>119</xdr:row>
      <xdr:rowOff>257175</xdr:rowOff>
    </xdr:from>
    <xdr:to>
      <xdr:col>23</xdr:col>
      <xdr:colOff>702685</xdr:colOff>
      <xdr:row>130</xdr:row>
      <xdr:rowOff>247650</xdr:rowOff>
    </xdr:to>
    <xdr:pic>
      <xdr:nvPicPr>
        <xdr:cNvPr id="20" name="Picture 29">
          <a:extLst>
            <a:ext uri="{FF2B5EF4-FFF2-40B4-BE49-F238E27FC236}">
              <a16:creationId xmlns:a16="http://schemas.microsoft.com/office/drawing/2014/main" id="{DB32E127-D49C-4440-A87A-6BE5CB1A4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195" t="37782" r="7487" b="19547"/>
        <a:stretch>
          <a:fillRect/>
        </a:stretch>
      </xdr:blipFill>
      <xdr:spPr bwMode="auto">
        <a:xfrm>
          <a:off x="36804600" y="42367200"/>
          <a:ext cx="5979535" cy="3552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238125</xdr:colOff>
      <xdr:row>77</xdr:row>
      <xdr:rowOff>0</xdr:rowOff>
    </xdr:from>
    <xdr:to>
      <xdr:col>6</xdr:col>
      <xdr:colOff>4191000</xdr:colOff>
      <xdr:row>95</xdr:row>
      <xdr:rowOff>0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DEE1CB53-D1FB-43AE-8C04-ED0D895CE4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214312</xdr:colOff>
      <xdr:row>97</xdr:row>
      <xdr:rowOff>171450</xdr:rowOff>
    </xdr:from>
    <xdr:to>
      <xdr:col>6</xdr:col>
      <xdr:colOff>4171950</xdr:colOff>
      <xdr:row>115</xdr:row>
      <xdr:rowOff>171450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614600CF-700F-4AFC-B21C-F31A3B737D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9525</xdr:colOff>
      <xdr:row>97</xdr:row>
      <xdr:rowOff>238125</xdr:rowOff>
    </xdr:from>
    <xdr:to>
      <xdr:col>10</xdr:col>
      <xdr:colOff>4495800</xdr:colOff>
      <xdr:row>115</xdr:row>
      <xdr:rowOff>228600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51CA94DC-9E05-4811-A402-CE79CC64D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433389</xdr:colOff>
      <xdr:row>98</xdr:row>
      <xdr:rowOff>14286</xdr:rowOff>
    </xdr:from>
    <xdr:to>
      <xdr:col>7</xdr:col>
      <xdr:colOff>2195514</xdr:colOff>
      <xdr:row>100</xdr:row>
      <xdr:rowOff>32146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04E0B9D-5B19-4A58-8774-FDB8175BF1D4}"/>
            </a:ext>
          </a:extLst>
        </xdr:cNvPr>
        <xdr:cNvSpPr txBox="1"/>
      </xdr:nvSpPr>
      <xdr:spPr>
        <a:xfrm>
          <a:off x="12644439" y="35323461"/>
          <a:ext cx="1762125" cy="665560"/>
        </a:xfrm>
        <a:prstGeom prst="rect">
          <a:avLst/>
        </a:prstGeom>
        <a:solidFill>
          <a:srgbClr val="FEF76A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800" b="1"/>
            <a:t>N = </a:t>
          </a:r>
          <a:r>
            <a:rPr lang="en-US" sz="2800" b="1"/>
            <a:t>1</a:t>
          </a:r>
          <a:endParaRPr lang="id-ID" sz="2800" b="1"/>
        </a:p>
      </xdr:txBody>
    </xdr:sp>
    <xdr:clientData/>
  </xdr:twoCellAnchor>
  <xdr:twoCellAnchor>
    <xdr:from>
      <xdr:col>18</xdr:col>
      <xdr:colOff>733426</xdr:colOff>
      <xdr:row>98</xdr:row>
      <xdr:rowOff>9525</xdr:rowOff>
    </xdr:from>
    <xdr:to>
      <xdr:col>25</xdr:col>
      <xdr:colOff>1318734</xdr:colOff>
      <xdr:row>115</xdr:row>
      <xdr:rowOff>180975</xdr:rowOff>
    </xdr:to>
    <xdr:graphicFrame macro="">
      <xdr:nvGraphicFramePr>
        <xdr:cNvPr id="25" name="Chart 28">
          <a:extLst>
            <a:ext uri="{FF2B5EF4-FFF2-40B4-BE49-F238E27FC236}">
              <a16:creationId xmlns:a16="http://schemas.microsoft.com/office/drawing/2014/main" id="{2B2602EA-FAA9-47D8-ADF3-2620745357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18</xdr:col>
      <xdr:colOff>890590</xdr:colOff>
      <xdr:row>98</xdr:row>
      <xdr:rowOff>61915</xdr:rowOff>
    </xdr:from>
    <xdr:to>
      <xdr:col>19</xdr:col>
      <xdr:colOff>1152527</xdr:colOff>
      <xdr:row>100</xdr:row>
      <xdr:rowOff>91681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20E9B7B-252C-4997-9EFE-0F484CE36742}"/>
            </a:ext>
          </a:extLst>
        </xdr:cNvPr>
        <xdr:cNvSpPr txBox="1"/>
      </xdr:nvSpPr>
      <xdr:spPr>
        <a:xfrm>
          <a:off x="35542540" y="35371090"/>
          <a:ext cx="1747837" cy="677466"/>
        </a:xfrm>
        <a:prstGeom prst="rect">
          <a:avLst/>
        </a:prstGeom>
        <a:solidFill>
          <a:srgbClr val="FF4747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800" b="1"/>
            <a:t>N = 0</a:t>
          </a:r>
        </a:p>
      </xdr:txBody>
    </xdr:sp>
    <xdr:clientData/>
  </xdr:twoCellAnchor>
  <xdr:twoCellAnchor>
    <xdr:from>
      <xdr:col>6</xdr:col>
      <xdr:colOff>4572001</xdr:colOff>
      <xdr:row>56</xdr:row>
      <xdr:rowOff>19050</xdr:rowOff>
    </xdr:from>
    <xdr:to>
      <xdr:col>14</xdr:col>
      <xdr:colOff>976312</xdr:colOff>
      <xdr:row>74</xdr:row>
      <xdr:rowOff>66675</xdr:rowOff>
    </xdr:to>
    <xdr:graphicFrame macro="">
      <xdr:nvGraphicFramePr>
        <xdr:cNvPr id="27" name="Chart 6">
          <a:extLst>
            <a:ext uri="{FF2B5EF4-FFF2-40B4-BE49-F238E27FC236}">
              <a16:creationId xmlns:a16="http://schemas.microsoft.com/office/drawing/2014/main" id="{7B459D6C-3BF0-4083-BA5B-D87EEA7DE0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66675</xdr:colOff>
      <xdr:row>77</xdr:row>
      <xdr:rowOff>47625</xdr:rowOff>
    </xdr:from>
    <xdr:to>
      <xdr:col>18</xdr:col>
      <xdr:colOff>342900</xdr:colOff>
      <xdr:row>94</xdr:row>
      <xdr:rowOff>219075</xdr:rowOff>
    </xdr:to>
    <xdr:graphicFrame macro="">
      <xdr:nvGraphicFramePr>
        <xdr:cNvPr id="28" name="Chart 28">
          <a:extLst>
            <a:ext uri="{FF2B5EF4-FFF2-40B4-BE49-F238E27FC236}">
              <a16:creationId xmlns:a16="http://schemas.microsoft.com/office/drawing/2014/main" id="{6EA61277-CEF3-42CF-979F-238BEF775D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547687</xdr:colOff>
      <xdr:row>77</xdr:row>
      <xdr:rowOff>195263</xdr:rowOff>
    </xdr:from>
    <xdr:to>
      <xdr:col>12</xdr:col>
      <xdr:colOff>152399</xdr:colOff>
      <xdr:row>79</xdr:row>
      <xdr:rowOff>225029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72A4D731-D10D-480E-A8E7-0A40207800DD}"/>
            </a:ext>
          </a:extLst>
        </xdr:cNvPr>
        <xdr:cNvSpPr txBox="1"/>
      </xdr:nvSpPr>
      <xdr:spPr>
        <a:xfrm>
          <a:off x="23922037" y="28703588"/>
          <a:ext cx="1738312" cy="677466"/>
        </a:xfrm>
        <a:prstGeom prst="rect">
          <a:avLst/>
        </a:prstGeom>
        <a:solidFill>
          <a:srgbClr val="FEF76A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800" b="1"/>
            <a:t>N = </a:t>
          </a:r>
          <a:r>
            <a:rPr lang="en-US" sz="2800" b="1"/>
            <a:t>1</a:t>
          </a:r>
          <a:endParaRPr lang="id-ID" sz="2800" b="1"/>
        </a:p>
      </xdr:txBody>
    </xdr:sp>
    <xdr:clientData/>
  </xdr:twoCellAnchor>
  <xdr:twoCellAnchor>
    <xdr:from>
      <xdr:col>11</xdr:col>
      <xdr:colOff>76200</xdr:colOff>
      <xdr:row>97</xdr:row>
      <xdr:rowOff>261937</xdr:rowOff>
    </xdr:from>
    <xdr:to>
      <xdr:col>18</xdr:col>
      <xdr:colOff>457200</xdr:colOff>
      <xdr:row>115</xdr:row>
      <xdr:rowOff>238125</xdr:rowOff>
    </xdr:to>
    <xdr:graphicFrame macro="">
      <xdr:nvGraphicFramePr>
        <xdr:cNvPr id="30" name="Chart 28">
          <a:extLst>
            <a:ext uri="{FF2B5EF4-FFF2-40B4-BE49-F238E27FC236}">
              <a16:creationId xmlns:a16="http://schemas.microsoft.com/office/drawing/2014/main" id="{A973D6B2-236C-4BD2-85CF-ACD60F882A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381000</xdr:colOff>
      <xdr:row>97</xdr:row>
      <xdr:rowOff>314330</xdr:rowOff>
    </xdr:from>
    <xdr:to>
      <xdr:col>11</xdr:col>
      <xdr:colOff>2119312</xdr:colOff>
      <xdr:row>100</xdr:row>
      <xdr:rowOff>10721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72497CB-CC04-4D5F-ABB3-1E30BD909C7E}"/>
            </a:ext>
          </a:extLst>
        </xdr:cNvPr>
        <xdr:cNvSpPr txBox="1"/>
      </xdr:nvSpPr>
      <xdr:spPr>
        <a:xfrm>
          <a:off x="23755350" y="35299655"/>
          <a:ext cx="1738312" cy="667941"/>
        </a:xfrm>
        <a:prstGeom prst="rect">
          <a:avLst/>
        </a:prstGeom>
        <a:solidFill>
          <a:srgbClr val="FEF76A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800" b="1"/>
            <a:t>N = </a:t>
          </a:r>
          <a:r>
            <a:rPr lang="en-US" sz="2800" b="1"/>
            <a:t>1</a:t>
          </a:r>
          <a:endParaRPr lang="id-ID" sz="2800" b="1"/>
        </a:p>
      </xdr:txBody>
    </xdr:sp>
    <xdr:clientData/>
  </xdr:twoCellAnchor>
  <xdr:twoCellAnchor>
    <xdr:from>
      <xdr:col>26</xdr:col>
      <xdr:colOff>166687</xdr:colOff>
      <xdr:row>77</xdr:row>
      <xdr:rowOff>76200</xdr:rowOff>
    </xdr:from>
    <xdr:to>
      <xdr:col>34</xdr:col>
      <xdr:colOff>1023937</xdr:colOff>
      <xdr:row>94</xdr:row>
      <xdr:rowOff>247650</xdr:rowOff>
    </xdr:to>
    <xdr:graphicFrame macro="">
      <xdr:nvGraphicFramePr>
        <xdr:cNvPr id="32" name="Chart 28">
          <a:extLst>
            <a:ext uri="{FF2B5EF4-FFF2-40B4-BE49-F238E27FC236}">
              <a16:creationId xmlns:a16="http://schemas.microsoft.com/office/drawing/2014/main" id="{1BE80805-7177-4471-AD17-D60AF19FB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30</xdr:col>
      <xdr:colOff>385762</xdr:colOff>
      <xdr:row>77</xdr:row>
      <xdr:rowOff>200026</xdr:rowOff>
    </xdr:from>
    <xdr:to>
      <xdr:col>31</xdr:col>
      <xdr:colOff>638174</xdr:colOff>
      <xdr:row>79</xdr:row>
      <xdr:rowOff>229792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2599B297-2E44-493E-9B89-FE0694561056}"/>
            </a:ext>
          </a:extLst>
        </xdr:cNvPr>
        <xdr:cNvSpPr txBox="1"/>
      </xdr:nvSpPr>
      <xdr:spPr>
        <a:xfrm>
          <a:off x="55697437" y="28708351"/>
          <a:ext cx="1738312" cy="677466"/>
        </a:xfrm>
        <a:prstGeom prst="rect">
          <a:avLst/>
        </a:prstGeom>
        <a:solidFill>
          <a:srgbClr val="FF4747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800" b="1"/>
            <a:t>N = </a:t>
          </a:r>
          <a:r>
            <a:rPr lang="en-US" sz="2800" b="1"/>
            <a:t>4</a:t>
          </a:r>
          <a:endParaRPr lang="id-ID" sz="2800" b="1"/>
        </a:p>
      </xdr:txBody>
    </xdr:sp>
    <xdr:clientData/>
  </xdr:twoCellAnchor>
  <xdr:twoCellAnchor>
    <xdr:from>
      <xdr:col>26</xdr:col>
      <xdr:colOff>190500</xdr:colOff>
      <xdr:row>97</xdr:row>
      <xdr:rowOff>323850</xdr:rowOff>
    </xdr:from>
    <xdr:to>
      <xdr:col>34</xdr:col>
      <xdr:colOff>1000126</xdr:colOff>
      <xdr:row>115</xdr:row>
      <xdr:rowOff>161925</xdr:rowOff>
    </xdr:to>
    <xdr:graphicFrame macro="">
      <xdr:nvGraphicFramePr>
        <xdr:cNvPr id="34" name="Chart 28">
          <a:extLst>
            <a:ext uri="{FF2B5EF4-FFF2-40B4-BE49-F238E27FC236}">
              <a16:creationId xmlns:a16="http://schemas.microsoft.com/office/drawing/2014/main" id="{E27F05F0-945E-47F7-BED2-E81BB4D0C4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30</xdr:col>
      <xdr:colOff>352427</xdr:colOff>
      <xdr:row>98</xdr:row>
      <xdr:rowOff>119063</xdr:rowOff>
    </xdr:from>
    <xdr:to>
      <xdr:col>31</xdr:col>
      <xdr:colOff>604839</xdr:colOff>
      <xdr:row>100</xdr:row>
      <xdr:rowOff>148829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C4DC768-9A7E-4FAE-9443-9A10BB6B5C15}"/>
            </a:ext>
          </a:extLst>
        </xdr:cNvPr>
        <xdr:cNvSpPr txBox="1"/>
      </xdr:nvSpPr>
      <xdr:spPr>
        <a:xfrm>
          <a:off x="55664102" y="35428238"/>
          <a:ext cx="1738312" cy="677466"/>
        </a:xfrm>
        <a:prstGeom prst="rect">
          <a:avLst/>
        </a:prstGeom>
        <a:solidFill>
          <a:srgbClr val="FF4747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id-ID" sz="2800" b="1"/>
            <a:t>N = 0</a:t>
          </a:r>
        </a:p>
      </xdr:txBody>
    </xdr:sp>
    <xdr:clientData/>
  </xdr:twoCellAnchor>
  <xdr:twoCellAnchor>
    <xdr:from>
      <xdr:col>44</xdr:col>
      <xdr:colOff>714373</xdr:colOff>
      <xdr:row>47</xdr:row>
      <xdr:rowOff>238124</xdr:rowOff>
    </xdr:from>
    <xdr:to>
      <xdr:col>52</xdr:col>
      <xdr:colOff>1309686</xdr:colOff>
      <xdr:row>59</xdr:row>
      <xdr:rowOff>95250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F8E42079-0378-49B1-B877-6DE7A5C8BD04}"/>
            </a:ext>
          </a:extLst>
        </xdr:cNvPr>
        <xdr:cNvSpPr/>
      </xdr:nvSpPr>
      <xdr:spPr>
        <a:xfrm>
          <a:off x="76342873" y="19030949"/>
          <a:ext cx="17187863" cy="37433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6600">
              <a:solidFill>
                <a:srgbClr val="FF0000"/>
              </a:solidFill>
            </a:rPr>
            <a:t>DATA</a:t>
          </a:r>
          <a:r>
            <a:rPr lang="en-US" sz="6600" baseline="0">
              <a:solidFill>
                <a:srgbClr val="FF0000"/>
              </a:solidFill>
            </a:rPr>
            <a:t> </a:t>
          </a:r>
        </a:p>
        <a:p>
          <a:pPr algn="ctr"/>
          <a:r>
            <a:rPr lang="en-US" sz="6600" baseline="0">
              <a:solidFill>
                <a:srgbClr val="FF0000"/>
              </a:solidFill>
            </a:rPr>
            <a:t>HOSIN</a:t>
          </a:r>
        </a:p>
        <a:p>
          <a:pPr algn="ctr"/>
          <a:r>
            <a:rPr lang="en-US" sz="6600" baseline="0">
              <a:solidFill>
                <a:srgbClr val="FF0000"/>
              </a:solidFill>
            </a:rPr>
            <a:t>JANGAN DI HAPUS</a:t>
          </a:r>
        </a:p>
        <a:p>
          <a:pPr algn="ctr"/>
          <a:endParaRPr lang="en-US" sz="6600"/>
        </a:p>
      </xdr:txBody>
    </xdr:sp>
    <xdr:clientData/>
  </xdr:twoCellAnchor>
  <xdr:oneCellAnchor>
    <xdr:from>
      <xdr:col>84</xdr:col>
      <xdr:colOff>666467</xdr:colOff>
      <xdr:row>10</xdr:row>
      <xdr:rowOff>233653</xdr:rowOff>
    </xdr:from>
    <xdr:ext cx="4286816" cy="937629"/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1D1A3EC7-94E1-40A4-8D94-2D0CBB2B4953}"/>
            </a:ext>
          </a:extLst>
        </xdr:cNvPr>
        <xdr:cNvSpPr/>
      </xdr:nvSpPr>
      <xdr:spPr>
        <a:xfrm>
          <a:off x="118490717" y="3214978"/>
          <a:ext cx="4286816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id-ID" sz="54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DATA PARETO</a:t>
          </a:r>
          <a:endParaRPr lang="en-US" sz="54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oneCellAnchor>
  <xdr:oneCellAnchor>
    <xdr:from>
      <xdr:col>81</xdr:col>
      <xdr:colOff>23408</xdr:colOff>
      <xdr:row>49</xdr:row>
      <xdr:rowOff>0</xdr:rowOff>
    </xdr:from>
    <xdr:ext cx="13098266" cy="937629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AF888B4B-B663-46C6-B50A-7EF67D0EB613}"/>
            </a:ext>
          </a:extLst>
        </xdr:cNvPr>
        <xdr:cNvSpPr/>
      </xdr:nvSpPr>
      <xdr:spPr>
        <a:xfrm>
          <a:off x="113389958" y="19440525"/>
          <a:ext cx="13098266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id-ID" sz="54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DATA PROGRESS BELUM ADA ADA KONTRAK</a:t>
          </a:r>
          <a:endParaRPr lang="en-US" sz="5400" b="1" cap="none" spc="0">
            <a:ln w="18000">
              <a:solidFill>
                <a:schemeClr val="accent2">
                  <a:satMod val="140000"/>
                </a:schemeClr>
              </a:solidFill>
              <a:prstDash val="solid"/>
              <a:miter lim="800000"/>
            </a:ln>
            <a:noFill/>
            <a:effectLst>
              <a:outerShdw blurRad="25500" dist="23000" dir="7020000" algn="tl">
                <a:srgbClr val="000000">
                  <a:alpha val="50000"/>
                </a:srgbClr>
              </a:outerShdw>
            </a:effectLst>
          </a:endParaRPr>
        </a:p>
      </xdr:txBody>
    </xdr:sp>
    <xdr:clientData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0.05713</cdr:x>
      <cdr:y>0.04826</cdr:y>
    </cdr:from>
    <cdr:to>
      <cdr:x>0.24606</cdr:x>
      <cdr:y>0.17493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582254" y="285153"/>
          <a:ext cx="1954595" cy="75273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4000"/>
            <a:t>N</a:t>
          </a:r>
          <a:r>
            <a:rPr lang="en-US" sz="4000" baseline="0"/>
            <a:t> =</a:t>
          </a:r>
          <a:r>
            <a:rPr lang="id-ID" sz="4000" baseline="0"/>
            <a:t> 3</a:t>
          </a:r>
          <a:r>
            <a:rPr lang="en-US" sz="4000" baseline="0"/>
            <a:t>89</a:t>
          </a:r>
          <a:endParaRPr lang="en-US" sz="40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0.05408</cdr:x>
      <cdr:y>0.04404</cdr:y>
    </cdr:from>
    <cdr:to>
      <cdr:x>0.23979</cdr:x>
      <cdr:y>0.17096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534629" y="261341"/>
          <a:ext cx="1954595" cy="75273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4000"/>
            <a:t>N</a:t>
          </a:r>
          <a:r>
            <a:rPr lang="en-US" sz="4000" baseline="0"/>
            <a:t> =</a:t>
          </a:r>
          <a:r>
            <a:rPr lang="id-ID" sz="4000" baseline="0"/>
            <a:t> 1</a:t>
          </a:r>
          <a:r>
            <a:rPr lang="en-US" sz="4000" baseline="0"/>
            <a:t>47</a:t>
          </a:r>
          <a:endParaRPr lang="en-US" sz="40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0.05408</cdr:x>
      <cdr:y>0.04801</cdr:y>
    </cdr:from>
    <cdr:to>
      <cdr:x>0.24004</cdr:x>
      <cdr:y>0.17493</cdr:y>
    </cdr:to>
    <cdr:sp macro="" textlink="">
      <cdr:nvSpPr>
        <cdr:cNvPr id="2" name="Rectangle 1"/>
        <cdr:cNvSpPr/>
      </cdr:nvSpPr>
      <cdr:spPr>
        <a:xfrm xmlns:a="http://schemas.openxmlformats.org/drawingml/2006/main">
          <a:off x="534628" y="285153"/>
          <a:ext cx="1954595" cy="752734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r>
            <a:rPr lang="en-US" sz="4000"/>
            <a:t>N</a:t>
          </a:r>
          <a:r>
            <a:rPr lang="en-US" sz="4000" baseline="0"/>
            <a:t> =</a:t>
          </a:r>
          <a:r>
            <a:rPr lang="id-ID" sz="4000" baseline="0"/>
            <a:t> 2</a:t>
          </a:r>
          <a:r>
            <a:rPr lang="en-US" sz="4000" baseline="0"/>
            <a:t>42</a:t>
          </a:r>
          <a:endParaRPr lang="en-US" sz="40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ta9wib1278@gmail.com081%202253%202554" TargetMode="External"/><Relationship Id="rId2" Type="http://schemas.openxmlformats.org/officeDocument/2006/relationships/hyperlink" Target="mailto:info@toman-c.co.jp+81542549600" TargetMode="External"/><Relationship Id="rId1" Type="http://schemas.openxmlformats.org/officeDocument/2006/relationships/hyperlink" Target="mailto:smg.guns@yahoo.co.id0828%209203%202880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jim@lakesprecision.com715-546-3070%20(USA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F562"/>
  <sheetViews>
    <sheetView showGridLines="0" tabSelected="1" view="pageBreakPreview" zoomScale="25" zoomScaleNormal="25" zoomScaleSheetLayoutView="25" workbookViewId="0">
      <selection activeCell="AK58" sqref="AK58"/>
    </sheetView>
  </sheetViews>
  <sheetFormatPr defaultRowHeight="15" x14ac:dyDescent="0.25"/>
  <cols>
    <col min="1" max="1" width="10.28515625" style="1" customWidth="1"/>
    <col min="2" max="2" width="12.42578125" style="1" customWidth="1"/>
    <col min="3" max="3" width="15.85546875" style="1" customWidth="1"/>
    <col min="4" max="4" width="16.140625" style="1" customWidth="1"/>
    <col min="5" max="5" width="19.140625" style="1" customWidth="1"/>
    <col min="6" max="6" width="36.85546875" style="1" customWidth="1"/>
    <col min="7" max="7" width="72.42578125" style="2" customWidth="1"/>
    <col min="8" max="8" width="39" style="2" customWidth="1"/>
    <col min="9" max="9" width="18.5703125" style="2" customWidth="1"/>
    <col min="10" max="10" width="39.5703125" style="2" customWidth="1"/>
    <col min="11" max="11" width="70.28515625" style="2" customWidth="1"/>
    <col min="12" max="12" width="32" style="2" customWidth="1"/>
    <col min="13" max="13" width="30.140625" style="2" customWidth="1"/>
    <col min="14" max="14" width="24" style="3" customWidth="1"/>
    <col min="15" max="15" width="25.28515625" style="3" customWidth="1"/>
    <col min="16" max="17" width="17.7109375" style="2" customWidth="1"/>
    <col min="18" max="24" width="22.28515625" style="2" customWidth="1"/>
    <col min="25" max="25" width="53.28515625" style="2" customWidth="1"/>
    <col min="26" max="29" width="23.5703125" style="2" customWidth="1"/>
    <col min="30" max="30" width="28.5703125" style="2" customWidth="1"/>
    <col min="31" max="31" width="22.28515625" style="2" customWidth="1"/>
    <col min="32" max="32" width="24.85546875" style="1" customWidth="1"/>
    <col min="33" max="33" width="22.28515625" style="1" customWidth="1"/>
    <col min="34" max="35" width="19.85546875" style="1" customWidth="1"/>
    <col min="36" max="36" width="23.85546875" style="1" customWidth="1"/>
    <col min="37" max="37" width="19.85546875" style="1" customWidth="1"/>
    <col min="38" max="38" width="27.85546875" style="1" customWidth="1"/>
    <col min="39" max="39" width="19.85546875" style="1" customWidth="1"/>
    <col min="40" max="40" width="24.140625" style="1" customWidth="1"/>
    <col min="41" max="41" width="24.7109375" style="1" customWidth="1"/>
    <col min="42" max="44" width="18.42578125" style="1" customWidth="1"/>
    <col min="45" max="46" width="19.85546875" style="1" customWidth="1"/>
    <col min="47" max="53" width="34.85546875" style="1" customWidth="1"/>
    <col min="54" max="79" width="9.140625" style="1"/>
    <col min="80" max="188" width="22.28515625" style="1" customWidth="1"/>
    <col min="189" max="16384" width="9.140625" style="1"/>
  </cols>
  <sheetData>
    <row r="1" spans="3:98" ht="5.25" customHeight="1" thickBot="1" x14ac:dyDescent="0.3">
      <c r="AV1" s="4"/>
    </row>
    <row r="2" spans="3:98" ht="25.5" customHeight="1" x14ac:dyDescent="0.25">
      <c r="C2" s="234" t="s">
        <v>0</v>
      </c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  <c r="P2" s="235"/>
      <c r="Q2" s="235"/>
      <c r="R2" s="236"/>
      <c r="S2" s="5"/>
      <c r="T2" s="5"/>
      <c r="U2" s="5"/>
      <c r="V2" s="5"/>
      <c r="W2" s="5"/>
      <c r="X2" s="5"/>
      <c r="AV2" s="4"/>
    </row>
    <row r="3" spans="3:98" ht="25.5" customHeight="1" x14ac:dyDescent="0.25">
      <c r="C3" s="237"/>
      <c r="D3" s="238"/>
      <c r="E3" s="238"/>
      <c r="F3" s="238"/>
      <c r="G3" s="238"/>
      <c r="H3" s="238"/>
      <c r="I3" s="238"/>
      <c r="J3" s="238"/>
      <c r="K3" s="238"/>
      <c r="L3" s="238"/>
      <c r="M3" s="238"/>
      <c r="N3" s="238"/>
      <c r="O3" s="238"/>
      <c r="P3" s="238"/>
      <c r="Q3" s="238"/>
      <c r="R3" s="239"/>
      <c r="S3" s="5"/>
      <c r="T3" s="5"/>
      <c r="U3" s="5"/>
      <c r="V3" s="5"/>
      <c r="W3" s="5"/>
      <c r="X3" s="5"/>
      <c r="AV3" s="4"/>
    </row>
    <row r="4" spans="3:98" ht="25.5" customHeight="1" x14ac:dyDescent="0.25">
      <c r="C4" s="237"/>
      <c r="D4" s="238"/>
      <c r="E4" s="238"/>
      <c r="F4" s="238"/>
      <c r="G4" s="238"/>
      <c r="H4" s="238"/>
      <c r="I4" s="238"/>
      <c r="J4" s="238"/>
      <c r="K4" s="238"/>
      <c r="L4" s="238"/>
      <c r="M4" s="238"/>
      <c r="N4" s="238"/>
      <c r="O4" s="238"/>
      <c r="P4" s="238"/>
      <c r="Q4" s="238"/>
      <c r="R4" s="239"/>
      <c r="S4" s="5"/>
      <c r="T4" s="5"/>
      <c r="U4" s="5"/>
      <c r="V4" s="5"/>
      <c r="W4" s="5"/>
      <c r="X4" s="5"/>
      <c r="AV4" s="4"/>
    </row>
    <row r="5" spans="3:98" ht="25.5" customHeight="1" x14ac:dyDescent="0.25">
      <c r="C5" s="237"/>
      <c r="D5" s="238"/>
      <c r="E5" s="238"/>
      <c r="F5" s="238"/>
      <c r="G5" s="238"/>
      <c r="H5" s="238"/>
      <c r="I5" s="238"/>
      <c r="J5" s="238"/>
      <c r="K5" s="238"/>
      <c r="L5" s="238"/>
      <c r="M5" s="238"/>
      <c r="N5" s="238"/>
      <c r="O5" s="238"/>
      <c r="P5" s="238"/>
      <c r="Q5" s="238"/>
      <c r="R5" s="239"/>
      <c r="S5" s="5"/>
      <c r="T5" s="5"/>
      <c r="U5" s="5"/>
      <c r="V5" s="5"/>
      <c r="W5" s="5"/>
      <c r="X5" s="5"/>
      <c r="AV5" s="4"/>
    </row>
    <row r="6" spans="3:98" ht="25.5" customHeight="1" x14ac:dyDescent="0.25">
      <c r="C6" s="237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9"/>
      <c r="S6" s="5"/>
      <c r="T6" s="5"/>
      <c r="U6" s="5"/>
      <c r="V6" s="5"/>
      <c r="W6" s="5"/>
      <c r="X6" s="5"/>
      <c r="AV6" s="4"/>
    </row>
    <row r="7" spans="3:98" ht="25.5" customHeight="1" x14ac:dyDescent="0.25">
      <c r="C7" s="237"/>
      <c r="D7" s="238"/>
      <c r="E7" s="238"/>
      <c r="F7" s="238"/>
      <c r="G7" s="238"/>
      <c r="H7" s="238"/>
      <c r="I7" s="238"/>
      <c r="J7" s="238"/>
      <c r="K7" s="238"/>
      <c r="L7" s="238"/>
      <c r="M7" s="238"/>
      <c r="N7" s="238"/>
      <c r="O7" s="238"/>
      <c r="P7" s="238"/>
      <c r="Q7" s="238"/>
      <c r="R7" s="239"/>
      <c r="S7" s="5"/>
      <c r="T7" s="5"/>
      <c r="U7" s="5"/>
      <c r="V7" s="5"/>
      <c r="W7" s="5"/>
      <c r="X7" s="5"/>
      <c r="AV7" s="4"/>
    </row>
    <row r="8" spans="3:98" ht="25.5" customHeight="1" x14ac:dyDescent="0.25">
      <c r="C8" s="237"/>
      <c r="D8" s="238"/>
      <c r="E8" s="238"/>
      <c r="F8" s="238"/>
      <c r="G8" s="238"/>
      <c r="H8" s="238"/>
      <c r="I8" s="238"/>
      <c r="J8" s="238"/>
      <c r="K8" s="238"/>
      <c r="L8" s="238"/>
      <c r="M8" s="238"/>
      <c r="N8" s="238"/>
      <c r="O8" s="238"/>
      <c r="P8" s="238"/>
      <c r="Q8" s="238"/>
      <c r="R8" s="239"/>
      <c r="S8" s="5"/>
      <c r="T8" s="5"/>
      <c r="U8" s="5"/>
      <c r="V8" s="5"/>
      <c r="W8" s="5"/>
      <c r="X8" s="5"/>
      <c r="AV8" s="4"/>
    </row>
    <row r="9" spans="3:98" ht="25.5" customHeight="1" x14ac:dyDescent="0.25">
      <c r="C9" s="237"/>
      <c r="D9" s="238"/>
      <c r="E9" s="238"/>
      <c r="F9" s="238"/>
      <c r="G9" s="238"/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9"/>
      <c r="S9" s="5"/>
      <c r="T9" s="5"/>
      <c r="U9" s="5"/>
      <c r="V9" s="5"/>
      <c r="W9" s="5"/>
      <c r="X9" s="5"/>
      <c r="AV9" s="4"/>
    </row>
    <row r="10" spans="3:98" ht="25.5" customHeight="1" x14ac:dyDescent="0.25">
      <c r="C10" s="237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9"/>
      <c r="S10" s="5"/>
      <c r="T10" s="5"/>
      <c r="U10" s="5"/>
      <c r="V10" s="5"/>
      <c r="W10" s="5"/>
      <c r="X10" s="5"/>
      <c r="AV10" s="4"/>
    </row>
    <row r="11" spans="3:98" ht="25.5" customHeight="1" thickBot="1" x14ac:dyDescent="0.3">
      <c r="C11" s="240"/>
      <c r="D11" s="241"/>
      <c r="E11" s="241"/>
      <c r="F11" s="241"/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2"/>
      <c r="S11" s="5"/>
      <c r="T11" s="5"/>
      <c r="U11" s="5"/>
      <c r="V11" s="5"/>
      <c r="W11" s="5"/>
      <c r="X11" s="5"/>
      <c r="AV11" s="4"/>
    </row>
    <row r="12" spans="3:98" ht="25.5" customHeight="1" x14ac:dyDescent="0.25">
      <c r="AD12" s="6"/>
      <c r="AV12" s="4"/>
    </row>
    <row r="13" spans="3:98" ht="25.5" customHeight="1" x14ac:dyDescent="0.65">
      <c r="G13" s="1"/>
      <c r="H13" s="7"/>
      <c r="N13" s="8"/>
      <c r="O13" s="9"/>
      <c r="Q13" s="10"/>
      <c r="R13" s="10"/>
      <c r="V13" s="10"/>
      <c r="W13" s="10"/>
      <c r="X13" s="11" t="s">
        <v>1</v>
      </c>
      <c r="Y13" s="12">
        <f ca="1">TODAY()</f>
        <v>44852</v>
      </c>
      <c r="AV13" s="4"/>
    </row>
    <row r="14" spans="3:98" ht="25.5" customHeight="1" x14ac:dyDescent="0.25">
      <c r="Q14" s="10"/>
      <c r="R14" s="10"/>
      <c r="S14" s="10"/>
      <c r="T14" s="10"/>
      <c r="U14" s="10"/>
      <c r="V14" s="10"/>
      <c r="W14" s="10"/>
      <c r="X14" s="10"/>
      <c r="AV14" s="4"/>
    </row>
    <row r="15" spans="3:98" ht="72.75" customHeight="1" x14ac:dyDescent="0.35">
      <c r="C15" s="196" t="s">
        <v>2</v>
      </c>
      <c r="D15" s="196" t="s">
        <v>3</v>
      </c>
      <c r="E15" s="196" t="s">
        <v>4</v>
      </c>
      <c r="F15" s="193" t="s">
        <v>5</v>
      </c>
      <c r="G15" s="194"/>
      <c r="H15" s="195"/>
      <c r="I15" s="233" t="s">
        <v>6</v>
      </c>
      <c r="J15" s="233"/>
      <c r="K15" s="233"/>
      <c r="L15" s="233"/>
      <c r="M15" s="233"/>
      <c r="N15" s="233"/>
      <c r="O15" s="243" t="s">
        <v>7</v>
      </c>
      <c r="P15" s="243"/>
      <c r="Q15" s="243"/>
      <c r="R15" s="243"/>
      <c r="S15" s="243"/>
      <c r="T15" s="243"/>
      <c r="U15" s="244" t="s">
        <v>8</v>
      </c>
      <c r="V15" s="245"/>
      <c r="W15" s="246"/>
      <c r="X15" s="227" t="s">
        <v>9</v>
      </c>
      <c r="Y15" s="227"/>
      <c r="Z15" s="13"/>
      <c r="AA15" s="14"/>
      <c r="AB15" s="14"/>
      <c r="AC15" s="14"/>
      <c r="AM15" s="15"/>
      <c r="AN15" s="15"/>
      <c r="AS15" s="2"/>
      <c r="AT15" s="2"/>
      <c r="AX15" s="16"/>
      <c r="AY15" s="16"/>
      <c r="AZ15" s="16"/>
      <c r="CB15" s="17" t="s">
        <v>10</v>
      </c>
    </row>
    <row r="16" spans="3:98" ht="72.75" customHeight="1" x14ac:dyDescent="0.25">
      <c r="C16" s="197"/>
      <c r="D16" s="197"/>
      <c r="E16" s="197"/>
      <c r="F16" s="228" t="s">
        <v>6</v>
      </c>
      <c r="G16" s="230" t="s">
        <v>7</v>
      </c>
      <c r="H16" s="191" t="s">
        <v>11</v>
      </c>
      <c r="I16" s="232" t="s">
        <v>12</v>
      </c>
      <c r="J16" s="232"/>
      <c r="K16" s="232"/>
      <c r="L16" s="227" t="s">
        <v>13</v>
      </c>
      <c r="M16" s="227"/>
      <c r="N16" s="233" t="s">
        <v>11</v>
      </c>
      <c r="O16" s="232" t="s">
        <v>12</v>
      </c>
      <c r="P16" s="232"/>
      <c r="Q16" s="232"/>
      <c r="R16" s="227" t="s">
        <v>13</v>
      </c>
      <c r="S16" s="227"/>
      <c r="T16" s="243" t="s">
        <v>11</v>
      </c>
      <c r="U16" s="214" t="s">
        <v>14</v>
      </c>
      <c r="V16" s="216" t="s">
        <v>15</v>
      </c>
      <c r="W16" s="218" t="s">
        <v>16</v>
      </c>
      <c r="X16" s="220" t="s">
        <v>17</v>
      </c>
      <c r="Y16" s="222" t="s">
        <v>18</v>
      </c>
      <c r="Z16" s="13"/>
      <c r="AA16" s="14"/>
      <c r="AB16" s="14"/>
      <c r="AC16" s="14"/>
      <c r="AM16" s="15"/>
      <c r="AN16" s="15"/>
      <c r="AP16" s="224" t="s">
        <v>19</v>
      </c>
      <c r="AQ16" s="225"/>
      <c r="AR16" s="225"/>
      <c r="AS16" s="226"/>
      <c r="AZ16" s="16"/>
      <c r="CB16" s="207" t="s">
        <v>20</v>
      </c>
      <c r="CC16" s="207"/>
      <c r="CD16" s="207"/>
      <c r="CE16" s="207"/>
      <c r="CG16" s="207" t="s">
        <v>20</v>
      </c>
      <c r="CH16" s="207"/>
      <c r="CI16" s="207"/>
      <c r="CJ16" s="207"/>
      <c r="CL16" s="207" t="s">
        <v>17</v>
      </c>
      <c r="CM16" s="207"/>
      <c r="CN16" s="207"/>
      <c r="CO16" s="207"/>
      <c r="CQ16" s="207" t="s">
        <v>17</v>
      </c>
      <c r="CR16" s="207"/>
      <c r="CS16" s="207"/>
      <c r="CT16" s="207"/>
    </row>
    <row r="17" spans="3:98" ht="115.5" customHeight="1" x14ac:dyDescent="0.25">
      <c r="C17" s="198"/>
      <c r="D17" s="198"/>
      <c r="E17" s="198"/>
      <c r="F17" s="229"/>
      <c r="G17" s="231"/>
      <c r="H17" s="192"/>
      <c r="I17" s="18" t="s">
        <v>14</v>
      </c>
      <c r="J17" s="19" t="s">
        <v>15</v>
      </c>
      <c r="K17" s="20" t="s">
        <v>16</v>
      </c>
      <c r="L17" s="21" t="s">
        <v>17</v>
      </c>
      <c r="M17" s="22" t="s">
        <v>18</v>
      </c>
      <c r="N17" s="233"/>
      <c r="O17" s="18" t="s">
        <v>14</v>
      </c>
      <c r="P17" s="19" t="s">
        <v>15</v>
      </c>
      <c r="Q17" s="20" t="s">
        <v>16</v>
      </c>
      <c r="R17" s="21" t="s">
        <v>17</v>
      </c>
      <c r="S17" s="22" t="s">
        <v>18</v>
      </c>
      <c r="T17" s="243"/>
      <c r="U17" s="215"/>
      <c r="V17" s="217"/>
      <c r="W17" s="219"/>
      <c r="X17" s="221"/>
      <c r="Y17" s="223"/>
      <c r="Z17" s="13"/>
      <c r="AA17" s="14"/>
      <c r="AB17" s="14"/>
      <c r="AC17" s="14"/>
      <c r="AF17" s="2"/>
      <c r="AG17" s="2"/>
      <c r="AP17" s="23" t="s">
        <v>21</v>
      </c>
      <c r="AQ17" s="23" t="s">
        <v>22</v>
      </c>
      <c r="AR17" s="23" t="s">
        <v>23</v>
      </c>
      <c r="AS17" s="23" t="s">
        <v>11</v>
      </c>
      <c r="CB17" s="24" t="s">
        <v>24</v>
      </c>
      <c r="CC17" s="24" t="s">
        <v>25</v>
      </c>
      <c r="CD17" s="24" t="s">
        <v>26</v>
      </c>
      <c r="CE17" s="24" t="s">
        <v>27</v>
      </c>
      <c r="CF17" s="25"/>
      <c r="CG17" s="24" t="s">
        <v>24</v>
      </c>
      <c r="CH17" s="24" t="s">
        <v>25</v>
      </c>
      <c r="CI17" s="24" t="s">
        <v>26</v>
      </c>
      <c r="CJ17" s="24" t="s">
        <v>27</v>
      </c>
      <c r="CL17" s="24" t="s">
        <v>24</v>
      </c>
      <c r="CM17" s="24" t="s">
        <v>25</v>
      </c>
      <c r="CN17" s="24" t="s">
        <v>26</v>
      </c>
      <c r="CO17" s="24" t="s">
        <v>27</v>
      </c>
      <c r="CQ17" s="24" t="s">
        <v>24</v>
      </c>
      <c r="CR17" s="24" t="s">
        <v>25</v>
      </c>
      <c r="CS17" s="24" t="s">
        <v>26</v>
      </c>
      <c r="CT17" s="24" t="s">
        <v>27</v>
      </c>
    </row>
    <row r="18" spans="3:98" ht="25.5" customHeight="1" x14ac:dyDescent="0.25">
      <c r="C18" s="26">
        <v>1</v>
      </c>
      <c r="D18" s="176" t="s">
        <v>28</v>
      </c>
      <c r="E18" s="26" t="s">
        <v>29</v>
      </c>
      <c r="F18" s="27">
        <f>COUNTIFS($Q$134:$Q$522,"GA",$X$134:$X$522,"Penting")</f>
        <v>41</v>
      </c>
      <c r="G18" s="27">
        <f>COUNTIFS($Q$134:$Q$522,"GA",$X$134:$X$522,"Biasa")</f>
        <v>125</v>
      </c>
      <c r="H18" s="27">
        <f t="shared" ref="H18:H29" si="0">SUM(F18:G18)</f>
        <v>166</v>
      </c>
      <c r="I18" s="28">
        <f ca="1">COUNTIFS($Q$134:$Q$522,"GA",$S$134:$S$522,"O",$X$134:$X$522,"Penting")</f>
        <v>12</v>
      </c>
      <c r="J18" s="28">
        <f ca="1">COUNTIFS($Q$134:$Q$522,"GA",$S$134:$S$522,"Y",$X$134:$X$522,"Penting")</f>
        <v>13</v>
      </c>
      <c r="K18" s="28">
        <f ca="1">COUNTIFS($Q$134:$Q$522,"GA",$S$134:$S$522,"Z",$X$134:$X$522,"Penting")</f>
        <v>16</v>
      </c>
      <c r="L18" s="28">
        <f ca="1">COUNTIFS($Q$134:$Q$522,"GA",$S$134:$S$522,"X",$X$134:$X$522,"Penting")</f>
        <v>0</v>
      </c>
      <c r="M18" s="28">
        <f ca="1">COUNTIFS($Q$134:$Q$522,"GA",$S$134:$S$522,"C",$X$134:$X$522,"Penting")</f>
        <v>0</v>
      </c>
      <c r="N18" s="28">
        <f ca="1">SUM(I18:M18)</f>
        <v>41</v>
      </c>
      <c r="O18" s="27">
        <f ca="1">COUNTIFS($Q$134:$Q$522,"GA",$S$134:$S$522,"O",$X$134:$X$522,"Biasa")</f>
        <v>41</v>
      </c>
      <c r="P18" s="27">
        <f ca="1">COUNTIFS($Q$134:$Q$522,"GA",$S$134:$S$522,"Y",$X$134:$X$522,"Biasa")</f>
        <v>38</v>
      </c>
      <c r="Q18" s="27">
        <f ca="1">COUNTIFS($Q$134:$Q$522,"GA",$S$134:$S$522,"Z",$X$134:$X$522,"Biasa")</f>
        <v>32</v>
      </c>
      <c r="R18" s="27">
        <f ca="1">COUNTIFS($Q$134:$Q$522,"GA",$S$134:$S$522,"X",$X$134:$X$522,"Biasa")</f>
        <v>0</v>
      </c>
      <c r="S18" s="27">
        <f ca="1">COUNTIFS($Q$134:$Q$522,"GA",$S$134:$S$522,"C",$X$134:$X$522,"Biasa")</f>
        <v>14</v>
      </c>
      <c r="T18" s="27">
        <f ca="1">SUM(O18:S18)</f>
        <v>125</v>
      </c>
      <c r="U18" s="27">
        <f t="shared" ref="U18:Y29" ca="1" si="1">I18+O18</f>
        <v>53</v>
      </c>
      <c r="V18" s="27">
        <f t="shared" ca="1" si="1"/>
        <v>51</v>
      </c>
      <c r="W18" s="29">
        <f t="shared" ca="1" si="1"/>
        <v>48</v>
      </c>
      <c r="X18" s="27">
        <f t="shared" ca="1" si="1"/>
        <v>0</v>
      </c>
      <c r="Y18" s="29">
        <f t="shared" ca="1" si="1"/>
        <v>14</v>
      </c>
      <c r="Z18" s="30"/>
      <c r="AA18" s="31"/>
      <c r="AB18" s="31"/>
      <c r="AC18" s="31"/>
      <c r="AF18" s="2"/>
      <c r="AG18" s="2"/>
      <c r="AP18" s="32">
        <v>44378</v>
      </c>
      <c r="AQ18" s="26">
        <v>211</v>
      </c>
      <c r="AR18" s="26">
        <v>5</v>
      </c>
      <c r="AS18" s="26">
        <f t="shared" ref="AS18:AS29" si="2">AQ18+AR18</f>
        <v>216</v>
      </c>
      <c r="CB18" s="33"/>
      <c r="CC18" s="33"/>
      <c r="CD18" s="33"/>
      <c r="CE18" s="26">
        <v>0</v>
      </c>
      <c r="CG18" s="33"/>
      <c r="CH18" s="33"/>
      <c r="CI18" s="33"/>
      <c r="CJ18" s="26">
        <v>0</v>
      </c>
      <c r="CL18" s="33"/>
      <c r="CM18" s="33"/>
      <c r="CN18" s="33"/>
      <c r="CO18" s="26">
        <v>0</v>
      </c>
      <c r="CQ18" s="33"/>
      <c r="CR18" s="33"/>
      <c r="CS18" s="33"/>
      <c r="CT18" s="26">
        <v>0</v>
      </c>
    </row>
    <row r="19" spans="3:98" ht="25.5" customHeight="1" x14ac:dyDescent="0.25">
      <c r="C19" s="26">
        <v>2</v>
      </c>
      <c r="D19" s="177"/>
      <c r="E19" s="26" t="s">
        <v>30</v>
      </c>
      <c r="F19" s="27">
        <f>COUNTIFS($Q$134:$Q$522,"SHE",$X$134:$X$522,"Penting")</f>
        <v>5</v>
      </c>
      <c r="G19" s="27">
        <f>COUNTIFS($Q$134:$Q$522,"SHE",$X$134:$X$522,"Biasa")</f>
        <v>0</v>
      </c>
      <c r="H19" s="27">
        <f t="shared" si="0"/>
        <v>5</v>
      </c>
      <c r="I19" s="27">
        <f ca="1">COUNTIFS($Q$134:$Q$522,"SHE",$S$134:$S$522,"O",$X$134:$X$522,"Penting")</f>
        <v>1</v>
      </c>
      <c r="J19" s="27">
        <f ca="1">COUNTIFS($Q$134:$Q$522,"SHE",$S$134:$S$522,"Y",$X$134:$X$522,"Penting")</f>
        <v>2</v>
      </c>
      <c r="K19" s="27">
        <f ca="1">COUNTIFS($Q$134:$Q$522,"SHE",$S$134:$S$522,"Z",$X$134:$X$522,"Penting")</f>
        <v>2</v>
      </c>
      <c r="L19" s="27">
        <f ca="1">COUNTIFS($Q$134:$Q$522,"SHE",$S$134:$S$522,"X",$X$134:$X$522,"Penting")</f>
        <v>0</v>
      </c>
      <c r="M19" s="28">
        <f ca="1">COUNTIFS($Q$134:$Q$522,"SHE",$S$134:$S$522,"C",$X$134:$X$522,"Penting")</f>
        <v>0</v>
      </c>
      <c r="N19" s="28">
        <f t="shared" ref="N19:N29" ca="1" si="3">SUM(I19:M19)</f>
        <v>5</v>
      </c>
      <c r="O19" s="27">
        <f ca="1">COUNTIFS($Q$134:$Q$522,"SHE",$S$134:$S$522,"O",$X$134:$X$522,"Biasa")</f>
        <v>0</v>
      </c>
      <c r="P19" s="27">
        <f ca="1">COUNTIFS($Q$134:$Q$522,"SHE",$S$134:$S$522,"Y",$X$134:$X$522,"Biasa")</f>
        <v>0</v>
      </c>
      <c r="Q19" s="27">
        <f ca="1">COUNTIFS($Q$134:$Q$522,"SHE",$S$134:$S$522,"Z",$X$134:$X$522,"Biasa")</f>
        <v>0</v>
      </c>
      <c r="R19" s="27">
        <f ca="1">COUNTIFS($Q$134:$Q$522,"SHE",$S$134:$S$522,"X",$X$134:$X$522,"Biasa")</f>
        <v>0</v>
      </c>
      <c r="S19" s="27">
        <f ca="1">COUNTIFS($Q$134:$Q$522,"SHE",$S$134:$S$522,"C",$X$134:$X$522,"Biasa")</f>
        <v>0</v>
      </c>
      <c r="T19" s="27">
        <f t="shared" ref="T19:T29" ca="1" si="4">SUM(O19:S19)</f>
        <v>0</v>
      </c>
      <c r="U19" s="27">
        <f t="shared" ca="1" si="1"/>
        <v>1</v>
      </c>
      <c r="V19" s="27">
        <f t="shared" ca="1" si="1"/>
        <v>2</v>
      </c>
      <c r="W19" s="29">
        <f t="shared" ca="1" si="1"/>
        <v>2</v>
      </c>
      <c r="X19" s="27">
        <f t="shared" ca="1" si="1"/>
        <v>0</v>
      </c>
      <c r="Y19" s="29">
        <f t="shared" ca="1" si="1"/>
        <v>0</v>
      </c>
      <c r="Z19" s="30"/>
      <c r="AA19" s="31"/>
      <c r="AB19" s="31"/>
      <c r="AC19" s="31"/>
      <c r="AF19" s="2"/>
      <c r="AG19" s="2"/>
      <c r="AP19" s="32">
        <v>44409</v>
      </c>
      <c r="AQ19" s="26">
        <v>210</v>
      </c>
      <c r="AR19" s="26">
        <v>4</v>
      </c>
      <c r="AS19" s="26">
        <f t="shared" si="2"/>
        <v>214</v>
      </c>
      <c r="CB19" s="34" t="s">
        <v>31</v>
      </c>
      <c r="CC19" s="35">
        <f ca="1">COUNTIFS($Q$134:$Q$522,"EXIM",$S$134:$S$522,"Y",$X$134:$X$522,"Penting")</f>
        <v>6</v>
      </c>
      <c r="CD19" s="35">
        <f ca="1">CC19+CD18</f>
        <v>6</v>
      </c>
      <c r="CE19" s="36">
        <f ca="1">CD19/$CD$29</f>
        <v>9.6774193548387094E-2</v>
      </c>
      <c r="CF19" s="37"/>
      <c r="CG19" s="34" t="s">
        <v>32</v>
      </c>
      <c r="CH19" s="38">
        <f>COUNTIFS($AL$134:$AL$522,"V",$X$134:$X$522,"Penting",$S$134:$S$522,"Y")</f>
        <v>0</v>
      </c>
      <c r="CI19" s="35">
        <f t="shared" ref="CI19:CI24" si="5">CH19+CI18</f>
        <v>0</v>
      </c>
      <c r="CJ19" s="36" t="e">
        <f t="shared" ref="CJ19:CJ24" si="6">CI19/$CI$24</f>
        <v>#DIV/0!</v>
      </c>
      <c r="CL19" s="34" t="s">
        <v>33</v>
      </c>
      <c r="CM19" s="35">
        <f ca="1">COUNTIFS($Q$134:$Q$522,"MPC",$S$134:$S$522,"X",$X$134:$X$522,"Penting")</f>
        <v>4</v>
      </c>
      <c r="CN19" s="35">
        <f t="shared" ref="CN19:CN29" ca="1" si="7">CM19+CN18</f>
        <v>4</v>
      </c>
      <c r="CO19" s="36">
        <f t="shared" ref="CO19:CO29" ca="1" si="8">CN19/$CN$29</f>
        <v>1</v>
      </c>
      <c r="CQ19" s="34" t="s">
        <v>34</v>
      </c>
      <c r="CR19" s="38">
        <f>COUNTIFS($AI$134:$AI$522,"V",$X$134:$X$522,"Penting",$S$134:$S$522,"X")</f>
        <v>4</v>
      </c>
      <c r="CS19" s="35">
        <f t="shared" ref="CS19:CS24" si="9">CR19+CS18</f>
        <v>4</v>
      </c>
      <c r="CT19" s="36">
        <f t="shared" ref="CT19:CT24" si="10">CS19/$CS$24</f>
        <v>1</v>
      </c>
    </row>
    <row r="20" spans="3:98" ht="25.5" customHeight="1" x14ac:dyDescent="0.25">
      <c r="C20" s="26">
        <v>3</v>
      </c>
      <c r="D20" s="177"/>
      <c r="E20" s="26" t="s">
        <v>35</v>
      </c>
      <c r="F20" s="27">
        <f>COUNTIFS($Q$134:$Q$522,"HR",$X$134:$X$522,"Penting")</f>
        <v>1</v>
      </c>
      <c r="G20" s="27">
        <f>COUNTIFS($Q$134:$Q$522,"HR",$X$134:$X$522,"Biasa")</f>
        <v>9</v>
      </c>
      <c r="H20" s="27">
        <f t="shared" si="0"/>
        <v>10</v>
      </c>
      <c r="I20" s="27">
        <f ca="1">COUNTIFS($Q$134:$Q$522,"HR",$S$134:$S$522,"O",$X$134:$X$522,"Penting")</f>
        <v>0</v>
      </c>
      <c r="J20" s="27">
        <f ca="1">COUNTIFS($Q$134:$Q$522,"HR",$S$134:$S$522,"Y",$X$134:$X$522,"Penting")</f>
        <v>0</v>
      </c>
      <c r="K20" s="27">
        <f ca="1">COUNTIFS($Q$134:$Q$522,"HR",$S$134:$S$522,"Z",$X$134:$X$522,"Penting")</f>
        <v>1</v>
      </c>
      <c r="L20" s="27">
        <f ca="1">COUNTIFS($Q$134:$Q$522,"HR",$S$134:$S$522,"X",$X$134:$X$522,"Penting")</f>
        <v>0</v>
      </c>
      <c r="M20" s="28">
        <f ca="1">COUNTIFS($Q$134:$Q$522,"HR",$S$134:$S$522,"C",$X$134:$X$522,"Penting")</f>
        <v>0</v>
      </c>
      <c r="N20" s="28">
        <f t="shared" ca="1" si="3"/>
        <v>1</v>
      </c>
      <c r="O20" s="27">
        <f ca="1">COUNTIFS($Q$134:$Q$522,"HR",$S$134:$S$522,"O",$X$134:$X$522,"Biasa")</f>
        <v>6</v>
      </c>
      <c r="P20" s="27">
        <f ca="1">COUNTIFS($Q$134:$Q$522,"HR",$S$134:$S$522,"Y",$X$134:$X$522,"Biasa")</f>
        <v>3</v>
      </c>
      <c r="Q20" s="27">
        <f ca="1">COUNTIFS($Q$134:$Q$522,"HR",$S$134:$S$522,"Z",$X$134:$X$522,"Biasa")</f>
        <v>0</v>
      </c>
      <c r="R20" s="27">
        <f ca="1">COUNTIFS($Q$134:$Q$522,"HR",$S$134:$S$522,"X",$X$134:$X$522,"Biasa")</f>
        <v>0</v>
      </c>
      <c r="S20" s="27">
        <f ca="1">COUNTIFS($Q$134:$Q$522,"HR",$S$134:$S$522,"C",$X$134:$X$522,"Biasa")</f>
        <v>0</v>
      </c>
      <c r="T20" s="27">
        <f t="shared" ca="1" si="4"/>
        <v>9</v>
      </c>
      <c r="U20" s="27">
        <f t="shared" ca="1" si="1"/>
        <v>6</v>
      </c>
      <c r="V20" s="27">
        <f t="shared" ca="1" si="1"/>
        <v>3</v>
      </c>
      <c r="W20" s="29">
        <f t="shared" ca="1" si="1"/>
        <v>1</v>
      </c>
      <c r="X20" s="27">
        <f t="shared" ca="1" si="1"/>
        <v>0</v>
      </c>
      <c r="Y20" s="29">
        <f t="shared" ca="1" si="1"/>
        <v>0</v>
      </c>
      <c r="Z20" s="30"/>
      <c r="AA20" s="31"/>
      <c r="AB20" s="31"/>
      <c r="AC20" s="31"/>
      <c r="AF20" s="2"/>
      <c r="AG20" s="2"/>
      <c r="AP20" s="32">
        <v>44440</v>
      </c>
      <c r="AQ20" s="27">
        <v>207</v>
      </c>
      <c r="AR20" s="27">
        <v>5</v>
      </c>
      <c r="AS20" s="26">
        <f t="shared" si="2"/>
        <v>212</v>
      </c>
      <c r="CB20" s="34" t="s">
        <v>36</v>
      </c>
      <c r="CC20" s="35">
        <f ca="1">COUNTIFS($Q$134:$Q$522,"QA",$S$134:$S$522,"Y",$X$134:$X$522,"Penting")</f>
        <v>1</v>
      </c>
      <c r="CD20" s="35">
        <f t="shared" ref="CD20:CD29" ca="1" si="11">CC20+CD19</f>
        <v>7</v>
      </c>
      <c r="CE20" s="36">
        <f t="shared" ref="CE20:CE29" ca="1" si="12">CD20/$CD$29</f>
        <v>0.11290322580645161</v>
      </c>
      <c r="CF20" s="37"/>
      <c r="CG20" s="34" t="s">
        <v>34</v>
      </c>
      <c r="CH20" s="38">
        <f>COUNTIFS($AI$134:$AI$522,"V",$X$134:$X$522,"Penting",$S$134:$S$522,"Y")</f>
        <v>0</v>
      </c>
      <c r="CI20" s="35">
        <f t="shared" si="5"/>
        <v>0</v>
      </c>
      <c r="CJ20" s="36" t="e">
        <f t="shared" si="6"/>
        <v>#DIV/0!</v>
      </c>
      <c r="CL20" s="34" t="s">
        <v>37</v>
      </c>
      <c r="CM20" s="35">
        <f ca="1">COUNTIFS($Q$134:$Q$522,"LD",$S$134:$S$522,"X",$X$134:$X$522,"Penting")</f>
        <v>0</v>
      </c>
      <c r="CN20" s="35">
        <f t="shared" ca="1" si="7"/>
        <v>4</v>
      </c>
      <c r="CO20" s="36">
        <f t="shared" ca="1" si="8"/>
        <v>1</v>
      </c>
      <c r="CQ20" s="34" t="s">
        <v>38</v>
      </c>
      <c r="CR20" s="38">
        <f>COUNTIFS($AK$134:$AK$522,"V",$X$134:$X$522,"Penting",$S$134:$S$522,"X")</f>
        <v>0</v>
      </c>
      <c r="CS20" s="35">
        <f t="shared" si="9"/>
        <v>4</v>
      </c>
      <c r="CT20" s="36">
        <f t="shared" si="10"/>
        <v>1</v>
      </c>
    </row>
    <row r="21" spans="3:98" ht="25.5" customHeight="1" x14ac:dyDescent="0.25">
      <c r="C21" s="26">
        <v>4</v>
      </c>
      <c r="D21" s="178"/>
      <c r="E21" s="26" t="s">
        <v>39</v>
      </c>
      <c r="F21" s="27">
        <f>COUNTIFS($Q$134:$Q$522,"IT",$X$134:$X$522,"Penting")</f>
        <v>6</v>
      </c>
      <c r="G21" s="27">
        <f>COUNTIFS($Q$134:$Q$522,"IT",$X$134:$X$522,"Biasa")</f>
        <v>1</v>
      </c>
      <c r="H21" s="27">
        <f t="shared" si="0"/>
        <v>7</v>
      </c>
      <c r="I21" s="27">
        <f ca="1">COUNTIFS($Q$134:$Q$522,"IT",$S$134:$S$522,"O",$X$134:$X$522,"Penting")</f>
        <v>1</v>
      </c>
      <c r="J21" s="27">
        <f ca="1">COUNTIFS($Q$134:$Q$522,"IT",$S$134:$S$522,"Y",$X$134:$X$522,"Penting")</f>
        <v>5</v>
      </c>
      <c r="K21" s="27">
        <f ca="1">COUNTIFS($Q$134:$Q$522,"IT",$S$134:$S$522,"Z",$X$134:$X$522,"Penting")</f>
        <v>0</v>
      </c>
      <c r="L21" s="27">
        <f ca="1">COUNTIFS($Q$134:$Q$522,"IT",$S$134:$S$522,"X",$X$134:$X$522,"Penting")</f>
        <v>0</v>
      </c>
      <c r="M21" s="28">
        <f ca="1">COUNTIFS($Q$134:$Q$522,"IT",$S$134:$S$522,"C",$X$134:$X$522,"Penting")</f>
        <v>0</v>
      </c>
      <c r="N21" s="28">
        <f t="shared" ca="1" si="3"/>
        <v>6</v>
      </c>
      <c r="O21" s="27">
        <f ca="1">COUNTIFS($Q$134:$Q$522,"IT",$S$134:$S$522,"O",$X$134:$X$522,"Biasa")</f>
        <v>1</v>
      </c>
      <c r="P21" s="27">
        <f ca="1">COUNTIFS($Q$134:$Q$522,"IT",$S$134:$S$522,"Y",$X$134:$X$522,"Biasa")</f>
        <v>0</v>
      </c>
      <c r="Q21" s="27">
        <f ca="1">COUNTIFS($Q$134:$Q$522,"IT",$S$134:$S$522,"Z",$X$134:$X$522,"Biasa")</f>
        <v>0</v>
      </c>
      <c r="R21" s="27">
        <f ca="1">COUNTIFS($Q$134:$Q$522,"IT",$S$134:$S$522,"X",$X$134:$X$522,"Biasa")</f>
        <v>0</v>
      </c>
      <c r="S21" s="27">
        <f ca="1">COUNTIFS($Q$134:$Q$522,"IT",$S$134:$S$522,"C",$X$134:$X$522,"Biasa")</f>
        <v>0</v>
      </c>
      <c r="T21" s="27">
        <f t="shared" ca="1" si="4"/>
        <v>1</v>
      </c>
      <c r="U21" s="27">
        <f t="shared" ca="1" si="1"/>
        <v>2</v>
      </c>
      <c r="V21" s="27">
        <f t="shared" ca="1" si="1"/>
        <v>5</v>
      </c>
      <c r="W21" s="29">
        <f t="shared" ca="1" si="1"/>
        <v>0</v>
      </c>
      <c r="X21" s="27">
        <f t="shared" ca="1" si="1"/>
        <v>0</v>
      </c>
      <c r="Y21" s="29">
        <f t="shared" ca="1" si="1"/>
        <v>0</v>
      </c>
      <c r="Z21" s="30"/>
      <c r="AA21" s="31"/>
      <c r="AB21" s="31"/>
      <c r="AC21" s="31"/>
      <c r="AF21" s="2"/>
      <c r="AG21" s="2"/>
      <c r="AP21" s="32">
        <v>44470</v>
      </c>
      <c r="AQ21" s="27">
        <v>209</v>
      </c>
      <c r="AR21" s="27">
        <v>4</v>
      </c>
      <c r="AS21" s="26">
        <f t="shared" si="2"/>
        <v>213</v>
      </c>
      <c r="CB21" s="34" t="s">
        <v>30</v>
      </c>
      <c r="CC21" s="35">
        <f ca="1">COUNTIFS($Q$134:$Q$522,"SHE",$S$134:$S$522,"Y",$X$134:$X$522,"Penting")</f>
        <v>2</v>
      </c>
      <c r="CD21" s="35">
        <f t="shared" ca="1" si="11"/>
        <v>9</v>
      </c>
      <c r="CE21" s="36">
        <f t="shared" ca="1" si="12"/>
        <v>0.14516129032258066</v>
      </c>
      <c r="CF21" s="37"/>
      <c r="CG21" s="34" t="s">
        <v>38</v>
      </c>
      <c r="CH21" s="38">
        <f>COUNTIFS($AK$134:$AK$522,"V",$X$134:$X$522,"Penting",$S$134:$S$522,"Y")</f>
        <v>0</v>
      </c>
      <c r="CI21" s="35">
        <f t="shared" si="5"/>
        <v>0</v>
      </c>
      <c r="CJ21" s="36" t="e">
        <f t="shared" si="6"/>
        <v>#DIV/0!</v>
      </c>
      <c r="CL21" s="34" t="s">
        <v>40</v>
      </c>
      <c r="CM21" s="35">
        <f ca="1">COUNTIFS($Q$134:$Q$522,"PPC",$S$134:$S$522,"X",$X$134:$X$522,"Penting")</f>
        <v>0</v>
      </c>
      <c r="CN21" s="35">
        <f t="shared" ca="1" si="7"/>
        <v>4</v>
      </c>
      <c r="CO21" s="36">
        <f t="shared" ca="1" si="8"/>
        <v>1</v>
      </c>
      <c r="CQ21" s="34" t="s">
        <v>32</v>
      </c>
      <c r="CR21" s="38">
        <f>COUNTIFS($AL$134:$AL$522,"V",$X$134:$X$522,"Penting",$S$134:$S$522,"X")</f>
        <v>0</v>
      </c>
      <c r="CS21" s="35">
        <f t="shared" si="9"/>
        <v>4</v>
      </c>
      <c r="CT21" s="36">
        <f t="shared" si="10"/>
        <v>1</v>
      </c>
    </row>
    <row r="22" spans="3:98" ht="25.5" customHeight="1" x14ac:dyDescent="0.25">
      <c r="C22" s="26">
        <v>5</v>
      </c>
      <c r="D22" s="176" t="s">
        <v>41</v>
      </c>
      <c r="E22" s="26" t="s">
        <v>31</v>
      </c>
      <c r="F22" s="27">
        <f>COUNTIFS($Q$134:$Q$522,"EXIM",$X$134:$X$522,"Penting")</f>
        <v>15</v>
      </c>
      <c r="G22" s="27">
        <f>COUNTIFS($Q$134:$Q$522,"EXIM",$X$134:$X$522,"Biasa")</f>
        <v>0</v>
      </c>
      <c r="H22" s="27">
        <f t="shared" si="0"/>
        <v>15</v>
      </c>
      <c r="I22" s="27">
        <f ca="1">COUNTIFS($Q$134:$Q$522,"EXIM",$S$134:$S$522,"O",$X$134:$X$522,"Penting")</f>
        <v>7</v>
      </c>
      <c r="J22" s="27">
        <f ca="1">COUNTIFS($Q$134:$Q$522,"EXIM",$S$134:$S$522,"Y",$X$134:$X$522,"Penting")</f>
        <v>6</v>
      </c>
      <c r="K22" s="27">
        <f ca="1">COUNTIFS($Q$134:$Q$522,"EXIM",$S$134:$S$522,"Z",$X$134:$X$522,"Penting")</f>
        <v>1</v>
      </c>
      <c r="L22" s="27">
        <f ca="1">COUNTIFS($Q$134:$Q$522,"EXIM",$S$134:$S$522,"X",$X$134:$X$522,"Penting")</f>
        <v>0</v>
      </c>
      <c r="M22" s="28">
        <f ca="1">COUNTIFS($Q$134:$Q$522,"EXIM",$S$134:$S$522,"C",$X$134:$X$522,"Penting")</f>
        <v>1</v>
      </c>
      <c r="N22" s="28">
        <f t="shared" ca="1" si="3"/>
        <v>15</v>
      </c>
      <c r="O22" s="27">
        <f ca="1">COUNTIFS($Q$134:$Q$522,"EXIM",$S$134:$S$522,"O",$X$134:$X$522,"Biasa")</f>
        <v>0</v>
      </c>
      <c r="P22" s="27">
        <f ca="1">COUNTIFS($Q$134:$Q$522,"EXIM",$S$134:$S$522,"Y",$X$134:$X$522,"Biasa")</f>
        <v>0</v>
      </c>
      <c r="Q22" s="27">
        <f ca="1">COUNTIFS($Q$134:$Q$522,"EXIM",$S$134:$S$522,"Z",$X$134:$X$522,"Biasa")</f>
        <v>0</v>
      </c>
      <c r="R22" s="27">
        <f ca="1">COUNTIFS($Q$134:$Q$522,"EXIM",$S$134:$S$522,"X",$X$134:$X$522,"Biasa")</f>
        <v>0</v>
      </c>
      <c r="S22" s="27">
        <f ca="1">COUNTIFS($Q$134:$Q$522,"EXIM",$S$134:$S$522,"C",$X$134:$X$522,"Biasa")</f>
        <v>0</v>
      </c>
      <c r="T22" s="27">
        <f t="shared" ca="1" si="4"/>
        <v>0</v>
      </c>
      <c r="U22" s="27">
        <f t="shared" ca="1" si="1"/>
        <v>7</v>
      </c>
      <c r="V22" s="27">
        <f t="shared" ca="1" si="1"/>
        <v>6</v>
      </c>
      <c r="W22" s="29">
        <f t="shared" ca="1" si="1"/>
        <v>1</v>
      </c>
      <c r="X22" s="27">
        <f t="shared" ca="1" si="1"/>
        <v>0</v>
      </c>
      <c r="Y22" s="29">
        <f t="shared" ca="1" si="1"/>
        <v>1</v>
      </c>
      <c r="Z22" s="30"/>
      <c r="AA22" s="31"/>
      <c r="AB22" s="31"/>
      <c r="AC22" s="31"/>
      <c r="AF22" s="2"/>
      <c r="AG22" s="2"/>
      <c r="AP22" s="32">
        <v>44501</v>
      </c>
      <c r="AQ22" s="27">
        <v>215</v>
      </c>
      <c r="AR22" s="27">
        <v>4</v>
      </c>
      <c r="AS22" s="26">
        <f t="shared" si="2"/>
        <v>219</v>
      </c>
      <c r="CB22" s="34" t="s">
        <v>29</v>
      </c>
      <c r="CC22" s="35">
        <f ca="1">COUNTIFS($Q$134:$Q$522,"GA",$S$134:$S$522,"Y",$X$134:$X$522,"Penting")</f>
        <v>13</v>
      </c>
      <c r="CD22" s="35">
        <f t="shared" ca="1" si="11"/>
        <v>22</v>
      </c>
      <c r="CE22" s="36">
        <f t="shared" ca="1" si="12"/>
        <v>0.35483870967741937</v>
      </c>
      <c r="CF22" s="37"/>
      <c r="CG22" s="34" t="s">
        <v>42</v>
      </c>
      <c r="CH22" s="38">
        <f>COUNTIFS($AJ$134:$AJ$522,"V",$X$134:$X$522,"Penting",$S$134:$S$522,"Y")</f>
        <v>0</v>
      </c>
      <c r="CI22" s="35">
        <f t="shared" si="5"/>
        <v>0</v>
      </c>
      <c r="CJ22" s="36" t="e">
        <f t="shared" si="6"/>
        <v>#DIV/0!</v>
      </c>
      <c r="CL22" s="34" t="s">
        <v>43</v>
      </c>
      <c r="CM22" s="35">
        <f ca="1">COUNTIFS($Q$134:$Q$522,"MTP",$S$134:$S$522,"X",$X$134:$X$522,"Penting")</f>
        <v>0</v>
      </c>
      <c r="CN22" s="35">
        <f t="shared" ca="1" si="7"/>
        <v>4</v>
      </c>
      <c r="CO22" s="36">
        <f t="shared" ca="1" si="8"/>
        <v>1</v>
      </c>
      <c r="CQ22" s="34" t="s">
        <v>42</v>
      </c>
      <c r="CR22" s="38">
        <f>COUNTIFS($AJ$134:$AJ$522,"V",$X$134:$X$522,"Penting",$S$134:$S$522,"X")</f>
        <v>0</v>
      </c>
      <c r="CS22" s="35">
        <f t="shared" si="9"/>
        <v>4</v>
      </c>
      <c r="CT22" s="36">
        <f t="shared" si="10"/>
        <v>1</v>
      </c>
    </row>
    <row r="23" spans="3:98" ht="25.5" customHeight="1" x14ac:dyDescent="0.25">
      <c r="C23" s="26">
        <v>6</v>
      </c>
      <c r="D23" s="177"/>
      <c r="E23" s="26" t="s">
        <v>40</v>
      </c>
      <c r="F23" s="27">
        <f>COUNTIFS($Q$134:$Q$522,"PPC",$X$134:$X$522,"Penting")</f>
        <v>9</v>
      </c>
      <c r="G23" s="27">
        <f>COUNTIFS($Q$134:$Q$522,"PPC",$X$134:$X$522,"Biasa")</f>
        <v>3</v>
      </c>
      <c r="H23" s="27">
        <f t="shared" si="0"/>
        <v>12</v>
      </c>
      <c r="I23" s="27">
        <f ca="1">COUNTIFS($Q$134:$Q$522,"PPC",$S$134:$S$522,"O",$X$134:$X$522,"Penting")</f>
        <v>4</v>
      </c>
      <c r="J23" s="27">
        <f ca="1">COUNTIFS($Q$134:$Q$522,"PPC",$S$134:$S$522,"Y",$X$134:$X$522,"Penting")</f>
        <v>4</v>
      </c>
      <c r="K23" s="27">
        <f ca="1">COUNTIFS($Q$134:$Q$522,"PPC",$S$134:$S$522,"Z",$X$134:$X$522,"Penting")</f>
        <v>1</v>
      </c>
      <c r="L23" s="27">
        <f ca="1">COUNTIFS($Q$134:$Q$522,"PPC",$S$134:$S$522,"X",$X$134:$X$522,"Penting")</f>
        <v>0</v>
      </c>
      <c r="M23" s="28">
        <f ca="1">COUNTIFS($Q$134:$Q$522,"PPC",$S$134:$S$522,"C",$X$134:$X$522,"Penting")</f>
        <v>0</v>
      </c>
      <c r="N23" s="28">
        <f t="shared" ca="1" si="3"/>
        <v>9</v>
      </c>
      <c r="O23" s="27">
        <f ca="1">COUNTIFS($Q$134:$Q$522,"PPC",$S$134:$S$522,"O",$X$134:$X$522,"Biasa")</f>
        <v>0</v>
      </c>
      <c r="P23" s="27">
        <f ca="1">COUNTIFS($Q$134:$Q$522,"PPC",$S$134:$S$522,"Y",$X$134:$X$522,"Biasa")</f>
        <v>0</v>
      </c>
      <c r="Q23" s="27">
        <f ca="1">COUNTIFS($Q$134:$Q$522,"PPC",$S$134:$S$522,"Z",$X$134:$X$522,"Biasa")</f>
        <v>3</v>
      </c>
      <c r="R23" s="27">
        <f ca="1">COUNTIFS($Q$134:$Q$522,"PPC",$S$134:$S$522,"X",$X$134:$X$522,"Biasa")</f>
        <v>0</v>
      </c>
      <c r="S23" s="27">
        <f ca="1">COUNTIFS($Q$134:$Q$522,"PPC",$S$134:$S$522,"C",$X$134:$X$522,"Biasa")</f>
        <v>0</v>
      </c>
      <c r="T23" s="27">
        <f t="shared" ca="1" si="4"/>
        <v>3</v>
      </c>
      <c r="U23" s="27">
        <f t="shared" ca="1" si="1"/>
        <v>4</v>
      </c>
      <c r="V23" s="27">
        <f t="shared" ca="1" si="1"/>
        <v>4</v>
      </c>
      <c r="W23" s="29">
        <f t="shared" ca="1" si="1"/>
        <v>4</v>
      </c>
      <c r="X23" s="27">
        <f t="shared" ca="1" si="1"/>
        <v>0</v>
      </c>
      <c r="Y23" s="29">
        <f t="shared" ca="1" si="1"/>
        <v>0</v>
      </c>
      <c r="Z23" s="30"/>
      <c r="AA23" s="31"/>
      <c r="AB23" s="31"/>
      <c r="AC23" s="31"/>
      <c r="AF23" s="2"/>
      <c r="AG23" s="2"/>
      <c r="AP23" s="32">
        <v>44531</v>
      </c>
      <c r="AQ23" s="27">
        <v>216</v>
      </c>
      <c r="AR23" s="27">
        <v>4</v>
      </c>
      <c r="AS23" s="26">
        <f t="shared" si="2"/>
        <v>220</v>
      </c>
      <c r="CB23" s="34" t="s">
        <v>40</v>
      </c>
      <c r="CC23" s="35">
        <f ca="1">COUNTIFS($Q$134:$Q$522,"PPC",$S$134:$S$522,"Y",$X$134:$X$522,"Penting")</f>
        <v>4</v>
      </c>
      <c r="CD23" s="35">
        <f t="shared" ca="1" si="11"/>
        <v>26</v>
      </c>
      <c r="CE23" s="36">
        <f t="shared" ca="1" si="12"/>
        <v>0.41935483870967744</v>
      </c>
      <c r="CF23" s="37"/>
      <c r="CG23" s="34" t="s">
        <v>44</v>
      </c>
      <c r="CH23" s="27">
        <f>COUNTIFS($AM$134:$AM$522,"V",$X$134:$X$522,"Penting",$S$134:$S$522,"Y")</f>
        <v>0</v>
      </c>
      <c r="CI23" s="35">
        <f t="shared" si="5"/>
        <v>0</v>
      </c>
      <c r="CJ23" s="36" t="e">
        <f t="shared" si="6"/>
        <v>#DIV/0!</v>
      </c>
      <c r="CL23" s="34" t="s">
        <v>31</v>
      </c>
      <c r="CM23" s="35">
        <f ca="1">COUNTIFS($Q$134:$Q$522,"EXIM",$S$134:$S$522,"X",$X$134:$X$522,"Penting")</f>
        <v>0</v>
      </c>
      <c r="CN23" s="35">
        <f t="shared" ca="1" si="7"/>
        <v>4</v>
      </c>
      <c r="CO23" s="36">
        <f t="shared" ca="1" si="8"/>
        <v>1</v>
      </c>
      <c r="CQ23" s="34" t="s">
        <v>44</v>
      </c>
      <c r="CR23" s="27">
        <f>COUNTIFS($AM$134:$AM$522,"V",$X$134:$X$522,"Penting",$S$134:$S$522,"X")</f>
        <v>0</v>
      </c>
      <c r="CS23" s="35">
        <f t="shared" si="9"/>
        <v>4</v>
      </c>
      <c r="CT23" s="36">
        <f t="shared" si="10"/>
        <v>1</v>
      </c>
    </row>
    <row r="24" spans="3:98" ht="25.5" customHeight="1" x14ac:dyDescent="0.25">
      <c r="C24" s="26">
        <v>7</v>
      </c>
      <c r="D24" s="177"/>
      <c r="E24" s="26" t="s">
        <v>37</v>
      </c>
      <c r="F24" s="27">
        <f>COUNTIFS($Q$134:$Q$522,"LD",$X$134:$X$522,"Penting")</f>
        <v>14</v>
      </c>
      <c r="G24" s="27">
        <f>COUNTIFS($Q$134:$Q$522,"LD",$X$134:$X$522,"Biasa")</f>
        <v>8</v>
      </c>
      <c r="H24" s="27">
        <f t="shared" si="0"/>
        <v>22</v>
      </c>
      <c r="I24" s="27">
        <f ca="1">COUNTIFS($Q$134:$Q$522,"LD",$S$134:$S$522,"O",$X$134:$X$522,"Penting")</f>
        <v>0</v>
      </c>
      <c r="J24" s="27">
        <f ca="1">COUNTIFS($Q$134:$Q$522,"LD",$S$134:$S$522,"Y",$X$134:$X$522,"Penting")</f>
        <v>13</v>
      </c>
      <c r="K24" s="27">
        <f ca="1">COUNTIFS($Q$134:$Q$522,"LD",$S$134:$S$522,"Z",$X$134:$X$522,"Penting")</f>
        <v>0</v>
      </c>
      <c r="L24" s="27">
        <f ca="1">COUNTIFS($Q$134:$Q$522,"LD",$S$134:$S$522,"X",$X$134:$X$522,"Penting")</f>
        <v>0</v>
      </c>
      <c r="M24" s="28">
        <f ca="1">COUNTIFS($Q$134:$Q$522,"LD",$S$134:$S$522,"C",$X$134:$X$522,"Penting")</f>
        <v>1</v>
      </c>
      <c r="N24" s="28">
        <f t="shared" ca="1" si="3"/>
        <v>14</v>
      </c>
      <c r="O24" s="27">
        <f ca="1">COUNTIFS($Q$134:$Q$522,"LD",$S$134:$S$522,"O",$X$134:$X$522,"Biasa")</f>
        <v>2</v>
      </c>
      <c r="P24" s="27">
        <f ca="1">COUNTIFS($Q$134:$Q$522,"LD",$S$134:$S$522,"Y",$X$134:$X$522,"Biasa")</f>
        <v>3</v>
      </c>
      <c r="Q24" s="27">
        <f ca="1">COUNTIFS($Q$134:$Q$522,"LD",$S$134:$S$522,"Z",$X$134:$X$522,"Biasa")</f>
        <v>2</v>
      </c>
      <c r="R24" s="27">
        <f ca="1">COUNTIFS($Q$134:$Q$522,"LD",$S$134:$S$522,"X",$X$134:$X$522,"Biasa")</f>
        <v>0</v>
      </c>
      <c r="S24" s="27">
        <f ca="1">COUNTIFS($Q$134:$Q$522,"LD",$S$134:$S$522,"C",$X$134:$X$522,"Biasa")</f>
        <v>1</v>
      </c>
      <c r="T24" s="27">
        <f t="shared" ca="1" si="4"/>
        <v>8</v>
      </c>
      <c r="U24" s="27">
        <f t="shared" ca="1" si="1"/>
        <v>2</v>
      </c>
      <c r="V24" s="27">
        <f t="shared" ca="1" si="1"/>
        <v>16</v>
      </c>
      <c r="W24" s="29">
        <f t="shared" ca="1" si="1"/>
        <v>2</v>
      </c>
      <c r="X24" s="27">
        <f t="shared" ca="1" si="1"/>
        <v>0</v>
      </c>
      <c r="Y24" s="29">
        <f t="shared" ca="1" si="1"/>
        <v>2</v>
      </c>
      <c r="Z24" s="30"/>
      <c r="AA24" s="31"/>
      <c r="AB24" s="31"/>
      <c r="AC24" s="31"/>
      <c r="AF24" s="2"/>
      <c r="AG24" s="2"/>
      <c r="AP24" s="32">
        <v>44562</v>
      </c>
      <c r="AQ24" s="27">
        <v>221</v>
      </c>
      <c r="AR24" s="27">
        <v>4</v>
      </c>
      <c r="AS24" s="26">
        <f t="shared" si="2"/>
        <v>225</v>
      </c>
      <c r="CB24" s="34" t="s">
        <v>43</v>
      </c>
      <c r="CC24" s="35">
        <f ca="1">COUNTIFS($Q$134:$Q$522,"MTP",$S$134:$S$522,"Y",$X$134:$X$522,"Penting")</f>
        <v>9</v>
      </c>
      <c r="CD24" s="35">
        <f t="shared" ca="1" si="11"/>
        <v>35</v>
      </c>
      <c r="CE24" s="36">
        <f t="shared" ca="1" si="12"/>
        <v>0.56451612903225812</v>
      </c>
      <c r="CF24" s="37"/>
      <c r="CG24" s="34" t="s">
        <v>45</v>
      </c>
      <c r="CH24" s="38">
        <f>COUNTIFS($AH$134:$AH$522,"V",$X$134:$X$522,"Penting",$S$134:$S$522,"Y")</f>
        <v>0</v>
      </c>
      <c r="CI24" s="35">
        <f t="shared" si="5"/>
        <v>0</v>
      </c>
      <c r="CJ24" s="36" t="e">
        <f t="shared" si="6"/>
        <v>#DIV/0!</v>
      </c>
      <c r="CL24" s="34" t="s">
        <v>30</v>
      </c>
      <c r="CM24" s="35">
        <f ca="1">COUNTIFS($Q$134:$Q$522,"SHE",$S$134:$S$522,"X",$X$134:$X$522,"Penting")</f>
        <v>0</v>
      </c>
      <c r="CN24" s="35">
        <f t="shared" ca="1" si="7"/>
        <v>4</v>
      </c>
      <c r="CO24" s="36">
        <f t="shared" ca="1" si="8"/>
        <v>1</v>
      </c>
      <c r="CQ24" s="34" t="s">
        <v>45</v>
      </c>
      <c r="CR24" s="38">
        <f>COUNTIFS($AH$134:$AH$522,"V",$X$134:$X$522,"Penting",$S$134:$S$522,"X")</f>
        <v>0</v>
      </c>
      <c r="CS24" s="35">
        <f t="shared" si="9"/>
        <v>4</v>
      </c>
      <c r="CT24" s="36">
        <f t="shared" si="10"/>
        <v>1</v>
      </c>
    </row>
    <row r="25" spans="3:98" ht="25.5" customHeight="1" x14ac:dyDescent="0.25">
      <c r="C25" s="26">
        <v>8</v>
      </c>
      <c r="D25" s="177"/>
      <c r="E25" s="26" t="s">
        <v>33</v>
      </c>
      <c r="F25" s="27">
        <f>COUNTIFS($Q$134:$Q$522,"MPC",$X$134:$X$522,"Penting")</f>
        <v>30</v>
      </c>
      <c r="G25" s="27">
        <f>COUNTIFS($Q$134:$Q$522,"MPC",$X$134:$X$522,"Biasa")</f>
        <v>0</v>
      </c>
      <c r="H25" s="27">
        <f t="shared" si="0"/>
        <v>30</v>
      </c>
      <c r="I25" s="27">
        <f ca="1">COUNTIFS($Q$134:$Q$522,"MPC",$S$134:$S$522,"O",$X$134:$X$522,"Penting")</f>
        <v>9</v>
      </c>
      <c r="J25" s="27">
        <f ca="1">COUNTIFS($Q$134:$Q$522,"MPC",$S$134:$S$522,"Y",$X$134:$X$522,"Penting")</f>
        <v>6</v>
      </c>
      <c r="K25" s="27">
        <f ca="1">COUNTIFS($Q$134:$Q$522,"MPC",$S$134:$S$522,"Z",$X$134:$X$522,"Penting")</f>
        <v>8</v>
      </c>
      <c r="L25" s="27">
        <f ca="1">COUNTIFS($Q$134:$Q$522,"MPC",$S$134:$S$522,"X",$X$134:$X$522,"Penting")</f>
        <v>4</v>
      </c>
      <c r="M25" s="28">
        <f ca="1">COUNTIFS($Q$134:$Q$522,"MPC",$S$134:$S$522,"C",$X$134:$X$522,"Penting")</f>
        <v>3</v>
      </c>
      <c r="N25" s="28">
        <f t="shared" ca="1" si="3"/>
        <v>30</v>
      </c>
      <c r="O25" s="27">
        <f ca="1">COUNTIFS($Q$134:$Q$522,"MPC",$S$134:$S$522,"O",$X$134:$X$522,"Biasa")</f>
        <v>0</v>
      </c>
      <c r="P25" s="27">
        <f ca="1">COUNTIFS($Q$134:$Q$522,"MPC",$S$134:$S$522,"Y",$X$134:$X$522,"Biasa")</f>
        <v>0</v>
      </c>
      <c r="Q25" s="27">
        <f ca="1">COUNTIFS($Q$134:$Q$522,"MPC",$S$134:$S$522,"Z",$X$134:$X$522,"Biasa")</f>
        <v>0</v>
      </c>
      <c r="R25" s="27">
        <f ca="1">COUNTIFS($Q$134:$Q$522,"MPC",$S$134:$S$522,"X",$X$134:$X$522,"Biasa")</f>
        <v>0</v>
      </c>
      <c r="S25" s="27">
        <f ca="1">COUNTIFS($Q$134:$Q$522,"MPC",$S$134:$S$522,"C",$X$134:$X$522,"Biasa")</f>
        <v>0</v>
      </c>
      <c r="T25" s="27">
        <f t="shared" ca="1" si="4"/>
        <v>0</v>
      </c>
      <c r="U25" s="27">
        <f t="shared" ca="1" si="1"/>
        <v>9</v>
      </c>
      <c r="V25" s="27">
        <f t="shared" ca="1" si="1"/>
        <v>6</v>
      </c>
      <c r="W25" s="29">
        <f t="shared" ca="1" si="1"/>
        <v>8</v>
      </c>
      <c r="X25" s="27">
        <f t="shared" ca="1" si="1"/>
        <v>4</v>
      </c>
      <c r="Y25" s="29">
        <f t="shared" ca="1" si="1"/>
        <v>3</v>
      </c>
      <c r="Z25" s="30"/>
      <c r="AA25" s="31"/>
      <c r="AB25" s="31"/>
      <c r="AC25" s="31"/>
      <c r="AF25" s="2"/>
      <c r="AG25" s="2"/>
      <c r="AP25" s="32">
        <v>44593</v>
      </c>
      <c r="AQ25" s="27">
        <v>223</v>
      </c>
      <c r="AR25" s="27">
        <v>4</v>
      </c>
      <c r="AS25" s="26">
        <f t="shared" si="2"/>
        <v>227</v>
      </c>
      <c r="CB25" s="34" t="s">
        <v>37</v>
      </c>
      <c r="CC25" s="35">
        <f ca="1">COUNTIFS($Q$134:$Q$522,"LD",$S$134:$S$522,"Y",$X$134:$X$522,"Penting")</f>
        <v>13</v>
      </c>
      <c r="CD25" s="35">
        <f t="shared" ca="1" si="11"/>
        <v>48</v>
      </c>
      <c r="CE25" s="36">
        <f t="shared" ca="1" si="12"/>
        <v>0.77419354838709675</v>
      </c>
      <c r="CF25" s="37"/>
      <c r="CG25" s="4"/>
      <c r="CH25" s="39"/>
      <c r="CI25" s="39"/>
      <c r="CJ25" s="40"/>
      <c r="CL25" s="34" t="s">
        <v>36</v>
      </c>
      <c r="CM25" s="35">
        <f ca="1">COUNTIFS($Q$134:$Q$522,"QA",$S$134:$S$522,"X",$X$134:$X$522,"Penting")</f>
        <v>0</v>
      </c>
      <c r="CN25" s="35">
        <f t="shared" ca="1" si="7"/>
        <v>4</v>
      </c>
      <c r="CO25" s="36">
        <f t="shared" ca="1" si="8"/>
        <v>1</v>
      </c>
    </row>
    <row r="26" spans="3:98" ht="25.5" customHeight="1" x14ac:dyDescent="0.25">
      <c r="C26" s="26">
        <v>9</v>
      </c>
      <c r="D26" s="178"/>
      <c r="E26" s="26" t="s">
        <v>46</v>
      </c>
      <c r="F26" s="27">
        <f>COUNTIFS($Q$134:$Q$522,"WHS",$X$134:$X$522,"Penting")</f>
        <v>2</v>
      </c>
      <c r="G26" s="27">
        <f>COUNTIFS($Q$134:$Q$522,"WHS",$X$134:$X$522,"Biasa")</f>
        <v>0</v>
      </c>
      <c r="H26" s="27">
        <f t="shared" si="0"/>
        <v>2</v>
      </c>
      <c r="I26" s="27">
        <f ca="1">COUNTIFS($Q$134:$Q$522,"WHS",$S$134:$S$522,"O",$X$134:$X$522,"Penting")</f>
        <v>2</v>
      </c>
      <c r="J26" s="27">
        <f ca="1">COUNTIFS($Q$134:$Q$522,"WHS",$S$134:$S$522,"Y",$X$134:$X$522,"Penting")</f>
        <v>0</v>
      </c>
      <c r="K26" s="27">
        <f ca="1">COUNTIFS($Q$134:$Q$522,"WHS",$S$134:$S$522,"Z",$X$134:$X$522,"Penting")</f>
        <v>0</v>
      </c>
      <c r="L26" s="27">
        <f ca="1">COUNTIFS($Q$134:$Q$522,"WHS",$S$134:$S$522,"X",$X$134:$X$522,"Penting")</f>
        <v>0</v>
      </c>
      <c r="M26" s="28">
        <f ca="1">COUNTIFS($Q$134:$Q$522,"WHS",$S$134:$S$522,"C",$X$134:$X$522,"Penting")</f>
        <v>0</v>
      </c>
      <c r="N26" s="28">
        <f t="shared" ca="1" si="3"/>
        <v>2</v>
      </c>
      <c r="O26" s="27">
        <f ca="1">COUNTIFS($Q$134:$Q$522,"WHS",$S$134:$S$522,"O",$X$134:$X$522,"Biasa")</f>
        <v>0</v>
      </c>
      <c r="P26" s="27">
        <f ca="1">COUNTIFS($Q$134:$Q$522,"WHS",$S$134:$S$522,"Y",$X$134:$X$522,"Biasa")</f>
        <v>0</v>
      </c>
      <c r="Q26" s="27">
        <f ca="1">COUNTIFS($Q$134:$Q$522,"WHS",$S$134:$S$522,"Z",$X$134:$X$522,"Biasa")</f>
        <v>0</v>
      </c>
      <c r="R26" s="27">
        <f ca="1">COUNTIFS($Q$134:$Q$522,"WHS",$S$134:$S$522,"X",$X$134:$X$522,"Biasa")</f>
        <v>0</v>
      </c>
      <c r="S26" s="27">
        <f ca="1">COUNTIFS($Q$134:$Q$522,"WHS",$S$134:$S$522,"C",$X$134:$X$522,"Biasa")</f>
        <v>0</v>
      </c>
      <c r="T26" s="27">
        <f t="shared" ca="1" si="4"/>
        <v>0</v>
      </c>
      <c r="U26" s="27">
        <f t="shared" ca="1" si="1"/>
        <v>2</v>
      </c>
      <c r="V26" s="27">
        <f t="shared" ca="1" si="1"/>
        <v>0</v>
      </c>
      <c r="W26" s="29">
        <f t="shared" ca="1" si="1"/>
        <v>0</v>
      </c>
      <c r="X26" s="27">
        <f t="shared" ca="1" si="1"/>
        <v>0</v>
      </c>
      <c r="Y26" s="29">
        <f t="shared" ca="1" si="1"/>
        <v>0</v>
      </c>
      <c r="Z26" s="30"/>
      <c r="AA26" s="31"/>
      <c r="AB26" s="31"/>
      <c r="AC26" s="31"/>
      <c r="AF26" s="2"/>
      <c r="AG26" s="2"/>
      <c r="AP26" s="32">
        <v>44621</v>
      </c>
      <c r="AQ26" s="27">
        <v>225</v>
      </c>
      <c r="AR26" s="27">
        <v>4</v>
      </c>
      <c r="AS26" s="26">
        <f t="shared" si="2"/>
        <v>229</v>
      </c>
      <c r="CB26" s="34" t="s">
        <v>33</v>
      </c>
      <c r="CC26" s="35">
        <f ca="1">COUNTIFS($Q$134:$Q$522,"MPC",$S$134:$S$522,"Y",$X$134:$X$522,"Penting")</f>
        <v>6</v>
      </c>
      <c r="CD26" s="35">
        <f t="shared" ca="1" si="11"/>
        <v>54</v>
      </c>
      <c r="CE26" s="36">
        <f t="shared" ca="1" si="12"/>
        <v>0.87096774193548387</v>
      </c>
      <c r="CF26" s="37"/>
      <c r="CG26" s="4"/>
      <c r="CH26" s="39"/>
      <c r="CI26" s="39"/>
      <c r="CJ26" s="40"/>
      <c r="CL26" s="34" t="s">
        <v>29</v>
      </c>
      <c r="CM26" s="35">
        <f ca="1">COUNTIFS($Q$134:$Q$522,"GA",$S$134:$S$522,"X",$X$134:$X$522,"Penting")</f>
        <v>0</v>
      </c>
      <c r="CN26" s="35">
        <f t="shared" ca="1" si="7"/>
        <v>4</v>
      </c>
      <c r="CO26" s="36">
        <f t="shared" ca="1" si="8"/>
        <v>1</v>
      </c>
    </row>
    <row r="27" spans="3:98" ht="25.5" customHeight="1" x14ac:dyDescent="0.25">
      <c r="C27" s="26">
        <v>10</v>
      </c>
      <c r="D27" s="26" t="s">
        <v>47</v>
      </c>
      <c r="E27" s="26" t="s">
        <v>43</v>
      </c>
      <c r="F27" s="27">
        <f>COUNTIFS($Q$134:$Q$522,"MTP",$X$134:$X$522,"Penting")</f>
        <v>16</v>
      </c>
      <c r="G27" s="27">
        <f>COUNTIFS($Q$134:$Q$522,"MTP",$X$134:$X$522,"Biasa")</f>
        <v>78</v>
      </c>
      <c r="H27" s="27">
        <f t="shared" si="0"/>
        <v>94</v>
      </c>
      <c r="I27" s="27">
        <f ca="1">COUNTIFS($Q$134:$Q$522,"MTP",$S$134:$S$522,"O",$X$134:$X$522,"Penting")</f>
        <v>5</v>
      </c>
      <c r="J27" s="27">
        <f ca="1">COUNTIFS($Q$134:$Q$522,"MTP",$S$134:$S$522,"Y",$X$134:$X$522,"Penting")</f>
        <v>9</v>
      </c>
      <c r="K27" s="27">
        <f ca="1">COUNTIFS($Q$134:$Q$522,"MTP",$S$134:$S$522,"Z",$X$134:$X$522,"Penting")</f>
        <v>1</v>
      </c>
      <c r="L27" s="27">
        <f ca="1">COUNTIFS($Q$134:$Q$522,"MTP",$S$134:$S$522,"X",$X$134:$X$522,"Penting")</f>
        <v>0</v>
      </c>
      <c r="M27" s="28">
        <f ca="1">COUNTIFS($Q$134:$Q$522,"MTP",$S$134:$S$522,"C",$X$134:$X$522,"Penting")</f>
        <v>1</v>
      </c>
      <c r="N27" s="28">
        <f t="shared" ca="1" si="3"/>
        <v>16</v>
      </c>
      <c r="O27" s="27">
        <f ca="1">COUNTIFS($Q$134:$Q$522,"MTP",$S$134:$S$522,"O",$X$134:$X$522,"Biasa")</f>
        <v>12</v>
      </c>
      <c r="P27" s="27">
        <f ca="1">COUNTIFS($Q$134:$Q$522,"MTP",$S$134:$S$522,"Y",$X$134:$X$522,"Biasa")</f>
        <v>14</v>
      </c>
      <c r="Q27" s="27">
        <f ca="1">COUNTIFS($Q$134:$Q$522,"MTP",$S$134:$S$522,"Z",$X$134:$X$522,"Biasa")</f>
        <v>2</v>
      </c>
      <c r="R27" s="27">
        <f ca="1">COUNTIFS($Q$134:$Q$522,"MTP",$S$134:$S$522,"X",$X$134:$X$522,"Biasa")</f>
        <v>0</v>
      </c>
      <c r="S27" s="27">
        <f ca="1">COUNTIFS($Q$134:$Q$522,"MTP",$S$134:$S$522,"C",$X$134:$X$522,"Biasa")</f>
        <v>50</v>
      </c>
      <c r="T27" s="27">
        <f t="shared" ca="1" si="4"/>
        <v>78</v>
      </c>
      <c r="U27" s="27">
        <f t="shared" ca="1" si="1"/>
        <v>17</v>
      </c>
      <c r="V27" s="27">
        <f t="shared" ca="1" si="1"/>
        <v>23</v>
      </c>
      <c r="W27" s="29">
        <f t="shared" ca="1" si="1"/>
        <v>3</v>
      </c>
      <c r="X27" s="27">
        <f t="shared" ca="1" si="1"/>
        <v>0</v>
      </c>
      <c r="Y27" s="29">
        <f t="shared" ca="1" si="1"/>
        <v>51</v>
      </c>
      <c r="Z27" s="30"/>
      <c r="AA27" s="31"/>
      <c r="AB27" s="31"/>
      <c r="AC27" s="31"/>
      <c r="AF27" s="2"/>
      <c r="AG27" s="2"/>
      <c r="AP27" s="32">
        <v>44652</v>
      </c>
      <c r="AQ27" s="27">
        <v>229</v>
      </c>
      <c r="AR27" s="27">
        <v>4</v>
      </c>
      <c r="AS27" s="26">
        <f t="shared" si="2"/>
        <v>233</v>
      </c>
      <c r="CB27" s="34" t="s">
        <v>39</v>
      </c>
      <c r="CC27" s="35">
        <f ca="1">COUNTIFS($Q$134:$Q$522,"IT",$S$134:$S$522,"Y",$X$134:$X$522,"Penting")</f>
        <v>5</v>
      </c>
      <c r="CD27" s="35">
        <f t="shared" ca="1" si="11"/>
        <v>59</v>
      </c>
      <c r="CE27" s="36">
        <f t="shared" ca="1" si="12"/>
        <v>0.95161290322580649</v>
      </c>
      <c r="CF27" s="37"/>
      <c r="CG27" s="4"/>
      <c r="CH27" s="39"/>
      <c r="CI27" s="39"/>
      <c r="CJ27" s="40"/>
      <c r="CL27" s="34" t="s">
        <v>39</v>
      </c>
      <c r="CM27" s="35">
        <f ca="1">COUNTIFS($Q$134:$Q$522,"IT",$S$134:$S$522,"X",$X$134:$X$522,"Penting")</f>
        <v>0</v>
      </c>
      <c r="CN27" s="35">
        <f t="shared" ca="1" si="7"/>
        <v>4</v>
      </c>
      <c r="CO27" s="36">
        <f t="shared" ca="1" si="8"/>
        <v>1</v>
      </c>
    </row>
    <row r="28" spans="3:98" ht="25.5" customHeight="1" x14ac:dyDescent="0.25">
      <c r="C28" s="26">
        <v>11</v>
      </c>
      <c r="D28" s="26" t="s">
        <v>48</v>
      </c>
      <c r="E28" s="26" t="s">
        <v>48</v>
      </c>
      <c r="F28" s="27">
        <f>COUNTIFS($Q$134:$Q$522,"FA",$X$134:$X$522,"Penting")</f>
        <v>5</v>
      </c>
      <c r="G28" s="27">
        <f>COUNTIFS($Q$134:$Q$522,"FA",$X$134:$X$522,"Biasa")</f>
        <v>15</v>
      </c>
      <c r="H28" s="27">
        <f t="shared" si="0"/>
        <v>20</v>
      </c>
      <c r="I28" s="27">
        <f ca="1">COUNTIFS($Q$134:$Q$522,"FA",$S$134:$S$522,"O",$X$134:$X$522,"Penting")</f>
        <v>2</v>
      </c>
      <c r="J28" s="27">
        <f ca="1">COUNTIFS($Q$134:$Q$522,"FA",$S$134:$S$522,"Y",$X$134:$X$522,"Penting")</f>
        <v>3</v>
      </c>
      <c r="K28" s="27">
        <f ca="1">COUNTIFS($Q$134:$Q$522,"FA",$S$134:$S$522,"Z",$X$134:$X$522,"Penting")</f>
        <v>0</v>
      </c>
      <c r="L28" s="27">
        <f ca="1">COUNTIFS($Q$134:$Q$522,"FA",$S$134:$S$522,"X",$X$134:$X$522,"Penting")</f>
        <v>0</v>
      </c>
      <c r="M28" s="28">
        <f ca="1">COUNTIFS($Q$134:$Q$522,"FA",$S$134:$S$522,"C",$X$134:$X$522,"Penting")</f>
        <v>0</v>
      </c>
      <c r="N28" s="28">
        <f t="shared" ca="1" si="3"/>
        <v>5</v>
      </c>
      <c r="O28" s="27">
        <f ca="1">COUNTIFS($Q$134:$Q$522,"FA",$S$134:$S$522,"O",$X$134:$X$522,"Biasa")</f>
        <v>0</v>
      </c>
      <c r="P28" s="27">
        <f ca="1">COUNTIFS($Q$134:$Q$522,"FA",$S$134:$S$522,"Y",$X$134:$X$522,"Biasa")</f>
        <v>2</v>
      </c>
      <c r="Q28" s="27">
        <f ca="1">COUNTIFS($Q$134:$Q$522,"FA",$S$134:$S$522,"Z",$X$134:$X$522,"Biasa")</f>
        <v>13</v>
      </c>
      <c r="R28" s="27">
        <f ca="1">COUNTIFS($Q$134:$Q$522,"FA",$S$134:$S$522,"X",$X$134:$X$522,"Biasa")</f>
        <v>0</v>
      </c>
      <c r="S28" s="27">
        <f ca="1">COUNTIFS($Q$134:$Q$522,"FA",$S$134:$S$522,"C",$X$134:$X$522,"Biasa")</f>
        <v>0</v>
      </c>
      <c r="T28" s="27">
        <f t="shared" ca="1" si="4"/>
        <v>15</v>
      </c>
      <c r="U28" s="27">
        <f t="shared" ca="1" si="1"/>
        <v>2</v>
      </c>
      <c r="V28" s="27">
        <f t="shared" ca="1" si="1"/>
        <v>5</v>
      </c>
      <c r="W28" s="29">
        <f t="shared" ca="1" si="1"/>
        <v>13</v>
      </c>
      <c r="X28" s="27">
        <f t="shared" ca="1" si="1"/>
        <v>0</v>
      </c>
      <c r="Y28" s="29">
        <f t="shared" ca="1" si="1"/>
        <v>0</v>
      </c>
      <c r="Z28" s="30"/>
      <c r="AA28" s="31"/>
      <c r="AB28" s="31"/>
      <c r="AC28" s="31"/>
      <c r="AF28" s="2"/>
      <c r="AG28" s="2"/>
      <c r="AP28" s="32">
        <v>44682</v>
      </c>
      <c r="AQ28" s="27"/>
      <c r="AR28" s="27"/>
      <c r="AS28" s="26">
        <f t="shared" si="2"/>
        <v>0</v>
      </c>
      <c r="CB28" s="34" t="s">
        <v>48</v>
      </c>
      <c r="CC28" s="35">
        <f ca="1">COUNTIFS($Q$134:$Q$522,"FA",$S$134:$S$522,"Y",$X$134:$X$522,"Penting")</f>
        <v>3</v>
      </c>
      <c r="CD28" s="35">
        <f t="shared" ca="1" si="11"/>
        <v>62</v>
      </c>
      <c r="CE28" s="36">
        <f t="shared" ca="1" si="12"/>
        <v>1</v>
      </c>
      <c r="CF28" s="37"/>
      <c r="CG28" s="4"/>
      <c r="CH28" s="39"/>
      <c r="CI28" s="39"/>
      <c r="CJ28" s="40"/>
      <c r="CL28" s="34" t="s">
        <v>35</v>
      </c>
      <c r="CM28" s="35">
        <f ca="1">COUNTIFS($Q$134:$Q$522,"HR",$S$134:$S$522,"X",$X$134:$X$522,"Penting")</f>
        <v>0</v>
      </c>
      <c r="CN28" s="35">
        <f t="shared" ca="1" si="7"/>
        <v>4</v>
      </c>
      <c r="CO28" s="36">
        <f t="shared" ca="1" si="8"/>
        <v>1</v>
      </c>
    </row>
    <row r="29" spans="3:98" ht="25.5" customHeight="1" x14ac:dyDescent="0.25">
      <c r="C29" s="26">
        <v>12</v>
      </c>
      <c r="D29" s="26" t="s">
        <v>36</v>
      </c>
      <c r="E29" s="26" t="s">
        <v>36</v>
      </c>
      <c r="F29" s="27">
        <f>COUNTIFS($Q$134:$Q$522,"QA",$X$134:$X$522,"Penting")</f>
        <v>3</v>
      </c>
      <c r="G29" s="27">
        <f>COUNTIFS($Q$134:$Q$522,"QA",$X$134:$X$522,"Biasa")</f>
        <v>3</v>
      </c>
      <c r="H29" s="27">
        <f t="shared" si="0"/>
        <v>6</v>
      </c>
      <c r="I29" s="27">
        <f ca="1">COUNTIFS($Q$134:$Q$522,"QA",$S$134:$S$522,"O",$X$134:$X$522,"Penting")</f>
        <v>1</v>
      </c>
      <c r="J29" s="27">
        <f ca="1">COUNTIFS($Q$134:$Q$522,"QA",$S$134:$S$522,"Y",$X$134:$X$522,"Penting")</f>
        <v>1</v>
      </c>
      <c r="K29" s="27">
        <f ca="1">COUNTIFS($Q$134:$Q$522,"QA",$S$134:$S$522,"Z",$X$134:$X$522,"Penting")</f>
        <v>1</v>
      </c>
      <c r="L29" s="27">
        <f ca="1">COUNTIFS($Q$134:$Q$522,"QA",$S$134:$S$522,"X",$X$134:$X$522,"Penting")</f>
        <v>0</v>
      </c>
      <c r="M29" s="28">
        <f ca="1">COUNTIFS($Q$134:$Q$522,"QA",$S$134:$S$522,"C",$X$134:$X$522,"Penting")</f>
        <v>0</v>
      </c>
      <c r="N29" s="28">
        <f t="shared" ca="1" si="3"/>
        <v>3</v>
      </c>
      <c r="O29" s="27">
        <f ca="1">COUNTIFS($Q$134:$Q$522,"QA",$S$134:$S$522,"O",$X$134:$X$522,"Biasa")</f>
        <v>1</v>
      </c>
      <c r="P29" s="27">
        <f ca="1">COUNTIFS($Q$134:$Q$522,"QA",$S$134:$S$522,"Y",$X$134:$X$522,"Biasa")</f>
        <v>0</v>
      </c>
      <c r="Q29" s="27">
        <f ca="1">COUNTIFS($Q$134:$Q$522,"QA",$S$134:$S$522,"Z",$X$134:$X$522,"Biasa")</f>
        <v>2</v>
      </c>
      <c r="R29" s="27">
        <f ca="1">COUNTIFS($Q$134:$Q$522,"QA",$S$134:$S$522,"X",$X$134:$X$522,"Biasa")</f>
        <v>0</v>
      </c>
      <c r="S29" s="27">
        <f ca="1">COUNTIFS($Q$134:$Q$522,"QA",$S$134:$S$522,"C",$X$134:$X$522,"Biasa")</f>
        <v>0</v>
      </c>
      <c r="T29" s="27">
        <f t="shared" ca="1" si="4"/>
        <v>3</v>
      </c>
      <c r="U29" s="41">
        <f t="shared" ca="1" si="1"/>
        <v>2</v>
      </c>
      <c r="V29" s="41">
        <f t="shared" ca="1" si="1"/>
        <v>1</v>
      </c>
      <c r="W29" s="29">
        <f t="shared" ca="1" si="1"/>
        <v>3</v>
      </c>
      <c r="X29" s="27">
        <f t="shared" ca="1" si="1"/>
        <v>0</v>
      </c>
      <c r="Y29" s="29">
        <f t="shared" ca="1" si="1"/>
        <v>0</v>
      </c>
      <c r="Z29" s="30"/>
      <c r="AA29" s="31"/>
      <c r="AB29" s="31"/>
      <c r="AC29" s="31"/>
      <c r="AF29" s="2"/>
      <c r="AG29" s="2"/>
      <c r="AP29" s="32">
        <v>44713</v>
      </c>
      <c r="AQ29" s="26"/>
      <c r="AR29" s="26"/>
      <c r="AS29" s="26">
        <f t="shared" si="2"/>
        <v>0</v>
      </c>
      <c r="AZ29" s="42"/>
      <c r="CB29" s="34" t="s">
        <v>35</v>
      </c>
      <c r="CC29" s="35">
        <f ca="1">COUNTIFS($Q$134:$Q$522,"HR",$S$134:$S$522,"Y",$X$134:$X$522,"Penting")</f>
        <v>0</v>
      </c>
      <c r="CD29" s="35">
        <f t="shared" ca="1" si="11"/>
        <v>62</v>
      </c>
      <c r="CE29" s="36">
        <f t="shared" ca="1" si="12"/>
        <v>1</v>
      </c>
      <c r="CF29" s="37"/>
      <c r="CG29" s="4"/>
      <c r="CH29" s="39"/>
      <c r="CI29" s="39"/>
      <c r="CJ29" s="40"/>
      <c r="CL29" s="34" t="s">
        <v>48</v>
      </c>
      <c r="CM29" s="35">
        <f ca="1">COUNTIFS($Q$134:$Q$522,"FA",$S$134:$S$522,"X",$X$134:$X$522,"Penting")</f>
        <v>0</v>
      </c>
      <c r="CN29" s="35">
        <f t="shared" ca="1" si="7"/>
        <v>4</v>
      </c>
      <c r="CO29" s="36">
        <f t="shared" ca="1" si="8"/>
        <v>1</v>
      </c>
    </row>
    <row r="30" spans="3:98" ht="25.5" customHeight="1" x14ac:dyDescent="0.25">
      <c r="C30" s="179" t="s">
        <v>25</v>
      </c>
      <c r="D30" s="180"/>
      <c r="E30" s="181"/>
      <c r="F30" s="43">
        <f>SUM(F18:F29)</f>
        <v>147</v>
      </c>
      <c r="G30" s="44">
        <f>SUM(G18:G29)</f>
        <v>242</v>
      </c>
      <c r="H30" s="45">
        <f>SUM(F30:G30)</f>
        <v>389</v>
      </c>
      <c r="I30" s="46">
        <f ca="1">SUM(I18:I29)</f>
        <v>44</v>
      </c>
      <c r="J30" s="47">
        <f ca="1">SUM(J18:J29)</f>
        <v>62</v>
      </c>
      <c r="K30" s="20">
        <f ca="1">SUM(K18:K29)</f>
        <v>31</v>
      </c>
      <c r="L30" s="48">
        <f ca="1">SUM(L18:L29)</f>
        <v>4</v>
      </c>
      <c r="M30" s="49">
        <f ca="1">SUM(M18:M29)</f>
        <v>6</v>
      </c>
      <c r="N30" s="50">
        <f ca="1">SUM(I30:M30)</f>
        <v>147</v>
      </c>
      <c r="O30" s="46">
        <f ca="1">SUM(O18:O29)</f>
        <v>63</v>
      </c>
      <c r="P30" s="47">
        <f ca="1">SUM(P18:P29)</f>
        <v>60</v>
      </c>
      <c r="Q30" s="20">
        <f ca="1">SUM(Q18:Q29)</f>
        <v>54</v>
      </c>
      <c r="R30" s="48">
        <f ca="1">SUM(R18:R29)</f>
        <v>0</v>
      </c>
      <c r="S30" s="49">
        <f ca="1">SUM(S18:S29)</f>
        <v>65</v>
      </c>
      <c r="T30" s="51">
        <f ca="1">SUM(O30:S30)</f>
        <v>242</v>
      </c>
      <c r="U30" s="46">
        <f ca="1">SUM(U18:U29)</f>
        <v>107</v>
      </c>
      <c r="V30" s="47">
        <f ca="1">SUM(V18:V29)</f>
        <v>122</v>
      </c>
      <c r="W30" s="52">
        <f ca="1">SUM(W18:W29)</f>
        <v>85</v>
      </c>
      <c r="X30" s="48">
        <f ca="1">SUM(X18:X29)</f>
        <v>4</v>
      </c>
      <c r="Y30" s="49">
        <f ca="1">SUM(Y18:Y29)</f>
        <v>71</v>
      </c>
      <c r="Z30" s="53"/>
      <c r="AA30" s="54"/>
      <c r="AB30" s="54"/>
      <c r="AC30" s="54"/>
      <c r="AF30" s="2"/>
      <c r="AG30" s="2"/>
    </row>
    <row r="31" spans="3:98" ht="33" customHeight="1" x14ac:dyDescent="0.25">
      <c r="C31" s="182"/>
      <c r="D31" s="183"/>
      <c r="E31" s="184"/>
      <c r="F31" s="208">
        <f>SUM(F30:G30)</f>
        <v>389</v>
      </c>
      <c r="G31" s="209"/>
      <c r="I31" s="210">
        <f ca="1">SUM(I30:M30)</f>
        <v>147</v>
      </c>
      <c r="J31" s="210"/>
      <c r="K31" s="210"/>
      <c r="L31" s="210"/>
      <c r="M31" s="210"/>
      <c r="N31" s="2"/>
      <c r="O31" s="211">
        <f ca="1">SUM(O30:S30)</f>
        <v>242</v>
      </c>
      <c r="P31" s="211"/>
      <c r="Q31" s="211"/>
      <c r="R31" s="211"/>
      <c r="S31" s="211"/>
      <c r="T31" s="55"/>
      <c r="U31" s="212">
        <f ca="1">SUM(U30:W30)</f>
        <v>314</v>
      </c>
      <c r="V31" s="212"/>
      <c r="W31" s="212"/>
      <c r="X31" s="213">
        <f ca="1">SUM(X30:Y30)</f>
        <v>75</v>
      </c>
      <c r="Y31" s="213"/>
      <c r="Z31" s="56"/>
      <c r="AA31" s="57"/>
      <c r="AB31" s="57"/>
      <c r="AC31" s="57"/>
      <c r="AF31" s="2"/>
      <c r="AG31" s="2"/>
    </row>
    <row r="32" spans="3:98" ht="43.5" customHeight="1" x14ac:dyDescent="0.25">
      <c r="D32" s="2"/>
      <c r="J32" s="58"/>
      <c r="L32" s="58"/>
      <c r="N32" s="58"/>
      <c r="O32" s="58"/>
      <c r="P32" s="58"/>
      <c r="R32" s="59"/>
      <c r="U32" s="205">
        <f ca="1">SUM(U30:Y30)</f>
        <v>389</v>
      </c>
      <c r="V32" s="205"/>
      <c r="W32" s="205"/>
      <c r="X32" s="205"/>
      <c r="Y32" s="205"/>
      <c r="Z32" s="57"/>
      <c r="AA32" s="57"/>
      <c r="AB32" s="57"/>
      <c r="AC32" s="57"/>
    </row>
    <row r="33" spans="3:98" ht="42.75" customHeight="1" x14ac:dyDescent="0.4">
      <c r="D33" s="2"/>
      <c r="J33" s="58"/>
      <c r="L33" s="60"/>
      <c r="N33" s="58"/>
      <c r="O33" s="58"/>
      <c r="P33" s="58"/>
      <c r="R33" s="61"/>
      <c r="T33" s="62" t="s">
        <v>49</v>
      </c>
      <c r="U33" s="206">
        <f ca="1">U31/U32</f>
        <v>0.80719794344473006</v>
      </c>
      <c r="V33" s="206"/>
      <c r="W33" s="206"/>
      <c r="X33" s="206"/>
      <c r="Y33" s="206"/>
      <c r="Z33" s="63"/>
      <c r="AA33" s="63"/>
      <c r="AB33" s="63"/>
      <c r="AC33" s="63"/>
      <c r="AE33" s="64"/>
      <c r="CB33" s="17" t="s">
        <v>50</v>
      </c>
    </row>
    <row r="34" spans="3:98" ht="25.5" customHeight="1" x14ac:dyDescent="0.25">
      <c r="G34" s="1"/>
      <c r="H34" s="1"/>
      <c r="I34" s="4"/>
      <c r="J34" s="4"/>
      <c r="K34" s="39"/>
      <c r="L34" s="39"/>
      <c r="M34" s="39"/>
      <c r="Y34" s="1"/>
      <c r="Z34" s="1"/>
      <c r="AA34" s="1"/>
      <c r="AB34" s="1"/>
      <c r="AC34" s="1"/>
      <c r="BV34" s="4"/>
      <c r="BW34" s="4"/>
    </row>
    <row r="35" spans="3:98" ht="25.5" customHeight="1" x14ac:dyDescent="0.25">
      <c r="G35" s="1"/>
      <c r="H35" s="1"/>
      <c r="I35" s="4"/>
      <c r="J35" s="4"/>
      <c r="K35" s="39"/>
      <c r="L35" s="39"/>
      <c r="M35" s="39"/>
      <c r="O35" s="65"/>
      <c r="Y35" s="1"/>
      <c r="Z35" s="1"/>
      <c r="AA35" s="1"/>
      <c r="AB35" s="1"/>
      <c r="AC35" s="1"/>
      <c r="AD35" s="1"/>
      <c r="AE35" s="1"/>
      <c r="BV35" s="4"/>
      <c r="BW35" s="4"/>
      <c r="CB35" s="207" t="s">
        <v>20</v>
      </c>
      <c r="CC35" s="207"/>
      <c r="CD35" s="207"/>
      <c r="CE35" s="207"/>
      <c r="CG35" s="207" t="s">
        <v>20</v>
      </c>
      <c r="CH35" s="207"/>
      <c r="CI35" s="207"/>
      <c r="CJ35" s="207"/>
      <c r="CL35" s="207" t="s">
        <v>17</v>
      </c>
      <c r="CM35" s="207"/>
      <c r="CN35" s="207"/>
      <c r="CO35" s="207"/>
      <c r="CQ35" s="207" t="s">
        <v>17</v>
      </c>
      <c r="CR35" s="207"/>
      <c r="CS35" s="207"/>
      <c r="CT35" s="207"/>
    </row>
    <row r="36" spans="3:98" ht="50.25" customHeight="1" x14ac:dyDescent="0.25">
      <c r="C36" s="196" t="s">
        <v>2</v>
      </c>
      <c r="D36" s="196" t="s">
        <v>3</v>
      </c>
      <c r="E36" s="196" t="s">
        <v>4</v>
      </c>
      <c r="F36" s="202" t="s">
        <v>51</v>
      </c>
      <c r="G36" s="203"/>
      <c r="H36" s="203"/>
      <c r="I36" s="203"/>
      <c r="J36" s="203"/>
      <c r="K36" s="203"/>
      <c r="L36" s="204"/>
      <c r="M36" s="202" t="s">
        <v>52</v>
      </c>
      <c r="N36" s="203"/>
      <c r="O36" s="203"/>
      <c r="P36" s="203"/>
      <c r="Q36" s="203"/>
      <c r="R36" s="203"/>
      <c r="S36" s="204"/>
      <c r="T36" s="199" t="s">
        <v>53</v>
      </c>
      <c r="U36" s="200"/>
      <c r="V36" s="200"/>
      <c r="W36" s="200"/>
      <c r="X36" s="200"/>
      <c r="Y36" s="200"/>
      <c r="Z36" s="201"/>
      <c r="AA36" s="199" t="s">
        <v>54</v>
      </c>
      <c r="AB36" s="200"/>
      <c r="AC36" s="200"/>
      <c r="AD36" s="200"/>
      <c r="AE36" s="200"/>
      <c r="AF36" s="200"/>
      <c r="AG36" s="201"/>
      <c r="AU36" s="199" t="s">
        <v>53</v>
      </c>
      <c r="AV36" s="200"/>
      <c r="AW36" s="200"/>
      <c r="AX36" s="200"/>
      <c r="AY36" s="200"/>
      <c r="AZ36" s="200"/>
      <c r="BA36" s="201"/>
      <c r="BB36" s="1" t="s">
        <v>8</v>
      </c>
      <c r="BC36" s="1" t="s">
        <v>9</v>
      </c>
      <c r="BV36" s="4"/>
      <c r="BW36" s="4"/>
      <c r="CB36" s="24" t="s">
        <v>24</v>
      </c>
      <c r="CC36" s="24" t="s">
        <v>25</v>
      </c>
      <c r="CD36" s="24" t="s">
        <v>26</v>
      </c>
      <c r="CE36" s="24" t="s">
        <v>27</v>
      </c>
      <c r="CF36" s="25"/>
      <c r="CG36" s="24" t="s">
        <v>24</v>
      </c>
      <c r="CH36" s="24" t="s">
        <v>25</v>
      </c>
      <c r="CI36" s="24" t="s">
        <v>26</v>
      </c>
      <c r="CJ36" s="24" t="s">
        <v>27</v>
      </c>
      <c r="CL36" s="24" t="s">
        <v>24</v>
      </c>
      <c r="CM36" s="24" t="s">
        <v>25</v>
      </c>
      <c r="CN36" s="24" t="s">
        <v>26</v>
      </c>
      <c r="CO36" s="24" t="s">
        <v>27</v>
      </c>
      <c r="CQ36" s="24" t="s">
        <v>24</v>
      </c>
      <c r="CR36" s="24" t="s">
        <v>25</v>
      </c>
      <c r="CS36" s="24" t="s">
        <v>26</v>
      </c>
      <c r="CT36" s="24" t="s">
        <v>27</v>
      </c>
    </row>
    <row r="37" spans="3:98" ht="50.25" customHeight="1" x14ac:dyDescent="0.25">
      <c r="C37" s="197"/>
      <c r="D37" s="197"/>
      <c r="E37" s="197"/>
      <c r="F37" s="191" t="s">
        <v>45</v>
      </c>
      <c r="G37" s="193" t="s">
        <v>55</v>
      </c>
      <c r="H37" s="194"/>
      <c r="I37" s="194"/>
      <c r="J37" s="194"/>
      <c r="K37" s="195"/>
      <c r="L37" s="191" t="s">
        <v>11</v>
      </c>
      <c r="M37" s="191" t="s">
        <v>45</v>
      </c>
      <c r="N37" s="193" t="s">
        <v>55</v>
      </c>
      <c r="O37" s="194"/>
      <c r="P37" s="194"/>
      <c r="Q37" s="194"/>
      <c r="R37" s="195"/>
      <c r="S37" s="191" t="s">
        <v>11</v>
      </c>
      <c r="T37" s="191" t="s">
        <v>45</v>
      </c>
      <c r="U37" s="193" t="s">
        <v>55</v>
      </c>
      <c r="V37" s="194"/>
      <c r="W37" s="194"/>
      <c r="X37" s="194"/>
      <c r="Y37" s="195"/>
      <c r="Z37" s="66" t="s">
        <v>11</v>
      </c>
      <c r="AA37" s="191" t="s">
        <v>45</v>
      </c>
      <c r="AB37" s="193" t="s">
        <v>55</v>
      </c>
      <c r="AC37" s="194"/>
      <c r="AD37" s="194"/>
      <c r="AE37" s="194"/>
      <c r="AF37" s="195"/>
      <c r="AG37" s="191" t="s">
        <v>11</v>
      </c>
      <c r="AT37" s="191" t="s">
        <v>56</v>
      </c>
      <c r="AU37" s="191" t="s">
        <v>57</v>
      </c>
      <c r="AV37" s="193" t="s">
        <v>55</v>
      </c>
      <c r="AW37" s="194"/>
      <c r="AX37" s="194"/>
      <c r="AY37" s="194"/>
      <c r="AZ37" s="195"/>
      <c r="BA37" s="191" t="s">
        <v>11</v>
      </c>
      <c r="BC37" s="1" t="s">
        <v>15</v>
      </c>
      <c r="BD37" s="1" t="s">
        <v>17</v>
      </c>
      <c r="BV37" s="4"/>
      <c r="BW37" s="4"/>
      <c r="CB37" s="33"/>
      <c r="CC37" s="33"/>
      <c r="CD37" s="33"/>
      <c r="CE37" s="26">
        <v>0</v>
      </c>
      <c r="CG37" s="33"/>
      <c r="CH37" s="33"/>
      <c r="CI37" s="33"/>
      <c r="CJ37" s="26">
        <v>0</v>
      </c>
      <c r="CL37" s="33"/>
      <c r="CM37" s="33"/>
      <c r="CN37" s="33"/>
      <c r="CO37" s="26">
        <v>0</v>
      </c>
      <c r="CQ37" s="33"/>
      <c r="CR37" s="33"/>
      <c r="CS37" s="33"/>
      <c r="CT37" s="26">
        <v>0</v>
      </c>
    </row>
    <row r="38" spans="3:98" ht="50.25" customHeight="1" x14ac:dyDescent="0.25">
      <c r="C38" s="198"/>
      <c r="D38" s="198"/>
      <c r="E38" s="198"/>
      <c r="F38" s="192"/>
      <c r="G38" s="23" t="s">
        <v>34</v>
      </c>
      <c r="H38" s="23" t="s">
        <v>42</v>
      </c>
      <c r="I38" s="23" t="s">
        <v>38</v>
      </c>
      <c r="J38" s="23" t="s">
        <v>32</v>
      </c>
      <c r="K38" s="23" t="s">
        <v>58</v>
      </c>
      <c r="L38" s="192"/>
      <c r="M38" s="192"/>
      <c r="N38" s="23" t="s">
        <v>34</v>
      </c>
      <c r="O38" s="23" t="s">
        <v>42</v>
      </c>
      <c r="P38" s="23" t="s">
        <v>38</v>
      </c>
      <c r="Q38" s="23" t="s">
        <v>32</v>
      </c>
      <c r="R38" s="23" t="s">
        <v>58</v>
      </c>
      <c r="S38" s="192"/>
      <c r="T38" s="192"/>
      <c r="U38" s="23" t="s">
        <v>34</v>
      </c>
      <c r="V38" s="23" t="s">
        <v>42</v>
      </c>
      <c r="W38" s="23" t="s">
        <v>38</v>
      </c>
      <c r="X38" s="23" t="s">
        <v>32</v>
      </c>
      <c r="Y38" s="23" t="s">
        <v>58</v>
      </c>
      <c r="Z38" s="67"/>
      <c r="AA38" s="192"/>
      <c r="AB38" s="23" t="s">
        <v>34</v>
      </c>
      <c r="AC38" s="23" t="s">
        <v>42</v>
      </c>
      <c r="AD38" s="23" t="s">
        <v>38</v>
      </c>
      <c r="AE38" s="23" t="s">
        <v>32</v>
      </c>
      <c r="AF38" s="23" t="s">
        <v>58</v>
      </c>
      <c r="AG38" s="192"/>
      <c r="AT38" s="192"/>
      <c r="AU38" s="192"/>
      <c r="AV38" s="23" t="s">
        <v>34</v>
      </c>
      <c r="AW38" s="23" t="s">
        <v>42</v>
      </c>
      <c r="AX38" s="23" t="s">
        <v>38</v>
      </c>
      <c r="AY38" s="23" t="s">
        <v>32</v>
      </c>
      <c r="AZ38" s="23" t="s">
        <v>58</v>
      </c>
      <c r="BA38" s="192"/>
      <c r="BV38" s="4"/>
      <c r="BW38" s="4"/>
      <c r="CB38" s="34" t="s">
        <v>35</v>
      </c>
      <c r="CC38" s="35">
        <f ca="1">COUNTIFS($Q$134:$Q$522,"HR",$S$134:$S$522,"Y",$X$134:$X$522,"Biasa")</f>
        <v>3</v>
      </c>
      <c r="CD38" s="35">
        <f t="shared" ref="CD38:CD48" ca="1" si="13">CD37+CC38</f>
        <v>3</v>
      </c>
      <c r="CE38" s="36">
        <f t="shared" ref="CE38:CE48" ca="1" si="14">CD38/$CD$48</f>
        <v>0.05</v>
      </c>
      <c r="CF38" s="37"/>
      <c r="CG38" s="34" t="s">
        <v>34</v>
      </c>
      <c r="CH38" s="38">
        <f>COUNTIFS($AI$134:$AI$522,"V",$X$134:$X$522,"Biasa",$S$134:$S$522,"Y")</f>
        <v>0</v>
      </c>
      <c r="CI38" s="35">
        <f t="shared" ref="CI38:CI43" si="15">CH38+CI37</f>
        <v>0</v>
      </c>
      <c r="CJ38" s="36" t="e">
        <f t="shared" ref="CJ38:CJ43" si="16">CI38/$CI$43</f>
        <v>#DIV/0!</v>
      </c>
      <c r="CL38" s="34" t="s">
        <v>43</v>
      </c>
      <c r="CM38" s="35">
        <f ca="1">COUNTIFS($Q$134:$Q$522,"MTP",$S$134:$S$522,"X",$X$134:$X$522,"Biasa")</f>
        <v>0</v>
      </c>
      <c r="CN38" s="35">
        <f t="shared" ref="CN38:CN48" ca="1" si="17">CM38+CN37</f>
        <v>0</v>
      </c>
      <c r="CO38" s="36" t="e">
        <f t="shared" ref="CO38:CO48" ca="1" si="18">CN38/$CN$48</f>
        <v>#DIV/0!</v>
      </c>
      <c r="CQ38" s="34" t="s">
        <v>34</v>
      </c>
      <c r="CR38" s="38">
        <f>COUNTIFS($AI$134:$AI$522,"V",$X$134:$X$522,"Biasa",$S$134:$S$522,"X")</f>
        <v>0</v>
      </c>
      <c r="CS38" s="35">
        <f t="shared" ref="CS38:CS43" si="19">CR38+CS37</f>
        <v>0</v>
      </c>
      <c r="CT38" s="36" t="e">
        <f t="shared" ref="CT38:CT43" si="20">CS38/$CS$43</f>
        <v>#DIV/0!</v>
      </c>
    </row>
    <row r="39" spans="3:98" ht="25.5" customHeight="1" x14ac:dyDescent="0.25">
      <c r="C39" s="26">
        <v>1</v>
      </c>
      <c r="D39" s="176" t="s">
        <v>28</v>
      </c>
      <c r="E39" s="26" t="s">
        <v>29</v>
      </c>
      <c r="F39" s="27">
        <f>COUNTIFS($Q$134:$Q$522,"GA",$AH$134:$AH$522,"V",$X$134:$X$522,"Penting",$S$134:$S$522,"Y")</f>
        <v>0</v>
      </c>
      <c r="G39" s="38">
        <f>COUNTIFS($Q$134:$Q$522,"GA",$AI$134:$AI$522,"V",$X$134:$X$522,"Penting",$S$134:$S$522,"Y")</f>
        <v>0</v>
      </c>
      <c r="H39" s="38">
        <f>COUNTIFS($Q$134:$Q$522,"GA",$AJ$134:$AJ$522,"V",$X$134:$X$522,"Penting",$S$134:$S$522,"Y")</f>
        <v>0</v>
      </c>
      <c r="I39" s="38">
        <f>COUNTIFS($Q$134:$Q$522,"GA",$AK$134:$AK$522,"V",$X$134:$X$522,"Penting",$S$134:$S$522,"Y")</f>
        <v>0</v>
      </c>
      <c r="J39" s="38">
        <f>COUNTIFS($Q$134:$Q$522,"GA",$AL$134:$AL$522,"V",$X$134:$X$522,"Penting",$S$134:$S$522,"Y")</f>
        <v>0</v>
      </c>
      <c r="K39" s="38">
        <f>COUNTIFS($Q$134:$Q$522,"GA",$AM$134:$AM$522,"V",$X$134:$X$522,"Penting",$S$134:$S$522,"Y")</f>
        <v>0</v>
      </c>
      <c r="L39" s="27">
        <f t="shared" ref="L39:L51" si="21">SUM(F39:K39)</f>
        <v>0</v>
      </c>
      <c r="M39" s="27">
        <f>COUNTIFS($Q$134:$Q$522,"GA",$AH$134:$AH$522,"V",$X$134:$X$522,"Penting",$S$134:$S$522,"X")</f>
        <v>0</v>
      </c>
      <c r="N39" s="38">
        <f>COUNTIFS($Q$134:$Q$522,"GA",$AI$134:$AI$522,"V",$X$134:$X$522,"Penting",$S$134:$S$522,"X")</f>
        <v>0</v>
      </c>
      <c r="O39" s="38">
        <f>COUNTIFS($Q$134:$Q$522,"GA",$AJ$134:$AJ$522,"V",$X$134:$X$522,"Penting",$S$134:$S$522,"X")</f>
        <v>0</v>
      </c>
      <c r="P39" s="38">
        <f>COUNTIFS($Q$134:$Q$522,"GA",$AK$134:$AK$522,"V",$X$134:$X$522,"Penting",$S$134:$S$522,"X")</f>
        <v>0</v>
      </c>
      <c r="Q39" s="38">
        <f>COUNTIFS($Q$134:$Q$522,"GA",$AL$134:$AL$522,"V",$X$134:$X$522,"Penting",$S$134:$S$522,"X")</f>
        <v>0</v>
      </c>
      <c r="R39" s="38">
        <f>COUNTIFS($Q$134:$Q$522,"GA",$AM$134:$AM$522,"V",$X$134:$X$522,"Penting",$S$134:$S$522,"X")</f>
        <v>0</v>
      </c>
      <c r="S39" s="27">
        <f t="shared" ref="S39:S51" si="22">SUM(M39:R39)</f>
        <v>0</v>
      </c>
      <c r="T39" s="27">
        <f>COUNTIFS($Q$134:$Q$522,"GA",$AH$134:$AH$522,"V",$X$134:$X$522,"Biasa",$S$134:$S$522,"Y")</f>
        <v>0</v>
      </c>
      <c r="U39" s="38">
        <f>COUNTIFS($Q$134:$Q$522,"GA",$AI$134:$AI$522,"V",$X$134:$X$522,"Biasa",$S$134:$S$522,"Y")</f>
        <v>0</v>
      </c>
      <c r="V39" s="38">
        <f>COUNTIFS($Q$134:$Q$522,"GA",$AJ$134:$AJ$522,"V",$X$134:$X$522,"Biasa",$S$134:$S$522,"Y")</f>
        <v>0</v>
      </c>
      <c r="W39" s="38">
        <f>COUNTIFS($Q$134:$Q$522,"GA",$AK$134:$AK$522,"V",$X$134:$X$522,"Biasa",$S$134:$S$522,"Y")</f>
        <v>0</v>
      </c>
      <c r="X39" s="38">
        <f>COUNTIFS($Q$134:$Q$522,"GA",$AL$134:$AL$522,"V",$X$134:$X$522,"Biasa",$S$134:$S$522,"Y")</f>
        <v>0</v>
      </c>
      <c r="Y39" s="38">
        <f>COUNTIFS($Q$134:$Q$522,"GA",$AM$134:$AM$522,"V",$X$134:$X$522,"Biasa",$S$134:$S$522,"Y")</f>
        <v>0</v>
      </c>
      <c r="Z39" s="27">
        <f t="shared" ref="Z39:Z51" si="23">SUM(T39:Y39)</f>
        <v>0</v>
      </c>
      <c r="AA39" s="27">
        <f>COUNTIFS($Q$134:$Q$522,"GA",$AH$134:$AH$522,"V",$X$134:$X$522,"Biasa",$S$134:$S$522,"X")</f>
        <v>0</v>
      </c>
      <c r="AB39" s="27">
        <f>COUNTIFS($Q$134:$Q$522,"GA",$AI$134:$AI$522,"V",$X$134:$X$522,"Biasa",$S$134:$S$522,"X")</f>
        <v>0</v>
      </c>
      <c r="AC39" s="27">
        <f>COUNTIFS($Q$134:$Q$522,"GA",$AJ$134:$AJ$522,"V",$X$134:$X$522,"Biasa",$S$134:$S$522,"X")</f>
        <v>0</v>
      </c>
      <c r="AD39" s="27">
        <f>COUNTIFS($Q$134:$Q$522,"GA",$AK$134:$AK$522,"V",$X$134:$X$522,"Biasa",$S$134:$S$522,"X")</f>
        <v>0</v>
      </c>
      <c r="AE39" s="27">
        <f>COUNTIFS($Q$134:$Q$522,"GA",$AL$134:$AL$522,"V",$X$134:$X$522,"Biasa",$S$134:$S$522,"X")</f>
        <v>0</v>
      </c>
      <c r="AF39" s="27">
        <f>COUNTIFS($Q$134:$Q$522,"GA",$AM$134:$AM$522,"V",$X$134:$X$522,"Biasa",$S$134:$S$522,"X")</f>
        <v>0</v>
      </c>
      <c r="AG39" s="27">
        <f t="shared" ref="AG39:AG51" si="24">SUM(AA39:AF39)</f>
        <v>0</v>
      </c>
      <c r="AS39" s="26" t="s">
        <v>29</v>
      </c>
      <c r="AT39" s="27">
        <f ca="1">U18</f>
        <v>53</v>
      </c>
      <c r="AU39" s="27">
        <f t="shared" ref="AU39:AU51" si="25">AG39+Z39+S39+L39</f>
        <v>0</v>
      </c>
      <c r="AV39" s="38">
        <f t="shared" ref="AV39:AZ51" si="26">AB39+U39+N39+G39</f>
        <v>0</v>
      </c>
      <c r="AW39" s="38">
        <f t="shared" si="26"/>
        <v>0</v>
      </c>
      <c r="AX39" s="38">
        <f t="shared" si="26"/>
        <v>0</v>
      </c>
      <c r="AY39" s="38">
        <f t="shared" si="26"/>
        <v>0</v>
      </c>
      <c r="AZ39" s="38">
        <f t="shared" si="26"/>
        <v>0</v>
      </c>
      <c r="BA39" s="27">
        <f t="shared" ref="BA39:BA51" ca="1" si="27">SUM(AT39:AU39)</f>
        <v>53</v>
      </c>
      <c r="BC39" s="1">
        <f t="shared" ref="BC39:BD50" si="28">AU39+AY39</f>
        <v>0</v>
      </c>
      <c r="BD39" s="1">
        <f t="shared" si="28"/>
        <v>0</v>
      </c>
      <c r="CB39" s="34" t="s">
        <v>29</v>
      </c>
      <c r="CC39" s="35">
        <f ca="1">COUNTIFS($Q$134:$Q$522,"GA",$S$134:$S$522,"Y",$X$134:$X$522,"Biasa")</f>
        <v>38</v>
      </c>
      <c r="CD39" s="35">
        <f t="shared" ca="1" si="13"/>
        <v>41</v>
      </c>
      <c r="CE39" s="36">
        <f t="shared" ca="1" si="14"/>
        <v>0.68333333333333335</v>
      </c>
      <c r="CF39" s="37"/>
      <c r="CG39" s="34" t="s">
        <v>38</v>
      </c>
      <c r="CH39" s="38">
        <f>COUNTIFS($AK$134:$AK$522,"V",$X$134:$X$522,"Biasa",$S$134:$S$522,"Y")</f>
        <v>0</v>
      </c>
      <c r="CI39" s="35">
        <f t="shared" si="15"/>
        <v>0</v>
      </c>
      <c r="CJ39" s="36" t="e">
        <f t="shared" si="16"/>
        <v>#DIV/0!</v>
      </c>
      <c r="CL39" s="34" t="s">
        <v>36</v>
      </c>
      <c r="CM39" s="35">
        <f ca="1">COUNTIFS($Q$134:$Q$522,"QA",$S$134:$S$522,"X",$X$134:$X$522,"Biasa")</f>
        <v>0</v>
      </c>
      <c r="CN39" s="35">
        <f t="shared" ca="1" si="17"/>
        <v>0</v>
      </c>
      <c r="CO39" s="36" t="e">
        <f t="shared" ca="1" si="18"/>
        <v>#DIV/0!</v>
      </c>
      <c r="CQ39" s="34" t="s">
        <v>38</v>
      </c>
      <c r="CR39" s="38">
        <f>COUNTIFS($AK$134:$AK$522,"V",$X$134:$X$522,"Biasa",$S$134:$S$522,"X")</f>
        <v>0</v>
      </c>
      <c r="CS39" s="35">
        <f t="shared" si="19"/>
        <v>0</v>
      </c>
      <c r="CT39" s="36" t="e">
        <f t="shared" si="20"/>
        <v>#DIV/0!</v>
      </c>
    </row>
    <row r="40" spans="3:98" ht="25.5" customHeight="1" x14ac:dyDescent="0.25">
      <c r="C40" s="26">
        <v>2</v>
      </c>
      <c r="D40" s="177"/>
      <c r="E40" s="26" t="s">
        <v>30</v>
      </c>
      <c r="F40" s="27">
        <f>COUNTIFS($Q$134:$Q$522,"SHE",$AH$134:$AH$522,"V",$X$134:$X$522,"Penting",$S$134:$S$522,"Y")</f>
        <v>0</v>
      </c>
      <c r="G40" s="38">
        <f>COUNTIFS($Q$134:$Q$522,"SHE",$AI$134:$AI$522,"V",$X$134:$X$522,"Penting",$S$134:$S$522,"Y")</f>
        <v>0</v>
      </c>
      <c r="H40" s="38">
        <f>COUNTIFS($Q$134:$Q$522,"SHE",$AJ$134:$AJ$522,"V",$X$134:$X$522,"Penting",$S$134:$S$522,"Y")</f>
        <v>0</v>
      </c>
      <c r="I40" s="38">
        <f>COUNTIFS($Q$134:$Q$522,"SHE",$AK$134:$AK$522,"V",$X$134:$X$522,"Penting",$S$134:$S$522,"Y")</f>
        <v>0</v>
      </c>
      <c r="J40" s="38">
        <f>COUNTIFS($Q$134:$Q$522,"SHE",$AL$134:$AL$522,"V",$X$134:$X$522,"Penting",$S$134:$S$522,"Y")</f>
        <v>0</v>
      </c>
      <c r="K40" s="38">
        <f>COUNTIFS($Q$134:$Q$522,"SHE",$AM$134:$AM$522,"V",$X$134:$X$522,"Penting",$S$134:$S$522,"Y")</f>
        <v>0</v>
      </c>
      <c r="L40" s="27">
        <f t="shared" si="21"/>
        <v>0</v>
      </c>
      <c r="M40" s="27">
        <f>COUNTIFS($Q$134:$Q$522,"SHE",$AH$134:$AH$522,"V",$X$134:$X$522,"Penting",$S$134:$S$522,"X")</f>
        <v>0</v>
      </c>
      <c r="N40" s="38">
        <f>COUNTIFS($Q$134:$Q$522,"SHE",$AI$134:$AI$522,"V",$X$134:$X$522,"Penting",$S$134:$S$522,"X")</f>
        <v>0</v>
      </c>
      <c r="O40" s="38">
        <f>COUNTIFS($Q$134:$Q$522,"SHE",$AJ$134:$AJ$522,"V",$X$134:$X$522,"Penting",$S$134:$S$522,"X")</f>
        <v>0</v>
      </c>
      <c r="P40" s="38">
        <f>COUNTIFS($Q$134:$Q$522,"SHE",$AK$134:$AK$522,"V",$X$134:$X$522,"Penting",$S$134:$S$522,"X")</f>
        <v>0</v>
      </c>
      <c r="Q40" s="38">
        <f>COUNTIFS($Q$134:$Q$522,"SHE",$AL$134:$AL$522,"V",$X$134:$X$522,"Penting",$S$134:$S$522,"X")</f>
        <v>0</v>
      </c>
      <c r="R40" s="38">
        <f>COUNTIFS($Q$134:$Q$522,"SHE",$AM$134:$AM$522,"V",$X$134:$X$522,"Penting",$S$134:$S$522,"X")</f>
        <v>0</v>
      </c>
      <c r="S40" s="27">
        <f t="shared" si="22"/>
        <v>0</v>
      </c>
      <c r="T40" s="27">
        <f>COUNTIFS($Q$134:$Q$522,"SHE",$AH$134:$AH$522,"V",$X$134:$X$522,"Biasa",$S$134:$S$522,"Y")</f>
        <v>0</v>
      </c>
      <c r="U40" s="38">
        <f>COUNTIFS($Q$134:$Q$522,"SHE",$AI$134:$AI$522,"V",$X$134:$X$522,"Biasa",$S$134:$S$522,"Y")</f>
        <v>0</v>
      </c>
      <c r="V40" s="38">
        <f>COUNTIFS($Q$134:$Q$522,"SHE",$AJ$134:$AJ$522,"V",$X$134:$X$522,"Biasa",$S$134:$S$522,"Y")</f>
        <v>0</v>
      </c>
      <c r="W40" s="38">
        <f>COUNTIFS($Q$134:$Q$522,"SHE",$AK$134:$AK$522,"V",$X$134:$X$522,"Biasa",$S$134:$S$522,"Y")</f>
        <v>0</v>
      </c>
      <c r="X40" s="38">
        <f>COUNTIFS($Q$134:$Q$522,"SHE",$AL$134:$AL$522,"V",$X$134:$X$522,"Biasa",$S$134:$S$522,"Y")</f>
        <v>0</v>
      </c>
      <c r="Y40" s="38">
        <f>COUNTIFS($Q$134:$Q$522,"SHE",$AM$134:$AM$522,"V",$X$134:$X$522,"Biasa",$S$134:$S$522,"Y")</f>
        <v>0</v>
      </c>
      <c r="Z40" s="27">
        <f t="shared" si="23"/>
        <v>0</v>
      </c>
      <c r="AA40" s="27">
        <f>COUNTIFS($Q$134:$Q$522,"SHE",$AH$134:$AH$522,"V",$X$134:$X$522,"Biasa",$S$134:$S$522,"X")</f>
        <v>0</v>
      </c>
      <c r="AB40" s="27">
        <f>COUNTIFS($Q$134:$Q$522,"SHE",$AI$134:$AI$522,"V",$X$134:$X$522,"Biasa",$S$134:$S$522,"X")</f>
        <v>0</v>
      </c>
      <c r="AC40" s="27">
        <f>COUNTIFS($Q$134:$Q$522,"SHE",$AJ$134:$AJ$522,"V",$X$134:$X$522,"Biasa",$S$134:$S$522,"X")</f>
        <v>0</v>
      </c>
      <c r="AD40" s="27">
        <f>COUNTIFS($Q$134:$Q$522,"SHE",$AK$134:$AK$522,"V",$X$134:$X$522,"Biasa",$S$134:$S$522,"X")</f>
        <v>0</v>
      </c>
      <c r="AE40" s="27">
        <f>COUNTIFS($Q$134:$Q$522,"SHE",$AL$134:$AL$522,"V",$X$134:$X$522,"Biasa",$S$134:$S$522,"X")</f>
        <v>0</v>
      </c>
      <c r="AF40" s="27">
        <f>COUNTIFS($Q$134:$Q$522,"SHE",$AM$134:$AM$522,"V",$X$134:$X$522,"Biasa",$S$134:$S$522,"X")</f>
        <v>0</v>
      </c>
      <c r="AG40" s="27">
        <f t="shared" si="24"/>
        <v>0</v>
      </c>
      <c r="AS40" s="26" t="s">
        <v>30</v>
      </c>
      <c r="AT40" s="27">
        <f t="shared" ref="AT40:AT50" ca="1" si="29">U19</f>
        <v>1</v>
      </c>
      <c r="AU40" s="27">
        <f t="shared" si="25"/>
        <v>0</v>
      </c>
      <c r="AV40" s="38">
        <f t="shared" si="26"/>
        <v>0</v>
      </c>
      <c r="AW40" s="38">
        <f t="shared" si="26"/>
        <v>0</v>
      </c>
      <c r="AX40" s="38">
        <f t="shared" si="26"/>
        <v>0</v>
      </c>
      <c r="AY40" s="38">
        <f t="shared" si="26"/>
        <v>0</v>
      </c>
      <c r="AZ40" s="38">
        <f t="shared" si="26"/>
        <v>0</v>
      </c>
      <c r="BA40" s="27">
        <f t="shared" ca="1" si="27"/>
        <v>1</v>
      </c>
      <c r="BC40" s="1">
        <f t="shared" si="28"/>
        <v>0</v>
      </c>
      <c r="BD40" s="1">
        <f t="shared" si="28"/>
        <v>0</v>
      </c>
      <c r="CB40" s="34" t="s">
        <v>43</v>
      </c>
      <c r="CC40" s="35">
        <f ca="1">COUNTIFS($Q$134:$Q$522,"MTP",$S$134:$S$522,"Y",$X$134:$X$522,"Biasa")</f>
        <v>14</v>
      </c>
      <c r="CD40" s="35">
        <f t="shared" ca="1" si="13"/>
        <v>55</v>
      </c>
      <c r="CE40" s="36">
        <f t="shared" ca="1" si="14"/>
        <v>0.91666666666666663</v>
      </c>
      <c r="CF40" s="37"/>
      <c r="CG40" s="34" t="s">
        <v>42</v>
      </c>
      <c r="CH40" s="38">
        <f>COUNTIFS($AJ$134:$AJ$522,"V",$X$134:$X$522,"Biasa",$S$134:$S$522,"Y")</f>
        <v>0</v>
      </c>
      <c r="CI40" s="35">
        <f t="shared" si="15"/>
        <v>0</v>
      </c>
      <c r="CJ40" s="36" t="e">
        <f t="shared" si="16"/>
        <v>#DIV/0!</v>
      </c>
      <c r="CL40" s="34" t="s">
        <v>29</v>
      </c>
      <c r="CM40" s="35">
        <f ca="1">COUNTIFS($Q$134:$Q$522,"GA",$S$134:$S$522,"X",$X$134:$X$522,"Biasa")</f>
        <v>0</v>
      </c>
      <c r="CN40" s="35">
        <f t="shared" ca="1" si="17"/>
        <v>0</v>
      </c>
      <c r="CO40" s="36" t="e">
        <f t="shared" ca="1" si="18"/>
        <v>#DIV/0!</v>
      </c>
      <c r="CQ40" s="34" t="s">
        <v>42</v>
      </c>
      <c r="CR40" s="27">
        <f>COUNTIFS($AJ$134:$AJ$522,"V",$X$134:$X$522,"Biasa",$S$134:$S$522,"X")</f>
        <v>0</v>
      </c>
      <c r="CS40" s="35">
        <f t="shared" si="19"/>
        <v>0</v>
      </c>
      <c r="CT40" s="36" t="e">
        <f t="shared" si="20"/>
        <v>#DIV/0!</v>
      </c>
    </row>
    <row r="41" spans="3:98" ht="25.5" customHeight="1" x14ac:dyDescent="0.25">
      <c r="C41" s="26">
        <v>3</v>
      </c>
      <c r="D41" s="177"/>
      <c r="E41" s="26" t="s">
        <v>35</v>
      </c>
      <c r="F41" s="27">
        <f>COUNTIFS($Q$134:$Q$522,"HR",$AH$134:$AH$522,"V",$X$134:$X$522,"Penting",$S$134:$S$522,"Y")</f>
        <v>0</v>
      </c>
      <c r="G41" s="38">
        <f>COUNTIFS($Q$134:$Q$522,"HR",$AI$134:$AI$522,"V",$X$134:$X$522,"Penting",$S$134:$S$522,"Y")</f>
        <v>0</v>
      </c>
      <c r="H41" s="38">
        <f>COUNTIFS($Q$134:$Q$522,"HR",$AJ$134:$AJ$522,"V",$X$134:$X$522,"Penting",$S$134:$S$522,"Y")</f>
        <v>0</v>
      </c>
      <c r="I41" s="38">
        <f>COUNTIFS($Q$134:$Q$522,"HR",$AK$134:$AK$522,"V",$X$134:$X$522,"Penting",$S$134:$S$522,"Y")</f>
        <v>0</v>
      </c>
      <c r="J41" s="38">
        <f>COUNTIFS($Q$134:$Q$522,"HR",$AL$134:$AL$522,"V",$X$134:$X$522,"Penting",$S$134:$S$522,"Y")</f>
        <v>0</v>
      </c>
      <c r="K41" s="38">
        <f>COUNTIFS($Q$134:$Q$522,"HR",$AM$134:$AM$522,"V",$X$134:$X$522,"Penting",$S$134:$S$522,"Y")</f>
        <v>0</v>
      </c>
      <c r="L41" s="27">
        <f t="shared" si="21"/>
        <v>0</v>
      </c>
      <c r="M41" s="27">
        <f>COUNTIFS($Q$134:$Q$522,"HR",$AH$134:$AH$522,"V",$X$134:$X$522,"Penting",$S$134:$S$522,"X")</f>
        <v>0</v>
      </c>
      <c r="N41" s="38">
        <f>COUNTIFS($Q$134:$Q$522,"HR",$AI$134:$AI$522,"V",$X$134:$X$522,"Penting",$S$134:$S$522,"X")</f>
        <v>0</v>
      </c>
      <c r="O41" s="38">
        <f>COUNTIFS($Q$134:$Q$522,"HR",$AJ$134:$AJ$522,"V",$X$134:$X$522,"Penting",$S$134:$S$522,"X")</f>
        <v>0</v>
      </c>
      <c r="P41" s="38">
        <f>COUNTIFS($Q$134:$Q$522,"HR",$AK$134:$AK$522,"V",$X$134:$X$522,"Penting",$S$134:$S$522,"X")</f>
        <v>0</v>
      </c>
      <c r="Q41" s="38">
        <f>COUNTIFS($Q$134:$Q$522,"HR",$AL$134:$AL$522,"V",$X$134:$X$522,"Penting",$S$134:$S$522,"X")</f>
        <v>0</v>
      </c>
      <c r="R41" s="38">
        <f>COUNTIFS($Q$134:$Q$522,"HR",$AM$134:$AM$522,"V",$X$134:$X$522,"Penting",$S$134:$S$522,"X")</f>
        <v>0</v>
      </c>
      <c r="S41" s="27">
        <f t="shared" si="22"/>
        <v>0</v>
      </c>
      <c r="T41" s="27">
        <f>COUNTIFS($Q$134:$Q$522,"HR",$AH$134:$AH$522,"V",$X$134:$X$522,"Biasa",$S$134:$S$522,"Y")</f>
        <v>0</v>
      </c>
      <c r="U41" s="38">
        <f>COUNTIFS($Q$134:$Q$522,"HR",$AI$134:$AI$522,"V",$X$134:$X$522,"Biasa",$S$134:$S$522,"Y")</f>
        <v>0</v>
      </c>
      <c r="V41" s="38">
        <f>COUNTIFS($Q$134:$Q$522,"HR",$AJ$134:$AJ$522,"V",$X$134:$X$522,"Biasa",$S$134:$S$522,"Y")</f>
        <v>0</v>
      </c>
      <c r="W41" s="38">
        <f>COUNTIFS($Q$134:$Q$522,"HR",$AK$134:$AK$522,"V",$X$134:$X$522,"Biasa",$S$134:$S$522,"Y")</f>
        <v>0</v>
      </c>
      <c r="X41" s="38">
        <f>COUNTIFS($Q$134:$Q$522,"HR",$AL$134:$AL$522,"V",$X$134:$X$522,"Biasa",$S$134:$S$522,"Y")</f>
        <v>0</v>
      </c>
      <c r="Y41" s="38">
        <f>COUNTIFS($Q$134:$Q$522,"HR",$AM$134:$AM$522,"V",$X$134:$X$522,"Biasa",$S$134:$S$522,"Y")</f>
        <v>0</v>
      </c>
      <c r="Z41" s="27">
        <f t="shared" si="23"/>
        <v>0</v>
      </c>
      <c r="AA41" s="27">
        <f>COUNTIFS($Q$134:$Q$522,"HR",$AH$134:$AH$522,"V",$X$134:$X$522,"Biasa",$S$134:$S$522,"X")</f>
        <v>0</v>
      </c>
      <c r="AB41" s="27">
        <f>COUNTIFS($Q$134:$Q$522,"HR",$AI$134:$AI$522,"V",$X$134:$X$522,"Biasa",$S$134:$S$522,"X")</f>
        <v>0</v>
      </c>
      <c r="AC41" s="27">
        <f>COUNTIFS($Q$134:$Q$522,"HR",$AJ$134:$AJ$522,"V",$X$134:$X$522,"Biasa",$S$134:$S$522,"X")</f>
        <v>0</v>
      </c>
      <c r="AD41" s="27">
        <f>COUNTIFS($Q$134:$Q$522,"HR",$AK$134:$AK$522,"V",$X$134:$X$522,"Biasa",$S$134:$S$522,"X")</f>
        <v>0</v>
      </c>
      <c r="AE41" s="27">
        <f>COUNTIFS($Q$134:$Q$522,"HR",$AL$134:$AL$522,"V",$X$134:$X$522,"Biasa",$S$134:$S$522,"X")</f>
        <v>0</v>
      </c>
      <c r="AF41" s="27">
        <f>COUNTIFS($Q$134:$Q$522,"HR",$AM$134:$AM$522,"V",$X$134:$X$522,"Biasa",$S$134:$S$522,"X")</f>
        <v>0</v>
      </c>
      <c r="AG41" s="27">
        <f t="shared" si="24"/>
        <v>0</v>
      </c>
      <c r="AS41" s="26" t="s">
        <v>35</v>
      </c>
      <c r="AT41" s="27">
        <f t="shared" ca="1" si="29"/>
        <v>6</v>
      </c>
      <c r="AU41" s="27">
        <f t="shared" si="25"/>
        <v>0</v>
      </c>
      <c r="AV41" s="38">
        <f t="shared" si="26"/>
        <v>0</v>
      </c>
      <c r="AW41" s="38">
        <f t="shared" si="26"/>
        <v>0</v>
      </c>
      <c r="AX41" s="38">
        <f t="shared" si="26"/>
        <v>0</v>
      </c>
      <c r="AY41" s="38">
        <f t="shared" si="26"/>
        <v>0</v>
      </c>
      <c r="AZ41" s="38">
        <f t="shared" si="26"/>
        <v>0</v>
      </c>
      <c r="BA41" s="27">
        <f t="shared" ca="1" si="27"/>
        <v>6</v>
      </c>
      <c r="BC41" s="1">
        <f t="shared" si="28"/>
        <v>0</v>
      </c>
      <c r="BD41" s="1">
        <f t="shared" si="28"/>
        <v>0</v>
      </c>
      <c r="CB41" s="34" t="s">
        <v>36</v>
      </c>
      <c r="CC41" s="35">
        <f ca="1">COUNTIFS($Q$134:$Q$522,"QA",$S$134:$S$522,"Y",$X$134:$X$522,"Biasa")</f>
        <v>0</v>
      </c>
      <c r="CD41" s="35">
        <f t="shared" ca="1" si="13"/>
        <v>55</v>
      </c>
      <c r="CE41" s="36">
        <f t="shared" ca="1" si="14"/>
        <v>0.91666666666666663</v>
      </c>
      <c r="CF41" s="37"/>
      <c r="CG41" s="34" t="s">
        <v>32</v>
      </c>
      <c r="CH41" s="27">
        <f>COUNTIFS($AL$134:$AL$522,"V",$X$134:$X$522,"Biasa",$S$134:$S$522,"Y")</f>
        <v>0</v>
      </c>
      <c r="CI41" s="35">
        <f t="shared" si="15"/>
        <v>0</v>
      </c>
      <c r="CJ41" s="36" t="e">
        <f t="shared" si="16"/>
        <v>#DIV/0!</v>
      </c>
      <c r="CL41" s="34" t="s">
        <v>39</v>
      </c>
      <c r="CM41" s="35">
        <f ca="1">COUNTIFS($Q$134:$Q$522,"IT",$S$134:$S$522,"X",$X$134:$X$522,"Biasa")</f>
        <v>0</v>
      </c>
      <c r="CN41" s="35">
        <f t="shared" ca="1" si="17"/>
        <v>0</v>
      </c>
      <c r="CO41" s="36" t="e">
        <f t="shared" ca="1" si="18"/>
        <v>#DIV/0!</v>
      </c>
      <c r="CQ41" s="34" t="s">
        <v>44</v>
      </c>
      <c r="CR41" s="38">
        <f>COUNTIFS($AM$134:$AM$522,"V",$X$134:$X$522,"Biasa",$S$134:$S$522,"X")</f>
        <v>0</v>
      </c>
      <c r="CS41" s="35">
        <f t="shared" si="19"/>
        <v>0</v>
      </c>
      <c r="CT41" s="36" t="e">
        <f t="shared" si="20"/>
        <v>#DIV/0!</v>
      </c>
    </row>
    <row r="42" spans="3:98" ht="25.5" customHeight="1" x14ac:dyDescent="0.25">
      <c r="C42" s="26">
        <v>4</v>
      </c>
      <c r="D42" s="178"/>
      <c r="E42" s="26" t="s">
        <v>39</v>
      </c>
      <c r="F42" s="27">
        <f>COUNTIFS($Q$134:$Q$522,"IT",$AH$134:$AH$522,"V",$X$134:$X$522,"Penting",$S$134:$S$522,"Y")</f>
        <v>0</v>
      </c>
      <c r="G42" s="38">
        <f>COUNTIFS($Q$134:$Q$522,"IT",$AI$134:$AI$522,"V",$X$134:$X$522,"Penting",$S$134:$S$522,"Y")</f>
        <v>0</v>
      </c>
      <c r="H42" s="38">
        <f>COUNTIFS($Q$134:$Q$522,"IT",$AJ$134:$AJ$522,"V",$X$134:$X$522,"Penting",$S$134:$S$522,"Y")</f>
        <v>0</v>
      </c>
      <c r="I42" s="38">
        <f>COUNTIFS($Q$134:$Q$522,"IT",$AK$134:$AK$522,"V",$X$134:$X$522,"Penting",$S$134:$S$522,"Y")</f>
        <v>0</v>
      </c>
      <c r="J42" s="38">
        <f>COUNTIFS($Q$134:$Q$522,"IT",$AL$134:$AL$522,"V",$X$134:$X$522,"Penting",$S$134:$S$522,"Y")</f>
        <v>0</v>
      </c>
      <c r="K42" s="38">
        <f>COUNTIFS($Q$134:$Q$522,"IT",$AM$134:$AM$522,"V",$X$134:$X$522,"Penting",$S$134:$S$522,"Y")</f>
        <v>0</v>
      </c>
      <c r="L42" s="27">
        <f t="shared" si="21"/>
        <v>0</v>
      </c>
      <c r="M42" s="27">
        <f>COUNTIFS($Q$134:$Q$522,"IT",$AH$134:$AH$522,"V",$X$134:$X$522,"Penting",$S$134:$S$522,"X")</f>
        <v>0</v>
      </c>
      <c r="N42" s="38">
        <f>COUNTIFS($Q$134:$Q$522,"IT",$AI$134:$AI$522,"V",$X$134:$X$522,"Penting",$S$134:$S$522,"X")</f>
        <v>0</v>
      </c>
      <c r="O42" s="38">
        <f>COUNTIFS($Q$134:$Q$522,"IT",$AJ$134:$AJ$522,"V",$X$134:$X$522,"Penting",$S$134:$S$522,"X")</f>
        <v>0</v>
      </c>
      <c r="P42" s="38">
        <f>COUNTIFS($Q$134:$Q$522,"IT",$AK$134:$AK$522,"V",$X$134:$X$522,"Penting",$S$134:$S$522,"X")</f>
        <v>0</v>
      </c>
      <c r="Q42" s="38">
        <f>COUNTIFS($Q$134:$Q$522,"IT",$AL$134:$AL$522,"V",$X$134:$X$522,"Penting",$S$134:$S$522,"X")</f>
        <v>0</v>
      </c>
      <c r="R42" s="38">
        <f>COUNTIFS($Q$134:$Q$522,"IT",$AM$134:$AM$522,"V",$X$134:$X$522,"Penting",$S$134:$S$522,"X")</f>
        <v>0</v>
      </c>
      <c r="S42" s="27">
        <f t="shared" si="22"/>
        <v>0</v>
      </c>
      <c r="T42" s="27">
        <f>COUNTIFS($Q$134:$Q$522,"IT",$AH$134:$AH$522,"V",$X$134:$X$522,"Biasa",$S$134:$S$522,"Y")</f>
        <v>0</v>
      </c>
      <c r="U42" s="38">
        <f>COUNTIFS($Q$134:$Q$522,"IT",$AI$134:$AI$522,"V",$X$134:$X$522,"Biasa",$S$134:$S$522,"Y")</f>
        <v>0</v>
      </c>
      <c r="V42" s="38">
        <f>COUNTIFS($Q$134:$Q$522,"IT",$AJ$134:$AJ$522,"V",$X$134:$X$522,"Biasa",$S$134:$S$522,"Y")</f>
        <v>0</v>
      </c>
      <c r="W42" s="38">
        <f>COUNTIFS($Q$134:$Q$522,"IT",$AK$134:$AK$522,"V",$X$134:$X$522,"Biasa",$S$134:$S$522,"Y")</f>
        <v>0</v>
      </c>
      <c r="X42" s="38">
        <f>COUNTIFS($Q$134:$Q$522,"IT",$AL$134:$AL$522,"V",$X$134:$X$522,"Biasa",$S$134:$S$522,"Y")</f>
        <v>0</v>
      </c>
      <c r="Y42" s="38">
        <f>COUNTIFS($Q$134:$Q$522,"IT",$AM$134:$AM$522,"V",$X$134:$X$522,"Biasa",$S$134:$S$522,"Y")</f>
        <v>0</v>
      </c>
      <c r="Z42" s="27">
        <f t="shared" si="23"/>
        <v>0</v>
      </c>
      <c r="AA42" s="27">
        <f>COUNTIFS($Q$134:$Q$522,"IT",$AH$134:$AH$522,"V",$X$134:$X$522,"Biasa",$S$134:$S$522,"X")</f>
        <v>0</v>
      </c>
      <c r="AB42" s="27">
        <f>COUNTIFS($Q$134:$Q$522,"IT",$AI$134:$AI$522,"V",$X$134:$X$522,"Biasa",$S$134:$S$522,"X")</f>
        <v>0</v>
      </c>
      <c r="AC42" s="27">
        <f>COUNTIFS($Q$134:$Q$522,"IT",$AJ$134:$AJ$522,"V",$X$134:$X$522,"Biasa",$S$134:$S$522,"X")</f>
        <v>0</v>
      </c>
      <c r="AD42" s="27">
        <f>COUNTIFS($Q$134:$Q$522,"IT",$AK$134:$AK$522,"V",$X$134:$X$522,"Biasa",$S$134:$S$522,"X")</f>
        <v>0</v>
      </c>
      <c r="AE42" s="27">
        <f>COUNTIFS($Q$134:$Q$522,"IT",$AL$134:$AL$522,"V",$X$134:$X$522,"Biasa",$S$134:$S$522,"X")</f>
        <v>0</v>
      </c>
      <c r="AF42" s="27">
        <f>COUNTIFS($Q$134:$Q$522,"IT",$AM$134:$AM$522,"V",$X$134:$X$522,"Biasa",$S$134:$S$522,"X")</f>
        <v>0</v>
      </c>
      <c r="AG42" s="27">
        <f t="shared" si="24"/>
        <v>0</v>
      </c>
      <c r="AS42" s="26" t="s">
        <v>39</v>
      </c>
      <c r="AT42" s="27">
        <f t="shared" ca="1" si="29"/>
        <v>2</v>
      </c>
      <c r="AU42" s="27">
        <f t="shared" si="25"/>
        <v>0</v>
      </c>
      <c r="AV42" s="38">
        <f t="shared" si="26"/>
        <v>0</v>
      </c>
      <c r="AW42" s="38">
        <f t="shared" si="26"/>
        <v>0</v>
      </c>
      <c r="AX42" s="38">
        <f t="shared" si="26"/>
        <v>0</v>
      </c>
      <c r="AY42" s="38">
        <f t="shared" si="26"/>
        <v>0</v>
      </c>
      <c r="AZ42" s="38">
        <f t="shared" si="26"/>
        <v>0</v>
      </c>
      <c r="BA42" s="27">
        <f t="shared" ca="1" si="27"/>
        <v>2</v>
      </c>
      <c r="BC42" s="1">
        <f t="shared" si="28"/>
        <v>0</v>
      </c>
      <c r="BD42" s="1">
        <f t="shared" si="28"/>
        <v>0</v>
      </c>
      <c r="CB42" s="34" t="s">
        <v>37</v>
      </c>
      <c r="CC42" s="35">
        <f ca="1">COUNTIFS($Q$134:$Q$522,"LD",$S$134:$S$522,"Y",$X$134:$X$522,"Biasa")</f>
        <v>3</v>
      </c>
      <c r="CD42" s="35">
        <f t="shared" ca="1" si="13"/>
        <v>58</v>
      </c>
      <c r="CE42" s="36">
        <f t="shared" ca="1" si="14"/>
        <v>0.96666666666666667</v>
      </c>
      <c r="CF42" s="37"/>
      <c r="CG42" s="34" t="s">
        <v>45</v>
      </c>
      <c r="CH42" s="38">
        <f>COUNTIFS($AH$134:$AH$522,"V",$X$134:$X$522,"Biasa",$S$134:$S$522,"Y")</f>
        <v>0</v>
      </c>
      <c r="CI42" s="35">
        <f t="shared" si="15"/>
        <v>0</v>
      </c>
      <c r="CJ42" s="36" t="e">
        <f t="shared" si="16"/>
        <v>#DIV/0!</v>
      </c>
      <c r="CL42" s="34" t="s">
        <v>37</v>
      </c>
      <c r="CM42" s="35">
        <f ca="1">COUNTIFS($Q$134:$Q$522,"LD",$S$134:$S$522,"X",$X$134:$X$522,"Biasa")</f>
        <v>0</v>
      </c>
      <c r="CN42" s="35">
        <f t="shared" ca="1" si="17"/>
        <v>0</v>
      </c>
      <c r="CO42" s="36" t="e">
        <f t="shared" ca="1" si="18"/>
        <v>#DIV/0!</v>
      </c>
      <c r="CQ42" s="34" t="s">
        <v>32</v>
      </c>
      <c r="CR42" s="38">
        <f>COUNTIFS($AL$134:$AL$522,"V",$X$134:$X$522,"Biasa",$S$134:$S$522,"X")</f>
        <v>0</v>
      </c>
      <c r="CS42" s="35">
        <f t="shared" si="19"/>
        <v>0</v>
      </c>
      <c r="CT42" s="36" t="e">
        <f t="shared" si="20"/>
        <v>#DIV/0!</v>
      </c>
    </row>
    <row r="43" spans="3:98" ht="25.5" customHeight="1" x14ac:dyDescent="0.25">
      <c r="C43" s="26">
        <v>5</v>
      </c>
      <c r="D43" s="176" t="s">
        <v>41</v>
      </c>
      <c r="E43" s="26" t="s">
        <v>31</v>
      </c>
      <c r="F43" s="27">
        <f>COUNTIFS($Q$134:$Q$522,"EXIM",$AH$134:$AH$522,"V",$X$134:$X$522,"Penting",$S$134:$S$522,"Y")</f>
        <v>0</v>
      </c>
      <c r="G43" s="38">
        <f>COUNTIFS($Q$134:$Q$522,"EXIM",$AI$134:$AI$522,"V",$X$134:$X$522,"Penting",$S$134:$S$522,"Y")</f>
        <v>0</v>
      </c>
      <c r="H43" s="38">
        <f>COUNTIFS($Q$134:$Q$522,"EXIM",$AJ$134:$AJ$522,"V",$X$134:$X$522,"Penting",$S$134:$S$522,"Y")</f>
        <v>0</v>
      </c>
      <c r="I43" s="38">
        <f>COUNTIFS($Q$134:$Q$522,"EXIM",$AK$134:$AK$522,"V",$X$134:$X$522,"Penting",$S$134:$S$522,"Y")</f>
        <v>0</v>
      </c>
      <c r="J43" s="38">
        <f>COUNTIFS($Q$134:$Q$522,"EXIM",$AL$134:$AL$522,"V",$X$134:$X$522,"Penting",$S$134:$S$522,"Y")</f>
        <v>0</v>
      </c>
      <c r="K43" s="38">
        <f>COUNTIFS($Q$134:$Q$522,"EXIM",$AM$134:$AM$522,"V",$X$134:$X$522,"Penting",$S$134:$S$522,"Y")</f>
        <v>0</v>
      </c>
      <c r="L43" s="27">
        <f t="shared" si="21"/>
        <v>0</v>
      </c>
      <c r="M43" s="27">
        <f>COUNTIFS($Q$134:$Q$522,"EXIM",$AH$134:$AH$522,"V",$X$134:$X$522,"Penting",$S$134:$S$522,"X")</f>
        <v>0</v>
      </c>
      <c r="N43" s="38">
        <f>COUNTIFS($Q$134:$Q$522,"EXIM",$AI$134:$AI$522,"V",$X$134:$X$522,"Penting",$S$134:$S$522,"X")</f>
        <v>0</v>
      </c>
      <c r="O43" s="38">
        <f>COUNTIFS($Q$134:$Q$522,"EXIM",$AJ$134:$AJ$522,"V",$X$134:$X$522,"Penting",$S$134:$S$522,"X")</f>
        <v>0</v>
      </c>
      <c r="P43" s="38">
        <f>COUNTIFS($Q$134:$Q$522,"EXIM",$AK$134:$AK$522,"V",$X$134:$X$522,"Penting",$S$134:$S$522,"X")</f>
        <v>0</v>
      </c>
      <c r="Q43" s="38">
        <f>COUNTIFS($Q$134:$Q$522,"EXIM",$AL$134:$AL$522,"V",$X$134:$X$522,"Penting",$S$134:$S$522,"X")</f>
        <v>0</v>
      </c>
      <c r="R43" s="38">
        <f>COUNTIFS($Q$134:$Q$522,"EXIM",$AM$134:$AM$522,"V",$X$134:$X$522,"Penting",$S$134:$S$522,"X")</f>
        <v>0</v>
      </c>
      <c r="S43" s="27">
        <f t="shared" si="22"/>
        <v>0</v>
      </c>
      <c r="T43" s="27">
        <f>COUNTIFS($Q$134:$Q$522,"EXIM",$AH$134:$AH$522,"V",$X$134:$X$522,"Biasa",$S$134:$S$522,"Y")</f>
        <v>0</v>
      </c>
      <c r="U43" s="38">
        <f>COUNTIFS($Q$134:$Q$522,"EXIM",$AI$134:$AI$522,"V",$X$134:$X$522,"Biasa",$S$134:$S$522,"Y")</f>
        <v>0</v>
      </c>
      <c r="V43" s="38">
        <f>COUNTIFS($Q$134:$Q$522,"EXIM",$AJ$134:$AJ$522,"V",$X$134:$X$522,"Biasa",$S$134:$S$522,"Y")</f>
        <v>0</v>
      </c>
      <c r="W43" s="38">
        <f>COUNTIFS($Q$134:$Q$522,"EXIM",$AK$134:$AK$522,"V",$X$134:$X$522,"Biasa",$S$134:$S$522,"Y")</f>
        <v>0</v>
      </c>
      <c r="X43" s="38">
        <f>COUNTIFS($Q$134:$Q$522,"EXIM",$AL$134:$AL$522,"V",$X$134:$X$522,"Biasa",$S$134:$S$522,"Y")</f>
        <v>0</v>
      </c>
      <c r="Y43" s="38">
        <f>COUNTIFS($Q$134:$Q$522,"EXIM",$AM$134:$AM$522,"V",$X$134:$X$522,"Biasa",$S$134:$S$522,"Y")</f>
        <v>0</v>
      </c>
      <c r="Z43" s="27">
        <f t="shared" si="23"/>
        <v>0</v>
      </c>
      <c r="AA43" s="27">
        <f>COUNTIFS($Q$134:$Q$522,"EXIM",$AH$134:$AH$522,"V",$X$134:$X$522,"Biasa",$S$134:$S$522,"X")</f>
        <v>0</v>
      </c>
      <c r="AB43" s="27">
        <f>COUNTIFS($Q$134:$Q$522,"EXIM",$AI$134:$AI$522,"V",$X$134:$X$522,"Biasa",$S$134:$S$522,"X")</f>
        <v>0</v>
      </c>
      <c r="AC43" s="27">
        <f>COUNTIFS($Q$134:$Q$522,"EXIM",$AJ$134:$AJ$522,"V",$X$134:$X$522,"Biasa",$S$134:$S$522,"X")</f>
        <v>0</v>
      </c>
      <c r="AD43" s="27">
        <f>COUNTIFS($Q$134:$Q$522,"EXIM",$AK$134:$AK$522,"V",$X$134:$X$522,"Biasa",$S$134:$S$522,"X")</f>
        <v>0</v>
      </c>
      <c r="AE43" s="27">
        <f>COUNTIFS($Q$134:$Q$522,"EXIM",$AL$134:$AL$522,"V",$X$134:$X$522,"Biasa",$S$134:$S$522,"X")</f>
        <v>0</v>
      </c>
      <c r="AF43" s="27">
        <f>COUNTIFS($Q$134:$Q$522,"EXIM",$AM$134:$AM$522,"V",$X$134:$X$522,"Biasa",$S$134:$S$522,"X")</f>
        <v>0</v>
      </c>
      <c r="AG43" s="27">
        <f t="shared" si="24"/>
        <v>0</v>
      </c>
      <c r="AS43" s="26" t="s">
        <v>31</v>
      </c>
      <c r="AT43" s="27">
        <f t="shared" ca="1" si="29"/>
        <v>7</v>
      </c>
      <c r="AU43" s="27">
        <f t="shared" si="25"/>
        <v>0</v>
      </c>
      <c r="AV43" s="38">
        <f t="shared" si="26"/>
        <v>0</v>
      </c>
      <c r="AW43" s="38">
        <f t="shared" si="26"/>
        <v>0</v>
      </c>
      <c r="AX43" s="38">
        <f t="shared" si="26"/>
        <v>0</v>
      </c>
      <c r="AY43" s="38">
        <f t="shared" si="26"/>
        <v>0</v>
      </c>
      <c r="AZ43" s="38">
        <f t="shared" si="26"/>
        <v>0</v>
      </c>
      <c r="BA43" s="27">
        <f t="shared" ca="1" si="27"/>
        <v>7</v>
      </c>
      <c r="BC43" s="1">
        <f t="shared" si="28"/>
        <v>0</v>
      </c>
      <c r="BD43" s="1">
        <f t="shared" si="28"/>
        <v>0</v>
      </c>
      <c r="CB43" s="34" t="s">
        <v>39</v>
      </c>
      <c r="CC43" s="35">
        <f ca="1">COUNTIFS($Q$134:$Q$522,"IT",$S$134:$S$522,"Y",$X$134:$X$522,"Biasa")</f>
        <v>0</v>
      </c>
      <c r="CD43" s="35">
        <f t="shared" ca="1" si="13"/>
        <v>58</v>
      </c>
      <c r="CE43" s="36">
        <f t="shared" ca="1" si="14"/>
        <v>0.96666666666666667</v>
      </c>
      <c r="CF43" s="37"/>
      <c r="CG43" s="34" t="s">
        <v>44</v>
      </c>
      <c r="CH43" s="38">
        <f>COUNTIFS($AM$134:$AM$522,"V",$X$134:$X$522,"Biasa",$S$134:$S$522,"Y")</f>
        <v>0</v>
      </c>
      <c r="CI43" s="35">
        <f t="shared" si="15"/>
        <v>0</v>
      </c>
      <c r="CJ43" s="36" t="e">
        <f t="shared" si="16"/>
        <v>#DIV/0!</v>
      </c>
      <c r="CL43" s="34" t="s">
        <v>33</v>
      </c>
      <c r="CM43" s="35">
        <f ca="1">COUNTIFS($Q$134:$Q$522,"MPC",$S$134:$S$522,"X",$X$134:$X$522,"Biasa")</f>
        <v>0</v>
      </c>
      <c r="CN43" s="35">
        <f t="shared" ca="1" si="17"/>
        <v>0</v>
      </c>
      <c r="CO43" s="36" t="e">
        <f t="shared" ca="1" si="18"/>
        <v>#DIV/0!</v>
      </c>
      <c r="CQ43" s="34" t="s">
        <v>45</v>
      </c>
      <c r="CR43" s="38">
        <f>COUNTIFS($AH$134:$AH$522,"V",$X$134:$X$522,"Biasa",$S$134:$S$522,"X")</f>
        <v>0</v>
      </c>
      <c r="CS43" s="35">
        <f t="shared" si="19"/>
        <v>0</v>
      </c>
      <c r="CT43" s="36" t="e">
        <f t="shared" si="20"/>
        <v>#DIV/0!</v>
      </c>
    </row>
    <row r="44" spans="3:98" ht="25.5" customHeight="1" x14ac:dyDescent="0.25">
      <c r="C44" s="26">
        <v>6</v>
      </c>
      <c r="D44" s="177"/>
      <c r="E44" s="26" t="s">
        <v>40</v>
      </c>
      <c r="F44" s="27">
        <f>COUNTIFS($Q$134:$Q$522,"PPC",$AH$134:$AH$522,"V",$X$134:$X$522,"Penting",$S$134:$S$522,"Y")</f>
        <v>0</v>
      </c>
      <c r="G44" s="38">
        <f>COUNTIFS($Q$134:$Q$522,"PPC",$AI$134:$AI$522,"V",$X$134:$X$522,"Penting",$S$134:$S$522,"Y")</f>
        <v>0</v>
      </c>
      <c r="H44" s="38">
        <f>COUNTIFS($Q$134:$Q$522,"PPC",$AJ$134:$AJ$522,"V",$X$134:$X$522,"Penting",$S$134:$S$522,"Y")</f>
        <v>0</v>
      </c>
      <c r="I44" s="38">
        <f>COUNTIFS($Q$134:$Q$522,"PPC",$AK$134:$AK$522,"V",$X$134:$X$522,"Penting",$S$134:$S$522,"Y")</f>
        <v>0</v>
      </c>
      <c r="J44" s="38">
        <f>COUNTIFS($Q$134:$Q$522,"PPC",$AL$134:$AL$522,"V",$X$134:$X$522,"Penting",$S$134:$S$522,"Y")</f>
        <v>0</v>
      </c>
      <c r="K44" s="38">
        <f>COUNTIFS($Q$134:$Q$522,"PPC",$AM$134:$AM$522,"V",$X$134:$X$522,"Penting",$S$134:$S$522,"Y")</f>
        <v>0</v>
      </c>
      <c r="L44" s="27">
        <f t="shared" si="21"/>
        <v>0</v>
      </c>
      <c r="M44" s="27">
        <f>COUNTIFS($Q$134:$Q$522,"PPC",$AH$134:$AH$522,"V",$X$134:$X$522,"Penting",$S$134:$S$522,"X")</f>
        <v>0</v>
      </c>
      <c r="N44" s="38">
        <f>COUNTIFS($Q$134:$Q$522,"PPC",$AI$134:$AI$522,"V",$X$134:$X$522,"Penting",$S$134:$S$522,"X")</f>
        <v>0</v>
      </c>
      <c r="O44" s="38">
        <f>COUNTIFS($Q$134:$Q$522,"PPC",$AJ$134:$AJ$522,"V",$X$134:$X$522,"Penting",$S$134:$S$522,"X")</f>
        <v>0</v>
      </c>
      <c r="P44" s="38">
        <f>COUNTIFS($Q$134:$Q$522,"PPC",$AK$134:$AK$522,"V",$X$134:$X$522,"Penting",$S$134:$S$522,"X")</f>
        <v>0</v>
      </c>
      <c r="Q44" s="38">
        <f>COUNTIFS($Q$134:$Q$522,"PPC",$AL$134:$AL$522,"V",$X$134:$X$522,"Penting",$S$134:$S$522,"X")</f>
        <v>0</v>
      </c>
      <c r="R44" s="38">
        <f>COUNTIFS($Q$134:$Q$522,"PPC",$AM$134:$AM$522,"V",$X$134:$X$522,"Penting",$S$134:$S$522,"X")</f>
        <v>0</v>
      </c>
      <c r="S44" s="27">
        <f t="shared" si="22"/>
        <v>0</v>
      </c>
      <c r="T44" s="27">
        <f>COUNTIFS($Q$134:$Q$522,"PPC",$AH$134:$AH$522,"V",$X$134:$X$522,"Biasa",$S$134:$S$522,"Y")</f>
        <v>0</v>
      </c>
      <c r="U44" s="38">
        <f>COUNTIFS($Q$134:$Q$522,"PPC",$AI$134:$AI$522,"V",$X$134:$X$522,"Biasa",$S$134:$S$522,"Y")</f>
        <v>0</v>
      </c>
      <c r="V44" s="38">
        <f>COUNTIFS($Q$134:$Q$522,"PPC",$AJ$134:$AJ$522,"V",$X$134:$X$522,"Biasa",$S$134:$S$522,"Y")</f>
        <v>0</v>
      </c>
      <c r="W44" s="38">
        <f>COUNTIFS($Q$134:$Q$522,"PPC",$AK$134:$AK$522,"V",$X$134:$X$522,"Biasa",$S$134:$S$522,"Y")</f>
        <v>0</v>
      </c>
      <c r="X44" s="38">
        <f>COUNTIFS($Q$134:$Q$522,"PPC",$AL$134:$AL$522,"V",$X$134:$X$522,"Biasa",$S$134:$S$522,"Y")</f>
        <v>0</v>
      </c>
      <c r="Y44" s="38">
        <f>COUNTIFS($Q$134:$Q$522,"PPC",$AM$134:$AM$522,"V",$X$134:$X$522,"Biasa",$S$134:$S$522,"Y")</f>
        <v>0</v>
      </c>
      <c r="Z44" s="27">
        <f t="shared" si="23"/>
        <v>0</v>
      </c>
      <c r="AA44" s="27">
        <f>COUNTIFS($Q$134:$Q$522,"PPC",$AH$134:$AH$522,"V",$X$134:$X$522,"Biasa",$S$134:$S$522,"X")</f>
        <v>0</v>
      </c>
      <c r="AB44" s="27">
        <f>COUNTIFS($Q$134:$Q$522,"PPC",$AI$134:$AI$522,"V",$X$134:$X$522,"Biasa",$S$134:$S$522,"X")</f>
        <v>0</v>
      </c>
      <c r="AC44" s="27">
        <f>COUNTIFS($Q$134:$Q$522,"PPC",$AJ$134:$AJ$522,"V",$X$134:$X$522,"Biasa",$S$134:$S$522,"X")</f>
        <v>0</v>
      </c>
      <c r="AD44" s="27">
        <f>COUNTIFS($Q$134:$Q$522,"PPC",$AK$134:$AK$522,"V",$X$134:$X$522,"Biasa",$S$134:$S$522,"X")</f>
        <v>0</v>
      </c>
      <c r="AE44" s="27">
        <f>COUNTIFS($Q$134:$Q$522,"PPC",$AL$134:$AL$522,"V",$X$134:$X$522,"Biasa",$S$134:$S$522,"X")</f>
        <v>0</v>
      </c>
      <c r="AF44" s="27">
        <f>COUNTIFS($Q$134:$Q$522,"PPC",$AM$134:$AM$522,"V",$X$134:$X$522,"Biasa",$S$134:$S$522,"X")</f>
        <v>0</v>
      </c>
      <c r="AG44" s="27">
        <f t="shared" si="24"/>
        <v>0</v>
      </c>
      <c r="AS44" s="26" t="s">
        <v>40</v>
      </c>
      <c r="AT44" s="27">
        <f t="shared" ca="1" si="29"/>
        <v>4</v>
      </c>
      <c r="AU44" s="27">
        <f t="shared" si="25"/>
        <v>0</v>
      </c>
      <c r="AV44" s="38">
        <f t="shared" si="26"/>
        <v>0</v>
      </c>
      <c r="AW44" s="38">
        <f t="shared" si="26"/>
        <v>0</v>
      </c>
      <c r="AX44" s="38">
        <f t="shared" si="26"/>
        <v>0</v>
      </c>
      <c r="AY44" s="38">
        <f t="shared" si="26"/>
        <v>0</v>
      </c>
      <c r="AZ44" s="38">
        <f t="shared" si="26"/>
        <v>0</v>
      </c>
      <c r="BA44" s="27">
        <f t="shared" ca="1" si="27"/>
        <v>4</v>
      </c>
      <c r="BC44" s="1">
        <f t="shared" si="28"/>
        <v>0</v>
      </c>
      <c r="BD44" s="1">
        <f t="shared" si="28"/>
        <v>0</v>
      </c>
      <c r="CB44" s="34" t="s">
        <v>30</v>
      </c>
      <c r="CC44" s="35">
        <f ca="1">COUNTIFS($Q$134:$Q$522,"SHE",$S$134:$S$522,"Y",$X$134:$X$522,"Biasa")</f>
        <v>0</v>
      </c>
      <c r="CD44" s="35">
        <f t="shared" ca="1" si="13"/>
        <v>58</v>
      </c>
      <c r="CE44" s="36">
        <f t="shared" ca="1" si="14"/>
        <v>0.96666666666666667</v>
      </c>
      <c r="CF44" s="37"/>
      <c r="CL44" s="34" t="s">
        <v>31</v>
      </c>
      <c r="CM44" s="35">
        <f ca="1">COUNTIFS($Q$134:$Q$522,"EXIM",$S$134:$S$522,"X",$X$134:$X$522,"Biasa")</f>
        <v>0</v>
      </c>
      <c r="CN44" s="35">
        <f t="shared" ca="1" si="17"/>
        <v>0</v>
      </c>
      <c r="CO44" s="36" t="e">
        <f t="shared" ca="1" si="18"/>
        <v>#DIV/0!</v>
      </c>
    </row>
    <row r="45" spans="3:98" ht="25.5" customHeight="1" x14ac:dyDescent="0.25">
      <c r="C45" s="26">
        <v>7</v>
      </c>
      <c r="D45" s="177"/>
      <c r="E45" s="26" t="s">
        <v>37</v>
      </c>
      <c r="F45" s="27">
        <f>COUNTIFS($Q$134:$Q$522,"LD",$AH$134:$AH$522,"V",$X$134:$X$522,"Penting",$S$134:$S$522,"Y")</f>
        <v>0</v>
      </c>
      <c r="G45" s="38">
        <f>COUNTIFS($Q$134:$Q$522,"LD",$AI$134:$AI$522,"V",$X$134:$X$522,"Penting",$S$134:$S$522,"Y")</f>
        <v>0</v>
      </c>
      <c r="H45" s="38">
        <f>COUNTIFS($Q$134:$Q$522,"LD",$AJ$134:$AJ$522,"V",$X$134:$X$522,"Penting",$S$134:$S$522,"Y")</f>
        <v>0</v>
      </c>
      <c r="I45" s="38">
        <f>COUNTIFS($Q$134:$Q$522,"LD",$AK$134:$AK$522,"V",$X$134:$X$522,"Penting",$S$134:$S$522,"Y")</f>
        <v>0</v>
      </c>
      <c r="J45" s="38">
        <f>COUNTIFS($Q$134:$Q$522,"LD",$AL$134:$AL$522,"V",$X$134:$X$522,"Penting",$S$134:$S$522,"Y")</f>
        <v>0</v>
      </c>
      <c r="K45" s="38">
        <f>COUNTIFS($Q$134:$Q$522,"LD",$AM$134:$AM$522,"V",$X$134:$X$522,"Penting",$S$134:$S$522,"Y")</f>
        <v>0</v>
      </c>
      <c r="L45" s="27">
        <f t="shared" si="21"/>
        <v>0</v>
      </c>
      <c r="M45" s="27">
        <f>COUNTIFS($Q$134:$Q$522,"LD",$AH$134:$AH$522,"V",$X$134:$X$522,"Penting",$S$134:$S$522,"X")</f>
        <v>0</v>
      </c>
      <c r="N45" s="38">
        <f>COUNTIFS($Q$134:$Q$522,"LD",$AI$134:$AI$522,"V",$X$134:$X$522,"Penting",$S$134:$S$522,"X")</f>
        <v>0</v>
      </c>
      <c r="O45" s="38">
        <f>COUNTIFS($Q$134:$Q$522,"LD",$AJ$134:$AJ$522,"V",$X$134:$X$522,"Penting",$S$134:$S$522,"X")</f>
        <v>0</v>
      </c>
      <c r="P45" s="38">
        <f>COUNTIFS($Q$134:$Q$522,"LD",$AK$134:$AK$522,"V",$X$134:$X$522,"Penting",$S$134:$S$522,"X")</f>
        <v>0</v>
      </c>
      <c r="Q45" s="38">
        <f>COUNTIFS($Q$134:$Q$522,"LD",$AL$134:$AL$522,"V",$X$134:$X$522,"Penting",$S$134:$S$522,"X")</f>
        <v>0</v>
      </c>
      <c r="R45" s="38">
        <f>COUNTIFS($Q$134:$Q$522,"LD",$AM$134:$AM$522,"V",$X$134:$X$522,"Penting",$S$134:$S$522,"X")</f>
        <v>0</v>
      </c>
      <c r="S45" s="27">
        <f t="shared" si="22"/>
        <v>0</v>
      </c>
      <c r="T45" s="27">
        <f>COUNTIFS($Q$134:$Q$522,"LD",$AH$134:$AH$522,"V",$X$134:$X$522,"Biasa",$S$134:$S$522,"Y")</f>
        <v>0</v>
      </c>
      <c r="U45" s="38">
        <f>COUNTIFS($Q$134:$Q$522,"LD",$AI$134:$AI$522,"V",$X$134:$X$522,"Biasa",$S$134:$S$522,"Y")</f>
        <v>0</v>
      </c>
      <c r="V45" s="38">
        <f>COUNTIFS($Q$134:$Q$522,"LD",$AJ$134:$AJ$522,"V",$X$134:$X$522,"Biasa",$S$134:$S$522,"Y")</f>
        <v>0</v>
      </c>
      <c r="W45" s="38">
        <f>COUNTIFS($Q$134:$Q$522,"LD",$AK$134:$AK$522,"V",$X$134:$X$522,"Biasa",$S$134:$S$522,"Y")</f>
        <v>0</v>
      </c>
      <c r="X45" s="38">
        <f>COUNTIFS($Q$134:$Q$522,"LD",$AL$134:$AL$522,"V",$X$134:$X$522,"Biasa",$S$134:$S$522,"Y")</f>
        <v>0</v>
      </c>
      <c r="Y45" s="38">
        <f>COUNTIFS($Q$134:$Q$522,"LD",$AM$134:$AM$522,"V",$X$134:$X$522,"Biasa",$S$134:$S$522,"Y")</f>
        <v>0</v>
      </c>
      <c r="Z45" s="27">
        <f t="shared" si="23"/>
        <v>0</v>
      </c>
      <c r="AA45" s="27">
        <f>COUNTIFS($Q$134:$Q$522,"LD",$AH$134:$AH$522,"V",$X$134:$X$522,"Biasa",$S$134:$S$522,"X")</f>
        <v>0</v>
      </c>
      <c r="AB45" s="27">
        <f>COUNTIFS($Q$134:$Q$522,"LD",$AI$134:$AI$522,"V",$X$134:$X$522,"Biasa",$S$134:$S$522,"X")</f>
        <v>0</v>
      </c>
      <c r="AC45" s="27">
        <f>COUNTIFS($Q$134:$Q$522,"LD",$AJ$134:$AJ$522,"V",$X$134:$X$522,"Biasa",$S$134:$S$522,"X")</f>
        <v>0</v>
      </c>
      <c r="AD45" s="27">
        <f>COUNTIFS($Q$134:$Q$522,"LD",$AK$134:$AK$522,"V",$X$134:$X$522,"Biasa",$S$134:$S$522,"X")</f>
        <v>0</v>
      </c>
      <c r="AE45" s="27">
        <f>COUNTIFS($Q$134:$Q$522,"LD",$AL$134:$AL$522,"V",$X$134:$X$522,"Biasa",$S$134:$S$522,"X")</f>
        <v>0</v>
      </c>
      <c r="AF45" s="27">
        <f>COUNTIFS($Q$134:$Q$522,"LD",$AM$134:$AM$522,"V",$X$134:$X$522,"Biasa",$S$134:$S$522,"X")</f>
        <v>0</v>
      </c>
      <c r="AG45" s="27">
        <f t="shared" si="24"/>
        <v>0</v>
      </c>
      <c r="AS45" s="26" t="s">
        <v>37</v>
      </c>
      <c r="AT45" s="27">
        <f t="shared" ca="1" si="29"/>
        <v>2</v>
      </c>
      <c r="AU45" s="27">
        <f t="shared" si="25"/>
        <v>0</v>
      </c>
      <c r="AV45" s="38">
        <f t="shared" si="26"/>
        <v>0</v>
      </c>
      <c r="AW45" s="38">
        <f t="shared" si="26"/>
        <v>0</v>
      </c>
      <c r="AX45" s="38">
        <f t="shared" si="26"/>
        <v>0</v>
      </c>
      <c r="AY45" s="38">
        <f t="shared" si="26"/>
        <v>0</v>
      </c>
      <c r="AZ45" s="38">
        <f t="shared" si="26"/>
        <v>0</v>
      </c>
      <c r="BA45" s="27">
        <f t="shared" ca="1" si="27"/>
        <v>2</v>
      </c>
      <c r="BC45" s="1">
        <f t="shared" si="28"/>
        <v>0</v>
      </c>
      <c r="BD45" s="1">
        <f t="shared" si="28"/>
        <v>0</v>
      </c>
      <c r="CB45" s="34" t="s">
        <v>48</v>
      </c>
      <c r="CC45" s="35">
        <f ca="1">COUNTIFS($Q$134:$Q$522,"FA",$S$134:$S$522,"Y",$X$134:$X$522,"Biasa")</f>
        <v>2</v>
      </c>
      <c r="CD45" s="35">
        <f t="shared" ca="1" si="13"/>
        <v>60</v>
      </c>
      <c r="CE45" s="36">
        <f t="shared" ca="1" si="14"/>
        <v>1</v>
      </c>
      <c r="CF45" s="37"/>
      <c r="CL45" s="34" t="s">
        <v>40</v>
      </c>
      <c r="CM45" s="35">
        <f ca="1">COUNTIFS($Q$134:$Q$522,"PPC",$S$134:$S$522,"X",$X$134:$X$522,"Biasa")</f>
        <v>0</v>
      </c>
      <c r="CN45" s="35">
        <f t="shared" ca="1" si="17"/>
        <v>0</v>
      </c>
      <c r="CO45" s="36" t="e">
        <f t="shared" ca="1" si="18"/>
        <v>#DIV/0!</v>
      </c>
    </row>
    <row r="46" spans="3:98" ht="25.5" customHeight="1" x14ac:dyDescent="0.25">
      <c r="C46" s="26">
        <v>8</v>
      </c>
      <c r="D46" s="177"/>
      <c r="E46" s="26" t="s">
        <v>33</v>
      </c>
      <c r="F46" s="27">
        <f>COUNTIFS($Q$134:$Q$522,"MPC",$AH$134:$AH$522,"V",$X$134:$X$522,"Penting",$S$134:$S$522,"Y")</f>
        <v>0</v>
      </c>
      <c r="G46" s="38">
        <f>COUNTIFS($Q$134:$Q$522,"MPC",$AI$134:$AI$522,"V",$X$134:$X$522,"Penting",$S$134:$S$522,"Y")</f>
        <v>0</v>
      </c>
      <c r="H46" s="38">
        <f>COUNTIFS($Q$134:$Q$522,"MPC",$AJ$134:$AJ$522,"V",$X$134:$X$522,"Penting",$S$134:$S$522,"Y")</f>
        <v>0</v>
      </c>
      <c r="I46" s="38">
        <f>COUNTIFS($Q$134:$Q$522,"MPC",$AK$134:$AK$522,"V",$X$134:$X$522,"Penting",$S$134:$S$522,"Y")</f>
        <v>0</v>
      </c>
      <c r="J46" s="38">
        <f>COUNTIFS($Q$134:$Q$522,"MPC",$AL$134:$AL$522,"V",$X$134:$X$522,"Penting",$S$134:$S$522,"Y")</f>
        <v>0</v>
      </c>
      <c r="K46" s="38">
        <f>COUNTIFS($Q$134:$Q$522,"MPC",$AM$134:$AM$522,"V",$X$134:$X$522,"Penting",$S$134:$S$522,"Y")</f>
        <v>0</v>
      </c>
      <c r="L46" s="27">
        <f t="shared" si="21"/>
        <v>0</v>
      </c>
      <c r="M46" s="27">
        <f>COUNTIFS($Q$134:$Q$522,"MPC",$AH$134:$AH$522,"V",$X$134:$X$522,"Penting",$S$134:$S$522,"X")</f>
        <v>0</v>
      </c>
      <c r="N46" s="38">
        <f>COUNTIFS($Q$134:$Q$522,"MPC",$AI$134:$AI$522,"V",$X$134:$X$522,"Penting",$S$134:$S$522,"X")</f>
        <v>4</v>
      </c>
      <c r="O46" s="38">
        <f>COUNTIFS($Q$134:$Q$522,"MPC",$AJ$134:$AJ$522,"V",$X$134:$X$522,"Penting",$S$134:$S$522,"X")</f>
        <v>0</v>
      </c>
      <c r="P46" s="38">
        <f>COUNTIFS($Q$134:$Q$522,"MPC",$AK$134:$AK$522,"V",$X$134:$X$522,"Penting",$S$134:$S$522,"X")</f>
        <v>0</v>
      </c>
      <c r="Q46" s="38">
        <f>COUNTIFS($Q$134:$Q$522,"MPC",$AL$134:$AL$522,"V",$X$134:$X$522,"Penting",$S$134:$S$522,"X")</f>
        <v>0</v>
      </c>
      <c r="R46" s="38">
        <f>COUNTIFS($Q$134:$Q$522,"MPC",$AM$134:$AM$522,"V",$X$134:$X$522,"Penting",$S$134:$S$522,"X")</f>
        <v>0</v>
      </c>
      <c r="S46" s="27">
        <f t="shared" si="22"/>
        <v>4</v>
      </c>
      <c r="T46" s="27">
        <f>COUNTIFS($Q$134:$Q$522,"MPC",$AH$134:$AH$522,"V",$X$134:$X$522,"Biasa",$S$134:$S$522,"Y")</f>
        <v>0</v>
      </c>
      <c r="U46" s="38">
        <f>COUNTIFS($Q$134:$Q$522,"MPC",$AI$134:$AI$522,"V",$X$134:$X$522,"Biasa",$S$134:$S$522,"Y")</f>
        <v>0</v>
      </c>
      <c r="V46" s="38">
        <f>COUNTIFS($Q$134:$Q$522,"MPC",$AJ$134:$AJ$522,"V",$X$134:$X$522,"Biasa",$S$134:$S$522,"Y")</f>
        <v>0</v>
      </c>
      <c r="W46" s="38">
        <f>COUNTIFS($Q$134:$Q$522,"MPC",$AK$134:$AK$522,"V",$X$134:$X$522,"Biasa",$S$134:$S$522,"Y")</f>
        <v>0</v>
      </c>
      <c r="X46" s="38">
        <f>COUNTIFS($Q$134:$Q$522,"MPC",$AL$134:$AL$522,"V",$X$134:$X$522,"Biasa",$S$134:$S$522,"Y")</f>
        <v>0</v>
      </c>
      <c r="Y46" s="38">
        <f>COUNTIFS($Q$134:$Q$522,"MPC",$AM$134:$AM$522,"V",$X$134:$X$522,"Biasa",$S$134:$S$522,"Y")</f>
        <v>0</v>
      </c>
      <c r="Z46" s="27">
        <f t="shared" si="23"/>
        <v>0</v>
      </c>
      <c r="AA46" s="27">
        <f>COUNTIFS($Q$134:$Q$522,"MPC",$AH$134:$AH$522,"V",$X$134:$X$522,"Biasa",$S$134:$S$522,"X")</f>
        <v>0</v>
      </c>
      <c r="AB46" s="27">
        <f>COUNTIFS($Q$134:$Q$522,"MPC",$AI$134:$AI$522,"V",$X$134:$X$522,"Biasa",$S$134:$S$522,"X")</f>
        <v>0</v>
      </c>
      <c r="AC46" s="27">
        <f>COUNTIFS($Q$134:$Q$522,"MPC",$AJ$134:$AJ$522,"V",$X$134:$X$522,"Biasa",$S$134:$S$522,"X")</f>
        <v>0</v>
      </c>
      <c r="AD46" s="27">
        <f>COUNTIFS($Q$134:$Q$522,"MPC",$AK$134:$AK$522,"V",$X$134:$X$522,"Biasa",$S$134:$S$522,"X")</f>
        <v>0</v>
      </c>
      <c r="AE46" s="27">
        <f>COUNTIFS($Q$134:$Q$522,"MPC",$AL$134:$AL$522,"V",$X$134:$X$522,"Biasa",$S$134:$S$522,"X")</f>
        <v>0</v>
      </c>
      <c r="AF46" s="27">
        <f>COUNTIFS($Q$134:$Q$522,"MPC",$AM$134:$AM$522,"V",$X$134:$X$522,"Biasa",$S$134:$S$522,"X")</f>
        <v>0</v>
      </c>
      <c r="AG46" s="27">
        <f t="shared" si="24"/>
        <v>0</v>
      </c>
      <c r="AS46" s="26" t="s">
        <v>33</v>
      </c>
      <c r="AT46" s="27">
        <f t="shared" ca="1" si="29"/>
        <v>9</v>
      </c>
      <c r="AU46" s="27">
        <f t="shared" si="25"/>
        <v>4</v>
      </c>
      <c r="AV46" s="38">
        <f t="shared" si="26"/>
        <v>4</v>
      </c>
      <c r="AW46" s="38">
        <f t="shared" si="26"/>
        <v>0</v>
      </c>
      <c r="AX46" s="38">
        <f t="shared" si="26"/>
        <v>0</v>
      </c>
      <c r="AY46" s="38">
        <f t="shared" si="26"/>
        <v>0</v>
      </c>
      <c r="AZ46" s="38">
        <f t="shared" si="26"/>
        <v>0</v>
      </c>
      <c r="BA46" s="27">
        <f t="shared" ca="1" si="27"/>
        <v>13</v>
      </c>
      <c r="BC46" s="1">
        <f t="shared" si="28"/>
        <v>4</v>
      </c>
      <c r="BD46" s="1">
        <f t="shared" si="28"/>
        <v>4</v>
      </c>
      <c r="CB46" s="34" t="s">
        <v>31</v>
      </c>
      <c r="CC46" s="35">
        <f ca="1">COUNTIFS($Q$134:$Q$522,"EXIM",$S$134:$S$522,"Y",$X$134:$X$522,"Biasa")</f>
        <v>0</v>
      </c>
      <c r="CD46" s="35">
        <f t="shared" ca="1" si="13"/>
        <v>60</v>
      </c>
      <c r="CE46" s="36">
        <f t="shared" ca="1" si="14"/>
        <v>1</v>
      </c>
      <c r="CF46" s="37"/>
      <c r="CL46" s="34" t="s">
        <v>30</v>
      </c>
      <c r="CM46" s="35">
        <f ca="1">COUNTIFS($Q$134:$Q$522,"SHE",$S$134:$S$522,"X",$X$134:$X$522,"Biasa")</f>
        <v>0</v>
      </c>
      <c r="CN46" s="35">
        <f t="shared" ca="1" si="17"/>
        <v>0</v>
      </c>
      <c r="CO46" s="36" t="e">
        <f t="shared" ca="1" si="18"/>
        <v>#DIV/0!</v>
      </c>
    </row>
    <row r="47" spans="3:98" ht="25.5" customHeight="1" x14ac:dyDescent="0.25">
      <c r="C47" s="26">
        <v>9</v>
      </c>
      <c r="D47" s="178"/>
      <c r="E47" s="26" t="s">
        <v>46</v>
      </c>
      <c r="F47" s="27">
        <f>COUNTIFS($Q$134:$Q$522,"WHS",$AH$134:$AH$522,"V",$X$134:$X$522,"Penting",$S$134:$S$522,"Y")</f>
        <v>0</v>
      </c>
      <c r="G47" s="38">
        <f>COUNTIFS($Q$134:$Q$522,"WHS",$AI$134:$AI$522,"V",$X$134:$X$522,"Penting",$S$134:$S$522,"Y")</f>
        <v>0</v>
      </c>
      <c r="H47" s="38">
        <f>COUNTIFS($Q$134:$Q$522,"WHS",$AJ$134:$AJ$522,"V",$X$134:$X$522,"Penting",$S$134:$S$522,"Y")</f>
        <v>0</v>
      </c>
      <c r="I47" s="38">
        <f>COUNTIFS($Q$134:$Q$522,"WHS",$AK$134:$AK$522,"V",$X$134:$X$522,"Penting",$S$134:$S$522,"Y")</f>
        <v>0</v>
      </c>
      <c r="J47" s="38">
        <f>COUNTIFS($Q$134:$Q$522,"WHS",$AL$134:$AL$522,"V",$X$134:$X$522,"Penting",$S$134:$S$522,"Y")</f>
        <v>0</v>
      </c>
      <c r="K47" s="38">
        <f>COUNTIFS($Q$134:$Q$522,"WHS",$AM$134:$AM$522,"V",$X$134:$X$522,"Penting",$S$134:$S$522,"Y")</f>
        <v>0</v>
      </c>
      <c r="L47" s="27">
        <f t="shared" si="21"/>
        <v>0</v>
      </c>
      <c r="M47" s="27">
        <f>COUNTIFS($Q$134:$Q$522,"WHS",$AH$134:$AH$522,"V",$X$134:$X$522,"Penting",$S$134:$S$522,"X")</f>
        <v>0</v>
      </c>
      <c r="N47" s="38">
        <f>COUNTIFS($Q$134:$Q$522,"WHS",$AI$134:$AI$522,"V",$X$134:$X$522,"Penting",$S$134:$S$522,"X")</f>
        <v>0</v>
      </c>
      <c r="O47" s="38">
        <f>COUNTIFS($Q$134:$Q$522,"WHS",$AJ$134:$AJ$522,"V",$X$134:$X$522,"Penting",$S$134:$S$522,"X")</f>
        <v>0</v>
      </c>
      <c r="P47" s="38">
        <f>COUNTIFS($Q$134:$Q$522,"WHS",$AK$134:$AK$522,"V",$X$134:$X$522,"Penting",$S$134:$S$522,"X")</f>
        <v>0</v>
      </c>
      <c r="Q47" s="38">
        <f>COUNTIFS($Q$134:$Q$522,"WHS",$AL$134:$AL$522,"V",$X$134:$X$522,"Penting",$S$134:$S$522,"X")</f>
        <v>0</v>
      </c>
      <c r="R47" s="38">
        <f>COUNTIFS($Q$134:$Q$522,"WHS",$AM$134:$AM$522,"V",$X$134:$X$522,"Penting",$S$134:$S$522,"X")</f>
        <v>0</v>
      </c>
      <c r="S47" s="27">
        <f t="shared" si="22"/>
        <v>0</v>
      </c>
      <c r="T47" s="27">
        <f>COUNTIFS($Q$134:$Q$522,"WHS",$AH$134:$AH$522,"V",$X$134:$X$522,"Biasa",$S$134:$S$522,"Y")</f>
        <v>0</v>
      </c>
      <c r="U47" s="38">
        <f>COUNTIFS($Q$134:$Q$522,"WHS",$AI$134:$AI$522,"V",$X$134:$X$522,"Biasa",$S$134:$S$522,"Y")</f>
        <v>0</v>
      </c>
      <c r="V47" s="38">
        <f>COUNTIFS($Q$134:$Q$522,"WHS",$AJ$134:$AJ$522,"V",$X$134:$X$522,"Biasa",$S$134:$S$522,"Y")</f>
        <v>0</v>
      </c>
      <c r="W47" s="38">
        <f>COUNTIFS($Q$134:$Q$522,"WHS",$AK$134:$AK$522,"V",$X$134:$X$522,"Biasa",$S$134:$S$522,"Y")</f>
        <v>0</v>
      </c>
      <c r="X47" s="38">
        <f>COUNTIFS($Q$134:$Q$522,"WHS",$AL$134:$AL$522,"V",$X$134:$X$522,"Biasa",$S$134:$S$522,"Y")</f>
        <v>0</v>
      </c>
      <c r="Y47" s="38">
        <f>COUNTIFS($Q$134:$Q$522,"WHS",$AM$134:$AM$522,"V",$X$134:$X$522,"Biasa",$S$134:$S$522,"Y")</f>
        <v>0</v>
      </c>
      <c r="Z47" s="27">
        <f t="shared" si="23"/>
        <v>0</v>
      </c>
      <c r="AA47" s="27">
        <f>COUNTIFS($Q$134:$Q$522,"WHS",$AH$134:$AH$522,"V",$X$134:$X$522,"Biasa",$S$134:$S$522,"X")</f>
        <v>0</v>
      </c>
      <c r="AB47" s="27">
        <f>COUNTIFS($Q$134:$Q$522,"WHS",$AI$134:$AI$522,"V",$X$134:$X$522,"Biasa",$S$134:$S$522,"X")</f>
        <v>0</v>
      </c>
      <c r="AC47" s="27">
        <f>COUNTIFS($Q$134:$Q$522,"WHS",$AJ$134:$AJ$522,"V",$X$134:$X$522,"Biasa",$S$134:$S$522,"X")</f>
        <v>0</v>
      </c>
      <c r="AD47" s="27">
        <f>COUNTIFS($Q$134:$Q$522,"WHS",$AK$134:$AK$522,"V",$X$134:$X$522,"Biasa",$S$134:$S$522,"X")</f>
        <v>0</v>
      </c>
      <c r="AE47" s="27">
        <f>COUNTIFS($Q$134:$Q$522,"WHS",$AL$134:$AL$522,"V",$X$134:$X$522,"Biasa",$S$134:$S$522,"X")</f>
        <v>0</v>
      </c>
      <c r="AF47" s="27">
        <f>COUNTIFS($Q$134:$Q$522,"WHS",$AM$134:$AM$522,"V",$X$134:$X$522,"Biasa",$S$134:$S$522,"X")</f>
        <v>0</v>
      </c>
      <c r="AG47" s="27">
        <f t="shared" si="24"/>
        <v>0</v>
      </c>
      <c r="AS47" s="26" t="s">
        <v>46</v>
      </c>
      <c r="AT47" s="27">
        <f t="shared" ca="1" si="29"/>
        <v>2</v>
      </c>
      <c r="AU47" s="27">
        <f t="shared" si="25"/>
        <v>0</v>
      </c>
      <c r="AV47" s="38">
        <f t="shared" si="26"/>
        <v>0</v>
      </c>
      <c r="AW47" s="38">
        <f t="shared" si="26"/>
        <v>0</v>
      </c>
      <c r="AX47" s="38">
        <f t="shared" si="26"/>
        <v>0</v>
      </c>
      <c r="AY47" s="38">
        <f t="shared" si="26"/>
        <v>0</v>
      </c>
      <c r="AZ47" s="38">
        <f t="shared" si="26"/>
        <v>0</v>
      </c>
      <c r="BA47" s="27">
        <f t="shared" ca="1" si="27"/>
        <v>2</v>
      </c>
      <c r="BC47" s="1">
        <f t="shared" si="28"/>
        <v>0</v>
      </c>
      <c r="BD47" s="1">
        <f t="shared" si="28"/>
        <v>0</v>
      </c>
      <c r="CB47" s="34" t="s">
        <v>40</v>
      </c>
      <c r="CC47" s="35">
        <f>COUNTIFS($Q$134:$Q$522,"PPC\",$S$134:$S$522,"Y",$X$134:$X$522,"Biasa")</f>
        <v>0</v>
      </c>
      <c r="CD47" s="35">
        <f t="shared" ca="1" si="13"/>
        <v>60</v>
      </c>
      <c r="CE47" s="36">
        <f t="shared" ca="1" si="14"/>
        <v>1</v>
      </c>
      <c r="CF47" s="37"/>
      <c r="CL47" s="34" t="s">
        <v>35</v>
      </c>
      <c r="CM47" s="35">
        <f ca="1">COUNTIFS($Q$134:$Q$522,"HR",$S$134:$S$522,"X",$X$134:$X$522,"Biasa")</f>
        <v>0</v>
      </c>
      <c r="CN47" s="35">
        <f t="shared" ca="1" si="17"/>
        <v>0</v>
      </c>
      <c r="CO47" s="36" t="e">
        <f t="shared" ca="1" si="18"/>
        <v>#DIV/0!</v>
      </c>
    </row>
    <row r="48" spans="3:98" ht="25.5" customHeight="1" x14ac:dyDescent="0.25">
      <c r="C48" s="26">
        <v>10</v>
      </c>
      <c r="D48" s="26" t="s">
        <v>47</v>
      </c>
      <c r="E48" s="26" t="s">
        <v>43</v>
      </c>
      <c r="F48" s="27">
        <f>COUNTIFS($Q$134:$Q$522,"MTP",$AH$134:$AH$522,"V",$X$134:$X$522,"Penting",$S$134:$S$522,"Y")</f>
        <v>0</v>
      </c>
      <c r="G48" s="38">
        <f>COUNTIFS($Q$134:$Q$522,"MTP",$AI$134:$AI$522,"V",$X$134:$X$522,"Penting",$S$134:$S$522,"Y")</f>
        <v>0</v>
      </c>
      <c r="H48" s="38">
        <f>COUNTIFS($Q$134:$Q$522,"MTP",$AJ$134:$AJ$522,"V",$X$134:$X$522,"Penting",$S$134:$S$522,"Y")</f>
        <v>0</v>
      </c>
      <c r="I48" s="38">
        <f>COUNTIFS($Q$134:$Q$522,"MTP",$AK$134:$AK$522,"V",$X$134:$X$522,"Penting",$S$134:$S$522,"Y")</f>
        <v>0</v>
      </c>
      <c r="J48" s="38">
        <f>COUNTIFS($Q$134:$Q$522,"MTP",$AL$134:$AL$522,"V",$X$134:$X$522,"Penting",$S$134:$S$522,"Y")</f>
        <v>0</v>
      </c>
      <c r="K48" s="38">
        <f>COUNTIFS($Q$134:$Q$522,"MTP",$AM$134:$AM$522,"V",$X$134:$X$522,"Penting",$S$134:$S$522,"Y")</f>
        <v>0</v>
      </c>
      <c r="L48" s="27">
        <f t="shared" si="21"/>
        <v>0</v>
      </c>
      <c r="M48" s="27">
        <f>COUNTIFS($Q$134:$Q$522,"MTP",$AH$134:$AH$522,"V",$X$134:$X$522,"Penting",$S$134:$S$522,"X")</f>
        <v>0</v>
      </c>
      <c r="N48" s="38">
        <f>COUNTIFS($Q$134:$Q$522,"MTP",$AI$134:$AI$522,"V",$X$134:$X$522,"Penting",$S$134:$S$522,"X")</f>
        <v>0</v>
      </c>
      <c r="O48" s="38">
        <f>COUNTIFS($Q$134:$Q$522,"MTP",$AJ$134:$AJ$522,"V",$X$134:$X$522,"Penting",$S$134:$S$522,"X")</f>
        <v>0</v>
      </c>
      <c r="P48" s="38">
        <f>COUNTIFS($Q$134:$Q$522,"MTP",$AK$134:$AK$522,"V",$X$134:$X$522,"Penting",$S$134:$S$522,"X")</f>
        <v>0</v>
      </c>
      <c r="Q48" s="38">
        <f>COUNTIFS($Q$134:$Q$522,"MTP",$AL$134:$AL$522,"V",$X$134:$X$522,"Penting",$S$134:$S$522,"X")</f>
        <v>0</v>
      </c>
      <c r="R48" s="38">
        <f>COUNTIFS($Q$134:$Q$522,"MTP",$AM$134:$AM$522,"V",$X$134:$X$522,"Penting",$S$134:$S$522,"X")</f>
        <v>0</v>
      </c>
      <c r="S48" s="27">
        <f t="shared" si="22"/>
        <v>0</v>
      </c>
      <c r="T48" s="27">
        <f>COUNTIFS($Q$134:$Q$522,"MTP",$AH$134:$AH$522,"V",$X$134:$X$522,"Biasa",$S$134:$S$522,"Y")</f>
        <v>0</v>
      </c>
      <c r="U48" s="38">
        <f>COUNTIFS($Q$134:$Q$522,"MTP",$AI$134:$AI$522,"V",$X$134:$X$522,"Biasa",$S$134:$S$522,"Y")</f>
        <v>0</v>
      </c>
      <c r="V48" s="38">
        <f>COUNTIFS($Q$134:$Q$522,"MTP",$AJ$134:$AJ$522,"V",$X$134:$X$522,"Biasa",$S$134:$S$522,"Y")</f>
        <v>0</v>
      </c>
      <c r="W48" s="38">
        <f>COUNTIFS($Q$134:$Q$522,"MTP",$AK$134:$AK$522,"V",$X$134:$X$522,"Biasa",$S$134:$S$522,"Y")</f>
        <v>0</v>
      </c>
      <c r="X48" s="38">
        <f>COUNTIFS($Q$134:$Q$522,"MTP",$AL$134:$AL$522,"V",$X$134:$X$522,"Biasa",$S$134:$S$522,"Y")</f>
        <v>0</v>
      </c>
      <c r="Y48" s="38">
        <f>COUNTIFS($Q$134:$Q$522,"MTP",$AM$134:$AM$522,"V",$X$134:$X$522,"Biasa",$S$134:$S$522,"Y")</f>
        <v>0</v>
      </c>
      <c r="Z48" s="27">
        <f t="shared" si="23"/>
        <v>0</v>
      </c>
      <c r="AA48" s="27">
        <f>COUNTIFS($Q$134:$Q$522,"MTP",$AH$134:$AH$522,"V",$X$134:$X$522,"Biasa",$S$134:$S$522,"X")</f>
        <v>0</v>
      </c>
      <c r="AB48" s="27">
        <f>COUNTIFS($Q$134:$Q$522,"MTP",$AI$134:$AI$522,"V",$X$134:$X$522,"Biasa",$S$134:$S$522,"X")</f>
        <v>0</v>
      </c>
      <c r="AC48" s="27">
        <f>COUNTIFS($Q$134:$Q$522,"MTP",$AJ$134:$AJ$522,"V",$X$134:$X$522,"Biasa",$S$134:$S$522,"X")</f>
        <v>0</v>
      </c>
      <c r="AD48" s="27">
        <f>COUNTIFS($Q$134:$Q$522,"MTP",$AK$134:$AK$522,"V",$X$134:$X$522,"Biasa",$S$134:$S$522,"X")</f>
        <v>0</v>
      </c>
      <c r="AE48" s="27">
        <f>COUNTIFS($Q$134:$Q$522,"MTP",$AL$134:$AL$522,"V",$X$134:$X$522,"Biasa",$S$134:$S$522,"X")</f>
        <v>0</v>
      </c>
      <c r="AF48" s="27">
        <f>COUNTIFS($Q$134:$Q$522,"MTP",$AM$134:$AM$522,"V",$X$134:$X$522,"Biasa",$S$134:$S$522,"X")</f>
        <v>0</v>
      </c>
      <c r="AG48" s="27">
        <f t="shared" si="24"/>
        <v>0</v>
      </c>
      <c r="AS48" s="26" t="s">
        <v>43</v>
      </c>
      <c r="AT48" s="27">
        <f t="shared" ca="1" si="29"/>
        <v>17</v>
      </c>
      <c r="AU48" s="27">
        <f t="shared" si="25"/>
        <v>0</v>
      </c>
      <c r="AV48" s="38">
        <f t="shared" si="26"/>
        <v>0</v>
      </c>
      <c r="AW48" s="38">
        <f t="shared" si="26"/>
        <v>0</v>
      </c>
      <c r="AX48" s="38">
        <f t="shared" si="26"/>
        <v>0</v>
      </c>
      <c r="AY48" s="38">
        <f t="shared" si="26"/>
        <v>0</v>
      </c>
      <c r="AZ48" s="38">
        <f t="shared" si="26"/>
        <v>0</v>
      </c>
      <c r="BA48" s="27">
        <f t="shared" ca="1" si="27"/>
        <v>17</v>
      </c>
      <c r="BC48" s="1">
        <f t="shared" si="28"/>
        <v>0</v>
      </c>
      <c r="BD48" s="1">
        <f t="shared" si="28"/>
        <v>0</v>
      </c>
      <c r="CB48" s="68" t="s">
        <v>33</v>
      </c>
      <c r="CC48" s="35">
        <f ca="1">COUNTIFS($Q$134:$Q$522,"MPC",$S$134:$S$522,"Y",$X$134:$X$522,"Biasa")</f>
        <v>0</v>
      </c>
      <c r="CD48" s="69">
        <f t="shared" ca="1" si="13"/>
        <v>60</v>
      </c>
      <c r="CE48" s="70">
        <f t="shared" ca="1" si="14"/>
        <v>1</v>
      </c>
      <c r="CF48" s="37"/>
      <c r="CL48" s="68" t="s">
        <v>48</v>
      </c>
      <c r="CM48" s="35">
        <f ca="1">COUNTIFS($Q$134:$Q$522,"FA",$S$134:$S$522,"X",$X$134:$X$522,"Biasa")</f>
        <v>0</v>
      </c>
      <c r="CN48" s="69">
        <f t="shared" ca="1" si="17"/>
        <v>0</v>
      </c>
      <c r="CO48" s="70" t="e">
        <f t="shared" ca="1" si="18"/>
        <v>#DIV/0!</v>
      </c>
    </row>
    <row r="49" spans="3:188" ht="25.5" customHeight="1" x14ac:dyDescent="0.25">
      <c r="C49" s="26">
        <v>11</v>
      </c>
      <c r="D49" s="26" t="s">
        <v>48</v>
      </c>
      <c r="E49" s="26" t="s">
        <v>48</v>
      </c>
      <c r="F49" s="27">
        <f>COUNTIFS($Q$134:$Q$522,"FA",$AH$134:$AH$522,"V",$X$134:$X$522,"Penting",$S$134:$S$522,"Y")</f>
        <v>0</v>
      </c>
      <c r="G49" s="38">
        <f>COUNTIFS($Q$134:$Q$522,"FA",$AI$134:$AI$522,"V",$X$134:$X$522,"Penting",$S$134:$S$522,"Y")</f>
        <v>0</v>
      </c>
      <c r="H49" s="38">
        <f>COUNTIFS($Q$134:$Q$522,"FA",$AJ$134:$AJ$522,"V",$X$134:$X$522,"Penting",$S$134:$S$522,"Y")</f>
        <v>0</v>
      </c>
      <c r="I49" s="38">
        <f>COUNTIFS($Q$134:$Q$522,"FA",$AK$134:$AK$522,"V",$X$134:$X$522,"Penting",$S$134:$S$522,"Y")</f>
        <v>0</v>
      </c>
      <c r="J49" s="38">
        <f>COUNTIFS($Q$134:$Q$522,"FA",$AL$134:$AL$522,"V",$X$134:$X$522,"Penting",$S$134:$S$522,"Y")</f>
        <v>0</v>
      </c>
      <c r="K49" s="38">
        <f>COUNTIFS($Q$134:$Q$522,"FA",$AM$134:$AM$522,"V",$X$134:$X$522,"Penting",$S$134:$S$522,"Y")</f>
        <v>0</v>
      </c>
      <c r="L49" s="27">
        <f t="shared" si="21"/>
        <v>0</v>
      </c>
      <c r="M49" s="27">
        <f>COUNTIFS($Q$134:$Q$522,"FA",$AH$134:$AH$522,"V",$X$134:$X$522,"Penting",$S$134:$S$522,"X")</f>
        <v>0</v>
      </c>
      <c r="N49" s="38">
        <f>COUNTIFS($Q$134:$Q$522,"FA",$AI$134:$AI$522,"V",$X$134:$X$522,"Penting",$S$134:$S$522,"X")</f>
        <v>0</v>
      </c>
      <c r="O49" s="38">
        <f>COUNTIFS($Q$134:$Q$522,"FA",$AJ$134:$AJ$522,"V",$X$134:$X$522,"Penting",$S$134:$S$522,"X")</f>
        <v>0</v>
      </c>
      <c r="P49" s="38">
        <f>COUNTIFS($Q$134:$Q$522,"FA",$AK$134:$AK$522,"V",$X$134:$X$522,"Penting",$S$134:$S$522,"X")</f>
        <v>0</v>
      </c>
      <c r="Q49" s="38">
        <f>COUNTIFS($Q$134:$Q$522,"FA",$AL$134:$AL$522,"V",$X$134:$X$522,"Penting",$S$134:$S$522,"X")</f>
        <v>0</v>
      </c>
      <c r="R49" s="38">
        <f>COUNTIFS($Q$134:$Q$522,"FA",$AM$134:$AM$522,"V",$X$134:$X$522,"Penting",$S$134:$S$522,"X")</f>
        <v>0</v>
      </c>
      <c r="S49" s="27">
        <f t="shared" si="22"/>
        <v>0</v>
      </c>
      <c r="T49" s="27">
        <f>COUNTIFS($Q$134:$Q$522,"FA",$AH$134:$AH$522,"V",$X$134:$X$522,"Biasa",$S$134:$S$522,"Y")</f>
        <v>0</v>
      </c>
      <c r="U49" s="38">
        <f>COUNTIFS($Q$134:$Q$522,"FA",$AI$134:$AI$522,"V",$X$134:$X$522,"Biasa",$S$134:$S$522,"Y")</f>
        <v>0</v>
      </c>
      <c r="V49" s="38">
        <f>COUNTIFS($Q$134:$Q$522,"FA",$AJ$134:$AJ$522,"V",$X$134:$X$522,"Biasa",$S$134:$S$522,"Y")</f>
        <v>0</v>
      </c>
      <c r="W49" s="38">
        <f>COUNTIFS($Q$134:$Q$522,"FA",$AK$134:$AK$522,"V",$X$134:$X$522,"Biasa",$S$134:$S$522,"Y")</f>
        <v>0</v>
      </c>
      <c r="X49" s="38">
        <f>COUNTIFS($Q$134:$Q$522,"FA",$AL$134:$AL$522,"V",$X$134:$X$522,"Biasa",$S$134:$S$522,"Y")</f>
        <v>0</v>
      </c>
      <c r="Y49" s="38">
        <f>COUNTIFS($Q$134:$Q$522,"FA",$AM$134:$AM$522,"V",$X$134:$X$522,"Biasa",$S$134:$S$522,"Y")</f>
        <v>0</v>
      </c>
      <c r="Z49" s="27">
        <f t="shared" si="23"/>
        <v>0</v>
      </c>
      <c r="AA49" s="27">
        <f>COUNTIFS($Q$134:$Q$522,"FA",$AH$134:$AH$522,"V",$X$134:$X$522,"Biasa",$S$134:$S$522,"X")</f>
        <v>0</v>
      </c>
      <c r="AB49" s="27">
        <f>COUNTIFS($Q$134:$Q$522,"FA",$AI$134:$AI$522,"V",$X$134:$X$522,"Biasa",$S$134:$S$522,"X")</f>
        <v>0</v>
      </c>
      <c r="AC49" s="27">
        <f>COUNTIFS($Q$134:$Q$522,"FA",$AJ$134:$AJ$522,"V",$X$134:$X$522,"Biasa",$S$134:$S$522,"X")</f>
        <v>0</v>
      </c>
      <c r="AD49" s="27">
        <f>COUNTIFS($Q$134:$Q$522,"FA",$AK$134:$AK$522,"V",$X$134:$X$522,"Biasa",$S$134:$S$522,"X")</f>
        <v>0</v>
      </c>
      <c r="AE49" s="27">
        <f>COUNTIFS($Q$134:$Q$522,"FA",$AL$134:$AL$522,"V",$X$134:$X$522,"Biasa",$S$134:$S$522,"X")</f>
        <v>0</v>
      </c>
      <c r="AF49" s="27">
        <f>COUNTIFS($Q$134:$Q$522,"FA",$AM$134:$AM$522,"V",$X$134:$X$522,"Biasa",$S$134:$S$522,"X")</f>
        <v>0</v>
      </c>
      <c r="AG49" s="27">
        <f t="shared" si="24"/>
        <v>0</v>
      </c>
      <c r="AS49" s="26" t="s">
        <v>48</v>
      </c>
      <c r="AT49" s="27">
        <f t="shared" ca="1" si="29"/>
        <v>2</v>
      </c>
      <c r="AU49" s="27">
        <f t="shared" si="25"/>
        <v>0</v>
      </c>
      <c r="AV49" s="38">
        <f t="shared" si="26"/>
        <v>0</v>
      </c>
      <c r="AW49" s="38">
        <f t="shared" si="26"/>
        <v>0</v>
      </c>
      <c r="AX49" s="38">
        <f t="shared" si="26"/>
        <v>0</v>
      </c>
      <c r="AY49" s="38">
        <f t="shared" si="26"/>
        <v>0</v>
      </c>
      <c r="AZ49" s="38">
        <f t="shared" si="26"/>
        <v>0</v>
      </c>
      <c r="BA49" s="27">
        <f t="shared" ca="1" si="27"/>
        <v>2</v>
      </c>
      <c r="BC49" s="1">
        <f t="shared" si="28"/>
        <v>0</v>
      </c>
      <c r="BD49" s="1">
        <f t="shared" si="28"/>
        <v>0</v>
      </c>
      <c r="BV49" s="71"/>
      <c r="BW49" s="71"/>
      <c r="CB49" s="72"/>
      <c r="CC49" s="72"/>
      <c r="CD49" s="72"/>
      <c r="CE49" s="72"/>
      <c r="CL49" s="72"/>
      <c r="CM49" s="72"/>
      <c r="CN49" s="72"/>
      <c r="CO49" s="72"/>
    </row>
    <row r="50" spans="3:188" ht="25.5" customHeight="1" x14ac:dyDescent="0.25">
      <c r="C50" s="26">
        <v>12</v>
      </c>
      <c r="D50" s="26" t="s">
        <v>36</v>
      </c>
      <c r="E50" s="26" t="s">
        <v>36</v>
      </c>
      <c r="F50" s="27">
        <f>COUNTIFS($Q$134:$Q$522,"QA",$AH$134:$AH$522,"V",$X$134:$X$522,"Penting",$S$134:$S$522,"Y")</f>
        <v>0</v>
      </c>
      <c r="G50" s="38">
        <f>COUNTIFS($Q$134:$Q$522,"QA",$AI$134:$AI$522,"V",$X$134:$X$522,"Penting",$S$134:$S$522,"Y")</f>
        <v>0</v>
      </c>
      <c r="H50" s="38">
        <f>COUNTIFS($Q$134:$Q$522,"QA",$AJ$134:$AJ$522,"V",$X$134:$X$522,"Penting",$S$134:$S$522,"Y")</f>
        <v>0</v>
      </c>
      <c r="I50" s="38">
        <f>COUNTIFS($Q$134:$Q$522,"QA",$AK$134:$AK$522,"V",$X$134:$X$522,"Penting",$S$134:$S$522,"Y")</f>
        <v>0</v>
      </c>
      <c r="J50" s="38">
        <f>COUNTIFS($Q$134:$Q$522,"QA",$AL$134:$AL$522,"V",$X$134:$X$522,"Penting",$S$134:$S$522,"Y")</f>
        <v>0</v>
      </c>
      <c r="K50" s="38">
        <f>COUNTIFS($Q$134:$Q$522,"QA",$AM$134:$AM$522,"V",$X$134:$X$522,"Penting",$S$134:$S$522,"Y")</f>
        <v>0</v>
      </c>
      <c r="L50" s="27">
        <f t="shared" si="21"/>
        <v>0</v>
      </c>
      <c r="M50" s="27">
        <f>COUNTIFS($Q$134:$Q$522,"QA",$AH$134:$AH$522,"V",$X$134:$X$522,"Penting",$S$134:$S$522,"X")</f>
        <v>0</v>
      </c>
      <c r="N50" s="38">
        <f>COUNTIFS($Q$134:$Q$522,"QA",$AI$134:$AI$522,"V",$X$134:$X$522,"Penting",$S$134:$S$522,"X")</f>
        <v>0</v>
      </c>
      <c r="O50" s="38">
        <f>COUNTIFS($Q$134:$Q$522,"QA",$AJ$134:$AJ$522,"V",$X$134:$X$522,"Penting",$S$134:$S$522,"X")</f>
        <v>0</v>
      </c>
      <c r="P50" s="38">
        <f>COUNTIFS($Q$134:$Q$522,"QA",$AK$134:$AK$522,"V",$X$134:$X$522,"Penting",$S$134:$S$522,"X")</f>
        <v>0</v>
      </c>
      <c r="Q50" s="38">
        <f>COUNTIFS($Q$134:$Q$522,"QA",$AL$134:$AL$522,"V",$X$134:$X$522,"Penting",$S$134:$S$522,"X")</f>
        <v>0</v>
      </c>
      <c r="R50" s="38">
        <f>COUNTIFS($Q$134:$Q$522,"QA",$AM$134:$AM$522,"V",$X$134:$X$522,"Penting",$S$134:$S$522,"X")</f>
        <v>0</v>
      </c>
      <c r="S50" s="27">
        <f t="shared" si="22"/>
        <v>0</v>
      </c>
      <c r="T50" s="27">
        <f>COUNTIFS($Q$134:$Q$522,"QA",$AH$134:$AH$522,"V",$X$134:$X$522,"Biasa",$S$134:$S$522,"Y")</f>
        <v>0</v>
      </c>
      <c r="U50" s="38">
        <f>COUNTIFS($Q$134:$Q$522,"QA",$AI$134:$AI$522,"V",$X$134:$X$522,"Biasa",$S$134:$S$522,"Y")</f>
        <v>0</v>
      </c>
      <c r="V50" s="38">
        <f>COUNTIFS($Q$134:$Q$522,"QA",$AJ$134:$AJ$522,"V",$X$134:$X$522,"Biasa",$S$134:$S$522,"Y")</f>
        <v>0</v>
      </c>
      <c r="W50" s="38">
        <f>COUNTIFS($Q$134:$Q$522,"QA",$AK$134:$AK$522,"V",$X$134:$X$522,"Biasa",$S$134:$S$522,"Y")</f>
        <v>0</v>
      </c>
      <c r="X50" s="38">
        <f>COUNTIFS($Q$134:$Q$522,"QA",$AL$134:$AL$522,"V",$X$134:$X$522,"Biasa",$S$134:$S$522,"Y")</f>
        <v>0</v>
      </c>
      <c r="Y50" s="38">
        <f>COUNTIFS($Q$134:$Q$522,"QA",$AM$134:$AM$522,"V",$X$134:$X$522,"Biasa",$S$134:$S$522,"Y")</f>
        <v>0</v>
      </c>
      <c r="Z50" s="27">
        <f t="shared" si="23"/>
        <v>0</v>
      </c>
      <c r="AA50" s="27">
        <f>COUNTIFS($Q$134:$Q$522,"QA",$AH$134:$AH$522,"V",$X$134:$X$522,"Biasa",$S$134:$S$522,"X")</f>
        <v>0</v>
      </c>
      <c r="AB50" s="27">
        <f>COUNTIFS($Q$134:$Q$522,"QA",$AI$134:$AI$522,"V",$X$134:$X$522,"Biasa",$S$134:$S$522,"X")</f>
        <v>0</v>
      </c>
      <c r="AC50" s="27">
        <f>COUNTIFS($Q$134:$Q$522,"QA",$AJ$134:$AJ$522,"V",$X$134:$X$522,"Biasa",$S$134:$S$522,"X")</f>
        <v>0</v>
      </c>
      <c r="AD50" s="27">
        <f>COUNTIFS($Q$134:$Q$522,"QA",$AK$134:$AK$522,"V",$X$134:$X$522,"Biasa",$S$134:$S$522,"X")</f>
        <v>0</v>
      </c>
      <c r="AE50" s="27">
        <f>COUNTIFS($Q$134:$Q$522,"QA",$AL$134:$AL$522,"V",$X$134:$X$522,"Biasa",$S$134:$S$522,"X")</f>
        <v>0</v>
      </c>
      <c r="AF50" s="27">
        <f>COUNTIFS($Q$134:$Q$522,"QA",$AM$134:$AM$522,"V",$X$134:$X$522,"Biasa",$S$134:$S$522,"X")</f>
        <v>0</v>
      </c>
      <c r="AG50" s="27">
        <f t="shared" si="24"/>
        <v>0</v>
      </c>
      <c r="AS50" s="26" t="s">
        <v>36</v>
      </c>
      <c r="AT50" s="27">
        <f t="shared" ca="1" si="29"/>
        <v>2</v>
      </c>
      <c r="AU50" s="27">
        <f t="shared" si="25"/>
        <v>0</v>
      </c>
      <c r="AV50" s="38">
        <f t="shared" si="26"/>
        <v>0</v>
      </c>
      <c r="AW50" s="38">
        <f t="shared" si="26"/>
        <v>0</v>
      </c>
      <c r="AX50" s="38">
        <f t="shared" si="26"/>
        <v>0</v>
      </c>
      <c r="AY50" s="38">
        <f t="shared" si="26"/>
        <v>0</v>
      </c>
      <c r="AZ50" s="38">
        <f t="shared" si="26"/>
        <v>0</v>
      </c>
      <c r="BA50" s="27">
        <f t="shared" ca="1" si="27"/>
        <v>2</v>
      </c>
      <c r="BC50" s="1">
        <f t="shared" si="28"/>
        <v>0</v>
      </c>
      <c r="BD50" s="1">
        <f t="shared" si="28"/>
        <v>0</v>
      </c>
      <c r="BV50" s="71"/>
      <c r="BW50" s="71"/>
      <c r="CB50" s="73"/>
      <c r="CC50" s="73"/>
      <c r="CD50" s="73"/>
      <c r="CE50" s="73"/>
      <c r="CL50" s="73"/>
      <c r="CM50" s="73"/>
      <c r="CN50" s="73"/>
      <c r="CO50" s="73"/>
    </row>
    <row r="51" spans="3:188" ht="25.5" customHeight="1" x14ac:dyDescent="0.25">
      <c r="C51" s="179" t="s">
        <v>25</v>
      </c>
      <c r="D51" s="180"/>
      <c r="E51" s="181"/>
      <c r="F51" s="74">
        <f t="shared" ref="F51:K51" si="30">SUM(F39:F50)</f>
        <v>0</v>
      </c>
      <c r="G51" s="75">
        <f t="shared" si="30"/>
        <v>0</v>
      </c>
      <c r="H51" s="75">
        <f t="shared" si="30"/>
        <v>0</v>
      </c>
      <c r="I51" s="75">
        <f t="shared" si="30"/>
        <v>0</v>
      </c>
      <c r="J51" s="75">
        <f t="shared" si="30"/>
        <v>0</v>
      </c>
      <c r="K51" s="75">
        <f t="shared" si="30"/>
        <v>0</v>
      </c>
      <c r="L51" s="45">
        <f t="shared" si="21"/>
        <v>0</v>
      </c>
      <c r="M51" s="74">
        <f t="shared" ref="M51:R51" si="31">SUM(M39:M50)</f>
        <v>0</v>
      </c>
      <c r="N51" s="75">
        <f t="shared" si="31"/>
        <v>4</v>
      </c>
      <c r="O51" s="75">
        <f t="shared" si="31"/>
        <v>0</v>
      </c>
      <c r="P51" s="75">
        <f t="shared" si="31"/>
        <v>0</v>
      </c>
      <c r="Q51" s="75">
        <f t="shared" si="31"/>
        <v>0</v>
      </c>
      <c r="R51" s="75">
        <f t="shared" si="31"/>
        <v>0</v>
      </c>
      <c r="S51" s="45">
        <f t="shared" si="22"/>
        <v>4</v>
      </c>
      <c r="T51" s="74">
        <f t="shared" ref="T51:Y51" si="32">SUM(T39:T50)</f>
        <v>0</v>
      </c>
      <c r="U51" s="75">
        <f t="shared" si="32"/>
        <v>0</v>
      </c>
      <c r="V51" s="75">
        <f t="shared" si="32"/>
        <v>0</v>
      </c>
      <c r="W51" s="75">
        <f t="shared" si="32"/>
        <v>0</v>
      </c>
      <c r="X51" s="75">
        <f t="shared" si="32"/>
        <v>0</v>
      </c>
      <c r="Y51" s="75">
        <f t="shared" si="32"/>
        <v>0</v>
      </c>
      <c r="Z51" s="45">
        <f t="shared" si="23"/>
        <v>0</v>
      </c>
      <c r="AA51" s="74">
        <f t="shared" ref="AA51:AF51" si="33">SUM(AA39:AA50)</f>
        <v>0</v>
      </c>
      <c r="AB51" s="74">
        <f t="shared" si="33"/>
        <v>0</v>
      </c>
      <c r="AC51" s="74">
        <f t="shared" si="33"/>
        <v>0</v>
      </c>
      <c r="AD51" s="74">
        <f t="shared" si="33"/>
        <v>0</v>
      </c>
      <c r="AE51" s="74">
        <f t="shared" si="33"/>
        <v>0</v>
      </c>
      <c r="AF51" s="74">
        <f t="shared" si="33"/>
        <v>0</v>
      </c>
      <c r="AG51" s="45">
        <f t="shared" si="24"/>
        <v>0</v>
      </c>
      <c r="AT51" s="27">
        <f ca="1">SUM(AT39:AT50)</f>
        <v>107</v>
      </c>
      <c r="AU51" s="27">
        <f t="shared" si="25"/>
        <v>4</v>
      </c>
      <c r="AV51" s="38">
        <f t="shared" si="26"/>
        <v>4</v>
      </c>
      <c r="AW51" s="38">
        <f t="shared" si="26"/>
        <v>0</v>
      </c>
      <c r="AX51" s="38">
        <f t="shared" si="26"/>
        <v>0</v>
      </c>
      <c r="AY51" s="38">
        <f t="shared" si="26"/>
        <v>0</v>
      </c>
      <c r="AZ51" s="38">
        <f t="shared" si="26"/>
        <v>0</v>
      </c>
      <c r="BA51" s="45">
        <f t="shared" ca="1" si="27"/>
        <v>111</v>
      </c>
      <c r="BC51" s="1">
        <f>SUM(BC39:BC50)</f>
        <v>4</v>
      </c>
      <c r="BD51" s="1">
        <f>SUM(BD39:BD50)</f>
        <v>4</v>
      </c>
      <c r="BV51" s="71"/>
      <c r="BW51" s="71"/>
      <c r="CB51" s="73"/>
      <c r="CC51" s="73"/>
      <c r="CD51" s="73"/>
      <c r="CE51" s="73"/>
      <c r="CL51" s="73"/>
      <c r="CM51" s="73"/>
      <c r="CN51" s="73"/>
      <c r="CO51" s="73"/>
    </row>
    <row r="52" spans="3:188" ht="25.5" customHeight="1" x14ac:dyDescent="0.25">
      <c r="C52" s="182"/>
      <c r="D52" s="183"/>
      <c r="E52" s="184"/>
      <c r="F52" s="185">
        <f>F51+G51+H51+I51+J51+K51</f>
        <v>0</v>
      </c>
      <c r="G52" s="186"/>
      <c r="H52" s="186"/>
      <c r="I52" s="186"/>
      <c r="J52" s="186"/>
      <c r="K52" s="187"/>
      <c r="L52" s="1"/>
      <c r="M52" s="188">
        <f>M51+N51+O51+P51+Q51+R51</f>
        <v>4</v>
      </c>
      <c r="N52" s="189"/>
      <c r="O52" s="189"/>
      <c r="P52" s="189"/>
      <c r="Q52" s="189"/>
      <c r="R52" s="190"/>
      <c r="S52" s="1"/>
      <c r="T52" s="185">
        <f>T51+U51+V51+W51+X51+Y51</f>
        <v>0</v>
      </c>
      <c r="U52" s="186"/>
      <c r="V52" s="186"/>
      <c r="W52" s="186"/>
      <c r="X52" s="186"/>
      <c r="Y52" s="187"/>
      <c r="Z52" s="1"/>
      <c r="AA52" s="188">
        <f>AA51+AB51+AC51+AD51+AE51+AF51</f>
        <v>0</v>
      </c>
      <c r="AB52" s="189"/>
      <c r="AC52" s="189"/>
      <c r="AD52" s="189"/>
      <c r="AE52" s="189"/>
      <c r="AF52" s="189"/>
      <c r="AG52" s="190"/>
      <c r="AV52" s="76">
        <f>AV51+AW51+AX51+AY51+AZ51</f>
        <v>4</v>
      </c>
      <c r="AW52" s="77"/>
      <c r="AX52" s="77"/>
      <c r="AY52" s="77"/>
      <c r="AZ52" s="78"/>
      <c r="BC52" s="1">
        <f>SUM(BC51:BD51)</f>
        <v>8</v>
      </c>
      <c r="BV52" s="71"/>
      <c r="BW52" s="71"/>
      <c r="CL52" s="73"/>
      <c r="CM52" s="73"/>
      <c r="CN52" s="73"/>
      <c r="CO52" s="73"/>
    </row>
    <row r="53" spans="3:188" ht="25.5" customHeight="1" x14ac:dyDescent="0.25">
      <c r="G53" s="1"/>
      <c r="H53" s="1"/>
      <c r="I53" s="4"/>
      <c r="J53" s="4"/>
      <c r="K53" s="39"/>
      <c r="L53" s="39"/>
      <c r="M53" s="39"/>
      <c r="O53" s="65"/>
      <c r="Y53" s="1"/>
      <c r="Z53" s="1"/>
      <c r="AA53" s="1"/>
      <c r="AB53" s="1"/>
      <c r="AC53" s="1"/>
      <c r="AD53" s="1"/>
      <c r="AE53" s="1"/>
      <c r="BB53" s="1">
        <f ca="1">SUM(AT51:BD51)</f>
        <v>234</v>
      </c>
      <c r="BV53" s="71"/>
      <c r="BW53" s="71"/>
      <c r="CL53" s="73"/>
      <c r="CM53" s="73"/>
      <c r="CN53" s="73"/>
      <c r="CO53" s="73"/>
    </row>
    <row r="54" spans="3:188" ht="25.5" customHeight="1" x14ac:dyDescent="0.25">
      <c r="G54" s="1"/>
      <c r="H54" s="1"/>
      <c r="I54" s="4"/>
      <c r="J54" s="4"/>
      <c r="K54" s="39"/>
      <c r="L54" s="39"/>
      <c r="M54" s="39"/>
      <c r="O54" s="65"/>
      <c r="Y54" s="1"/>
      <c r="Z54" s="1"/>
      <c r="AA54" s="1"/>
      <c r="AB54" s="1"/>
      <c r="AC54" s="1"/>
      <c r="AD54" s="1"/>
      <c r="AE54" s="1"/>
      <c r="BB54" s="1">
        <f ca="1">AT51/BB53</f>
        <v>0.45726495726495725</v>
      </c>
      <c r="BV54" s="71"/>
      <c r="BW54" s="71"/>
      <c r="CB54" s="79"/>
      <c r="CC54" s="175">
        <v>43466</v>
      </c>
      <c r="CD54" s="175"/>
      <c r="CE54" s="175"/>
      <c r="CF54" s="175">
        <v>43497</v>
      </c>
      <c r="CG54" s="175"/>
      <c r="CH54" s="175"/>
      <c r="CI54" s="175">
        <v>43525</v>
      </c>
      <c r="CJ54" s="175"/>
      <c r="CK54" s="175"/>
      <c r="CL54" s="175">
        <v>43556</v>
      </c>
      <c r="CM54" s="175"/>
      <c r="CN54" s="175"/>
      <c r="CO54" s="175">
        <v>43586</v>
      </c>
      <c r="CP54" s="175"/>
      <c r="CQ54" s="175"/>
      <c r="CR54" s="175">
        <v>43617</v>
      </c>
      <c r="CS54" s="175"/>
      <c r="CT54" s="175"/>
      <c r="CU54" s="175">
        <v>43647</v>
      </c>
      <c r="CV54" s="175"/>
      <c r="CW54" s="175"/>
      <c r="CX54" s="175">
        <v>43678</v>
      </c>
      <c r="CY54" s="175"/>
      <c r="CZ54" s="175"/>
      <c r="DA54" s="175">
        <v>43709</v>
      </c>
      <c r="DB54" s="175"/>
      <c r="DC54" s="175"/>
      <c r="DD54" s="175">
        <v>43739</v>
      </c>
      <c r="DE54" s="175"/>
      <c r="DF54" s="175"/>
      <c r="DG54" s="175">
        <v>43770</v>
      </c>
      <c r="DH54" s="175"/>
      <c r="DI54" s="175"/>
      <c r="DJ54" s="175">
        <v>43800</v>
      </c>
      <c r="DK54" s="175"/>
      <c r="DL54" s="175"/>
      <c r="DM54" s="175">
        <v>43831</v>
      </c>
      <c r="DN54" s="175"/>
      <c r="DO54" s="175"/>
      <c r="DP54" s="175">
        <v>43862</v>
      </c>
      <c r="DQ54" s="175"/>
      <c r="DR54" s="175"/>
      <c r="DS54" s="175">
        <v>43891</v>
      </c>
      <c r="DT54" s="175"/>
      <c r="DU54" s="175"/>
      <c r="DV54" s="175">
        <v>43922</v>
      </c>
      <c r="DW54" s="175"/>
      <c r="DX54" s="175"/>
      <c r="DY54" s="175">
        <v>43952</v>
      </c>
      <c r="DZ54" s="175"/>
      <c r="EA54" s="175"/>
      <c r="EB54" s="175">
        <v>43983</v>
      </c>
      <c r="EC54" s="175"/>
      <c r="ED54" s="175"/>
      <c r="EE54" s="175">
        <v>44013</v>
      </c>
      <c r="EF54" s="175"/>
      <c r="EG54" s="175"/>
      <c r="EH54" s="175">
        <v>44044</v>
      </c>
      <c r="EI54" s="175"/>
      <c r="EJ54" s="175"/>
      <c r="EK54" s="175">
        <v>44075</v>
      </c>
      <c r="EL54" s="175"/>
      <c r="EM54" s="175"/>
      <c r="EN54" s="175">
        <v>44105</v>
      </c>
      <c r="EO54" s="175"/>
      <c r="EP54" s="175"/>
      <c r="EQ54" s="175">
        <v>44136</v>
      </c>
      <c r="ER54" s="175"/>
      <c r="ES54" s="175"/>
      <c r="ET54" s="175">
        <v>44166</v>
      </c>
      <c r="EU54" s="175"/>
      <c r="EV54" s="175"/>
      <c r="EW54" s="175">
        <v>44197</v>
      </c>
      <c r="EX54" s="175"/>
      <c r="EY54" s="175"/>
      <c r="EZ54" s="175">
        <v>44228</v>
      </c>
      <c r="FA54" s="175"/>
      <c r="FB54" s="175"/>
      <c r="FC54" s="175">
        <v>44256</v>
      </c>
      <c r="FD54" s="175"/>
      <c r="FE54" s="175"/>
      <c r="FF54" s="175">
        <v>44287</v>
      </c>
      <c r="FG54" s="175"/>
      <c r="FH54" s="175"/>
      <c r="FI54" s="175">
        <v>44317</v>
      </c>
      <c r="FJ54" s="175"/>
      <c r="FK54" s="175"/>
      <c r="FL54" s="175">
        <v>44348</v>
      </c>
      <c r="FM54" s="175"/>
      <c r="FN54" s="175"/>
      <c r="FO54" s="175">
        <v>44378</v>
      </c>
      <c r="FP54" s="175"/>
      <c r="FQ54" s="175"/>
      <c r="FR54" s="175">
        <v>44409</v>
      </c>
      <c r="FS54" s="175"/>
      <c r="FT54" s="175"/>
      <c r="FU54" s="175">
        <v>44440</v>
      </c>
      <c r="FV54" s="175"/>
      <c r="FW54" s="175"/>
      <c r="FX54" s="175">
        <v>44470</v>
      </c>
      <c r="FY54" s="175"/>
      <c r="FZ54" s="175"/>
      <c r="GA54" s="175">
        <v>44501</v>
      </c>
      <c r="GB54" s="175"/>
      <c r="GC54" s="175"/>
      <c r="GD54" s="175">
        <v>44531</v>
      </c>
      <c r="GE54" s="175"/>
      <c r="GF54" s="175"/>
    </row>
    <row r="55" spans="3:188" ht="25.5" customHeight="1" x14ac:dyDescent="0.25">
      <c r="G55" s="1"/>
      <c r="H55" s="1"/>
      <c r="I55" s="4"/>
      <c r="J55" s="4"/>
      <c r="K55" s="39"/>
      <c r="L55" s="39"/>
      <c r="M55" s="39"/>
      <c r="O55" s="65"/>
      <c r="Y55" s="1"/>
      <c r="Z55" s="1"/>
      <c r="AA55" s="1"/>
      <c r="AB55" s="1"/>
      <c r="AC55" s="1"/>
      <c r="AD55" s="1"/>
      <c r="AE55" s="1"/>
      <c r="BV55" s="71"/>
      <c r="BW55" s="71"/>
      <c r="CB55" s="79"/>
      <c r="CC55" s="80" t="s">
        <v>59</v>
      </c>
      <c r="CD55" s="80" t="s">
        <v>60</v>
      </c>
      <c r="CE55" s="80" t="s">
        <v>18</v>
      </c>
      <c r="CF55" s="80" t="s">
        <v>59</v>
      </c>
      <c r="CG55" s="80" t="s">
        <v>60</v>
      </c>
      <c r="CH55" s="80" t="s">
        <v>18</v>
      </c>
      <c r="CI55" s="80" t="s">
        <v>59</v>
      </c>
      <c r="CJ55" s="80" t="s">
        <v>60</v>
      </c>
      <c r="CK55" s="80" t="s">
        <v>18</v>
      </c>
      <c r="CL55" s="80" t="s">
        <v>59</v>
      </c>
      <c r="CM55" s="80" t="s">
        <v>60</v>
      </c>
      <c r="CN55" s="80" t="s">
        <v>18</v>
      </c>
      <c r="CO55" s="80" t="s">
        <v>59</v>
      </c>
      <c r="CP55" s="80" t="s">
        <v>60</v>
      </c>
      <c r="CQ55" s="80" t="s">
        <v>18</v>
      </c>
      <c r="CR55" s="80" t="s">
        <v>59</v>
      </c>
      <c r="CS55" s="80" t="s">
        <v>60</v>
      </c>
      <c r="CT55" s="80" t="s">
        <v>18</v>
      </c>
      <c r="CU55" s="80" t="s">
        <v>59</v>
      </c>
      <c r="CV55" s="80" t="s">
        <v>60</v>
      </c>
      <c r="CW55" s="80" t="s">
        <v>18</v>
      </c>
      <c r="CX55" s="80" t="s">
        <v>59</v>
      </c>
      <c r="CY55" s="80" t="s">
        <v>60</v>
      </c>
      <c r="CZ55" s="80" t="s">
        <v>18</v>
      </c>
      <c r="DA55" s="80" t="s">
        <v>59</v>
      </c>
      <c r="DB55" s="80" t="s">
        <v>60</v>
      </c>
      <c r="DC55" s="80" t="s">
        <v>18</v>
      </c>
      <c r="DD55" s="80" t="s">
        <v>59</v>
      </c>
      <c r="DE55" s="80" t="s">
        <v>60</v>
      </c>
      <c r="DF55" s="80" t="s">
        <v>18</v>
      </c>
      <c r="DG55" s="80" t="s">
        <v>59</v>
      </c>
      <c r="DH55" s="80" t="s">
        <v>60</v>
      </c>
      <c r="DI55" s="80" t="s">
        <v>18</v>
      </c>
      <c r="DJ55" s="80" t="s">
        <v>59</v>
      </c>
      <c r="DK55" s="80" t="s">
        <v>60</v>
      </c>
      <c r="DL55" s="80" t="s">
        <v>18</v>
      </c>
      <c r="DM55" s="80" t="s">
        <v>59</v>
      </c>
      <c r="DN55" s="80" t="s">
        <v>60</v>
      </c>
      <c r="DO55" s="80" t="s">
        <v>18</v>
      </c>
      <c r="DP55" s="80" t="s">
        <v>59</v>
      </c>
      <c r="DQ55" s="80" t="s">
        <v>60</v>
      </c>
      <c r="DR55" s="80" t="s">
        <v>18</v>
      </c>
      <c r="DS55" s="80" t="s">
        <v>59</v>
      </c>
      <c r="DT55" s="80" t="s">
        <v>60</v>
      </c>
      <c r="DU55" s="80" t="s">
        <v>18</v>
      </c>
      <c r="DV55" s="80" t="s">
        <v>59</v>
      </c>
      <c r="DW55" s="80" t="s">
        <v>60</v>
      </c>
      <c r="DX55" s="80" t="s">
        <v>18</v>
      </c>
      <c r="DY55" s="80" t="s">
        <v>59</v>
      </c>
      <c r="DZ55" s="80" t="s">
        <v>60</v>
      </c>
      <c r="EA55" s="80" t="s">
        <v>18</v>
      </c>
      <c r="EB55" s="80" t="s">
        <v>59</v>
      </c>
      <c r="EC55" s="80" t="s">
        <v>60</v>
      </c>
      <c r="ED55" s="80" t="s">
        <v>18</v>
      </c>
      <c r="EE55" s="80" t="s">
        <v>59</v>
      </c>
      <c r="EF55" s="80" t="s">
        <v>60</v>
      </c>
      <c r="EG55" s="80" t="s">
        <v>18</v>
      </c>
      <c r="EH55" s="80" t="s">
        <v>59</v>
      </c>
      <c r="EI55" s="80" t="s">
        <v>60</v>
      </c>
      <c r="EJ55" s="80" t="s">
        <v>18</v>
      </c>
      <c r="EK55" s="80" t="s">
        <v>59</v>
      </c>
      <c r="EL55" s="80" t="s">
        <v>60</v>
      </c>
      <c r="EM55" s="80" t="s">
        <v>18</v>
      </c>
      <c r="EN55" s="80" t="s">
        <v>59</v>
      </c>
      <c r="EO55" s="80" t="s">
        <v>60</v>
      </c>
      <c r="EP55" s="80" t="s">
        <v>18</v>
      </c>
      <c r="EQ55" s="80" t="s">
        <v>59</v>
      </c>
      <c r="ER55" s="80" t="s">
        <v>60</v>
      </c>
      <c r="ES55" s="80" t="s">
        <v>18</v>
      </c>
      <c r="ET55" s="80" t="s">
        <v>59</v>
      </c>
      <c r="EU55" s="80" t="s">
        <v>60</v>
      </c>
      <c r="EV55" s="80" t="s">
        <v>18</v>
      </c>
      <c r="EW55" s="80" t="s">
        <v>59</v>
      </c>
      <c r="EX55" s="80" t="s">
        <v>60</v>
      </c>
      <c r="EY55" s="80" t="s">
        <v>18</v>
      </c>
      <c r="EZ55" s="80" t="s">
        <v>59</v>
      </c>
      <c r="FA55" s="80" t="s">
        <v>60</v>
      </c>
      <c r="FB55" s="80" t="s">
        <v>18</v>
      </c>
      <c r="FC55" s="80" t="s">
        <v>59</v>
      </c>
      <c r="FD55" s="80" t="s">
        <v>60</v>
      </c>
      <c r="FE55" s="80" t="s">
        <v>18</v>
      </c>
      <c r="FF55" s="80" t="s">
        <v>59</v>
      </c>
      <c r="FG55" s="80" t="s">
        <v>60</v>
      </c>
      <c r="FH55" s="80" t="s">
        <v>18</v>
      </c>
      <c r="FI55" s="80" t="s">
        <v>59</v>
      </c>
      <c r="FJ55" s="80" t="s">
        <v>60</v>
      </c>
      <c r="FK55" s="80" t="s">
        <v>18</v>
      </c>
      <c r="FL55" s="80" t="s">
        <v>59</v>
      </c>
      <c r="FM55" s="80" t="s">
        <v>60</v>
      </c>
      <c r="FN55" s="80" t="s">
        <v>18</v>
      </c>
      <c r="FO55" s="80" t="s">
        <v>59</v>
      </c>
      <c r="FP55" s="80" t="s">
        <v>60</v>
      </c>
      <c r="FQ55" s="80" t="s">
        <v>18</v>
      </c>
      <c r="FR55" s="80" t="s">
        <v>59</v>
      </c>
      <c r="FS55" s="80" t="s">
        <v>60</v>
      </c>
      <c r="FT55" s="80" t="s">
        <v>18</v>
      </c>
      <c r="FU55" s="80" t="s">
        <v>59</v>
      </c>
      <c r="FV55" s="80" t="s">
        <v>60</v>
      </c>
      <c r="FW55" s="80" t="s">
        <v>18</v>
      </c>
      <c r="FX55" s="80" t="s">
        <v>59</v>
      </c>
      <c r="FY55" s="80" t="s">
        <v>60</v>
      </c>
      <c r="FZ55" s="80" t="s">
        <v>18</v>
      </c>
      <c r="GA55" s="80" t="s">
        <v>59</v>
      </c>
      <c r="GB55" s="80" t="s">
        <v>60</v>
      </c>
      <c r="GC55" s="80" t="s">
        <v>18</v>
      </c>
      <c r="GD55" s="80" t="s">
        <v>59</v>
      </c>
      <c r="GE55" s="80" t="s">
        <v>60</v>
      </c>
      <c r="GF55" s="80" t="s">
        <v>18</v>
      </c>
    </row>
    <row r="56" spans="3:188" ht="25.5" customHeight="1" x14ac:dyDescent="0.4">
      <c r="G56" s="1"/>
      <c r="H56" s="1"/>
      <c r="I56" s="4"/>
      <c r="J56" s="4"/>
      <c r="K56" s="39"/>
      <c r="L56" s="39"/>
      <c r="M56" s="39"/>
      <c r="O56" s="65"/>
      <c r="P56" s="81"/>
      <c r="Q56" s="1"/>
      <c r="R56" s="1"/>
      <c r="S56" s="82"/>
      <c r="T56" s="82"/>
      <c r="U56" s="82"/>
      <c r="V56" s="82"/>
      <c r="W56" s="82"/>
      <c r="X56" s="82"/>
      <c r="Y56" s="1"/>
      <c r="Z56" s="1"/>
      <c r="AA56" s="1"/>
      <c r="AB56" s="1"/>
      <c r="AC56" s="1"/>
      <c r="AD56" s="1"/>
      <c r="AE56" s="1"/>
      <c r="CA56" s="83"/>
      <c r="CB56" s="84" t="s">
        <v>29</v>
      </c>
      <c r="CC56" s="85">
        <v>42</v>
      </c>
      <c r="CD56" s="85">
        <v>3</v>
      </c>
      <c r="CE56" s="85">
        <v>0</v>
      </c>
      <c r="CF56" s="85">
        <v>42</v>
      </c>
      <c r="CG56" s="85">
        <v>3</v>
      </c>
      <c r="CH56" s="85">
        <v>0</v>
      </c>
      <c r="CI56" s="85">
        <v>37</v>
      </c>
      <c r="CJ56" s="85">
        <v>3</v>
      </c>
      <c r="CK56" s="85">
        <v>5</v>
      </c>
      <c r="CL56" s="85">
        <v>27</v>
      </c>
      <c r="CM56" s="85">
        <v>6</v>
      </c>
      <c r="CN56" s="85">
        <v>12</v>
      </c>
      <c r="CO56" s="85">
        <v>24</v>
      </c>
      <c r="CP56" s="85">
        <v>8</v>
      </c>
      <c r="CQ56" s="85">
        <v>13</v>
      </c>
      <c r="CR56" s="85">
        <v>12</v>
      </c>
      <c r="CS56" s="85">
        <v>20</v>
      </c>
      <c r="CT56" s="85">
        <v>13</v>
      </c>
      <c r="CU56" s="85">
        <v>10</v>
      </c>
      <c r="CV56" s="85">
        <v>22</v>
      </c>
      <c r="CW56" s="85">
        <v>13</v>
      </c>
      <c r="CX56" s="27">
        <v>7</v>
      </c>
      <c r="CY56" s="85">
        <v>25</v>
      </c>
      <c r="CZ56" s="85">
        <v>13</v>
      </c>
      <c r="DA56" s="85">
        <v>7</v>
      </c>
      <c r="DB56" s="85">
        <v>25</v>
      </c>
      <c r="DC56" s="85">
        <v>13</v>
      </c>
      <c r="DD56" s="84">
        <v>3</v>
      </c>
      <c r="DE56" s="85">
        <v>29</v>
      </c>
      <c r="DF56" s="85">
        <v>13</v>
      </c>
      <c r="DG56" s="84">
        <v>2</v>
      </c>
      <c r="DH56" s="85">
        <v>30</v>
      </c>
      <c r="DI56" s="85">
        <v>13</v>
      </c>
      <c r="DJ56" s="85">
        <v>0</v>
      </c>
      <c r="DK56" s="85">
        <v>30</v>
      </c>
      <c r="DL56" s="85">
        <v>15</v>
      </c>
      <c r="DM56" s="85">
        <v>0</v>
      </c>
      <c r="DN56" s="85">
        <v>30</v>
      </c>
      <c r="DO56" s="85">
        <v>15</v>
      </c>
      <c r="DP56" s="85">
        <v>0</v>
      </c>
      <c r="DQ56" s="85">
        <v>30</v>
      </c>
      <c r="DR56" s="85">
        <v>15</v>
      </c>
      <c r="DS56" s="84">
        <v>0</v>
      </c>
      <c r="DT56" s="85">
        <v>30</v>
      </c>
      <c r="DU56" s="85">
        <v>15</v>
      </c>
      <c r="DV56" s="85">
        <v>0</v>
      </c>
      <c r="DW56" s="85">
        <v>30</v>
      </c>
      <c r="DX56" s="85">
        <v>15</v>
      </c>
      <c r="DY56" s="85">
        <v>0</v>
      </c>
      <c r="DZ56" s="85">
        <v>30</v>
      </c>
      <c r="EA56" s="85">
        <v>15</v>
      </c>
      <c r="EB56" s="85">
        <v>0</v>
      </c>
      <c r="EC56" s="85">
        <v>30</v>
      </c>
      <c r="ED56" s="85">
        <v>15</v>
      </c>
      <c r="EE56" s="85">
        <v>0</v>
      </c>
      <c r="EF56" s="85">
        <v>30</v>
      </c>
      <c r="EG56" s="85">
        <v>15</v>
      </c>
      <c r="EH56" s="85"/>
      <c r="EI56" s="85"/>
      <c r="EJ56" s="85"/>
      <c r="EK56" s="85"/>
      <c r="EL56" s="85"/>
      <c r="EM56" s="85"/>
      <c r="EN56" s="85"/>
      <c r="EO56" s="85"/>
      <c r="EP56" s="85"/>
      <c r="EQ56" s="85"/>
      <c r="ER56" s="85"/>
      <c r="ES56" s="85"/>
      <c r="ET56" s="85"/>
      <c r="EU56" s="85"/>
      <c r="EV56" s="85"/>
      <c r="EW56" s="85">
        <v>0</v>
      </c>
      <c r="EX56" s="85">
        <v>30</v>
      </c>
      <c r="EY56" s="85">
        <v>15</v>
      </c>
      <c r="EZ56" s="85">
        <v>0</v>
      </c>
      <c r="FA56" s="85">
        <v>30</v>
      </c>
      <c r="FB56" s="85">
        <v>15</v>
      </c>
      <c r="FC56" s="85"/>
      <c r="FD56" s="85"/>
      <c r="FE56" s="85"/>
      <c r="FF56" s="85"/>
      <c r="FG56" s="85"/>
      <c r="FH56" s="85"/>
      <c r="FI56" s="85"/>
      <c r="FJ56" s="85"/>
      <c r="FK56" s="85"/>
      <c r="FL56" s="85"/>
      <c r="FM56" s="85"/>
      <c r="FN56" s="85"/>
      <c r="FO56" s="85"/>
      <c r="FP56" s="85"/>
      <c r="FQ56" s="85"/>
      <c r="FR56" s="27"/>
      <c r="FS56" s="85"/>
      <c r="FT56" s="85"/>
      <c r="FU56" s="85"/>
      <c r="FV56" s="85"/>
      <c r="FW56" s="85"/>
      <c r="FX56" s="84"/>
      <c r="FY56" s="85"/>
      <c r="FZ56" s="85"/>
      <c r="GA56" s="84"/>
      <c r="GB56" s="85"/>
      <c r="GC56" s="85"/>
      <c r="GD56" s="85"/>
      <c r="GE56" s="85"/>
      <c r="GF56" s="85"/>
    </row>
    <row r="57" spans="3:188" ht="25.5" customHeight="1" x14ac:dyDescent="0.4">
      <c r="G57" s="1"/>
      <c r="H57" s="1"/>
      <c r="I57" s="4"/>
      <c r="J57" s="4"/>
      <c r="K57" s="39"/>
      <c r="L57" s="39"/>
      <c r="M57" s="39"/>
      <c r="O57" s="65"/>
      <c r="P57" s="1"/>
      <c r="Q57" s="1"/>
      <c r="R57" s="1"/>
      <c r="S57" s="82"/>
      <c r="T57" s="82"/>
      <c r="U57" s="82"/>
      <c r="V57" s="82"/>
      <c r="W57" s="82"/>
      <c r="X57" s="82"/>
      <c r="Y57" s="1"/>
      <c r="Z57" s="1"/>
      <c r="AA57" s="1"/>
      <c r="AB57" s="1"/>
      <c r="AC57" s="1"/>
      <c r="AD57" s="1"/>
      <c r="AE57" s="1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6"/>
      <c r="CB57" s="84" t="s">
        <v>30</v>
      </c>
      <c r="CC57" s="85">
        <v>2</v>
      </c>
      <c r="CD57" s="85">
        <v>1</v>
      </c>
      <c r="CE57" s="85">
        <v>0</v>
      </c>
      <c r="CF57" s="85">
        <v>2</v>
      </c>
      <c r="CG57" s="85">
        <v>1</v>
      </c>
      <c r="CH57" s="85">
        <v>0</v>
      </c>
      <c r="CI57" s="85">
        <v>2</v>
      </c>
      <c r="CJ57" s="85">
        <v>1</v>
      </c>
      <c r="CK57" s="85">
        <v>0</v>
      </c>
      <c r="CL57" s="85">
        <v>2</v>
      </c>
      <c r="CM57" s="85">
        <v>1</v>
      </c>
      <c r="CN57" s="85">
        <v>0</v>
      </c>
      <c r="CO57" s="85">
        <v>2</v>
      </c>
      <c r="CP57" s="85">
        <v>1</v>
      </c>
      <c r="CQ57" s="85">
        <v>0</v>
      </c>
      <c r="CR57" s="85">
        <v>2</v>
      </c>
      <c r="CS57" s="85">
        <v>1</v>
      </c>
      <c r="CT57" s="85">
        <v>0</v>
      </c>
      <c r="CU57" s="85">
        <v>2</v>
      </c>
      <c r="CV57" s="85">
        <v>1</v>
      </c>
      <c r="CW57" s="85">
        <v>0</v>
      </c>
      <c r="CX57" s="27">
        <v>2</v>
      </c>
      <c r="CY57" s="85">
        <v>1</v>
      </c>
      <c r="CZ57" s="85">
        <v>0</v>
      </c>
      <c r="DA57" s="85">
        <v>2</v>
      </c>
      <c r="DB57" s="85">
        <v>1</v>
      </c>
      <c r="DC57" s="85">
        <v>0</v>
      </c>
      <c r="DD57" s="84">
        <v>2</v>
      </c>
      <c r="DE57" s="85">
        <v>1</v>
      </c>
      <c r="DF57" s="85">
        <v>0</v>
      </c>
      <c r="DG57" s="84">
        <v>1</v>
      </c>
      <c r="DH57" s="85">
        <v>2</v>
      </c>
      <c r="DI57" s="85">
        <v>0</v>
      </c>
      <c r="DJ57" s="85">
        <v>1</v>
      </c>
      <c r="DK57" s="85">
        <v>2</v>
      </c>
      <c r="DL57" s="85">
        <v>0</v>
      </c>
      <c r="DM57" s="85">
        <v>0</v>
      </c>
      <c r="DN57" s="85">
        <v>3</v>
      </c>
      <c r="DO57" s="85">
        <v>0</v>
      </c>
      <c r="DP57" s="85">
        <v>0</v>
      </c>
      <c r="DQ57" s="85">
        <v>3</v>
      </c>
      <c r="DR57" s="85">
        <v>0</v>
      </c>
      <c r="DS57" s="84">
        <v>0</v>
      </c>
      <c r="DT57" s="85">
        <v>3</v>
      </c>
      <c r="DU57" s="85">
        <v>0</v>
      </c>
      <c r="DV57" s="85">
        <v>0</v>
      </c>
      <c r="DW57" s="85">
        <v>3</v>
      </c>
      <c r="DX57" s="85">
        <v>0</v>
      </c>
      <c r="DY57" s="85">
        <v>0</v>
      </c>
      <c r="DZ57" s="85">
        <v>3</v>
      </c>
      <c r="EA57" s="85">
        <v>0</v>
      </c>
      <c r="EB57" s="85">
        <v>0</v>
      </c>
      <c r="EC57" s="85">
        <v>3</v>
      </c>
      <c r="ED57" s="85">
        <v>0</v>
      </c>
      <c r="EE57" s="85">
        <v>0</v>
      </c>
      <c r="EF57" s="85">
        <v>3</v>
      </c>
      <c r="EG57" s="85">
        <v>0</v>
      </c>
      <c r="EH57" s="85"/>
      <c r="EI57" s="85"/>
      <c r="EJ57" s="85"/>
      <c r="EK57" s="85"/>
      <c r="EL57" s="85"/>
      <c r="EM57" s="85"/>
      <c r="EN57" s="85"/>
      <c r="EO57" s="85"/>
      <c r="EP57" s="85"/>
      <c r="EQ57" s="85"/>
      <c r="ER57" s="85"/>
      <c r="ES57" s="85"/>
      <c r="ET57" s="85"/>
      <c r="EU57" s="85"/>
      <c r="EV57" s="85"/>
      <c r="EW57" s="85">
        <v>0</v>
      </c>
      <c r="EX57" s="85">
        <v>3</v>
      </c>
      <c r="EY57" s="85">
        <v>0</v>
      </c>
      <c r="EZ57" s="85">
        <v>0</v>
      </c>
      <c r="FA57" s="85">
        <v>3</v>
      </c>
      <c r="FB57" s="85">
        <v>0</v>
      </c>
      <c r="FC57" s="85"/>
      <c r="FD57" s="85"/>
      <c r="FE57" s="85"/>
      <c r="FF57" s="85"/>
      <c r="FG57" s="85"/>
      <c r="FH57" s="85"/>
      <c r="FI57" s="85"/>
      <c r="FJ57" s="85"/>
      <c r="FK57" s="85"/>
      <c r="FL57" s="85"/>
      <c r="FM57" s="85"/>
      <c r="FN57" s="85"/>
      <c r="FO57" s="85"/>
      <c r="FP57" s="85"/>
      <c r="FQ57" s="85"/>
      <c r="FR57" s="27"/>
      <c r="FS57" s="85"/>
      <c r="FT57" s="85"/>
      <c r="FU57" s="85"/>
      <c r="FV57" s="85"/>
      <c r="FW57" s="85"/>
      <c r="FX57" s="84"/>
      <c r="FY57" s="85"/>
      <c r="FZ57" s="85"/>
      <c r="GA57" s="84"/>
      <c r="GB57" s="85"/>
      <c r="GC57" s="85"/>
      <c r="GD57" s="85"/>
      <c r="GE57" s="85"/>
      <c r="GF57" s="85"/>
    </row>
    <row r="58" spans="3:188" ht="25.5" customHeight="1" x14ac:dyDescent="0.4">
      <c r="G58" s="1"/>
      <c r="H58" s="1"/>
      <c r="I58" s="4"/>
      <c r="J58" s="4"/>
      <c r="K58" s="39"/>
      <c r="L58" s="39"/>
      <c r="M58" s="39"/>
      <c r="O58" s="65"/>
      <c r="P58" s="1"/>
      <c r="Q58" s="1"/>
      <c r="R58" s="1"/>
      <c r="S58" s="82"/>
      <c r="T58" s="82"/>
      <c r="U58" s="82"/>
      <c r="V58" s="82"/>
      <c r="W58" s="82"/>
      <c r="X58" s="82"/>
      <c r="Y58" s="1"/>
      <c r="Z58" s="1"/>
      <c r="AA58" s="1"/>
      <c r="AB58" s="1"/>
      <c r="AC58" s="1"/>
      <c r="AD58" s="1"/>
      <c r="AE58" s="1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6"/>
      <c r="CB58" s="84" t="s">
        <v>35</v>
      </c>
      <c r="CC58" s="85">
        <v>0</v>
      </c>
      <c r="CD58" s="85">
        <v>0</v>
      </c>
      <c r="CE58" s="85">
        <v>0</v>
      </c>
      <c r="CF58" s="85">
        <v>0</v>
      </c>
      <c r="CG58" s="85">
        <v>0</v>
      </c>
      <c r="CH58" s="85">
        <v>0</v>
      </c>
      <c r="CI58" s="85">
        <v>0</v>
      </c>
      <c r="CJ58" s="85">
        <v>0</v>
      </c>
      <c r="CK58" s="85">
        <v>0</v>
      </c>
      <c r="CL58" s="85">
        <v>0</v>
      </c>
      <c r="CM58" s="85">
        <v>0</v>
      </c>
      <c r="CN58" s="85">
        <v>0</v>
      </c>
      <c r="CO58" s="85">
        <v>0</v>
      </c>
      <c r="CP58" s="85">
        <v>0</v>
      </c>
      <c r="CQ58" s="85">
        <v>0</v>
      </c>
      <c r="CR58" s="85">
        <v>0</v>
      </c>
      <c r="CS58" s="85">
        <v>0</v>
      </c>
      <c r="CT58" s="85">
        <v>0</v>
      </c>
      <c r="CU58" s="85">
        <v>0</v>
      </c>
      <c r="CV58" s="85">
        <v>0</v>
      </c>
      <c r="CW58" s="85">
        <v>0</v>
      </c>
      <c r="CX58" s="27">
        <v>0</v>
      </c>
      <c r="CY58" s="85">
        <v>0</v>
      </c>
      <c r="CZ58" s="85">
        <v>0</v>
      </c>
      <c r="DA58" s="85">
        <v>0</v>
      </c>
      <c r="DB58" s="85">
        <v>0</v>
      </c>
      <c r="DC58" s="85">
        <v>0</v>
      </c>
      <c r="DD58" s="84">
        <v>0</v>
      </c>
      <c r="DE58" s="85">
        <v>0</v>
      </c>
      <c r="DF58" s="85">
        <v>0</v>
      </c>
      <c r="DG58" s="84">
        <v>0</v>
      </c>
      <c r="DH58" s="85">
        <v>0</v>
      </c>
      <c r="DI58" s="85">
        <v>0</v>
      </c>
      <c r="DJ58" s="85">
        <v>0</v>
      </c>
      <c r="DK58" s="85">
        <v>0</v>
      </c>
      <c r="DL58" s="85">
        <v>0</v>
      </c>
      <c r="DM58" s="85">
        <v>0</v>
      </c>
      <c r="DN58" s="85">
        <v>0</v>
      </c>
      <c r="DO58" s="85">
        <v>0</v>
      </c>
      <c r="DP58" s="85">
        <v>0</v>
      </c>
      <c r="DQ58" s="85">
        <v>0</v>
      </c>
      <c r="DR58" s="85">
        <v>0</v>
      </c>
      <c r="DS58" s="84">
        <v>0</v>
      </c>
      <c r="DT58" s="85">
        <v>0</v>
      </c>
      <c r="DU58" s="85">
        <v>0</v>
      </c>
      <c r="DV58" s="85">
        <v>0</v>
      </c>
      <c r="DW58" s="85">
        <v>0</v>
      </c>
      <c r="DX58" s="85">
        <v>0</v>
      </c>
      <c r="DY58" s="85">
        <v>0</v>
      </c>
      <c r="DZ58" s="85">
        <v>0</v>
      </c>
      <c r="EA58" s="85">
        <v>0</v>
      </c>
      <c r="EB58" s="85">
        <v>0</v>
      </c>
      <c r="EC58" s="85">
        <v>0</v>
      </c>
      <c r="ED58" s="85">
        <v>0</v>
      </c>
      <c r="EE58" s="85">
        <v>0</v>
      </c>
      <c r="EF58" s="85">
        <v>0</v>
      </c>
      <c r="EG58" s="85">
        <v>0</v>
      </c>
      <c r="EH58" s="85"/>
      <c r="EI58" s="85"/>
      <c r="EJ58" s="85"/>
      <c r="EK58" s="85"/>
      <c r="EL58" s="85"/>
      <c r="EM58" s="85"/>
      <c r="EN58" s="85"/>
      <c r="EO58" s="85"/>
      <c r="EP58" s="85"/>
      <c r="EQ58" s="85"/>
      <c r="ER58" s="85"/>
      <c r="ES58" s="85"/>
      <c r="ET58" s="85"/>
      <c r="EU58" s="85"/>
      <c r="EV58" s="85"/>
      <c r="EW58" s="85">
        <v>0</v>
      </c>
      <c r="EX58" s="85">
        <v>0</v>
      </c>
      <c r="EY58" s="85">
        <v>0</v>
      </c>
      <c r="EZ58" s="85">
        <v>0</v>
      </c>
      <c r="FA58" s="85">
        <v>0</v>
      </c>
      <c r="FB58" s="85">
        <v>0</v>
      </c>
      <c r="FC58" s="85"/>
      <c r="FD58" s="85"/>
      <c r="FE58" s="85"/>
      <c r="FF58" s="85"/>
      <c r="FG58" s="85"/>
      <c r="FH58" s="85"/>
      <c r="FI58" s="85"/>
      <c r="FJ58" s="85"/>
      <c r="FK58" s="85"/>
      <c r="FL58" s="85"/>
      <c r="FM58" s="85"/>
      <c r="FN58" s="85"/>
      <c r="FO58" s="85"/>
      <c r="FP58" s="85"/>
      <c r="FQ58" s="85"/>
      <c r="FR58" s="27"/>
      <c r="FS58" s="85"/>
      <c r="FT58" s="85"/>
      <c r="FU58" s="85"/>
      <c r="FV58" s="85"/>
      <c r="FW58" s="85"/>
      <c r="FX58" s="84"/>
      <c r="FY58" s="85"/>
      <c r="FZ58" s="85"/>
      <c r="GA58" s="84"/>
      <c r="GB58" s="85"/>
      <c r="GC58" s="85"/>
      <c r="GD58" s="85"/>
      <c r="GE58" s="85"/>
      <c r="GF58" s="85"/>
    </row>
    <row r="59" spans="3:188" ht="25.5" customHeight="1" x14ac:dyDescent="0.4">
      <c r="G59" s="1"/>
      <c r="H59" s="1"/>
      <c r="I59" s="4"/>
      <c r="J59" s="4"/>
      <c r="K59" s="39"/>
      <c r="L59" s="39"/>
      <c r="M59" s="39"/>
      <c r="O59" s="65"/>
      <c r="P59" s="1"/>
      <c r="Q59" s="1"/>
      <c r="R59" s="1"/>
      <c r="S59" s="39"/>
      <c r="T59" s="39"/>
      <c r="U59" s="39"/>
      <c r="V59" s="39"/>
      <c r="W59" s="39"/>
      <c r="X59" s="39"/>
      <c r="Y59" s="1"/>
      <c r="Z59" s="1"/>
      <c r="AA59" s="1"/>
      <c r="AB59" s="1"/>
      <c r="AC59" s="1"/>
      <c r="AD59" s="1"/>
      <c r="AE59" s="1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6"/>
      <c r="CB59" s="84" t="s">
        <v>39</v>
      </c>
      <c r="CC59" s="85">
        <v>0</v>
      </c>
      <c r="CD59" s="85">
        <v>0</v>
      </c>
      <c r="CE59" s="85">
        <v>0</v>
      </c>
      <c r="CF59" s="85">
        <v>1</v>
      </c>
      <c r="CG59" s="85">
        <v>0</v>
      </c>
      <c r="CH59" s="85">
        <v>0</v>
      </c>
      <c r="CI59" s="85">
        <v>1</v>
      </c>
      <c r="CJ59" s="85">
        <v>0</v>
      </c>
      <c r="CK59" s="85">
        <v>0</v>
      </c>
      <c r="CL59" s="85">
        <v>1</v>
      </c>
      <c r="CM59" s="85">
        <v>0</v>
      </c>
      <c r="CN59" s="85">
        <v>0</v>
      </c>
      <c r="CO59" s="85">
        <v>1</v>
      </c>
      <c r="CP59" s="85">
        <v>0</v>
      </c>
      <c r="CQ59" s="85">
        <v>0</v>
      </c>
      <c r="CR59" s="85">
        <v>1</v>
      </c>
      <c r="CS59" s="85">
        <v>0</v>
      </c>
      <c r="CT59" s="85">
        <v>0</v>
      </c>
      <c r="CU59" s="85">
        <v>1</v>
      </c>
      <c r="CV59" s="85">
        <v>0</v>
      </c>
      <c r="CW59" s="85">
        <v>0</v>
      </c>
      <c r="CX59" s="27">
        <v>1</v>
      </c>
      <c r="CY59" s="85">
        <v>0</v>
      </c>
      <c r="CZ59" s="85">
        <v>0</v>
      </c>
      <c r="DA59" s="85">
        <v>0</v>
      </c>
      <c r="DB59" s="85">
        <v>1</v>
      </c>
      <c r="DC59" s="85">
        <v>0</v>
      </c>
      <c r="DD59" s="84">
        <v>0</v>
      </c>
      <c r="DE59" s="85">
        <v>1</v>
      </c>
      <c r="DF59" s="85">
        <v>0</v>
      </c>
      <c r="DG59" s="84">
        <v>0</v>
      </c>
      <c r="DH59" s="85">
        <v>1</v>
      </c>
      <c r="DI59" s="85">
        <v>0</v>
      </c>
      <c r="DJ59" s="85">
        <v>0</v>
      </c>
      <c r="DK59" s="85">
        <v>1</v>
      </c>
      <c r="DL59" s="85">
        <v>0</v>
      </c>
      <c r="DM59" s="85">
        <v>0</v>
      </c>
      <c r="DN59" s="85">
        <v>1</v>
      </c>
      <c r="DO59" s="85">
        <v>0</v>
      </c>
      <c r="DP59" s="85">
        <v>0</v>
      </c>
      <c r="DQ59" s="85">
        <v>1</v>
      </c>
      <c r="DR59" s="85">
        <v>0</v>
      </c>
      <c r="DS59" s="84">
        <v>0</v>
      </c>
      <c r="DT59" s="85">
        <v>1</v>
      </c>
      <c r="DU59" s="85">
        <v>0</v>
      </c>
      <c r="DV59" s="85">
        <v>0</v>
      </c>
      <c r="DW59" s="85">
        <v>1</v>
      </c>
      <c r="DX59" s="85">
        <v>0</v>
      </c>
      <c r="DY59" s="85">
        <v>0</v>
      </c>
      <c r="DZ59" s="85">
        <v>1</v>
      </c>
      <c r="EA59" s="85">
        <v>0</v>
      </c>
      <c r="EB59" s="85">
        <v>0</v>
      </c>
      <c r="EC59" s="85">
        <v>1</v>
      </c>
      <c r="ED59" s="85">
        <v>0</v>
      </c>
      <c r="EE59" s="85">
        <v>0</v>
      </c>
      <c r="EF59" s="85">
        <v>1</v>
      </c>
      <c r="EG59" s="85">
        <v>0</v>
      </c>
      <c r="EH59" s="85"/>
      <c r="EI59" s="85"/>
      <c r="EJ59" s="85"/>
      <c r="EK59" s="85"/>
      <c r="EL59" s="85"/>
      <c r="EM59" s="85"/>
      <c r="EN59" s="85"/>
      <c r="EO59" s="85"/>
      <c r="EP59" s="85"/>
      <c r="EQ59" s="85"/>
      <c r="ER59" s="85"/>
      <c r="ES59" s="85"/>
      <c r="ET59" s="85"/>
      <c r="EU59" s="85"/>
      <c r="EV59" s="85"/>
      <c r="EW59" s="85">
        <v>0</v>
      </c>
      <c r="EX59" s="85">
        <v>1</v>
      </c>
      <c r="EY59" s="85">
        <v>0</v>
      </c>
      <c r="EZ59" s="85">
        <v>0</v>
      </c>
      <c r="FA59" s="85">
        <v>1</v>
      </c>
      <c r="FB59" s="85">
        <v>0</v>
      </c>
      <c r="FC59" s="85"/>
      <c r="FD59" s="85"/>
      <c r="FE59" s="85"/>
      <c r="FF59" s="85"/>
      <c r="FG59" s="85"/>
      <c r="FH59" s="85"/>
      <c r="FI59" s="85"/>
      <c r="FJ59" s="85"/>
      <c r="FK59" s="85"/>
      <c r="FL59" s="85"/>
      <c r="FM59" s="85"/>
      <c r="FN59" s="85"/>
      <c r="FO59" s="85"/>
      <c r="FP59" s="85"/>
      <c r="FQ59" s="85"/>
      <c r="FR59" s="27"/>
      <c r="FS59" s="85"/>
      <c r="FT59" s="85"/>
      <c r="FU59" s="85"/>
      <c r="FV59" s="85"/>
      <c r="FW59" s="85"/>
      <c r="FX59" s="84"/>
      <c r="FY59" s="85"/>
      <c r="FZ59" s="85"/>
      <c r="GA59" s="84"/>
      <c r="GB59" s="85"/>
      <c r="GC59" s="85"/>
      <c r="GD59" s="85"/>
      <c r="GE59" s="85"/>
      <c r="GF59" s="85"/>
    </row>
    <row r="60" spans="3:188" ht="25.5" customHeight="1" x14ac:dyDescent="0.4">
      <c r="G60" s="1"/>
      <c r="H60" s="1"/>
      <c r="I60" s="4"/>
      <c r="J60" s="4"/>
      <c r="K60" s="39"/>
      <c r="L60" s="39"/>
      <c r="M60" s="39"/>
      <c r="O60" s="65"/>
      <c r="P60" s="1"/>
      <c r="Q60" s="1"/>
      <c r="R60" s="1"/>
      <c r="S60" s="39"/>
      <c r="T60" s="39"/>
      <c r="U60" s="39"/>
      <c r="V60" s="39"/>
      <c r="W60" s="39"/>
      <c r="X60" s="39"/>
      <c r="Y60" s="1"/>
      <c r="Z60" s="1"/>
      <c r="AA60" s="1"/>
      <c r="AB60" s="1"/>
      <c r="AC60" s="1"/>
      <c r="AD60" s="1"/>
      <c r="AE60" s="1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6"/>
      <c r="CB60" s="84" t="s">
        <v>31</v>
      </c>
      <c r="CC60" s="85">
        <v>2</v>
      </c>
      <c r="CD60" s="85">
        <v>0</v>
      </c>
      <c r="CE60" s="85">
        <v>0</v>
      </c>
      <c r="CF60" s="85">
        <v>3</v>
      </c>
      <c r="CG60" s="85">
        <v>0</v>
      </c>
      <c r="CH60" s="85">
        <v>0</v>
      </c>
      <c r="CI60" s="85">
        <v>3</v>
      </c>
      <c r="CJ60" s="85">
        <v>0</v>
      </c>
      <c r="CK60" s="85">
        <v>0</v>
      </c>
      <c r="CL60" s="85">
        <v>3</v>
      </c>
      <c r="CM60" s="85">
        <v>1</v>
      </c>
      <c r="CN60" s="85">
        <v>0</v>
      </c>
      <c r="CO60" s="85">
        <v>6</v>
      </c>
      <c r="CP60" s="85">
        <v>3</v>
      </c>
      <c r="CQ60" s="85">
        <v>0</v>
      </c>
      <c r="CR60" s="85">
        <v>6</v>
      </c>
      <c r="CS60" s="85">
        <v>3</v>
      </c>
      <c r="CT60" s="85">
        <v>0</v>
      </c>
      <c r="CU60" s="85">
        <v>6</v>
      </c>
      <c r="CV60" s="85">
        <v>3</v>
      </c>
      <c r="CW60" s="85">
        <v>0</v>
      </c>
      <c r="CX60" s="27">
        <v>6</v>
      </c>
      <c r="CY60" s="85">
        <v>3</v>
      </c>
      <c r="CZ60" s="85">
        <v>0</v>
      </c>
      <c r="DA60" s="85">
        <v>6</v>
      </c>
      <c r="DB60" s="85">
        <v>3</v>
      </c>
      <c r="DC60" s="85">
        <v>0</v>
      </c>
      <c r="DD60" s="84">
        <v>6</v>
      </c>
      <c r="DE60" s="85">
        <v>3</v>
      </c>
      <c r="DF60" s="85">
        <v>0</v>
      </c>
      <c r="DG60" s="84">
        <v>3</v>
      </c>
      <c r="DH60" s="85">
        <v>6</v>
      </c>
      <c r="DI60" s="85">
        <v>0</v>
      </c>
      <c r="DJ60" s="85">
        <v>3</v>
      </c>
      <c r="DK60" s="85">
        <v>6</v>
      </c>
      <c r="DL60" s="85">
        <v>0</v>
      </c>
      <c r="DM60" s="85">
        <v>3</v>
      </c>
      <c r="DN60" s="85">
        <v>6</v>
      </c>
      <c r="DO60" s="85">
        <v>0</v>
      </c>
      <c r="DP60" s="85">
        <v>2</v>
      </c>
      <c r="DQ60" s="85">
        <v>7</v>
      </c>
      <c r="DR60" s="85">
        <v>0</v>
      </c>
      <c r="DS60" s="84">
        <v>0</v>
      </c>
      <c r="DT60" s="85">
        <v>7</v>
      </c>
      <c r="DU60" s="85">
        <v>2</v>
      </c>
      <c r="DV60" s="85">
        <v>0</v>
      </c>
      <c r="DW60" s="85">
        <v>8</v>
      </c>
      <c r="DX60" s="85">
        <v>1</v>
      </c>
      <c r="DY60" s="85">
        <v>0</v>
      </c>
      <c r="DZ60" s="85">
        <v>8</v>
      </c>
      <c r="EA60" s="85">
        <v>1</v>
      </c>
      <c r="EB60" s="85">
        <v>0</v>
      </c>
      <c r="EC60" s="85">
        <v>8</v>
      </c>
      <c r="ED60" s="85">
        <v>1</v>
      </c>
      <c r="EE60" s="85">
        <v>0</v>
      </c>
      <c r="EF60" s="85">
        <v>8</v>
      </c>
      <c r="EG60" s="85">
        <v>1</v>
      </c>
      <c r="EH60" s="85"/>
      <c r="EI60" s="85"/>
      <c r="EJ60" s="85"/>
      <c r="EK60" s="85"/>
      <c r="EL60" s="85"/>
      <c r="EM60" s="85"/>
      <c r="EN60" s="85"/>
      <c r="EO60" s="85"/>
      <c r="EP60" s="85"/>
      <c r="EQ60" s="85"/>
      <c r="ER60" s="85"/>
      <c r="ES60" s="85"/>
      <c r="ET60" s="85"/>
      <c r="EU60" s="85"/>
      <c r="EV60" s="85"/>
      <c r="EW60" s="85">
        <v>0</v>
      </c>
      <c r="EX60" s="85">
        <v>8</v>
      </c>
      <c r="EY60" s="85">
        <v>1</v>
      </c>
      <c r="EZ60" s="85">
        <v>0</v>
      </c>
      <c r="FA60" s="85">
        <v>8</v>
      </c>
      <c r="FB60" s="85">
        <v>1</v>
      </c>
      <c r="FC60" s="85"/>
      <c r="FD60" s="85"/>
      <c r="FE60" s="85"/>
      <c r="FF60" s="85"/>
      <c r="FG60" s="85"/>
      <c r="FH60" s="85"/>
      <c r="FI60" s="85"/>
      <c r="FJ60" s="85"/>
      <c r="FK60" s="85"/>
      <c r="FL60" s="85"/>
      <c r="FM60" s="85"/>
      <c r="FN60" s="85"/>
      <c r="FO60" s="85"/>
      <c r="FP60" s="85"/>
      <c r="FQ60" s="85"/>
      <c r="FR60" s="27"/>
      <c r="FS60" s="85"/>
      <c r="FT60" s="85"/>
      <c r="FU60" s="85"/>
      <c r="FV60" s="85"/>
      <c r="FW60" s="85"/>
      <c r="FX60" s="84"/>
      <c r="FY60" s="85"/>
      <c r="FZ60" s="85"/>
      <c r="GA60" s="84"/>
      <c r="GB60" s="85"/>
      <c r="GC60" s="85"/>
      <c r="GD60" s="85"/>
      <c r="GE60" s="85"/>
      <c r="GF60" s="85"/>
    </row>
    <row r="61" spans="3:188" ht="25.5" customHeight="1" x14ac:dyDescent="0.4">
      <c r="G61" s="1"/>
      <c r="H61" s="1"/>
      <c r="I61" s="4"/>
      <c r="J61" s="4"/>
      <c r="K61" s="39"/>
      <c r="L61" s="39"/>
      <c r="M61" s="39"/>
      <c r="O61" s="65"/>
      <c r="P61" s="1"/>
      <c r="Q61" s="1"/>
      <c r="R61" s="1"/>
      <c r="S61" s="39"/>
      <c r="T61" s="39"/>
      <c r="U61" s="39"/>
      <c r="V61" s="39"/>
      <c r="W61" s="39"/>
      <c r="X61" s="39"/>
      <c r="Y61" s="1"/>
      <c r="Z61" s="1"/>
      <c r="AA61" s="1"/>
      <c r="AB61" s="1"/>
      <c r="AC61" s="1"/>
      <c r="AD61" s="1"/>
      <c r="AE61" s="1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6"/>
      <c r="CB61" s="84" t="s">
        <v>40</v>
      </c>
      <c r="CC61" s="85">
        <v>3</v>
      </c>
      <c r="CD61" s="85">
        <v>1</v>
      </c>
      <c r="CE61" s="85">
        <v>0</v>
      </c>
      <c r="CF61" s="85">
        <v>2</v>
      </c>
      <c r="CG61" s="85">
        <v>2</v>
      </c>
      <c r="CH61" s="85">
        <v>0</v>
      </c>
      <c r="CI61" s="85">
        <v>2</v>
      </c>
      <c r="CJ61" s="85">
        <v>2</v>
      </c>
      <c r="CK61" s="85">
        <v>0</v>
      </c>
      <c r="CL61" s="85">
        <v>2</v>
      </c>
      <c r="CM61" s="85">
        <v>2</v>
      </c>
      <c r="CN61" s="85">
        <v>0</v>
      </c>
      <c r="CO61" s="85">
        <v>2</v>
      </c>
      <c r="CP61" s="85">
        <v>2</v>
      </c>
      <c r="CQ61" s="85">
        <v>0</v>
      </c>
      <c r="CR61" s="85">
        <v>2</v>
      </c>
      <c r="CS61" s="85">
        <v>2</v>
      </c>
      <c r="CT61" s="85">
        <v>0</v>
      </c>
      <c r="CU61" s="85">
        <v>2</v>
      </c>
      <c r="CV61" s="85">
        <v>2</v>
      </c>
      <c r="CW61" s="85">
        <v>0</v>
      </c>
      <c r="CX61" s="27">
        <v>2</v>
      </c>
      <c r="CY61" s="85">
        <v>2</v>
      </c>
      <c r="CZ61" s="85">
        <v>0</v>
      </c>
      <c r="DA61" s="85">
        <v>2</v>
      </c>
      <c r="DB61" s="85">
        <v>2</v>
      </c>
      <c r="DC61" s="85">
        <v>0</v>
      </c>
      <c r="DD61" s="84">
        <v>2</v>
      </c>
      <c r="DE61" s="85">
        <v>2</v>
      </c>
      <c r="DF61" s="85">
        <v>0</v>
      </c>
      <c r="DG61" s="84">
        <v>2</v>
      </c>
      <c r="DH61" s="85">
        <v>2</v>
      </c>
      <c r="DI61" s="85">
        <v>0</v>
      </c>
      <c r="DJ61" s="85">
        <v>2</v>
      </c>
      <c r="DK61" s="85">
        <v>2</v>
      </c>
      <c r="DL61" s="85">
        <v>0</v>
      </c>
      <c r="DM61" s="85">
        <v>2</v>
      </c>
      <c r="DN61" s="85">
        <v>2</v>
      </c>
      <c r="DO61" s="85">
        <v>0</v>
      </c>
      <c r="DP61" s="85">
        <v>2</v>
      </c>
      <c r="DQ61" s="85">
        <v>2</v>
      </c>
      <c r="DR61" s="85">
        <v>0</v>
      </c>
      <c r="DS61" s="84">
        <v>2</v>
      </c>
      <c r="DT61" s="85">
        <v>2</v>
      </c>
      <c r="DU61" s="85">
        <v>0</v>
      </c>
      <c r="DV61" s="85">
        <v>2</v>
      </c>
      <c r="DW61" s="85">
        <v>2</v>
      </c>
      <c r="DX61" s="85">
        <v>0</v>
      </c>
      <c r="DY61" s="85">
        <v>2</v>
      </c>
      <c r="DZ61" s="85">
        <v>2</v>
      </c>
      <c r="EA61" s="85">
        <v>0</v>
      </c>
      <c r="EB61" s="85">
        <v>2</v>
      </c>
      <c r="EC61" s="85">
        <v>2</v>
      </c>
      <c r="ED61" s="85">
        <v>0</v>
      </c>
      <c r="EE61" s="85">
        <v>2</v>
      </c>
      <c r="EF61" s="85">
        <v>2</v>
      </c>
      <c r="EG61" s="85">
        <v>0</v>
      </c>
      <c r="EH61" s="85"/>
      <c r="EI61" s="85"/>
      <c r="EJ61" s="85"/>
      <c r="EK61" s="85"/>
      <c r="EL61" s="85"/>
      <c r="EM61" s="85"/>
      <c r="EN61" s="85"/>
      <c r="EO61" s="85"/>
      <c r="EP61" s="85"/>
      <c r="EQ61" s="85"/>
      <c r="ER61" s="85"/>
      <c r="ES61" s="85"/>
      <c r="ET61" s="85"/>
      <c r="EU61" s="85"/>
      <c r="EV61" s="85"/>
      <c r="EW61" s="85">
        <v>0</v>
      </c>
      <c r="EX61" s="85">
        <v>4</v>
      </c>
      <c r="EY61" s="85">
        <v>0</v>
      </c>
      <c r="EZ61" s="85">
        <v>0</v>
      </c>
      <c r="FA61" s="85">
        <v>4</v>
      </c>
      <c r="FB61" s="85">
        <v>0</v>
      </c>
      <c r="FC61" s="85"/>
      <c r="FD61" s="85"/>
      <c r="FE61" s="85"/>
      <c r="FF61" s="85"/>
      <c r="FG61" s="85"/>
      <c r="FH61" s="85"/>
      <c r="FI61" s="85"/>
      <c r="FJ61" s="85"/>
      <c r="FK61" s="85"/>
      <c r="FL61" s="85"/>
      <c r="FM61" s="85"/>
      <c r="FN61" s="85"/>
      <c r="FO61" s="85"/>
      <c r="FP61" s="85"/>
      <c r="FQ61" s="85"/>
      <c r="FR61" s="27"/>
      <c r="FS61" s="85"/>
      <c r="FT61" s="85"/>
      <c r="FU61" s="85"/>
      <c r="FV61" s="85"/>
      <c r="FW61" s="85"/>
      <c r="FX61" s="84"/>
      <c r="FY61" s="85"/>
      <c r="FZ61" s="85"/>
      <c r="GA61" s="84"/>
      <c r="GB61" s="85"/>
      <c r="GC61" s="85"/>
      <c r="GD61" s="85"/>
      <c r="GE61" s="85"/>
      <c r="GF61" s="85"/>
    </row>
    <row r="62" spans="3:188" ht="25.5" customHeight="1" x14ac:dyDescent="0.4">
      <c r="I62" s="4"/>
      <c r="J62" s="4"/>
      <c r="K62" s="39"/>
      <c r="L62" s="39"/>
      <c r="M62" s="39"/>
      <c r="O62" s="65"/>
      <c r="P62" s="1"/>
      <c r="Q62" s="1"/>
      <c r="R62" s="1"/>
      <c r="S62" s="39"/>
      <c r="T62" s="82"/>
      <c r="U62" s="82"/>
      <c r="V62" s="82"/>
      <c r="W62" s="82"/>
      <c r="X62" s="82"/>
      <c r="Y62" s="1"/>
      <c r="Z62" s="1"/>
      <c r="AA62" s="1"/>
      <c r="AB62" s="1"/>
      <c r="AC62" s="1"/>
      <c r="AD62" s="1"/>
      <c r="AE62" s="1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  <c r="AQ62" s="86"/>
      <c r="AR62" s="86"/>
      <c r="AS62" s="86"/>
      <c r="AT62" s="86"/>
      <c r="CB62" s="84" t="s">
        <v>37</v>
      </c>
      <c r="CC62" s="85">
        <v>13</v>
      </c>
      <c r="CD62" s="85">
        <v>0</v>
      </c>
      <c r="CE62" s="85">
        <v>0</v>
      </c>
      <c r="CF62" s="85">
        <v>16</v>
      </c>
      <c r="CG62" s="85">
        <v>0</v>
      </c>
      <c r="CH62" s="85">
        <v>1</v>
      </c>
      <c r="CI62" s="85">
        <v>15</v>
      </c>
      <c r="CJ62" s="85">
        <v>1</v>
      </c>
      <c r="CK62" s="85">
        <v>1</v>
      </c>
      <c r="CL62" s="85">
        <v>15</v>
      </c>
      <c r="CM62" s="85">
        <v>1</v>
      </c>
      <c r="CN62" s="85">
        <v>1</v>
      </c>
      <c r="CO62" s="85">
        <v>10</v>
      </c>
      <c r="CP62" s="85">
        <v>6</v>
      </c>
      <c r="CQ62" s="85">
        <v>1</v>
      </c>
      <c r="CR62" s="85">
        <v>8</v>
      </c>
      <c r="CS62" s="85">
        <v>8</v>
      </c>
      <c r="CT62" s="85">
        <v>1</v>
      </c>
      <c r="CU62" s="85">
        <v>7</v>
      </c>
      <c r="CV62" s="85">
        <v>8</v>
      </c>
      <c r="CW62" s="85">
        <v>2</v>
      </c>
      <c r="CX62" s="27">
        <v>4</v>
      </c>
      <c r="CY62" s="85">
        <v>11</v>
      </c>
      <c r="CZ62" s="85">
        <v>2</v>
      </c>
      <c r="DA62" s="85">
        <v>3</v>
      </c>
      <c r="DB62" s="85">
        <v>12</v>
      </c>
      <c r="DC62" s="85">
        <v>2</v>
      </c>
      <c r="DD62" s="84">
        <v>0</v>
      </c>
      <c r="DE62" s="85">
        <v>15</v>
      </c>
      <c r="DF62" s="85">
        <v>2</v>
      </c>
      <c r="DG62" s="84">
        <v>0</v>
      </c>
      <c r="DH62" s="85">
        <v>15</v>
      </c>
      <c r="DI62" s="85">
        <v>2</v>
      </c>
      <c r="DJ62" s="85">
        <v>0</v>
      </c>
      <c r="DK62" s="85">
        <v>15</v>
      </c>
      <c r="DL62" s="85">
        <v>2</v>
      </c>
      <c r="DM62" s="85">
        <v>0</v>
      </c>
      <c r="DN62" s="85">
        <v>15</v>
      </c>
      <c r="DO62" s="85">
        <v>2</v>
      </c>
      <c r="DP62" s="85">
        <v>0</v>
      </c>
      <c r="DQ62" s="85">
        <v>15</v>
      </c>
      <c r="DR62" s="85">
        <v>2</v>
      </c>
      <c r="DS62" s="84">
        <v>0</v>
      </c>
      <c r="DT62" s="85">
        <v>15</v>
      </c>
      <c r="DU62" s="85">
        <v>2</v>
      </c>
      <c r="DV62" s="85">
        <v>0</v>
      </c>
      <c r="DW62" s="85">
        <v>15</v>
      </c>
      <c r="DX62" s="85">
        <v>2</v>
      </c>
      <c r="DY62" s="85">
        <v>0</v>
      </c>
      <c r="DZ62" s="85">
        <v>15</v>
      </c>
      <c r="EA62" s="85">
        <v>2</v>
      </c>
      <c r="EB62" s="85">
        <v>0</v>
      </c>
      <c r="EC62" s="85">
        <v>15</v>
      </c>
      <c r="ED62" s="85">
        <v>2</v>
      </c>
      <c r="EE62" s="85">
        <v>0</v>
      </c>
      <c r="EF62" s="85">
        <v>16</v>
      </c>
      <c r="EG62" s="85">
        <v>1</v>
      </c>
      <c r="EH62" s="85"/>
      <c r="EI62" s="85"/>
      <c r="EJ62" s="85"/>
      <c r="EK62" s="85"/>
      <c r="EL62" s="85"/>
      <c r="EM62" s="85"/>
      <c r="EN62" s="85"/>
      <c r="EO62" s="85"/>
      <c r="EP62" s="85"/>
      <c r="EQ62" s="85"/>
      <c r="ER62" s="85"/>
      <c r="ES62" s="85"/>
      <c r="ET62" s="85"/>
      <c r="EU62" s="85"/>
      <c r="EV62" s="85"/>
      <c r="EW62" s="85">
        <v>0</v>
      </c>
      <c r="EX62" s="85">
        <v>16</v>
      </c>
      <c r="EY62" s="85">
        <v>1</v>
      </c>
      <c r="EZ62" s="85">
        <v>0</v>
      </c>
      <c r="FA62" s="85">
        <v>16</v>
      </c>
      <c r="FB62" s="85">
        <v>1</v>
      </c>
      <c r="FC62" s="85"/>
      <c r="FD62" s="85"/>
      <c r="FE62" s="85"/>
      <c r="FF62" s="85"/>
      <c r="FG62" s="85"/>
      <c r="FH62" s="85"/>
      <c r="FI62" s="85"/>
      <c r="FJ62" s="85"/>
      <c r="FK62" s="85"/>
      <c r="FL62" s="85"/>
      <c r="FM62" s="85"/>
      <c r="FN62" s="85"/>
      <c r="FO62" s="85"/>
      <c r="FP62" s="85"/>
      <c r="FQ62" s="85"/>
      <c r="FR62" s="27"/>
      <c r="FS62" s="85"/>
      <c r="FT62" s="85"/>
      <c r="FU62" s="85"/>
      <c r="FV62" s="85"/>
      <c r="FW62" s="85"/>
      <c r="FX62" s="84"/>
      <c r="FY62" s="85"/>
      <c r="FZ62" s="85"/>
      <c r="GA62" s="84"/>
      <c r="GB62" s="85"/>
      <c r="GC62" s="85"/>
      <c r="GD62" s="85"/>
      <c r="GE62" s="85"/>
      <c r="GF62" s="85"/>
    </row>
    <row r="63" spans="3:188" ht="25.5" customHeight="1" x14ac:dyDescent="0.4">
      <c r="I63" s="4"/>
      <c r="J63" s="4"/>
      <c r="K63" s="39"/>
      <c r="L63" s="39"/>
      <c r="M63" s="39"/>
      <c r="O63" s="65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  <c r="AQ63" s="86"/>
      <c r="AR63" s="86"/>
      <c r="AS63" s="86"/>
      <c r="AT63" s="86"/>
      <c r="CB63" s="84" t="s">
        <v>33</v>
      </c>
      <c r="CC63" s="85">
        <v>10</v>
      </c>
      <c r="CD63" s="85">
        <v>1</v>
      </c>
      <c r="CE63" s="85">
        <v>0</v>
      </c>
      <c r="CF63" s="85">
        <v>12</v>
      </c>
      <c r="CG63" s="85">
        <v>1</v>
      </c>
      <c r="CH63" s="85">
        <v>0</v>
      </c>
      <c r="CI63" s="85">
        <v>12</v>
      </c>
      <c r="CJ63" s="85">
        <v>1</v>
      </c>
      <c r="CK63" s="85">
        <v>0</v>
      </c>
      <c r="CL63" s="85">
        <v>12</v>
      </c>
      <c r="CM63" s="85">
        <v>1</v>
      </c>
      <c r="CN63" s="85">
        <v>0</v>
      </c>
      <c r="CO63" s="85">
        <v>12</v>
      </c>
      <c r="CP63" s="85">
        <v>1</v>
      </c>
      <c r="CQ63" s="85">
        <v>0</v>
      </c>
      <c r="CR63" s="85">
        <v>12</v>
      </c>
      <c r="CS63" s="85">
        <v>1</v>
      </c>
      <c r="CT63" s="85">
        <v>0</v>
      </c>
      <c r="CU63" s="85">
        <v>12</v>
      </c>
      <c r="CV63" s="85">
        <v>1</v>
      </c>
      <c r="CW63" s="85">
        <v>0</v>
      </c>
      <c r="CX63" s="27">
        <v>12</v>
      </c>
      <c r="CY63" s="85">
        <v>1</v>
      </c>
      <c r="CZ63" s="85">
        <v>0</v>
      </c>
      <c r="DA63" s="85">
        <v>12</v>
      </c>
      <c r="DB63" s="85">
        <v>1</v>
      </c>
      <c r="DC63" s="85">
        <v>0</v>
      </c>
      <c r="DD63" s="84">
        <v>12</v>
      </c>
      <c r="DE63" s="85">
        <v>1</v>
      </c>
      <c r="DF63" s="85">
        <v>0</v>
      </c>
      <c r="DG63" s="84">
        <v>12</v>
      </c>
      <c r="DH63" s="85">
        <v>1</v>
      </c>
      <c r="DI63" s="85">
        <v>0</v>
      </c>
      <c r="DJ63" s="85">
        <v>12</v>
      </c>
      <c r="DK63" s="85">
        <v>1</v>
      </c>
      <c r="DL63" s="85">
        <v>0</v>
      </c>
      <c r="DM63" s="85">
        <v>12</v>
      </c>
      <c r="DN63" s="85">
        <v>1</v>
      </c>
      <c r="DO63" s="85">
        <v>0</v>
      </c>
      <c r="DP63" s="85">
        <v>11</v>
      </c>
      <c r="DQ63" s="85">
        <v>2</v>
      </c>
      <c r="DR63" s="85">
        <v>0</v>
      </c>
      <c r="DS63" s="84">
        <v>9</v>
      </c>
      <c r="DT63" s="85">
        <v>2</v>
      </c>
      <c r="DU63" s="85">
        <v>2</v>
      </c>
      <c r="DV63" s="85">
        <v>7</v>
      </c>
      <c r="DW63" s="85">
        <v>4</v>
      </c>
      <c r="DX63" s="85">
        <v>2</v>
      </c>
      <c r="DY63" s="85">
        <v>7</v>
      </c>
      <c r="DZ63" s="85">
        <v>4</v>
      </c>
      <c r="EA63" s="85">
        <v>2</v>
      </c>
      <c r="EB63" s="85">
        <v>6</v>
      </c>
      <c r="EC63" s="85">
        <v>5</v>
      </c>
      <c r="ED63" s="85">
        <v>2</v>
      </c>
      <c r="EE63" s="85">
        <v>6</v>
      </c>
      <c r="EF63" s="85">
        <v>5</v>
      </c>
      <c r="EG63" s="85">
        <v>2</v>
      </c>
      <c r="EH63" s="85"/>
      <c r="EI63" s="85"/>
      <c r="EJ63" s="85"/>
      <c r="EK63" s="85"/>
      <c r="EL63" s="85"/>
      <c r="EM63" s="85"/>
      <c r="EN63" s="85"/>
      <c r="EO63" s="85"/>
      <c r="EP63" s="85"/>
      <c r="EQ63" s="85"/>
      <c r="ER63" s="85"/>
      <c r="ES63" s="85"/>
      <c r="ET63" s="85"/>
      <c r="EU63" s="85"/>
      <c r="EV63" s="85"/>
      <c r="EW63" s="85">
        <v>5</v>
      </c>
      <c r="EX63" s="85">
        <v>6</v>
      </c>
      <c r="EY63" s="85">
        <v>2</v>
      </c>
      <c r="EZ63" s="85">
        <v>5</v>
      </c>
      <c r="FA63" s="85">
        <v>6</v>
      </c>
      <c r="FB63" s="85">
        <v>2</v>
      </c>
      <c r="FC63" s="85"/>
      <c r="FD63" s="85"/>
      <c r="FE63" s="85"/>
      <c r="FF63" s="85"/>
      <c r="FG63" s="85"/>
      <c r="FH63" s="85"/>
      <c r="FI63" s="85"/>
      <c r="FJ63" s="85"/>
      <c r="FK63" s="85"/>
      <c r="FL63" s="85"/>
      <c r="FM63" s="85"/>
      <c r="FN63" s="85"/>
      <c r="FO63" s="85"/>
      <c r="FP63" s="85"/>
      <c r="FQ63" s="85"/>
      <c r="FR63" s="27"/>
      <c r="FS63" s="85"/>
      <c r="FT63" s="85"/>
      <c r="FU63" s="85"/>
      <c r="FV63" s="85"/>
      <c r="FW63" s="85"/>
      <c r="FX63" s="84"/>
      <c r="FY63" s="85"/>
      <c r="FZ63" s="85"/>
      <c r="GA63" s="84"/>
      <c r="GB63" s="85"/>
      <c r="GC63" s="85"/>
      <c r="GD63" s="85"/>
      <c r="GE63" s="85"/>
      <c r="GF63" s="85"/>
    </row>
    <row r="64" spans="3:188" ht="25.5" customHeight="1" x14ac:dyDescent="0.4">
      <c r="N64" s="87"/>
      <c r="O64" s="87"/>
      <c r="P64" s="87"/>
      <c r="Q64" s="87"/>
      <c r="R64" s="87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  <c r="AQ64" s="86"/>
      <c r="AR64" s="86"/>
      <c r="AS64" s="86"/>
      <c r="AT64" s="86"/>
      <c r="CB64" s="84" t="s">
        <v>46</v>
      </c>
      <c r="CC64" s="85">
        <v>0</v>
      </c>
      <c r="CD64" s="85">
        <v>0</v>
      </c>
      <c r="CE64" s="85">
        <v>0</v>
      </c>
      <c r="CF64" s="85">
        <v>0</v>
      </c>
      <c r="CG64" s="85">
        <v>0</v>
      </c>
      <c r="CH64" s="85">
        <v>0</v>
      </c>
      <c r="CI64" s="85">
        <v>0</v>
      </c>
      <c r="CJ64" s="85">
        <v>0</v>
      </c>
      <c r="CK64" s="85">
        <v>0</v>
      </c>
      <c r="CL64" s="85">
        <v>0</v>
      </c>
      <c r="CM64" s="85">
        <v>0</v>
      </c>
      <c r="CN64" s="85">
        <v>0</v>
      </c>
      <c r="CO64" s="85">
        <v>0</v>
      </c>
      <c r="CP64" s="85">
        <v>0</v>
      </c>
      <c r="CQ64" s="85">
        <v>0</v>
      </c>
      <c r="CR64" s="85">
        <v>0</v>
      </c>
      <c r="CS64" s="85">
        <v>0</v>
      </c>
      <c r="CT64" s="85">
        <v>0</v>
      </c>
      <c r="CU64" s="85">
        <v>0</v>
      </c>
      <c r="CV64" s="85">
        <v>0</v>
      </c>
      <c r="CW64" s="85">
        <v>0</v>
      </c>
      <c r="CX64" s="27">
        <v>0</v>
      </c>
      <c r="CY64" s="85">
        <v>0</v>
      </c>
      <c r="CZ64" s="85">
        <v>0</v>
      </c>
      <c r="DA64" s="85">
        <v>0</v>
      </c>
      <c r="DB64" s="85">
        <v>0</v>
      </c>
      <c r="DC64" s="85">
        <v>0</v>
      </c>
      <c r="DD64" s="84">
        <v>0</v>
      </c>
      <c r="DE64" s="85">
        <v>0</v>
      </c>
      <c r="DF64" s="85">
        <v>0</v>
      </c>
      <c r="DG64" s="84">
        <v>0</v>
      </c>
      <c r="DH64" s="85">
        <v>0</v>
      </c>
      <c r="DI64" s="85">
        <v>0</v>
      </c>
      <c r="DJ64" s="85">
        <v>0</v>
      </c>
      <c r="DK64" s="85">
        <v>0</v>
      </c>
      <c r="DL64" s="85">
        <v>0</v>
      </c>
      <c r="DM64" s="85">
        <v>0</v>
      </c>
      <c r="DN64" s="85">
        <v>0</v>
      </c>
      <c r="DO64" s="85">
        <v>0</v>
      </c>
      <c r="DP64" s="85">
        <v>0</v>
      </c>
      <c r="DQ64" s="85">
        <v>0</v>
      </c>
      <c r="DR64" s="85">
        <v>0</v>
      </c>
      <c r="DS64" s="84">
        <v>0</v>
      </c>
      <c r="DT64" s="85">
        <v>0</v>
      </c>
      <c r="DU64" s="85">
        <v>0</v>
      </c>
      <c r="DV64" s="85">
        <v>0</v>
      </c>
      <c r="DW64" s="85">
        <v>0</v>
      </c>
      <c r="DX64" s="85">
        <v>0</v>
      </c>
      <c r="DY64" s="85">
        <v>0</v>
      </c>
      <c r="DZ64" s="85">
        <v>0</v>
      </c>
      <c r="EA64" s="85">
        <v>0</v>
      </c>
      <c r="EB64" s="85">
        <v>0</v>
      </c>
      <c r="EC64" s="85">
        <v>0</v>
      </c>
      <c r="ED64" s="85">
        <v>0</v>
      </c>
      <c r="EE64" s="85">
        <v>0</v>
      </c>
      <c r="EF64" s="85">
        <v>0</v>
      </c>
      <c r="EG64" s="85">
        <v>0</v>
      </c>
      <c r="EH64" s="85"/>
      <c r="EI64" s="85"/>
      <c r="EJ64" s="85"/>
      <c r="EK64" s="85"/>
      <c r="EL64" s="85"/>
      <c r="EM64" s="85"/>
      <c r="EN64" s="85"/>
      <c r="EO64" s="85"/>
      <c r="EP64" s="85"/>
      <c r="EQ64" s="85"/>
      <c r="ER64" s="85"/>
      <c r="ES64" s="85"/>
      <c r="ET64" s="85"/>
      <c r="EU64" s="85"/>
      <c r="EV64" s="85"/>
      <c r="EW64" s="85">
        <v>0</v>
      </c>
      <c r="EX64" s="85">
        <v>0</v>
      </c>
      <c r="EY64" s="85">
        <v>0</v>
      </c>
      <c r="EZ64" s="85">
        <v>0</v>
      </c>
      <c r="FA64" s="85">
        <v>0</v>
      </c>
      <c r="FB64" s="85">
        <v>0</v>
      </c>
      <c r="FC64" s="85"/>
      <c r="FD64" s="85"/>
      <c r="FE64" s="85"/>
      <c r="FF64" s="85"/>
      <c r="FG64" s="85"/>
      <c r="FH64" s="85"/>
      <c r="FI64" s="85"/>
      <c r="FJ64" s="85"/>
      <c r="FK64" s="85"/>
      <c r="FL64" s="85"/>
      <c r="FM64" s="85"/>
      <c r="FN64" s="85"/>
      <c r="FO64" s="85"/>
      <c r="FP64" s="85"/>
      <c r="FQ64" s="85"/>
      <c r="FR64" s="27"/>
      <c r="FS64" s="85"/>
      <c r="FT64" s="85"/>
      <c r="FU64" s="85"/>
      <c r="FV64" s="85"/>
      <c r="FW64" s="85"/>
      <c r="FX64" s="84"/>
      <c r="FY64" s="85"/>
      <c r="FZ64" s="85"/>
      <c r="GA64" s="84"/>
      <c r="GB64" s="85"/>
      <c r="GC64" s="85"/>
      <c r="GD64" s="85"/>
      <c r="GE64" s="85"/>
      <c r="GF64" s="85"/>
    </row>
    <row r="65" spans="14:188" ht="25.5" customHeight="1" x14ac:dyDescent="0.4">
      <c r="N65" s="87"/>
      <c r="O65" s="87"/>
      <c r="P65" s="87"/>
      <c r="Q65" s="87"/>
      <c r="R65" s="87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6"/>
      <c r="CB65" s="84" t="s">
        <v>43</v>
      </c>
      <c r="CC65" s="85">
        <v>77</v>
      </c>
      <c r="CD65" s="85">
        <v>0</v>
      </c>
      <c r="CE65" s="85">
        <v>0</v>
      </c>
      <c r="CF65" s="85">
        <v>71</v>
      </c>
      <c r="CG65" s="85">
        <v>0</v>
      </c>
      <c r="CH65" s="85">
        <v>6</v>
      </c>
      <c r="CI65" s="85">
        <v>39</v>
      </c>
      <c r="CJ65" s="85">
        <v>0</v>
      </c>
      <c r="CK65" s="85">
        <v>38</v>
      </c>
      <c r="CL65" s="85">
        <v>39</v>
      </c>
      <c r="CM65" s="85">
        <v>0</v>
      </c>
      <c r="CN65" s="85">
        <v>38</v>
      </c>
      <c r="CO65" s="85">
        <v>48</v>
      </c>
      <c r="CP65" s="85">
        <v>0</v>
      </c>
      <c r="CQ65" s="85">
        <v>38</v>
      </c>
      <c r="CR65" s="85">
        <v>48</v>
      </c>
      <c r="CS65" s="85">
        <v>0</v>
      </c>
      <c r="CT65" s="85">
        <v>38</v>
      </c>
      <c r="CU65" s="85">
        <v>48</v>
      </c>
      <c r="CV65" s="85">
        <v>0</v>
      </c>
      <c r="CW65" s="85">
        <v>38</v>
      </c>
      <c r="CX65" s="27">
        <v>43</v>
      </c>
      <c r="CY65" s="85">
        <v>3</v>
      </c>
      <c r="CZ65" s="85">
        <v>40</v>
      </c>
      <c r="DA65" s="85">
        <v>43</v>
      </c>
      <c r="DB65" s="85">
        <v>3</v>
      </c>
      <c r="DC65" s="85">
        <v>40</v>
      </c>
      <c r="DD65" s="84">
        <v>41</v>
      </c>
      <c r="DE65" s="85">
        <v>5</v>
      </c>
      <c r="DF65" s="85">
        <v>40</v>
      </c>
      <c r="DG65" s="84">
        <v>37</v>
      </c>
      <c r="DH65" s="85">
        <v>9</v>
      </c>
      <c r="DI65" s="85">
        <v>40</v>
      </c>
      <c r="DJ65" s="85">
        <v>28</v>
      </c>
      <c r="DK65" s="85">
        <v>10</v>
      </c>
      <c r="DL65" s="85">
        <v>48</v>
      </c>
      <c r="DM65" s="85">
        <v>25</v>
      </c>
      <c r="DN65" s="85">
        <v>13</v>
      </c>
      <c r="DO65" s="85">
        <v>48</v>
      </c>
      <c r="DP65" s="85">
        <v>17</v>
      </c>
      <c r="DQ65" s="85">
        <v>19</v>
      </c>
      <c r="DR65" s="85">
        <v>50</v>
      </c>
      <c r="DS65" s="84">
        <v>13</v>
      </c>
      <c r="DT65" s="85">
        <v>23</v>
      </c>
      <c r="DU65" s="85">
        <v>50</v>
      </c>
      <c r="DV65" s="85">
        <v>9</v>
      </c>
      <c r="DW65" s="85">
        <v>27</v>
      </c>
      <c r="DX65" s="85">
        <v>50</v>
      </c>
      <c r="DY65" s="85">
        <v>6</v>
      </c>
      <c r="DZ65" s="85">
        <v>29</v>
      </c>
      <c r="EA65" s="85">
        <v>51</v>
      </c>
      <c r="EB65" s="85">
        <v>3</v>
      </c>
      <c r="EC65" s="85">
        <v>32</v>
      </c>
      <c r="ED65" s="85">
        <v>51</v>
      </c>
      <c r="EE65" s="85">
        <v>1</v>
      </c>
      <c r="EF65" s="85">
        <v>34</v>
      </c>
      <c r="EG65" s="85">
        <v>51</v>
      </c>
      <c r="EH65" s="85"/>
      <c r="EI65" s="85"/>
      <c r="EJ65" s="85"/>
      <c r="EK65" s="85"/>
      <c r="EL65" s="85"/>
      <c r="EM65" s="85"/>
      <c r="EN65" s="85"/>
      <c r="EO65" s="85"/>
      <c r="EP65" s="85"/>
      <c r="EQ65" s="85"/>
      <c r="ER65" s="85"/>
      <c r="ES65" s="85"/>
      <c r="ET65" s="85"/>
      <c r="EU65" s="85"/>
      <c r="EV65" s="85"/>
      <c r="EW65" s="85">
        <v>0</v>
      </c>
      <c r="EX65" s="85">
        <v>35</v>
      </c>
      <c r="EY65" s="85">
        <v>51</v>
      </c>
      <c r="EZ65" s="85">
        <v>0</v>
      </c>
      <c r="FA65" s="85">
        <v>35</v>
      </c>
      <c r="FB65" s="85">
        <v>51</v>
      </c>
      <c r="FC65" s="85"/>
      <c r="FD65" s="85"/>
      <c r="FE65" s="85"/>
      <c r="FF65" s="85"/>
      <c r="FG65" s="85"/>
      <c r="FH65" s="85"/>
      <c r="FI65" s="85"/>
      <c r="FJ65" s="85"/>
      <c r="FK65" s="85"/>
      <c r="FL65" s="85"/>
      <c r="FM65" s="85"/>
      <c r="FN65" s="85"/>
      <c r="FO65" s="85"/>
      <c r="FP65" s="85"/>
      <c r="FQ65" s="85"/>
      <c r="FR65" s="27"/>
      <c r="FS65" s="85"/>
      <c r="FT65" s="85"/>
      <c r="FU65" s="85"/>
      <c r="FV65" s="85"/>
      <c r="FW65" s="85"/>
      <c r="FX65" s="84"/>
      <c r="FY65" s="85"/>
      <c r="FZ65" s="85"/>
      <c r="GA65" s="84"/>
      <c r="GB65" s="85"/>
      <c r="GC65" s="85"/>
      <c r="GD65" s="85"/>
      <c r="GE65" s="85"/>
      <c r="GF65" s="85"/>
    </row>
    <row r="66" spans="14:188" ht="25.5" customHeight="1" x14ac:dyDescent="0.4">
      <c r="N66" s="87"/>
      <c r="O66" s="87"/>
      <c r="P66" s="87"/>
      <c r="Q66" s="87"/>
      <c r="R66" s="87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6"/>
      <c r="CB66" s="84" t="s">
        <v>48</v>
      </c>
      <c r="CC66" s="85">
        <v>0</v>
      </c>
      <c r="CD66" s="85">
        <v>0</v>
      </c>
      <c r="CE66" s="85">
        <v>0</v>
      </c>
      <c r="CF66" s="85">
        <v>0</v>
      </c>
      <c r="CG66" s="85">
        <v>0</v>
      </c>
      <c r="CH66" s="85">
        <v>0</v>
      </c>
      <c r="CI66" s="85">
        <v>0</v>
      </c>
      <c r="CJ66" s="85">
        <v>0</v>
      </c>
      <c r="CK66" s="85">
        <v>0</v>
      </c>
      <c r="CL66" s="85">
        <v>0</v>
      </c>
      <c r="CM66" s="85">
        <v>0</v>
      </c>
      <c r="CN66" s="85">
        <v>0</v>
      </c>
      <c r="CO66" s="85">
        <v>0</v>
      </c>
      <c r="CP66" s="85">
        <v>0</v>
      </c>
      <c r="CQ66" s="85">
        <v>0</v>
      </c>
      <c r="CR66" s="85">
        <v>0</v>
      </c>
      <c r="CS66" s="85">
        <v>0</v>
      </c>
      <c r="CT66" s="85">
        <v>0</v>
      </c>
      <c r="CU66" s="85">
        <v>0</v>
      </c>
      <c r="CV66" s="85">
        <v>0</v>
      </c>
      <c r="CW66" s="85">
        <v>0</v>
      </c>
      <c r="CX66" s="27">
        <v>0</v>
      </c>
      <c r="CY66" s="85">
        <v>0</v>
      </c>
      <c r="CZ66" s="85">
        <v>0</v>
      </c>
      <c r="DA66" s="85">
        <v>0</v>
      </c>
      <c r="DB66" s="85">
        <v>0</v>
      </c>
      <c r="DC66" s="85">
        <v>0</v>
      </c>
      <c r="DD66" s="84">
        <v>0</v>
      </c>
      <c r="DE66" s="85">
        <v>0</v>
      </c>
      <c r="DF66" s="85">
        <v>0</v>
      </c>
      <c r="DG66" s="84">
        <v>0</v>
      </c>
      <c r="DH66" s="85">
        <v>0</v>
      </c>
      <c r="DI66" s="85">
        <v>0</v>
      </c>
      <c r="DJ66" s="85">
        <v>0</v>
      </c>
      <c r="DK66" s="85">
        <v>0</v>
      </c>
      <c r="DL66" s="85">
        <v>0</v>
      </c>
      <c r="DM66" s="85">
        <v>0</v>
      </c>
      <c r="DN66" s="85">
        <v>0</v>
      </c>
      <c r="DO66" s="85">
        <v>0</v>
      </c>
      <c r="DP66" s="85">
        <v>0</v>
      </c>
      <c r="DQ66" s="85">
        <v>0</v>
      </c>
      <c r="DR66" s="85">
        <v>0</v>
      </c>
      <c r="DS66" s="84">
        <v>0</v>
      </c>
      <c r="DT66" s="85">
        <v>0</v>
      </c>
      <c r="DU66" s="85">
        <v>0</v>
      </c>
      <c r="DV66" s="85">
        <v>0</v>
      </c>
      <c r="DW66" s="85">
        <v>0</v>
      </c>
      <c r="DX66" s="85">
        <v>0</v>
      </c>
      <c r="DY66" s="85">
        <v>0</v>
      </c>
      <c r="DZ66" s="85">
        <v>0</v>
      </c>
      <c r="EA66" s="85">
        <v>0</v>
      </c>
      <c r="EB66" s="85">
        <v>0</v>
      </c>
      <c r="EC66" s="85">
        <v>0</v>
      </c>
      <c r="ED66" s="85">
        <v>0</v>
      </c>
      <c r="EE66" s="85">
        <v>0</v>
      </c>
      <c r="EF66" s="85">
        <v>0</v>
      </c>
      <c r="EG66" s="85">
        <v>0</v>
      </c>
      <c r="EH66" s="85"/>
      <c r="EI66" s="85"/>
      <c r="EJ66" s="85"/>
      <c r="EK66" s="85"/>
      <c r="EL66" s="85"/>
      <c r="EM66" s="85"/>
      <c r="EN66" s="85"/>
      <c r="EO66" s="85"/>
      <c r="EP66" s="85"/>
      <c r="EQ66" s="85"/>
      <c r="ER66" s="85"/>
      <c r="ES66" s="85"/>
      <c r="ET66" s="85"/>
      <c r="EU66" s="85"/>
      <c r="EV66" s="85"/>
      <c r="EW66" s="85">
        <v>0</v>
      </c>
      <c r="EX66" s="85">
        <v>0</v>
      </c>
      <c r="EY66" s="85">
        <v>0</v>
      </c>
      <c r="EZ66" s="85">
        <v>0</v>
      </c>
      <c r="FA66" s="85">
        <v>0</v>
      </c>
      <c r="FB66" s="85">
        <v>0</v>
      </c>
      <c r="FC66" s="85"/>
      <c r="FD66" s="85"/>
      <c r="FE66" s="85"/>
      <c r="FF66" s="85"/>
      <c r="FG66" s="85"/>
      <c r="FH66" s="85"/>
      <c r="FI66" s="85"/>
      <c r="FJ66" s="85"/>
      <c r="FK66" s="85"/>
      <c r="FL66" s="85"/>
      <c r="FM66" s="85"/>
      <c r="FN66" s="85"/>
      <c r="FO66" s="85"/>
      <c r="FP66" s="85"/>
      <c r="FQ66" s="85"/>
      <c r="FR66" s="27"/>
      <c r="FS66" s="85"/>
      <c r="FT66" s="85"/>
      <c r="FU66" s="85"/>
      <c r="FV66" s="85"/>
      <c r="FW66" s="85"/>
      <c r="FX66" s="84"/>
      <c r="FY66" s="85"/>
      <c r="FZ66" s="85"/>
      <c r="GA66" s="84"/>
      <c r="GB66" s="85"/>
      <c r="GC66" s="85"/>
      <c r="GD66" s="85"/>
      <c r="GE66" s="85"/>
      <c r="GF66" s="85"/>
    </row>
    <row r="67" spans="14:188" ht="25.5" customHeight="1" x14ac:dyDescent="0.4">
      <c r="N67" s="87"/>
      <c r="O67" s="87"/>
      <c r="P67" s="87"/>
      <c r="Q67" s="87"/>
      <c r="R67" s="87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6"/>
      <c r="CB67" s="84" t="s">
        <v>36</v>
      </c>
      <c r="CC67" s="85">
        <v>1</v>
      </c>
      <c r="CD67" s="85">
        <v>1</v>
      </c>
      <c r="CE67" s="85">
        <v>0</v>
      </c>
      <c r="CF67" s="85">
        <v>3</v>
      </c>
      <c r="CG67" s="85">
        <v>1</v>
      </c>
      <c r="CH67" s="85">
        <v>0</v>
      </c>
      <c r="CI67" s="85">
        <v>3</v>
      </c>
      <c r="CJ67" s="85">
        <v>1</v>
      </c>
      <c r="CK67" s="85">
        <v>0</v>
      </c>
      <c r="CL67" s="85">
        <v>3</v>
      </c>
      <c r="CM67" s="85">
        <v>1</v>
      </c>
      <c r="CN67" s="85">
        <v>0</v>
      </c>
      <c r="CO67" s="85">
        <v>3</v>
      </c>
      <c r="CP67" s="85">
        <v>1</v>
      </c>
      <c r="CQ67" s="85">
        <v>0</v>
      </c>
      <c r="CR67" s="85">
        <v>3</v>
      </c>
      <c r="CS67" s="85">
        <v>1</v>
      </c>
      <c r="CT67" s="85">
        <v>0</v>
      </c>
      <c r="CU67" s="85">
        <v>3</v>
      </c>
      <c r="CV67" s="85">
        <v>1</v>
      </c>
      <c r="CW67" s="85">
        <v>0</v>
      </c>
      <c r="CX67" s="27">
        <v>2</v>
      </c>
      <c r="CY67" s="85">
        <v>2</v>
      </c>
      <c r="CZ67" s="85">
        <v>0</v>
      </c>
      <c r="DA67" s="85">
        <v>1</v>
      </c>
      <c r="DB67" s="85">
        <v>3</v>
      </c>
      <c r="DC67" s="85">
        <v>0</v>
      </c>
      <c r="DD67" s="84">
        <v>1</v>
      </c>
      <c r="DE67" s="85">
        <v>3</v>
      </c>
      <c r="DF67" s="85">
        <v>0</v>
      </c>
      <c r="DG67" s="84">
        <v>1</v>
      </c>
      <c r="DH67" s="85">
        <v>3</v>
      </c>
      <c r="DI67" s="85">
        <v>0</v>
      </c>
      <c r="DJ67" s="85">
        <v>1</v>
      </c>
      <c r="DK67" s="85">
        <v>3</v>
      </c>
      <c r="DL67" s="85">
        <v>0</v>
      </c>
      <c r="DM67" s="85">
        <v>1</v>
      </c>
      <c r="DN67" s="85">
        <v>3</v>
      </c>
      <c r="DO67" s="85">
        <v>0</v>
      </c>
      <c r="DP67" s="85">
        <v>1</v>
      </c>
      <c r="DQ67" s="85">
        <v>3</v>
      </c>
      <c r="DR67" s="85">
        <v>0</v>
      </c>
      <c r="DS67" s="84">
        <v>1</v>
      </c>
      <c r="DT67" s="85">
        <v>3</v>
      </c>
      <c r="DU67" s="85">
        <v>0</v>
      </c>
      <c r="DV67" s="85">
        <v>0</v>
      </c>
      <c r="DW67" s="85">
        <v>4</v>
      </c>
      <c r="DX67" s="85">
        <v>0</v>
      </c>
      <c r="DY67" s="85">
        <v>0</v>
      </c>
      <c r="DZ67" s="85">
        <v>4</v>
      </c>
      <c r="EA67" s="85">
        <v>0</v>
      </c>
      <c r="EB67" s="85">
        <v>0</v>
      </c>
      <c r="EC67" s="85">
        <v>4</v>
      </c>
      <c r="ED67" s="85">
        <v>0</v>
      </c>
      <c r="EE67" s="85">
        <v>0</v>
      </c>
      <c r="EF67" s="85">
        <v>4</v>
      </c>
      <c r="EG67" s="85">
        <v>0</v>
      </c>
      <c r="EH67" s="85"/>
      <c r="EI67" s="85"/>
      <c r="EJ67" s="85"/>
      <c r="EK67" s="85"/>
      <c r="EL67" s="85"/>
      <c r="EM67" s="85"/>
      <c r="EN67" s="85"/>
      <c r="EO67" s="85"/>
      <c r="EP67" s="85"/>
      <c r="EQ67" s="85"/>
      <c r="ER67" s="85"/>
      <c r="ES67" s="85"/>
      <c r="ET67" s="85"/>
      <c r="EU67" s="85"/>
      <c r="EV67" s="85"/>
      <c r="EW67" s="85">
        <v>0</v>
      </c>
      <c r="EX67" s="85">
        <v>4</v>
      </c>
      <c r="EY67" s="85">
        <v>0</v>
      </c>
      <c r="EZ67" s="85">
        <v>0</v>
      </c>
      <c r="FA67" s="85">
        <v>4</v>
      </c>
      <c r="FB67" s="85">
        <v>0</v>
      </c>
      <c r="FC67" s="85"/>
      <c r="FD67" s="85"/>
      <c r="FE67" s="85"/>
      <c r="FF67" s="85"/>
      <c r="FG67" s="85"/>
      <c r="FH67" s="85"/>
      <c r="FI67" s="85"/>
      <c r="FJ67" s="85"/>
      <c r="FK67" s="85"/>
      <c r="FL67" s="85"/>
      <c r="FM67" s="85"/>
      <c r="FN67" s="85"/>
      <c r="FO67" s="85"/>
      <c r="FP67" s="85"/>
      <c r="FQ67" s="85"/>
      <c r="FR67" s="27"/>
      <c r="FS67" s="85"/>
      <c r="FT67" s="85"/>
      <c r="FU67" s="85"/>
      <c r="FV67" s="85"/>
      <c r="FW67" s="85"/>
      <c r="FX67" s="84"/>
      <c r="FY67" s="85"/>
      <c r="FZ67" s="85"/>
      <c r="GA67" s="84"/>
      <c r="GB67" s="85"/>
      <c r="GC67" s="85"/>
      <c r="GD67" s="85"/>
      <c r="GE67" s="85"/>
      <c r="GF67" s="85"/>
    </row>
    <row r="68" spans="14:188" ht="25.5" customHeight="1" x14ac:dyDescent="0.4">
      <c r="N68" s="87"/>
      <c r="O68" s="87"/>
      <c r="P68" s="87"/>
      <c r="Q68" s="87"/>
      <c r="R68" s="87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  <c r="AQ68" s="86"/>
      <c r="AR68" s="86"/>
      <c r="AS68" s="86"/>
      <c r="AT68" s="86"/>
      <c r="CC68" s="85">
        <f>SUM(CC56:CC67)</f>
        <v>150</v>
      </c>
      <c r="CD68" s="85">
        <f t="shared" ref="CD68:EO68" si="34">SUM(CD56:CD67)</f>
        <v>7</v>
      </c>
      <c r="CE68" s="85">
        <f t="shared" si="34"/>
        <v>0</v>
      </c>
      <c r="CF68" s="85">
        <f t="shared" si="34"/>
        <v>152</v>
      </c>
      <c r="CG68" s="85">
        <f t="shared" si="34"/>
        <v>8</v>
      </c>
      <c r="CH68" s="85">
        <f t="shared" si="34"/>
        <v>7</v>
      </c>
      <c r="CI68" s="85">
        <f t="shared" si="34"/>
        <v>114</v>
      </c>
      <c r="CJ68" s="85">
        <f t="shared" si="34"/>
        <v>9</v>
      </c>
      <c r="CK68" s="85">
        <f t="shared" si="34"/>
        <v>44</v>
      </c>
      <c r="CL68" s="85">
        <f t="shared" si="34"/>
        <v>104</v>
      </c>
      <c r="CM68" s="85">
        <f t="shared" si="34"/>
        <v>13</v>
      </c>
      <c r="CN68" s="85">
        <f t="shared" si="34"/>
        <v>51</v>
      </c>
      <c r="CO68" s="85">
        <f t="shared" si="34"/>
        <v>108</v>
      </c>
      <c r="CP68" s="85">
        <f t="shared" si="34"/>
        <v>22</v>
      </c>
      <c r="CQ68" s="85">
        <f t="shared" si="34"/>
        <v>52</v>
      </c>
      <c r="CR68" s="85">
        <f t="shared" si="34"/>
        <v>94</v>
      </c>
      <c r="CS68" s="85">
        <f t="shared" si="34"/>
        <v>36</v>
      </c>
      <c r="CT68" s="85">
        <f t="shared" si="34"/>
        <v>52</v>
      </c>
      <c r="CU68" s="85">
        <f t="shared" si="34"/>
        <v>91</v>
      </c>
      <c r="CV68" s="85">
        <f t="shared" si="34"/>
        <v>38</v>
      </c>
      <c r="CW68" s="85">
        <f t="shared" si="34"/>
        <v>53</v>
      </c>
      <c r="CX68" s="85">
        <f t="shared" si="34"/>
        <v>79</v>
      </c>
      <c r="CY68" s="85">
        <f t="shared" si="34"/>
        <v>48</v>
      </c>
      <c r="CZ68" s="85">
        <f t="shared" si="34"/>
        <v>55</v>
      </c>
      <c r="DA68" s="85">
        <f t="shared" si="34"/>
        <v>76</v>
      </c>
      <c r="DB68" s="85">
        <f t="shared" si="34"/>
        <v>51</v>
      </c>
      <c r="DC68" s="85">
        <f t="shared" si="34"/>
        <v>55</v>
      </c>
      <c r="DD68" s="85">
        <f t="shared" si="34"/>
        <v>67</v>
      </c>
      <c r="DE68" s="85">
        <f t="shared" si="34"/>
        <v>60</v>
      </c>
      <c r="DF68" s="85">
        <f t="shared" si="34"/>
        <v>55</v>
      </c>
      <c r="DG68" s="85">
        <f t="shared" si="34"/>
        <v>58</v>
      </c>
      <c r="DH68" s="85">
        <f t="shared" si="34"/>
        <v>69</v>
      </c>
      <c r="DI68" s="85">
        <f t="shared" si="34"/>
        <v>55</v>
      </c>
      <c r="DJ68" s="85">
        <f t="shared" si="34"/>
        <v>47</v>
      </c>
      <c r="DK68" s="85">
        <f t="shared" si="34"/>
        <v>70</v>
      </c>
      <c r="DL68" s="85">
        <f t="shared" si="34"/>
        <v>65</v>
      </c>
      <c r="DM68" s="85">
        <f t="shared" si="34"/>
        <v>43</v>
      </c>
      <c r="DN68" s="85">
        <f t="shared" si="34"/>
        <v>74</v>
      </c>
      <c r="DO68" s="85">
        <f t="shared" si="34"/>
        <v>65</v>
      </c>
      <c r="DP68" s="85">
        <f t="shared" si="34"/>
        <v>33</v>
      </c>
      <c r="DQ68" s="85">
        <f t="shared" si="34"/>
        <v>82</v>
      </c>
      <c r="DR68" s="85">
        <f t="shared" si="34"/>
        <v>67</v>
      </c>
      <c r="DS68" s="85">
        <f t="shared" si="34"/>
        <v>25</v>
      </c>
      <c r="DT68" s="85">
        <f t="shared" si="34"/>
        <v>86</v>
      </c>
      <c r="DU68" s="85">
        <f t="shared" si="34"/>
        <v>71</v>
      </c>
      <c r="DV68" s="85">
        <f t="shared" si="34"/>
        <v>18</v>
      </c>
      <c r="DW68" s="85">
        <f t="shared" si="34"/>
        <v>94</v>
      </c>
      <c r="DX68" s="85">
        <f t="shared" si="34"/>
        <v>70</v>
      </c>
      <c r="DY68" s="85">
        <f t="shared" si="34"/>
        <v>15</v>
      </c>
      <c r="DZ68" s="85">
        <f t="shared" si="34"/>
        <v>96</v>
      </c>
      <c r="EA68" s="85">
        <f t="shared" si="34"/>
        <v>71</v>
      </c>
      <c r="EB68" s="85">
        <f t="shared" si="34"/>
        <v>11</v>
      </c>
      <c r="EC68" s="85">
        <f t="shared" si="34"/>
        <v>100</v>
      </c>
      <c r="ED68" s="85">
        <f t="shared" si="34"/>
        <v>71</v>
      </c>
      <c r="EE68" s="85">
        <f t="shared" si="34"/>
        <v>9</v>
      </c>
      <c r="EF68" s="85">
        <f t="shared" si="34"/>
        <v>103</v>
      </c>
      <c r="EG68" s="85">
        <f t="shared" si="34"/>
        <v>70</v>
      </c>
      <c r="EH68" s="85">
        <f t="shared" si="34"/>
        <v>0</v>
      </c>
      <c r="EI68" s="85">
        <f t="shared" si="34"/>
        <v>0</v>
      </c>
      <c r="EJ68" s="85">
        <f t="shared" si="34"/>
        <v>0</v>
      </c>
      <c r="EK68" s="85">
        <f t="shared" si="34"/>
        <v>0</v>
      </c>
      <c r="EL68" s="85">
        <f t="shared" si="34"/>
        <v>0</v>
      </c>
      <c r="EM68" s="85">
        <f t="shared" si="34"/>
        <v>0</v>
      </c>
      <c r="EN68" s="85">
        <f t="shared" si="34"/>
        <v>0</v>
      </c>
      <c r="EO68" s="85">
        <f t="shared" si="34"/>
        <v>0</v>
      </c>
      <c r="EP68" s="85">
        <f t="shared" ref="EP68:EV68" si="35">SUM(EP56:EP67)</f>
        <v>0</v>
      </c>
      <c r="EQ68" s="85">
        <f t="shared" si="35"/>
        <v>0</v>
      </c>
      <c r="ER68" s="85">
        <f t="shared" si="35"/>
        <v>0</v>
      </c>
      <c r="ES68" s="85">
        <f t="shared" si="35"/>
        <v>0</v>
      </c>
      <c r="ET68" s="85">
        <f t="shared" si="35"/>
        <v>0</v>
      </c>
      <c r="EU68" s="85">
        <f t="shared" si="35"/>
        <v>0</v>
      </c>
      <c r="EV68" s="85">
        <f t="shared" si="35"/>
        <v>0</v>
      </c>
      <c r="EW68" s="85">
        <f>SUM(EW56:EW67)</f>
        <v>5</v>
      </c>
      <c r="EX68" s="85">
        <f t="shared" ref="EX68:GF68" si="36">SUM(EX56:EX67)</f>
        <v>107</v>
      </c>
      <c r="EY68" s="85">
        <f t="shared" si="36"/>
        <v>70</v>
      </c>
      <c r="EZ68" s="85">
        <f t="shared" si="36"/>
        <v>5</v>
      </c>
      <c r="FA68" s="85">
        <f t="shared" si="36"/>
        <v>107</v>
      </c>
      <c r="FB68" s="85">
        <f t="shared" si="36"/>
        <v>70</v>
      </c>
      <c r="FC68" s="85">
        <f t="shared" si="36"/>
        <v>0</v>
      </c>
      <c r="FD68" s="85">
        <f t="shared" si="36"/>
        <v>0</v>
      </c>
      <c r="FE68" s="85">
        <f t="shared" si="36"/>
        <v>0</v>
      </c>
      <c r="FF68" s="85">
        <f t="shared" si="36"/>
        <v>0</v>
      </c>
      <c r="FG68" s="85">
        <f t="shared" si="36"/>
        <v>0</v>
      </c>
      <c r="FH68" s="85">
        <f t="shared" si="36"/>
        <v>0</v>
      </c>
      <c r="FI68" s="85">
        <f t="shared" si="36"/>
        <v>0</v>
      </c>
      <c r="FJ68" s="85">
        <f t="shared" si="36"/>
        <v>0</v>
      </c>
      <c r="FK68" s="85">
        <f t="shared" si="36"/>
        <v>0</v>
      </c>
      <c r="FL68" s="85">
        <f t="shared" si="36"/>
        <v>0</v>
      </c>
      <c r="FM68" s="85">
        <f t="shared" si="36"/>
        <v>0</v>
      </c>
      <c r="FN68" s="85">
        <f t="shared" si="36"/>
        <v>0</v>
      </c>
      <c r="FO68" s="85">
        <f t="shared" si="36"/>
        <v>0</v>
      </c>
      <c r="FP68" s="85">
        <f t="shared" si="36"/>
        <v>0</v>
      </c>
      <c r="FQ68" s="85">
        <f t="shared" si="36"/>
        <v>0</v>
      </c>
      <c r="FR68" s="85">
        <f t="shared" si="36"/>
        <v>0</v>
      </c>
      <c r="FS68" s="85">
        <f t="shared" si="36"/>
        <v>0</v>
      </c>
      <c r="FT68" s="85">
        <f t="shared" si="36"/>
        <v>0</v>
      </c>
      <c r="FU68" s="85">
        <f t="shared" si="36"/>
        <v>0</v>
      </c>
      <c r="FV68" s="85">
        <f t="shared" si="36"/>
        <v>0</v>
      </c>
      <c r="FW68" s="85">
        <f t="shared" si="36"/>
        <v>0</v>
      </c>
      <c r="FX68" s="85">
        <f t="shared" si="36"/>
        <v>0</v>
      </c>
      <c r="FY68" s="85">
        <f t="shared" si="36"/>
        <v>0</v>
      </c>
      <c r="FZ68" s="85">
        <f t="shared" si="36"/>
        <v>0</v>
      </c>
      <c r="GA68" s="85">
        <f t="shared" si="36"/>
        <v>0</v>
      </c>
      <c r="GB68" s="85">
        <f t="shared" si="36"/>
        <v>0</v>
      </c>
      <c r="GC68" s="85">
        <f t="shared" si="36"/>
        <v>0</v>
      </c>
      <c r="GD68" s="85">
        <f t="shared" si="36"/>
        <v>0</v>
      </c>
      <c r="GE68" s="85">
        <f t="shared" si="36"/>
        <v>0</v>
      </c>
      <c r="GF68" s="85">
        <f t="shared" si="36"/>
        <v>0</v>
      </c>
    </row>
    <row r="69" spans="14:188" ht="25.5" customHeight="1" x14ac:dyDescent="0.4">
      <c r="N69" s="87"/>
      <c r="O69" s="87"/>
      <c r="P69" s="87"/>
      <c r="Q69" s="87"/>
      <c r="R69" s="87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  <c r="AQ69" s="86"/>
      <c r="AR69" s="86"/>
      <c r="AS69" s="86"/>
      <c r="AT69" s="86"/>
    </row>
    <row r="70" spans="14:188" ht="25.5" customHeight="1" x14ac:dyDescent="0.4">
      <c r="N70" s="87"/>
      <c r="O70" s="87"/>
      <c r="P70" s="87"/>
      <c r="Q70" s="87"/>
      <c r="R70" s="87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  <c r="AQ70" s="86"/>
      <c r="AR70" s="86"/>
      <c r="AS70" s="86"/>
      <c r="AT70" s="86"/>
    </row>
    <row r="71" spans="14:188" ht="25.5" customHeight="1" x14ac:dyDescent="0.45">
      <c r="N71" s="87"/>
      <c r="O71" s="87"/>
      <c r="P71" s="87"/>
      <c r="Q71" s="87"/>
      <c r="R71" s="87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  <c r="AQ71" s="86"/>
      <c r="AR71" s="86"/>
      <c r="AS71" s="86"/>
      <c r="AT71" s="86"/>
      <c r="CB71" s="88" t="s">
        <v>61</v>
      </c>
      <c r="CC71" s="88"/>
      <c r="CD71" s="88"/>
      <c r="CE71" s="88"/>
      <c r="CF71" s="88"/>
      <c r="CG71" s="88" t="s">
        <v>62</v>
      </c>
      <c r="CH71" s="88"/>
      <c r="CI71" s="88"/>
      <c r="CJ71" s="88"/>
      <c r="CK71" s="88"/>
      <c r="CL71" s="88"/>
      <c r="CM71" s="88"/>
      <c r="CN71" s="88"/>
      <c r="CO71" s="88"/>
      <c r="CP71" s="88"/>
      <c r="CQ71" s="88"/>
      <c r="CR71" s="88"/>
      <c r="CS71" s="88"/>
      <c r="DT71" s="88"/>
      <c r="DU71" s="88"/>
    </row>
    <row r="72" spans="14:188" ht="25.5" customHeight="1" x14ac:dyDescent="0.45">
      <c r="N72" s="87"/>
      <c r="O72" s="87"/>
      <c r="P72" s="87"/>
      <c r="Q72" s="87"/>
      <c r="R72" s="87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  <c r="AQ72" s="86"/>
      <c r="AR72" s="86"/>
      <c r="AS72" s="86"/>
      <c r="AT72" s="86"/>
      <c r="CB72" s="85" t="s">
        <v>21</v>
      </c>
      <c r="CC72" s="80" t="s">
        <v>60</v>
      </c>
      <c r="CD72" s="80" t="s">
        <v>59</v>
      </c>
      <c r="CE72" s="80" t="s">
        <v>18</v>
      </c>
      <c r="CG72" s="85" t="s">
        <v>24</v>
      </c>
      <c r="CH72" s="89">
        <v>43466</v>
      </c>
      <c r="CI72" s="89">
        <v>43497</v>
      </c>
      <c r="CJ72" s="89">
        <v>43525</v>
      </c>
      <c r="CK72" s="89">
        <v>43556</v>
      </c>
      <c r="CL72" s="89">
        <v>43586</v>
      </c>
      <c r="CM72" s="89">
        <v>43617</v>
      </c>
      <c r="CN72" s="89">
        <v>43647</v>
      </c>
      <c r="CO72" s="89">
        <v>43678</v>
      </c>
      <c r="CP72" s="89">
        <v>43709</v>
      </c>
      <c r="CQ72" s="89">
        <v>43739</v>
      </c>
      <c r="CR72" s="89">
        <v>43770</v>
      </c>
      <c r="CS72" s="89">
        <v>43800</v>
      </c>
      <c r="CT72" s="89">
        <v>43831</v>
      </c>
      <c r="CU72" s="89">
        <v>43862</v>
      </c>
      <c r="CV72" s="89">
        <v>43891</v>
      </c>
      <c r="CW72" s="89">
        <v>43922</v>
      </c>
      <c r="CX72" s="89">
        <v>43952</v>
      </c>
      <c r="CY72" s="89">
        <v>43983</v>
      </c>
      <c r="CZ72" s="89">
        <v>44013</v>
      </c>
      <c r="DA72" s="89">
        <v>44044</v>
      </c>
      <c r="DB72" s="89">
        <v>44075</v>
      </c>
      <c r="DC72" s="89">
        <v>44105</v>
      </c>
      <c r="DD72" s="89">
        <v>44136</v>
      </c>
      <c r="DE72" s="89">
        <v>44166</v>
      </c>
      <c r="DF72" s="89">
        <v>44197</v>
      </c>
      <c r="DG72" s="89">
        <v>44228</v>
      </c>
      <c r="DH72" s="89">
        <v>44256</v>
      </c>
      <c r="DI72" s="89">
        <v>44287</v>
      </c>
      <c r="DJ72" s="89">
        <v>44317</v>
      </c>
      <c r="DK72" s="89">
        <v>44348</v>
      </c>
      <c r="DL72" s="89">
        <v>44378</v>
      </c>
      <c r="DM72" s="89">
        <v>44409</v>
      </c>
      <c r="DN72" s="89">
        <v>44440</v>
      </c>
      <c r="DO72" s="89">
        <v>44470</v>
      </c>
      <c r="DP72" s="89">
        <v>44501</v>
      </c>
      <c r="DQ72" s="89">
        <v>44531</v>
      </c>
      <c r="DT72" s="88"/>
      <c r="DU72" s="88"/>
    </row>
    <row r="73" spans="14:188" ht="25.5" customHeight="1" x14ac:dyDescent="0.45">
      <c r="N73" s="87"/>
      <c r="O73" s="87"/>
      <c r="P73" s="87"/>
      <c r="Q73" s="87"/>
      <c r="R73" s="87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  <c r="AQ73" s="86"/>
      <c r="AR73" s="86"/>
      <c r="AS73" s="86"/>
      <c r="AT73" s="86"/>
      <c r="CB73" s="89">
        <v>43466</v>
      </c>
      <c r="CC73" s="85">
        <v>7</v>
      </c>
      <c r="CD73" s="85">
        <v>150</v>
      </c>
      <c r="CE73" s="85">
        <v>0</v>
      </c>
      <c r="CF73" s="88"/>
      <c r="CG73" s="84" t="s">
        <v>29</v>
      </c>
      <c r="CH73" s="85">
        <v>3</v>
      </c>
      <c r="CI73" s="85">
        <v>3</v>
      </c>
      <c r="CJ73" s="85">
        <v>3</v>
      </c>
      <c r="CK73" s="85">
        <v>6</v>
      </c>
      <c r="CL73" s="85">
        <v>8</v>
      </c>
      <c r="CM73" s="85">
        <v>20</v>
      </c>
      <c r="CN73" s="85">
        <v>22</v>
      </c>
      <c r="CO73" s="85">
        <v>25</v>
      </c>
      <c r="CP73" s="85">
        <v>25</v>
      </c>
      <c r="CQ73" s="85">
        <v>29</v>
      </c>
      <c r="CR73" s="85">
        <v>30</v>
      </c>
      <c r="CS73" s="85">
        <v>30</v>
      </c>
      <c r="CT73" s="85">
        <v>30</v>
      </c>
      <c r="CU73" s="85">
        <v>30</v>
      </c>
      <c r="CV73" s="85">
        <v>30</v>
      </c>
      <c r="CW73" s="85">
        <v>30</v>
      </c>
      <c r="CX73" s="85">
        <v>30</v>
      </c>
      <c r="CY73" s="85">
        <v>30</v>
      </c>
      <c r="CZ73" s="85">
        <v>30</v>
      </c>
      <c r="DA73" s="85"/>
      <c r="DB73" s="85"/>
      <c r="DC73" s="85"/>
      <c r="DD73" s="85"/>
      <c r="DE73" s="85"/>
      <c r="DF73" s="85">
        <v>30</v>
      </c>
      <c r="DG73" s="85">
        <v>30</v>
      </c>
      <c r="DH73" s="85"/>
      <c r="DI73" s="85"/>
      <c r="DJ73" s="85"/>
      <c r="DK73" s="85"/>
      <c r="DL73" s="85"/>
      <c r="DM73" s="85"/>
      <c r="DN73" s="85"/>
      <c r="DO73" s="85"/>
      <c r="DP73" s="85"/>
      <c r="DQ73" s="85"/>
      <c r="DT73" s="88"/>
      <c r="DU73" s="88"/>
    </row>
    <row r="74" spans="14:188" ht="25.5" customHeight="1" x14ac:dyDescent="0.45">
      <c r="N74" s="87"/>
      <c r="O74" s="87"/>
      <c r="P74" s="87"/>
      <c r="Q74" s="87"/>
      <c r="R74" s="87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  <c r="AQ74" s="86"/>
      <c r="AR74" s="86"/>
      <c r="AS74" s="86"/>
      <c r="AT74" s="86"/>
      <c r="CB74" s="89">
        <v>43497</v>
      </c>
      <c r="CC74" s="85">
        <v>8</v>
      </c>
      <c r="CD74" s="85">
        <v>152</v>
      </c>
      <c r="CE74" s="85">
        <v>7</v>
      </c>
      <c r="CF74" s="88"/>
      <c r="CG74" s="84" t="s">
        <v>30</v>
      </c>
      <c r="CH74" s="85">
        <v>1</v>
      </c>
      <c r="CI74" s="85">
        <v>1</v>
      </c>
      <c r="CJ74" s="85">
        <v>1</v>
      </c>
      <c r="CK74" s="85">
        <v>1</v>
      </c>
      <c r="CL74" s="85">
        <v>1</v>
      </c>
      <c r="CM74" s="85">
        <v>1</v>
      </c>
      <c r="CN74" s="85">
        <v>1</v>
      </c>
      <c r="CO74" s="85">
        <v>1</v>
      </c>
      <c r="CP74" s="85">
        <v>1</v>
      </c>
      <c r="CQ74" s="85">
        <v>1</v>
      </c>
      <c r="CR74" s="85">
        <v>2</v>
      </c>
      <c r="CS74" s="85">
        <v>2</v>
      </c>
      <c r="CT74" s="85">
        <v>3</v>
      </c>
      <c r="CU74" s="85">
        <v>3</v>
      </c>
      <c r="CV74" s="85">
        <v>3</v>
      </c>
      <c r="CW74" s="85">
        <v>3</v>
      </c>
      <c r="CX74" s="85">
        <v>3</v>
      </c>
      <c r="CY74" s="85">
        <v>3</v>
      </c>
      <c r="CZ74" s="85">
        <v>3</v>
      </c>
      <c r="DA74" s="85"/>
      <c r="DB74" s="85"/>
      <c r="DC74" s="85"/>
      <c r="DD74" s="85"/>
      <c r="DE74" s="85"/>
      <c r="DF74" s="85">
        <v>3</v>
      </c>
      <c r="DG74" s="85">
        <v>3</v>
      </c>
      <c r="DH74" s="85"/>
      <c r="DI74" s="85"/>
      <c r="DJ74" s="85"/>
      <c r="DK74" s="85"/>
      <c r="DL74" s="85"/>
      <c r="DM74" s="85"/>
      <c r="DN74" s="85"/>
      <c r="DO74" s="85"/>
      <c r="DP74" s="85"/>
      <c r="DQ74" s="85"/>
      <c r="DT74" s="88"/>
      <c r="DU74" s="88"/>
    </row>
    <row r="75" spans="14:188" ht="25.5" customHeight="1" x14ac:dyDescent="0.45">
      <c r="N75" s="87"/>
      <c r="O75" s="87"/>
      <c r="P75" s="87"/>
      <c r="Q75" s="87"/>
      <c r="R75" s="87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  <c r="AQ75" s="86"/>
      <c r="AR75" s="86"/>
      <c r="AS75" s="86"/>
      <c r="AT75" s="86"/>
      <c r="CB75" s="89">
        <v>43525</v>
      </c>
      <c r="CC75" s="85">
        <v>9</v>
      </c>
      <c r="CD75" s="85">
        <v>114</v>
      </c>
      <c r="CE75" s="85">
        <v>44</v>
      </c>
      <c r="CF75" s="88"/>
      <c r="CG75" s="84" t="s">
        <v>35</v>
      </c>
      <c r="CH75" s="85">
        <v>0</v>
      </c>
      <c r="CI75" s="85">
        <v>0</v>
      </c>
      <c r="CJ75" s="85">
        <v>0</v>
      </c>
      <c r="CK75" s="85">
        <v>0</v>
      </c>
      <c r="CL75" s="85">
        <v>0</v>
      </c>
      <c r="CM75" s="85">
        <v>0</v>
      </c>
      <c r="CN75" s="85">
        <v>0</v>
      </c>
      <c r="CO75" s="85">
        <v>0</v>
      </c>
      <c r="CP75" s="85">
        <v>0</v>
      </c>
      <c r="CQ75" s="85">
        <v>0</v>
      </c>
      <c r="CR75" s="85">
        <v>0</v>
      </c>
      <c r="CS75" s="85">
        <v>0</v>
      </c>
      <c r="CT75" s="85">
        <v>0</v>
      </c>
      <c r="CU75" s="85">
        <v>0</v>
      </c>
      <c r="CV75" s="85">
        <v>0</v>
      </c>
      <c r="CW75" s="85">
        <v>0</v>
      </c>
      <c r="CX75" s="85">
        <v>0</v>
      </c>
      <c r="CY75" s="85">
        <v>0</v>
      </c>
      <c r="CZ75" s="85">
        <v>0</v>
      </c>
      <c r="DA75" s="85"/>
      <c r="DB75" s="85"/>
      <c r="DC75" s="85"/>
      <c r="DD75" s="85"/>
      <c r="DE75" s="85"/>
      <c r="DF75" s="85">
        <v>0</v>
      </c>
      <c r="DG75" s="85">
        <v>0</v>
      </c>
      <c r="DH75" s="85"/>
      <c r="DI75" s="85"/>
      <c r="DJ75" s="85"/>
      <c r="DK75" s="85"/>
      <c r="DL75" s="85"/>
      <c r="DM75" s="85"/>
      <c r="DN75" s="85"/>
      <c r="DO75" s="85"/>
      <c r="DP75" s="85"/>
      <c r="DQ75" s="85"/>
      <c r="DT75" s="88"/>
      <c r="DU75" s="88"/>
    </row>
    <row r="76" spans="14:188" ht="25.5" customHeight="1" x14ac:dyDescent="0.45">
      <c r="N76" s="87"/>
      <c r="O76" s="87"/>
      <c r="P76" s="87"/>
      <c r="Q76" s="87"/>
      <c r="R76" s="87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  <c r="AQ76" s="86"/>
      <c r="AR76" s="86"/>
      <c r="AS76" s="86"/>
      <c r="AT76" s="86"/>
      <c r="CB76" s="89">
        <v>43556</v>
      </c>
      <c r="CC76" s="85">
        <v>13</v>
      </c>
      <c r="CD76" s="85">
        <v>104</v>
      </c>
      <c r="CE76" s="85">
        <v>51</v>
      </c>
      <c r="CF76" s="88"/>
      <c r="CG76" s="84" t="s">
        <v>39</v>
      </c>
      <c r="CH76" s="85">
        <v>0</v>
      </c>
      <c r="CI76" s="85">
        <v>0</v>
      </c>
      <c r="CJ76" s="85">
        <v>0</v>
      </c>
      <c r="CK76" s="85">
        <v>0</v>
      </c>
      <c r="CL76" s="85">
        <v>0</v>
      </c>
      <c r="CM76" s="85">
        <v>0</v>
      </c>
      <c r="CN76" s="85">
        <v>0</v>
      </c>
      <c r="CO76" s="85">
        <v>0</v>
      </c>
      <c r="CP76" s="85">
        <v>1</v>
      </c>
      <c r="CQ76" s="85">
        <v>1</v>
      </c>
      <c r="CR76" s="85">
        <v>1</v>
      </c>
      <c r="CS76" s="85">
        <v>1</v>
      </c>
      <c r="CT76" s="85">
        <v>1</v>
      </c>
      <c r="CU76" s="85">
        <v>1</v>
      </c>
      <c r="CV76" s="85">
        <v>1</v>
      </c>
      <c r="CW76" s="85">
        <v>1</v>
      </c>
      <c r="CX76" s="85">
        <v>1</v>
      </c>
      <c r="CY76" s="85">
        <v>1</v>
      </c>
      <c r="CZ76" s="85">
        <v>1</v>
      </c>
      <c r="DA76" s="85"/>
      <c r="DB76" s="85"/>
      <c r="DC76" s="85"/>
      <c r="DD76" s="85"/>
      <c r="DE76" s="85"/>
      <c r="DF76" s="85">
        <v>1</v>
      </c>
      <c r="DG76" s="85">
        <v>1</v>
      </c>
      <c r="DH76" s="85"/>
      <c r="DI76" s="85"/>
      <c r="DJ76" s="85"/>
      <c r="DK76" s="85"/>
      <c r="DL76" s="85"/>
      <c r="DM76" s="85"/>
      <c r="DN76" s="85"/>
      <c r="DO76" s="85"/>
      <c r="DP76" s="85"/>
      <c r="DQ76" s="85"/>
      <c r="DT76" s="88"/>
      <c r="DU76" s="88"/>
    </row>
    <row r="77" spans="14:188" ht="25.5" customHeight="1" x14ac:dyDescent="0.45">
      <c r="N77" s="87"/>
      <c r="O77" s="87"/>
      <c r="P77" s="87"/>
      <c r="Q77" s="87"/>
      <c r="R77" s="87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CB77" s="89">
        <v>43586</v>
      </c>
      <c r="CC77" s="85">
        <v>22</v>
      </c>
      <c r="CD77" s="85">
        <v>108</v>
      </c>
      <c r="CE77" s="85">
        <v>52</v>
      </c>
      <c r="CF77" s="88"/>
      <c r="CG77" s="84" t="s">
        <v>31</v>
      </c>
      <c r="CH77" s="85">
        <v>0</v>
      </c>
      <c r="CI77" s="85">
        <v>0</v>
      </c>
      <c r="CJ77" s="85">
        <v>0</v>
      </c>
      <c r="CK77" s="85">
        <v>1</v>
      </c>
      <c r="CL77" s="85">
        <v>3</v>
      </c>
      <c r="CM77" s="85">
        <v>3</v>
      </c>
      <c r="CN77" s="85">
        <v>3</v>
      </c>
      <c r="CO77" s="85">
        <v>3</v>
      </c>
      <c r="CP77" s="85">
        <v>3</v>
      </c>
      <c r="CQ77" s="85">
        <v>3</v>
      </c>
      <c r="CR77" s="85">
        <v>6</v>
      </c>
      <c r="CS77" s="85">
        <v>6</v>
      </c>
      <c r="CT77" s="85">
        <v>6</v>
      </c>
      <c r="CU77" s="85">
        <v>7</v>
      </c>
      <c r="CV77" s="85">
        <v>7</v>
      </c>
      <c r="CW77" s="85">
        <v>8</v>
      </c>
      <c r="CX77" s="85">
        <v>8</v>
      </c>
      <c r="CY77" s="85">
        <v>8</v>
      </c>
      <c r="CZ77" s="85">
        <v>8</v>
      </c>
      <c r="DA77" s="85"/>
      <c r="DB77" s="85"/>
      <c r="DC77" s="85"/>
      <c r="DD77" s="85"/>
      <c r="DE77" s="85"/>
      <c r="DF77" s="85">
        <v>8</v>
      </c>
      <c r="DG77" s="85">
        <v>8</v>
      </c>
      <c r="DH77" s="85"/>
      <c r="DI77" s="85"/>
      <c r="DJ77" s="85"/>
      <c r="DK77" s="85"/>
      <c r="DL77" s="85"/>
      <c r="DM77" s="85"/>
      <c r="DN77" s="85"/>
      <c r="DO77" s="85"/>
      <c r="DP77" s="85"/>
      <c r="DQ77" s="85"/>
      <c r="DT77" s="88"/>
      <c r="DU77" s="88"/>
    </row>
    <row r="78" spans="14:188" ht="25.5" customHeight="1" x14ac:dyDescent="0.45">
      <c r="N78" s="87"/>
      <c r="O78" s="87"/>
      <c r="P78" s="87"/>
      <c r="Q78" s="87"/>
      <c r="R78" s="87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CB78" s="89">
        <v>43617</v>
      </c>
      <c r="CC78" s="85">
        <v>36</v>
      </c>
      <c r="CD78" s="85">
        <v>94</v>
      </c>
      <c r="CE78" s="85">
        <v>52</v>
      </c>
      <c r="CF78" s="88"/>
      <c r="CG78" s="84" t="s">
        <v>40</v>
      </c>
      <c r="CH78" s="85">
        <v>1</v>
      </c>
      <c r="CI78" s="85">
        <v>2</v>
      </c>
      <c r="CJ78" s="85">
        <v>2</v>
      </c>
      <c r="CK78" s="85">
        <v>2</v>
      </c>
      <c r="CL78" s="85">
        <v>2</v>
      </c>
      <c r="CM78" s="85">
        <v>2</v>
      </c>
      <c r="CN78" s="85">
        <v>2</v>
      </c>
      <c r="CO78" s="85">
        <v>2</v>
      </c>
      <c r="CP78" s="85">
        <v>2</v>
      </c>
      <c r="CQ78" s="85">
        <v>2</v>
      </c>
      <c r="CR78" s="85">
        <v>2</v>
      </c>
      <c r="CS78" s="85">
        <v>2</v>
      </c>
      <c r="CT78" s="85">
        <v>2</v>
      </c>
      <c r="CU78" s="85">
        <v>2</v>
      </c>
      <c r="CV78" s="85">
        <v>2</v>
      </c>
      <c r="CW78" s="85">
        <v>2</v>
      </c>
      <c r="CX78" s="85">
        <v>2</v>
      </c>
      <c r="CY78" s="85">
        <v>2</v>
      </c>
      <c r="CZ78" s="85">
        <v>2</v>
      </c>
      <c r="DA78" s="85"/>
      <c r="DB78" s="85"/>
      <c r="DC78" s="85"/>
      <c r="DD78" s="85"/>
      <c r="DE78" s="85"/>
      <c r="DF78" s="85">
        <v>4</v>
      </c>
      <c r="DG78" s="85">
        <v>4</v>
      </c>
      <c r="DH78" s="85"/>
      <c r="DI78" s="85"/>
      <c r="DJ78" s="85"/>
      <c r="DK78" s="85"/>
      <c r="DL78" s="85"/>
      <c r="DM78" s="85"/>
      <c r="DN78" s="85"/>
      <c r="DO78" s="85"/>
      <c r="DP78" s="85"/>
      <c r="DQ78" s="85"/>
      <c r="DT78" s="88"/>
      <c r="DU78" s="88"/>
    </row>
    <row r="79" spans="14:188" ht="25.5" customHeight="1" x14ac:dyDescent="0.45">
      <c r="N79" s="87"/>
      <c r="O79" s="87"/>
      <c r="P79" s="87"/>
      <c r="Q79" s="87"/>
      <c r="R79" s="87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CB79" s="89">
        <v>43647</v>
      </c>
      <c r="CC79" s="85">
        <v>38</v>
      </c>
      <c r="CD79" s="85">
        <v>91</v>
      </c>
      <c r="CE79" s="85">
        <v>53</v>
      </c>
      <c r="CF79" s="88"/>
      <c r="CG79" s="84" t="s">
        <v>37</v>
      </c>
      <c r="CH79" s="85">
        <v>0</v>
      </c>
      <c r="CI79" s="85">
        <v>0</v>
      </c>
      <c r="CJ79" s="85">
        <v>1</v>
      </c>
      <c r="CK79" s="85">
        <v>1</v>
      </c>
      <c r="CL79" s="85">
        <v>6</v>
      </c>
      <c r="CM79" s="85">
        <v>8</v>
      </c>
      <c r="CN79" s="85">
        <v>8</v>
      </c>
      <c r="CO79" s="85">
        <v>11</v>
      </c>
      <c r="CP79" s="85">
        <v>12</v>
      </c>
      <c r="CQ79" s="85">
        <v>15</v>
      </c>
      <c r="CR79" s="85">
        <v>15</v>
      </c>
      <c r="CS79" s="85">
        <v>15</v>
      </c>
      <c r="CT79" s="85">
        <v>15</v>
      </c>
      <c r="CU79" s="85">
        <v>15</v>
      </c>
      <c r="CV79" s="85">
        <v>15</v>
      </c>
      <c r="CW79" s="85">
        <v>15</v>
      </c>
      <c r="CX79" s="85">
        <v>15</v>
      </c>
      <c r="CY79" s="85">
        <v>15</v>
      </c>
      <c r="CZ79" s="85">
        <v>16</v>
      </c>
      <c r="DA79" s="85"/>
      <c r="DB79" s="85"/>
      <c r="DC79" s="85"/>
      <c r="DD79" s="85"/>
      <c r="DE79" s="85"/>
      <c r="DF79" s="85">
        <v>16</v>
      </c>
      <c r="DG79" s="85">
        <v>16</v>
      </c>
      <c r="DH79" s="85"/>
      <c r="DI79" s="85"/>
      <c r="DJ79" s="85"/>
      <c r="DK79" s="85"/>
      <c r="DL79" s="85"/>
      <c r="DM79" s="85"/>
      <c r="DN79" s="85"/>
      <c r="DO79" s="85"/>
      <c r="DP79" s="85"/>
      <c r="DQ79" s="85"/>
      <c r="DT79" s="88"/>
      <c r="DU79" s="88"/>
    </row>
    <row r="80" spans="14:188" ht="25.5" customHeight="1" x14ac:dyDescent="0.45">
      <c r="N80" s="87"/>
      <c r="O80" s="87"/>
      <c r="P80" s="87"/>
      <c r="Q80" s="87"/>
      <c r="R80" s="87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CB80" s="89">
        <v>43678</v>
      </c>
      <c r="CC80" s="85">
        <v>48</v>
      </c>
      <c r="CD80" s="85">
        <v>79</v>
      </c>
      <c r="CE80" s="85">
        <v>55</v>
      </c>
      <c r="CF80" s="88"/>
      <c r="CG80" s="84" t="s">
        <v>33</v>
      </c>
      <c r="CH80" s="85">
        <v>1</v>
      </c>
      <c r="CI80" s="85">
        <v>1</v>
      </c>
      <c r="CJ80" s="85">
        <v>1</v>
      </c>
      <c r="CK80" s="85">
        <v>1</v>
      </c>
      <c r="CL80" s="85">
        <v>1</v>
      </c>
      <c r="CM80" s="85">
        <v>1</v>
      </c>
      <c r="CN80" s="85">
        <v>1</v>
      </c>
      <c r="CO80" s="85">
        <v>1</v>
      </c>
      <c r="CP80" s="85">
        <v>1</v>
      </c>
      <c r="CQ80" s="85">
        <v>1</v>
      </c>
      <c r="CR80" s="85">
        <v>1</v>
      </c>
      <c r="CS80" s="85">
        <v>1</v>
      </c>
      <c r="CT80" s="85">
        <v>1</v>
      </c>
      <c r="CU80" s="85">
        <v>2</v>
      </c>
      <c r="CV80" s="85">
        <v>2</v>
      </c>
      <c r="CW80" s="85">
        <v>4</v>
      </c>
      <c r="CX80" s="85">
        <v>4</v>
      </c>
      <c r="CY80" s="85">
        <v>5</v>
      </c>
      <c r="CZ80" s="85">
        <v>5</v>
      </c>
      <c r="DA80" s="85"/>
      <c r="DB80" s="85"/>
      <c r="DC80" s="85"/>
      <c r="DD80" s="85"/>
      <c r="DE80" s="85"/>
      <c r="DF80" s="85">
        <v>6</v>
      </c>
      <c r="DG80" s="85">
        <v>6</v>
      </c>
      <c r="DH80" s="85"/>
      <c r="DI80" s="85"/>
      <c r="DJ80" s="85"/>
      <c r="DK80" s="85"/>
      <c r="DL80" s="85"/>
      <c r="DM80" s="85"/>
      <c r="DN80" s="85"/>
      <c r="DO80" s="85"/>
      <c r="DP80" s="85"/>
      <c r="DQ80" s="85"/>
      <c r="DT80" s="88"/>
      <c r="DU80" s="88"/>
    </row>
    <row r="81" spans="14:125" ht="25.5" customHeight="1" x14ac:dyDescent="0.45">
      <c r="N81" s="87"/>
      <c r="O81" s="87"/>
      <c r="P81" s="87"/>
      <c r="Q81" s="87"/>
      <c r="R81" s="87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CB81" s="89">
        <v>43709</v>
      </c>
      <c r="CC81" s="85">
        <v>51</v>
      </c>
      <c r="CD81" s="85">
        <v>76</v>
      </c>
      <c r="CE81" s="85">
        <v>55</v>
      </c>
      <c r="CF81" s="88"/>
      <c r="CG81" s="84" t="s">
        <v>46</v>
      </c>
      <c r="CH81" s="85">
        <v>0</v>
      </c>
      <c r="CI81" s="85">
        <v>0</v>
      </c>
      <c r="CJ81" s="85">
        <v>0</v>
      </c>
      <c r="CK81" s="85">
        <v>0</v>
      </c>
      <c r="CL81" s="85">
        <v>0</v>
      </c>
      <c r="CM81" s="85">
        <v>0</v>
      </c>
      <c r="CN81" s="85">
        <v>0</v>
      </c>
      <c r="CO81" s="85">
        <v>0</v>
      </c>
      <c r="CP81" s="85">
        <v>0</v>
      </c>
      <c r="CQ81" s="85">
        <v>0</v>
      </c>
      <c r="CR81" s="85">
        <v>0</v>
      </c>
      <c r="CS81" s="85">
        <v>0</v>
      </c>
      <c r="CT81" s="85">
        <v>0</v>
      </c>
      <c r="CU81" s="85">
        <v>0</v>
      </c>
      <c r="CV81" s="85">
        <v>0</v>
      </c>
      <c r="CW81" s="85">
        <v>0</v>
      </c>
      <c r="CX81" s="85">
        <v>0</v>
      </c>
      <c r="CY81" s="85">
        <v>0</v>
      </c>
      <c r="CZ81" s="85">
        <v>0</v>
      </c>
      <c r="DA81" s="85"/>
      <c r="DB81" s="85"/>
      <c r="DC81" s="85"/>
      <c r="DD81" s="85"/>
      <c r="DE81" s="85"/>
      <c r="DF81" s="85">
        <v>0</v>
      </c>
      <c r="DG81" s="85">
        <v>0</v>
      </c>
      <c r="DH81" s="85"/>
      <c r="DI81" s="85"/>
      <c r="DJ81" s="85"/>
      <c r="DK81" s="85"/>
      <c r="DL81" s="85"/>
      <c r="DM81" s="85"/>
      <c r="DN81" s="85"/>
      <c r="DO81" s="85"/>
      <c r="DP81" s="85"/>
      <c r="DQ81" s="85"/>
      <c r="DT81" s="88"/>
      <c r="DU81" s="88"/>
    </row>
    <row r="82" spans="14:125" ht="25.5" customHeight="1" x14ac:dyDescent="0.45">
      <c r="N82" s="87"/>
      <c r="O82" s="87"/>
      <c r="P82" s="87"/>
      <c r="Q82" s="87"/>
      <c r="R82" s="87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CB82" s="89">
        <v>43739</v>
      </c>
      <c r="CC82" s="85">
        <v>60</v>
      </c>
      <c r="CD82" s="85">
        <v>67</v>
      </c>
      <c r="CE82" s="85">
        <v>55</v>
      </c>
      <c r="CF82" s="88"/>
      <c r="CG82" s="84" t="s">
        <v>43</v>
      </c>
      <c r="CH82" s="85">
        <v>0</v>
      </c>
      <c r="CI82" s="85">
        <v>0</v>
      </c>
      <c r="CJ82" s="85">
        <v>0</v>
      </c>
      <c r="CK82" s="85">
        <v>0</v>
      </c>
      <c r="CL82" s="85">
        <v>0</v>
      </c>
      <c r="CM82" s="85">
        <v>0</v>
      </c>
      <c r="CN82" s="85">
        <v>0</v>
      </c>
      <c r="CO82" s="85">
        <v>3</v>
      </c>
      <c r="CP82" s="85">
        <v>3</v>
      </c>
      <c r="CQ82" s="85">
        <v>5</v>
      </c>
      <c r="CR82" s="85">
        <v>9</v>
      </c>
      <c r="CS82" s="85">
        <v>10</v>
      </c>
      <c r="CT82" s="85">
        <v>13</v>
      </c>
      <c r="CU82" s="85">
        <v>19</v>
      </c>
      <c r="CV82" s="85">
        <v>23</v>
      </c>
      <c r="CW82" s="85">
        <v>27</v>
      </c>
      <c r="CX82" s="85">
        <v>29</v>
      </c>
      <c r="CY82" s="85">
        <v>32</v>
      </c>
      <c r="CZ82" s="85">
        <v>34</v>
      </c>
      <c r="DA82" s="85"/>
      <c r="DB82" s="85"/>
      <c r="DC82" s="85"/>
      <c r="DD82" s="85"/>
      <c r="DE82" s="85"/>
      <c r="DF82" s="85">
        <v>35</v>
      </c>
      <c r="DG82" s="85">
        <v>35</v>
      </c>
      <c r="DH82" s="85"/>
      <c r="DI82" s="85"/>
      <c r="DJ82" s="85"/>
      <c r="DK82" s="85"/>
      <c r="DL82" s="85"/>
      <c r="DM82" s="85"/>
      <c r="DN82" s="85"/>
      <c r="DO82" s="85"/>
      <c r="DP82" s="85"/>
      <c r="DQ82" s="85"/>
      <c r="DT82" s="88"/>
      <c r="DU82" s="88"/>
    </row>
    <row r="83" spans="14:125" ht="25.5" customHeight="1" x14ac:dyDescent="0.45">
      <c r="N83" s="87"/>
      <c r="O83" s="87"/>
      <c r="P83" s="87"/>
      <c r="Q83" s="87"/>
      <c r="R83" s="87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CB83" s="89">
        <v>43770</v>
      </c>
      <c r="CC83" s="85">
        <v>69</v>
      </c>
      <c r="CD83" s="85">
        <v>58</v>
      </c>
      <c r="CE83" s="85">
        <v>55</v>
      </c>
      <c r="CF83" s="88"/>
      <c r="CG83" s="84" t="s">
        <v>48</v>
      </c>
      <c r="CH83" s="85">
        <v>0</v>
      </c>
      <c r="CI83" s="85">
        <v>0</v>
      </c>
      <c r="CJ83" s="85">
        <v>0</v>
      </c>
      <c r="CK83" s="85">
        <v>0</v>
      </c>
      <c r="CL83" s="85">
        <v>0</v>
      </c>
      <c r="CM83" s="85">
        <v>0</v>
      </c>
      <c r="CN83" s="85">
        <v>0</v>
      </c>
      <c r="CO83" s="85">
        <v>0</v>
      </c>
      <c r="CP83" s="85">
        <v>0</v>
      </c>
      <c r="CQ83" s="85">
        <v>0</v>
      </c>
      <c r="CR83" s="85">
        <v>0</v>
      </c>
      <c r="CS83" s="85">
        <v>0</v>
      </c>
      <c r="CT83" s="85">
        <v>0</v>
      </c>
      <c r="CU83" s="85">
        <v>0</v>
      </c>
      <c r="CV83" s="85">
        <v>0</v>
      </c>
      <c r="CW83" s="85">
        <v>0</v>
      </c>
      <c r="CX83" s="85">
        <v>0</v>
      </c>
      <c r="CY83" s="85">
        <v>0</v>
      </c>
      <c r="CZ83" s="85">
        <v>0</v>
      </c>
      <c r="DA83" s="85"/>
      <c r="DB83" s="85"/>
      <c r="DC83" s="85"/>
      <c r="DD83" s="85"/>
      <c r="DE83" s="85"/>
      <c r="DF83" s="85">
        <v>0</v>
      </c>
      <c r="DG83" s="85">
        <v>0</v>
      </c>
      <c r="DH83" s="85"/>
      <c r="DI83" s="85"/>
      <c r="DJ83" s="85"/>
      <c r="DK83" s="85"/>
      <c r="DL83" s="85"/>
      <c r="DM83" s="85"/>
      <c r="DN83" s="85"/>
      <c r="DO83" s="85"/>
      <c r="DP83" s="85"/>
      <c r="DQ83" s="85"/>
    </row>
    <row r="84" spans="14:125" ht="25.5" customHeight="1" x14ac:dyDescent="0.45">
      <c r="N84" s="87"/>
      <c r="O84" s="87"/>
      <c r="P84" s="87"/>
      <c r="Q84" s="87"/>
      <c r="R84" s="87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CB84" s="89">
        <v>43800</v>
      </c>
      <c r="CC84" s="85">
        <v>70</v>
      </c>
      <c r="CD84" s="85">
        <v>47</v>
      </c>
      <c r="CE84" s="85">
        <v>65</v>
      </c>
      <c r="CF84" s="88"/>
      <c r="CG84" s="84" t="s">
        <v>36</v>
      </c>
      <c r="CH84" s="85">
        <v>1</v>
      </c>
      <c r="CI84" s="85">
        <v>1</v>
      </c>
      <c r="CJ84" s="85">
        <v>1</v>
      </c>
      <c r="CK84" s="85">
        <v>1</v>
      </c>
      <c r="CL84" s="85">
        <v>1</v>
      </c>
      <c r="CM84" s="85">
        <v>1</v>
      </c>
      <c r="CN84" s="85">
        <v>1</v>
      </c>
      <c r="CO84" s="85">
        <v>2</v>
      </c>
      <c r="CP84" s="85">
        <v>3</v>
      </c>
      <c r="CQ84" s="85">
        <v>3</v>
      </c>
      <c r="CR84" s="85">
        <v>3</v>
      </c>
      <c r="CS84" s="85">
        <v>3</v>
      </c>
      <c r="CT84" s="85">
        <v>3</v>
      </c>
      <c r="CU84" s="85">
        <v>3</v>
      </c>
      <c r="CV84" s="85">
        <v>3</v>
      </c>
      <c r="CW84" s="85">
        <v>4</v>
      </c>
      <c r="CX84" s="85">
        <v>4</v>
      </c>
      <c r="CY84" s="85">
        <v>4</v>
      </c>
      <c r="CZ84" s="85">
        <v>4</v>
      </c>
      <c r="DA84" s="85"/>
      <c r="DB84" s="85"/>
      <c r="DC84" s="85"/>
      <c r="DD84" s="85"/>
      <c r="DE84" s="85"/>
      <c r="DF84" s="85">
        <v>4</v>
      </c>
      <c r="DG84" s="85">
        <v>4</v>
      </c>
      <c r="DH84" s="85"/>
      <c r="DI84" s="85"/>
      <c r="DJ84" s="85"/>
      <c r="DK84" s="85"/>
      <c r="DL84" s="85"/>
      <c r="DM84" s="85"/>
      <c r="DN84" s="85"/>
      <c r="DO84" s="85"/>
      <c r="DP84" s="85"/>
      <c r="DQ84" s="85"/>
    </row>
    <row r="85" spans="14:125" ht="25.5" customHeight="1" x14ac:dyDescent="0.45">
      <c r="N85" s="87"/>
      <c r="O85" s="87"/>
      <c r="P85" s="87"/>
      <c r="Q85" s="87"/>
      <c r="R85" s="87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CB85" s="89">
        <v>43831</v>
      </c>
      <c r="CC85" s="85">
        <v>74</v>
      </c>
      <c r="CD85" s="85">
        <v>43</v>
      </c>
      <c r="CE85" s="85">
        <v>65</v>
      </c>
      <c r="CF85" s="88"/>
      <c r="CG85" s="88"/>
      <c r="CH85" s="88"/>
      <c r="CI85" s="88"/>
      <c r="CJ85" s="88"/>
      <c r="CK85" s="88"/>
      <c r="CL85" s="88"/>
      <c r="CM85" s="88"/>
      <c r="CN85" s="88"/>
      <c r="CO85" s="88"/>
      <c r="CP85" s="88"/>
      <c r="CQ85" s="88"/>
      <c r="CR85" s="88"/>
    </row>
    <row r="86" spans="14:125" ht="25.5" customHeight="1" x14ac:dyDescent="0.45">
      <c r="N86" s="87"/>
      <c r="O86" s="87"/>
      <c r="P86" s="87"/>
      <c r="Q86" s="87"/>
      <c r="R86" s="87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CB86" s="89">
        <v>43862</v>
      </c>
      <c r="CC86" s="85">
        <v>82</v>
      </c>
      <c r="CD86" s="85">
        <v>33</v>
      </c>
      <c r="CE86" s="85">
        <v>67</v>
      </c>
      <c r="CF86" s="88"/>
      <c r="CG86" s="88"/>
      <c r="CH86" s="88"/>
      <c r="CI86" s="88"/>
      <c r="CJ86" s="88"/>
      <c r="CK86" s="88"/>
      <c r="CL86" s="88"/>
      <c r="CM86" s="88"/>
      <c r="CN86" s="88"/>
      <c r="CO86" s="88"/>
      <c r="CP86" s="88"/>
      <c r="CQ86" s="88"/>
      <c r="CR86" s="88"/>
    </row>
    <row r="87" spans="14:125" ht="25.5" customHeight="1" x14ac:dyDescent="0.45">
      <c r="N87" s="87"/>
      <c r="O87" s="87"/>
      <c r="P87" s="87"/>
      <c r="Q87" s="87"/>
      <c r="R87" s="87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CB87" s="89">
        <v>43891</v>
      </c>
      <c r="CC87" s="85">
        <v>86</v>
      </c>
      <c r="CD87" s="85">
        <v>25</v>
      </c>
      <c r="CE87" s="85">
        <v>71</v>
      </c>
      <c r="CF87" s="88"/>
      <c r="CG87" s="88"/>
      <c r="CH87" s="88"/>
      <c r="CI87" s="88"/>
      <c r="CJ87" s="88"/>
      <c r="CK87" s="88"/>
      <c r="CL87" s="88"/>
      <c r="CM87" s="88"/>
      <c r="CN87" s="88"/>
      <c r="CO87" s="88"/>
      <c r="CP87" s="88"/>
      <c r="CQ87" s="88"/>
      <c r="CR87" s="88"/>
    </row>
    <row r="88" spans="14:125" ht="25.5" customHeight="1" x14ac:dyDescent="0.45">
      <c r="N88" s="87"/>
      <c r="O88" s="87"/>
      <c r="P88" s="87"/>
      <c r="Q88" s="87"/>
      <c r="R88" s="87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CB88" s="89">
        <v>43922</v>
      </c>
      <c r="CC88" s="85">
        <v>94</v>
      </c>
      <c r="CD88" s="85">
        <v>18</v>
      </c>
      <c r="CE88" s="85">
        <v>70</v>
      </c>
      <c r="CF88" s="88"/>
      <c r="CG88" s="88"/>
      <c r="CH88" s="88"/>
      <c r="CI88" s="88"/>
      <c r="CJ88" s="88"/>
      <c r="CK88" s="88"/>
      <c r="CL88" s="88"/>
      <c r="CM88" s="88"/>
      <c r="CN88" s="88"/>
      <c r="CO88" s="88"/>
      <c r="CP88" s="88"/>
      <c r="CQ88" s="88"/>
      <c r="CR88" s="88"/>
    </row>
    <row r="89" spans="14:125" ht="25.5" customHeight="1" x14ac:dyDescent="0.45">
      <c r="N89" s="87"/>
      <c r="O89" s="87"/>
      <c r="P89" s="87"/>
      <c r="Q89" s="87"/>
      <c r="R89" s="87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CB89" s="89">
        <v>43952</v>
      </c>
      <c r="CC89" s="85">
        <v>96</v>
      </c>
      <c r="CD89" s="85">
        <v>15</v>
      </c>
      <c r="CE89" s="85">
        <v>71</v>
      </c>
      <c r="CF89" s="88"/>
      <c r="CG89" s="88"/>
      <c r="CH89" s="88"/>
      <c r="CI89" s="88"/>
      <c r="CJ89" s="88"/>
      <c r="CK89" s="88"/>
      <c r="CL89" s="88"/>
      <c r="CM89" s="88"/>
      <c r="CN89" s="88"/>
      <c r="CO89" s="88"/>
      <c r="CP89" s="88"/>
      <c r="CQ89" s="88"/>
      <c r="CR89" s="88"/>
    </row>
    <row r="90" spans="14:125" ht="25.5" customHeight="1" x14ac:dyDescent="0.45">
      <c r="N90" s="87"/>
      <c r="O90" s="87"/>
      <c r="P90" s="87"/>
      <c r="Q90" s="87"/>
      <c r="R90" s="87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  <c r="AQ90" s="86"/>
      <c r="AR90" s="86"/>
      <c r="AS90" s="86"/>
      <c r="AT90" s="86"/>
      <c r="CB90" s="89">
        <v>43983</v>
      </c>
      <c r="CC90" s="85">
        <v>100</v>
      </c>
      <c r="CD90" s="85">
        <v>11</v>
      </c>
      <c r="CE90" s="85">
        <v>71</v>
      </c>
      <c r="CF90" s="88"/>
      <c r="CG90" s="88"/>
      <c r="CH90" s="88"/>
      <c r="CI90" s="88"/>
      <c r="CJ90" s="88"/>
      <c r="CK90" s="88"/>
      <c r="CL90" s="88"/>
      <c r="CM90" s="88"/>
      <c r="CN90" s="88"/>
      <c r="CO90" s="88"/>
      <c r="CP90" s="88"/>
      <c r="CQ90" s="88"/>
      <c r="CR90" s="88"/>
    </row>
    <row r="91" spans="14:125" ht="25.5" customHeight="1" x14ac:dyDescent="0.45">
      <c r="N91" s="87"/>
      <c r="O91" s="87"/>
      <c r="P91" s="87"/>
      <c r="Q91" s="87"/>
      <c r="R91" s="87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  <c r="AQ91" s="86"/>
      <c r="AR91" s="86"/>
      <c r="AS91" s="86"/>
      <c r="AT91" s="86"/>
      <c r="CB91" s="89">
        <v>44013</v>
      </c>
      <c r="CC91" s="85">
        <v>103</v>
      </c>
      <c r="CD91" s="85">
        <v>9</v>
      </c>
      <c r="CE91" s="85">
        <v>70</v>
      </c>
      <c r="CF91" s="88"/>
      <c r="CG91" s="88"/>
      <c r="CH91" s="88"/>
      <c r="CI91" s="88"/>
      <c r="CJ91" s="88"/>
      <c r="CK91" s="88"/>
      <c r="CL91" s="88"/>
      <c r="CM91" s="88"/>
      <c r="CN91" s="88"/>
      <c r="CO91" s="88"/>
      <c r="CP91" s="88"/>
      <c r="CQ91" s="88"/>
      <c r="CR91" s="88"/>
    </row>
    <row r="92" spans="14:125" ht="25.5" customHeight="1" x14ac:dyDescent="0.45">
      <c r="N92" s="87"/>
      <c r="O92" s="87"/>
      <c r="P92" s="87"/>
      <c r="Q92" s="87"/>
      <c r="R92" s="87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  <c r="AQ92" s="86"/>
      <c r="AR92" s="86"/>
      <c r="AS92" s="86"/>
      <c r="AT92" s="86"/>
      <c r="CB92" s="89">
        <v>44044</v>
      </c>
      <c r="CC92" s="85"/>
      <c r="CD92" s="85"/>
      <c r="CE92" s="85"/>
      <c r="CF92" s="88"/>
      <c r="CG92" s="88"/>
      <c r="CH92" s="88"/>
      <c r="CI92" s="88"/>
      <c r="CJ92" s="88"/>
      <c r="CK92" s="88"/>
      <c r="CL92" s="88"/>
      <c r="CM92" s="88"/>
      <c r="CN92" s="88"/>
      <c r="CO92" s="88"/>
      <c r="CP92" s="88"/>
      <c r="CQ92" s="88"/>
      <c r="CR92" s="88"/>
    </row>
    <row r="93" spans="14:125" ht="25.5" customHeight="1" x14ac:dyDescent="0.45">
      <c r="N93" s="87"/>
      <c r="O93" s="87"/>
      <c r="P93" s="87"/>
      <c r="Q93" s="87"/>
      <c r="R93" s="87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  <c r="AQ93" s="86"/>
      <c r="AR93" s="86"/>
      <c r="AS93" s="86"/>
      <c r="AT93" s="86"/>
      <c r="CB93" s="89">
        <v>44075</v>
      </c>
      <c r="CC93" s="85"/>
      <c r="CD93" s="85"/>
      <c r="CE93" s="85"/>
      <c r="CF93" s="88"/>
      <c r="CG93" s="88"/>
      <c r="CH93" s="88"/>
      <c r="CI93" s="88"/>
      <c r="CJ93" s="88"/>
      <c r="CK93" s="88"/>
      <c r="CL93" s="88"/>
      <c r="CM93" s="88"/>
      <c r="CN93" s="88"/>
      <c r="CO93" s="88"/>
      <c r="CP93" s="88"/>
      <c r="CQ93" s="88"/>
      <c r="CR93" s="88"/>
    </row>
    <row r="94" spans="14:125" ht="25.5" customHeight="1" x14ac:dyDescent="0.45">
      <c r="N94" s="87"/>
      <c r="O94" s="87"/>
      <c r="P94" s="87"/>
      <c r="Q94" s="87"/>
      <c r="R94" s="87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  <c r="AQ94" s="86"/>
      <c r="AR94" s="86"/>
      <c r="AS94" s="86"/>
      <c r="AT94" s="86"/>
      <c r="CB94" s="89">
        <v>44105</v>
      </c>
      <c r="CC94" s="85"/>
      <c r="CD94" s="85"/>
      <c r="CE94" s="85"/>
      <c r="CF94" s="88"/>
      <c r="CG94" s="88"/>
      <c r="CH94" s="88"/>
      <c r="CI94" s="88"/>
      <c r="CJ94" s="88"/>
      <c r="CK94" s="88"/>
      <c r="CL94" s="88"/>
      <c r="CM94" s="88"/>
      <c r="CN94" s="88"/>
      <c r="CO94" s="88"/>
      <c r="CP94" s="88"/>
      <c r="CQ94" s="88"/>
      <c r="CR94" s="88"/>
    </row>
    <row r="95" spans="14:125" ht="25.5" customHeight="1" x14ac:dyDescent="0.45">
      <c r="N95" s="87"/>
      <c r="O95" s="87"/>
      <c r="P95" s="87"/>
      <c r="Q95" s="87"/>
      <c r="R95" s="87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  <c r="AQ95" s="86"/>
      <c r="AR95" s="86"/>
      <c r="AS95" s="86"/>
      <c r="AT95" s="86"/>
      <c r="CB95" s="89">
        <v>44136</v>
      </c>
      <c r="CC95" s="85"/>
      <c r="CD95" s="85"/>
      <c r="CE95" s="85"/>
      <c r="CF95" s="88"/>
      <c r="CG95" s="88"/>
      <c r="CH95" s="88"/>
      <c r="CI95" s="88"/>
      <c r="CJ95" s="88"/>
      <c r="CK95" s="88"/>
      <c r="CL95" s="88"/>
      <c r="CM95" s="88"/>
      <c r="CN95" s="88"/>
      <c r="CO95" s="88"/>
      <c r="CP95" s="88"/>
      <c r="CQ95" s="88"/>
      <c r="CR95" s="88"/>
    </row>
    <row r="96" spans="14:125" ht="25.5" customHeight="1" x14ac:dyDescent="0.45">
      <c r="N96" s="87"/>
      <c r="O96" s="87"/>
      <c r="P96" s="87"/>
      <c r="Q96" s="87"/>
      <c r="R96" s="87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  <c r="AQ96" s="86"/>
      <c r="AR96" s="86"/>
      <c r="AS96" s="86"/>
      <c r="AT96" s="86"/>
      <c r="CB96" s="89">
        <v>44166</v>
      </c>
      <c r="CC96" s="85"/>
      <c r="CD96" s="85"/>
      <c r="CE96" s="85"/>
      <c r="CF96" s="88"/>
      <c r="CG96" s="88"/>
      <c r="CH96" s="88"/>
      <c r="CI96" s="88"/>
      <c r="CJ96" s="88"/>
      <c r="CK96" s="88"/>
      <c r="CL96" s="88"/>
      <c r="CM96" s="88"/>
      <c r="CN96" s="88"/>
      <c r="CO96" s="88"/>
      <c r="CP96" s="88"/>
      <c r="CQ96" s="88"/>
      <c r="CR96" s="88"/>
    </row>
    <row r="97" spans="14:96" ht="25.5" customHeight="1" x14ac:dyDescent="0.45">
      <c r="N97" s="87"/>
      <c r="O97" s="87"/>
      <c r="P97" s="87"/>
      <c r="Q97" s="87"/>
      <c r="R97" s="87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  <c r="AQ97" s="86"/>
      <c r="AR97" s="86"/>
      <c r="AS97" s="86"/>
      <c r="AT97" s="86"/>
      <c r="CB97" s="89">
        <v>44197</v>
      </c>
      <c r="CC97" s="85">
        <v>107</v>
      </c>
      <c r="CD97" s="85">
        <v>5</v>
      </c>
      <c r="CE97" s="85">
        <v>70</v>
      </c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88"/>
      <c r="CQ97" s="88"/>
      <c r="CR97" s="88"/>
    </row>
    <row r="98" spans="14:96" ht="25.5" customHeight="1" x14ac:dyDescent="0.45">
      <c r="N98" s="87"/>
      <c r="O98" s="87"/>
      <c r="P98" s="87"/>
      <c r="Q98" s="87"/>
      <c r="R98" s="87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  <c r="AQ98" s="86"/>
      <c r="AR98" s="86"/>
      <c r="AS98" s="86"/>
      <c r="AT98" s="86"/>
      <c r="CB98" s="89">
        <v>44228</v>
      </c>
      <c r="CC98" s="85">
        <v>107</v>
      </c>
      <c r="CD98" s="85">
        <v>5</v>
      </c>
      <c r="CE98" s="85">
        <v>70</v>
      </c>
      <c r="CF98" s="88"/>
      <c r="CG98" s="88"/>
      <c r="CH98" s="88"/>
      <c r="CI98" s="88"/>
      <c r="CJ98" s="88"/>
      <c r="CK98" s="88"/>
      <c r="CL98" s="88"/>
      <c r="CM98" s="88"/>
      <c r="CN98" s="88"/>
      <c r="CO98" s="88"/>
      <c r="CP98" s="88"/>
      <c r="CQ98" s="88"/>
      <c r="CR98" s="88"/>
    </row>
    <row r="99" spans="14:96" ht="25.5" customHeight="1" x14ac:dyDescent="0.45">
      <c r="N99" s="87"/>
      <c r="O99" s="87"/>
      <c r="P99" s="87"/>
      <c r="Q99" s="87"/>
      <c r="R99" s="87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  <c r="AQ99" s="86"/>
      <c r="AR99" s="86"/>
      <c r="AS99" s="86"/>
      <c r="AT99" s="86"/>
      <c r="CB99" s="89">
        <v>44256</v>
      </c>
      <c r="CC99" s="85"/>
      <c r="CD99" s="85"/>
      <c r="CE99" s="85"/>
      <c r="CF99" s="88"/>
      <c r="CG99" s="88"/>
      <c r="CH99" s="88"/>
      <c r="CI99" s="88"/>
      <c r="CJ99" s="88"/>
      <c r="CK99" s="88"/>
      <c r="CL99" s="88"/>
      <c r="CM99" s="88"/>
      <c r="CN99" s="88"/>
      <c r="CO99" s="88"/>
      <c r="CP99" s="88"/>
      <c r="CQ99" s="88"/>
      <c r="CR99" s="88"/>
    </row>
    <row r="100" spans="14:96" ht="25.5" customHeight="1" x14ac:dyDescent="0.45">
      <c r="N100" s="87"/>
      <c r="O100" s="87"/>
      <c r="P100" s="87"/>
      <c r="Q100" s="87"/>
      <c r="R100" s="87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  <c r="AQ100" s="86"/>
      <c r="AR100" s="86"/>
      <c r="AS100" s="86"/>
      <c r="AT100" s="86"/>
      <c r="CB100" s="89">
        <v>44287</v>
      </c>
      <c r="CC100" s="85"/>
      <c r="CD100" s="85"/>
      <c r="CE100" s="85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  <c r="CQ100" s="88"/>
      <c r="CR100" s="88"/>
    </row>
    <row r="101" spans="14:96" ht="25.5" customHeight="1" x14ac:dyDescent="0.45">
      <c r="N101" s="87"/>
      <c r="O101" s="87"/>
      <c r="P101" s="87"/>
      <c r="Q101" s="87"/>
      <c r="R101" s="87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  <c r="AQ101" s="86"/>
      <c r="AR101" s="86"/>
      <c r="AS101" s="86"/>
      <c r="AT101" s="86"/>
      <c r="CB101" s="89">
        <v>44317</v>
      </c>
      <c r="CC101" s="85"/>
      <c r="CD101" s="85"/>
      <c r="CE101" s="85"/>
      <c r="CF101" s="88"/>
      <c r="CG101" s="88"/>
      <c r="CH101" s="88"/>
      <c r="CI101" s="88"/>
      <c r="CJ101" s="88"/>
      <c r="CK101" s="88"/>
      <c r="CL101" s="88"/>
      <c r="CM101" s="88"/>
      <c r="CN101" s="88"/>
      <c r="CO101" s="88"/>
      <c r="CP101" s="88"/>
      <c r="CQ101" s="88"/>
      <c r="CR101" s="88"/>
    </row>
    <row r="102" spans="14:96" ht="25.5" customHeight="1" x14ac:dyDescent="0.45">
      <c r="N102" s="87"/>
      <c r="O102" s="87"/>
      <c r="P102" s="87"/>
      <c r="Q102" s="87"/>
      <c r="R102" s="87"/>
      <c r="AI102" s="86"/>
      <c r="AJ102" s="86"/>
      <c r="AK102" s="86"/>
      <c r="AL102" s="86"/>
      <c r="AM102" s="86"/>
      <c r="AN102" s="86"/>
      <c r="AO102" s="86"/>
      <c r="AP102" s="86"/>
      <c r="AQ102" s="86"/>
      <c r="AR102" s="86"/>
      <c r="AS102" s="86"/>
      <c r="AT102" s="86"/>
      <c r="CB102" s="89">
        <v>44348</v>
      </c>
      <c r="CC102" s="85"/>
      <c r="CD102" s="85"/>
      <c r="CE102" s="85"/>
      <c r="CF102" s="88"/>
      <c r="CG102" s="88"/>
      <c r="CH102" s="88"/>
      <c r="CI102" s="88"/>
      <c r="CJ102" s="88"/>
      <c r="CK102" s="88"/>
      <c r="CL102" s="88"/>
      <c r="CM102" s="88"/>
      <c r="CN102" s="88"/>
      <c r="CO102" s="88"/>
      <c r="CP102" s="88"/>
      <c r="CQ102" s="88"/>
      <c r="CR102" s="88"/>
    </row>
    <row r="103" spans="14:96" ht="25.5" customHeight="1" x14ac:dyDescent="0.45">
      <c r="N103" s="87"/>
      <c r="O103" s="87"/>
      <c r="P103" s="87"/>
      <c r="Q103" s="87"/>
      <c r="R103" s="87"/>
      <c r="AI103" s="86"/>
      <c r="AJ103" s="86"/>
      <c r="AK103" s="86"/>
      <c r="AL103" s="86"/>
      <c r="AM103" s="86"/>
      <c r="AN103" s="86"/>
      <c r="AO103" s="86"/>
      <c r="AP103" s="86"/>
      <c r="AQ103" s="86"/>
      <c r="AR103" s="86"/>
      <c r="AS103" s="86"/>
      <c r="AT103" s="86"/>
      <c r="CB103" s="89">
        <v>44378</v>
      </c>
      <c r="CC103" s="85"/>
      <c r="CD103" s="85"/>
      <c r="CE103" s="85"/>
      <c r="CF103" s="88"/>
      <c r="CG103" s="88"/>
      <c r="CH103" s="88"/>
      <c r="CI103" s="88"/>
      <c r="CJ103" s="88"/>
      <c r="CK103" s="88"/>
      <c r="CL103" s="88"/>
      <c r="CM103" s="88"/>
      <c r="CN103" s="88"/>
      <c r="CO103" s="88"/>
      <c r="CP103" s="88"/>
      <c r="CQ103" s="88"/>
      <c r="CR103" s="88"/>
    </row>
    <row r="104" spans="14:96" ht="25.5" customHeight="1" x14ac:dyDescent="0.45">
      <c r="N104" s="87"/>
      <c r="O104" s="87"/>
      <c r="P104" s="87"/>
      <c r="Q104" s="87"/>
      <c r="R104" s="87"/>
      <c r="AI104" s="86"/>
      <c r="AJ104" s="86"/>
      <c r="AK104" s="86"/>
      <c r="AL104" s="86"/>
      <c r="AM104" s="86"/>
      <c r="AN104" s="86"/>
      <c r="AO104" s="86"/>
      <c r="AP104" s="86"/>
      <c r="AQ104" s="86"/>
      <c r="AR104" s="86"/>
      <c r="AS104" s="86"/>
      <c r="AT104" s="86"/>
      <c r="CB104" s="89">
        <v>44409</v>
      </c>
      <c r="CC104" s="85"/>
      <c r="CD104" s="85"/>
      <c r="CE104" s="85"/>
      <c r="CF104" s="88"/>
      <c r="CG104" s="88"/>
      <c r="CH104" s="88"/>
      <c r="CI104" s="88"/>
      <c r="CJ104" s="88"/>
      <c r="CK104" s="88"/>
      <c r="CL104" s="88"/>
      <c r="CM104" s="88"/>
      <c r="CN104" s="88"/>
      <c r="CO104" s="88"/>
      <c r="CP104" s="88"/>
      <c r="CQ104" s="88"/>
      <c r="CR104" s="88"/>
    </row>
    <row r="105" spans="14:96" ht="25.5" customHeight="1" x14ac:dyDescent="0.45">
      <c r="N105" s="87"/>
      <c r="O105" s="87"/>
      <c r="P105" s="87"/>
      <c r="Q105" s="87"/>
      <c r="R105" s="87"/>
      <c r="AI105" s="86"/>
      <c r="AJ105" s="86"/>
      <c r="AK105" s="86"/>
      <c r="AL105" s="86"/>
      <c r="AM105" s="86"/>
      <c r="AN105" s="86"/>
      <c r="AO105" s="86"/>
      <c r="AP105" s="86"/>
      <c r="AQ105" s="86"/>
      <c r="AR105" s="86"/>
      <c r="AS105" s="86"/>
      <c r="AT105" s="86"/>
      <c r="CB105" s="89">
        <v>44440</v>
      </c>
      <c r="CC105" s="85"/>
      <c r="CD105" s="85"/>
      <c r="CE105" s="85"/>
      <c r="CF105" s="88"/>
      <c r="CG105" s="88"/>
      <c r="CH105" s="88"/>
      <c r="CI105" s="88"/>
      <c r="CJ105" s="88"/>
      <c r="CK105" s="88"/>
      <c r="CL105" s="88"/>
      <c r="CM105" s="88"/>
      <c r="CN105" s="88"/>
      <c r="CO105" s="88"/>
      <c r="CP105" s="88"/>
      <c r="CQ105" s="88"/>
      <c r="CR105" s="88"/>
    </row>
    <row r="106" spans="14:96" ht="25.5" customHeight="1" x14ac:dyDescent="0.45">
      <c r="N106" s="87"/>
      <c r="O106" s="87"/>
      <c r="P106" s="87"/>
      <c r="Q106" s="87"/>
      <c r="R106" s="87"/>
      <c r="AI106" s="86"/>
      <c r="AJ106" s="86"/>
      <c r="AK106" s="86"/>
      <c r="AL106" s="86"/>
      <c r="AM106" s="86"/>
      <c r="AN106" s="86"/>
      <c r="AO106" s="86"/>
      <c r="AP106" s="86"/>
      <c r="AQ106" s="86"/>
      <c r="AR106" s="86"/>
      <c r="AS106" s="86"/>
      <c r="AT106" s="86"/>
      <c r="CB106" s="89">
        <v>44470</v>
      </c>
      <c r="CC106" s="85"/>
      <c r="CD106" s="85"/>
      <c r="CE106" s="85"/>
      <c r="CF106" s="88"/>
      <c r="CG106" s="88"/>
      <c r="CH106" s="88"/>
      <c r="CI106" s="88"/>
      <c r="CJ106" s="88"/>
      <c r="CK106" s="88"/>
      <c r="CL106" s="88"/>
      <c r="CM106" s="88"/>
      <c r="CN106" s="88"/>
      <c r="CO106" s="88"/>
      <c r="CP106" s="88"/>
      <c r="CQ106" s="88"/>
      <c r="CR106" s="88"/>
    </row>
    <row r="107" spans="14:96" ht="25.5" customHeight="1" x14ac:dyDescent="0.45">
      <c r="N107" s="87"/>
      <c r="O107" s="87"/>
      <c r="P107" s="87"/>
      <c r="Q107" s="87"/>
      <c r="R107" s="87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  <c r="AQ107" s="86"/>
      <c r="AR107" s="86"/>
      <c r="AS107" s="86"/>
      <c r="AT107" s="86"/>
      <c r="CB107" s="89">
        <v>44501</v>
      </c>
      <c r="CC107" s="85"/>
      <c r="CD107" s="85"/>
      <c r="CE107" s="85"/>
      <c r="CF107" s="88"/>
      <c r="CG107" s="88"/>
      <c r="CH107" s="88"/>
      <c r="CI107" s="88"/>
      <c r="CJ107" s="88"/>
      <c r="CK107" s="88"/>
      <c r="CL107" s="88"/>
      <c r="CM107" s="88"/>
      <c r="CN107" s="88"/>
      <c r="CO107" s="88"/>
      <c r="CP107" s="88"/>
      <c r="CQ107" s="88"/>
      <c r="CR107" s="88"/>
    </row>
    <row r="108" spans="14:96" ht="25.5" customHeight="1" x14ac:dyDescent="0.45">
      <c r="N108" s="87"/>
      <c r="O108" s="87"/>
      <c r="P108" s="87"/>
      <c r="Q108" s="87"/>
      <c r="R108" s="87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  <c r="AQ108" s="86"/>
      <c r="AR108" s="86"/>
      <c r="AS108" s="86"/>
      <c r="AT108" s="86"/>
      <c r="CB108" s="89">
        <v>44531</v>
      </c>
      <c r="CC108" s="85"/>
      <c r="CD108" s="85"/>
      <c r="CE108" s="85"/>
      <c r="CF108" s="88"/>
      <c r="CG108" s="88"/>
      <c r="CH108" s="88"/>
      <c r="CI108" s="88"/>
      <c r="CJ108" s="88"/>
      <c r="CK108" s="88"/>
      <c r="CL108" s="88"/>
      <c r="CM108" s="88"/>
      <c r="CN108" s="88"/>
      <c r="CO108" s="88"/>
      <c r="CP108" s="88"/>
      <c r="CQ108" s="88"/>
      <c r="CR108" s="88"/>
    </row>
    <row r="109" spans="14:96" ht="25.5" customHeight="1" x14ac:dyDescent="0.45">
      <c r="N109" s="87"/>
      <c r="O109" s="87"/>
      <c r="P109" s="87"/>
      <c r="Q109" s="87"/>
      <c r="R109" s="87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  <c r="AQ109" s="86"/>
      <c r="AR109" s="86"/>
      <c r="AS109" s="86"/>
      <c r="AT109" s="86"/>
      <c r="CB109" s="88"/>
      <c r="CC109" s="88"/>
      <c r="CD109" s="88"/>
      <c r="CE109" s="88"/>
      <c r="CF109" s="88"/>
      <c r="CG109" s="88"/>
      <c r="CH109" s="88"/>
      <c r="CI109" s="88"/>
      <c r="CJ109" s="88"/>
      <c r="CK109" s="88"/>
      <c r="CL109" s="88"/>
      <c r="CM109" s="88"/>
      <c r="CN109" s="88"/>
      <c r="CO109" s="88"/>
      <c r="CP109" s="88"/>
      <c r="CQ109" s="88"/>
      <c r="CR109" s="88"/>
    </row>
    <row r="110" spans="14:96" ht="25.5" customHeight="1" x14ac:dyDescent="0.45">
      <c r="N110" s="87"/>
      <c r="O110" s="87"/>
      <c r="P110" s="87"/>
      <c r="Q110" s="87"/>
      <c r="R110" s="87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  <c r="AQ110" s="86"/>
      <c r="AR110" s="86"/>
      <c r="AS110" s="86"/>
      <c r="AT110" s="86"/>
      <c r="CB110" s="88"/>
      <c r="CC110" s="88"/>
      <c r="CD110" s="88"/>
      <c r="CE110" s="88"/>
      <c r="CF110" s="88"/>
      <c r="CG110" s="88"/>
      <c r="CH110" s="88"/>
      <c r="CI110" s="88"/>
      <c r="CJ110" s="88"/>
      <c r="CK110" s="88"/>
      <c r="CL110" s="88"/>
      <c r="CM110" s="88"/>
      <c r="CN110" s="88"/>
      <c r="CO110" s="88"/>
      <c r="CP110" s="88"/>
      <c r="CQ110" s="88"/>
      <c r="CR110" s="88"/>
    </row>
    <row r="111" spans="14:96" ht="25.5" customHeight="1" x14ac:dyDescent="0.4">
      <c r="N111" s="87"/>
      <c r="O111" s="87"/>
      <c r="P111" s="87"/>
      <c r="Q111" s="87"/>
      <c r="R111" s="87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  <c r="AQ111" s="86"/>
      <c r="AR111" s="86"/>
      <c r="AS111" s="86"/>
      <c r="AT111" s="86"/>
    </row>
    <row r="112" spans="14:96" ht="25.5" customHeight="1" x14ac:dyDescent="0.4">
      <c r="N112" s="87"/>
      <c r="O112" s="87"/>
      <c r="P112" s="87"/>
      <c r="Q112" s="87"/>
      <c r="R112" s="87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  <c r="AQ112" s="86"/>
      <c r="AR112" s="86"/>
      <c r="AS112" s="86"/>
      <c r="AT112" s="86"/>
    </row>
    <row r="113" spans="14:46" ht="25.5" customHeight="1" x14ac:dyDescent="0.4">
      <c r="N113" s="87"/>
      <c r="O113" s="87"/>
      <c r="P113" s="87"/>
      <c r="Q113" s="87"/>
      <c r="R113" s="87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  <c r="AQ113" s="86"/>
      <c r="AR113" s="86"/>
      <c r="AS113" s="86"/>
      <c r="AT113" s="86"/>
    </row>
    <row r="114" spans="14:46" ht="25.5" customHeight="1" x14ac:dyDescent="0.4">
      <c r="N114" s="87"/>
      <c r="O114" s="87"/>
      <c r="P114" s="87"/>
      <c r="Q114" s="87"/>
      <c r="R114" s="87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  <c r="AQ114" s="86"/>
      <c r="AR114" s="86"/>
      <c r="AS114" s="86"/>
      <c r="AT114" s="86"/>
    </row>
    <row r="115" spans="14:46" ht="25.5" customHeight="1" x14ac:dyDescent="0.4">
      <c r="N115" s="87"/>
      <c r="O115" s="87"/>
      <c r="P115" s="87"/>
      <c r="Q115" s="87"/>
      <c r="R115" s="87"/>
      <c r="AF115" s="86"/>
      <c r="AG115" s="86"/>
      <c r="AH115" s="86"/>
      <c r="AI115" s="86"/>
      <c r="AJ115" s="86"/>
      <c r="AO115" s="86"/>
      <c r="AP115" s="86"/>
      <c r="AQ115" s="86"/>
      <c r="AR115" s="86"/>
      <c r="AS115" s="86"/>
      <c r="AT115" s="86"/>
    </row>
    <row r="116" spans="14:46" ht="25.5" customHeight="1" x14ac:dyDescent="0.4">
      <c r="N116" s="87"/>
      <c r="O116" s="87"/>
      <c r="P116" s="87"/>
      <c r="Q116" s="87"/>
      <c r="R116" s="87"/>
      <c r="AF116" s="86"/>
      <c r="AG116" s="86"/>
      <c r="AH116" s="86"/>
      <c r="AI116" s="86"/>
      <c r="AJ116" s="86"/>
      <c r="AO116" s="86"/>
      <c r="AP116" s="86"/>
      <c r="AQ116" s="86"/>
      <c r="AR116" s="86"/>
      <c r="AS116" s="86"/>
      <c r="AT116" s="86"/>
    </row>
    <row r="117" spans="14:46" ht="25.5" customHeight="1" x14ac:dyDescent="0.4">
      <c r="N117" s="87"/>
      <c r="O117" s="87"/>
      <c r="P117" s="87"/>
      <c r="Q117" s="87"/>
      <c r="R117" s="87"/>
      <c r="AF117" s="86"/>
      <c r="AG117" s="86"/>
      <c r="AH117" s="86"/>
      <c r="AI117" s="86"/>
      <c r="AJ117" s="86"/>
      <c r="AO117" s="86"/>
      <c r="AP117" s="86"/>
      <c r="AQ117" s="86"/>
      <c r="AR117" s="86"/>
      <c r="AS117" s="86"/>
      <c r="AT117" s="86"/>
    </row>
    <row r="118" spans="14:46" ht="25.5" customHeight="1" x14ac:dyDescent="0.4">
      <c r="N118" s="87"/>
      <c r="O118" s="87"/>
      <c r="P118" s="87"/>
      <c r="Q118" s="87"/>
      <c r="R118" s="87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  <c r="AQ118" s="86"/>
      <c r="AR118" s="86"/>
      <c r="AS118" s="86"/>
      <c r="AT118" s="86"/>
    </row>
    <row r="119" spans="14:46" ht="25.5" customHeight="1" x14ac:dyDescent="0.4">
      <c r="N119" s="87"/>
      <c r="O119" s="87"/>
      <c r="P119" s="87"/>
      <c r="Q119" s="87"/>
      <c r="R119" s="87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  <c r="AQ119" s="86"/>
      <c r="AR119" s="86"/>
      <c r="AS119" s="86"/>
      <c r="AT119" s="86"/>
    </row>
    <row r="120" spans="14:46" ht="25.5" customHeight="1" x14ac:dyDescent="0.4">
      <c r="N120" s="87"/>
      <c r="O120" s="87"/>
      <c r="P120" s="87"/>
      <c r="Q120" s="87"/>
      <c r="R120" s="87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  <c r="AQ120" s="86"/>
      <c r="AR120" s="86"/>
      <c r="AS120" s="86"/>
      <c r="AT120" s="86"/>
    </row>
    <row r="121" spans="14:46" ht="25.5" customHeight="1" x14ac:dyDescent="0.4">
      <c r="N121" s="87"/>
      <c r="O121" s="87"/>
      <c r="P121" s="87"/>
      <c r="Q121" s="87"/>
      <c r="R121" s="87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  <c r="AQ121" s="86"/>
      <c r="AR121" s="86"/>
      <c r="AS121" s="86"/>
      <c r="AT121" s="86"/>
    </row>
    <row r="122" spans="14:46" ht="25.5" customHeight="1" x14ac:dyDescent="0.4">
      <c r="N122" s="87"/>
      <c r="O122" s="87"/>
      <c r="P122" s="87"/>
      <c r="Q122" s="87"/>
      <c r="R122" s="87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  <c r="AQ122" s="86"/>
      <c r="AR122" s="86"/>
      <c r="AS122" s="86"/>
      <c r="AT122" s="86"/>
    </row>
    <row r="123" spans="14:46" ht="25.5" customHeight="1" x14ac:dyDescent="0.4">
      <c r="N123" s="87"/>
      <c r="O123" s="87"/>
      <c r="P123" s="87"/>
      <c r="Q123" s="87"/>
      <c r="R123" s="87"/>
      <c r="AF123" s="86"/>
      <c r="AG123" s="86"/>
      <c r="AH123" s="86"/>
      <c r="AI123" s="86"/>
      <c r="AJ123" s="86"/>
      <c r="AK123" s="90" t="s">
        <v>63</v>
      </c>
      <c r="AL123" s="86"/>
      <c r="AM123" s="86"/>
      <c r="AN123" s="86"/>
      <c r="AO123" s="86"/>
      <c r="AP123" s="86"/>
      <c r="AQ123" s="86"/>
      <c r="AR123" s="86"/>
      <c r="AS123" s="86"/>
      <c r="AT123" s="86"/>
    </row>
    <row r="124" spans="14:46" ht="25.5" customHeight="1" x14ac:dyDescent="0.4">
      <c r="N124" s="87"/>
      <c r="O124" s="87"/>
      <c r="P124" s="87"/>
      <c r="Q124" s="87"/>
      <c r="R124" s="87"/>
      <c r="AF124" s="86"/>
      <c r="AG124" s="86"/>
      <c r="AH124" s="86"/>
      <c r="AI124" s="86"/>
      <c r="AJ124" s="86"/>
      <c r="AK124" s="91" t="s">
        <v>64</v>
      </c>
      <c r="AL124" s="86" t="s">
        <v>65</v>
      </c>
      <c r="AM124" s="86"/>
      <c r="AN124" s="86"/>
      <c r="AO124" s="86"/>
      <c r="AP124" s="86"/>
      <c r="AQ124" s="86"/>
      <c r="AR124" s="86"/>
      <c r="AS124" s="86"/>
      <c r="AT124" s="86"/>
    </row>
    <row r="125" spans="14:46" ht="25.5" customHeight="1" x14ac:dyDescent="0.4">
      <c r="N125" s="87"/>
      <c r="O125" s="87"/>
      <c r="P125" s="87"/>
      <c r="Q125" s="87"/>
      <c r="R125" s="87"/>
      <c r="AF125" s="86"/>
      <c r="AG125" s="86"/>
      <c r="AH125" s="86"/>
      <c r="AI125" s="86"/>
      <c r="AJ125" s="86"/>
      <c r="AK125" s="92"/>
      <c r="AL125" s="86" t="s">
        <v>66</v>
      </c>
      <c r="AM125" s="86"/>
      <c r="AN125" s="86"/>
      <c r="AO125" s="86"/>
      <c r="AP125" s="86"/>
      <c r="AQ125" s="86"/>
      <c r="AR125" s="86"/>
      <c r="AS125" s="86"/>
      <c r="AT125" s="86"/>
    </row>
    <row r="126" spans="14:46" ht="25.5" customHeight="1" x14ac:dyDescent="0.4">
      <c r="N126" s="87"/>
      <c r="O126" s="87"/>
      <c r="P126" s="87"/>
      <c r="Q126" s="87"/>
      <c r="R126" s="87"/>
      <c r="AF126" s="86"/>
      <c r="AG126" s="86"/>
      <c r="AH126" s="86"/>
      <c r="AI126" s="86"/>
      <c r="AJ126" s="86"/>
      <c r="AK126" s="93"/>
      <c r="AL126" s="86" t="s">
        <v>67</v>
      </c>
      <c r="AM126" s="86"/>
      <c r="AN126" s="86"/>
      <c r="AO126" s="86"/>
      <c r="AP126" s="86"/>
      <c r="AQ126" s="86"/>
      <c r="AR126" s="86"/>
      <c r="AS126" s="86"/>
      <c r="AT126" s="86"/>
    </row>
    <row r="127" spans="14:46" ht="25.5" customHeight="1" x14ac:dyDescent="0.4">
      <c r="N127" s="87"/>
      <c r="O127" s="87"/>
      <c r="P127" s="87"/>
      <c r="Q127" s="87"/>
      <c r="R127" s="87"/>
      <c r="AF127" s="86"/>
      <c r="AG127" s="86"/>
      <c r="AH127" s="86"/>
      <c r="AI127" s="86"/>
      <c r="AJ127" s="86"/>
      <c r="AK127" s="94"/>
      <c r="AL127" s="86" t="s">
        <v>68</v>
      </c>
      <c r="AM127" s="86"/>
      <c r="AN127" s="86"/>
      <c r="AO127" s="86"/>
      <c r="AP127" s="86"/>
      <c r="AQ127" s="86"/>
      <c r="AR127" s="86"/>
      <c r="AS127" s="86"/>
      <c r="AT127" s="86"/>
    </row>
    <row r="128" spans="14:46" ht="25.5" customHeight="1" x14ac:dyDescent="0.4">
      <c r="N128" s="87"/>
      <c r="O128" s="87"/>
      <c r="P128" s="87"/>
      <c r="Q128" s="87"/>
      <c r="R128" s="87"/>
      <c r="AF128" s="86"/>
      <c r="AG128" s="86"/>
      <c r="AH128" s="86"/>
      <c r="AI128" s="86"/>
      <c r="AJ128" s="86"/>
      <c r="AK128" s="95"/>
      <c r="AL128" s="86" t="s">
        <v>69</v>
      </c>
      <c r="AM128" s="86"/>
      <c r="AN128" s="86"/>
      <c r="AO128" s="86"/>
      <c r="AP128" s="86"/>
      <c r="AQ128" s="86"/>
      <c r="AR128" s="86"/>
      <c r="AS128" s="86"/>
      <c r="AT128" s="86"/>
    </row>
    <row r="129" spans="1:83" ht="25.5" customHeight="1" x14ac:dyDescent="0.4">
      <c r="N129" s="87"/>
      <c r="O129" s="87"/>
      <c r="P129" s="87"/>
      <c r="Q129" s="87"/>
      <c r="R129" s="87"/>
      <c r="AF129" s="86"/>
      <c r="AG129" s="86"/>
      <c r="AH129" s="86"/>
      <c r="AI129" s="86"/>
      <c r="AJ129" s="86"/>
      <c r="AK129" s="96"/>
      <c r="AL129" s="86" t="s">
        <v>70</v>
      </c>
      <c r="AM129" s="86"/>
      <c r="AN129" s="86"/>
      <c r="AO129" s="86"/>
      <c r="AP129" s="86"/>
      <c r="AQ129" s="86"/>
      <c r="AR129" s="86"/>
      <c r="AS129" s="86"/>
      <c r="AT129" s="86"/>
    </row>
    <row r="130" spans="1:83" ht="25.5" customHeight="1" x14ac:dyDescent="0.4">
      <c r="N130" s="87"/>
      <c r="O130" s="87"/>
      <c r="P130" s="87"/>
      <c r="Q130" s="87"/>
      <c r="R130" s="87"/>
      <c r="AF130" s="86"/>
      <c r="AG130" s="86"/>
      <c r="AH130" s="86"/>
      <c r="AI130" s="86"/>
      <c r="AJ130" s="86"/>
      <c r="AK130" s="97"/>
      <c r="AL130" s="86" t="s">
        <v>71</v>
      </c>
      <c r="AM130" s="86"/>
      <c r="AN130" s="86"/>
      <c r="AO130" s="86"/>
      <c r="AP130" s="86"/>
      <c r="AQ130" s="86"/>
      <c r="AR130" s="86"/>
      <c r="AS130" s="86"/>
      <c r="AT130" s="86"/>
    </row>
    <row r="131" spans="1:83" ht="25.5" customHeight="1" x14ac:dyDescent="0.4">
      <c r="N131" s="87"/>
      <c r="O131" s="87"/>
      <c r="P131" s="87"/>
      <c r="Q131" s="87"/>
      <c r="R131" s="87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  <c r="AQ131" s="86"/>
      <c r="AR131" s="86"/>
      <c r="AS131" s="86"/>
      <c r="AT131" s="86"/>
    </row>
    <row r="132" spans="1:83" s="105" customFormat="1" ht="40.5" customHeight="1" x14ac:dyDescent="0.4">
      <c r="A132" s="98"/>
      <c r="B132" s="98"/>
      <c r="C132" s="164" t="s">
        <v>72</v>
      </c>
      <c r="D132" s="166"/>
      <c r="E132" s="99"/>
      <c r="F132" s="98"/>
      <c r="G132" s="98"/>
      <c r="H132" s="98"/>
      <c r="I132" s="99"/>
      <c r="J132" s="98"/>
      <c r="K132" s="98"/>
      <c r="L132" s="164" t="s">
        <v>73</v>
      </c>
      <c r="M132" s="166"/>
      <c r="N132" s="167" t="s">
        <v>74</v>
      </c>
      <c r="O132" s="168"/>
      <c r="P132" s="98"/>
      <c r="Q132" s="98"/>
      <c r="R132" s="99"/>
      <c r="S132" s="99"/>
      <c r="T132" s="169" t="s">
        <v>75</v>
      </c>
      <c r="U132" s="170"/>
      <c r="V132" s="170"/>
      <c r="W132" s="170"/>
      <c r="X132" s="171"/>
      <c r="Y132" s="98"/>
      <c r="Z132" s="100"/>
      <c r="AA132" s="172" t="s">
        <v>76</v>
      </c>
      <c r="AB132" s="173"/>
      <c r="AC132" s="174"/>
      <c r="AD132" s="164" t="s">
        <v>77</v>
      </c>
      <c r="AE132" s="166"/>
      <c r="AF132" s="98"/>
      <c r="AG132" s="101" t="s">
        <v>78</v>
      </c>
      <c r="AH132" s="98"/>
      <c r="AI132" s="164" t="s">
        <v>55</v>
      </c>
      <c r="AJ132" s="165"/>
      <c r="AK132" s="165"/>
      <c r="AL132" s="165"/>
      <c r="AM132" s="166"/>
      <c r="AN132" s="102"/>
      <c r="AO132" s="98"/>
      <c r="AP132" s="103"/>
      <c r="AQ132" s="103"/>
      <c r="AR132" s="103"/>
      <c r="AS132" s="104"/>
      <c r="AT132" s="104"/>
      <c r="CE132" s="86"/>
    </row>
    <row r="133" spans="1:83" s="105" customFormat="1" ht="84" customHeight="1" x14ac:dyDescent="0.3">
      <c r="A133" s="106" t="s">
        <v>2</v>
      </c>
      <c r="B133" s="106" t="s">
        <v>79</v>
      </c>
      <c r="C133" s="107" t="s">
        <v>80</v>
      </c>
      <c r="D133" s="107" t="s">
        <v>2</v>
      </c>
      <c r="E133" s="108" t="s">
        <v>81</v>
      </c>
      <c r="F133" s="106" t="s">
        <v>82</v>
      </c>
      <c r="G133" s="106" t="s">
        <v>83</v>
      </c>
      <c r="H133" s="106" t="s">
        <v>84</v>
      </c>
      <c r="I133" s="108" t="s">
        <v>85</v>
      </c>
      <c r="J133" s="106" t="s">
        <v>86</v>
      </c>
      <c r="K133" s="106" t="s">
        <v>87</v>
      </c>
      <c r="L133" s="107" t="s">
        <v>88</v>
      </c>
      <c r="M133" s="107" t="s">
        <v>89</v>
      </c>
      <c r="N133" s="109" t="s">
        <v>90</v>
      </c>
      <c r="O133" s="109" t="s">
        <v>91</v>
      </c>
      <c r="P133" s="106" t="s">
        <v>92</v>
      </c>
      <c r="Q133" s="106" t="s">
        <v>93</v>
      </c>
      <c r="R133" s="108" t="s">
        <v>94</v>
      </c>
      <c r="S133" s="108" t="s">
        <v>95</v>
      </c>
      <c r="T133" s="110" t="s">
        <v>96</v>
      </c>
      <c r="U133" s="110" t="s">
        <v>97</v>
      </c>
      <c r="V133" s="110" t="s">
        <v>98</v>
      </c>
      <c r="W133" s="110" t="s">
        <v>99</v>
      </c>
      <c r="X133" s="110" t="s">
        <v>100</v>
      </c>
      <c r="Y133" s="106" t="s">
        <v>101</v>
      </c>
      <c r="Z133" s="106" t="s">
        <v>102</v>
      </c>
      <c r="AA133" s="107">
        <v>1</v>
      </c>
      <c r="AB133" s="107">
        <v>2</v>
      </c>
      <c r="AC133" s="107">
        <v>3</v>
      </c>
      <c r="AD133" s="111" t="s">
        <v>103</v>
      </c>
      <c r="AE133" s="111" t="s">
        <v>104</v>
      </c>
      <c r="AF133" s="112" t="s">
        <v>105</v>
      </c>
      <c r="AG133" s="112" t="s">
        <v>106</v>
      </c>
      <c r="AH133" s="112" t="s">
        <v>45</v>
      </c>
      <c r="AI133" s="107" t="s">
        <v>34</v>
      </c>
      <c r="AJ133" s="107" t="s">
        <v>42</v>
      </c>
      <c r="AK133" s="107" t="s">
        <v>38</v>
      </c>
      <c r="AL133" s="107" t="s">
        <v>32</v>
      </c>
      <c r="AM133" s="107" t="s">
        <v>44</v>
      </c>
      <c r="AN133" s="106" t="s">
        <v>107</v>
      </c>
      <c r="AO133" s="106" t="s">
        <v>108</v>
      </c>
      <c r="AP133" s="104"/>
      <c r="AQ133" s="104"/>
      <c r="AR133" s="104"/>
      <c r="AS133" s="104"/>
      <c r="AT133" s="104"/>
    </row>
    <row r="134" spans="1:83" s="124" customFormat="1" ht="111.95" customHeight="1" x14ac:dyDescent="0.25">
      <c r="A134" s="113">
        <v>1</v>
      </c>
      <c r="B134" s="113" t="s">
        <v>109</v>
      </c>
      <c r="C134" s="114"/>
      <c r="D134" s="113"/>
      <c r="E134" s="113"/>
      <c r="F134" s="115" t="s">
        <v>110</v>
      </c>
      <c r="G134" s="116" t="s">
        <v>111</v>
      </c>
      <c r="H134" s="116" t="s">
        <v>112</v>
      </c>
      <c r="I134" s="117" t="s">
        <v>113</v>
      </c>
      <c r="J134" s="116" t="s">
        <v>114</v>
      </c>
      <c r="K134" s="116" t="s">
        <v>115</v>
      </c>
      <c r="L134" s="118">
        <v>49200000</v>
      </c>
      <c r="M134" s="118" t="s">
        <v>116</v>
      </c>
      <c r="N134" s="119">
        <v>44287</v>
      </c>
      <c r="O134" s="119">
        <v>44347</v>
      </c>
      <c r="P134" s="120">
        <f>(O134-N134)/365</f>
        <v>0.16438356164383561</v>
      </c>
      <c r="Q134" s="114" t="s">
        <v>29</v>
      </c>
      <c r="R134" s="114" t="s">
        <v>117</v>
      </c>
      <c r="S134" s="114" t="str">
        <f>IF(R134="End","Z",IF(R134="Cancel","C",IF(SUM(R134)&gt;0,"O",IF(ISBLANK(R134),"X",IF(SUM(R134)&lt;0,"Y",IF(SUM(R134),"-","O"))))))</f>
        <v>Z</v>
      </c>
      <c r="T134" s="121">
        <v>1</v>
      </c>
      <c r="U134" s="121">
        <v>3</v>
      </c>
      <c r="V134" s="121">
        <v>1</v>
      </c>
      <c r="W134" s="121">
        <f t="shared" ref="W134:W238" si="37">T134+U134+V134</f>
        <v>5</v>
      </c>
      <c r="X134" s="121" t="str">
        <f t="shared" ref="X134:X238" si="38">IF(W134&gt;5,"Penting",IF(ISBLANK(W134),"","Biasa"))</f>
        <v>Biasa</v>
      </c>
      <c r="Y134" s="115"/>
      <c r="Z134" s="115"/>
      <c r="AA134" s="119"/>
      <c r="AB134" s="119"/>
      <c r="AC134" s="119"/>
      <c r="AD134" s="26" t="s">
        <v>16</v>
      </c>
      <c r="AE134" s="122">
        <v>44349</v>
      </c>
      <c r="AF134" s="114" t="s">
        <v>118</v>
      </c>
      <c r="AG134" s="114" t="s">
        <v>119</v>
      </c>
      <c r="AH134" s="26"/>
      <c r="AI134" s="26"/>
      <c r="AJ134" s="26"/>
      <c r="AK134" s="26"/>
      <c r="AL134" s="26"/>
      <c r="AM134" s="26"/>
      <c r="AN134" s="26"/>
      <c r="AO134" s="123"/>
      <c r="AP134" s="4"/>
      <c r="AQ134" s="4"/>
      <c r="AR134" s="4"/>
      <c r="AS134" s="4"/>
      <c r="AT134" s="4"/>
    </row>
    <row r="135" spans="1:83" s="124" customFormat="1" ht="111.95" customHeight="1" x14ac:dyDescent="0.25">
      <c r="A135" s="113">
        <v>2</v>
      </c>
      <c r="B135" s="113" t="s">
        <v>109</v>
      </c>
      <c r="C135" s="114" t="s">
        <v>120</v>
      </c>
      <c r="D135" s="113">
        <v>1</v>
      </c>
      <c r="E135" s="113" t="s">
        <v>121</v>
      </c>
      <c r="F135" s="115" t="s">
        <v>110</v>
      </c>
      <c r="G135" s="116" t="s">
        <v>122</v>
      </c>
      <c r="H135" s="116" t="s">
        <v>123</v>
      </c>
      <c r="I135" s="117" t="s">
        <v>113</v>
      </c>
      <c r="J135" s="116" t="s">
        <v>114</v>
      </c>
      <c r="K135" s="116" t="s">
        <v>115</v>
      </c>
      <c r="L135" s="118">
        <v>295000000</v>
      </c>
      <c r="M135" s="118" t="s">
        <v>124</v>
      </c>
      <c r="N135" s="119">
        <v>44409</v>
      </c>
      <c r="O135" s="119">
        <v>44773</v>
      </c>
      <c r="P135" s="120">
        <f>(O135-N135)/365</f>
        <v>0.99726027397260275</v>
      </c>
      <c r="Q135" s="114" t="s">
        <v>29</v>
      </c>
      <c r="R135" s="114">
        <f ca="1">(O135-NOW()+1)/31</f>
        <v>-2.5357829786439505</v>
      </c>
      <c r="S135" s="114" t="str">
        <f ca="1">IF(R135="End","Z",IF(R135="Cancel","C",IF(SUM(R135)&gt;0,"O",IF(ISBLANK(R135),"X",IF(SUM(R135)&lt;0,"Y",IF(SUM(R135),"-","O"))))))</f>
        <v>Y</v>
      </c>
      <c r="T135" s="121">
        <v>1</v>
      </c>
      <c r="U135" s="121">
        <v>3</v>
      </c>
      <c r="V135" s="121">
        <v>1</v>
      </c>
      <c r="W135" s="121">
        <f t="shared" si="37"/>
        <v>5</v>
      </c>
      <c r="X135" s="121" t="str">
        <f t="shared" si="38"/>
        <v>Biasa</v>
      </c>
      <c r="Y135" s="115"/>
      <c r="Z135" s="125"/>
      <c r="AA135" s="119"/>
      <c r="AB135" s="119"/>
      <c r="AC135" s="119"/>
      <c r="AD135" s="26" t="s">
        <v>125</v>
      </c>
      <c r="AE135" s="122">
        <v>44407</v>
      </c>
      <c r="AF135" s="114" t="s">
        <v>118</v>
      </c>
      <c r="AG135" s="114" t="s">
        <v>119</v>
      </c>
      <c r="AH135" s="26"/>
      <c r="AI135" s="26"/>
      <c r="AJ135" s="26"/>
      <c r="AK135" s="26"/>
      <c r="AL135" s="26"/>
      <c r="AM135" s="26"/>
      <c r="AN135" s="34" t="s">
        <v>126</v>
      </c>
      <c r="AO135" s="123">
        <v>44407</v>
      </c>
      <c r="AP135" s="4"/>
      <c r="AQ135" s="4"/>
      <c r="AR135" s="4"/>
      <c r="AS135" s="4"/>
      <c r="AT135" s="4"/>
    </row>
    <row r="136" spans="1:83" s="124" customFormat="1" ht="111.95" customHeight="1" x14ac:dyDescent="0.25">
      <c r="A136" s="113">
        <v>3</v>
      </c>
      <c r="B136" s="113" t="s">
        <v>109</v>
      </c>
      <c r="C136" s="114"/>
      <c r="D136" s="113"/>
      <c r="E136" s="113"/>
      <c r="F136" s="115" t="s">
        <v>110</v>
      </c>
      <c r="G136" s="116" t="s">
        <v>127</v>
      </c>
      <c r="H136" s="116" t="s">
        <v>112</v>
      </c>
      <c r="I136" s="117" t="s">
        <v>113</v>
      </c>
      <c r="J136" s="116" t="s">
        <v>128</v>
      </c>
      <c r="K136" s="116" t="s">
        <v>115</v>
      </c>
      <c r="L136" s="118">
        <v>295000000</v>
      </c>
      <c r="M136" s="118" t="s">
        <v>124</v>
      </c>
      <c r="N136" s="119">
        <v>43922</v>
      </c>
      <c r="O136" s="119">
        <v>44286</v>
      </c>
      <c r="P136" s="120">
        <f t="shared" ref="P136:P177" si="39">(O136-N136)/365</f>
        <v>0.99726027397260275</v>
      </c>
      <c r="Q136" s="114" t="s">
        <v>29</v>
      </c>
      <c r="R136" s="114" t="s">
        <v>117</v>
      </c>
      <c r="S136" s="114" t="str">
        <f t="shared" ref="S136:S239" si="40">IF(R136="End","Z",IF(R136="Cancel","C",IF(SUM(R136)&gt;0,"O",IF(ISBLANK(R136),"X",IF(SUM(R136)&lt;0,"Y",IF(SUM(R136),"-","O"))))))</f>
        <v>Z</v>
      </c>
      <c r="T136" s="121">
        <v>1</v>
      </c>
      <c r="U136" s="121">
        <v>3</v>
      </c>
      <c r="V136" s="121">
        <v>1</v>
      </c>
      <c r="W136" s="121">
        <f t="shared" si="37"/>
        <v>5</v>
      </c>
      <c r="X136" s="121" t="str">
        <f t="shared" si="38"/>
        <v>Biasa</v>
      </c>
      <c r="Y136" s="115"/>
      <c r="Z136" s="115"/>
      <c r="AA136" s="119"/>
      <c r="AB136" s="119"/>
      <c r="AC136" s="119"/>
      <c r="AD136" s="26" t="s">
        <v>16</v>
      </c>
      <c r="AE136" s="122">
        <v>44287</v>
      </c>
      <c r="AF136" s="114" t="s">
        <v>118</v>
      </c>
      <c r="AG136" s="114" t="s">
        <v>119</v>
      </c>
      <c r="AH136" s="26"/>
      <c r="AI136" s="26"/>
      <c r="AJ136" s="26"/>
      <c r="AK136" s="26"/>
      <c r="AL136" s="26"/>
      <c r="AM136" s="26"/>
      <c r="AN136" s="26"/>
      <c r="AO136" s="123"/>
      <c r="AP136" s="4"/>
      <c r="AQ136" s="4"/>
      <c r="AR136" s="4"/>
      <c r="AS136" s="4"/>
      <c r="AT136" s="4"/>
    </row>
    <row r="137" spans="1:83" s="124" customFormat="1" ht="111.95" customHeight="1" x14ac:dyDescent="0.25">
      <c r="A137" s="113">
        <v>4</v>
      </c>
      <c r="B137" s="113" t="s">
        <v>109</v>
      </c>
      <c r="C137" s="114" t="s">
        <v>120</v>
      </c>
      <c r="D137" s="113">
        <v>3</v>
      </c>
      <c r="E137" s="113" t="s">
        <v>121</v>
      </c>
      <c r="F137" s="115" t="s">
        <v>110</v>
      </c>
      <c r="G137" s="116" t="s">
        <v>129</v>
      </c>
      <c r="H137" s="116" t="s">
        <v>130</v>
      </c>
      <c r="I137" s="117" t="s">
        <v>113</v>
      </c>
      <c r="J137" s="116" t="s">
        <v>131</v>
      </c>
      <c r="K137" s="116" t="s">
        <v>132</v>
      </c>
      <c r="L137" s="118">
        <v>268000000</v>
      </c>
      <c r="M137" s="118" t="s">
        <v>124</v>
      </c>
      <c r="N137" s="119">
        <v>44682</v>
      </c>
      <c r="O137" s="119">
        <v>45046</v>
      </c>
      <c r="P137" s="120">
        <f t="shared" si="39"/>
        <v>0.99726027397260275</v>
      </c>
      <c r="Q137" s="114" t="s">
        <v>29</v>
      </c>
      <c r="R137" s="114">
        <f ca="1">(O137-NOW()+1)/31</f>
        <v>6.270668634259275</v>
      </c>
      <c r="S137" s="114" t="str">
        <f t="shared" ca="1" si="40"/>
        <v>O</v>
      </c>
      <c r="T137" s="121">
        <v>1</v>
      </c>
      <c r="U137" s="121">
        <v>3</v>
      </c>
      <c r="V137" s="121">
        <v>1</v>
      </c>
      <c r="W137" s="121">
        <f t="shared" si="37"/>
        <v>5</v>
      </c>
      <c r="X137" s="121" t="str">
        <f t="shared" si="38"/>
        <v>Biasa</v>
      </c>
      <c r="Y137" s="115"/>
      <c r="Z137" s="125"/>
      <c r="AA137" s="119"/>
      <c r="AB137" s="119"/>
      <c r="AC137" s="119"/>
      <c r="AD137" s="26"/>
      <c r="AE137" s="122"/>
      <c r="AF137" s="114" t="s">
        <v>118</v>
      </c>
      <c r="AG137" s="114" t="s">
        <v>119</v>
      </c>
      <c r="AH137" s="26"/>
      <c r="AI137" s="26"/>
      <c r="AJ137" s="26"/>
      <c r="AK137" s="26"/>
      <c r="AL137" s="26"/>
      <c r="AM137" s="26"/>
      <c r="AN137" s="34" t="s">
        <v>126</v>
      </c>
      <c r="AO137" s="123">
        <v>44295</v>
      </c>
      <c r="AP137" s="4"/>
      <c r="AQ137" s="4"/>
      <c r="AR137" s="4"/>
      <c r="AS137" s="4"/>
      <c r="AT137" s="4"/>
    </row>
    <row r="138" spans="1:83" s="124" customFormat="1" ht="111.95" customHeight="1" x14ac:dyDescent="0.25">
      <c r="A138" s="113">
        <v>5</v>
      </c>
      <c r="B138" s="113" t="s">
        <v>109</v>
      </c>
      <c r="C138" s="114"/>
      <c r="D138" s="113"/>
      <c r="E138" s="113"/>
      <c r="F138" s="115" t="s">
        <v>133</v>
      </c>
      <c r="G138" s="116" t="s">
        <v>134</v>
      </c>
      <c r="H138" s="116" t="s">
        <v>135</v>
      </c>
      <c r="I138" s="117" t="s">
        <v>113</v>
      </c>
      <c r="J138" s="116" t="s">
        <v>136</v>
      </c>
      <c r="K138" s="116" t="s">
        <v>137</v>
      </c>
      <c r="L138" s="118">
        <v>100000000</v>
      </c>
      <c r="M138" s="118" t="s">
        <v>138</v>
      </c>
      <c r="N138" s="119">
        <v>43602</v>
      </c>
      <c r="O138" s="119">
        <v>43693</v>
      </c>
      <c r="P138" s="120">
        <f>(O138-N138)/365</f>
        <v>0.24931506849315069</v>
      </c>
      <c r="Q138" s="114" t="s">
        <v>29</v>
      </c>
      <c r="R138" s="114" t="s">
        <v>117</v>
      </c>
      <c r="S138" s="114" t="str">
        <f t="shared" si="40"/>
        <v>Z</v>
      </c>
      <c r="T138" s="121">
        <v>1</v>
      </c>
      <c r="U138" s="121">
        <v>3</v>
      </c>
      <c r="V138" s="121">
        <v>1</v>
      </c>
      <c r="W138" s="121">
        <f t="shared" si="37"/>
        <v>5</v>
      </c>
      <c r="X138" s="121" t="str">
        <f t="shared" si="38"/>
        <v>Biasa</v>
      </c>
      <c r="Y138" s="115"/>
      <c r="Z138" s="115"/>
      <c r="AA138" s="119"/>
      <c r="AB138" s="119"/>
      <c r="AC138" s="119"/>
      <c r="AD138" s="26" t="s">
        <v>16</v>
      </c>
      <c r="AE138" s="122">
        <v>43693</v>
      </c>
      <c r="AF138" s="114" t="s">
        <v>118</v>
      </c>
      <c r="AG138" s="114"/>
      <c r="AH138" s="26"/>
      <c r="AI138" s="26"/>
      <c r="AJ138" s="26"/>
      <c r="AK138" s="26"/>
      <c r="AL138" s="26"/>
      <c r="AM138" s="26"/>
      <c r="AN138" s="26"/>
      <c r="AO138" s="123"/>
      <c r="AP138" s="4"/>
      <c r="AQ138" s="4"/>
      <c r="AR138" s="4"/>
      <c r="AS138" s="4"/>
      <c r="AT138" s="4"/>
    </row>
    <row r="139" spans="1:83" s="124" customFormat="1" ht="111.95" customHeight="1" x14ac:dyDescent="0.25">
      <c r="A139" s="113">
        <v>6</v>
      </c>
      <c r="B139" s="113" t="s">
        <v>109</v>
      </c>
      <c r="C139" s="114" t="s">
        <v>120</v>
      </c>
      <c r="D139" s="113">
        <v>4</v>
      </c>
      <c r="E139" s="113" t="s">
        <v>121</v>
      </c>
      <c r="F139" s="115" t="s">
        <v>110</v>
      </c>
      <c r="G139" s="116" t="s">
        <v>139</v>
      </c>
      <c r="H139" s="116" t="s">
        <v>112</v>
      </c>
      <c r="I139" s="117" t="s">
        <v>113</v>
      </c>
      <c r="J139" s="116" t="s">
        <v>140</v>
      </c>
      <c r="K139" s="116" t="s">
        <v>115</v>
      </c>
      <c r="L139" s="118">
        <v>295000000</v>
      </c>
      <c r="M139" s="118" t="s">
        <v>124</v>
      </c>
      <c r="N139" s="119">
        <v>44652</v>
      </c>
      <c r="O139" s="119">
        <v>45016</v>
      </c>
      <c r="P139" s="120">
        <f t="shared" si="39"/>
        <v>0.99726027397260275</v>
      </c>
      <c r="Q139" s="114" t="s">
        <v>29</v>
      </c>
      <c r="R139" s="114">
        <f ca="1">(O139-NOW()+1)/31</f>
        <v>5.302926698775404</v>
      </c>
      <c r="S139" s="114" t="str">
        <f t="shared" ca="1" si="40"/>
        <v>O</v>
      </c>
      <c r="T139" s="121">
        <v>1</v>
      </c>
      <c r="U139" s="121">
        <v>3</v>
      </c>
      <c r="V139" s="121">
        <v>1</v>
      </c>
      <c r="W139" s="121">
        <f t="shared" si="37"/>
        <v>5</v>
      </c>
      <c r="X139" s="121" t="str">
        <f t="shared" si="38"/>
        <v>Biasa</v>
      </c>
      <c r="Y139" s="115"/>
      <c r="Z139" s="125"/>
      <c r="AA139" s="119"/>
      <c r="AB139" s="119"/>
      <c r="AC139" s="119"/>
      <c r="AD139" s="26"/>
      <c r="AE139" s="122"/>
      <c r="AF139" s="114" t="s">
        <v>118</v>
      </c>
      <c r="AG139" s="114" t="s">
        <v>119</v>
      </c>
      <c r="AH139" s="26"/>
      <c r="AI139" s="26"/>
      <c r="AJ139" s="26"/>
      <c r="AK139" s="26"/>
      <c r="AL139" s="26"/>
      <c r="AM139" s="26"/>
      <c r="AN139" s="34" t="s">
        <v>126</v>
      </c>
      <c r="AO139" s="123"/>
      <c r="AP139" s="4"/>
      <c r="AQ139" s="4"/>
      <c r="AR139" s="4"/>
      <c r="AS139" s="4"/>
      <c r="AT139" s="4"/>
    </row>
    <row r="140" spans="1:83" s="124" customFormat="1" ht="111.95" customHeight="1" x14ac:dyDescent="0.25">
      <c r="A140" s="113">
        <v>7</v>
      </c>
      <c r="B140" s="113" t="s">
        <v>109</v>
      </c>
      <c r="C140" s="114"/>
      <c r="D140" s="113"/>
      <c r="E140" s="113"/>
      <c r="F140" s="115" t="s">
        <v>110</v>
      </c>
      <c r="G140" s="116" t="s">
        <v>141</v>
      </c>
      <c r="H140" s="116" t="s">
        <v>112</v>
      </c>
      <c r="I140" s="117" t="s">
        <v>113</v>
      </c>
      <c r="J140" s="116" t="s">
        <v>142</v>
      </c>
      <c r="K140" s="116" t="s">
        <v>115</v>
      </c>
      <c r="L140" s="118">
        <v>24600000</v>
      </c>
      <c r="M140" s="118" t="s">
        <v>143</v>
      </c>
      <c r="N140" s="119">
        <v>44287</v>
      </c>
      <c r="O140" s="119">
        <v>44316</v>
      </c>
      <c r="P140" s="120">
        <f t="shared" si="39"/>
        <v>7.9452054794520555E-2</v>
      </c>
      <c r="Q140" s="114" t="s">
        <v>29</v>
      </c>
      <c r="R140" s="114" t="s">
        <v>117</v>
      </c>
      <c r="S140" s="114" t="str">
        <f t="shared" si="40"/>
        <v>Z</v>
      </c>
      <c r="T140" s="121">
        <v>1</v>
      </c>
      <c r="U140" s="121">
        <v>3</v>
      </c>
      <c r="V140" s="121">
        <v>1</v>
      </c>
      <c r="W140" s="121">
        <f t="shared" si="37"/>
        <v>5</v>
      </c>
      <c r="X140" s="121" t="str">
        <f t="shared" si="38"/>
        <v>Biasa</v>
      </c>
      <c r="Y140" s="115"/>
      <c r="Z140" s="115"/>
      <c r="AA140" s="119"/>
      <c r="AB140" s="119"/>
      <c r="AC140" s="119"/>
      <c r="AD140" s="26" t="s">
        <v>16</v>
      </c>
      <c r="AE140" s="122">
        <v>44317</v>
      </c>
      <c r="AF140" s="114" t="s">
        <v>118</v>
      </c>
      <c r="AG140" s="114" t="s">
        <v>119</v>
      </c>
      <c r="AH140" s="26"/>
      <c r="AI140" s="26"/>
      <c r="AJ140" s="26"/>
      <c r="AK140" s="26"/>
      <c r="AL140" s="26"/>
      <c r="AM140" s="26"/>
      <c r="AN140" s="26"/>
      <c r="AO140" s="123"/>
      <c r="AP140" s="4"/>
      <c r="AQ140" s="4"/>
      <c r="AR140" s="4"/>
      <c r="AS140" s="4"/>
      <c r="AT140" s="4"/>
    </row>
    <row r="141" spans="1:83" s="124" customFormat="1" ht="111.95" customHeight="1" x14ac:dyDescent="0.25">
      <c r="A141" s="113">
        <v>8</v>
      </c>
      <c r="B141" s="113" t="s">
        <v>109</v>
      </c>
      <c r="C141" s="114" t="s">
        <v>120</v>
      </c>
      <c r="D141" s="113">
        <v>5</v>
      </c>
      <c r="E141" s="113" t="s">
        <v>121</v>
      </c>
      <c r="F141" s="115" t="s">
        <v>110</v>
      </c>
      <c r="G141" s="116" t="s">
        <v>144</v>
      </c>
      <c r="H141" s="116" t="s">
        <v>123</v>
      </c>
      <c r="I141" s="117" t="s">
        <v>113</v>
      </c>
      <c r="J141" s="116" t="s">
        <v>142</v>
      </c>
      <c r="K141" s="116" t="s">
        <v>115</v>
      </c>
      <c r="L141" s="118">
        <v>295000000</v>
      </c>
      <c r="M141" s="118" t="s">
        <v>124</v>
      </c>
      <c r="N141" s="119">
        <v>44409</v>
      </c>
      <c r="O141" s="119">
        <v>44773</v>
      </c>
      <c r="P141" s="120">
        <f t="shared" si="39"/>
        <v>0.99726027397260275</v>
      </c>
      <c r="Q141" s="114" t="s">
        <v>29</v>
      </c>
      <c r="R141" s="114">
        <f ca="1">(O141-NOW()+1)/31</f>
        <v>-2.5357829786439505</v>
      </c>
      <c r="S141" s="114" t="str">
        <f t="shared" ref="S141" ca="1" si="41">IF(R141="End","Z",IF(R141="Cancel","C",IF(SUM(R141)&gt;0,"O",IF(ISBLANK(R141),"X",IF(SUM(R141)&lt;0,"Y",IF(SUM(R141),"-","O"))))))</f>
        <v>Y</v>
      </c>
      <c r="T141" s="121">
        <v>1</v>
      </c>
      <c r="U141" s="121">
        <v>3</v>
      </c>
      <c r="V141" s="121">
        <v>1</v>
      </c>
      <c r="W141" s="121">
        <f t="shared" si="37"/>
        <v>5</v>
      </c>
      <c r="X141" s="121" t="str">
        <f t="shared" si="38"/>
        <v>Biasa</v>
      </c>
      <c r="Y141" s="115"/>
      <c r="Z141" s="125"/>
      <c r="AA141" s="119"/>
      <c r="AB141" s="119"/>
      <c r="AC141" s="119"/>
      <c r="AD141" s="26" t="s">
        <v>125</v>
      </c>
      <c r="AE141" s="122">
        <v>44407</v>
      </c>
      <c r="AF141" s="114" t="s">
        <v>118</v>
      </c>
      <c r="AG141" s="114" t="s">
        <v>119</v>
      </c>
      <c r="AH141" s="26"/>
      <c r="AI141" s="26"/>
      <c r="AJ141" s="26"/>
      <c r="AK141" s="26"/>
      <c r="AL141" s="26"/>
      <c r="AM141" s="26"/>
      <c r="AN141" s="34" t="s">
        <v>126</v>
      </c>
      <c r="AO141" s="123">
        <v>44407</v>
      </c>
      <c r="AP141" s="4"/>
      <c r="AQ141" s="4"/>
      <c r="AR141" s="4"/>
      <c r="AS141" s="4"/>
      <c r="AT141" s="4"/>
    </row>
    <row r="142" spans="1:83" s="124" customFormat="1" ht="111.75" customHeight="1" x14ac:dyDescent="0.25">
      <c r="A142" s="113">
        <v>9</v>
      </c>
      <c r="B142" s="113" t="s">
        <v>109</v>
      </c>
      <c r="C142" s="114" t="s">
        <v>120</v>
      </c>
      <c r="D142" s="113">
        <v>6</v>
      </c>
      <c r="E142" s="113" t="s">
        <v>121</v>
      </c>
      <c r="F142" s="115" t="s">
        <v>110</v>
      </c>
      <c r="G142" s="116" t="s">
        <v>145</v>
      </c>
      <c r="H142" s="116" t="s">
        <v>130</v>
      </c>
      <c r="I142" s="117" t="s">
        <v>113</v>
      </c>
      <c r="J142" s="116" t="s">
        <v>146</v>
      </c>
      <c r="K142" s="116" t="s">
        <v>132</v>
      </c>
      <c r="L142" s="118">
        <v>263000000</v>
      </c>
      <c r="M142" s="118" t="s">
        <v>124</v>
      </c>
      <c r="N142" s="119">
        <v>44501</v>
      </c>
      <c r="O142" s="119">
        <v>44865</v>
      </c>
      <c r="P142" s="120">
        <f t="shared" si="39"/>
        <v>0.99726027397260275</v>
      </c>
      <c r="Q142" s="114" t="s">
        <v>29</v>
      </c>
      <c r="R142" s="114">
        <f ca="1">(O142-NOW()+1)/31</f>
        <v>0.43195895683992047</v>
      </c>
      <c r="S142" s="114" t="str">
        <f t="shared" ca="1" si="40"/>
        <v>O</v>
      </c>
      <c r="T142" s="121">
        <v>1</v>
      </c>
      <c r="U142" s="121">
        <v>3</v>
      </c>
      <c r="V142" s="121">
        <v>1</v>
      </c>
      <c r="W142" s="121">
        <f t="shared" si="37"/>
        <v>5</v>
      </c>
      <c r="X142" s="121" t="str">
        <f t="shared" si="38"/>
        <v>Biasa</v>
      </c>
      <c r="Y142" s="115"/>
      <c r="Z142" s="125"/>
      <c r="AA142" s="119"/>
      <c r="AB142" s="119"/>
      <c r="AC142" s="119"/>
      <c r="AD142" s="26"/>
      <c r="AE142" s="122"/>
      <c r="AF142" s="114" t="s">
        <v>118</v>
      </c>
      <c r="AG142" s="114" t="s">
        <v>119</v>
      </c>
      <c r="AH142" s="26"/>
      <c r="AI142" s="26"/>
      <c r="AJ142" s="26"/>
      <c r="AK142" s="26"/>
      <c r="AL142" s="26"/>
      <c r="AM142" s="26"/>
      <c r="AN142" s="34" t="s">
        <v>126</v>
      </c>
      <c r="AO142" s="123">
        <v>44463</v>
      </c>
      <c r="AP142" s="4"/>
      <c r="AQ142" s="4"/>
      <c r="AR142" s="4"/>
      <c r="AS142" s="4"/>
      <c r="AT142" s="4"/>
    </row>
    <row r="143" spans="1:83" s="124" customFormat="1" ht="111.95" customHeight="1" x14ac:dyDescent="0.25">
      <c r="A143" s="113">
        <v>10</v>
      </c>
      <c r="B143" s="113" t="s">
        <v>109</v>
      </c>
      <c r="C143" s="114" t="s">
        <v>120</v>
      </c>
      <c r="D143" s="113">
        <v>7</v>
      </c>
      <c r="E143" s="113" t="s">
        <v>121</v>
      </c>
      <c r="F143" s="115" t="s">
        <v>147</v>
      </c>
      <c r="G143" s="116" t="s">
        <v>148</v>
      </c>
      <c r="H143" s="116" t="s">
        <v>130</v>
      </c>
      <c r="I143" s="117" t="s">
        <v>113</v>
      </c>
      <c r="J143" s="116" t="s">
        <v>149</v>
      </c>
      <c r="K143" s="116" t="s">
        <v>132</v>
      </c>
      <c r="L143" s="118">
        <v>270000000</v>
      </c>
      <c r="M143" s="118" t="s">
        <v>124</v>
      </c>
      <c r="N143" s="119">
        <v>44336</v>
      </c>
      <c r="O143" s="119">
        <v>44700</v>
      </c>
      <c r="P143" s="120">
        <f t="shared" si="39"/>
        <v>0.99726027397260275</v>
      </c>
      <c r="Q143" s="114" t="s">
        <v>29</v>
      </c>
      <c r="R143" s="114">
        <f t="shared" ref="R143:R148" ca="1" si="42">(O143-NOW()+1)/31</f>
        <v>-4.89062168832137</v>
      </c>
      <c r="S143" s="114" t="str">
        <f t="shared" ca="1" si="40"/>
        <v>Y</v>
      </c>
      <c r="T143" s="121">
        <v>1</v>
      </c>
      <c r="U143" s="121">
        <v>3</v>
      </c>
      <c r="V143" s="121">
        <v>1</v>
      </c>
      <c r="W143" s="121">
        <f t="shared" si="37"/>
        <v>5</v>
      </c>
      <c r="X143" s="121" t="str">
        <f t="shared" si="38"/>
        <v>Biasa</v>
      </c>
      <c r="Y143" s="115"/>
      <c r="Z143" s="125"/>
      <c r="AA143" s="119"/>
      <c r="AB143" s="119"/>
      <c r="AC143" s="119"/>
      <c r="AD143" s="26"/>
      <c r="AE143" s="122"/>
      <c r="AF143" s="114" t="s">
        <v>118</v>
      </c>
      <c r="AG143" s="114" t="s">
        <v>119</v>
      </c>
      <c r="AH143" s="26"/>
      <c r="AI143" s="26"/>
      <c r="AJ143" s="26"/>
      <c r="AK143" s="26"/>
      <c r="AL143" s="26"/>
      <c r="AM143" s="26"/>
      <c r="AN143" s="34" t="s">
        <v>126</v>
      </c>
      <c r="AO143" s="123"/>
      <c r="AP143" s="4"/>
      <c r="AQ143" s="4"/>
      <c r="AR143" s="4"/>
      <c r="AS143" s="4"/>
      <c r="AT143" s="4"/>
    </row>
    <row r="144" spans="1:83" s="124" customFormat="1" ht="111.95" customHeight="1" x14ac:dyDescent="0.25">
      <c r="A144" s="113">
        <v>11</v>
      </c>
      <c r="B144" s="113" t="s">
        <v>109</v>
      </c>
      <c r="C144" s="114" t="s">
        <v>120</v>
      </c>
      <c r="D144" s="113">
        <v>41</v>
      </c>
      <c r="E144" s="113" t="s">
        <v>121</v>
      </c>
      <c r="F144" s="115" t="s">
        <v>110</v>
      </c>
      <c r="G144" s="116" t="s">
        <v>150</v>
      </c>
      <c r="H144" s="116" t="s">
        <v>123</v>
      </c>
      <c r="I144" s="117" t="s">
        <v>113</v>
      </c>
      <c r="J144" s="116" t="s">
        <v>151</v>
      </c>
      <c r="K144" s="116" t="s">
        <v>115</v>
      </c>
      <c r="L144" s="118">
        <v>295000000</v>
      </c>
      <c r="M144" s="118" t="s">
        <v>124</v>
      </c>
      <c r="N144" s="119">
        <v>44596</v>
      </c>
      <c r="O144" s="119">
        <v>44960</v>
      </c>
      <c r="P144" s="120">
        <f t="shared" si="39"/>
        <v>0.99726027397260275</v>
      </c>
      <c r="Q144" s="114" t="s">
        <v>29</v>
      </c>
      <c r="R144" s="114">
        <f t="shared" ca="1" si="42"/>
        <v>3.4964750858721785</v>
      </c>
      <c r="S144" s="114" t="str">
        <f t="shared" ca="1" si="40"/>
        <v>O</v>
      </c>
      <c r="T144" s="121">
        <v>1</v>
      </c>
      <c r="U144" s="121">
        <v>3</v>
      </c>
      <c r="V144" s="121">
        <v>1</v>
      </c>
      <c r="W144" s="121">
        <f t="shared" si="37"/>
        <v>5</v>
      </c>
      <c r="X144" s="121" t="str">
        <f t="shared" si="38"/>
        <v>Biasa</v>
      </c>
      <c r="Y144" s="115"/>
      <c r="Z144" s="125"/>
      <c r="AA144" s="119"/>
      <c r="AB144" s="119"/>
      <c r="AC144" s="119"/>
      <c r="AD144" s="26" t="s">
        <v>125</v>
      </c>
      <c r="AE144" s="122">
        <v>43850</v>
      </c>
      <c r="AF144" s="114" t="s">
        <v>118</v>
      </c>
      <c r="AG144" s="114" t="s">
        <v>119</v>
      </c>
      <c r="AH144" s="26"/>
      <c r="AI144" s="26"/>
      <c r="AJ144" s="26"/>
      <c r="AK144" s="26"/>
      <c r="AL144" s="26"/>
      <c r="AM144" s="26"/>
      <c r="AN144" s="34" t="s">
        <v>126</v>
      </c>
      <c r="AO144" s="123"/>
      <c r="AP144" s="4"/>
      <c r="AQ144" s="4"/>
      <c r="AR144" s="4"/>
      <c r="AS144" s="4"/>
      <c r="AT144" s="4"/>
    </row>
    <row r="145" spans="1:46" s="124" customFormat="1" ht="111.95" customHeight="1" x14ac:dyDescent="0.25">
      <c r="A145" s="113">
        <v>12</v>
      </c>
      <c r="B145" s="113" t="s">
        <v>109</v>
      </c>
      <c r="C145" s="114" t="s">
        <v>120</v>
      </c>
      <c r="D145" s="113">
        <v>24</v>
      </c>
      <c r="E145" s="113" t="s">
        <v>121</v>
      </c>
      <c r="F145" s="115" t="s">
        <v>110</v>
      </c>
      <c r="G145" s="116" t="s">
        <v>152</v>
      </c>
      <c r="H145" s="116" t="s">
        <v>153</v>
      </c>
      <c r="I145" s="117" t="s">
        <v>113</v>
      </c>
      <c r="J145" s="116" t="s">
        <v>154</v>
      </c>
      <c r="K145" s="116"/>
      <c r="L145" s="118">
        <v>342000000</v>
      </c>
      <c r="M145" s="118" t="s">
        <v>124</v>
      </c>
      <c r="N145" s="119">
        <v>44575</v>
      </c>
      <c r="O145" s="119">
        <v>44939</v>
      </c>
      <c r="P145" s="120">
        <f t="shared" si="39"/>
        <v>0.99726027397260275</v>
      </c>
      <c r="Q145" s="114" t="s">
        <v>29</v>
      </c>
      <c r="R145" s="114">
        <f t="shared" ca="1" si="42"/>
        <v>2.819055731033469</v>
      </c>
      <c r="S145" s="114" t="str">
        <f t="shared" ca="1" si="40"/>
        <v>O</v>
      </c>
      <c r="T145" s="121">
        <v>1</v>
      </c>
      <c r="U145" s="121">
        <v>3</v>
      </c>
      <c r="V145" s="121">
        <v>1</v>
      </c>
      <c r="W145" s="121">
        <f t="shared" si="37"/>
        <v>5</v>
      </c>
      <c r="X145" s="121" t="str">
        <f t="shared" si="38"/>
        <v>Biasa</v>
      </c>
      <c r="Y145" s="115"/>
      <c r="Z145" s="125"/>
      <c r="AA145" s="119"/>
      <c r="AB145" s="119"/>
      <c r="AC145" s="119"/>
      <c r="AD145" s="26" t="s">
        <v>125</v>
      </c>
      <c r="AE145" s="122">
        <v>44197</v>
      </c>
      <c r="AF145" s="114" t="s">
        <v>118</v>
      </c>
      <c r="AG145" s="114" t="s">
        <v>119</v>
      </c>
      <c r="AH145" s="26"/>
      <c r="AI145" s="26"/>
      <c r="AJ145" s="26"/>
      <c r="AK145" s="26"/>
      <c r="AL145" s="26"/>
      <c r="AM145" s="26"/>
      <c r="AN145" s="34" t="s">
        <v>126</v>
      </c>
      <c r="AO145" s="123">
        <v>44560</v>
      </c>
      <c r="AP145" s="4"/>
      <c r="AQ145" s="4"/>
      <c r="AR145" s="4"/>
      <c r="AS145" s="4"/>
      <c r="AT145" s="4"/>
    </row>
    <row r="146" spans="1:46" s="124" customFormat="1" ht="111.95" customHeight="1" x14ac:dyDescent="0.25">
      <c r="A146" s="113"/>
      <c r="B146" s="113" t="s">
        <v>109</v>
      </c>
      <c r="C146" s="114" t="s">
        <v>120</v>
      </c>
      <c r="D146" s="113">
        <v>49</v>
      </c>
      <c r="E146" s="113" t="s">
        <v>121</v>
      </c>
      <c r="F146" s="115" t="s">
        <v>110</v>
      </c>
      <c r="G146" s="116" t="s">
        <v>155</v>
      </c>
      <c r="H146" s="116" t="s">
        <v>156</v>
      </c>
      <c r="I146" s="117" t="s">
        <v>113</v>
      </c>
      <c r="J146" s="116" t="s">
        <v>128</v>
      </c>
      <c r="K146" s="116" t="s">
        <v>115</v>
      </c>
      <c r="L146" s="118">
        <v>298000000</v>
      </c>
      <c r="M146" s="118" t="s">
        <v>124</v>
      </c>
      <c r="N146" s="119">
        <v>44662</v>
      </c>
      <c r="O146" s="119">
        <v>45026</v>
      </c>
      <c r="P146" s="120">
        <f t="shared" si="39"/>
        <v>0.99726027397260275</v>
      </c>
      <c r="Q146" s="114" t="s">
        <v>29</v>
      </c>
      <c r="R146" s="114">
        <f t="shared" ca="1" si="42"/>
        <v>5.6255073439366949</v>
      </c>
      <c r="S146" s="114" t="str">
        <f t="shared" ca="1" si="40"/>
        <v>O</v>
      </c>
      <c r="T146" s="121">
        <v>1</v>
      </c>
      <c r="U146" s="121">
        <v>3</v>
      </c>
      <c r="V146" s="121">
        <v>1</v>
      </c>
      <c r="W146" s="121">
        <f t="shared" si="37"/>
        <v>5</v>
      </c>
      <c r="X146" s="121" t="str">
        <f t="shared" si="38"/>
        <v>Biasa</v>
      </c>
      <c r="Y146" s="115"/>
      <c r="Z146" s="125"/>
      <c r="AA146" s="119"/>
      <c r="AB146" s="119"/>
      <c r="AC146" s="119"/>
      <c r="AD146" s="26" t="s">
        <v>125</v>
      </c>
      <c r="AE146" s="122">
        <v>44662</v>
      </c>
      <c r="AF146" s="114" t="s">
        <v>118</v>
      </c>
      <c r="AG146" s="114" t="s">
        <v>119</v>
      </c>
      <c r="AH146" s="26"/>
      <c r="AI146" s="26"/>
      <c r="AJ146" s="26"/>
      <c r="AK146" s="26"/>
      <c r="AL146" s="26"/>
      <c r="AM146" s="26"/>
      <c r="AN146" s="34" t="s">
        <v>126</v>
      </c>
      <c r="AO146" s="123">
        <v>44658</v>
      </c>
      <c r="AP146" s="4"/>
      <c r="AQ146" s="4"/>
      <c r="AR146" s="4"/>
      <c r="AS146" s="4"/>
      <c r="AT146" s="4"/>
    </row>
    <row r="147" spans="1:46" s="124" customFormat="1" ht="111.95" customHeight="1" x14ac:dyDescent="0.25">
      <c r="A147" s="113">
        <v>13</v>
      </c>
      <c r="B147" s="113" t="s">
        <v>109</v>
      </c>
      <c r="C147" s="114" t="s">
        <v>120</v>
      </c>
      <c r="D147" s="113">
        <v>8</v>
      </c>
      <c r="E147" s="113" t="s">
        <v>121</v>
      </c>
      <c r="F147" s="115" t="s">
        <v>157</v>
      </c>
      <c r="G147" s="116" t="s">
        <v>158</v>
      </c>
      <c r="H147" s="116" t="s">
        <v>159</v>
      </c>
      <c r="I147" s="117" t="s">
        <v>160</v>
      </c>
      <c r="J147" s="116" t="s">
        <v>161</v>
      </c>
      <c r="K147" s="116" t="s">
        <v>162</v>
      </c>
      <c r="L147" s="118">
        <v>4425000</v>
      </c>
      <c r="M147" s="118" t="s">
        <v>163</v>
      </c>
      <c r="N147" s="119">
        <v>44621</v>
      </c>
      <c r="O147" s="119">
        <v>45716</v>
      </c>
      <c r="P147" s="120">
        <f t="shared" si="39"/>
        <v>3</v>
      </c>
      <c r="Q147" s="114" t="s">
        <v>29</v>
      </c>
      <c r="R147" s="114">
        <f t="shared" ca="1" si="42"/>
        <v>27.883571860065725</v>
      </c>
      <c r="S147" s="114" t="str">
        <f t="shared" ca="1" si="40"/>
        <v>O</v>
      </c>
      <c r="T147" s="121">
        <v>1</v>
      </c>
      <c r="U147" s="121">
        <v>1</v>
      </c>
      <c r="V147" s="121">
        <v>1</v>
      </c>
      <c r="W147" s="121">
        <f t="shared" si="37"/>
        <v>3</v>
      </c>
      <c r="X147" s="121" t="str">
        <f t="shared" si="38"/>
        <v>Biasa</v>
      </c>
      <c r="Y147" s="115"/>
      <c r="Z147" s="114" t="s">
        <v>119</v>
      </c>
      <c r="AA147" s="119">
        <f>N147+270</f>
        <v>44891</v>
      </c>
      <c r="AB147" s="119">
        <f>+N147+635</f>
        <v>45256</v>
      </c>
      <c r="AC147" s="119">
        <f>+N147+1000</f>
        <v>45621</v>
      </c>
      <c r="AD147" s="26" t="s">
        <v>164</v>
      </c>
      <c r="AE147" s="122">
        <v>43525</v>
      </c>
      <c r="AF147" s="114" t="s">
        <v>118</v>
      </c>
      <c r="AG147" s="114" t="s">
        <v>119</v>
      </c>
      <c r="AH147" s="26"/>
      <c r="AI147" s="26"/>
      <c r="AJ147" s="26"/>
      <c r="AK147" s="26"/>
      <c r="AL147" s="26"/>
      <c r="AM147" s="26"/>
      <c r="AN147" s="34" t="s">
        <v>126</v>
      </c>
      <c r="AO147" s="123">
        <v>44617</v>
      </c>
      <c r="AP147" s="4"/>
      <c r="AQ147" s="4"/>
      <c r="AR147" s="4"/>
      <c r="AS147" s="4"/>
      <c r="AT147" s="4"/>
    </row>
    <row r="148" spans="1:46" s="124" customFormat="1" ht="111.95" customHeight="1" x14ac:dyDescent="0.25">
      <c r="A148" s="113">
        <v>14</v>
      </c>
      <c r="B148" s="113" t="s">
        <v>109</v>
      </c>
      <c r="C148" s="114" t="s">
        <v>120</v>
      </c>
      <c r="D148" s="113">
        <v>9</v>
      </c>
      <c r="E148" s="113" t="s">
        <v>121</v>
      </c>
      <c r="F148" s="115" t="s">
        <v>165</v>
      </c>
      <c r="G148" s="116" t="s">
        <v>166</v>
      </c>
      <c r="H148" s="116" t="s">
        <v>159</v>
      </c>
      <c r="I148" s="117" t="s">
        <v>160</v>
      </c>
      <c r="J148" s="116" t="s">
        <v>167</v>
      </c>
      <c r="K148" s="116" t="s">
        <v>162</v>
      </c>
      <c r="L148" s="118">
        <v>6800000</v>
      </c>
      <c r="M148" s="118" t="s">
        <v>143</v>
      </c>
      <c r="N148" s="119">
        <v>44166</v>
      </c>
      <c r="O148" s="119">
        <v>45260</v>
      </c>
      <c r="P148" s="120">
        <f>(O148-N148)/365</f>
        <v>2.9972602739726026</v>
      </c>
      <c r="Q148" s="114" t="s">
        <v>29</v>
      </c>
      <c r="R148" s="114">
        <f t="shared" ca="1" si="42"/>
        <v>13.173894440710889</v>
      </c>
      <c r="S148" s="114" t="str">
        <f t="shared" ca="1" si="40"/>
        <v>O</v>
      </c>
      <c r="T148" s="121">
        <v>1</v>
      </c>
      <c r="U148" s="121">
        <v>2</v>
      </c>
      <c r="V148" s="121">
        <v>1</v>
      </c>
      <c r="W148" s="121">
        <f t="shared" si="37"/>
        <v>4</v>
      </c>
      <c r="X148" s="121" t="str">
        <f t="shared" si="38"/>
        <v>Biasa</v>
      </c>
      <c r="Y148" s="115"/>
      <c r="Z148" s="114" t="s">
        <v>119</v>
      </c>
      <c r="AA148" s="119">
        <f>N148+270</f>
        <v>44436</v>
      </c>
      <c r="AB148" s="119">
        <f>+N148+635</f>
        <v>44801</v>
      </c>
      <c r="AC148" s="119">
        <f>+N148+1000</f>
        <v>45166</v>
      </c>
      <c r="AD148" s="26"/>
      <c r="AE148" s="122"/>
      <c r="AF148" s="114" t="s">
        <v>118</v>
      </c>
      <c r="AG148" s="114" t="s">
        <v>119</v>
      </c>
      <c r="AH148" s="26"/>
      <c r="AI148" s="26"/>
      <c r="AJ148" s="26"/>
      <c r="AK148" s="26"/>
      <c r="AL148" s="26"/>
      <c r="AM148" s="26"/>
      <c r="AN148" s="34" t="s">
        <v>126</v>
      </c>
      <c r="AO148" s="123">
        <v>44154</v>
      </c>
      <c r="AP148" s="4"/>
      <c r="AQ148" s="4"/>
      <c r="AR148" s="4"/>
      <c r="AS148" s="4"/>
      <c r="AT148" s="4"/>
    </row>
    <row r="149" spans="1:46" s="124" customFormat="1" ht="111.95" customHeight="1" x14ac:dyDescent="0.25">
      <c r="A149" s="113">
        <v>15</v>
      </c>
      <c r="B149" s="113" t="s">
        <v>109</v>
      </c>
      <c r="C149" s="114"/>
      <c r="D149" s="113"/>
      <c r="E149" s="113"/>
      <c r="F149" s="115" t="s">
        <v>168</v>
      </c>
      <c r="G149" s="116" t="s">
        <v>169</v>
      </c>
      <c r="H149" s="116" t="s">
        <v>159</v>
      </c>
      <c r="I149" s="117" t="s">
        <v>160</v>
      </c>
      <c r="J149" s="116" t="s">
        <v>170</v>
      </c>
      <c r="K149" s="116" t="s">
        <v>162</v>
      </c>
      <c r="L149" s="118">
        <v>6050000</v>
      </c>
      <c r="M149" s="118" t="s">
        <v>143</v>
      </c>
      <c r="N149" s="119">
        <v>42620</v>
      </c>
      <c r="O149" s="119">
        <v>43714</v>
      </c>
      <c r="P149" s="120">
        <f t="shared" si="39"/>
        <v>2.9972602739726026</v>
      </c>
      <c r="Q149" s="114" t="s">
        <v>29</v>
      </c>
      <c r="R149" s="114" t="s">
        <v>117</v>
      </c>
      <c r="S149" s="114" t="str">
        <f t="shared" si="40"/>
        <v>Z</v>
      </c>
      <c r="T149" s="121">
        <v>1</v>
      </c>
      <c r="U149" s="121">
        <v>1</v>
      </c>
      <c r="V149" s="121">
        <v>1</v>
      </c>
      <c r="W149" s="121">
        <f t="shared" si="37"/>
        <v>3</v>
      </c>
      <c r="X149" s="121" t="str">
        <f t="shared" si="38"/>
        <v>Biasa</v>
      </c>
      <c r="Y149" s="115"/>
      <c r="Z149" s="115"/>
      <c r="AA149" s="119"/>
      <c r="AB149" s="119"/>
      <c r="AC149" s="119"/>
      <c r="AD149" s="26" t="s">
        <v>16</v>
      </c>
      <c r="AE149" s="122">
        <v>43715</v>
      </c>
      <c r="AF149" s="114" t="s">
        <v>118</v>
      </c>
      <c r="AG149" s="114" t="s">
        <v>119</v>
      </c>
      <c r="AH149" s="26"/>
      <c r="AI149" s="26"/>
      <c r="AJ149" s="26"/>
      <c r="AK149" s="26"/>
      <c r="AL149" s="26"/>
      <c r="AM149" s="26"/>
      <c r="AN149" s="26"/>
      <c r="AO149" s="123"/>
      <c r="AP149" s="4"/>
      <c r="AQ149" s="4"/>
      <c r="AR149" s="4"/>
      <c r="AS149" s="4"/>
      <c r="AT149" s="4"/>
    </row>
    <row r="150" spans="1:46" s="124" customFormat="1" ht="111.95" customHeight="1" x14ac:dyDescent="0.25">
      <c r="A150" s="113">
        <v>16</v>
      </c>
      <c r="B150" s="113" t="s">
        <v>109</v>
      </c>
      <c r="C150" s="114" t="s">
        <v>120</v>
      </c>
      <c r="D150" s="113">
        <v>11</v>
      </c>
      <c r="E150" s="113" t="s">
        <v>121</v>
      </c>
      <c r="F150" s="115" t="s">
        <v>171</v>
      </c>
      <c r="G150" s="116" t="s">
        <v>172</v>
      </c>
      <c r="H150" s="116" t="s">
        <v>159</v>
      </c>
      <c r="I150" s="117" t="s">
        <v>160</v>
      </c>
      <c r="J150" s="116" t="s">
        <v>173</v>
      </c>
      <c r="K150" s="116" t="s">
        <v>162</v>
      </c>
      <c r="L150" s="118">
        <v>9300000</v>
      </c>
      <c r="M150" s="118" t="s">
        <v>143</v>
      </c>
      <c r="N150" s="119">
        <v>43416</v>
      </c>
      <c r="O150" s="119">
        <v>44511</v>
      </c>
      <c r="P150" s="120">
        <f t="shared" si="39"/>
        <v>3</v>
      </c>
      <c r="Q150" s="114" t="s">
        <v>29</v>
      </c>
      <c r="R150" s="114" t="s">
        <v>117</v>
      </c>
      <c r="S150" s="114" t="str">
        <f t="shared" si="40"/>
        <v>Z</v>
      </c>
      <c r="T150" s="121">
        <v>1</v>
      </c>
      <c r="U150" s="121">
        <v>1</v>
      </c>
      <c r="V150" s="121">
        <v>1</v>
      </c>
      <c r="W150" s="121">
        <f t="shared" si="37"/>
        <v>3</v>
      </c>
      <c r="X150" s="121" t="str">
        <f t="shared" si="38"/>
        <v>Biasa</v>
      </c>
      <c r="Y150" s="115" t="s">
        <v>174</v>
      </c>
      <c r="Z150" s="114" t="s">
        <v>119</v>
      </c>
      <c r="AA150" s="119">
        <f>N150+270</f>
        <v>43686</v>
      </c>
      <c r="AB150" s="119">
        <f>+N150+635</f>
        <v>44051</v>
      </c>
      <c r="AC150" s="119">
        <f>+N150+1000</f>
        <v>44416</v>
      </c>
      <c r="AD150" s="26" t="s">
        <v>16</v>
      </c>
      <c r="AE150" s="122">
        <v>44511</v>
      </c>
      <c r="AF150" s="114" t="s">
        <v>118</v>
      </c>
      <c r="AG150" s="114" t="s">
        <v>119</v>
      </c>
      <c r="AH150" s="26"/>
      <c r="AI150" s="26"/>
      <c r="AJ150" s="26"/>
      <c r="AK150" s="26"/>
      <c r="AL150" s="26"/>
      <c r="AM150" s="26"/>
      <c r="AN150" s="26"/>
      <c r="AO150" s="123"/>
      <c r="AP150" s="4"/>
      <c r="AQ150" s="4"/>
      <c r="AR150" s="4"/>
      <c r="AS150" s="4"/>
      <c r="AT150" s="4"/>
    </row>
    <row r="151" spans="1:46" s="124" customFormat="1" ht="111.95" customHeight="1" x14ac:dyDescent="0.25">
      <c r="A151" s="113">
        <v>17</v>
      </c>
      <c r="B151" s="113" t="s">
        <v>109</v>
      </c>
      <c r="C151" s="114" t="s">
        <v>120</v>
      </c>
      <c r="D151" s="113">
        <v>12</v>
      </c>
      <c r="E151" s="113" t="s">
        <v>121</v>
      </c>
      <c r="F151" s="115" t="s">
        <v>175</v>
      </c>
      <c r="G151" s="116" t="s">
        <v>176</v>
      </c>
      <c r="H151" s="116" t="s">
        <v>159</v>
      </c>
      <c r="I151" s="117" t="s">
        <v>160</v>
      </c>
      <c r="J151" s="116" t="s">
        <v>177</v>
      </c>
      <c r="K151" s="116" t="s">
        <v>162</v>
      </c>
      <c r="L151" s="118">
        <v>5225000</v>
      </c>
      <c r="M151" s="118" t="s">
        <v>143</v>
      </c>
      <c r="N151" s="119">
        <v>44624</v>
      </c>
      <c r="O151" s="119">
        <v>45719</v>
      </c>
      <c r="P151" s="120">
        <f t="shared" si="39"/>
        <v>3</v>
      </c>
      <c r="Q151" s="114" t="s">
        <v>29</v>
      </c>
      <c r="R151" s="114">
        <f t="shared" ref="R151:R152" ca="1" si="43">(O151-NOW()+1)/31</f>
        <v>27.980346053614113</v>
      </c>
      <c r="S151" s="114" t="str">
        <f t="shared" ca="1" si="40"/>
        <v>O</v>
      </c>
      <c r="T151" s="121">
        <v>1</v>
      </c>
      <c r="U151" s="121">
        <v>1</v>
      </c>
      <c r="V151" s="121">
        <v>1</v>
      </c>
      <c r="W151" s="121">
        <f t="shared" si="37"/>
        <v>3</v>
      </c>
      <c r="X151" s="121" t="str">
        <f t="shared" si="38"/>
        <v>Biasa</v>
      </c>
      <c r="Y151" s="115"/>
      <c r="Z151" s="114" t="s">
        <v>119</v>
      </c>
      <c r="AA151" s="119">
        <f>N151+270</f>
        <v>44894</v>
      </c>
      <c r="AB151" s="119">
        <f>+N151+635</f>
        <v>45259</v>
      </c>
      <c r="AC151" s="119">
        <f>+N151+1000</f>
        <v>45624</v>
      </c>
      <c r="AD151" s="26"/>
      <c r="AE151" s="122"/>
      <c r="AF151" s="114" t="s">
        <v>118</v>
      </c>
      <c r="AG151" s="114" t="s">
        <v>119</v>
      </c>
      <c r="AH151" s="26"/>
      <c r="AI151" s="26"/>
      <c r="AJ151" s="26"/>
      <c r="AK151" s="26"/>
      <c r="AL151" s="26"/>
      <c r="AM151" s="26"/>
      <c r="AN151" s="34" t="s">
        <v>126</v>
      </c>
      <c r="AO151" s="123">
        <v>44617</v>
      </c>
      <c r="AP151" s="4"/>
      <c r="AQ151" s="4"/>
      <c r="AR151" s="4"/>
      <c r="AS151" s="4"/>
      <c r="AT151" s="4"/>
    </row>
    <row r="152" spans="1:46" s="124" customFormat="1" ht="111.95" customHeight="1" x14ac:dyDescent="0.25">
      <c r="A152" s="113">
        <v>18</v>
      </c>
      <c r="B152" s="113" t="s">
        <v>109</v>
      </c>
      <c r="C152" s="114" t="s">
        <v>120</v>
      </c>
      <c r="D152" s="113">
        <v>13</v>
      </c>
      <c r="E152" s="113" t="s">
        <v>121</v>
      </c>
      <c r="F152" s="115" t="s">
        <v>178</v>
      </c>
      <c r="G152" s="116" t="s">
        <v>179</v>
      </c>
      <c r="H152" s="116" t="s">
        <v>159</v>
      </c>
      <c r="I152" s="117" t="s">
        <v>160</v>
      </c>
      <c r="J152" s="116" t="s">
        <v>180</v>
      </c>
      <c r="K152" s="116" t="s">
        <v>162</v>
      </c>
      <c r="L152" s="118">
        <v>4000000</v>
      </c>
      <c r="M152" s="118" t="s">
        <v>143</v>
      </c>
      <c r="N152" s="119">
        <v>44114</v>
      </c>
      <c r="O152" s="119">
        <v>45208</v>
      </c>
      <c r="P152" s="120">
        <f t="shared" si="39"/>
        <v>2.9972602739726026</v>
      </c>
      <c r="Q152" s="114" t="s">
        <v>29</v>
      </c>
      <c r="R152" s="114">
        <f t="shared" ca="1" si="43"/>
        <v>11.496475085872179</v>
      </c>
      <c r="S152" s="114" t="str">
        <f t="shared" ca="1" si="40"/>
        <v>O</v>
      </c>
      <c r="T152" s="121">
        <v>1</v>
      </c>
      <c r="U152" s="121">
        <v>1</v>
      </c>
      <c r="V152" s="121">
        <v>1</v>
      </c>
      <c r="W152" s="121">
        <f t="shared" si="37"/>
        <v>3</v>
      </c>
      <c r="X152" s="121" t="str">
        <f t="shared" si="38"/>
        <v>Biasa</v>
      </c>
      <c r="Y152" s="115"/>
      <c r="Z152" s="114" t="s">
        <v>119</v>
      </c>
      <c r="AA152" s="119">
        <f>N152+270</f>
        <v>44384</v>
      </c>
      <c r="AB152" s="119">
        <f>+N152+635</f>
        <v>44749</v>
      </c>
      <c r="AC152" s="119">
        <f>+N152+1000</f>
        <v>45114</v>
      </c>
      <c r="AD152" s="26"/>
      <c r="AE152" s="122"/>
      <c r="AF152" s="114" t="s">
        <v>118</v>
      </c>
      <c r="AG152" s="114" t="s">
        <v>119</v>
      </c>
      <c r="AH152" s="26"/>
      <c r="AI152" s="26"/>
      <c r="AJ152" s="26"/>
      <c r="AK152" s="26"/>
      <c r="AL152" s="26"/>
      <c r="AM152" s="26"/>
      <c r="AN152" s="34" t="s">
        <v>126</v>
      </c>
      <c r="AO152" s="123">
        <v>44105</v>
      </c>
      <c r="AP152" s="4"/>
      <c r="AQ152" s="4"/>
      <c r="AR152" s="4"/>
      <c r="AS152" s="4"/>
      <c r="AT152" s="4"/>
    </row>
    <row r="153" spans="1:46" s="124" customFormat="1" ht="111.95" customHeight="1" x14ac:dyDescent="0.25">
      <c r="A153" s="113">
        <v>19</v>
      </c>
      <c r="B153" s="113" t="s">
        <v>109</v>
      </c>
      <c r="C153" s="114"/>
      <c r="D153" s="113"/>
      <c r="E153" s="113"/>
      <c r="F153" s="115" t="s">
        <v>181</v>
      </c>
      <c r="G153" s="116" t="s">
        <v>182</v>
      </c>
      <c r="H153" s="116" t="s">
        <v>183</v>
      </c>
      <c r="I153" s="117" t="s">
        <v>160</v>
      </c>
      <c r="J153" s="116" t="s">
        <v>184</v>
      </c>
      <c r="K153" s="116"/>
      <c r="L153" s="118">
        <v>7700000</v>
      </c>
      <c r="M153" s="118" t="s">
        <v>143</v>
      </c>
      <c r="N153" s="119">
        <v>43857</v>
      </c>
      <c r="O153" s="119">
        <v>44227</v>
      </c>
      <c r="P153" s="120">
        <f t="shared" si="39"/>
        <v>1.0136986301369864</v>
      </c>
      <c r="Q153" s="114" t="s">
        <v>29</v>
      </c>
      <c r="R153" s="114" t="s">
        <v>117</v>
      </c>
      <c r="S153" s="114" t="str">
        <f t="shared" si="40"/>
        <v>Z</v>
      </c>
      <c r="T153" s="121">
        <v>1</v>
      </c>
      <c r="U153" s="121">
        <v>1</v>
      </c>
      <c r="V153" s="121">
        <v>1</v>
      </c>
      <c r="W153" s="121">
        <f t="shared" si="37"/>
        <v>3</v>
      </c>
      <c r="X153" s="121" t="str">
        <f t="shared" si="38"/>
        <v>Biasa</v>
      </c>
      <c r="Y153" s="115"/>
      <c r="Z153" s="115"/>
      <c r="AA153" s="119"/>
      <c r="AB153" s="119"/>
      <c r="AC153" s="119"/>
      <c r="AD153" s="26"/>
      <c r="AE153" s="122"/>
      <c r="AF153" s="114" t="s">
        <v>118</v>
      </c>
      <c r="AG153" s="114" t="s">
        <v>119</v>
      </c>
      <c r="AH153" s="26"/>
      <c r="AI153" s="26"/>
      <c r="AJ153" s="26"/>
      <c r="AK153" s="26"/>
      <c r="AL153" s="26"/>
      <c r="AM153" s="26"/>
      <c r="AN153" s="26"/>
      <c r="AO153" s="123"/>
      <c r="AP153" s="4"/>
      <c r="AQ153" s="4"/>
      <c r="AR153" s="4"/>
      <c r="AS153" s="4"/>
      <c r="AT153" s="4"/>
    </row>
    <row r="154" spans="1:46" s="124" customFormat="1" ht="111.95" customHeight="1" x14ac:dyDescent="0.25">
      <c r="A154" s="113">
        <v>20</v>
      </c>
      <c r="B154" s="113" t="s">
        <v>109</v>
      </c>
      <c r="C154" s="114" t="s">
        <v>120</v>
      </c>
      <c r="D154" s="113">
        <v>14</v>
      </c>
      <c r="E154" s="113" t="s">
        <v>121</v>
      </c>
      <c r="F154" s="115" t="s">
        <v>185</v>
      </c>
      <c r="G154" s="116" t="s">
        <v>182</v>
      </c>
      <c r="H154" s="116" t="s">
        <v>159</v>
      </c>
      <c r="I154" s="117" t="s">
        <v>160</v>
      </c>
      <c r="J154" s="116" t="s">
        <v>186</v>
      </c>
      <c r="K154" s="116" t="s">
        <v>162</v>
      </c>
      <c r="L154" s="118">
        <v>4475000</v>
      </c>
      <c r="M154" s="118" t="s">
        <v>143</v>
      </c>
      <c r="N154" s="119">
        <v>44228</v>
      </c>
      <c r="O154" s="119">
        <v>45322</v>
      </c>
      <c r="P154" s="120">
        <f t="shared" si="39"/>
        <v>2.9972602739726026</v>
      </c>
      <c r="Q154" s="114" t="s">
        <v>29</v>
      </c>
      <c r="R154" s="114">
        <f ca="1">(O154-NOW()+1)/31</f>
        <v>15.173894440710889</v>
      </c>
      <c r="S154" s="114" t="str">
        <f t="shared" ca="1" si="40"/>
        <v>O</v>
      </c>
      <c r="T154" s="121">
        <v>1</v>
      </c>
      <c r="U154" s="121">
        <v>1</v>
      </c>
      <c r="V154" s="121">
        <v>1</v>
      </c>
      <c r="W154" s="121">
        <f t="shared" si="37"/>
        <v>3</v>
      </c>
      <c r="X154" s="121" t="str">
        <f t="shared" si="38"/>
        <v>Biasa</v>
      </c>
      <c r="Y154" s="115"/>
      <c r="Z154" s="114" t="s">
        <v>119</v>
      </c>
      <c r="AA154" s="119">
        <f>N154+270</f>
        <v>44498</v>
      </c>
      <c r="AB154" s="119">
        <f>+N154+635</f>
        <v>44863</v>
      </c>
      <c r="AC154" s="119">
        <f>+N154+1000</f>
        <v>45228</v>
      </c>
      <c r="AD154" s="26"/>
      <c r="AE154" s="122"/>
      <c r="AF154" s="114" t="s">
        <v>118</v>
      </c>
      <c r="AG154" s="114" t="s">
        <v>119</v>
      </c>
      <c r="AH154" s="26"/>
      <c r="AI154" s="26"/>
      <c r="AJ154" s="26"/>
      <c r="AK154" s="26"/>
      <c r="AL154" s="26"/>
      <c r="AM154" s="26"/>
      <c r="AN154" s="34" t="s">
        <v>126</v>
      </c>
      <c r="AO154" s="123">
        <v>44225</v>
      </c>
      <c r="AP154" s="4"/>
      <c r="AQ154" s="4"/>
      <c r="AR154" s="4"/>
      <c r="AS154" s="4"/>
      <c r="AT154" s="4"/>
    </row>
    <row r="155" spans="1:46" s="124" customFormat="1" ht="111.95" customHeight="1" x14ac:dyDescent="0.25">
      <c r="A155" s="113">
        <v>21</v>
      </c>
      <c r="B155" s="113" t="s">
        <v>109</v>
      </c>
      <c r="C155" s="114"/>
      <c r="D155" s="113"/>
      <c r="E155" s="113"/>
      <c r="F155" s="115" t="s">
        <v>187</v>
      </c>
      <c r="G155" s="116" t="s">
        <v>188</v>
      </c>
      <c r="H155" s="116" t="s">
        <v>159</v>
      </c>
      <c r="I155" s="117" t="s">
        <v>160</v>
      </c>
      <c r="J155" s="116" t="s">
        <v>189</v>
      </c>
      <c r="K155" s="116" t="s">
        <v>162</v>
      </c>
      <c r="L155" s="118">
        <v>5850000</v>
      </c>
      <c r="M155" s="118" t="s">
        <v>143</v>
      </c>
      <c r="N155" s="119">
        <v>44046</v>
      </c>
      <c r="O155" s="119">
        <v>44410</v>
      </c>
      <c r="P155" s="120">
        <f t="shared" si="39"/>
        <v>0.99726027397260275</v>
      </c>
      <c r="Q155" s="114" t="s">
        <v>29</v>
      </c>
      <c r="R155" s="114" t="s">
        <v>117</v>
      </c>
      <c r="S155" s="114" t="str">
        <f t="shared" si="40"/>
        <v>Z</v>
      </c>
      <c r="T155" s="121">
        <v>1</v>
      </c>
      <c r="U155" s="121">
        <v>1</v>
      </c>
      <c r="V155" s="121">
        <v>1</v>
      </c>
      <c r="W155" s="121">
        <f t="shared" si="37"/>
        <v>3</v>
      </c>
      <c r="X155" s="121" t="str">
        <f t="shared" si="38"/>
        <v>Biasa</v>
      </c>
      <c r="Y155" s="115"/>
      <c r="Z155" s="115"/>
      <c r="AA155" s="119"/>
      <c r="AB155" s="119"/>
      <c r="AC155" s="119"/>
      <c r="AD155" s="26" t="s">
        <v>16</v>
      </c>
      <c r="AE155" s="122">
        <v>44409</v>
      </c>
      <c r="AF155" s="114" t="s">
        <v>118</v>
      </c>
      <c r="AG155" s="114" t="s">
        <v>119</v>
      </c>
      <c r="AH155" s="26"/>
      <c r="AI155" s="26"/>
      <c r="AJ155" s="26"/>
      <c r="AK155" s="26"/>
      <c r="AL155" s="26"/>
      <c r="AM155" s="26"/>
      <c r="AN155" s="26"/>
      <c r="AO155" s="123"/>
      <c r="AP155" s="4"/>
      <c r="AQ155" s="4"/>
      <c r="AR155" s="4"/>
      <c r="AS155" s="4"/>
      <c r="AT155" s="4"/>
    </row>
    <row r="156" spans="1:46" s="124" customFormat="1" ht="111.95" customHeight="1" x14ac:dyDescent="0.25">
      <c r="A156" s="113">
        <v>22</v>
      </c>
      <c r="B156" s="113" t="s">
        <v>109</v>
      </c>
      <c r="C156" s="114" t="s">
        <v>120</v>
      </c>
      <c r="D156" s="113">
        <v>15</v>
      </c>
      <c r="E156" s="113" t="s">
        <v>121</v>
      </c>
      <c r="F156" s="115" t="s">
        <v>190</v>
      </c>
      <c r="G156" s="116" t="s">
        <v>191</v>
      </c>
      <c r="H156" s="116" t="s">
        <v>159</v>
      </c>
      <c r="I156" s="117" t="s">
        <v>160</v>
      </c>
      <c r="J156" s="116" t="s">
        <v>192</v>
      </c>
      <c r="K156" s="116" t="s">
        <v>162</v>
      </c>
      <c r="L156" s="118">
        <v>4475000</v>
      </c>
      <c r="M156" s="118" t="s">
        <v>143</v>
      </c>
      <c r="N156" s="119">
        <v>44412</v>
      </c>
      <c r="O156" s="119">
        <v>45507</v>
      </c>
      <c r="P156" s="120">
        <f t="shared" si="39"/>
        <v>3</v>
      </c>
      <c r="Q156" s="114" t="s">
        <v>29</v>
      </c>
      <c r="R156" s="114">
        <f t="shared" ref="R156:R157" ca="1" si="44">(O156-NOW()+1)/31</f>
        <v>21.141636376194761</v>
      </c>
      <c r="S156" s="114" t="str">
        <f t="shared" ca="1" si="40"/>
        <v>O</v>
      </c>
      <c r="T156" s="121">
        <v>1</v>
      </c>
      <c r="U156" s="121">
        <v>1</v>
      </c>
      <c r="V156" s="121">
        <v>1</v>
      </c>
      <c r="W156" s="121">
        <f t="shared" si="37"/>
        <v>3</v>
      </c>
      <c r="X156" s="121" t="str">
        <f t="shared" si="38"/>
        <v>Biasa</v>
      </c>
      <c r="Y156" s="115"/>
      <c r="Z156" s="114" t="s">
        <v>119</v>
      </c>
      <c r="AA156" s="119">
        <f>N156+270</f>
        <v>44682</v>
      </c>
      <c r="AB156" s="119">
        <f>+N156+635</f>
        <v>45047</v>
      </c>
      <c r="AC156" s="119">
        <f>+N156+1000</f>
        <v>45412</v>
      </c>
      <c r="AD156" s="26"/>
      <c r="AE156" s="122"/>
      <c r="AF156" s="114" t="s">
        <v>118</v>
      </c>
      <c r="AG156" s="114" t="s">
        <v>119</v>
      </c>
      <c r="AH156" s="26"/>
      <c r="AI156" s="26"/>
      <c r="AJ156" s="26"/>
      <c r="AK156" s="26"/>
      <c r="AL156" s="26"/>
      <c r="AM156" s="26"/>
      <c r="AN156" s="34" t="s">
        <v>126</v>
      </c>
      <c r="AO156" s="123">
        <v>44407</v>
      </c>
      <c r="AP156" s="4"/>
      <c r="AQ156" s="4"/>
      <c r="AR156" s="4"/>
      <c r="AS156" s="4"/>
      <c r="AT156" s="4"/>
    </row>
    <row r="157" spans="1:46" s="124" customFormat="1" ht="111.95" customHeight="1" x14ac:dyDescent="0.25">
      <c r="A157" s="113">
        <v>23</v>
      </c>
      <c r="B157" s="113" t="s">
        <v>109</v>
      </c>
      <c r="C157" s="114" t="s">
        <v>120</v>
      </c>
      <c r="D157" s="113">
        <v>16</v>
      </c>
      <c r="E157" s="113" t="s">
        <v>121</v>
      </c>
      <c r="F157" s="115" t="s">
        <v>193</v>
      </c>
      <c r="G157" s="116" t="s">
        <v>194</v>
      </c>
      <c r="H157" s="116" t="s">
        <v>159</v>
      </c>
      <c r="I157" s="117" t="s">
        <v>160</v>
      </c>
      <c r="J157" s="116" t="s">
        <v>186</v>
      </c>
      <c r="K157" s="116" t="s">
        <v>162</v>
      </c>
      <c r="L157" s="118">
        <v>4475000</v>
      </c>
      <c r="M157" s="118" t="s">
        <v>143</v>
      </c>
      <c r="N157" s="119">
        <v>44180</v>
      </c>
      <c r="O157" s="119">
        <v>45274</v>
      </c>
      <c r="P157" s="120">
        <f t="shared" si="39"/>
        <v>2.9972602739726026</v>
      </c>
      <c r="Q157" s="114" t="s">
        <v>29</v>
      </c>
      <c r="R157" s="114">
        <f t="shared" ca="1" si="44"/>
        <v>13.625507343936695</v>
      </c>
      <c r="S157" s="114" t="str">
        <f t="shared" ca="1" si="40"/>
        <v>O</v>
      </c>
      <c r="T157" s="121">
        <v>1</v>
      </c>
      <c r="U157" s="121">
        <v>1</v>
      </c>
      <c r="V157" s="121">
        <v>1</v>
      </c>
      <c r="W157" s="121">
        <f>T157+U157+V157</f>
        <v>3</v>
      </c>
      <c r="X157" s="121" t="str">
        <f>IF(W157&gt;5,"Penting",IF(ISBLANK(W157),"","Biasa"))</f>
        <v>Biasa</v>
      </c>
      <c r="Y157" s="115"/>
      <c r="Z157" s="114" t="s">
        <v>119</v>
      </c>
      <c r="AA157" s="119">
        <f>N157+270</f>
        <v>44450</v>
      </c>
      <c r="AB157" s="119">
        <f>+N157+635</f>
        <v>44815</v>
      </c>
      <c r="AC157" s="119">
        <f>+N157+1000</f>
        <v>45180</v>
      </c>
      <c r="AD157" s="26" t="s">
        <v>125</v>
      </c>
      <c r="AE157" s="122">
        <v>44180</v>
      </c>
      <c r="AF157" s="114" t="s">
        <v>118</v>
      </c>
      <c r="AG157" s="114" t="s">
        <v>119</v>
      </c>
      <c r="AH157" s="26"/>
      <c r="AI157" s="26"/>
      <c r="AJ157" s="26"/>
      <c r="AK157" s="26"/>
      <c r="AL157" s="26"/>
      <c r="AM157" s="26"/>
      <c r="AN157" s="34" t="s">
        <v>126</v>
      </c>
      <c r="AO157" s="123">
        <v>44179</v>
      </c>
      <c r="AP157" s="4"/>
      <c r="AQ157" s="4"/>
      <c r="AR157" s="4"/>
      <c r="AS157" s="4"/>
      <c r="AT157" s="4"/>
    </row>
    <row r="158" spans="1:46" s="124" customFormat="1" ht="111.95" customHeight="1" x14ac:dyDescent="0.25">
      <c r="A158" s="113">
        <v>24</v>
      </c>
      <c r="B158" s="113" t="s">
        <v>109</v>
      </c>
      <c r="C158" s="114"/>
      <c r="D158" s="113"/>
      <c r="E158" s="113"/>
      <c r="F158" s="115" t="s">
        <v>195</v>
      </c>
      <c r="G158" s="116" t="s">
        <v>196</v>
      </c>
      <c r="H158" s="116" t="s">
        <v>183</v>
      </c>
      <c r="I158" s="117" t="s">
        <v>160</v>
      </c>
      <c r="J158" s="116" t="s">
        <v>197</v>
      </c>
      <c r="K158" s="116"/>
      <c r="L158" s="118">
        <v>7700000</v>
      </c>
      <c r="M158" s="118" t="s">
        <v>143</v>
      </c>
      <c r="N158" s="119">
        <v>43814</v>
      </c>
      <c r="O158" s="119">
        <v>44179</v>
      </c>
      <c r="P158" s="120">
        <f t="shared" si="39"/>
        <v>1</v>
      </c>
      <c r="Q158" s="114" t="s">
        <v>29</v>
      </c>
      <c r="R158" s="114" t="s">
        <v>117</v>
      </c>
      <c r="S158" s="114" t="str">
        <f t="shared" si="40"/>
        <v>Z</v>
      </c>
      <c r="T158" s="121">
        <v>1</v>
      </c>
      <c r="U158" s="121">
        <v>1</v>
      </c>
      <c r="V158" s="121">
        <v>1</v>
      </c>
      <c r="W158" s="121">
        <f t="shared" si="37"/>
        <v>3</v>
      </c>
      <c r="X158" s="121" t="str">
        <f t="shared" si="38"/>
        <v>Biasa</v>
      </c>
      <c r="Y158" s="115"/>
      <c r="Z158" s="115"/>
      <c r="AA158" s="119"/>
      <c r="AB158" s="119"/>
      <c r="AC158" s="119"/>
      <c r="AD158" s="26" t="s">
        <v>16</v>
      </c>
      <c r="AE158" s="122">
        <v>44179</v>
      </c>
      <c r="AF158" s="114" t="s">
        <v>118</v>
      </c>
      <c r="AG158" s="114" t="s">
        <v>119</v>
      </c>
      <c r="AH158" s="26"/>
      <c r="AI158" s="26"/>
      <c r="AJ158" s="26"/>
      <c r="AK158" s="26"/>
      <c r="AL158" s="26"/>
      <c r="AM158" s="26"/>
      <c r="AN158" s="26"/>
      <c r="AO158" s="123"/>
      <c r="AP158" s="4"/>
      <c r="AQ158" s="4"/>
      <c r="AR158" s="4"/>
      <c r="AS158" s="4"/>
      <c r="AT158" s="4"/>
    </row>
    <row r="159" spans="1:46" s="124" customFormat="1" ht="111.95" customHeight="1" x14ac:dyDescent="0.25">
      <c r="A159" s="113">
        <v>25</v>
      </c>
      <c r="B159" s="113" t="s">
        <v>109</v>
      </c>
      <c r="C159" s="114"/>
      <c r="D159" s="113"/>
      <c r="E159" s="113"/>
      <c r="F159" s="115" t="s">
        <v>198</v>
      </c>
      <c r="G159" s="116" t="s">
        <v>199</v>
      </c>
      <c r="H159" s="116" t="s">
        <v>183</v>
      </c>
      <c r="I159" s="117" t="s">
        <v>160</v>
      </c>
      <c r="J159" s="116" t="s">
        <v>200</v>
      </c>
      <c r="K159" s="116"/>
      <c r="L159" s="118">
        <v>7950000</v>
      </c>
      <c r="M159" s="118" t="s">
        <v>143</v>
      </c>
      <c r="N159" s="119">
        <v>43573</v>
      </c>
      <c r="O159" s="119">
        <v>43663</v>
      </c>
      <c r="P159" s="120">
        <f t="shared" si="39"/>
        <v>0.24657534246575341</v>
      </c>
      <c r="Q159" s="114" t="s">
        <v>29</v>
      </c>
      <c r="R159" s="114" t="s">
        <v>117</v>
      </c>
      <c r="S159" s="114" t="str">
        <f t="shared" si="40"/>
        <v>Z</v>
      </c>
      <c r="T159" s="121">
        <v>1</v>
      </c>
      <c r="U159" s="121">
        <v>1</v>
      </c>
      <c r="V159" s="121">
        <v>1</v>
      </c>
      <c r="W159" s="121">
        <f t="shared" si="37"/>
        <v>3</v>
      </c>
      <c r="X159" s="121" t="str">
        <f t="shared" si="38"/>
        <v>Biasa</v>
      </c>
      <c r="Y159" s="115"/>
      <c r="Z159" s="115"/>
      <c r="AA159" s="119"/>
      <c r="AB159" s="119"/>
      <c r="AC159" s="119"/>
      <c r="AD159" s="26" t="s">
        <v>16</v>
      </c>
      <c r="AE159" s="122">
        <v>43664</v>
      </c>
      <c r="AF159" s="114" t="s">
        <v>118</v>
      </c>
      <c r="AG159" s="114" t="s">
        <v>119</v>
      </c>
      <c r="AH159" s="26"/>
      <c r="AI159" s="26"/>
      <c r="AJ159" s="26"/>
      <c r="AK159" s="26"/>
      <c r="AL159" s="26"/>
      <c r="AM159" s="26"/>
      <c r="AN159" s="26"/>
      <c r="AO159" s="123"/>
      <c r="AP159" s="4"/>
      <c r="AQ159" s="4"/>
      <c r="AR159" s="4"/>
      <c r="AS159" s="4"/>
      <c r="AT159" s="4"/>
    </row>
    <row r="160" spans="1:46" s="124" customFormat="1" ht="111.95" customHeight="1" x14ac:dyDescent="0.25">
      <c r="A160" s="113">
        <v>26</v>
      </c>
      <c r="B160" s="113" t="s">
        <v>109</v>
      </c>
      <c r="C160" s="114"/>
      <c r="D160" s="113"/>
      <c r="E160" s="113"/>
      <c r="F160" s="115" t="s">
        <v>201</v>
      </c>
      <c r="G160" s="116" t="s">
        <v>176</v>
      </c>
      <c r="H160" s="116" t="s">
        <v>159</v>
      </c>
      <c r="I160" s="117" t="s">
        <v>160</v>
      </c>
      <c r="J160" s="116" t="s">
        <v>202</v>
      </c>
      <c r="K160" s="116"/>
      <c r="L160" s="118">
        <v>5850000</v>
      </c>
      <c r="M160" s="118" t="s">
        <v>143</v>
      </c>
      <c r="N160" s="119">
        <v>43606</v>
      </c>
      <c r="O160" s="119">
        <v>43697</v>
      </c>
      <c r="P160" s="120">
        <f t="shared" si="39"/>
        <v>0.24931506849315069</v>
      </c>
      <c r="Q160" s="114" t="s">
        <v>29</v>
      </c>
      <c r="R160" s="114" t="s">
        <v>117</v>
      </c>
      <c r="S160" s="114" t="str">
        <f t="shared" si="40"/>
        <v>Z</v>
      </c>
      <c r="T160" s="121">
        <v>1</v>
      </c>
      <c r="U160" s="121">
        <v>1</v>
      </c>
      <c r="V160" s="121">
        <v>1</v>
      </c>
      <c r="W160" s="121">
        <f t="shared" si="37"/>
        <v>3</v>
      </c>
      <c r="X160" s="121" t="str">
        <f t="shared" si="38"/>
        <v>Biasa</v>
      </c>
      <c r="Y160" s="115"/>
      <c r="Z160" s="115"/>
      <c r="AA160" s="119"/>
      <c r="AB160" s="119"/>
      <c r="AC160" s="119"/>
      <c r="AD160" s="26" t="s">
        <v>16</v>
      </c>
      <c r="AE160" s="122">
        <v>43698</v>
      </c>
      <c r="AF160" s="114" t="s">
        <v>118</v>
      </c>
      <c r="AG160" s="114" t="s">
        <v>119</v>
      </c>
      <c r="AH160" s="26"/>
      <c r="AI160" s="26"/>
      <c r="AJ160" s="26"/>
      <c r="AK160" s="26"/>
      <c r="AL160" s="26"/>
      <c r="AM160" s="26"/>
      <c r="AN160" s="26"/>
      <c r="AO160" s="123"/>
      <c r="AP160" s="4"/>
      <c r="AQ160" s="4"/>
      <c r="AR160" s="4"/>
      <c r="AS160" s="4"/>
      <c r="AT160" s="4"/>
    </row>
    <row r="161" spans="1:46" s="124" customFormat="1" ht="111.95" customHeight="1" x14ac:dyDescent="0.25">
      <c r="A161" s="113">
        <v>27</v>
      </c>
      <c r="B161" s="113" t="s">
        <v>109</v>
      </c>
      <c r="C161" s="114" t="s">
        <v>120</v>
      </c>
      <c r="D161" s="113">
        <v>42</v>
      </c>
      <c r="E161" s="113" t="s">
        <v>121</v>
      </c>
      <c r="F161" s="115" t="s">
        <v>203</v>
      </c>
      <c r="G161" s="116" t="s">
        <v>204</v>
      </c>
      <c r="H161" s="116" t="s">
        <v>205</v>
      </c>
      <c r="I161" s="117" t="s">
        <v>113</v>
      </c>
      <c r="J161" s="116" t="s">
        <v>206</v>
      </c>
      <c r="K161" s="116"/>
      <c r="L161" s="118">
        <v>7100000</v>
      </c>
      <c r="M161" s="118" t="s">
        <v>143</v>
      </c>
      <c r="N161" s="119">
        <v>43800</v>
      </c>
      <c r="O161" s="119">
        <v>44895</v>
      </c>
      <c r="P161" s="120">
        <f t="shared" si="39"/>
        <v>3</v>
      </c>
      <c r="Q161" s="114" t="s">
        <v>29</v>
      </c>
      <c r="R161" s="114">
        <f t="shared" ref="R161:R166" ca="1" si="45">(O161-NOW()+1)/31</f>
        <v>1.3997008923237915</v>
      </c>
      <c r="S161" s="114" t="str">
        <f t="shared" ca="1" si="40"/>
        <v>O</v>
      </c>
      <c r="T161" s="121">
        <v>1</v>
      </c>
      <c r="U161" s="121">
        <v>1</v>
      </c>
      <c r="V161" s="121">
        <v>1</v>
      </c>
      <c r="W161" s="121">
        <f t="shared" si="37"/>
        <v>3</v>
      </c>
      <c r="X161" s="121" t="str">
        <f t="shared" si="38"/>
        <v>Biasa</v>
      </c>
      <c r="Y161" s="115"/>
      <c r="Z161" s="114" t="s">
        <v>119</v>
      </c>
      <c r="AA161" s="119">
        <f>N161+270</f>
        <v>44070</v>
      </c>
      <c r="AB161" s="119">
        <f>+N161+635</f>
        <v>44435</v>
      </c>
      <c r="AC161" s="119">
        <f>+N161+1000</f>
        <v>44800</v>
      </c>
      <c r="AD161" s="26" t="s">
        <v>125</v>
      </c>
      <c r="AE161" s="122">
        <v>43836</v>
      </c>
      <c r="AF161" s="114" t="s">
        <v>118</v>
      </c>
      <c r="AG161" s="114" t="s">
        <v>119</v>
      </c>
      <c r="AH161" s="26"/>
      <c r="AI161" s="26"/>
      <c r="AJ161" s="26"/>
      <c r="AK161" s="26"/>
      <c r="AL161" s="26"/>
      <c r="AM161" s="26"/>
      <c r="AN161" s="34" t="s">
        <v>126</v>
      </c>
      <c r="AO161" s="123">
        <v>43902</v>
      </c>
      <c r="AP161" s="4"/>
      <c r="AQ161" s="4"/>
      <c r="AR161" s="4"/>
      <c r="AS161" s="4"/>
      <c r="AT161" s="4"/>
    </row>
    <row r="162" spans="1:46" s="124" customFormat="1" ht="111.95" customHeight="1" x14ac:dyDescent="0.25">
      <c r="A162" s="113">
        <v>28</v>
      </c>
      <c r="B162" s="113" t="s">
        <v>109</v>
      </c>
      <c r="C162" s="114" t="s">
        <v>120</v>
      </c>
      <c r="D162" s="113">
        <v>43</v>
      </c>
      <c r="E162" s="113" t="s">
        <v>121</v>
      </c>
      <c r="F162" s="115" t="s">
        <v>207</v>
      </c>
      <c r="G162" s="116" t="s">
        <v>208</v>
      </c>
      <c r="H162" s="116" t="s">
        <v>159</v>
      </c>
      <c r="I162" s="117" t="s">
        <v>160</v>
      </c>
      <c r="J162" s="116" t="s">
        <v>209</v>
      </c>
      <c r="K162" s="116"/>
      <c r="L162" s="118">
        <v>6950000</v>
      </c>
      <c r="M162" s="118" t="s">
        <v>143</v>
      </c>
      <c r="N162" s="119">
        <v>43863</v>
      </c>
      <c r="O162" s="119">
        <v>44958</v>
      </c>
      <c r="P162" s="120">
        <f t="shared" si="39"/>
        <v>3</v>
      </c>
      <c r="Q162" s="114" t="s">
        <v>29</v>
      </c>
      <c r="R162" s="114">
        <f t="shared" ca="1" si="45"/>
        <v>3.4319589568399205</v>
      </c>
      <c r="S162" s="114" t="str">
        <f t="shared" ca="1" si="40"/>
        <v>O</v>
      </c>
      <c r="T162" s="121">
        <v>1</v>
      </c>
      <c r="U162" s="121">
        <v>1</v>
      </c>
      <c r="V162" s="121">
        <v>1</v>
      </c>
      <c r="W162" s="121">
        <f t="shared" si="37"/>
        <v>3</v>
      </c>
      <c r="X162" s="121" t="str">
        <f t="shared" si="38"/>
        <v>Biasa</v>
      </c>
      <c r="Y162" s="115"/>
      <c r="Z162" s="114" t="s">
        <v>119</v>
      </c>
      <c r="AA162" s="119">
        <f>N162+270</f>
        <v>44133</v>
      </c>
      <c r="AB162" s="119">
        <f>+N162+635</f>
        <v>44498</v>
      </c>
      <c r="AC162" s="119">
        <f>+N162+1000</f>
        <v>44863</v>
      </c>
      <c r="AD162" s="26" t="s">
        <v>125</v>
      </c>
      <c r="AE162" s="122">
        <v>43862</v>
      </c>
      <c r="AF162" s="114" t="s">
        <v>118</v>
      </c>
      <c r="AG162" s="114" t="s">
        <v>119</v>
      </c>
      <c r="AH162" s="26"/>
      <c r="AI162" s="26"/>
      <c r="AJ162" s="26"/>
      <c r="AK162" s="26"/>
      <c r="AL162" s="26"/>
      <c r="AM162" s="26"/>
      <c r="AN162" s="34" t="s">
        <v>126</v>
      </c>
      <c r="AO162" s="123">
        <v>43867</v>
      </c>
      <c r="AP162" s="4"/>
      <c r="AQ162" s="4"/>
      <c r="AR162" s="4"/>
      <c r="AS162" s="4"/>
      <c r="AT162" s="4"/>
    </row>
    <row r="163" spans="1:46" s="124" customFormat="1" ht="111.95" customHeight="1" x14ac:dyDescent="0.25">
      <c r="A163" s="113">
        <v>29</v>
      </c>
      <c r="B163" s="113" t="s">
        <v>109</v>
      </c>
      <c r="C163" s="114" t="s">
        <v>120</v>
      </c>
      <c r="D163" s="113">
        <v>44</v>
      </c>
      <c r="E163" s="113" t="s">
        <v>121</v>
      </c>
      <c r="F163" s="115" t="s">
        <v>210</v>
      </c>
      <c r="G163" s="116" t="s">
        <v>211</v>
      </c>
      <c r="H163" s="116" t="s">
        <v>159</v>
      </c>
      <c r="I163" s="117" t="s">
        <v>160</v>
      </c>
      <c r="J163" s="116" t="s">
        <v>212</v>
      </c>
      <c r="K163" s="116"/>
      <c r="L163" s="118">
        <v>6650000</v>
      </c>
      <c r="M163" s="118" t="s">
        <v>143</v>
      </c>
      <c r="N163" s="119">
        <v>43865</v>
      </c>
      <c r="O163" s="119">
        <v>44960</v>
      </c>
      <c r="P163" s="120">
        <f t="shared" si="39"/>
        <v>3</v>
      </c>
      <c r="Q163" s="114" t="s">
        <v>29</v>
      </c>
      <c r="R163" s="114">
        <f t="shared" ca="1" si="45"/>
        <v>3.4964750858721785</v>
      </c>
      <c r="S163" s="114" t="str">
        <f t="shared" ca="1" si="40"/>
        <v>O</v>
      </c>
      <c r="T163" s="121">
        <v>1</v>
      </c>
      <c r="U163" s="121">
        <v>1</v>
      </c>
      <c r="V163" s="121">
        <v>1</v>
      </c>
      <c r="W163" s="121">
        <f t="shared" si="37"/>
        <v>3</v>
      </c>
      <c r="X163" s="121" t="str">
        <f t="shared" si="38"/>
        <v>Biasa</v>
      </c>
      <c r="Y163" s="115"/>
      <c r="Z163" s="114" t="s">
        <v>119</v>
      </c>
      <c r="AA163" s="119">
        <f>N163+270</f>
        <v>44135</v>
      </c>
      <c r="AB163" s="119">
        <f>+N163+635</f>
        <v>44500</v>
      </c>
      <c r="AC163" s="119">
        <f>+N163+1000</f>
        <v>44865</v>
      </c>
      <c r="AD163" s="26" t="s">
        <v>125</v>
      </c>
      <c r="AE163" s="122">
        <v>43862</v>
      </c>
      <c r="AF163" s="114" t="s">
        <v>118</v>
      </c>
      <c r="AG163" s="114" t="s">
        <v>119</v>
      </c>
      <c r="AH163" s="26"/>
      <c r="AI163" s="26"/>
      <c r="AJ163" s="26"/>
      <c r="AK163" s="26"/>
      <c r="AL163" s="26"/>
      <c r="AM163" s="26"/>
      <c r="AN163" s="34" t="s">
        <v>126</v>
      </c>
      <c r="AO163" s="123">
        <v>43867</v>
      </c>
      <c r="AP163" s="4"/>
      <c r="AQ163" s="4"/>
      <c r="AR163" s="4"/>
      <c r="AS163" s="4"/>
      <c r="AT163" s="4"/>
    </row>
    <row r="164" spans="1:46" s="124" customFormat="1" ht="111.95" customHeight="1" x14ac:dyDescent="0.25">
      <c r="A164" s="113">
        <v>30</v>
      </c>
      <c r="B164" s="113" t="s">
        <v>109</v>
      </c>
      <c r="C164" s="114" t="s">
        <v>120</v>
      </c>
      <c r="D164" s="113">
        <v>10</v>
      </c>
      <c r="E164" s="113" t="s">
        <v>121</v>
      </c>
      <c r="F164" s="115" t="s">
        <v>213</v>
      </c>
      <c r="G164" s="116" t="s">
        <v>214</v>
      </c>
      <c r="H164" s="116" t="s">
        <v>205</v>
      </c>
      <c r="I164" s="117" t="s">
        <v>113</v>
      </c>
      <c r="J164" s="116" t="s">
        <v>215</v>
      </c>
      <c r="K164" s="116"/>
      <c r="L164" s="118">
        <v>6350000</v>
      </c>
      <c r="M164" s="118" t="s">
        <v>143</v>
      </c>
      <c r="N164" s="119">
        <v>44378</v>
      </c>
      <c r="O164" s="119">
        <v>44742</v>
      </c>
      <c r="P164" s="120">
        <f>(O164-N164)/365</f>
        <v>0.99726027397260275</v>
      </c>
      <c r="Q164" s="114" t="s">
        <v>29</v>
      </c>
      <c r="R164" s="114">
        <f t="shared" ca="1" si="45"/>
        <v>-3.5357829786439505</v>
      </c>
      <c r="S164" s="114" t="str">
        <f t="shared" ca="1" si="40"/>
        <v>Y</v>
      </c>
      <c r="T164" s="121">
        <v>1</v>
      </c>
      <c r="U164" s="121">
        <v>1</v>
      </c>
      <c r="V164" s="121">
        <v>1</v>
      </c>
      <c r="W164" s="121">
        <f t="shared" si="37"/>
        <v>3</v>
      </c>
      <c r="X164" s="121" t="str">
        <f t="shared" si="38"/>
        <v>Biasa</v>
      </c>
      <c r="Y164" s="115"/>
      <c r="Z164" s="125"/>
      <c r="AA164" s="119"/>
      <c r="AB164" s="119"/>
      <c r="AC164" s="119"/>
      <c r="AD164" s="26" t="s">
        <v>125</v>
      </c>
      <c r="AE164" s="122">
        <v>44075</v>
      </c>
      <c r="AF164" s="114" t="s">
        <v>118</v>
      </c>
      <c r="AG164" s="114" t="s">
        <v>216</v>
      </c>
      <c r="AH164" s="26"/>
      <c r="AI164" s="26"/>
      <c r="AJ164" s="26"/>
      <c r="AK164" s="26"/>
      <c r="AL164" s="26"/>
      <c r="AM164" s="26"/>
      <c r="AN164" s="34" t="s">
        <v>126</v>
      </c>
      <c r="AO164" s="123"/>
      <c r="AP164" s="4"/>
      <c r="AQ164" s="4"/>
      <c r="AR164" s="4"/>
      <c r="AS164" s="4"/>
      <c r="AT164" s="4"/>
    </row>
    <row r="165" spans="1:46" s="124" customFormat="1" ht="111.95" customHeight="1" x14ac:dyDescent="0.25">
      <c r="A165" s="113">
        <v>31</v>
      </c>
      <c r="B165" s="113" t="s">
        <v>109</v>
      </c>
      <c r="C165" s="114" t="s">
        <v>120</v>
      </c>
      <c r="D165" s="113">
        <v>47</v>
      </c>
      <c r="E165" s="113" t="s">
        <v>121</v>
      </c>
      <c r="F165" s="115" t="s">
        <v>217</v>
      </c>
      <c r="G165" s="116" t="s">
        <v>218</v>
      </c>
      <c r="H165" s="116" t="s">
        <v>159</v>
      </c>
      <c r="I165" s="117" t="s">
        <v>160</v>
      </c>
      <c r="J165" s="116" t="s">
        <v>219</v>
      </c>
      <c r="K165" s="116"/>
      <c r="L165" s="118">
        <v>4525000</v>
      </c>
      <c r="M165" s="118" t="s">
        <v>143</v>
      </c>
      <c r="N165" s="119">
        <v>44317</v>
      </c>
      <c r="O165" s="119">
        <v>45412</v>
      </c>
      <c r="P165" s="120">
        <f>(O165-N165)/365</f>
        <v>3</v>
      </c>
      <c r="Q165" s="114" t="s">
        <v>29</v>
      </c>
      <c r="R165" s="114">
        <f t="shared" ca="1" si="45"/>
        <v>18.077120247162501</v>
      </c>
      <c r="S165" s="114" t="str">
        <f t="shared" ca="1" si="40"/>
        <v>O</v>
      </c>
      <c r="T165" s="121">
        <v>1</v>
      </c>
      <c r="U165" s="121">
        <v>1</v>
      </c>
      <c r="V165" s="121">
        <v>1</v>
      </c>
      <c r="W165" s="121">
        <f t="shared" si="37"/>
        <v>3</v>
      </c>
      <c r="X165" s="121" t="str">
        <f t="shared" si="38"/>
        <v>Biasa</v>
      </c>
      <c r="Y165" s="115"/>
      <c r="Z165" s="114" t="s">
        <v>119</v>
      </c>
      <c r="AA165" s="119">
        <f>N165+270</f>
        <v>44587</v>
      </c>
      <c r="AB165" s="119">
        <f>+N165+635</f>
        <v>44952</v>
      </c>
      <c r="AC165" s="119">
        <f>+N165+1000</f>
        <v>45317</v>
      </c>
      <c r="AD165" s="26" t="s">
        <v>125</v>
      </c>
      <c r="AE165" s="122">
        <v>44317</v>
      </c>
      <c r="AF165" s="114" t="s">
        <v>118</v>
      </c>
      <c r="AG165" s="114" t="s">
        <v>119</v>
      </c>
      <c r="AH165" s="26"/>
      <c r="AI165" s="26"/>
      <c r="AJ165" s="26"/>
      <c r="AK165" s="26"/>
      <c r="AL165" s="26"/>
      <c r="AM165" s="26"/>
      <c r="AN165" s="34" t="s">
        <v>126</v>
      </c>
      <c r="AO165" s="123"/>
      <c r="AP165" s="4"/>
      <c r="AQ165" s="4"/>
      <c r="AR165" s="4"/>
      <c r="AS165" s="4"/>
      <c r="AT165" s="4"/>
    </row>
    <row r="166" spans="1:46" s="124" customFormat="1" ht="111.95" customHeight="1" x14ac:dyDescent="0.25">
      <c r="A166" s="113">
        <v>32</v>
      </c>
      <c r="B166" s="113" t="s">
        <v>109</v>
      </c>
      <c r="C166" s="114" t="s">
        <v>120</v>
      </c>
      <c r="D166" s="113">
        <v>46</v>
      </c>
      <c r="E166" s="113" t="s">
        <v>121</v>
      </c>
      <c r="F166" s="115" t="s">
        <v>220</v>
      </c>
      <c r="G166" s="116" t="s">
        <v>221</v>
      </c>
      <c r="H166" s="116" t="s">
        <v>159</v>
      </c>
      <c r="I166" s="117" t="s">
        <v>160</v>
      </c>
      <c r="J166" s="116" t="s">
        <v>222</v>
      </c>
      <c r="K166" s="116"/>
      <c r="L166" s="118">
        <v>4675000</v>
      </c>
      <c r="M166" s="118" t="s">
        <v>143</v>
      </c>
      <c r="N166" s="119">
        <v>44470</v>
      </c>
      <c r="O166" s="119">
        <v>45565</v>
      </c>
      <c r="P166" s="120">
        <f>(O166-N166)/365</f>
        <v>3</v>
      </c>
      <c r="Q166" s="114" t="s">
        <v>29</v>
      </c>
      <c r="R166" s="114">
        <f t="shared" ca="1" si="45"/>
        <v>23.012604118130245</v>
      </c>
      <c r="S166" s="114" t="str">
        <f t="shared" ca="1" si="40"/>
        <v>O</v>
      </c>
      <c r="T166" s="121">
        <v>1</v>
      </c>
      <c r="U166" s="121">
        <v>1</v>
      </c>
      <c r="V166" s="121">
        <v>1</v>
      </c>
      <c r="W166" s="121">
        <f t="shared" si="37"/>
        <v>3</v>
      </c>
      <c r="X166" s="121" t="str">
        <f t="shared" si="38"/>
        <v>Biasa</v>
      </c>
      <c r="Y166" s="115"/>
      <c r="Z166" s="114" t="s">
        <v>119</v>
      </c>
      <c r="AA166" s="119">
        <f>N166+270</f>
        <v>44740</v>
      </c>
      <c r="AB166" s="119">
        <f>+N166+635</f>
        <v>45105</v>
      </c>
      <c r="AC166" s="119">
        <f>+N166+1000</f>
        <v>45470</v>
      </c>
      <c r="AD166" s="26" t="s">
        <v>125</v>
      </c>
      <c r="AE166" s="122">
        <v>44470</v>
      </c>
      <c r="AF166" s="114" t="s">
        <v>118</v>
      </c>
      <c r="AG166" s="114" t="s">
        <v>119</v>
      </c>
      <c r="AH166" s="26"/>
      <c r="AI166" s="26"/>
      <c r="AJ166" s="26"/>
      <c r="AK166" s="26"/>
      <c r="AL166" s="26"/>
      <c r="AM166" s="26"/>
      <c r="AN166" s="34" t="s">
        <v>126</v>
      </c>
      <c r="AO166" s="123"/>
      <c r="AP166" s="4"/>
      <c r="AQ166" s="4"/>
      <c r="AR166" s="4"/>
      <c r="AS166" s="4"/>
      <c r="AT166" s="4"/>
    </row>
    <row r="167" spans="1:46" s="124" customFormat="1" ht="111.95" customHeight="1" x14ac:dyDescent="0.25">
      <c r="A167" s="113">
        <v>33</v>
      </c>
      <c r="B167" s="113" t="s">
        <v>109</v>
      </c>
      <c r="C167" s="114"/>
      <c r="D167" s="113"/>
      <c r="E167" s="113"/>
      <c r="F167" s="115" t="s">
        <v>223</v>
      </c>
      <c r="G167" s="116" t="s">
        <v>182</v>
      </c>
      <c r="H167" s="116" t="s">
        <v>183</v>
      </c>
      <c r="I167" s="117" t="s">
        <v>160</v>
      </c>
      <c r="J167" s="116" t="s">
        <v>224</v>
      </c>
      <c r="K167" s="116"/>
      <c r="L167" s="118">
        <v>7500000</v>
      </c>
      <c r="M167" s="118" t="s">
        <v>143</v>
      </c>
      <c r="N167" s="119">
        <v>43895</v>
      </c>
      <c r="O167" s="119">
        <v>43988</v>
      </c>
      <c r="P167" s="120">
        <f t="shared" si="39"/>
        <v>0.25479452054794521</v>
      </c>
      <c r="Q167" s="114" t="s">
        <v>29</v>
      </c>
      <c r="R167" s="114" t="s">
        <v>117</v>
      </c>
      <c r="S167" s="114" t="str">
        <f t="shared" si="40"/>
        <v>Z</v>
      </c>
      <c r="T167" s="121">
        <v>1</v>
      </c>
      <c r="U167" s="121">
        <v>1</v>
      </c>
      <c r="V167" s="121">
        <v>1</v>
      </c>
      <c r="W167" s="121">
        <f t="shared" si="37"/>
        <v>3</v>
      </c>
      <c r="X167" s="121" t="str">
        <f t="shared" si="38"/>
        <v>Biasa</v>
      </c>
      <c r="Y167" s="115"/>
      <c r="Z167" s="115"/>
      <c r="AA167" s="119"/>
      <c r="AB167" s="119"/>
      <c r="AC167" s="119"/>
      <c r="AD167" s="26" t="s">
        <v>125</v>
      </c>
      <c r="AE167" s="122">
        <v>43922</v>
      </c>
      <c r="AF167" s="114" t="s">
        <v>118</v>
      </c>
      <c r="AG167" s="114" t="s">
        <v>119</v>
      </c>
      <c r="AH167" s="26"/>
      <c r="AI167" s="26"/>
      <c r="AJ167" s="26"/>
      <c r="AK167" s="26"/>
      <c r="AL167" s="26"/>
      <c r="AM167" s="26"/>
      <c r="AN167" s="26"/>
      <c r="AO167" s="123"/>
      <c r="AP167" s="4"/>
      <c r="AQ167" s="4"/>
      <c r="AR167" s="4"/>
      <c r="AS167" s="4"/>
      <c r="AT167" s="4"/>
    </row>
    <row r="168" spans="1:46" s="124" customFormat="1" ht="111.95" customHeight="1" x14ac:dyDescent="0.25">
      <c r="A168" s="113">
        <v>34</v>
      </c>
      <c r="B168" s="113" t="s">
        <v>109</v>
      </c>
      <c r="C168" s="114" t="s">
        <v>120</v>
      </c>
      <c r="D168" s="113">
        <v>2</v>
      </c>
      <c r="E168" s="113" t="s">
        <v>121</v>
      </c>
      <c r="F168" s="115" t="s">
        <v>225</v>
      </c>
      <c r="G168" s="116" t="s">
        <v>226</v>
      </c>
      <c r="H168" s="116" t="s">
        <v>227</v>
      </c>
      <c r="I168" s="117" t="s">
        <v>113</v>
      </c>
      <c r="J168" s="116" t="s">
        <v>228</v>
      </c>
      <c r="K168" s="116"/>
      <c r="L168" s="118">
        <v>11956174</v>
      </c>
      <c r="M168" s="118" t="s">
        <v>143</v>
      </c>
      <c r="N168" s="119">
        <v>44562</v>
      </c>
      <c r="O168" s="119">
        <v>44742</v>
      </c>
      <c r="P168" s="120">
        <f t="shared" si="39"/>
        <v>0.49315068493150682</v>
      </c>
      <c r="Q168" s="114" t="s">
        <v>29</v>
      </c>
      <c r="R168" s="114">
        <f ca="1">(O168-NOW()+1)/31</f>
        <v>-3.5357829786439505</v>
      </c>
      <c r="S168" s="114" t="str">
        <f t="shared" ca="1" si="40"/>
        <v>Y</v>
      </c>
      <c r="T168" s="121">
        <v>1</v>
      </c>
      <c r="U168" s="121">
        <v>1</v>
      </c>
      <c r="V168" s="121">
        <v>1</v>
      </c>
      <c r="W168" s="121">
        <f t="shared" si="37"/>
        <v>3</v>
      </c>
      <c r="X168" s="121" t="str">
        <f t="shared" si="38"/>
        <v>Biasa</v>
      </c>
      <c r="Y168" s="115" t="s">
        <v>229</v>
      </c>
      <c r="Z168" s="125"/>
      <c r="AA168" s="119"/>
      <c r="AB168" s="119"/>
      <c r="AC168" s="119"/>
      <c r="AD168" s="26"/>
      <c r="AE168" s="122"/>
      <c r="AF168" s="114" t="s">
        <v>230</v>
      </c>
      <c r="AG168" s="114" t="s">
        <v>119</v>
      </c>
      <c r="AH168" s="26"/>
      <c r="AI168" s="26"/>
      <c r="AJ168" s="26"/>
      <c r="AK168" s="26"/>
      <c r="AL168" s="26"/>
      <c r="AM168" s="26"/>
      <c r="AN168" s="34" t="s">
        <v>126</v>
      </c>
      <c r="AO168" s="123"/>
      <c r="AP168" s="4"/>
      <c r="AQ168" s="4"/>
      <c r="AR168" s="4"/>
      <c r="AS168" s="4"/>
      <c r="AT168" s="4"/>
    </row>
    <row r="169" spans="1:46" s="124" customFormat="1" ht="111.95" customHeight="1" x14ac:dyDescent="0.25">
      <c r="A169" s="113">
        <v>35</v>
      </c>
      <c r="B169" s="113" t="s">
        <v>109</v>
      </c>
      <c r="C169" s="114" t="s">
        <v>120</v>
      </c>
      <c r="D169" s="113">
        <v>17</v>
      </c>
      <c r="E169" s="113" t="s">
        <v>121</v>
      </c>
      <c r="F169" s="115" t="s">
        <v>231</v>
      </c>
      <c r="G169" s="116" t="s">
        <v>226</v>
      </c>
      <c r="H169" s="116" t="s">
        <v>232</v>
      </c>
      <c r="I169" s="117" t="s">
        <v>160</v>
      </c>
      <c r="J169" s="116" t="s">
        <v>233</v>
      </c>
      <c r="K169" s="116" t="s">
        <v>234</v>
      </c>
      <c r="L169" s="126">
        <v>93933496.989999995</v>
      </c>
      <c r="M169" s="118" t="s">
        <v>143</v>
      </c>
      <c r="N169" s="119">
        <v>44562</v>
      </c>
      <c r="O169" s="119">
        <v>44926</v>
      </c>
      <c r="P169" s="120">
        <f t="shared" si="39"/>
        <v>0.99726027397260275</v>
      </c>
      <c r="Q169" s="114" t="s">
        <v>29</v>
      </c>
      <c r="R169" s="114">
        <f ca="1">(O169-NOW()+1)/31</f>
        <v>2.3997008923237915</v>
      </c>
      <c r="S169" s="114" t="str">
        <f t="shared" ca="1" si="40"/>
        <v>O</v>
      </c>
      <c r="T169" s="121">
        <v>1</v>
      </c>
      <c r="U169" s="121">
        <v>2</v>
      </c>
      <c r="V169" s="121">
        <v>2</v>
      </c>
      <c r="W169" s="121">
        <v>5</v>
      </c>
      <c r="X169" s="121" t="str">
        <f t="shared" si="38"/>
        <v>Biasa</v>
      </c>
      <c r="Y169" s="115"/>
      <c r="Z169" s="125"/>
      <c r="AA169" s="119"/>
      <c r="AB169" s="119"/>
      <c r="AC169" s="119"/>
      <c r="AD169" s="26"/>
      <c r="AE169" s="122"/>
      <c r="AF169" s="114" t="s">
        <v>230</v>
      </c>
      <c r="AG169" s="114" t="s">
        <v>119</v>
      </c>
      <c r="AH169" s="26"/>
      <c r="AI169" s="26"/>
      <c r="AJ169" s="26"/>
      <c r="AK169" s="26"/>
      <c r="AL169" s="26"/>
      <c r="AM169" s="26"/>
      <c r="AN169" s="34" t="s">
        <v>126</v>
      </c>
      <c r="AO169" s="123">
        <v>44560</v>
      </c>
      <c r="AP169" s="4"/>
      <c r="AQ169" s="4"/>
      <c r="AR169" s="4"/>
      <c r="AS169" s="4"/>
      <c r="AT169" s="4"/>
    </row>
    <row r="170" spans="1:46" s="124" customFormat="1" ht="111.95" customHeight="1" x14ac:dyDescent="0.25">
      <c r="A170" s="113">
        <v>36</v>
      </c>
      <c r="B170" s="113" t="s">
        <v>109</v>
      </c>
      <c r="C170" s="114"/>
      <c r="D170" s="113"/>
      <c r="E170" s="113"/>
      <c r="F170" s="115"/>
      <c r="G170" s="116" t="s">
        <v>235</v>
      </c>
      <c r="H170" s="116" t="s">
        <v>232</v>
      </c>
      <c r="I170" s="117" t="s">
        <v>160</v>
      </c>
      <c r="J170" s="116" t="s">
        <v>236</v>
      </c>
      <c r="K170" s="116" t="s">
        <v>234</v>
      </c>
      <c r="L170" s="118">
        <v>16176744</v>
      </c>
      <c r="M170" s="118" t="s">
        <v>143</v>
      </c>
      <c r="N170" s="119">
        <v>43112</v>
      </c>
      <c r="O170" s="119">
        <v>43373</v>
      </c>
      <c r="P170" s="120">
        <f t="shared" si="39"/>
        <v>0.71506849315068488</v>
      </c>
      <c r="Q170" s="114" t="s">
        <v>29</v>
      </c>
      <c r="R170" s="114" t="s">
        <v>117</v>
      </c>
      <c r="S170" s="114" t="str">
        <f>IF(R170="End","Z",IF(R170="Cancel","C",IF(SUM(R170)&gt;0,"O",IF(ISBLANK(R170),"X",IF(SUM(R170)&lt;0,"Y",IF(SUM(R170),"-","O"))))))</f>
        <v>Z</v>
      </c>
      <c r="T170" s="121">
        <v>1</v>
      </c>
      <c r="U170" s="121">
        <v>2</v>
      </c>
      <c r="V170" s="121">
        <v>2</v>
      </c>
      <c r="W170" s="121">
        <f>T170+U170+V170</f>
        <v>5</v>
      </c>
      <c r="X170" s="121" t="str">
        <f>IF(W170&gt;5,"Penting",IF(ISBLANK(W170),"","Biasa"))</f>
        <v>Biasa</v>
      </c>
      <c r="Y170" s="115"/>
      <c r="Z170" s="115"/>
      <c r="AA170" s="119"/>
      <c r="AB170" s="119"/>
      <c r="AC170" s="119"/>
      <c r="AD170" s="26" t="s">
        <v>237</v>
      </c>
      <c r="AE170" s="122">
        <v>43556</v>
      </c>
      <c r="AF170" s="114" t="s">
        <v>230</v>
      </c>
      <c r="AG170" s="114"/>
      <c r="AH170" s="26"/>
      <c r="AI170" s="26"/>
      <c r="AJ170" s="26"/>
      <c r="AK170" s="26"/>
      <c r="AL170" s="26"/>
      <c r="AM170" s="26"/>
      <c r="AN170" s="26"/>
      <c r="AO170" s="123"/>
      <c r="AP170" s="4"/>
      <c r="AQ170" s="4"/>
      <c r="AR170" s="4"/>
      <c r="AS170" s="4"/>
      <c r="AT170" s="4"/>
    </row>
    <row r="171" spans="1:46" s="124" customFormat="1" ht="111.95" customHeight="1" x14ac:dyDescent="0.25">
      <c r="A171" s="113">
        <v>37</v>
      </c>
      <c r="B171" s="113" t="s">
        <v>109</v>
      </c>
      <c r="C171" s="114"/>
      <c r="D171" s="113"/>
      <c r="E171" s="113"/>
      <c r="F171" s="115" t="s">
        <v>238</v>
      </c>
      <c r="G171" s="116" t="s">
        <v>239</v>
      </c>
      <c r="H171" s="116" t="s">
        <v>232</v>
      </c>
      <c r="I171" s="117" t="s">
        <v>160</v>
      </c>
      <c r="J171" s="116" t="s">
        <v>240</v>
      </c>
      <c r="K171" s="116" t="s">
        <v>234</v>
      </c>
      <c r="L171" s="118">
        <v>23912400</v>
      </c>
      <c r="M171" s="118" t="s">
        <v>143</v>
      </c>
      <c r="N171" s="119">
        <v>43132</v>
      </c>
      <c r="O171" s="119">
        <v>43220</v>
      </c>
      <c r="P171" s="120">
        <f t="shared" si="39"/>
        <v>0.24109589041095891</v>
      </c>
      <c r="Q171" s="114" t="s">
        <v>29</v>
      </c>
      <c r="R171" s="114" t="s">
        <v>117</v>
      </c>
      <c r="S171" s="114" t="str">
        <f>IF(R171="End","Z",IF(R171="Cancel","C",IF(SUM(R171)&gt;0,"O",IF(ISBLANK(R171),"X",IF(SUM(R171)&lt;0,"Y",IF(SUM(R171),"-","O"))))))</f>
        <v>Z</v>
      </c>
      <c r="T171" s="121">
        <v>1</v>
      </c>
      <c r="U171" s="121">
        <v>2</v>
      </c>
      <c r="V171" s="121">
        <v>2</v>
      </c>
      <c r="W171" s="121">
        <f>T171+U171+V171</f>
        <v>5</v>
      </c>
      <c r="X171" s="121" t="str">
        <f>IF(W171&gt;5,"Penting",IF(ISBLANK(W171),"","Biasa"))</f>
        <v>Biasa</v>
      </c>
      <c r="Y171" s="115"/>
      <c r="Z171" s="115"/>
      <c r="AA171" s="119"/>
      <c r="AB171" s="119"/>
      <c r="AC171" s="119"/>
      <c r="AD171" s="26" t="s">
        <v>237</v>
      </c>
      <c r="AE171" s="122">
        <v>43556</v>
      </c>
      <c r="AF171" s="114" t="s">
        <v>230</v>
      </c>
      <c r="AG171" s="114"/>
      <c r="AH171" s="26"/>
      <c r="AI171" s="26"/>
      <c r="AJ171" s="26"/>
      <c r="AK171" s="26"/>
      <c r="AL171" s="26"/>
      <c r="AM171" s="26"/>
      <c r="AN171" s="26"/>
      <c r="AO171" s="123"/>
      <c r="AP171" s="4"/>
      <c r="AQ171" s="4"/>
      <c r="AR171" s="4"/>
      <c r="AS171" s="4"/>
      <c r="AT171" s="4"/>
    </row>
    <row r="172" spans="1:46" s="124" customFormat="1" ht="111.95" customHeight="1" x14ac:dyDescent="0.25">
      <c r="A172" s="113">
        <v>38</v>
      </c>
      <c r="B172" s="113" t="s">
        <v>109</v>
      </c>
      <c r="C172" s="114"/>
      <c r="D172" s="113"/>
      <c r="E172" s="113"/>
      <c r="F172" s="115" t="s">
        <v>241</v>
      </c>
      <c r="G172" s="116" t="s">
        <v>242</v>
      </c>
      <c r="H172" s="116" t="s">
        <v>232</v>
      </c>
      <c r="I172" s="117" t="s">
        <v>160</v>
      </c>
      <c r="J172" s="116" t="s">
        <v>243</v>
      </c>
      <c r="K172" s="116" t="s">
        <v>234</v>
      </c>
      <c r="L172" s="118">
        <v>47190843</v>
      </c>
      <c r="M172" s="118" t="s">
        <v>143</v>
      </c>
      <c r="N172" s="119">
        <v>43009</v>
      </c>
      <c r="O172" s="119">
        <v>43373</v>
      </c>
      <c r="P172" s="120">
        <f t="shared" si="39"/>
        <v>0.99726027397260275</v>
      </c>
      <c r="Q172" s="114" t="s">
        <v>29</v>
      </c>
      <c r="R172" s="114" t="s">
        <v>117</v>
      </c>
      <c r="S172" s="114" t="str">
        <f>IF(R172="End","Z",IF(R172="Cancel","C",IF(SUM(R172)&gt;0,"O",IF(ISBLANK(R172),"X",IF(SUM(R172)&lt;0,"Y",IF(SUM(R172),"-","O"))))))</f>
        <v>Z</v>
      </c>
      <c r="T172" s="121">
        <v>1</v>
      </c>
      <c r="U172" s="121">
        <v>2</v>
      </c>
      <c r="V172" s="121">
        <v>2</v>
      </c>
      <c r="W172" s="121">
        <f>T172+U172+V172</f>
        <v>5</v>
      </c>
      <c r="X172" s="121" t="str">
        <f>IF(W172&gt;5,"Penting",IF(ISBLANK(W172),"","Biasa"))</f>
        <v>Biasa</v>
      </c>
      <c r="Y172" s="115"/>
      <c r="Z172" s="115"/>
      <c r="AA172" s="119"/>
      <c r="AB172" s="119"/>
      <c r="AC172" s="119"/>
      <c r="AD172" s="26" t="s">
        <v>237</v>
      </c>
      <c r="AE172" s="122">
        <v>43556</v>
      </c>
      <c r="AF172" s="114" t="s">
        <v>230</v>
      </c>
      <c r="AG172" s="114"/>
      <c r="AH172" s="26"/>
      <c r="AI172" s="26"/>
      <c r="AJ172" s="26"/>
      <c r="AK172" s="26"/>
      <c r="AL172" s="26"/>
      <c r="AM172" s="26"/>
      <c r="AN172" s="26"/>
      <c r="AO172" s="123"/>
      <c r="AP172" s="4"/>
      <c r="AQ172" s="4"/>
      <c r="AR172" s="4"/>
      <c r="AS172" s="4"/>
      <c r="AT172" s="4"/>
    </row>
    <row r="173" spans="1:46" s="124" customFormat="1" ht="111.95" customHeight="1" x14ac:dyDescent="0.25">
      <c r="A173" s="113">
        <v>39</v>
      </c>
      <c r="B173" s="113" t="s">
        <v>109</v>
      </c>
      <c r="C173" s="114"/>
      <c r="D173" s="113"/>
      <c r="E173" s="113"/>
      <c r="F173" s="115" t="s">
        <v>244</v>
      </c>
      <c r="G173" s="116" t="s">
        <v>245</v>
      </c>
      <c r="H173" s="116" t="s">
        <v>232</v>
      </c>
      <c r="I173" s="117" t="s">
        <v>160</v>
      </c>
      <c r="J173" s="116" t="s">
        <v>246</v>
      </c>
      <c r="K173" s="116" t="s">
        <v>234</v>
      </c>
      <c r="L173" s="118">
        <v>5312500</v>
      </c>
      <c r="M173" s="118" t="s">
        <v>143</v>
      </c>
      <c r="N173" s="119">
        <v>43009</v>
      </c>
      <c r="O173" s="119">
        <v>43373</v>
      </c>
      <c r="P173" s="120">
        <f t="shared" si="39"/>
        <v>0.99726027397260275</v>
      </c>
      <c r="Q173" s="114" t="s">
        <v>29</v>
      </c>
      <c r="R173" s="114" t="s">
        <v>117</v>
      </c>
      <c r="S173" s="114" t="str">
        <f>IF(R173="End","Z",IF(R173="Cancel","C",IF(SUM(R173)&gt;0,"O",IF(ISBLANK(R173),"X",IF(SUM(R173)&lt;0,"Y",IF(SUM(R173),"-","O"))))))</f>
        <v>Z</v>
      </c>
      <c r="T173" s="121">
        <v>1</v>
      </c>
      <c r="U173" s="121">
        <v>2</v>
      </c>
      <c r="V173" s="121">
        <v>2</v>
      </c>
      <c r="W173" s="121">
        <f>T173+U173+V173</f>
        <v>5</v>
      </c>
      <c r="X173" s="121" t="str">
        <f>IF(W173&gt;5,"Penting",IF(ISBLANK(W173),"","Biasa"))</f>
        <v>Biasa</v>
      </c>
      <c r="Y173" s="115"/>
      <c r="Z173" s="115"/>
      <c r="AA173" s="119"/>
      <c r="AB173" s="119"/>
      <c r="AC173" s="119"/>
      <c r="AD173" s="26" t="s">
        <v>237</v>
      </c>
      <c r="AE173" s="122">
        <v>43556</v>
      </c>
      <c r="AF173" s="114" t="s">
        <v>230</v>
      </c>
      <c r="AG173" s="114"/>
      <c r="AH173" s="26"/>
      <c r="AI173" s="26"/>
      <c r="AJ173" s="26"/>
      <c r="AK173" s="26"/>
      <c r="AL173" s="26"/>
      <c r="AM173" s="26"/>
      <c r="AN173" s="26"/>
      <c r="AO173" s="123"/>
      <c r="AP173" s="4"/>
      <c r="AQ173" s="4"/>
      <c r="AR173" s="4"/>
      <c r="AS173" s="4"/>
      <c r="AT173" s="4"/>
    </row>
    <row r="174" spans="1:46" s="124" customFormat="1" ht="111.95" customHeight="1" x14ac:dyDescent="0.25">
      <c r="A174" s="113">
        <v>40</v>
      </c>
      <c r="B174" s="113" t="s">
        <v>109</v>
      </c>
      <c r="C174" s="114"/>
      <c r="D174" s="113"/>
      <c r="E174" s="113"/>
      <c r="F174" s="115" t="s">
        <v>247</v>
      </c>
      <c r="G174" s="116" t="s">
        <v>248</v>
      </c>
      <c r="H174" s="116" t="s">
        <v>232</v>
      </c>
      <c r="I174" s="117" t="s">
        <v>160</v>
      </c>
      <c r="J174" s="116" t="s">
        <v>249</v>
      </c>
      <c r="K174" s="116" t="s">
        <v>234</v>
      </c>
      <c r="L174" s="118"/>
      <c r="M174" s="118"/>
      <c r="N174" s="119">
        <v>43009</v>
      </c>
      <c r="O174" s="119">
        <v>43373</v>
      </c>
      <c r="P174" s="120">
        <f t="shared" si="39"/>
        <v>0.99726027397260275</v>
      </c>
      <c r="Q174" s="114" t="s">
        <v>29</v>
      </c>
      <c r="R174" s="114" t="s">
        <v>117</v>
      </c>
      <c r="S174" s="114" t="str">
        <f>IF(R174="End","Z",IF(R174="Cancel","C",IF(SUM(R174)&gt;0,"O",IF(ISBLANK(R174),"X",IF(SUM(R174)&lt;0,"Y",IF(SUM(R174),"-","O"))))))</f>
        <v>Z</v>
      </c>
      <c r="T174" s="121">
        <v>1</v>
      </c>
      <c r="U174" s="121">
        <v>2</v>
      </c>
      <c r="V174" s="121">
        <v>2</v>
      </c>
      <c r="W174" s="121">
        <f>T174+U174+V174</f>
        <v>5</v>
      </c>
      <c r="X174" s="121" t="str">
        <f>IF(W174&gt;5,"Penting",IF(ISBLANK(W174),"","Biasa"))</f>
        <v>Biasa</v>
      </c>
      <c r="Y174" s="115"/>
      <c r="Z174" s="115"/>
      <c r="AA174" s="119"/>
      <c r="AB174" s="119"/>
      <c r="AC174" s="119"/>
      <c r="AD174" s="26" t="s">
        <v>237</v>
      </c>
      <c r="AE174" s="122">
        <v>43556</v>
      </c>
      <c r="AF174" s="114" t="s">
        <v>230</v>
      </c>
      <c r="AG174" s="114"/>
      <c r="AH174" s="26"/>
      <c r="AI174" s="26"/>
      <c r="AJ174" s="26"/>
      <c r="AK174" s="26"/>
      <c r="AL174" s="26"/>
      <c r="AM174" s="26"/>
      <c r="AN174" s="26"/>
      <c r="AO174" s="123"/>
      <c r="AP174" s="4"/>
      <c r="AQ174" s="4"/>
      <c r="AR174" s="4"/>
      <c r="AS174" s="4"/>
      <c r="AT174" s="4"/>
    </row>
    <row r="175" spans="1:46" s="124" customFormat="1" ht="111.95" customHeight="1" x14ac:dyDescent="0.25">
      <c r="A175" s="113">
        <v>41</v>
      </c>
      <c r="B175" s="113" t="s">
        <v>109</v>
      </c>
      <c r="C175" s="114"/>
      <c r="D175" s="113"/>
      <c r="E175" s="113"/>
      <c r="F175" s="115" t="s">
        <v>250</v>
      </c>
      <c r="G175" s="116" t="s">
        <v>251</v>
      </c>
      <c r="H175" s="116" t="s">
        <v>252</v>
      </c>
      <c r="I175" s="117" t="s">
        <v>160</v>
      </c>
      <c r="J175" s="116" t="s">
        <v>253</v>
      </c>
      <c r="K175" s="116" t="s">
        <v>254</v>
      </c>
      <c r="L175" s="118">
        <v>88248402</v>
      </c>
      <c r="M175" s="118" t="s">
        <v>143</v>
      </c>
      <c r="N175" s="119">
        <v>44197</v>
      </c>
      <c r="O175" s="119">
        <v>44561</v>
      </c>
      <c r="P175" s="120">
        <f t="shared" si="39"/>
        <v>0.99726027397260275</v>
      </c>
      <c r="Q175" s="114" t="s">
        <v>29</v>
      </c>
      <c r="R175" s="114" t="s">
        <v>117</v>
      </c>
      <c r="S175" s="114" t="str">
        <f t="shared" si="40"/>
        <v>Z</v>
      </c>
      <c r="T175" s="121">
        <v>1</v>
      </c>
      <c r="U175" s="121">
        <v>2</v>
      </c>
      <c r="V175" s="121">
        <v>2</v>
      </c>
      <c r="W175" s="121">
        <f t="shared" si="37"/>
        <v>5</v>
      </c>
      <c r="X175" s="121" t="str">
        <f t="shared" si="38"/>
        <v>Biasa</v>
      </c>
      <c r="Y175" s="115" t="s">
        <v>255</v>
      </c>
      <c r="Z175" s="125"/>
      <c r="AA175" s="119"/>
      <c r="AB175" s="119"/>
      <c r="AC175" s="119"/>
      <c r="AD175" s="26" t="s">
        <v>16</v>
      </c>
      <c r="AE175" s="122">
        <v>44531</v>
      </c>
      <c r="AF175" s="114" t="s">
        <v>230</v>
      </c>
      <c r="AG175" s="114"/>
      <c r="AH175" s="26"/>
      <c r="AI175" s="26"/>
      <c r="AJ175" s="26"/>
      <c r="AK175" s="26"/>
      <c r="AL175" s="26"/>
      <c r="AM175" s="26"/>
      <c r="AN175" s="26"/>
      <c r="AO175" s="123"/>
      <c r="AP175" s="4"/>
      <c r="AQ175" s="4"/>
      <c r="AR175" s="4"/>
      <c r="AS175" s="4"/>
      <c r="AT175" s="4"/>
    </row>
    <row r="176" spans="1:46" s="124" customFormat="1" ht="111.95" customHeight="1" x14ac:dyDescent="0.25">
      <c r="A176" s="113">
        <v>42</v>
      </c>
      <c r="B176" s="113" t="s">
        <v>109</v>
      </c>
      <c r="C176" s="114" t="s">
        <v>120</v>
      </c>
      <c r="D176" s="113">
        <v>18</v>
      </c>
      <c r="E176" s="113" t="s">
        <v>121</v>
      </c>
      <c r="F176" s="115" t="s">
        <v>256</v>
      </c>
      <c r="G176" s="116" t="s">
        <v>257</v>
      </c>
      <c r="H176" s="116" t="s">
        <v>227</v>
      </c>
      <c r="I176" s="117" t="s">
        <v>113</v>
      </c>
      <c r="J176" s="116" t="s">
        <v>253</v>
      </c>
      <c r="K176" s="116" t="s">
        <v>258</v>
      </c>
      <c r="L176" s="118">
        <v>74966218</v>
      </c>
      <c r="M176" s="118" t="s">
        <v>143</v>
      </c>
      <c r="N176" s="119">
        <v>44562</v>
      </c>
      <c r="O176" s="119">
        <v>44926</v>
      </c>
      <c r="P176" s="120">
        <f t="shared" si="39"/>
        <v>0.99726027397260275</v>
      </c>
      <c r="Q176" s="114" t="s">
        <v>29</v>
      </c>
      <c r="R176" s="114">
        <f t="shared" ref="R176:R178" ca="1" si="46">(O176-NOW()+1)/31</f>
        <v>2.3997008923237915</v>
      </c>
      <c r="S176" s="114" t="str">
        <f t="shared" ca="1" si="40"/>
        <v>O</v>
      </c>
      <c r="T176" s="121">
        <v>1</v>
      </c>
      <c r="U176" s="121">
        <v>2</v>
      </c>
      <c r="V176" s="121">
        <v>2</v>
      </c>
      <c r="W176" s="121">
        <f t="shared" si="37"/>
        <v>5</v>
      </c>
      <c r="X176" s="121" t="str">
        <f t="shared" si="38"/>
        <v>Biasa</v>
      </c>
      <c r="Y176" s="115"/>
      <c r="Z176" s="125"/>
      <c r="AA176" s="119"/>
      <c r="AB176" s="119"/>
      <c r="AC176" s="119"/>
      <c r="AD176" s="26"/>
      <c r="AE176" s="122"/>
      <c r="AF176" s="114" t="s">
        <v>230</v>
      </c>
      <c r="AG176" s="114" t="s">
        <v>119</v>
      </c>
      <c r="AH176" s="26"/>
      <c r="AI176" s="26"/>
      <c r="AJ176" s="26"/>
      <c r="AK176" s="26"/>
      <c r="AL176" s="26"/>
      <c r="AM176" s="26"/>
      <c r="AN176" s="34" t="s">
        <v>126</v>
      </c>
      <c r="AO176" s="123">
        <v>44537</v>
      </c>
      <c r="AP176" s="4"/>
      <c r="AQ176" s="4"/>
      <c r="AR176" s="4"/>
      <c r="AS176" s="4"/>
      <c r="AT176" s="4"/>
    </row>
    <row r="177" spans="1:46" s="124" customFormat="1" ht="111.95" customHeight="1" x14ac:dyDescent="0.25">
      <c r="A177" s="113">
        <v>43</v>
      </c>
      <c r="B177" s="113" t="s">
        <v>109</v>
      </c>
      <c r="C177" s="114" t="s">
        <v>120</v>
      </c>
      <c r="D177" s="113">
        <v>20</v>
      </c>
      <c r="E177" s="113" t="s">
        <v>121</v>
      </c>
      <c r="F177" s="115" t="s">
        <v>259</v>
      </c>
      <c r="G177" s="116" t="s">
        <v>260</v>
      </c>
      <c r="H177" s="116" t="s">
        <v>261</v>
      </c>
      <c r="I177" s="117" t="s">
        <v>160</v>
      </c>
      <c r="J177" s="116" t="s">
        <v>262</v>
      </c>
      <c r="K177" s="116" t="s">
        <v>263</v>
      </c>
      <c r="L177" s="118"/>
      <c r="M177" s="118"/>
      <c r="N177" s="119">
        <v>44621</v>
      </c>
      <c r="O177" s="119">
        <v>44803</v>
      </c>
      <c r="P177" s="120">
        <f t="shared" si="39"/>
        <v>0.49863013698630138</v>
      </c>
      <c r="Q177" s="114" t="s">
        <v>29</v>
      </c>
      <c r="R177" s="114">
        <f t="shared" ca="1" si="46"/>
        <v>-1.5680410431600795</v>
      </c>
      <c r="S177" s="114" t="str">
        <f t="shared" ca="1" si="40"/>
        <v>Y</v>
      </c>
      <c r="T177" s="121">
        <v>3</v>
      </c>
      <c r="U177" s="121">
        <v>3</v>
      </c>
      <c r="V177" s="121">
        <v>2</v>
      </c>
      <c r="W177" s="121">
        <f t="shared" si="37"/>
        <v>8</v>
      </c>
      <c r="X177" s="121" t="str">
        <f t="shared" si="38"/>
        <v>Penting</v>
      </c>
      <c r="Y177" s="115"/>
      <c r="Z177" s="125"/>
      <c r="AA177" s="119"/>
      <c r="AB177" s="119"/>
      <c r="AC177" s="119"/>
      <c r="AD177" s="26"/>
      <c r="AE177" s="122"/>
      <c r="AF177" s="114" t="s">
        <v>230</v>
      </c>
      <c r="AG177" s="114" t="s">
        <v>119</v>
      </c>
      <c r="AH177" s="26"/>
      <c r="AI177" s="26"/>
      <c r="AJ177" s="26"/>
      <c r="AK177" s="26"/>
      <c r="AL177" s="26"/>
      <c r="AM177" s="26"/>
      <c r="AN177" s="34" t="s">
        <v>126</v>
      </c>
      <c r="AO177" s="123"/>
      <c r="AP177" s="4"/>
      <c r="AQ177" s="4"/>
      <c r="AR177" s="4"/>
      <c r="AS177" s="4"/>
      <c r="AT177" s="4"/>
    </row>
    <row r="178" spans="1:46" s="124" customFormat="1" ht="111.95" customHeight="1" x14ac:dyDescent="0.25">
      <c r="A178" s="113">
        <v>44</v>
      </c>
      <c r="B178" s="113" t="s">
        <v>109</v>
      </c>
      <c r="C178" s="114" t="s">
        <v>120</v>
      </c>
      <c r="D178" s="113">
        <v>21</v>
      </c>
      <c r="E178" s="113" t="s">
        <v>121</v>
      </c>
      <c r="F178" s="115" t="s">
        <v>264</v>
      </c>
      <c r="G178" s="116" t="s">
        <v>265</v>
      </c>
      <c r="H178" s="116" t="s">
        <v>266</v>
      </c>
      <c r="I178" s="117" t="s">
        <v>160</v>
      </c>
      <c r="J178" s="116" t="s">
        <v>267</v>
      </c>
      <c r="K178" s="116" t="s">
        <v>268</v>
      </c>
      <c r="L178" s="118" t="s">
        <v>269</v>
      </c>
      <c r="M178" s="118"/>
      <c r="N178" s="119">
        <v>44501</v>
      </c>
      <c r="O178" s="119">
        <v>44742</v>
      </c>
      <c r="P178" s="120">
        <f>(O178-N178)/365</f>
        <v>0.66027397260273968</v>
      </c>
      <c r="Q178" s="114" t="s">
        <v>29</v>
      </c>
      <c r="R178" s="114">
        <f t="shared" ca="1" si="46"/>
        <v>-3.5357829786439505</v>
      </c>
      <c r="S178" s="114" t="str">
        <f t="shared" ca="1" si="40"/>
        <v>Y</v>
      </c>
      <c r="T178" s="121">
        <v>3</v>
      </c>
      <c r="U178" s="121">
        <v>2</v>
      </c>
      <c r="V178" s="121">
        <v>1</v>
      </c>
      <c r="W178" s="121">
        <f t="shared" si="37"/>
        <v>6</v>
      </c>
      <c r="X178" s="121" t="str">
        <f t="shared" si="38"/>
        <v>Penting</v>
      </c>
      <c r="Y178" s="115"/>
      <c r="Z178" s="114"/>
      <c r="AA178" s="119"/>
      <c r="AB178" s="119"/>
      <c r="AC178" s="119"/>
      <c r="AD178" s="26"/>
      <c r="AE178" s="122"/>
      <c r="AF178" s="114" t="s">
        <v>270</v>
      </c>
      <c r="AG178" s="114" t="s">
        <v>119</v>
      </c>
      <c r="AH178" s="26"/>
      <c r="AI178" s="26"/>
      <c r="AJ178" s="26"/>
      <c r="AK178" s="26"/>
      <c r="AL178" s="26"/>
      <c r="AM178" s="26"/>
      <c r="AN178" s="34" t="s">
        <v>126</v>
      </c>
      <c r="AO178" s="123">
        <v>44512</v>
      </c>
      <c r="AP178" s="4"/>
      <c r="AQ178" s="4"/>
      <c r="AR178" s="4"/>
      <c r="AS178" s="4"/>
      <c r="AT178" s="4"/>
    </row>
    <row r="179" spans="1:46" s="124" customFormat="1" ht="111.95" customHeight="1" x14ac:dyDescent="0.25">
      <c r="A179" s="113">
        <v>45</v>
      </c>
      <c r="B179" s="113" t="s">
        <v>109</v>
      </c>
      <c r="C179" s="114" t="s">
        <v>120</v>
      </c>
      <c r="D179" s="113">
        <v>22</v>
      </c>
      <c r="E179" s="113" t="s">
        <v>121</v>
      </c>
      <c r="F179" s="115" t="s">
        <v>110</v>
      </c>
      <c r="G179" s="116" t="s">
        <v>271</v>
      </c>
      <c r="H179" s="116" t="s">
        <v>272</v>
      </c>
      <c r="I179" s="117" t="s">
        <v>113</v>
      </c>
      <c r="J179" s="116" t="s">
        <v>273</v>
      </c>
      <c r="K179" s="116" t="s">
        <v>110</v>
      </c>
      <c r="L179" s="118" t="s">
        <v>110</v>
      </c>
      <c r="M179" s="118"/>
      <c r="N179" s="119" t="s">
        <v>110</v>
      </c>
      <c r="O179" s="119" t="s">
        <v>110</v>
      </c>
      <c r="P179" s="120" t="s">
        <v>110</v>
      </c>
      <c r="Q179" s="114" t="s">
        <v>29</v>
      </c>
      <c r="R179" s="114" t="s">
        <v>110</v>
      </c>
      <c r="S179" s="114" t="str">
        <f t="shared" si="40"/>
        <v>O</v>
      </c>
      <c r="T179" s="121">
        <v>3</v>
      </c>
      <c r="U179" s="121">
        <v>3</v>
      </c>
      <c r="V179" s="121">
        <v>3</v>
      </c>
      <c r="W179" s="121">
        <f t="shared" si="37"/>
        <v>9</v>
      </c>
      <c r="X179" s="121" t="str">
        <f t="shared" si="38"/>
        <v>Penting</v>
      </c>
      <c r="Y179" s="115"/>
      <c r="Z179" s="114"/>
      <c r="AA179" s="119"/>
      <c r="AB179" s="119"/>
      <c r="AC179" s="119"/>
      <c r="AD179" s="26"/>
      <c r="AE179" s="122"/>
      <c r="AF179" s="114" t="s">
        <v>274</v>
      </c>
      <c r="AG179" s="114" t="s">
        <v>216</v>
      </c>
      <c r="AH179" s="26"/>
      <c r="AI179" s="26"/>
      <c r="AJ179" s="26"/>
      <c r="AK179" s="26"/>
      <c r="AL179" s="26"/>
      <c r="AM179" s="26"/>
      <c r="AN179" s="34"/>
      <c r="AO179" s="123"/>
      <c r="AP179" s="4"/>
      <c r="AQ179" s="4"/>
      <c r="AR179" s="4"/>
      <c r="AS179" s="4"/>
      <c r="AT179" s="4"/>
    </row>
    <row r="180" spans="1:46" s="124" customFormat="1" ht="111.95" customHeight="1" x14ac:dyDescent="0.25">
      <c r="A180" s="113">
        <v>46</v>
      </c>
      <c r="B180" s="113"/>
      <c r="C180" s="114"/>
      <c r="D180" s="113"/>
      <c r="E180" s="113"/>
      <c r="F180" s="115"/>
      <c r="G180" s="116" t="s">
        <v>275</v>
      </c>
      <c r="H180" s="116" t="s">
        <v>276</v>
      </c>
      <c r="I180" s="117" t="s">
        <v>113</v>
      </c>
      <c r="J180" s="116" t="s">
        <v>277</v>
      </c>
      <c r="K180" s="116" t="s">
        <v>278</v>
      </c>
      <c r="L180" s="118"/>
      <c r="M180" s="118"/>
      <c r="N180" s="119">
        <v>43800</v>
      </c>
      <c r="O180" s="119">
        <v>44530</v>
      </c>
      <c r="P180" s="120">
        <f t="shared" ref="P180:P210" si="47">(O180-N180)/365</f>
        <v>2</v>
      </c>
      <c r="Q180" s="114" t="s">
        <v>29</v>
      </c>
      <c r="R180" s="114" t="s">
        <v>117</v>
      </c>
      <c r="S180" s="114" t="str">
        <f t="shared" si="40"/>
        <v>Z</v>
      </c>
      <c r="T180" s="121">
        <v>1</v>
      </c>
      <c r="U180" s="121">
        <v>1</v>
      </c>
      <c r="V180" s="121">
        <v>3</v>
      </c>
      <c r="W180" s="121">
        <f t="shared" si="37"/>
        <v>5</v>
      </c>
      <c r="X180" s="121" t="str">
        <f t="shared" si="38"/>
        <v>Biasa</v>
      </c>
      <c r="Y180" s="115"/>
      <c r="Z180" s="114"/>
      <c r="AA180" s="119"/>
      <c r="AB180" s="119"/>
      <c r="AC180" s="119"/>
      <c r="AD180" s="26"/>
      <c r="AE180" s="122"/>
      <c r="AF180" s="114" t="s">
        <v>274</v>
      </c>
      <c r="AG180" s="114" t="s">
        <v>119</v>
      </c>
      <c r="AH180" s="26"/>
      <c r="AI180" s="26"/>
      <c r="AJ180" s="26"/>
      <c r="AK180" s="26"/>
      <c r="AL180" s="26"/>
      <c r="AM180" s="26"/>
      <c r="AN180" s="26"/>
      <c r="AO180" s="123"/>
      <c r="AP180" s="4"/>
      <c r="AQ180" s="4"/>
      <c r="AR180" s="4"/>
      <c r="AS180" s="4"/>
      <c r="AT180" s="4"/>
    </row>
    <row r="181" spans="1:46" s="124" customFormat="1" ht="111.95" customHeight="1" x14ac:dyDescent="0.25">
      <c r="A181" s="113">
        <v>47</v>
      </c>
      <c r="B181" s="113" t="s">
        <v>109</v>
      </c>
      <c r="C181" s="114"/>
      <c r="D181" s="113"/>
      <c r="E181" s="113"/>
      <c r="F181" s="115" t="s">
        <v>279</v>
      </c>
      <c r="G181" s="116" t="s">
        <v>280</v>
      </c>
      <c r="H181" s="116" t="s">
        <v>281</v>
      </c>
      <c r="I181" s="117" t="s">
        <v>113</v>
      </c>
      <c r="J181" s="116" t="s">
        <v>282</v>
      </c>
      <c r="K181" s="116" t="s">
        <v>283</v>
      </c>
      <c r="L181" s="118">
        <v>1000000</v>
      </c>
      <c r="M181" s="118"/>
      <c r="N181" s="119">
        <v>42832</v>
      </c>
      <c r="O181" s="119">
        <v>43196</v>
      </c>
      <c r="P181" s="120">
        <f t="shared" si="47"/>
        <v>0.99726027397260275</v>
      </c>
      <c r="Q181" s="114" t="s">
        <v>29</v>
      </c>
      <c r="R181" s="114" t="s">
        <v>117</v>
      </c>
      <c r="S181" s="114" t="str">
        <f t="shared" si="40"/>
        <v>Z</v>
      </c>
      <c r="T181" s="121">
        <v>2</v>
      </c>
      <c r="U181" s="121">
        <v>1</v>
      </c>
      <c r="V181" s="121">
        <v>2</v>
      </c>
      <c r="W181" s="121">
        <f t="shared" si="37"/>
        <v>5</v>
      </c>
      <c r="X181" s="121" t="str">
        <f t="shared" si="38"/>
        <v>Biasa</v>
      </c>
      <c r="Y181" s="115"/>
      <c r="Z181" s="115"/>
      <c r="AA181" s="119"/>
      <c r="AB181" s="119"/>
      <c r="AC181" s="119"/>
      <c r="AD181" s="26"/>
      <c r="AE181" s="122"/>
      <c r="AF181" s="114" t="s">
        <v>230</v>
      </c>
      <c r="AG181" s="114" t="s">
        <v>216</v>
      </c>
      <c r="AH181" s="26"/>
      <c r="AI181" s="26"/>
      <c r="AJ181" s="26"/>
      <c r="AK181" s="26"/>
      <c r="AL181" s="26"/>
      <c r="AM181" s="26"/>
      <c r="AN181" s="26"/>
      <c r="AO181" s="123"/>
      <c r="AP181" s="4"/>
      <c r="AQ181" s="4"/>
      <c r="AR181" s="4"/>
      <c r="AS181" s="4"/>
      <c r="AT181" s="4"/>
    </row>
    <row r="182" spans="1:46" s="124" customFormat="1" ht="111.95" customHeight="1" x14ac:dyDescent="0.25">
      <c r="A182" s="113">
        <v>48</v>
      </c>
      <c r="B182" s="113" t="s">
        <v>109</v>
      </c>
      <c r="C182" s="114" t="s">
        <v>120</v>
      </c>
      <c r="D182" s="113">
        <v>26</v>
      </c>
      <c r="E182" s="113" t="s">
        <v>121</v>
      </c>
      <c r="F182" s="115" t="s">
        <v>284</v>
      </c>
      <c r="G182" s="116" t="s">
        <v>280</v>
      </c>
      <c r="H182" s="116" t="s">
        <v>281</v>
      </c>
      <c r="I182" s="117" t="s">
        <v>113</v>
      </c>
      <c r="J182" s="116" t="s">
        <v>282</v>
      </c>
      <c r="K182" s="116" t="s">
        <v>285</v>
      </c>
      <c r="L182" s="118"/>
      <c r="M182" s="118"/>
      <c r="N182" s="119">
        <v>44621</v>
      </c>
      <c r="O182" s="119">
        <v>44985</v>
      </c>
      <c r="P182" s="120">
        <f t="shared" si="47"/>
        <v>0.99726027397260275</v>
      </c>
      <c r="Q182" s="114" t="s">
        <v>29</v>
      </c>
      <c r="R182" s="114">
        <f t="shared" ref="R182:R201" ca="1" si="48">(O182-NOW()+1)/31</f>
        <v>4.302926698775404</v>
      </c>
      <c r="S182" s="114" t="str">
        <f t="shared" ca="1" si="40"/>
        <v>O</v>
      </c>
      <c r="T182" s="121">
        <v>1</v>
      </c>
      <c r="U182" s="121">
        <v>1</v>
      </c>
      <c r="V182" s="121">
        <v>3</v>
      </c>
      <c r="W182" s="121">
        <f t="shared" si="37"/>
        <v>5</v>
      </c>
      <c r="X182" s="121" t="str">
        <f t="shared" si="38"/>
        <v>Biasa</v>
      </c>
      <c r="Y182" s="115"/>
      <c r="Z182" s="125"/>
      <c r="AA182" s="119"/>
      <c r="AB182" s="119"/>
      <c r="AC182" s="119"/>
      <c r="AD182" s="26" t="s">
        <v>125</v>
      </c>
      <c r="AE182" s="122">
        <v>44256</v>
      </c>
      <c r="AF182" s="114" t="s">
        <v>230</v>
      </c>
      <c r="AG182" s="114" t="s">
        <v>119</v>
      </c>
      <c r="AH182" s="26"/>
      <c r="AI182" s="26"/>
      <c r="AJ182" s="26"/>
      <c r="AK182" s="26"/>
      <c r="AL182" s="26"/>
      <c r="AM182" s="26"/>
      <c r="AN182" s="34" t="s">
        <v>126</v>
      </c>
      <c r="AO182" s="123"/>
      <c r="AP182" s="4"/>
      <c r="AQ182" s="4"/>
      <c r="AR182" s="4"/>
      <c r="AS182" s="4"/>
      <c r="AT182" s="4"/>
    </row>
    <row r="183" spans="1:46" s="124" customFormat="1" ht="111.95" customHeight="1" x14ac:dyDescent="0.25">
      <c r="A183" s="113">
        <v>49</v>
      </c>
      <c r="B183" s="113" t="s">
        <v>109</v>
      </c>
      <c r="C183" s="114" t="s">
        <v>120</v>
      </c>
      <c r="D183" s="113">
        <v>19</v>
      </c>
      <c r="E183" s="113" t="s">
        <v>121</v>
      </c>
      <c r="F183" s="115" t="s">
        <v>286</v>
      </c>
      <c r="G183" s="116" t="s">
        <v>287</v>
      </c>
      <c r="H183" s="116" t="s">
        <v>232</v>
      </c>
      <c r="I183" s="117" t="s">
        <v>160</v>
      </c>
      <c r="J183" s="116" t="s">
        <v>288</v>
      </c>
      <c r="K183" s="116" t="s">
        <v>289</v>
      </c>
      <c r="L183" s="118">
        <v>5997600</v>
      </c>
      <c r="M183" s="118" t="s">
        <v>143</v>
      </c>
      <c r="N183" s="119">
        <v>44562</v>
      </c>
      <c r="O183" s="119">
        <v>44926</v>
      </c>
      <c r="P183" s="120">
        <f t="shared" si="47"/>
        <v>0.99726027397260275</v>
      </c>
      <c r="Q183" s="114" t="s">
        <v>29</v>
      </c>
      <c r="R183" s="114">
        <f t="shared" ca="1" si="48"/>
        <v>2.3997008923237915</v>
      </c>
      <c r="S183" s="114" t="str">
        <f t="shared" ca="1" si="40"/>
        <v>O</v>
      </c>
      <c r="T183" s="121">
        <v>1</v>
      </c>
      <c r="U183" s="121">
        <v>1</v>
      </c>
      <c r="V183" s="121">
        <v>1</v>
      </c>
      <c r="W183" s="121">
        <f t="shared" si="37"/>
        <v>3</v>
      </c>
      <c r="X183" s="121" t="str">
        <f t="shared" si="38"/>
        <v>Biasa</v>
      </c>
      <c r="Y183" s="115"/>
      <c r="Z183" s="125"/>
      <c r="AA183" s="119"/>
      <c r="AB183" s="119"/>
      <c r="AC183" s="119"/>
      <c r="AD183" s="26"/>
      <c r="AE183" s="122"/>
      <c r="AF183" s="114" t="s">
        <v>118</v>
      </c>
      <c r="AG183" s="114" t="s">
        <v>119</v>
      </c>
      <c r="AH183" s="26"/>
      <c r="AI183" s="26"/>
      <c r="AJ183" s="26"/>
      <c r="AK183" s="26"/>
      <c r="AL183" s="26"/>
      <c r="AM183" s="26"/>
      <c r="AN183" s="34" t="s">
        <v>126</v>
      </c>
      <c r="AO183" s="123">
        <v>44560</v>
      </c>
      <c r="AP183" s="4"/>
      <c r="AQ183" s="4"/>
      <c r="AR183" s="4"/>
      <c r="AS183" s="4"/>
      <c r="AT183" s="4"/>
    </row>
    <row r="184" spans="1:46" s="124" customFormat="1" ht="111.95" customHeight="1" x14ac:dyDescent="0.25">
      <c r="A184" s="113">
        <v>50</v>
      </c>
      <c r="B184" s="113" t="s">
        <v>109</v>
      </c>
      <c r="C184" s="114" t="s">
        <v>290</v>
      </c>
      <c r="D184" s="113">
        <v>1</v>
      </c>
      <c r="E184" s="113" t="s">
        <v>291</v>
      </c>
      <c r="F184" s="115" t="s">
        <v>292</v>
      </c>
      <c r="G184" s="116" t="s">
        <v>293</v>
      </c>
      <c r="H184" s="116" t="s">
        <v>294</v>
      </c>
      <c r="I184" s="117" t="s">
        <v>113</v>
      </c>
      <c r="J184" s="116" t="s">
        <v>295</v>
      </c>
      <c r="K184" s="116" t="s">
        <v>296</v>
      </c>
      <c r="L184" s="127">
        <v>0.02</v>
      </c>
      <c r="M184" s="118" t="s">
        <v>297</v>
      </c>
      <c r="N184" s="119">
        <v>44501</v>
      </c>
      <c r="O184" s="119">
        <v>44865</v>
      </c>
      <c r="P184" s="120">
        <f t="shared" si="47"/>
        <v>0.99726027397260275</v>
      </c>
      <c r="Q184" s="114" t="s">
        <v>29</v>
      </c>
      <c r="R184" s="114">
        <f ca="1">(O184-NOW()+1)/31</f>
        <v>0.43195895683992047</v>
      </c>
      <c r="S184" s="114" t="str">
        <f ca="1">IF(R184="End","Z",IF(R184="Cancel","C",IF(SUM(R184)&gt;0,"O",IF(ISBLANK(R184),"X",IF(SUM(R184)&lt;0,"Y",IF(SUM(R184),"-","O"))))))</f>
        <v>O</v>
      </c>
      <c r="T184" s="121">
        <v>1</v>
      </c>
      <c r="U184" s="121">
        <v>2</v>
      </c>
      <c r="V184" s="121">
        <v>3</v>
      </c>
      <c r="W184" s="121">
        <f t="shared" si="37"/>
        <v>6</v>
      </c>
      <c r="X184" s="121" t="str">
        <f t="shared" si="38"/>
        <v>Penting</v>
      </c>
      <c r="Y184" s="115"/>
      <c r="Z184" s="114"/>
      <c r="AA184" s="119"/>
      <c r="AB184" s="119"/>
      <c r="AC184" s="119"/>
      <c r="AD184" s="26" t="s">
        <v>125</v>
      </c>
      <c r="AE184" s="122">
        <v>44317</v>
      </c>
      <c r="AF184" s="114" t="s">
        <v>298</v>
      </c>
      <c r="AG184" s="114" t="s">
        <v>119</v>
      </c>
      <c r="AH184" s="26"/>
      <c r="AI184" s="26"/>
      <c r="AJ184" s="26"/>
      <c r="AK184" s="26"/>
      <c r="AL184" s="26"/>
      <c r="AM184" s="26"/>
      <c r="AN184" s="34" t="s">
        <v>126</v>
      </c>
      <c r="AO184" s="123">
        <v>44502</v>
      </c>
      <c r="AP184" s="4"/>
      <c r="AQ184" s="4"/>
      <c r="AR184" s="4"/>
      <c r="AS184" s="4"/>
      <c r="AT184" s="4"/>
    </row>
    <row r="185" spans="1:46" s="124" customFormat="1" ht="111.95" customHeight="1" x14ac:dyDescent="0.25">
      <c r="A185" s="113">
        <v>51</v>
      </c>
      <c r="B185" s="113" t="s">
        <v>109</v>
      </c>
      <c r="C185" s="114" t="s">
        <v>120</v>
      </c>
      <c r="D185" s="113">
        <v>25</v>
      </c>
      <c r="E185" s="113" t="s">
        <v>121</v>
      </c>
      <c r="F185" s="115" t="s">
        <v>299</v>
      </c>
      <c r="G185" s="116" t="s">
        <v>300</v>
      </c>
      <c r="H185" s="116" t="s">
        <v>301</v>
      </c>
      <c r="I185" s="117" t="s">
        <v>113</v>
      </c>
      <c r="J185" s="116" t="s">
        <v>302</v>
      </c>
      <c r="K185" s="116" t="s">
        <v>303</v>
      </c>
      <c r="L185" s="118" t="s">
        <v>304</v>
      </c>
      <c r="M185" s="118" t="s">
        <v>305</v>
      </c>
      <c r="N185" s="119">
        <v>44501</v>
      </c>
      <c r="O185" s="119">
        <v>45596</v>
      </c>
      <c r="P185" s="120">
        <f t="shared" si="47"/>
        <v>3</v>
      </c>
      <c r="Q185" s="114" t="s">
        <v>29</v>
      </c>
      <c r="R185" s="114">
        <f t="shared" ca="1" si="48"/>
        <v>24.012604118130245</v>
      </c>
      <c r="S185" s="114" t="str">
        <f t="shared" ca="1" si="40"/>
        <v>O</v>
      </c>
      <c r="T185" s="121">
        <v>1</v>
      </c>
      <c r="U185" s="121">
        <v>2</v>
      </c>
      <c r="V185" s="121">
        <v>3</v>
      </c>
      <c r="W185" s="121">
        <f t="shared" si="37"/>
        <v>6</v>
      </c>
      <c r="X185" s="121" t="str">
        <f t="shared" si="38"/>
        <v>Penting</v>
      </c>
      <c r="Y185" s="115"/>
      <c r="Z185" s="114" t="s">
        <v>119</v>
      </c>
      <c r="AA185" s="119">
        <f>N185+270</f>
        <v>44771</v>
      </c>
      <c r="AB185" s="119">
        <f>+N185+635</f>
        <v>45136</v>
      </c>
      <c r="AC185" s="119">
        <f>+N185+1000</f>
        <v>45501</v>
      </c>
      <c r="AD185" s="26"/>
      <c r="AE185" s="122"/>
      <c r="AF185" s="114" t="s">
        <v>274</v>
      </c>
      <c r="AG185" s="114" t="s">
        <v>119</v>
      </c>
      <c r="AH185" s="26"/>
      <c r="AI185" s="26"/>
      <c r="AJ185" s="26"/>
      <c r="AK185" s="26"/>
      <c r="AL185" s="26"/>
      <c r="AM185" s="26"/>
      <c r="AN185" s="34" t="s">
        <v>126</v>
      </c>
      <c r="AO185" s="123">
        <v>44492</v>
      </c>
      <c r="AP185" s="4"/>
      <c r="AQ185" s="4"/>
      <c r="AR185" s="4"/>
      <c r="AS185" s="4"/>
      <c r="AT185" s="4"/>
    </row>
    <row r="186" spans="1:46" s="124" customFormat="1" ht="111.95" customHeight="1" x14ac:dyDescent="0.25">
      <c r="A186" s="113">
        <v>52</v>
      </c>
      <c r="B186" s="113" t="s">
        <v>109</v>
      </c>
      <c r="C186" s="114" t="s">
        <v>120</v>
      </c>
      <c r="D186" s="113">
        <v>45</v>
      </c>
      <c r="E186" s="113" t="s">
        <v>121</v>
      </c>
      <c r="F186" s="115" t="s">
        <v>306</v>
      </c>
      <c r="G186" s="116" t="s">
        <v>307</v>
      </c>
      <c r="H186" s="116" t="s">
        <v>308</v>
      </c>
      <c r="I186" s="117" t="s">
        <v>113</v>
      </c>
      <c r="J186" s="116" t="s">
        <v>309</v>
      </c>
      <c r="K186" s="116" t="s">
        <v>310</v>
      </c>
      <c r="L186" s="118">
        <v>650000</v>
      </c>
      <c r="M186" s="118" t="s">
        <v>143</v>
      </c>
      <c r="N186" s="119">
        <v>44373</v>
      </c>
      <c r="O186" s="119">
        <v>44737</v>
      </c>
      <c r="P186" s="120">
        <f t="shared" si="47"/>
        <v>0.99726027397260275</v>
      </c>
      <c r="Q186" s="114" t="s">
        <v>29</v>
      </c>
      <c r="R186" s="114">
        <f t="shared" ca="1" si="48"/>
        <v>-3.6970733012245955</v>
      </c>
      <c r="S186" s="114" t="str">
        <f t="shared" ca="1" si="40"/>
        <v>Y</v>
      </c>
      <c r="T186" s="121">
        <v>1</v>
      </c>
      <c r="U186" s="121">
        <v>1</v>
      </c>
      <c r="V186" s="121">
        <v>1</v>
      </c>
      <c r="W186" s="121">
        <f t="shared" si="37"/>
        <v>3</v>
      </c>
      <c r="X186" s="121" t="str">
        <f t="shared" si="38"/>
        <v>Biasa</v>
      </c>
      <c r="Y186" s="115"/>
      <c r="Z186" s="125"/>
      <c r="AA186" s="119"/>
      <c r="AB186" s="119"/>
      <c r="AC186" s="119"/>
      <c r="AD186" s="26" t="s">
        <v>125</v>
      </c>
      <c r="AE186" s="122">
        <v>44008</v>
      </c>
      <c r="AF186" s="114" t="s">
        <v>274</v>
      </c>
      <c r="AG186" s="114" t="s">
        <v>119</v>
      </c>
      <c r="AH186" s="26"/>
      <c r="AI186" s="26"/>
      <c r="AJ186" s="26"/>
      <c r="AK186" s="26"/>
      <c r="AL186" s="26"/>
      <c r="AM186" s="26"/>
      <c r="AN186" s="34" t="s">
        <v>126</v>
      </c>
      <c r="AO186" s="123">
        <v>44407</v>
      </c>
      <c r="AP186" s="4"/>
      <c r="AQ186" s="4"/>
      <c r="AR186" s="4"/>
      <c r="AS186" s="4"/>
      <c r="AT186" s="4"/>
    </row>
    <row r="187" spans="1:46" s="124" customFormat="1" ht="111.95" customHeight="1" x14ac:dyDescent="0.25">
      <c r="A187" s="113">
        <v>53</v>
      </c>
      <c r="B187" s="113" t="s">
        <v>109</v>
      </c>
      <c r="C187" s="114" t="s">
        <v>290</v>
      </c>
      <c r="D187" s="113">
        <v>2</v>
      </c>
      <c r="E187" s="113" t="s">
        <v>291</v>
      </c>
      <c r="F187" s="115" t="s">
        <v>311</v>
      </c>
      <c r="G187" s="116" t="s">
        <v>312</v>
      </c>
      <c r="H187" s="116" t="s">
        <v>313</v>
      </c>
      <c r="I187" s="117" t="s">
        <v>113</v>
      </c>
      <c r="J187" s="116" t="s">
        <v>314</v>
      </c>
      <c r="K187" s="116" t="s">
        <v>315</v>
      </c>
      <c r="L187" s="118">
        <v>310861042</v>
      </c>
      <c r="M187" s="118" t="s">
        <v>316</v>
      </c>
      <c r="N187" s="119">
        <v>44004</v>
      </c>
      <c r="O187" s="119">
        <v>45098</v>
      </c>
      <c r="P187" s="120">
        <f t="shared" si="47"/>
        <v>2.9972602739726026</v>
      </c>
      <c r="Q187" s="114" t="s">
        <v>29</v>
      </c>
      <c r="R187" s="114">
        <f t="shared" ca="1" si="48"/>
        <v>7.948087989097985</v>
      </c>
      <c r="S187" s="114" t="str">
        <f t="shared" ca="1" si="40"/>
        <v>O</v>
      </c>
      <c r="T187" s="121">
        <v>1</v>
      </c>
      <c r="U187" s="121">
        <v>1</v>
      </c>
      <c r="V187" s="121">
        <v>1</v>
      </c>
      <c r="W187" s="121">
        <f t="shared" si="37"/>
        <v>3</v>
      </c>
      <c r="X187" s="121" t="str">
        <f t="shared" si="38"/>
        <v>Biasa</v>
      </c>
      <c r="Y187" s="115" t="s">
        <v>317</v>
      </c>
      <c r="Z187" s="114"/>
      <c r="AA187" s="119"/>
      <c r="AB187" s="119"/>
      <c r="AC187" s="119"/>
      <c r="AD187" s="26" t="s">
        <v>125</v>
      </c>
      <c r="AE187" s="122">
        <v>44008</v>
      </c>
      <c r="AF187" s="114" t="s">
        <v>274</v>
      </c>
      <c r="AG187" s="114" t="s">
        <v>119</v>
      </c>
      <c r="AH187" s="26"/>
      <c r="AI187" s="26"/>
      <c r="AJ187" s="26"/>
      <c r="AK187" s="26"/>
      <c r="AL187" s="26"/>
      <c r="AM187" s="26"/>
      <c r="AN187" s="34" t="s">
        <v>126</v>
      </c>
      <c r="AO187" s="123">
        <v>44008</v>
      </c>
      <c r="AP187" s="4"/>
      <c r="AQ187" s="4"/>
      <c r="AR187" s="4"/>
      <c r="AS187" s="4"/>
      <c r="AT187" s="4"/>
    </row>
    <row r="188" spans="1:46" s="124" customFormat="1" ht="111.95" customHeight="1" x14ac:dyDescent="0.25">
      <c r="A188" s="113">
        <v>54</v>
      </c>
      <c r="B188" s="113" t="s">
        <v>109</v>
      </c>
      <c r="C188" s="114" t="s">
        <v>290</v>
      </c>
      <c r="D188" s="113">
        <v>3</v>
      </c>
      <c r="E188" s="113" t="s">
        <v>291</v>
      </c>
      <c r="F188" s="115" t="s">
        <v>318</v>
      </c>
      <c r="G188" s="116" t="s">
        <v>319</v>
      </c>
      <c r="H188" s="116" t="s">
        <v>320</v>
      </c>
      <c r="I188" s="117" t="s">
        <v>113</v>
      </c>
      <c r="J188" s="116" t="s">
        <v>321</v>
      </c>
      <c r="K188" s="116" t="s">
        <v>322</v>
      </c>
      <c r="L188" s="118">
        <v>315000000</v>
      </c>
      <c r="M188" s="118"/>
      <c r="N188" s="119">
        <v>44470</v>
      </c>
      <c r="O188" s="119">
        <v>44742</v>
      </c>
      <c r="P188" s="120">
        <f t="shared" si="47"/>
        <v>0.74520547945205484</v>
      </c>
      <c r="Q188" s="114" t="s">
        <v>29</v>
      </c>
      <c r="R188" s="114">
        <f t="shared" ca="1" si="48"/>
        <v>-3.5357829786439505</v>
      </c>
      <c r="S188" s="114" t="str">
        <f t="shared" ca="1" si="40"/>
        <v>Y</v>
      </c>
      <c r="T188" s="121">
        <v>1</v>
      </c>
      <c r="U188" s="121">
        <v>1</v>
      </c>
      <c r="V188" s="121">
        <v>1</v>
      </c>
      <c r="W188" s="121">
        <f t="shared" si="37"/>
        <v>3</v>
      </c>
      <c r="X188" s="121" t="str">
        <f t="shared" si="38"/>
        <v>Biasa</v>
      </c>
      <c r="Y188" s="115"/>
      <c r="Z188" s="114"/>
      <c r="AA188" s="119"/>
      <c r="AB188" s="119"/>
      <c r="AC188" s="119"/>
      <c r="AD188" s="26" t="s">
        <v>125</v>
      </c>
      <c r="AE188" s="122">
        <v>44470</v>
      </c>
      <c r="AF188" s="114" t="s">
        <v>274</v>
      </c>
      <c r="AG188" s="114" t="s">
        <v>119</v>
      </c>
      <c r="AH188" s="26"/>
      <c r="AI188" s="26"/>
      <c r="AJ188" s="26"/>
      <c r="AK188" s="26"/>
      <c r="AL188" s="26"/>
      <c r="AM188" s="26"/>
      <c r="AN188" s="34" t="s">
        <v>126</v>
      </c>
      <c r="AO188" s="123">
        <v>44468</v>
      </c>
      <c r="AP188" s="4"/>
      <c r="AQ188" s="4"/>
      <c r="AR188" s="4"/>
      <c r="AS188" s="4"/>
      <c r="AT188" s="4"/>
    </row>
    <row r="189" spans="1:46" s="124" customFormat="1" ht="111.95" customHeight="1" x14ac:dyDescent="0.25">
      <c r="A189" s="113">
        <v>55</v>
      </c>
      <c r="B189" s="113" t="s">
        <v>109</v>
      </c>
      <c r="C189" s="114" t="s">
        <v>290</v>
      </c>
      <c r="D189" s="113">
        <v>4</v>
      </c>
      <c r="E189" s="113" t="s">
        <v>291</v>
      </c>
      <c r="F189" s="115" t="s">
        <v>323</v>
      </c>
      <c r="G189" s="116" t="s">
        <v>324</v>
      </c>
      <c r="H189" s="116" t="s">
        <v>325</v>
      </c>
      <c r="I189" s="117" t="s">
        <v>113</v>
      </c>
      <c r="J189" s="116" t="s">
        <v>326</v>
      </c>
      <c r="K189" s="116" t="s">
        <v>327</v>
      </c>
      <c r="L189" s="118">
        <v>132600000</v>
      </c>
      <c r="M189" s="118"/>
      <c r="N189" s="119">
        <v>44348</v>
      </c>
      <c r="O189" s="119">
        <v>44562</v>
      </c>
      <c r="P189" s="120">
        <f t="shared" si="47"/>
        <v>0.58630136986301373</v>
      </c>
      <c r="Q189" s="114" t="s">
        <v>29</v>
      </c>
      <c r="R189" s="114" t="s">
        <v>117</v>
      </c>
      <c r="S189" s="114" t="str">
        <f t="shared" si="40"/>
        <v>Z</v>
      </c>
      <c r="T189" s="121">
        <v>1</v>
      </c>
      <c r="U189" s="121">
        <v>1</v>
      </c>
      <c r="V189" s="121">
        <v>1</v>
      </c>
      <c r="W189" s="121">
        <f t="shared" si="37"/>
        <v>3</v>
      </c>
      <c r="X189" s="121" t="str">
        <f t="shared" si="38"/>
        <v>Biasa</v>
      </c>
      <c r="Y189" s="115" t="s">
        <v>328</v>
      </c>
      <c r="Z189" s="114"/>
      <c r="AA189" s="119"/>
      <c r="AB189" s="119"/>
      <c r="AC189" s="119"/>
      <c r="AD189" s="26" t="s">
        <v>16</v>
      </c>
      <c r="AE189" s="122">
        <v>44562</v>
      </c>
      <c r="AF189" s="114" t="s">
        <v>274</v>
      </c>
      <c r="AG189" s="114"/>
      <c r="AH189" s="26"/>
      <c r="AI189" s="26"/>
      <c r="AJ189" s="26"/>
      <c r="AK189" s="26"/>
      <c r="AL189" s="26"/>
      <c r="AM189" s="26"/>
      <c r="AN189" s="26"/>
      <c r="AO189" s="123"/>
      <c r="AP189" s="4"/>
      <c r="AQ189" s="4"/>
      <c r="AR189" s="4"/>
      <c r="AS189" s="4"/>
      <c r="AT189" s="4"/>
    </row>
    <row r="190" spans="1:46" s="124" customFormat="1" ht="111.95" customHeight="1" x14ac:dyDescent="0.25">
      <c r="A190" s="113"/>
      <c r="B190" s="113" t="s">
        <v>109</v>
      </c>
      <c r="C190" s="114" t="s">
        <v>290</v>
      </c>
      <c r="D190" s="113">
        <v>4</v>
      </c>
      <c r="E190" s="113" t="s">
        <v>291</v>
      </c>
      <c r="F190" s="115" t="s">
        <v>329</v>
      </c>
      <c r="G190" s="116" t="s">
        <v>330</v>
      </c>
      <c r="H190" s="116" t="s">
        <v>325</v>
      </c>
      <c r="I190" s="117" t="s">
        <v>113</v>
      </c>
      <c r="J190" s="116" t="s">
        <v>331</v>
      </c>
      <c r="K190" s="116" t="s">
        <v>327</v>
      </c>
      <c r="L190" s="118">
        <v>383200000</v>
      </c>
      <c r="M190" s="118" t="s">
        <v>332</v>
      </c>
      <c r="N190" s="119">
        <v>44585</v>
      </c>
      <c r="O190" s="119">
        <v>44954</v>
      </c>
      <c r="P190" s="120">
        <f t="shared" si="47"/>
        <v>1.010958904109589</v>
      </c>
      <c r="Q190" s="114" t="s">
        <v>29</v>
      </c>
      <c r="R190" s="114">
        <f t="shared" ca="1" si="48"/>
        <v>3.3029266987754045</v>
      </c>
      <c r="S190" s="114" t="str">
        <f t="shared" ca="1" si="40"/>
        <v>O</v>
      </c>
      <c r="T190" s="121">
        <v>1</v>
      </c>
      <c r="U190" s="121">
        <v>1</v>
      </c>
      <c r="V190" s="121">
        <v>1</v>
      </c>
      <c r="W190" s="121">
        <f t="shared" si="37"/>
        <v>3</v>
      </c>
      <c r="X190" s="121" t="str">
        <f t="shared" si="38"/>
        <v>Biasa</v>
      </c>
      <c r="Y190" s="115" t="s">
        <v>328</v>
      </c>
      <c r="Z190" s="114"/>
      <c r="AA190" s="119"/>
      <c r="AB190" s="119"/>
      <c r="AC190" s="119"/>
      <c r="AD190" s="26" t="s">
        <v>125</v>
      </c>
      <c r="AE190" s="122">
        <v>44663</v>
      </c>
      <c r="AF190" s="114" t="s">
        <v>274</v>
      </c>
      <c r="AG190" s="114"/>
      <c r="AH190" s="26"/>
      <c r="AI190" s="26"/>
      <c r="AJ190" s="26"/>
      <c r="AK190" s="26"/>
      <c r="AL190" s="26"/>
      <c r="AM190" s="26"/>
      <c r="AN190" s="34" t="s">
        <v>126</v>
      </c>
      <c r="AO190" s="123"/>
      <c r="AP190" s="4"/>
      <c r="AQ190" s="4"/>
      <c r="AR190" s="4"/>
      <c r="AS190" s="4"/>
      <c r="AT190" s="4"/>
    </row>
    <row r="191" spans="1:46" s="124" customFormat="1" ht="111.95" customHeight="1" x14ac:dyDescent="0.25">
      <c r="A191" s="113">
        <v>56</v>
      </c>
      <c r="B191" s="113" t="s">
        <v>109</v>
      </c>
      <c r="C191" s="114" t="s">
        <v>290</v>
      </c>
      <c r="D191" s="113">
        <v>5</v>
      </c>
      <c r="E191" s="113" t="s">
        <v>291</v>
      </c>
      <c r="F191" s="115" t="s">
        <v>333</v>
      </c>
      <c r="G191" s="116" t="s">
        <v>312</v>
      </c>
      <c r="H191" s="116" t="s">
        <v>334</v>
      </c>
      <c r="I191" s="117" t="s">
        <v>113</v>
      </c>
      <c r="J191" s="116" t="s">
        <v>335</v>
      </c>
      <c r="K191" s="116" t="s">
        <v>336</v>
      </c>
      <c r="L191" s="118">
        <v>107000000</v>
      </c>
      <c r="M191" s="118" t="s">
        <v>337</v>
      </c>
      <c r="N191" s="119">
        <v>44478</v>
      </c>
      <c r="O191" s="119">
        <v>45574</v>
      </c>
      <c r="P191" s="120">
        <f t="shared" si="47"/>
        <v>3.0027397260273974</v>
      </c>
      <c r="Q191" s="114" t="s">
        <v>29</v>
      </c>
      <c r="R191" s="114">
        <f t="shared" ca="1" si="48"/>
        <v>23.302926698775405</v>
      </c>
      <c r="S191" s="114" t="str">
        <f t="shared" ca="1" si="40"/>
        <v>O</v>
      </c>
      <c r="T191" s="121">
        <v>1</v>
      </c>
      <c r="U191" s="121">
        <v>1</v>
      </c>
      <c r="V191" s="121">
        <v>1</v>
      </c>
      <c r="W191" s="121">
        <f t="shared" si="37"/>
        <v>3</v>
      </c>
      <c r="X191" s="121" t="str">
        <f t="shared" si="38"/>
        <v>Biasa</v>
      </c>
      <c r="Y191" s="115" t="s">
        <v>338</v>
      </c>
      <c r="Z191" s="114"/>
      <c r="AA191" s="119"/>
      <c r="AB191" s="119"/>
      <c r="AC191" s="119"/>
      <c r="AD191" s="26" t="s">
        <v>125</v>
      </c>
      <c r="AE191" s="122">
        <v>44501</v>
      </c>
      <c r="AF191" s="114" t="s">
        <v>274</v>
      </c>
      <c r="AG191" s="114" t="s">
        <v>119</v>
      </c>
      <c r="AH191" s="26"/>
      <c r="AI191" s="26"/>
      <c r="AJ191" s="26"/>
      <c r="AK191" s="26"/>
      <c r="AL191" s="26"/>
      <c r="AM191" s="26"/>
      <c r="AN191" s="34" t="s">
        <v>126</v>
      </c>
      <c r="AO191" s="123">
        <v>44502</v>
      </c>
      <c r="AP191" s="4"/>
      <c r="AQ191" s="4"/>
      <c r="AR191" s="4"/>
      <c r="AS191" s="4"/>
      <c r="AT191" s="4"/>
    </row>
    <row r="192" spans="1:46" s="124" customFormat="1" ht="111.95" customHeight="1" x14ac:dyDescent="0.25">
      <c r="A192" s="113">
        <v>57</v>
      </c>
      <c r="B192" s="113" t="s">
        <v>109</v>
      </c>
      <c r="C192" s="114" t="s">
        <v>290</v>
      </c>
      <c r="D192" s="113">
        <v>6</v>
      </c>
      <c r="E192" s="113" t="s">
        <v>291</v>
      </c>
      <c r="F192" s="115" t="s">
        <v>339</v>
      </c>
      <c r="G192" s="116" t="s">
        <v>340</v>
      </c>
      <c r="H192" s="116" t="s">
        <v>341</v>
      </c>
      <c r="I192" s="117" t="s">
        <v>113</v>
      </c>
      <c r="J192" s="116" t="s">
        <v>342</v>
      </c>
      <c r="K192" s="116" t="s">
        <v>343</v>
      </c>
      <c r="L192" s="118">
        <v>39000000</v>
      </c>
      <c r="M192" s="118"/>
      <c r="N192" s="119">
        <v>44501</v>
      </c>
      <c r="O192" s="119">
        <v>44742</v>
      </c>
      <c r="P192" s="120">
        <f t="shared" si="47"/>
        <v>0.66027397260273968</v>
      </c>
      <c r="Q192" s="114" t="s">
        <v>29</v>
      </c>
      <c r="R192" s="114">
        <f t="shared" ca="1" si="48"/>
        <v>-3.5357829786439505</v>
      </c>
      <c r="S192" s="114" t="str">
        <f t="shared" ca="1" si="40"/>
        <v>Y</v>
      </c>
      <c r="T192" s="121">
        <v>1</v>
      </c>
      <c r="U192" s="121">
        <v>1</v>
      </c>
      <c r="V192" s="121">
        <v>1</v>
      </c>
      <c r="W192" s="121">
        <f t="shared" si="37"/>
        <v>3</v>
      </c>
      <c r="X192" s="121" t="str">
        <f t="shared" si="38"/>
        <v>Biasa</v>
      </c>
      <c r="Y192" s="115"/>
      <c r="Z192" s="114"/>
      <c r="AA192" s="119"/>
      <c r="AB192" s="119"/>
      <c r="AC192" s="119"/>
      <c r="AD192" s="26" t="s">
        <v>125</v>
      </c>
      <c r="AE192" s="122">
        <v>44501</v>
      </c>
      <c r="AF192" s="114" t="s">
        <v>274</v>
      </c>
      <c r="AG192" s="114" t="s">
        <v>119</v>
      </c>
      <c r="AH192" s="26"/>
      <c r="AI192" s="26"/>
      <c r="AJ192" s="26"/>
      <c r="AK192" s="26"/>
      <c r="AL192" s="26"/>
      <c r="AM192" s="26"/>
      <c r="AN192" s="34" t="s">
        <v>126</v>
      </c>
      <c r="AO192" s="123"/>
      <c r="AP192" s="4"/>
      <c r="AQ192" s="4"/>
      <c r="AR192" s="4"/>
      <c r="AS192" s="4"/>
      <c r="AT192" s="4"/>
    </row>
    <row r="193" spans="1:46" s="124" customFormat="1" ht="111.95" customHeight="1" x14ac:dyDescent="0.25">
      <c r="A193" s="113">
        <v>58</v>
      </c>
      <c r="B193" s="113" t="s">
        <v>109</v>
      </c>
      <c r="C193" s="114" t="s">
        <v>290</v>
      </c>
      <c r="D193" s="113">
        <v>7</v>
      </c>
      <c r="E193" s="113" t="s">
        <v>291</v>
      </c>
      <c r="F193" s="115" t="s">
        <v>344</v>
      </c>
      <c r="G193" s="116" t="s">
        <v>312</v>
      </c>
      <c r="H193" s="116" t="s">
        <v>345</v>
      </c>
      <c r="I193" s="117" t="s">
        <v>113</v>
      </c>
      <c r="J193" s="116" t="s">
        <v>346</v>
      </c>
      <c r="K193" s="116"/>
      <c r="L193" s="118">
        <v>60000</v>
      </c>
      <c r="M193" s="118" t="s">
        <v>347</v>
      </c>
      <c r="N193" s="119">
        <v>44529</v>
      </c>
      <c r="O193" s="119" t="s">
        <v>110</v>
      </c>
      <c r="P193" s="120" t="s">
        <v>110</v>
      </c>
      <c r="Q193" s="114" t="s">
        <v>29</v>
      </c>
      <c r="R193" s="114" t="s">
        <v>110</v>
      </c>
      <c r="S193" s="114" t="str">
        <f t="shared" si="40"/>
        <v>O</v>
      </c>
      <c r="T193" s="121">
        <v>1</v>
      </c>
      <c r="U193" s="121">
        <v>1</v>
      </c>
      <c r="V193" s="121">
        <v>1</v>
      </c>
      <c r="W193" s="121">
        <f t="shared" si="37"/>
        <v>3</v>
      </c>
      <c r="X193" s="121" t="str">
        <f t="shared" si="38"/>
        <v>Biasa</v>
      </c>
      <c r="Y193" s="115"/>
      <c r="Z193" s="114"/>
      <c r="AA193" s="119"/>
      <c r="AB193" s="119"/>
      <c r="AC193" s="119"/>
      <c r="AD193" s="26" t="s">
        <v>125</v>
      </c>
      <c r="AE193" s="122">
        <v>44501</v>
      </c>
      <c r="AF193" s="114" t="s">
        <v>274</v>
      </c>
      <c r="AG193" s="114" t="s">
        <v>216</v>
      </c>
      <c r="AH193" s="26"/>
      <c r="AI193" s="26"/>
      <c r="AJ193" s="26"/>
      <c r="AK193" s="26"/>
      <c r="AL193" s="26"/>
      <c r="AM193" s="26"/>
      <c r="AN193" s="34" t="s">
        <v>126</v>
      </c>
      <c r="AO193" s="123"/>
      <c r="AP193" s="4"/>
      <c r="AQ193" s="4"/>
      <c r="AR193" s="4"/>
      <c r="AS193" s="4"/>
      <c r="AT193" s="4"/>
    </row>
    <row r="194" spans="1:46" s="124" customFormat="1" ht="111.95" customHeight="1" x14ac:dyDescent="0.25">
      <c r="A194" s="113">
        <v>59</v>
      </c>
      <c r="B194" s="113" t="s">
        <v>109</v>
      </c>
      <c r="C194" s="114" t="s">
        <v>290</v>
      </c>
      <c r="D194" s="113">
        <v>8</v>
      </c>
      <c r="E194" s="113" t="s">
        <v>291</v>
      </c>
      <c r="F194" s="115" t="s">
        <v>348</v>
      </c>
      <c r="G194" s="116" t="s">
        <v>312</v>
      </c>
      <c r="H194" s="116" t="s">
        <v>349</v>
      </c>
      <c r="I194" s="117" t="s">
        <v>113</v>
      </c>
      <c r="J194" s="116" t="s">
        <v>350</v>
      </c>
      <c r="K194" s="116" t="s">
        <v>351</v>
      </c>
      <c r="L194" s="118" t="s">
        <v>352</v>
      </c>
      <c r="M194" s="118" t="s">
        <v>353</v>
      </c>
      <c r="N194" s="119">
        <v>44392</v>
      </c>
      <c r="O194" s="119">
        <v>45657</v>
      </c>
      <c r="P194" s="120">
        <f t="shared" ref="P194:P195" si="49">(O194-N194)/365</f>
        <v>3.4657534246575343</v>
      </c>
      <c r="Q194" s="114" t="s">
        <v>29</v>
      </c>
      <c r="R194" s="114">
        <f t="shared" ref="R194:R195" ca="1" si="50">(O194-NOW()+1)/31</f>
        <v>25.980346053614113</v>
      </c>
      <c r="S194" s="114" t="str">
        <f t="shared" ca="1" si="40"/>
        <v>O</v>
      </c>
      <c r="T194" s="121">
        <v>1</v>
      </c>
      <c r="U194" s="121">
        <v>1</v>
      </c>
      <c r="V194" s="121">
        <v>1</v>
      </c>
      <c r="W194" s="121">
        <f t="shared" si="37"/>
        <v>3</v>
      </c>
      <c r="X194" s="121" t="str">
        <f t="shared" si="38"/>
        <v>Biasa</v>
      </c>
      <c r="Y194" s="115"/>
      <c r="Z194" s="114"/>
      <c r="AA194" s="119"/>
      <c r="AB194" s="119"/>
      <c r="AC194" s="119"/>
      <c r="AD194" s="26" t="s">
        <v>125</v>
      </c>
      <c r="AE194" s="122">
        <v>44531</v>
      </c>
      <c r="AF194" s="114" t="s">
        <v>274</v>
      </c>
      <c r="AG194" s="114" t="s">
        <v>119</v>
      </c>
      <c r="AH194" s="26"/>
      <c r="AI194" s="26"/>
      <c r="AJ194" s="26"/>
      <c r="AK194" s="26"/>
      <c r="AL194" s="26"/>
      <c r="AM194" s="26"/>
      <c r="AN194" s="34" t="s">
        <v>126</v>
      </c>
      <c r="AO194" s="123"/>
      <c r="AP194" s="4"/>
      <c r="AQ194" s="4"/>
      <c r="AR194" s="4"/>
      <c r="AS194" s="4"/>
      <c r="AT194" s="4"/>
    </row>
    <row r="195" spans="1:46" s="124" customFormat="1" ht="111.95" customHeight="1" x14ac:dyDescent="0.25">
      <c r="A195" s="113">
        <v>60</v>
      </c>
      <c r="B195" s="113" t="s">
        <v>109</v>
      </c>
      <c r="C195" s="114" t="s">
        <v>290</v>
      </c>
      <c r="D195" s="113">
        <v>13</v>
      </c>
      <c r="E195" s="113" t="s">
        <v>291</v>
      </c>
      <c r="F195" s="115" t="s">
        <v>354</v>
      </c>
      <c r="G195" s="116" t="s">
        <v>312</v>
      </c>
      <c r="H195" s="116" t="s">
        <v>334</v>
      </c>
      <c r="I195" s="117" t="s">
        <v>113</v>
      </c>
      <c r="J195" s="116" t="s">
        <v>335</v>
      </c>
      <c r="K195" s="116" t="s">
        <v>336</v>
      </c>
      <c r="L195" s="118">
        <v>107000000</v>
      </c>
      <c r="M195" s="118" t="s">
        <v>337</v>
      </c>
      <c r="N195" s="119">
        <v>44564</v>
      </c>
      <c r="O195" s="119">
        <v>45660</v>
      </c>
      <c r="P195" s="120">
        <f t="shared" si="49"/>
        <v>3.0027397260273974</v>
      </c>
      <c r="Q195" s="114" t="s">
        <v>29</v>
      </c>
      <c r="R195" s="114">
        <f t="shared" ca="1" si="50"/>
        <v>26.077120247162501</v>
      </c>
      <c r="S195" s="114" t="str">
        <f t="shared" ca="1" si="40"/>
        <v>O</v>
      </c>
      <c r="T195" s="121">
        <v>1</v>
      </c>
      <c r="U195" s="121">
        <v>1</v>
      </c>
      <c r="V195" s="121">
        <v>1</v>
      </c>
      <c r="W195" s="121">
        <f t="shared" si="37"/>
        <v>3</v>
      </c>
      <c r="X195" s="121" t="str">
        <f t="shared" si="38"/>
        <v>Biasa</v>
      </c>
      <c r="Y195" s="115" t="s">
        <v>338</v>
      </c>
      <c r="Z195" s="114"/>
      <c r="AA195" s="119"/>
      <c r="AB195" s="119"/>
      <c r="AC195" s="119"/>
      <c r="AD195" s="26" t="s">
        <v>125</v>
      </c>
      <c r="AE195" s="122">
        <v>44562</v>
      </c>
      <c r="AF195" s="114" t="s">
        <v>274</v>
      </c>
      <c r="AG195" s="114" t="s">
        <v>119</v>
      </c>
      <c r="AH195" s="26"/>
      <c r="AI195" s="26"/>
      <c r="AJ195" s="26"/>
      <c r="AK195" s="26"/>
      <c r="AL195" s="26"/>
      <c r="AM195" s="26"/>
      <c r="AN195" s="34" t="s">
        <v>126</v>
      </c>
      <c r="AO195" s="123"/>
      <c r="AP195" s="4"/>
      <c r="AQ195" s="4"/>
      <c r="AR195" s="4"/>
      <c r="AS195" s="4"/>
      <c r="AT195" s="4"/>
    </row>
    <row r="196" spans="1:46" s="124" customFormat="1" ht="111.95" customHeight="1" x14ac:dyDescent="0.25">
      <c r="A196" s="113">
        <v>61</v>
      </c>
      <c r="B196" s="113"/>
      <c r="C196" s="114"/>
      <c r="D196" s="113"/>
      <c r="E196" s="113"/>
      <c r="F196" s="115" t="s">
        <v>355</v>
      </c>
      <c r="G196" s="116" t="s">
        <v>312</v>
      </c>
      <c r="H196" s="116" t="s">
        <v>356</v>
      </c>
      <c r="I196" s="117" t="s">
        <v>113</v>
      </c>
      <c r="J196" s="116" t="s">
        <v>357</v>
      </c>
      <c r="K196" s="116" t="s">
        <v>358</v>
      </c>
      <c r="L196" s="118" t="s">
        <v>359</v>
      </c>
      <c r="M196" s="118"/>
      <c r="N196" s="119">
        <v>43360</v>
      </c>
      <c r="O196" s="119">
        <v>44455</v>
      </c>
      <c r="P196" s="120">
        <f t="shared" si="47"/>
        <v>3</v>
      </c>
      <c r="Q196" s="114" t="s">
        <v>29</v>
      </c>
      <c r="R196" s="114" t="s">
        <v>117</v>
      </c>
      <c r="S196" s="114" t="str">
        <f t="shared" si="40"/>
        <v>Z</v>
      </c>
      <c r="T196" s="121">
        <v>1</v>
      </c>
      <c r="U196" s="121">
        <v>2</v>
      </c>
      <c r="V196" s="121">
        <v>2</v>
      </c>
      <c r="W196" s="121">
        <f t="shared" si="37"/>
        <v>5</v>
      </c>
      <c r="X196" s="121" t="str">
        <f t="shared" si="38"/>
        <v>Biasa</v>
      </c>
      <c r="Y196" s="115"/>
      <c r="Z196" s="115"/>
      <c r="AA196" s="119"/>
      <c r="AB196" s="119"/>
      <c r="AC196" s="119"/>
      <c r="AD196" s="26" t="s">
        <v>16</v>
      </c>
      <c r="AE196" s="122">
        <v>44440</v>
      </c>
      <c r="AF196" s="114" t="s">
        <v>274</v>
      </c>
      <c r="AG196" s="114" t="s">
        <v>119</v>
      </c>
      <c r="AH196" s="26"/>
      <c r="AI196" s="26"/>
      <c r="AJ196" s="26"/>
      <c r="AK196" s="26"/>
      <c r="AL196" s="26"/>
      <c r="AM196" s="26"/>
      <c r="AN196" s="26"/>
      <c r="AO196" s="123"/>
      <c r="AP196" s="4"/>
      <c r="AQ196" s="4"/>
      <c r="AR196" s="4"/>
      <c r="AS196" s="4"/>
      <c r="AT196" s="4"/>
    </row>
    <row r="197" spans="1:46" s="124" customFormat="1" ht="111.95" customHeight="1" x14ac:dyDescent="0.25">
      <c r="A197" s="113">
        <v>62</v>
      </c>
      <c r="B197" s="113" t="s">
        <v>109</v>
      </c>
      <c r="C197" s="114" t="s">
        <v>120</v>
      </c>
      <c r="D197" s="113">
        <v>28</v>
      </c>
      <c r="E197" s="113" t="s">
        <v>121</v>
      </c>
      <c r="F197" s="115" t="s">
        <v>360</v>
      </c>
      <c r="G197" s="116" t="s">
        <v>312</v>
      </c>
      <c r="H197" s="116" t="s">
        <v>361</v>
      </c>
      <c r="I197" s="117" t="s">
        <v>113</v>
      </c>
      <c r="J197" s="116" t="s">
        <v>362</v>
      </c>
      <c r="K197" s="116" t="s">
        <v>363</v>
      </c>
      <c r="L197" s="118" t="s">
        <v>359</v>
      </c>
      <c r="M197" s="118"/>
      <c r="N197" s="119">
        <v>43587</v>
      </c>
      <c r="O197" s="119">
        <v>44682</v>
      </c>
      <c r="P197" s="120">
        <f t="shared" si="47"/>
        <v>3</v>
      </c>
      <c r="Q197" s="114" t="s">
        <v>29</v>
      </c>
      <c r="R197" s="114">
        <f t="shared" ca="1" si="48"/>
        <v>-5.4712668496116921</v>
      </c>
      <c r="S197" s="114" t="str">
        <f t="shared" ca="1" si="40"/>
        <v>Y</v>
      </c>
      <c r="T197" s="121">
        <v>2</v>
      </c>
      <c r="U197" s="121">
        <v>2</v>
      </c>
      <c r="V197" s="121">
        <v>1</v>
      </c>
      <c r="W197" s="121">
        <f t="shared" si="37"/>
        <v>5</v>
      </c>
      <c r="X197" s="121" t="str">
        <f t="shared" si="38"/>
        <v>Biasa</v>
      </c>
      <c r="Y197" s="115" t="s">
        <v>364</v>
      </c>
      <c r="Z197" s="114" t="s">
        <v>119</v>
      </c>
      <c r="AA197" s="119">
        <f>N197+270</f>
        <v>43857</v>
      </c>
      <c r="AB197" s="119">
        <f>+N197+635</f>
        <v>44222</v>
      </c>
      <c r="AC197" s="119">
        <f>+N197+1000</f>
        <v>44587</v>
      </c>
      <c r="AD197" s="26"/>
      <c r="AE197" s="122"/>
      <c r="AF197" s="114" t="s">
        <v>274</v>
      </c>
      <c r="AG197" s="114" t="s">
        <v>119</v>
      </c>
      <c r="AH197" s="26"/>
      <c r="AI197" s="26"/>
      <c r="AJ197" s="26"/>
      <c r="AK197" s="26"/>
      <c r="AL197" s="26"/>
      <c r="AM197" s="26"/>
      <c r="AN197" s="34" t="s">
        <v>365</v>
      </c>
      <c r="AO197" s="123"/>
      <c r="AP197" s="4"/>
      <c r="AQ197" s="4"/>
      <c r="AR197" s="4"/>
      <c r="AS197" s="4"/>
      <c r="AT197" s="4"/>
    </row>
    <row r="198" spans="1:46" s="124" customFormat="1" ht="111.95" customHeight="1" x14ac:dyDescent="0.25">
      <c r="A198" s="113">
        <v>63</v>
      </c>
      <c r="B198" s="113" t="s">
        <v>109</v>
      </c>
      <c r="C198" s="114" t="s">
        <v>120</v>
      </c>
      <c r="D198" s="113">
        <v>29</v>
      </c>
      <c r="E198" s="113" t="s">
        <v>121</v>
      </c>
      <c r="F198" s="115" t="s">
        <v>366</v>
      </c>
      <c r="G198" s="116" t="s">
        <v>312</v>
      </c>
      <c r="H198" s="116" t="s">
        <v>367</v>
      </c>
      <c r="I198" s="117" t="s">
        <v>113</v>
      </c>
      <c r="J198" s="116" t="s">
        <v>368</v>
      </c>
      <c r="K198" s="116" t="s">
        <v>369</v>
      </c>
      <c r="L198" s="118" t="s">
        <v>359</v>
      </c>
      <c r="M198" s="118"/>
      <c r="N198" s="119">
        <v>43647</v>
      </c>
      <c r="O198" s="119">
        <v>44742</v>
      </c>
      <c r="P198" s="120">
        <f t="shared" si="47"/>
        <v>3</v>
      </c>
      <c r="Q198" s="114" t="s">
        <v>29</v>
      </c>
      <c r="R198" s="114">
        <f t="shared" ca="1" si="48"/>
        <v>-3.5357829786439505</v>
      </c>
      <c r="S198" s="114" t="str">
        <f t="shared" ca="1" si="40"/>
        <v>Y</v>
      </c>
      <c r="T198" s="121">
        <v>1</v>
      </c>
      <c r="U198" s="121">
        <v>1</v>
      </c>
      <c r="V198" s="121">
        <v>1</v>
      </c>
      <c r="W198" s="121">
        <f t="shared" si="37"/>
        <v>3</v>
      </c>
      <c r="X198" s="121" t="str">
        <f t="shared" si="38"/>
        <v>Biasa</v>
      </c>
      <c r="Y198" s="115" t="s">
        <v>364</v>
      </c>
      <c r="Z198" s="114" t="s">
        <v>119</v>
      </c>
      <c r="AA198" s="119">
        <f>N198+270</f>
        <v>43917</v>
      </c>
      <c r="AB198" s="119">
        <f>+N198+635</f>
        <v>44282</v>
      </c>
      <c r="AC198" s="119">
        <f>+N198+1000</f>
        <v>44647</v>
      </c>
      <c r="AD198" s="26"/>
      <c r="AE198" s="122"/>
      <c r="AF198" s="114" t="s">
        <v>270</v>
      </c>
      <c r="AG198" s="114" t="s">
        <v>119</v>
      </c>
      <c r="AH198" s="26"/>
      <c r="AI198" s="26"/>
      <c r="AJ198" s="26"/>
      <c r="AK198" s="26"/>
      <c r="AL198" s="26"/>
      <c r="AM198" s="26"/>
      <c r="AN198" s="34" t="s">
        <v>365</v>
      </c>
      <c r="AO198" s="123"/>
      <c r="AP198" s="4"/>
      <c r="AQ198" s="4"/>
      <c r="AR198" s="4"/>
      <c r="AS198" s="4"/>
      <c r="AT198" s="4"/>
    </row>
    <row r="199" spans="1:46" s="124" customFormat="1" ht="111.95" customHeight="1" x14ac:dyDescent="0.25">
      <c r="A199" s="113">
        <v>64</v>
      </c>
      <c r="B199" s="113"/>
      <c r="C199" s="114"/>
      <c r="D199" s="113"/>
      <c r="E199" s="113"/>
      <c r="F199" s="115" t="s">
        <v>370</v>
      </c>
      <c r="G199" s="116" t="s">
        <v>312</v>
      </c>
      <c r="H199" s="116" t="s">
        <v>371</v>
      </c>
      <c r="I199" s="117" t="s">
        <v>113</v>
      </c>
      <c r="J199" s="116" t="s">
        <v>372</v>
      </c>
      <c r="K199" s="116" t="s">
        <v>373</v>
      </c>
      <c r="L199" s="118" t="s">
        <v>269</v>
      </c>
      <c r="M199" s="118"/>
      <c r="N199" s="119">
        <v>44013</v>
      </c>
      <c r="O199" s="119">
        <v>44742</v>
      </c>
      <c r="P199" s="120">
        <f t="shared" si="47"/>
        <v>1.9972602739726026</v>
      </c>
      <c r="Q199" s="114" t="s">
        <v>29</v>
      </c>
      <c r="R199" s="114" t="s">
        <v>117</v>
      </c>
      <c r="S199" s="114" t="str">
        <f>IF(R199="End","Z",IF(R199="Cancel","C",IF(SUM(R199)&gt;0,"O",IF(ISBLANK(R199),"X",IF(SUM(R199)&lt;0,"Y",IF(SUM(R199),"-","O"))))))</f>
        <v>Z</v>
      </c>
      <c r="T199" s="121">
        <v>2</v>
      </c>
      <c r="U199" s="121">
        <v>2</v>
      </c>
      <c r="V199" s="121">
        <v>1</v>
      </c>
      <c r="W199" s="121">
        <f t="shared" si="37"/>
        <v>5</v>
      </c>
      <c r="X199" s="121" t="str">
        <f t="shared" si="38"/>
        <v>Biasa</v>
      </c>
      <c r="Y199" s="115" t="s">
        <v>374</v>
      </c>
      <c r="Z199" s="114"/>
      <c r="AA199" s="119"/>
      <c r="AB199" s="119"/>
      <c r="AC199" s="119"/>
      <c r="AD199" s="26" t="s">
        <v>16</v>
      </c>
      <c r="AE199" s="122">
        <v>44501</v>
      </c>
      <c r="AF199" s="114" t="s">
        <v>270</v>
      </c>
      <c r="AG199" s="114" t="s">
        <v>119</v>
      </c>
      <c r="AH199" s="26"/>
      <c r="AI199" s="26"/>
      <c r="AJ199" s="26"/>
      <c r="AK199" s="26"/>
      <c r="AL199" s="26"/>
      <c r="AM199" s="26"/>
      <c r="AN199" s="26"/>
      <c r="AO199" s="123"/>
      <c r="AP199" s="4"/>
      <c r="AQ199" s="4"/>
      <c r="AR199" s="4"/>
      <c r="AS199" s="4"/>
      <c r="AT199" s="4"/>
    </row>
    <row r="200" spans="1:46" s="124" customFormat="1" ht="111.95" customHeight="1" x14ac:dyDescent="0.25">
      <c r="A200" s="113">
        <v>65</v>
      </c>
      <c r="B200" s="113" t="s">
        <v>109</v>
      </c>
      <c r="C200" s="114" t="s">
        <v>120</v>
      </c>
      <c r="D200" s="113">
        <v>30</v>
      </c>
      <c r="E200" s="113" t="s">
        <v>121</v>
      </c>
      <c r="F200" s="115" t="s">
        <v>375</v>
      </c>
      <c r="G200" s="116" t="s">
        <v>312</v>
      </c>
      <c r="H200" s="116" t="s">
        <v>376</v>
      </c>
      <c r="I200" s="117" t="s">
        <v>113</v>
      </c>
      <c r="J200" s="116" t="s">
        <v>377</v>
      </c>
      <c r="K200" s="116" t="s">
        <v>378</v>
      </c>
      <c r="L200" s="118" t="s">
        <v>269</v>
      </c>
      <c r="M200" s="118"/>
      <c r="N200" s="119">
        <v>44501</v>
      </c>
      <c r="O200" s="119">
        <v>44865</v>
      </c>
      <c r="P200" s="120">
        <f t="shared" si="47"/>
        <v>0.99726027397260275</v>
      </c>
      <c r="Q200" s="114" t="s">
        <v>29</v>
      </c>
      <c r="R200" s="114">
        <f t="shared" ref="R200" ca="1" si="51">(O200-NOW()+1)/31</f>
        <v>0.43195895683992047</v>
      </c>
      <c r="S200" s="114" t="str">
        <f t="shared" ref="S200" ca="1" si="52">IF(R200="End","Z",IF(R200="Cancel","C",IF(SUM(R200)&gt;0,"O",IF(ISBLANK(R200),"X",IF(SUM(R200)&lt;0,"Y",IF(SUM(R200),"-","O"))))))</f>
        <v>O</v>
      </c>
      <c r="T200" s="121">
        <v>1</v>
      </c>
      <c r="U200" s="121">
        <v>1</v>
      </c>
      <c r="V200" s="121">
        <v>1</v>
      </c>
      <c r="W200" s="121">
        <f t="shared" si="37"/>
        <v>3</v>
      </c>
      <c r="X200" s="121" t="str">
        <f t="shared" si="38"/>
        <v>Biasa</v>
      </c>
      <c r="Y200" s="115"/>
      <c r="Z200" s="114"/>
      <c r="AA200" s="119"/>
      <c r="AB200" s="119"/>
      <c r="AC200" s="119"/>
      <c r="AD200" s="26"/>
      <c r="AE200" s="122"/>
      <c r="AF200" s="114" t="s">
        <v>270</v>
      </c>
      <c r="AG200" s="114" t="s">
        <v>119</v>
      </c>
      <c r="AH200" s="26"/>
      <c r="AI200" s="26"/>
      <c r="AJ200" s="26"/>
      <c r="AK200" s="26"/>
      <c r="AL200" s="26"/>
      <c r="AM200" s="26"/>
      <c r="AN200" s="34" t="s">
        <v>126</v>
      </c>
      <c r="AO200" s="123"/>
      <c r="AP200" s="4"/>
      <c r="AQ200" s="4"/>
      <c r="AR200" s="4"/>
      <c r="AS200" s="4"/>
      <c r="AT200" s="4"/>
    </row>
    <row r="201" spans="1:46" s="124" customFormat="1" ht="111.95" customHeight="1" x14ac:dyDescent="0.25">
      <c r="A201" s="113">
        <v>66</v>
      </c>
      <c r="B201" s="113" t="s">
        <v>109</v>
      </c>
      <c r="C201" s="114" t="s">
        <v>120</v>
      </c>
      <c r="D201" s="113">
        <v>31</v>
      </c>
      <c r="E201" s="113" t="s">
        <v>121</v>
      </c>
      <c r="F201" s="115" t="s">
        <v>379</v>
      </c>
      <c r="G201" s="116" t="s">
        <v>312</v>
      </c>
      <c r="H201" s="116" t="s">
        <v>380</v>
      </c>
      <c r="I201" s="117" t="s">
        <v>113</v>
      </c>
      <c r="J201" s="116" t="s">
        <v>381</v>
      </c>
      <c r="K201" s="116" t="s">
        <v>382</v>
      </c>
      <c r="L201" s="118" t="s">
        <v>269</v>
      </c>
      <c r="M201" s="118"/>
      <c r="N201" s="119">
        <v>44378</v>
      </c>
      <c r="O201" s="119">
        <v>44742</v>
      </c>
      <c r="P201" s="120">
        <f t="shared" si="47"/>
        <v>0.99726027397260275</v>
      </c>
      <c r="Q201" s="114" t="s">
        <v>29</v>
      </c>
      <c r="R201" s="114">
        <f t="shared" ca="1" si="48"/>
        <v>-3.5357829786439505</v>
      </c>
      <c r="S201" s="114" t="str">
        <f t="shared" ca="1" si="40"/>
        <v>Y</v>
      </c>
      <c r="T201" s="121">
        <v>1</v>
      </c>
      <c r="U201" s="121">
        <v>1</v>
      </c>
      <c r="V201" s="121">
        <v>1</v>
      </c>
      <c r="W201" s="121">
        <f t="shared" si="37"/>
        <v>3</v>
      </c>
      <c r="X201" s="121" t="str">
        <f t="shared" si="38"/>
        <v>Biasa</v>
      </c>
      <c r="Y201" s="115"/>
      <c r="Z201" s="125"/>
      <c r="AA201" s="119"/>
      <c r="AB201" s="119"/>
      <c r="AC201" s="119"/>
      <c r="AD201" s="26"/>
      <c r="AE201" s="122"/>
      <c r="AF201" s="114" t="s">
        <v>383</v>
      </c>
      <c r="AG201" s="114" t="s">
        <v>119</v>
      </c>
      <c r="AH201" s="26"/>
      <c r="AI201" s="26"/>
      <c r="AJ201" s="26"/>
      <c r="AK201" s="26"/>
      <c r="AL201" s="26"/>
      <c r="AM201" s="26"/>
      <c r="AN201" s="34" t="s">
        <v>126</v>
      </c>
      <c r="AO201" s="123">
        <v>44407</v>
      </c>
      <c r="AP201" s="4"/>
      <c r="AQ201" s="4"/>
      <c r="AR201" s="4"/>
      <c r="AS201" s="4"/>
      <c r="AT201" s="4"/>
    </row>
    <row r="202" spans="1:46" s="124" customFormat="1" ht="138" customHeight="1" x14ac:dyDescent="0.25">
      <c r="A202" s="113">
        <v>67</v>
      </c>
      <c r="B202" s="113" t="s">
        <v>109</v>
      </c>
      <c r="C202" s="114"/>
      <c r="D202" s="113"/>
      <c r="E202" s="113"/>
      <c r="F202" s="115" t="s">
        <v>384</v>
      </c>
      <c r="G202" s="116" t="s">
        <v>385</v>
      </c>
      <c r="H202" s="116" t="s">
        <v>386</v>
      </c>
      <c r="I202" s="117" t="s">
        <v>113</v>
      </c>
      <c r="J202" s="116" t="s">
        <v>387</v>
      </c>
      <c r="K202" s="116" t="s">
        <v>388</v>
      </c>
      <c r="L202" s="118">
        <f>19231000+37381000+131226000+14750000+18060000</f>
        <v>220648000</v>
      </c>
      <c r="M202" s="118" t="s">
        <v>389</v>
      </c>
      <c r="N202" s="119">
        <v>43497</v>
      </c>
      <c r="O202" s="119">
        <v>43861</v>
      </c>
      <c r="P202" s="120">
        <f t="shared" si="47"/>
        <v>0.99726027397260275</v>
      </c>
      <c r="Q202" s="114" t="s">
        <v>30</v>
      </c>
      <c r="R202" s="114" t="s">
        <v>117</v>
      </c>
      <c r="S202" s="114" t="str">
        <f t="shared" si="40"/>
        <v>Z</v>
      </c>
      <c r="T202" s="121">
        <v>1</v>
      </c>
      <c r="U202" s="121">
        <v>2</v>
      </c>
      <c r="V202" s="121">
        <v>3</v>
      </c>
      <c r="W202" s="121">
        <f t="shared" si="37"/>
        <v>6</v>
      </c>
      <c r="X202" s="121" t="str">
        <f t="shared" si="38"/>
        <v>Penting</v>
      </c>
      <c r="Y202" s="115"/>
      <c r="Z202" s="115"/>
      <c r="AA202" s="119"/>
      <c r="AB202" s="119"/>
      <c r="AC202" s="119"/>
      <c r="AD202" s="26"/>
      <c r="AE202" s="122"/>
      <c r="AF202" s="114" t="s">
        <v>390</v>
      </c>
      <c r="AG202" s="114" t="s">
        <v>119</v>
      </c>
      <c r="AH202" s="26"/>
      <c r="AI202" s="26"/>
      <c r="AJ202" s="26"/>
      <c r="AK202" s="26"/>
      <c r="AL202" s="26"/>
      <c r="AM202" s="26"/>
      <c r="AN202" s="26"/>
      <c r="AO202" s="123"/>
      <c r="AP202" s="4"/>
      <c r="AQ202" s="4"/>
      <c r="AR202" s="4"/>
      <c r="AS202" s="4"/>
      <c r="AT202" s="4"/>
    </row>
    <row r="203" spans="1:46" s="124" customFormat="1" ht="138.75" x14ac:dyDescent="0.25">
      <c r="A203" s="113">
        <v>68</v>
      </c>
      <c r="B203" s="113" t="s">
        <v>109</v>
      </c>
      <c r="C203" s="114" t="s">
        <v>391</v>
      </c>
      <c r="D203" s="113">
        <v>26</v>
      </c>
      <c r="E203" s="113" t="s">
        <v>121</v>
      </c>
      <c r="F203" s="115" t="s">
        <v>392</v>
      </c>
      <c r="G203" s="116" t="s">
        <v>385</v>
      </c>
      <c r="H203" s="116" t="s">
        <v>386</v>
      </c>
      <c r="I203" s="117" t="s">
        <v>113</v>
      </c>
      <c r="J203" s="116" t="s">
        <v>393</v>
      </c>
      <c r="K203" s="116" t="s">
        <v>388</v>
      </c>
      <c r="L203" s="118">
        <v>101597000</v>
      </c>
      <c r="M203" s="118" t="s">
        <v>124</v>
      </c>
      <c r="N203" s="119">
        <v>44378</v>
      </c>
      <c r="O203" s="119">
        <v>44742</v>
      </c>
      <c r="P203" s="120">
        <f t="shared" si="47"/>
        <v>0.99726027397260275</v>
      </c>
      <c r="Q203" s="114" t="s">
        <v>29</v>
      </c>
      <c r="R203" s="114">
        <f t="shared" ref="R203:R210" ca="1" si="53">(O203-NOW()+1)/31</f>
        <v>-3.5357829786439505</v>
      </c>
      <c r="S203" s="114" t="str">
        <f ca="1">IF(R203="End","Z",IF(R203="Cancel","C",IF(SUM(R203)&gt;0,"O",IF(ISBLANK(R203),"X",IF(SUM(R203)&lt;0,"Y",IF(SUM(R203),"-","O"))))))</f>
        <v>Y</v>
      </c>
      <c r="T203" s="121">
        <v>1</v>
      </c>
      <c r="U203" s="121">
        <v>2</v>
      </c>
      <c r="V203" s="121">
        <v>3</v>
      </c>
      <c r="W203" s="121">
        <f>T203+U203+V203</f>
        <v>6</v>
      </c>
      <c r="X203" s="121" t="str">
        <f>IF(W203&gt;5,"Penting",IF(ISBLANK(W203),"","Biasa"))</f>
        <v>Penting</v>
      </c>
      <c r="Y203" s="115"/>
      <c r="Z203" s="125"/>
      <c r="AA203" s="119"/>
      <c r="AB203" s="119"/>
      <c r="AC203" s="119"/>
      <c r="AD203" s="26" t="s">
        <v>125</v>
      </c>
      <c r="AE203" s="122">
        <v>44044</v>
      </c>
      <c r="AF203" s="114" t="s">
        <v>274</v>
      </c>
      <c r="AG203" s="114" t="s">
        <v>119</v>
      </c>
      <c r="AH203" s="26"/>
      <c r="AI203" s="26"/>
      <c r="AJ203" s="26"/>
      <c r="AK203" s="26"/>
      <c r="AL203" s="26"/>
      <c r="AM203" s="26"/>
      <c r="AN203" s="34" t="s">
        <v>126</v>
      </c>
      <c r="AO203" s="123">
        <v>44378</v>
      </c>
      <c r="AP203" s="4"/>
      <c r="AQ203" s="4"/>
      <c r="AR203" s="4"/>
      <c r="AS203" s="4"/>
      <c r="AT203" s="4"/>
    </row>
    <row r="204" spans="1:46" s="124" customFormat="1" ht="111.95" customHeight="1" x14ac:dyDescent="0.25">
      <c r="A204" s="113">
        <v>69</v>
      </c>
      <c r="B204" s="113" t="s">
        <v>109</v>
      </c>
      <c r="C204" s="114" t="s">
        <v>120</v>
      </c>
      <c r="D204" s="113">
        <v>32</v>
      </c>
      <c r="E204" s="113" t="s">
        <v>121</v>
      </c>
      <c r="F204" s="115" t="s">
        <v>394</v>
      </c>
      <c r="G204" s="116" t="s">
        <v>312</v>
      </c>
      <c r="H204" s="116" t="s">
        <v>395</v>
      </c>
      <c r="I204" s="117" t="s">
        <v>113</v>
      </c>
      <c r="J204" s="116" t="s">
        <v>357</v>
      </c>
      <c r="K204" s="116"/>
      <c r="L204" s="118" t="s">
        <v>359</v>
      </c>
      <c r="M204" s="118"/>
      <c r="N204" s="119">
        <v>43587</v>
      </c>
      <c r="O204" s="119">
        <v>44682</v>
      </c>
      <c r="P204" s="120">
        <f t="shared" si="47"/>
        <v>3</v>
      </c>
      <c r="Q204" s="114" t="s">
        <v>29</v>
      </c>
      <c r="R204" s="114">
        <f t="shared" ca="1" si="53"/>
        <v>-5.4712668496116921</v>
      </c>
      <c r="S204" s="114" t="str">
        <f ca="1">IF(R204="End","Z",IF(R204="Cancel","C",IF(SUM(R204)&gt;0,"O",IF(ISBLANK(R204),"X",IF(SUM(R204)&lt;0,"Y",IF(SUM(R204),"-","O"))))))</f>
        <v>Y</v>
      </c>
      <c r="T204" s="121">
        <v>2</v>
      </c>
      <c r="U204" s="121">
        <v>1</v>
      </c>
      <c r="V204" s="121">
        <v>1</v>
      </c>
      <c r="W204" s="121">
        <f t="shared" si="37"/>
        <v>4</v>
      </c>
      <c r="X204" s="121" t="str">
        <f t="shared" si="38"/>
        <v>Biasa</v>
      </c>
      <c r="Y204" s="115" t="s">
        <v>364</v>
      </c>
      <c r="Z204" s="114" t="s">
        <v>119</v>
      </c>
      <c r="AA204" s="119">
        <f>N204+270</f>
        <v>43857</v>
      </c>
      <c r="AB204" s="119">
        <f>+N204+635</f>
        <v>44222</v>
      </c>
      <c r="AC204" s="119">
        <f>+N204+1000</f>
        <v>44587</v>
      </c>
      <c r="AD204" s="26"/>
      <c r="AE204" s="122"/>
      <c r="AF204" s="114" t="s">
        <v>274</v>
      </c>
      <c r="AG204" s="114" t="s">
        <v>119</v>
      </c>
      <c r="AH204" s="26"/>
      <c r="AI204" s="26"/>
      <c r="AJ204" s="26"/>
      <c r="AK204" s="26"/>
      <c r="AL204" s="26"/>
      <c r="AM204" s="26"/>
      <c r="AN204" s="34" t="s">
        <v>365</v>
      </c>
      <c r="AO204" s="123">
        <v>43600</v>
      </c>
      <c r="AP204" s="4"/>
      <c r="AQ204" s="4"/>
      <c r="AR204" s="4"/>
      <c r="AS204" s="4"/>
      <c r="AT204" s="4"/>
    </row>
    <row r="205" spans="1:46" s="124" customFormat="1" ht="111.95" customHeight="1" x14ac:dyDescent="0.25">
      <c r="A205" s="113">
        <v>70</v>
      </c>
      <c r="B205" s="113" t="s">
        <v>109</v>
      </c>
      <c r="C205" s="114" t="s">
        <v>120</v>
      </c>
      <c r="D205" s="113">
        <v>33</v>
      </c>
      <c r="E205" s="113" t="s">
        <v>121</v>
      </c>
      <c r="F205" s="115" t="s">
        <v>396</v>
      </c>
      <c r="G205" s="116" t="s">
        <v>312</v>
      </c>
      <c r="H205" s="116" t="s">
        <v>397</v>
      </c>
      <c r="I205" s="117" t="s">
        <v>113</v>
      </c>
      <c r="J205" s="116" t="s">
        <v>398</v>
      </c>
      <c r="K205" s="116" t="s">
        <v>399</v>
      </c>
      <c r="L205" s="118" t="s">
        <v>269</v>
      </c>
      <c r="M205" s="118"/>
      <c r="N205" s="119">
        <v>44013</v>
      </c>
      <c r="O205" s="119">
        <v>44742</v>
      </c>
      <c r="P205" s="120">
        <f t="shared" si="47"/>
        <v>1.9972602739726026</v>
      </c>
      <c r="Q205" s="114" t="s">
        <v>29</v>
      </c>
      <c r="R205" s="114">
        <f t="shared" ca="1" si="53"/>
        <v>-3.5357829786439505</v>
      </c>
      <c r="S205" s="114" t="str">
        <f t="shared" ca="1" si="40"/>
        <v>Y</v>
      </c>
      <c r="T205" s="121">
        <v>3</v>
      </c>
      <c r="U205" s="121">
        <v>1</v>
      </c>
      <c r="V205" s="121">
        <v>3</v>
      </c>
      <c r="W205" s="121">
        <f t="shared" si="37"/>
        <v>7</v>
      </c>
      <c r="X205" s="121" t="str">
        <f t="shared" si="38"/>
        <v>Penting</v>
      </c>
      <c r="Y205" s="115" t="s">
        <v>400</v>
      </c>
      <c r="Z205" s="114" t="s">
        <v>119</v>
      </c>
      <c r="AA205" s="119">
        <f>N205+270</f>
        <v>44283</v>
      </c>
      <c r="AB205" s="119">
        <f>+N205+635</f>
        <v>44648</v>
      </c>
      <c r="AC205" s="119"/>
      <c r="AD205" s="26"/>
      <c r="AE205" s="122"/>
      <c r="AF205" s="114" t="s">
        <v>274</v>
      </c>
      <c r="AG205" s="114" t="s">
        <v>119</v>
      </c>
      <c r="AH205" s="26"/>
      <c r="AI205" s="26"/>
      <c r="AJ205" s="26"/>
      <c r="AK205" s="26"/>
      <c r="AL205" s="26"/>
      <c r="AM205" s="26"/>
      <c r="AN205" s="34" t="s">
        <v>126</v>
      </c>
      <c r="AO205" s="123">
        <v>44036</v>
      </c>
      <c r="AP205" s="4"/>
      <c r="AQ205" s="4"/>
      <c r="AR205" s="4"/>
      <c r="AS205" s="4"/>
      <c r="AT205" s="4"/>
    </row>
    <row r="206" spans="1:46" s="124" customFormat="1" ht="111.95" customHeight="1" x14ac:dyDescent="0.25">
      <c r="A206" s="113">
        <v>71</v>
      </c>
      <c r="B206" s="113" t="s">
        <v>109</v>
      </c>
      <c r="C206" s="114" t="s">
        <v>120</v>
      </c>
      <c r="D206" s="113">
        <v>34</v>
      </c>
      <c r="E206" s="113" t="s">
        <v>121</v>
      </c>
      <c r="F206" s="115" t="s">
        <v>401</v>
      </c>
      <c r="G206" s="116" t="s">
        <v>312</v>
      </c>
      <c r="H206" s="116" t="s">
        <v>402</v>
      </c>
      <c r="I206" s="117" t="s">
        <v>113</v>
      </c>
      <c r="J206" s="116" t="s">
        <v>403</v>
      </c>
      <c r="K206" s="116" t="s">
        <v>404</v>
      </c>
      <c r="L206" s="118" t="s">
        <v>359</v>
      </c>
      <c r="M206" s="118"/>
      <c r="N206" s="119">
        <v>43647</v>
      </c>
      <c r="O206" s="119">
        <v>44742</v>
      </c>
      <c r="P206" s="120">
        <f t="shared" si="47"/>
        <v>3</v>
      </c>
      <c r="Q206" s="114" t="s">
        <v>29</v>
      </c>
      <c r="R206" s="114">
        <f t="shared" ca="1" si="53"/>
        <v>-3.5357829786439505</v>
      </c>
      <c r="S206" s="114" t="str">
        <f t="shared" ca="1" si="40"/>
        <v>Y</v>
      </c>
      <c r="T206" s="121">
        <v>1</v>
      </c>
      <c r="U206" s="121">
        <v>1</v>
      </c>
      <c r="V206" s="121">
        <v>1</v>
      </c>
      <c r="W206" s="121">
        <f t="shared" si="37"/>
        <v>3</v>
      </c>
      <c r="X206" s="121" t="str">
        <f t="shared" si="38"/>
        <v>Biasa</v>
      </c>
      <c r="Y206" s="115" t="s">
        <v>364</v>
      </c>
      <c r="Z206" s="114" t="s">
        <v>119</v>
      </c>
      <c r="AA206" s="119">
        <f>N206+270</f>
        <v>43917</v>
      </c>
      <c r="AB206" s="119">
        <f>+N206+635</f>
        <v>44282</v>
      </c>
      <c r="AC206" s="119">
        <f>+N206+1000</f>
        <v>44647</v>
      </c>
      <c r="AD206" s="26"/>
      <c r="AE206" s="122"/>
      <c r="AF206" s="114" t="s">
        <v>274</v>
      </c>
      <c r="AG206" s="114" t="s">
        <v>119</v>
      </c>
      <c r="AH206" s="26"/>
      <c r="AI206" s="26"/>
      <c r="AJ206" s="26"/>
      <c r="AK206" s="26"/>
      <c r="AL206" s="26"/>
      <c r="AM206" s="26"/>
      <c r="AN206" s="34" t="s">
        <v>365</v>
      </c>
      <c r="AO206" s="123"/>
      <c r="AP206" s="4"/>
      <c r="AQ206" s="4"/>
      <c r="AR206" s="4"/>
      <c r="AS206" s="4"/>
      <c r="AT206" s="4"/>
    </row>
    <row r="207" spans="1:46" s="124" customFormat="1" ht="111.95" customHeight="1" x14ac:dyDescent="0.25">
      <c r="A207" s="113">
        <v>72</v>
      </c>
      <c r="B207" s="113" t="s">
        <v>109</v>
      </c>
      <c r="C207" s="114" t="s">
        <v>120</v>
      </c>
      <c r="D207" s="113">
        <v>35</v>
      </c>
      <c r="E207" s="113" t="s">
        <v>121</v>
      </c>
      <c r="F207" s="115" t="s">
        <v>405</v>
      </c>
      <c r="G207" s="116" t="s">
        <v>312</v>
      </c>
      <c r="H207" s="116" t="s">
        <v>406</v>
      </c>
      <c r="I207" s="117" t="s">
        <v>113</v>
      </c>
      <c r="J207" s="116" t="s">
        <v>407</v>
      </c>
      <c r="K207" s="116" t="s">
        <v>408</v>
      </c>
      <c r="L207" s="118" t="s">
        <v>359</v>
      </c>
      <c r="M207" s="118"/>
      <c r="N207" s="119">
        <v>43647</v>
      </c>
      <c r="O207" s="119">
        <v>44742</v>
      </c>
      <c r="P207" s="120">
        <f t="shared" si="47"/>
        <v>3</v>
      </c>
      <c r="Q207" s="114" t="s">
        <v>29</v>
      </c>
      <c r="R207" s="114">
        <f t="shared" ca="1" si="53"/>
        <v>-3.5357829786439505</v>
      </c>
      <c r="S207" s="114" t="str">
        <f t="shared" ca="1" si="40"/>
        <v>Y</v>
      </c>
      <c r="T207" s="121">
        <v>1</v>
      </c>
      <c r="U207" s="121">
        <v>1</v>
      </c>
      <c r="V207" s="121">
        <v>1</v>
      </c>
      <c r="W207" s="121">
        <f t="shared" si="37"/>
        <v>3</v>
      </c>
      <c r="X207" s="121" t="str">
        <f t="shared" si="38"/>
        <v>Biasa</v>
      </c>
      <c r="Y207" s="115" t="s">
        <v>364</v>
      </c>
      <c r="Z207" s="114" t="s">
        <v>119</v>
      </c>
      <c r="AA207" s="119">
        <f>N207+270</f>
        <v>43917</v>
      </c>
      <c r="AB207" s="119">
        <f>+N207+635</f>
        <v>44282</v>
      </c>
      <c r="AC207" s="119">
        <f>+N207+1000</f>
        <v>44647</v>
      </c>
      <c r="AD207" s="26"/>
      <c r="AE207" s="122"/>
      <c r="AF207" s="114" t="s">
        <v>274</v>
      </c>
      <c r="AG207" s="114" t="s">
        <v>119</v>
      </c>
      <c r="AH207" s="26"/>
      <c r="AI207" s="26"/>
      <c r="AJ207" s="26"/>
      <c r="AK207" s="26"/>
      <c r="AL207" s="26"/>
      <c r="AM207" s="26"/>
      <c r="AN207" s="34" t="s">
        <v>365</v>
      </c>
      <c r="AO207" s="123"/>
      <c r="AP207" s="4"/>
      <c r="AQ207" s="4"/>
      <c r="AR207" s="4"/>
      <c r="AS207" s="4"/>
      <c r="AT207" s="4"/>
    </row>
    <row r="208" spans="1:46" s="124" customFormat="1" ht="111.95" customHeight="1" x14ac:dyDescent="0.25">
      <c r="A208" s="113">
        <v>73</v>
      </c>
      <c r="B208" s="113" t="s">
        <v>109</v>
      </c>
      <c r="C208" s="114" t="s">
        <v>120</v>
      </c>
      <c r="D208" s="113">
        <v>36</v>
      </c>
      <c r="E208" s="113" t="s">
        <v>121</v>
      </c>
      <c r="F208" s="115" t="s">
        <v>409</v>
      </c>
      <c r="G208" s="116" t="s">
        <v>312</v>
      </c>
      <c r="H208" s="116" t="s">
        <v>410</v>
      </c>
      <c r="I208" s="117" t="s">
        <v>113</v>
      </c>
      <c r="J208" s="116" t="s">
        <v>411</v>
      </c>
      <c r="K208" s="116" t="s">
        <v>412</v>
      </c>
      <c r="L208" s="118">
        <v>80000</v>
      </c>
      <c r="M208" s="118" t="s">
        <v>413</v>
      </c>
      <c r="N208" s="119">
        <v>43647</v>
      </c>
      <c r="O208" s="119">
        <v>44742</v>
      </c>
      <c r="P208" s="120">
        <f t="shared" si="47"/>
        <v>3</v>
      </c>
      <c r="Q208" s="114" t="s">
        <v>29</v>
      </c>
      <c r="R208" s="114">
        <f t="shared" ca="1" si="53"/>
        <v>-3.5357829786439505</v>
      </c>
      <c r="S208" s="114" t="str">
        <f ca="1">IF(R208="End","Z",IF(R208="Cancel","C",IF(SUM(R208)&gt;0,"O",IF(ISBLANK(R208),"X",IF(SUM(R208)&lt;0,"Y",IF(SUM(R208),"-","O"))))))</f>
        <v>Y</v>
      </c>
      <c r="T208" s="121">
        <v>1</v>
      </c>
      <c r="U208" s="121">
        <v>1</v>
      </c>
      <c r="V208" s="121">
        <v>1</v>
      </c>
      <c r="W208" s="121">
        <f t="shared" si="37"/>
        <v>3</v>
      </c>
      <c r="X208" s="121" t="str">
        <f t="shared" si="38"/>
        <v>Biasa</v>
      </c>
      <c r="Y208" s="115" t="s">
        <v>364</v>
      </c>
      <c r="Z208" s="114" t="s">
        <v>119</v>
      </c>
      <c r="AA208" s="119">
        <f>N208+270</f>
        <v>43917</v>
      </c>
      <c r="AB208" s="119">
        <f>+N208+635</f>
        <v>44282</v>
      </c>
      <c r="AC208" s="119">
        <f>+N208+1000</f>
        <v>44647</v>
      </c>
      <c r="AD208" s="26"/>
      <c r="AE208" s="122"/>
      <c r="AF208" s="114" t="s">
        <v>274</v>
      </c>
      <c r="AG208" s="114" t="s">
        <v>119</v>
      </c>
      <c r="AH208" s="26"/>
      <c r="AI208" s="26"/>
      <c r="AJ208" s="26"/>
      <c r="AK208" s="26"/>
      <c r="AL208" s="26"/>
      <c r="AM208" s="26"/>
      <c r="AN208" s="34" t="s">
        <v>365</v>
      </c>
      <c r="AO208" s="123"/>
      <c r="AP208" s="4"/>
      <c r="AQ208" s="4"/>
      <c r="AR208" s="4"/>
      <c r="AS208" s="4"/>
      <c r="AT208" s="4"/>
    </row>
    <row r="209" spans="1:46" s="124" customFormat="1" ht="111.95" customHeight="1" x14ac:dyDescent="0.25">
      <c r="A209" s="113">
        <v>74</v>
      </c>
      <c r="B209" s="113" t="s">
        <v>109</v>
      </c>
      <c r="C209" s="114" t="s">
        <v>120</v>
      </c>
      <c r="D209" s="113">
        <v>37</v>
      </c>
      <c r="E209" s="113" t="s">
        <v>121</v>
      </c>
      <c r="F209" s="115" t="s">
        <v>414</v>
      </c>
      <c r="G209" s="116" t="s">
        <v>312</v>
      </c>
      <c r="H209" s="116" t="s">
        <v>415</v>
      </c>
      <c r="I209" s="117" t="s">
        <v>113</v>
      </c>
      <c r="J209" s="116" t="s">
        <v>416</v>
      </c>
      <c r="K209" s="116" t="s">
        <v>417</v>
      </c>
      <c r="L209" s="118" t="s">
        <v>269</v>
      </c>
      <c r="M209" s="118"/>
      <c r="N209" s="119">
        <v>44378</v>
      </c>
      <c r="O209" s="119">
        <v>44742</v>
      </c>
      <c r="P209" s="120">
        <f t="shared" si="47"/>
        <v>0.99726027397260275</v>
      </c>
      <c r="Q209" s="114" t="s">
        <v>29</v>
      </c>
      <c r="R209" s="114">
        <f t="shared" ca="1" si="53"/>
        <v>-3.5357829786439505</v>
      </c>
      <c r="S209" s="114" t="str">
        <f t="shared" ca="1" si="40"/>
        <v>Y</v>
      </c>
      <c r="T209" s="121">
        <v>1</v>
      </c>
      <c r="U209" s="121">
        <v>1</v>
      </c>
      <c r="V209" s="121">
        <v>1</v>
      </c>
      <c r="W209" s="121">
        <f t="shared" si="37"/>
        <v>3</v>
      </c>
      <c r="X209" s="121" t="str">
        <f t="shared" si="38"/>
        <v>Biasa</v>
      </c>
      <c r="Y209" s="115"/>
      <c r="Z209" s="125"/>
      <c r="AA209" s="119"/>
      <c r="AB209" s="119"/>
      <c r="AC209" s="119"/>
      <c r="AD209" s="26"/>
      <c r="AE209" s="122"/>
      <c r="AF209" s="114" t="s">
        <v>383</v>
      </c>
      <c r="AG209" s="114" t="s">
        <v>119</v>
      </c>
      <c r="AH209" s="26"/>
      <c r="AI209" s="26"/>
      <c r="AJ209" s="26"/>
      <c r="AK209" s="26"/>
      <c r="AL209" s="26"/>
      <c r="AM209" s="26"/>
      <c r="AN209" s="34" t="s">
        <v>126</v>
      </c>
      <c r="AO209" s="123">
        <v>44407</v>
      </c>
      <c r="AP209" s="4"/>
      <c r="AQ209" s="4"/>
      <c r="AR209" s="4"/>
      <c r="AS209" s="4"/>
      <c r="AT209" s="4"/>
    </row>
    <row r="210" spans="1:46" s="124" customFormat="1" ht="111.95" customHeight="1" x14ac:dyDescent="0.25">
      <c r="A210" s="113">
        <v>75</v>
      </c>
      <c r="B210" s="113" t="s">
        <v>109</v>
      </c>
      <c r="C210" s="114" t="s">
        <v>120</v>
      </c>
      <c r="D210" s="113">
        <v>38</v>
      </c>
      <c r="E210" s="113" t="s">
        <v>121</v>
      </c>
      <c r="F210" s="115" t="s">
        <v>418</v>
      </c>
      <c r="G210" s="116" t="s">
        <v>312</v>
      </c>
      <c r="H210" s="116" t="s">
        <v>419</v>
      </c>
      <c r="I210" s="117" t="s">
        <v>113</v>
      </c>
      <c r="J210" s="116" t="s">
        <v>420</v>
      </c>
      <c r="K210" s="116" t="s">
        <v>421</v>
      </c>
      <c r="L210" s="118" t="s">
        <v>269</v>
      </c>
      <c r="M210" s="118"/>
      <c r="N210" s="119">
        <v>43647</v>
      </c>
      <c r="O210" s="119">
        <v>44742</v>
      </c>
      <c r="P210" s="120">
        <f t="shared" si="47"/>
        <v>3</v>
      </c>
      <c r="Q210" s="114" t="s">
        <v>29</v>
      </c>
      <c r="R210" s="114">
        <f t="shared" ca="1" si="53"/>
        <v>-3.5357829786439505</v>
      </c>
      <c r="S210" s="114" t="str">
        <f t="shared" ca="1" si="40"/>
        <v>Y</v>
      </c>
      <c r="T210" s="121">
        <v>1</v>
      </c>
      <c r="U210" s="121">
        <v>1</v>
      </c>
      <c r="V210" s="121">
        <v>1</v>
      </c>
      <c r="W210" s="121">
        <f t="shared" si="37"/>
        <v>3</v>
      </c>
      <c r="X210" s="121" t="str">
        <f t="shared" si="38"/>
        <v>Biasa</v>
      </c>
      <c r="Y210" s="115" t="s">
        <v>364</v>
      </c>
      <c r="Z210" s="114" t="s">
        <v>119</v>
      </c>
      <c r="AA210" s="119">
        <f>N210+270</f>
        <v>43917</v>
      </c>
      <c r="AB210" s="119">
        <f>+N210+635</f>
        <v>44282</v>
      </c>
      <c r="AC210" s="119">
        <f>+N210+1000</f>
        <v>44647</v>
      </c>
      <c r="AD210" s="26"/>
      <c r="AE210" s="122"/>
      <c r="AF210" s="114" t="s">
        <v>274</v>
      </c>
      <c r="AG210" s="114" t="s">
        <v>119</v>
      </c>
      <c r="AH210" s="26"/>
      <c r="AI210" s="26"/>
      <c r="AJ210" s="26"/>
      <c r="AK210" s="26"/>
      <c r="AL210" s="26"/>
      <c r="AM210" s="26"/>
      <c r="AN210" s="34" t="s">
        <v>365</v>
      </c>
      <c r="AO210" s="123"/>
      <c r="AP210" s="4"/>
      <c r="AQ210" s="4"/>
      <c r="AR210" s="4"/>
      <c r="AS210" s="4"/>
      <c r="AT210" s="4"/>
    </row>
    <row r="211" spans="1:46" s="124" customFormat="1" ht="111.95" customHeight="1" x14ac:dyDescent="0.25">
      <c r="A211" s="113">
        <v>76</v>
      </c>
      <c r="B211" s="113" t="s">
        <v>109</v>
      </c>
      <c r="C211" s="114"/>
      <c r="D211" s="113"/>
      <c r="E211" s="113"/>
      <c r="F211" s="115"/>
      <c r="G211" s="116"/>
      <c r="H211" s="116" t="s">
        <v>422</v>
      </c>
      <c r="I211" s="117"/>
      <c r="J211" s="116"/>
      <c r="K211" s="116"/>
      <c r="L211" s="118"/>
      <c r="M211" s="118"/>
      <c r="N211" s="119"/>
      <c r="O211" s="119"/>
      <c r="P211" s="120"/>
      <c r="Q211" s="114" t="s">
        <v>29</v>
      </c>
      <c r="R211" s="114" t="s">
        <v>18</v>
      </c>
      <c r="S211" s="114" t="str">
        <f t="shared" si="40"/>
        <v>C</v>
      </c>
      <c r="T211" s="121">
        <v>1</v>
      </c>
      <c r="U211" s="121">
        <v>1</v>
      </c>
      <c r="V211" s="121">
        <v>1</v>
      </c>
      <c r="W211" s="121">
        <f t="shared" si="37"/>
        <v>3</v>
      </c>
      <c r="X211" s="121" t="str">
        <f t="shared" si="38"/>
        <v>Biasa</v>
      </c>
      <c r="Y211" s="115"/>
      <c r="Z211" s="115"/>
      <c r="AA211" s="119"/>
      <c r="AB211" s="119"/>
      <c r="AC211" s="119"/>
      <c r="AD211" s="26" t="s">
        <v>18</v>
      </c>
      <c r="AE211" s="122">
        <v>43564</v>
      </c>
      <c r="AF211" s="114" t="s">
        <v>274</v>
      </c>
      <c r="AG211" s="114"/>
      <c r="AH211" s="26"/>
      <c r="AI211" s="26"/>
      <c r="AJ211" s="26"/>
      <c r="AK211" s="26"/>
      <c r="AL211" s="26"/>
      <c r="AM211" s="26"/>
      <c r="AN211" s="26"/>
      <c r="AO211" s="123"/>
      <c r="AP211" s="4"/>
      <c r="AQ211" s="4"/>
      <c r="AR211" s="4"/>
      <c r="AS211" s="4"/>
      <c r="AT211" s="4"/>
    </row>
    <row r="212" spans="1:46" s="124" customFormat="1" ht="111.95" customHeight="1" x14ac:dyDescent="0.25">
      <c r="A212" s="113">
        <v>77</v>
      </c>
      <c r="B212" s="113" t="s">
        <v>109</v>
      </c>
      <c r="C212" s="114" t="s">
        <v>120</v>
      </c>
      <c r="D212" s="113">
        <v>39</v>
      </c>
      <c r="E212" s="113" t="s">
        <v>121</v>
      </c>
      <c r="F212" s="115" t="s">
        <v>423</v>
      </c>
      <c r="G212" s="116" t="s">
        <v>312</v>
      </c>
      <c r="H212" s="116" t="s">
        <v>424</v>
      </c>
      <c r="I212" s="117" t="s">
        <v>113</v>
      </c>
      <c r="J212" s="116" t="s">
        <v>425</v>
      </c>
      <c r="K212" s="116" t="s">
        <v>426</v>
      </c>
      <c r="L212" s="118" t="s">
        <v>427</v>
      </c>
      <c r="M212" s="118"/>
      <c r="N212" s="119">
        <v>44378</v>
      </c>
      <c r="O212" s="119">
        <v>44742</v>
      </c>
      <c r="P212" s="120">
        <f t="shared" ref="P212:P220" si="54">(O212-N212)/365</f>
        <v>0.99726027397260275</v>
      </c>
      <c r="Q212" s="114" t="s">
        <v>29</v>
      </c>
      <c r="R212" s="114">
        <f t="shared" ref="R212:R220" ca="1" si="55">(O212-NOW()+1)/31</f>
        <v>-3.5357829786439505</v>
      </c>
      <c r="S212" s="114" t="str">
        <f t="shared" ca="1" si="40"/>
        <v>Y</v>
      </c>
      <c r="T212" s="121">
        <v>1</v>
      </c>
      <c r="U212" s="121">
        <v>1</v>
      </c>
      <c r="V212" s="121">
        <v>1</v>
      </c>
      <c r="W212" s="121">
        <f t="shared" si="37"/>
        <v>3</v>
      </c>
      <c r="X212" s="121" t="str">
        <f t="shared" si="38"/>
        <v>Biasa</v>
      </c>
      <c r="Y212" s="115"/>
      <c r="Z212" s="125"/>
      <c r="AA212" s="119"/>
      <c r="AB212" s="119"/>
      <c r="AC212" s="119"/>
      <c r="AD212" s="26"/>
      <c r="AE212" s="122"/>
      <c r="AF212" s="114" t="s">
        <v>428</v>
      </c>
      <c r="AG212" s="114" t="s">
        <v>119</v>
      </c>
      <c r="AH212" s="26"/>
      <c r="AI212" s="26"/>
      <c r="AJ212" s="26"/>
      <c r="AK212" s="26"/>
      <c r="AL212" s="26"/>
      <c r="AM212" s="26"/>
      <c r="AN212" s="34" t="s">
        <v>126</v>
      </c>
      <c r="AO212" s="123">
        <v>43991</v>
      </c>
      <c r="AP212" s="4"/>
      <c r="AQ212" s="4"/>
      <c r="AR212" s="4"/>
      <c r="AS212" s="4"/>
      <c r="AT212" s="4"/>
    </row>
    <row r="213" spans="1:46" s="124" customFormat="1" ht="111.95" customHeight="1" x14ac:dyDescent="0.25">
      <c r="A213" s="113">
        <v>78</v>
      </c>
      <c r="B213" s="113" t="s">
        <v>109</v>
      </c>
      <c r="C213" s="114" t="s">
        <v>120</v>
      </c>
      <c r="D213" s="113">
        <v>40</v>
      </c>
      <c r="E213" s="113" t="s">
        <v>121</v>
      </c>
      <c r="F213" s="115" t="s">
        <v>429</v>
      </c>
      <c r="G213" s="116" t="s">
        <v>312</v>
      </c>
      <c r="H213" s="116" t="s">
        <v>430</v>
      </c>
      <c r="I213" s="117" t="s">
        <v>113</v>
      </c>
      <c r="J213" s="116" t="s">
        <v>431</v>
      </c>
      <c r="K213" s="116" t="s">
        <v>432</v>
      </c>
      <c r="L213" s="118" t="s">
        <v>269</v>
      </c>
      <c r="M213" s="118"/>
      <c r="N213" s="119">
        <v>44013</v>
      </c>
      <c r="O213" s="119">
        <v>44742</v>
      </c>
      <c r="P213" s="120">
        <f t="shared" si="54"/>
        <v>1.9972602739726026</v>
      </c>
      <c r="Q213" s="114" t="s">
        <v>29</v>
      </c>
      <c r="R213" s="114">
        <f t="shared" ca="1" si="55"/>
        <v>-3.5357829786439505</v>
      </c>
      <c r="S213" s="114" t="str">
        <f t="shared" ca="1" si="40"/>
        <v>Y</v>
      </c>
      <c r="T213" s="121">
        <v>1</v>
      </c>
      <c r="U213" s="121">
        <v>1</v>
      </c>
      <c r="V213" s="121">
        <v>1</v>
      </c>
      <c r="W213" s="121">
        <f t="shared" si="37"/>
        <v>3</v>
      </c>
      <c r="X213" s="121" t="str">
        <f t="shared" si="38"/>
        <v>Biasa</v>
      </c>
      <c r="Y213" s="115" t="s">
        <v>364</v>
      </c>
      <c r="Z213" s="114" t="s">
        <v>119</v>
      </c>
      <c r="AA213" s="119">
        <f>N213+270</f>
        <v>44283</v>
      </c>
      <c r="AB213" s="119">
        <f>+N213+635</f>
        <v>44648</v>
      </c>
      <c r="AC213" s="119"/>
      <c r="AD213" s="26"/>
      <c r="AE213" s="122"/>
      <c r="AF213" s="114" t="s">
        <v>270</v>
      </c>
      <c r="AG213" s="114" t="s">
        <v>119</v>
      </c>
      <c r="AH213" s="26"/>
      <c r="AI213" s="26"/>
      <c r="AJ213" s="26"/>
      <c r="AK213" s="26"/>
      <c r="AL213" s="26"/>
      <c r="AM213" s="26"/>
      <c r="AN213" s="34" t="s">
        <v>126</v>
      </c>
      <c r="AO213" s="123">
        <v>44018</v>
      </c>
      <c r="AP213" s="4"/>
      <c r="AQ213" s="4"/>
      <c r="AR213" s="4"/>
      <c r="AS213" s="4"/>
      <c r="AT213" s="4"/>
    </row>
    <row r="214" spans="1:46" s="124" customFormat="1" ht="111.95" customHeight="1" x14ac:dyDescent="0.25">
      <c r="A214" s="113">
        <v>79</v>
      </c>
      <c r="B214" s="113" t="s">
        <v>109</v>
      </c>
      <c r="C214" s="114" t="s">
        <v>391</v>
      </c>
      <c r="D214" s="113">
        <v>1</v>
      </c>
      <c r="E214" s="113" t="s">
        <v>121</v>
      </c>
      <c r="F214" s="115" t="s">
        <v>433</v>
      </c>
      <c r="G214" s="116" t="s">
        <v>312</v>
      </c>
      <c r="H214" s="116" t="s">
        <v>434</v>
      </c>
      <c r="I214" s="117" t="s">
        <v>113</v>
      </c>
      <c r="J214" s="116" t="s">
        <v>435</v>
      </c>
      <c r="K214" s="116" t="s">
        <v>436</v>
      </c>
      <c r="L214" s="118" t="s">
        <v>359</v>
      </c>
      <c r="M214" s="118"/>
      <c r="N214" s="119">
        <v>43647</v>
      </c>
      <c r="O214" s="119">
        <v>44742</v>
      </c>
      <c r="P214" s="120">
        <f t="shared" si="54"/>
        <v>3</v>
      </c>
      <c r="Q214" s="114" t="s">
        <v>29</v>
      </c>
      <c r="R214" s="114">
        <f t="shared" ca="1" si="55"/>
        <v>-3.5357829786439505</v>
      </c>
      <c r="S214" s="114" t="str">
        <f t="shared" ca="1" si="40"/>
        <v>Y</v>
      </c>
      <c r="T214" s="121">
        <v>1</v>
      </c>
      <c r="U214" s="121">
        <v>1</v>
      </c>
      <c r="V214" s="121">
        <v>1</v>
      </c>
      <c r="W214" s="121">
        <f t="shared" si="37"/>
        <v>3</v>
      </c>
      <c r="X214" s="121" t="str">
        <f t="shared" si="38"/>
        <v>Biasa</v>
      </c>
      <c r="Y214" s="115" t="s">
        <v>364</v>
      </c>
      <c r="Z214" s="114" t="s">
        <v>119</v>
      </c>
      <c r="AA214" s="119">
        <f>N214+270</f>
        <v>43917</v>
      </c>
      <c r="AB214" s="119">
        <f>+N214+635</f>
        <v>44282</v>
      </c>
      <c r="AC214" s="119">
        <f>+N214+1000</f>
        <v>44647</v>
      </c>
      <c r="AD214" s="26"/>
      <c r="AE214" s="122"/>
      <c r="AF214" s="114" t="s">
        <v>274</v>
      </c>
      <c r="AG214" s="114" t="s">
        <v>119</v>
      </c>
      <c r="AH214" s="26"/>
      <c r="AI214" s="26"/>
      <c r="AJ214" s="26"/>
      <c r="AK214" s="26"/>
      <c r="AL214" s="26"/>
      <c r="AM214" s="26"/>
      <c r="AN214" s="34" t="s">
        <v>126</v>
      </c>
      <c r="AO214" s="123">
        <v>43690</v>
      </c>
      <c r="AP214" s="4"/>
      <c r="AQ214" s="4"/>
      <c r="AR214" s="4"/>
      <c r="AS214" s="4"/>
      <c r="AT214" s="4"/>
    </row>
    <row r="215" spans="1:46" s="124" customFormat="1" ht="111.95" customHeight="1" x14ac:dyDescent="0.25">
      <c r="A215" s="113">
        <v>80</v>
      </c>
      <c r="B215" s="113" t="s">
        <v>109</v>
      </c>
      <c r="C215" s="114" t="s">
        <v>391</v>
      </c>
      <c r="D215" s="113">
        <v>2</v>
      </c>
      <c r="E215" s="113" t="s">
        <v>121</v>
      </c>
      <c r="F215" s="115" t="s">
        <v>437</v>
      </c>
      <c r="G215" s="116" t="s">
        <v>312</v>
      </c>
      <c r="H215" s="116" t="s">
        <v>438</v>
      </c>
      <c r="I215" s="117" t="s">
        <v>113</v>
      </c>
      <c r="J215" s="116" t="s">
        <v>439</v>
      </c>
      <c r="K215" s="116" t="s">
        <v>440</v>
      </c>
      <c r="L215" s="118" t="s">
        <v>359</v>
      </c>
      <c r="M215" s="118"/>
      <c r="N215" s="119">
        <v>43587</v>
      </c>
      <c r="O215" s="119">
        <v>44682</v>
      </c>
      <c r="P215" s="120">
        <f t="shared" si="54"/>
        <v>3</v>
      </c>
      <c r="Q215" s="114" t="s">
        <v>29</v>
      </c>
      <c r="R215" s="114">
        <f t="shared" ca="1" si="55"/>
        <v>-5.4712668496116921</v>
      </c>
      <c r="S215" s="114" t="str">
        <f t="shared" ca="1" si="40"/>
        <v>Y</v>
      </c>
      <c r="T215" s="121">
        <v>1</v>
      </c>
      <c r="U215" s="121">
        <v>1</v>
      </c>
      <c r="V215" s="121">
        <v>1</v>
      </c>
      <c r="W215" s="121">
        <f t="shared" si="37"/>
        <v>3</v>
      </c>
      <c r="X215" s="121" t="str">
        <f t="shared" si="38"/>
        <v>Biasa</v>
      </c>
      <c r="Y215" s="115" t="s">
        <v>364</v>
      </c>
      <c r="Z215" s="114" t="s">
        <v>119</v>
      </c>
      <c r="AA215" s="119">
        <f>N215+270</f>
        <v>43857</v>
      </c>
      <c r="AB215" s="119">
        <f>+N215+635</f>
        <v>44222</v>
      </c>
      <c r="AC215" s="119">
        <f>+N215+1000</f>
        <v>44587</v>
      </c>
      <c r="AD215" s="26"/>
      <c r="AE215" s="122"/>
      <c r="AF215" s="114" t="s">
        <v>274</v>
      </c>
      <c r="AG215" s="114" t="s">
        <v>119</v>
      </c>
      <c r="AH215" s="26"/>
      <c r="AI215" s="26"/>
      <c r="AJ215" s="26"/>
      <c r="AK215" s="26"/>
      <c r="AL215" s="26"/>
      <c r="AM215" s="26"/>
      <c r="AN215" s="34" t="s">
        <v>365</v>
      </c>
      <c r="AO215" s="123">
        <v>43600</v>
      </c>
      <c r="AP215" s="4"/>
      <c r="AQ215" s="4"/>
      <c r="AR215" s="4"/>
      <c r="AS215" s="4"/>
      <c r="AT215" s="4"/>
    </row>
    <row r="216" spans="1:46" s="124" customFormat="1" ht="111.95" customHeight="1" x14ac:dyDescent="0.25">
      <c r="A216" s="113">
        <v>81</v>
      </c>
      <c r="B216" s="113" t="s">
        <v>109</v>
      </c>
      <c r="C216" s="114" t="s">
        <v>441</v>
      </c>
      <c r="D216" s="113">
        <v>33</v>
      </c>
      <c r="E216" s="113" t="s">
        <v>121</v>
      </c>
      <c r="F216" s="115" t="s">
        <v>442</v>
      </c>
      <c r="G216" s="116" t="s">
        <v>312</v>
      </c>
      <c r="H216" s="116" t="s">
        <v>443</v>
      </c>
      <c r="I216" s="117" t="s">
        <v>113</v>
      </c>
      <c r="J216" s="116" t="s">
        <v>444</v>
      </c>
      <c r="K216" s="116" t="s">
        <v>445</v>
      </c>
      <c r="L216" s="118">
        <v>250000</v>
      </c>
      <c r="M216" s="118" t="s">
        <v>446</v>
      </c>
      <c r="N216" s="119">
        <v>44526</v>
      </c>
      <c r="O216" s="119">
        <v>44890</v>
      </c>
      <c r="P216" s="120">
        <f t="shared" si="54"/>
        <v>0.99726027397260275</v>
      </c>
      <c r="Q216" s="114" t="s">
        <v>29</v>
      </c>
      <c r="R216" s="114">
        <f t="shared" ca="1" si="55"/>
        <v>1.2384105697431462</v>
      </c>
      <c r="S216" s="114" t="str">
        <f t="shared" ca="1" si="40"/>
        <v>O</v>
      </c>
      <c r="T216" s="121">
        <v>1</v>
      </c>
      <c r="U216" s="121">
        <v>1</v>
      </c>
      <c r="V216" s="121">
        <v>1</v>
      </c>
      <c r="W216" s="121">
        <f t="shared" si="37"/>
        <v>3</v>
      </c>
      <c r="X216" s="121" t="str">
        <f t="shared" si="38"/>
        <v>Biasa</v>
      </c>
      <c r="Y216" s="115"/>
      <c r="Z216" s="114"/>
      <c r="AA216" s="119"/>
      <c r="AB216" s="119"/>
      <c r="AC216" s="119"/>
      <c r="AD216" s="26" t="s">
        <v>125</v>
      </c>
      <c r="AE216" s="122">
        <v>44501</v>
      </c>
      <c r="AF216" s="114" t="s">
        <v>274</v>
      </c>
      <c r="AG216" s="114" t="s">
        <v>119</v>
      </c>
      <c r="AH216" s="26"/>
      <c r="AI216" s="26"/>
      <c r="AJ216" s="26"/>
      <c r="AK216" s="26"/>
      <c r="AL216" s="26"/>
      <c r="AM216" s="26"/>
      <c r="AN216" s="34" t="s">
        <v>126</v>
      </c>
      <c r="AO216" s="123"/>
      <c r="AP216" s="4"/>
      <c r="AQ216" s="4"/>
      <c r="AR216" s="4"/>
      <c r="AS216" s="4"/>
      <c r="AT216" s="4"/>
    </row>
    <row r="217" spans="1:46" s="124" customFormat="1" ht="111.95" customHeight="1" x14ac:dyDescent="0.25">
      <c r="A217" s="113">
        <v>82</v>
      </c>
      <c r="B217" s="113" t="s">
        <v>109</v>
      </c>
      <c r="C217" s="114" t="s">
        <v>441</v>
      </c>
      <c r="D217" s="113">
        <v>34</v>
      </c>
      <c r="E217" s="113" t="s">
        <v>121</v>
      </c>
      <c r="F217" s="115" t="s">
        <v>447</v>
      </c>
      <c r="G217" s="116" t="s">
        <v>312</v>
      </c>
      <c r="H217" s="116" t="s">
        <v>448</v>
      </c>
      <c r="I217" s="117" t="s">
        <v>113</v>
      </c>
      <c r="J217" s="116" t="s">
        <v>444</v>
      </c>
      <c r="K217" s="116" t="s">
        <v>449</v>
      </c>
      <c r="L217" s="118">
        <v>250000</v>
      </c>
      <c r="M217" s="118" t="s">
        <v>446</v>
      </c>
      <c r="N217" s="119">
        <v>44526</v>
      </c>
      <c r="O217" s="119">
        <v>44890</v>
      </c>
      <c r="P217" s="120">
        <f t="shared" si="54"/>
        <v>0.99726027397260275</v>
      </c>
      <c r="Q217" s="114" t="s">
        <v>29</v>
      </c>
      <c r="R217" s="114">
        <f t="shared" ca="1" si="55"/>
        <v>1.2384105697431462</v>
      </c>
      <c r="S217" s="114" t="str">
        <f t="shared" ca="1" si="40"/>
        <v>O</v>
      </c>
      <c r="T217" s="121">
        <v>1</v>
      </c>
      <c r="U217" s="121">
        <v>1</v>
      </c>
      <c r="V217" s="121">
        <v>1</v>
      </c>
      <c r="W217" s="121">
        <f t="shared" si="37"/>
        <v>3</v>
      </c>
      <c r="X217" s="121" t="str">
        <f t="shared" si="38"/>
        <v>Biasa</v>
      </c>
      <c r="Y217" s="115"/>
      <c r="Z217" s="114"/>
      <c r="AA217" s="119"/>
      <c r="AB217" s="119"/>
      <c r="AC217" s="119"/>
      <c r="AD217" s="26" t="s">
        <v>125</v>
      </c>
      <c r="AE217" s="122">
        <v>44501</v>
      </c>
      <c r="AF217" s="114" t="s">
        <v>274</v>
      </c>
      <c r="AG217" s="114" t="s">
        <v>119</v>
      </c>
      <c r="AH217" s="26"/>
      <c r="AI217" s="26"/>
      <c r="AJ217" s="26"/>
      <c r="AK217" s="26"/>
      <c r="AL217" s="26"/>
      <c r="AM217" s="26"/>
      <c r="AN217" s="34" t="s">
        <v>126</v>
      </c>
      <c r="AO217" s="123"/>
      <c r="AP217" s="4"/>
      <c r="AQ217" s="4"/>
      <c r="AR217" s="4"/>
      <c r="AS217" s="4"/>
      <c r="AT217" s="4"/>
    </row>
    <row r="218" spans="1:46" s="124" customFormat="1" ht="111.95" customHeight="1" x14ac:dyDescent="0.25">
      <c r="A218" s="113">
        <v>83</v>
      </c>
      <c r="B218" s="113" t="s">
        <v>109</v>
      </c>
      <c r="C218" s="114" t="s">
        <v>441</v>
      </c>
      <c r="D218" s="113">
        <v>35</v>
      </c>
      <c r="E218" s="113" t="s">
        <v>121</v>
      </c>
      <c r="F218" s="115" t="s">
        <v>450</v>
      </c>
      <c r="G218" s="116" t="s">
        <v>312</v>
      </c>
      <c r="H218" s="116" t="s">
        <v>451</v>
      </c>
      <c r="I218" s="117" t="s">
        <v>113</v>
      </c>
      <c r="J218" s="116" t="s">
        <v>444</v>
      </c>
      <c r="K218" s="116" t="s">
        <v>452</v>
      </c>
      <c r="L218" s="118">
        <v>250000</v>
      </c>
      <c r="M218" s="118" t="s">
        <v>446</v>
      </c>
      <c r="N218" s="119">
        <v>44526</v>
      </c>
      <c r="O218" s="119">
        <v>44890</v>
      </c>
      <c r="P218" s="120">
        <f t="shared" si="54"/>
        <v>0.99726027397260275</v>
      </c>
      <c r="Q218" s="114" t="s">
        <v>29</v>
      </c>
      <c r="R218" s="114">
        <f t="shared" ca="1" si="55"/>
        <v>1.2384105697431462</v>
      </c>
      <c r="S218" s="114" t="str">
        <f t="shared" ca="1" si="40"/>
        <v>O</v>
      </c>
      <c r="T218" s="121">
        <v>1</v>
      </c>
      <c r="U218" s="121">
        <v>1</v>
      </c>
      <c r="V218" s="121">
        <v>1</v>
      </c>
      <c r="W218" s="121">
        <f t="shared" si="37"/>
        <v>3</v>
      </c>
      <c r="X218" s="121" t="str">
        <f t="shared" si="38"/>
        <v>Biasa</v>
      </c>
      <c r="Y218" s="115"/>
      <c r="Z218" s="114"/>
      <c r="AA218" s="119"/>
      <c r="AB218" s="119"/>
      <c r="AC218" s="119"/>
      <c r="AD218" s="26" t="s">
        <v>125</v>
      </c>
      <c r="AE218" s="122">
        <v>44501</v>
      </c>
      <c r="AF218" s="114" t="s">
        <v>274</v>
      </c>
      <c r="AG218" s="114" t="s">
        <v>119</v>
      </c>
      <c r="AH218" s="26"/>
      <c r="AI218" s="26"/>
      <c r="AJ218" s="26"/>
      <c r="AK218" s="26"/>
      <c r="AL218" s="26"/>
      <c r="AM218" s="26"/>
      <c r="AN218" s="34" t="s">
        <v>126</v>
      </c>
      <c r="AO218" s="123"/>
      <c r="AP218" s="4"/>
      <c r="AQ218" s="4"/>
      <c r="AR218" s="4"/>
      <c r="AS218" s="4"/>
      <c r="AT218" s="4"/>
    </row>
    <row r="219" spans="1:46" s="124" customFormat="1" ht="111.95" customHeight="1" x14ac:dyDescent="0.25">
      <c r="A219" s="113">
        <v>84</v>
      </c>
      <c r="B219" s="113" t="s">
        <v>109</v>
      </c>
      <c r="C219" s="114" t="s">
        <v>441</v>
      </c>
      <c r="D219" s="113">
        <v>36</v>
      </c>
      <c r="E219" s="113" t="s">
        <v>121</v>
      </c>
      <c r="F219" s="115" t="s">
        <v>453</v>
      </c>
      <c r="G219" s="116" t="s">
        <v>312</v>
      </c>
      <c r="H219" s="116" t="s">
        <v>454</v>
      </c>
      <c r="I219" s="117" t="s">
        <v>113</v>
      </c>
      <c r="J219" s="116" t="s">
        <v>455</v>
      </c>
      <c r="K219" s="116" t="s">
        <v>456</v>
      </c>
      <c r="L219" s="118" t="s">
        <v>359</v>
      </c>
      <c r="M219" s="118"/>
      <c r="N219" s="119">
        <v>44531</v>
      </c>
      <c r="O219" s="119">
        <v>44895</v>
      </c>
      <c r="P219" s="120">
        <f t="shared" si="54"/>
        <v>0.99726027397260275</v>
      </c>
      <c r="Q219" s="114" t="s">
        <v>29</v>
      </c>
      <c r="R219" s="114">
        <f t="shared" ca="1" si="55"/>
        <v>1.3997008923237915</v>
      </c>
      <c r="S219" s="114" t="str">
        <f t="shared" ca="1" si="40"/>
        <v>O</v>
      </c>
      <c r="T219" s="121">
        <v>1</v>
      </c>
      <c r="U219" s="121">
        <v>1</v>
      </c>
      <c r="V219" s="121">
        <v>1</v>
      </c>
      <c r="W219" s="121">
        <f t="shared" si="37"/>
        <v>3</v>
      </c>
      <c r="X219" s="121" t="str">
        <f t="shared" si="38"/>
        <v>Biasa</v>
      </c>
      <c r="Y219" s="115"/>
      <c r="Z219" s="114"/>
      <c r="AA219" s="119"/>
      <c r="AB219" s="119"/>
      <c r="AC219" s="119"/>
      <c r="AD219" s="26" t="s">
        <v>125</v>
      </c>
      <c r="AE219" s="122">
        <v>44542</v>
      </c>
      <c r="AF219" s="114" t="s">
        <v>274</v>
      </c>
      <c r="AG219" s="114" t="s">
        <v>119</v>
      </c>
      <c r="AH219" s="26"/>
      <c r="AI219" s="26"/>
      <c r="AJ219" s="26"/>
      <c r="AK219" s="26"/>
      <c r="AL219" s="26"/>
      <c r="AM219" s="26"/>
      <c r="AN219" s="34" t="s">
        <v>126</v>
      </c>
      <c r="AO219" s="123">
        <v>44537</v>
      </c>
      <c r="AP219" s="4"/>
      <c r="AQ219" s="4"/>
      <c r="AR219" s="4"/>
      <c r="AS219" s="4"/>
      <c r="AT219" s="4"/>
    </row>
    <row r="220" spans="1:46" s="124" customFormat="1" ht="111.95" customHeight="1" x14ac:dyDescent="0.25">
      <c r="A220" s="113">
        <v>85</v>
      </c>
      <c r="B220" s="113" t="s">
        <v>109</v>
      </c>
      <c r="C220" s="114" t="s">
        <v>441</v>
      </c>
      <c r="D220" s="113">
        <v>37</v>
      </c>
      <c r="E220" s="113" t="s">
        <v>121</v>
      </c>
      <c r="F220" s="115" t="s">
        <v>457</v>
      </c>
      <c r="G220" s="116" t="s">
        <v>312</v>
      </c>
      <c r="H220" s="116" t="s">
        <v>458</v>
      </c>
      <c r="I220" s="117" t="s">
        <v>113</v>
      </c>
      <c r="J220" s="116" t="s">
        <v>398</v>
      </c>
      <c r="K220" s="116" t="s">
        <v>459</v>
      </c>
      <c r="L220" s="118" t="s">
        <v>269</v>
      </c>
      <c r="M220" s="118"/>
      <c r="N220" s="119">
        <v>44531</v>
      </c>
      <c r="O220" s="119">
        <v>44895</v>
      </c>
      <c r="P220" s="120">
        <f t="shared" si="54"/>
        <v>0.99726027397260275</v>
      </c>
      <c r="Q220" s="114" t="s">
        <v>29</v>
      </c>
      <c r="R220" s="114">
        <f t="shared" ca="1" si="55"/>
        <v>1.3997008923237915</v>
      </c>
      <c r="S220" s="114" t="str">
        <f t="shared" ca="1" si="40"/>
        <v>O</v>
      </c>
      <c r="T220" s="121">
        <v>1</v>
      </c>
      <c r="U220" s="121">
        <v>1</v>
      </c>
      <c r="V220" s="121">
        <v>1</v>
      </c>
      <c r="W220" s="121">
        <f t="shared" si="37"/>
        <v>3</v>
      </c>
      <c r="X220" s="121" t="str">
        <f t="shared" si="38"/>
        <v>Biasa</v>
      </c>
      <c r="Y220" s="115"/>
      <c r="Z220" s="114"/>
      <c r="AA220" s="119"/>
      <c r="AB220" s="119"/>
      <c r="AC220" s="119"/>
      <c r="AD220" s="26" t="s">
        <v>125</v>
      </c>
      <c r="AE220" s="122">
        <v>44542</v>
      </c>
      <c r="AF220" s="114" t="s">
        <v>274</v>
      </c>
      <c r="AG220" s="114" t="s">
        <v>119</v>
      </c>
      <c r="AH220" s="26"/>
      <c r="AI220" s="26"/>
      <c r="AJ220" s="26"/>
      <c r="AK220" s="26"/>
      <c r="AL220" s="26"/>
      <c r="AM220" s="26"/>
      <c r="AN220" s="34" t="s">
        <v>126</v>
      </c>
      <c r="AO220" s="123">
        <v>44537</v>
      </c>
      <c r="AP220" s="4"/>
      <c r="AQ220" s="4"/>
      <c r="AR220" s="4"/>
      <c r="AS220" s="4"/>
      <c r="AT220" s="4"/>
    </row>
    <row r="221" spans="1:46" s="124" customFormat="1" ht="111.95" customHeight="1" x14ac:dyDescent="0.25">
      <c r="A221" s="113">
        <v>86</v>
      </c>
      <c r="B221" s="113" t="s">
        <v>109</v>
      </c>
      <c r="C221" s="114"/>
      <c r="D221" s="113"/>
      <c r="E221" s="113"/>
      <c r="F221" s="115"/>
      <c r="G221" s="116"/>
      <c r="H221" s="116" t="s">
        <v>460</v>
      </c>
      <c r="I221" s="117"/>
      <c r="J221" s="116"/>
      <c r="K221" s="116"/>
      <c r="L221" s="118"/>
      <c r="M221" s="118"/>
      <c r="N221" s="119"/>
      <c r="O221" s="119"/>
      <c r="P221" s="120"/>
      <c r="Q221" s="114" t="s">
        <v>29</v>
      </c>
      <c r="R221" s="114" t="s">
        <v>18</v>
      </c>
      <c r="S221" s="114" t="str">
        <f t="shared" si="40"/>
        <v>C</v>
      </c>
      <c r="T221" s="121">
        <v>1</v>
      </c>
      <c r="U221" s="121">
        <v>1</v>
      </c>
      <c r="V221" s="121">
        <v>1</v>
      </c>
      <c r="W221" s="121">
        <f t="shared" si="37"/>
        <v>3</v>
      </c>
      <c r="X221" s="121" t="str">
        <f t="shared" si="38"/>
        <v>Biasa</v>
      </c>
      <c r="Y221" s="115"/>
      <c r="Z221" s="115"/>
      <c r="AA221" s="119"/>
      <c r="AB221" s="119"/>
      <c r="AC221" s="119"/>
      <c r="AD221" s="26" t="s">
        <v>461</v>
      </c>
      <c r="AE221" s="122">
        <v>43800</v>
      </c>
      <c r="AF221" s="114" t="s">
        <v>274</v>
      </c>
      <c r="AG221" s="114"/>
      <c r="AH221" s="26"/>
      <c r="AI221" s="26"/>
      <c r="AJ221" s="26"/>
      <c r="AK221" s="26"/>
      <c r="AL221" s="26"/>
      <c r="AM221" s="26"/>
      <c r="AN221" s="26"/>
      <c r="AO221" s="123"/>
      <c r="AP221" s="4"/>
      <c r="AQ221" s="4"/>
      <c r="AR221" s="4"/>
      <c r="AS221" s="4"/>
      <c r="AT221" s="4"/>
    </row>
    <row r="222" spans="1:46" s="124" customFormat="1" ht="111.95" customHeight="1" x14ac:dyDescent="0.25">
      <c r="A222" s="113">
        <v>87</v>
      </c>
      <c r="B222" s="113" t="s">
        <v>109</v>
      </c>
      <c r="C222" s="114" t="s">
        <v>462</v>
      </c>
      <c r="D222" s="113">
        <v>31</v>
      </c>
      <c r="E222" s="113" t="s">
        <v>121</v>
      </c>
      <c r="F222" s="115" t="s">
        <v>463</v>
      </c>
      <c r="G222" s="116" t="s">
        <v>464</v>
      </c>
      <c r="H222" s="116" t="s">
        <v>465</v>
      </c>
      <c r="I222" s="117" t="s">
        <v>113</v>
      </c>
      <c r="J222" s="116" t="s">
        <v>466</v>
      </c>
      <c r="K222" s="116" t="s">
        <v>467</v>
      </c>
      <c r="L222" s="118" t="s">
        <v>359</v>
      </c>
      <c r="M222" s="118"/>
      <c r="N222" s="119">
        <v>44563</v>
      </c>
      <c r="O222" s="119">
        <v>44927</v>
      </c>
      <c r="P222" s="120">
        <f t="shared" ref="P222:P230" si="56">(O222-N222)/365</f>
        <v>0.99726027397260275</v>
      </c>
      <c r="Q222" s="114" t="s">
        <v>36</v>
      </c>
      <c r="R222" s="114">
        <f t="shared" ref="R222:R233" ca="1" si="57">(O222-NOW()+1)/31</f>
        <v>2.4319589568399205</v>
      </c>
      <c r="S222" s="114" t="str">
        <f t="shared" ca="1" si="40"/>
        <v>O</v>
      </c>
      <c r="T222" s="121">
        <v>3</v>
      </c>
      <c r="U222" s="121">
        <v>2</v>
      </c>
      <c r="V222" s="121">
        <v>2</v>
      </c>
      <c r="W222" s="121">
        <f t="shared" si="37"/>
        <v>7</v>
      </c>
      <c r="X222" s="121" t="str">
        <f t="shared" si="38"/>
        <v>Penting</v>
      </c>
      <c r="Y222" s="115"/>
      <c r="Z222" s="125"/>
      <c r="AA222" s="119"/>
      <c r="AB222" s="119"/>
      <c r="AC222" s="119"/>
      <c r="AD222" s="26"/>
      <c r="AE222" s="122"/>
      <c r="AF222" s="114" t="s">
        <v>468</v>
      </c>
      <c r="AG222" s="114" t="s">
        <v>119</v>
      </c>
      <c r="AH222" s="26"/>
      <c r="AI222" s="26"/>
      <c r="AJ222" s="26"/>
      <c r="AK222" s="26"/>
      <c r="AL222" s="26"/>
      <c r="AM222" s="26"/>
      <c r="AN222" s="34" t="s">
        <v>126</v>
      </c>
      <c r="AO222" s="123"/>
      <c r="AP222" s="4"/>
      <c r="AQ222" s="4"/>
      <c r="AR222" s="4"/>
      <c r="AS222" s="4"/>
      <c r="AT222" s="4"/>
    </row>
    <row r="223" spans="1:46" s="124" customFormat="1" ht="111.95" customHeight="1" x14ac:dyDescent="0.25">
      <c r="A223" s="113">
        <v>88</v>
      </c>
      <c r="B223" s="113" t="s">
        <v>109</v>
      </c>
      <c r="C223" s="114" t="s">
        <v>462</v>
      </c>
      <c r="D223" s="113">
        <v>34</v>
      </c>
      <c r="E223" s="113" t="s">
        <v>121</v>
      </c>
      <c r="F223" s="115" t="s">
        <v>469</v>
      </c>
      <c r="G223" s="116" t="s">
        <v>470</v>
      </c>
      <c r="H223" s="116" t="s">
        <v>471</v>
      </c>
      <c r="I223" s="117" t="s">
        <v>113</v>
      </c>
      <c r="J223" s="116" t="s">
        <v>472</v>
      </c>
      <c r="K223" s="116" t="s">
        <v>473</v>
      </c>
      <c r="L223" s="118" t="s">
        <v>269</v>
      </c>
      <c r="M223" s="118"/>
      <c r="N223" s="119">
        <v>44563</v>
      </c>
      <c r="O223" s="119">
        <v>44927</v>
      </c>
      <c r="P223" s="120">
        <f t="shared" si="56"/>
        <v>0.99726027397260275</v>
      </c>
      <c r="Q223" s="114" t="s">
        <v>36</v>
      </c>
      <c r="R223" s="114">
        <f t="shared" ca="1" si="57"/>
        <v>2.4319589568399205</v>
      </c>
      <c r="S223" s="114" t="str">
        <f t="shared" ca="1" si="40"/>
        <v>O</v>
      </c>
      <c r="T223" s="121">
        <v>1</v>
      </c>
      <c r="U223" s="121">
        <v>2</v>
      </c>
      <c r="V223" s="121">
        <v>2</v>
      </c>
      <c r="W223" s="121">
        <f t="shared" si="37"/>
        <v>5</v>
      </c>
      <c r="X223" s="121" t="str">
        <f>IF(W223&gt;5,"Penting",IF(ISBLANK(W223),"","Biasa"))</f>
        <v>Biasa</v>
      </c>
      <c r="Y223" s="115"/>
      <c r="Z223" s="125"/>
      <c r="AA223" s="119"/>
      <c r="AB223" s="119"/>
      <c r="AC223" s="119"/>
      <c r="AD223" s="26"/>
      <c r="AE223" s="122"/>
      <c r="AF223" s="114" t="s">
        <v>468</v>
      </c>
      <c r="AG223" s="114" t="s">
        <v>119</v>
      </c>
      <c r="AH223" s="26"/>
      <c r="AI223" s="26"/>
      <c r="AJ223" s="26"/>
      <c r="AK223" s="26"/>
      <c r="AL223" s="26"/>
      <c r="AM223" s="26"/>
      <c r="AN223" s="34" t="s">
        <v>126</v>
      </c>
      <c r="AO223" s="123"/>
      <c r="AP223" s="4"/>
      <c r="AQ223" s="4"/>
      <c r="AR223" s="4"/>
      <c r="AS223" s="4"/>
      <c r="AT223" s="4"/>
    </row>
    <row r="224" spans="1:46" s="124" customFormat="1" ht="111.95" customHeight="1" x14ac:dyDescent="0.25">
      <c r="A224" s="113">
        <v>89</v>
      </c>
      <c r="B224" s="113" t="s">
        <v>109</v>
      </c>
      <c r="C224" s="114"/>
      <c r="D224" s="113"/>
      <c r="E224" s="113"/>
      <c r="F224" s="115" t="s">
        <v>474</v>
      </c>
      <c r="G224" s="116" t="s">
        <v>475</v>
      </c>
      <c r="H224" s="116" t="s">
        <v>476</v>
      </c>
      <c r="I224" s="117" t="s">
        <v>113</v>
      </c>
      <c r="J224" s="116" t="s">
        <v>477</v>
      </c>
      <c r="K224" s="116" t="s">
        <v>478</v>
      </c>
      <c r="L224" s="118">
        <v>1250000</v>
      </c>
      <c r="M224" s="118" t="s">
        <v>163</v>
      </c>
      <c r="N224" s="119">
        <v>44028</v>
      </c>
      <c r="O224" s="119">
        <v>44392</v>
      </c>
      <c r="P224" s="120">
        <f t="shared" si="56"/>
        <v>0.99726027397260275</v>
      </c>
      <c r="Q224" s="114" t="s">
        <v>36</v>
      </c>
      <c r="R224" s="114" t="s">
        <v>117</v>
      </c>
      <c r="S224" s="114" t="str">
        <f t="shared" si="40"/>
        <v>Z</v>
      </c>
      <c r="T224" s="121">
        <v>3</v>
      </c>
      <c r="U224" s="121">
        <v>2</v>
      </c>
      <c r="V224" s="121">
        <v>2</v>
      </c>
      <c r="W224" s="121">
        <f>T224+U224+V224</f>
        <v>7</v>
      </c>
      <c r="X224" s="121" t="str">
        <f>IF(W224&gt;5,"Penting",IF(ISBLANK(W224),"","Biasa"))</f>
        <v>Penting</v>
      </c>
      <c r="Y224" s="115"/>
      <c r="Z224" s="115"/>
      <c r="AA224" s="119"/>
      <c r="AB224" s="119"/>
      <c r="AC224" s="119"/>
      <c r="AD224" s="26" t="s">
        <v>117</v>
      </c>
      <c r="AE224" s="122">
        <v>44440</v>
      </c>
      <c r="AF224" s="114" t="s">
        <v>468</v>
      </c>
      <c r="AG224" s="114" t="s">
        <v>119</v>
      </c>
      <c r="AH224" s="26"/>
      <c r="AI224" s="26"/>
      <c r="AJ224" s="26"/>
      <c r="AK224" s="26"/>
      <c r="AL224" s="26"/>
      <c r="AM224" s="26"/>
      <c r="AN224" s="26"/>
      <c r="AO224" s="123">
        <v>44053</v>
      </c>
      <c r="AP224" s="4"/>
      <c r="AQ224" s="4"/>
      <c r="AR224" s="4"/>
      <c r="AS224" s="4"/>
      <c r="AT224" s="4"/>
    </row>
    <row r="225" spans="1:46" s="124" customFormat="1" ht="111.95" customHeight="1" x14ac:dyDescent="0.25">
      <c r="A225" s="113">
        <v>90</v>
      </c>
      <c r="B225" s="113" t="s">
        <v>109</v>
      </c>
      <c r="C225" s="114" t="s">
        <v>462</v>
      </c>
      <c r="D225" s="113">
        <v>42</v>
      </c>
      <c r="E225" s="113" t="s">
        <v>121</v>
      </c>
      <c r="F225" s="115" t="s">
        <v>479</v>
      </c>
      <c r="G225" s="116" t="s">
        <v>470</v>
      </c>
      <c r="H225" s="116" t="s">
        <v>480</v>
      </c>
      <c r="I225" s="117" t="s">
        <v>113</v>
      </c>
      <c r="J225" s="116" t="s">
        <v>481</v>
      </c>
      <c r="K225" s="116" t="s">
        <v>482</v>
      </c>
      <c r="L225" s="118" t="s">
        <v>359</v>
      </c>
      <c r="M225" s="118"/>
      <c r="N225" s="119">
        <v>44393</v>
      </c>
      <c r="O225" s="119">
        <v>44757</v>
      </c>
      <c r="P225" s="120">
        <f t="shared" si="56"/>
        <v>0.99726027397260275</v>
      </c>
      <c r="Q225" s="114" t="s">
        <v>36</v>
      </c>
      <c r="R225" s="114">
        <f t="shared" ca="1" si="57"/>
        <v>-3.051912010902015</v>
      </c>
      <c r="S225" s="114" t="str">
        <f ca="1">IF(R225="End","Z",IF(R225="Cancel","C",IF(SUM(R225)&gt;0,"O",IF(ISBLANK(R225),"X",IF(SUM(R225)&lt;0,"Y",IF(SUM(R225),"-","O"))))))</f>
        <v>Y</v>
      </c>
      <c r="T225" s="121">
        <v>3</v>
      </c>
      <c r="U225" s="121">
        <v>2</v>
      </c>
      <c r="V225" s="121">
        <v>2</v>
      </c>
      <c r="W225" s="121">
        <f>T225+U225+V225</f>
        <v>7</v>
      </c>
      <c r="X225" s="121" t="str">
        <f>IF(W225&gt;5,"Penting",IF(ISBLANK(W225),"","Biasa"))</f>
        <v>Penting</v>
      </c>
      <c r="Y225" s="115"/>
      <c r="Z225" s="125"/>
      <c r="AA225" s="119"/>
      <c r="AB225" s="119"/>
      <c r="AC225" s="119"/>
      <c r="AD225" s="26" t="s">
        <v>125</v>
      </c>
      <c r="AE225" s="122">
        <v>44044</v>
      </c>
      <c r="AF225" s="114" t="s">
        <v>468</v>
      </c>
      <c r="AG225" s="114" t="s">
        <v>119</v>
      </c>
      <c r="AH225" s="26"/>
      <c r="AI225" s="26"/>
      <c r="AJ225" s="26"/>
      <c r="AK225" s="26"/>
      <c r="AL225" s="26"/>
      <c r="AM225" s="26"/>
      <c r="AN225" s="34" t="s">
        <v>126</v>
      </c>
      <c r="AO225" s="123">
        <v>44432</v>
      </c>
      <c r="AP225" s="4"/>
      <c r="AQ225" s="4"/>
      <c r="AR225" s="4"/>
      <c r="AS225" s="4"/>
      <c r="AT225" s="4"/>
    </row>
    <row r="226" spans="1:46" s="124" customFormat="1" ht="111.95" customHeight="1" x14ac:dyDescent="0.25">
      <c r="A226" s="113">
        <v>91</v>
      </c>
      <c r="B226" s="113" t="s">
        <v>109</v>
      </c>
      <c r="C226" s="114" t="s">
        <v>462</v>
      </c>
      <c r="D226" s="113">
        <v>32</v>
      </c>
      <c r="E226" s="113" t="s">
        <v>121</v>
      </c>
      <c r="F226" s="115" t="s">
        <v>483</v>
      </c>
      <c r="G226" s="116" t="s">
        <v>484</v>
      </c>
      <c r="H226" s="116" t="s">
        <v>485</v>
      </c>
      <c r="I226" s="117" t="s">
        <v>113</v>
      </c>
      <c r="J226" s="116" t="s">
        <v>484</v>
      </c>
      <c r="K226" s="116"/>
      <c r="L226" s="128" t="s">
        <v>486</v>
      </c>
      <c r="M226" s="128" t="s">
        <v>487</v>
      </c>
      <c r="N226" s="119">
        <v>44564</v>
      </c>
      <c r="O226" s="119">
        <v>45443</v>
      </c>
      <c r="P226" s="120">
        <f t="shared" si="56"/>
        <v>2.408219178082192</v>
      </c>
      <c r="Q226" s="114" t="s">
        <v>29</v>
      </c>
      <c r="R226" s="114">
        <f t="shared" ca="1" si="57"/>
        <v>19.077120247162501</v>
      </c>
      <c r="S226" s="114" t="str">
        <f t="shared" ca="1" si="40"/>
        <v>O</v>
      </c>
      <c r="T226" s="121">
        <v>3</v>
      </c>
      <c r="U226" s="121">
        <v>2</v>
      </c>
      <c r="V226" s="121">
        <v>2</v>
      </c>
      <c r="W226" s="121">
        <f t="shared" si="37"/>
        <v>7</v>
      </c>
      <c r="X226" s="121" t="str">
        <f t="shared" si="38"/>
        <v>Penting</v>
      </c>
      <c r="Y226" s="115"/>
      <c r="Z226" s="114" t="s">
        <v>119</v>
      </c>
      <c r="AA226" s="119">
        <f>N226+270</f>
        <v>44834</v>
      </c>
      <c r="AB226" s="119">
        <f>+N226+635</f>
        <v>45199</v>
      </c>
      <c r="AC226" s="119"/>
      <c r="AD226" s="26" t="s">
        <v>125</v>
      </c>
      <c r="AE226" s="122">
        <v>43497</v>
      </c>
      <c r="AF226" s="114" t="s">
        <v>488</v>
      </c>
      <c r="AG226" s="114" t="s">
        <v>119</v>
      </c>
      <c r="AH226" s="26"/>
      <c r="AI226" s="26"/>
      <c r="AJ226" s="26"/>
      <c r="AK226" s="26"/>
      <c r="AL226" s="26"/>
      <c r="AM226" s="26"/>
      <c r="AN226" s="34" t="s">
        <v>126</v>
      </c>
      <c r="AO226" s="123">
        <v>44566</v>
      </c>
      <c r="AP226" s="4"/>
      <c r="AQ226" s="4"/>
      <c r="AR226" s="4"/>
      <c r="AS226" s="4"/>
      <c r="AT226" s="4"/>
    </row>
    <row r="227" spans="1:46" s="124" customFormat="1" ht="111.95" customHeight="1" x14ac:dyDescent="0.25">
      <c r="A227" s="113">
        <v>92</v>
      </c>
      <c r="B227" s="113" t="s">
        <v>109</v>
      </c>
      <c r="C227" s="114" t="s">
        <v>462</v>
      </c>
      <c r="D227" s="113">
        <v>33</v>
      </c>
      <c r="E227" s="113" t="s">
        <v>121</v>
      </c>
      <c r="F227" s="115"/>
      <c r="G227" s="116" t="s">
        <v>489</v>
      </c>
      <c r="H227" s="116" t="s">
        <v>490</v>
      </c>
      <c r="I227" s="117" t="s">
        <v>160</v>
      </c>
      <c r="J227" s="116" t="s">
        <v>491</v>
      </c>
      <c r="K227" s="116"/>
      <c r="L227" s="118"/>
      <c r="M227" s="118"/>
      <c r="N227" s="119">
        <v>44065</v>
      </c>
      <c r="O227" s="119">
        <v>44794</v>
      </c>
      <c r="P227" s="120">
        <f t="shared" si="56"/>
        <v>1.9972602739726026</v>
      </c>
      <c r="Q227" s="114" t="s">
        <v>29</v>
      </c>
      <c r="R227" s="114">
        <f t="shared" ca="1" si="57"/>
        <v>-1.8583636238052408</v>
      </c>
      <c r="S227" s="114" t="str">
        <f t="shared" ca="1" si="40"/>
        <v>Y</v>
      </c>
      <c r="T227" s="121">
        <v>3</v>
      </c>
      <c r="U227" s="121">
        <v>1</v>
      </c>
      <c r="V227" s="121">
        <v>1</v>
      </c>
      <c r="W227" s="121">
        <f t="shared" si="37"/>
        <v>5</v>
      </c>
      <c r="X227" s="121" t="str">
        <f t="shared" si="38"/>
        <v>Biasa</v>
      </c>
      <c r="Y227" s="115" t="s">
        <v>364</v>
      </c>
      <c r="Z227" s="114" t="s">
        <v>119</v>
      </c>
      <c r="AA227" s="119">
        <f>N227+270</f>
        <v>44335</v>
      </c>
      <c r="AB227" s="119">
        <f>+N227+635</f>
        <v>44700</v>
      </c>
      <c r="AC227" s="119"/>
      <c r="AD227" s="26" t="s">
        <v>125</v>
      </c>
      <c r="AE227" s="122">
        <v>43497</v>
      </c>
      <c r="AF227" s="114" t="s">
        <v>488</v>
      </c>
      <c r="AG227" s="114" t="s">
        <v>216</v>
      </c>
      <c r="AH227" s="26"/>
      <c r="AI227" s="26"/>
      <c r="AJ227" s="26"/>
      <c r="AK227" s="26"/>
      <c r="AL227" s="26"/>
      <c r="AM227" s="26"/>
      <c r="AN227" s="34" t="s">
        <v>126</v>
      </c>
      <c r="AO227" s="123">
        <v>44099</v>
      </c>
      <c r="AP227" s="4"/>
      <c r="AQ227" s="4"/>
      <c r="AR227" s="4"/>
      <c r="AS227" s="4"/>
      <c r="AT227" s="4"/>
    </row>
    <row r="228" spans="1:46" s="124" customFormat="1" ht="111.95" customHeight="1" x14ac:dyDescent="0.25">
      <c r="A228" s="113">
        <v>93</v>
      </c>
      <c r="B228" s="113" t="s">
        <v>109</v>
      </c>
      <c r="C228" s="114" t="s">
        <v>391</v>
      </c>
      <c r="D228" s="113">
        <v>10</v>
      </c>
      <c r="E228" s="113" t="s">
        <v>121</v>
      </c>
      <c r="F228" s="115" t="s">
        <v>492</v>
      </c>
      <c r="G228" s="116" t="s">
        <v>312</v>
      </c>
      <c r="H228" s="116" t="s">
        <v>493</v>
      </c>
      <c r="I228" s="117" t="s">
        <v>113</v>
      </c>
      <c r="J228" s="116" t="s">
        <v>494</v>
      </c>
      <c r="K228" s="116" t="s">
        <v>495</v>
      </c>
      <c r="L228" s="118" t="s">
        <v>359</v>
      </c>
      <c r="M228" s="118"/>
      <c r="N228" s="119">
        <v>43647</v>
      </c>
      <c r="O228" s="119">
        <v>44742</v>
      </c>
      <c r="P228" s="120">
        <f t="shared" si="56"/>
        <v>3</v>
      </c>
      <c r="Q228" s="114" t="s">
        <v>29</v>
      </c>
      <c r="R228" s="114">
        <f t="shared" ca="1" si="57"/>
        <v>-3.5357829786439505</v>
      </c>
      <c r="S228" s="114" t="str">
        <f t="shared" ca="1" si="40"/>
        <v>Y</v>
      </c>
      <c r="T228" s="121">
        <v>1</v>
      </c>
      <c r="U228" s="121">
        <v>1</v>
      </c>
      <c r="V228" s="121">
        <v>1</v>
      </c>
      <c r="W228" s="121">
        <f t="shared" si="37"/>
        <v>3</v>
      </c>
      <c r="X228" s="121" t="str">
        <f t="shared" si="38"/>
        <v>Biasa</v>
      </c>
      <c r="Y228" s="115" t="s">
        <v>364</v>
      </c>
      <c r="Z228" s="114" t="s">
        <v>119</v>
      </c>
      <c r="AA228" s="119">
        <f>N228+270</f>
        <v>43917</v>
      </c>
      <c r="AB228" s="119">
        <f>+N228+635</f>
        <v>44282</v>
      </c>
      <c r="AC228" s="119">
        <f>+N228+1000</f>
        <v>44647</v>
      </c>
      <c r="AD228" s="26"/>
      <c r="AE228" s="122"/>
      <c r="AF228" s="114" t="s">
        <v>274</v>
      </c>
      <c r="AG228" s="114" t="s">
        <v>119</v>
      </c>
      <c r="AH228" s="26"/>
      <c r="AI228" s="26"/>
      <c r="AJ228" s="26"/>
      <c r="AK228" s="26"/>
      <c r="AL228" s="26"/>
      <c r="AM228" s="26"/>
      <c r="AN228" s="34" t="s">
        <v>126</v>
      </c>
      <c r="AO228" s="123"/>
      <c r="AP228" s="4"/>
      <c r="AQ228" s="4"/>
      <c r="AR228" s="4"/>
      <c r="AS228" s="4"/>
      <c r="AT228" s="4"/>
    </row>
    <row r="229" spans="1:46" s="124" customFormat="1" ht="111.95" customHeight="1" x14ac:dyDescent="0.25">
      <c r="A229" s="113">
        <v>94</v>
      </c>
      <c r="B229" s="113" t="s">
        <v>109</v>
      </c>
      <c r="C229" s="114" t="s">
        <v>391</v>
      </c>
      <c r="D229" s="113">
        <v>40</v>
      </c>
      <c r="E229" s="113" t="s">
        <v>121</v>
      </c>
      <c r="F229" s="115" t="s">
        <v>496</v>
      </c>
      <c r="G229" s="116" t="s">
        <v>312</v>
      </c>
      <c r="H229" s="116" t="s">
        <v>497</v>
      </c>
      <c r="I229" s="117" t="s">
        <v>113</v>
      </c>
      <c r="J229" s="116" t="s">
        <v>498</v>
      </c>
      <c r="K229" s="116" t="s">
        <v>499</v>
      </c>
      <c r="L229" s="118" t="s">
        <v>359</v>
      </c>
      <c r="M229" s="118"/>
      <c r="N229" s="119">
        <v>43647</v>
      </c>
      <c r="O229" s="119">
        <v>44742</v>
      </c>
      <c r="P229" s="120">
        <f t="shared" si="56"/>
        <v>3</v>
      </c>
      <c r="Q229" s="114" t="s">
        <v>29</v>
      </c>
      <c r="R229" s="114">
        <f t="shared" ca="1" si="57"/>
        <v>-3.5357829786439505</v>
      </c>
      <c r="S229" s="114" t="str">
        <f t="shared" ca="1" si="40"/>
        <v>Y</v>
      </c>
      <c r="T229" s="121">
        <v>1</v>
      </c>
      <c r="U229" s="121">
        <v>1</v>
      </c>
      <c r="V229" s="121">
        <v>1</v>
      </c>
      <c r="W229" s="121">
        <f t="shared" si="37"/>
        <v>3</v>
      </c>
      <c r="X229" s="121" t="str">
        <f t="shared" si="38"/>
        <v>Biasa</v>
      </c>
      <c r="Y229" s="115" t="s">
        <v>364</v>
      </c>
      <c r="Z229" s="114" t="s">
        <v>119</v>
      </c>
      <c r="AA229" s="119">
        <f>N229+270</f>
        <v>43917</v>
      </c>
      <c r="AB229" s="119">
        <f>+N229+635</f>
        <v>44282</v>
      </c>
      <c r="AC229" s="119">
        <f>+N229+1000</f>
        <v>44647</v>
      </c>
      <c r="AD229" s="26"/>
      <c r="AE229" s="122"/>
      <c r="AF229" s="114" t="s">
        <v>274</v>
      </c>
      <c r="AG229" s="114" t="s">
        <v>119</v>
      </c>
      <c r="AH229" s="26"/>
      <c r="AI229" s="26"/>
      <c r="AJ229" s="26"/>
      <c r="AK229" s="26"/>
      <c r="AL229" s="26"/>
      <c r="AM229" s="26"/>
      <c r="AN229" s="34" t="s">
        <v>126</v>
      </c>
      <c r="AO229" s="123"/>
      <c r="AP229" s="4"/>
      <c r="AQ229" s="4"/>
      <c r="AR229" s="4"/>
      <c r="AS229" s="4"/>
      <c r="AT229" s="4"/>
    </row>
    <row r="230" spans="1:46" s="124" customFormat="1" ht="111.95" customHeight="1" x14ac:dyDescent="0.25">
      <c r="A230" s="113">
        <v>95</v>
      </c>
      <c r="B230" s="113" t="s">
        <v>109</v>
      </c>
      <c r="C230" s="114" t="s">
        <v>441</v>
      </c>
      <c r="D230" s="113">
        <v>41</v>
      </c>
      <c r="E230" s="113" t="s">
        <v>121</v>
      </c>
      <c r="F230" s="115" t="s">
        <v>500</v>
      </c>
      <c r="G230" s="116" t="s">
        <v>312</v>
      </c>
      <c r="H230" s="116" t="s">
        <v>501</v>
      </c>
      <c r="I230" s="117" t="s">
        <v>113</v>
      </c>
      <c r="J230" s="116" t="s">
        <v>502</v>
      </c>
      <c r="K230" s="116" t="s">
        <v>503</v>
      </c>
      <c r="L230" s="118" t="s">
        <v>359</v>
      </c>
      <c r="M230" s="118"/>
      <c r="N230" s="119">
        <v>44531</v>
      </c>
      <c r="O230" s="119">
        <v>44895</v>
      </c>
      <c r="P230" s="120">
        <f t="shared" si="56"/>
        <v>0.99726027397260275</v>
      </c>
      <c r="Q230" s="114" t="s">
        <v>29</v>
      </c>
      <c r="R230" s="114">
        <f t="shared" ca="1" si="57"/>
        <v>1.3997008923237915</v>
      </c>
      <c r="S230" s="114" t="str">
        <f t="shared" ca="1" si="40"/>
        <v>O</v>
      </c>
      <c r="T230" s="121">
        <v>1</v>
      </c>
      <c r="U230" s="121">
        <v>1</v>
      </c>
      <c r="V230" s="121">
        <v>1</v>
      </c>
      <c r="W230" s="121">
        <f t="shared" si="37"/>
        <v>3</v>
      </c>
      <c r="X230" s="121" t="str">
        <f t="shared" si="38"/>
        <v>Biasa</v>
      </c>
      <c r="Y230" s="115"/>
      <c r="Z230" s="115"/>
      <c r="AA230" s="119"/>
      <c r="AB230" s="119"/>
      <c r="AC230" s="119"/>
      <c r="AD230" s="26" t="s">
        <v>125</v>
      </c>
      <c r="AE230" s="122">
        <v>44593</v>
      </c>
      <c r="AF230" s="114" t="s">
        <v>274</v>
      </c>
      <c r="AG230" s="114" t="s">
        <v>119</v>
      </c>
      <c r="AH230" s="26"/>
      <c r="AI230" s="26"/>
      <c r="AJ230" s="26"/>
      <c r="AK230" s="26"/>
      <c r="AL230" s="26"/>
      <c r="AM230" s="26"/>
      <c r="AN230" s="34" t="s">
        <v>126</v>
      </c>
      <c r="AO230" s="123"/>
      <c r="AP230" s="4"/>
      <c r="AQ230" s="4"/>
      <c r="AR230" s="4"/>
      <c r="AS230" s="4"/>
      <c r="AT230" s="4"/>
    </row>
    <row r="231" spans="1:46" s="124" customFormat="1" ht="111.95" customHeight="1" x14ac:dyDescent="0.25">
      <c r="A231" s="113">
        <v>96</v>
      </c>
      <c r="B231" s="113" t="s">
        <v>109</v>
      </c>
      <c r="C231" s="114" t="s">
        <v>391</v>
      </c>
      <c r="D231" s="113">
        <v>11</v>
      </c>
      <c r="E231" s="113" t="s">
        <v>121</v>
      </c>
      <c r="F231" s="115" t="s">
        <v>504</v>
      </c>
      <c r="G231" s="116" t="s">
        <v>312</v>
      </c>
      <c r="H231" s="116" t="s">
        <v>505</v>
      </c>
      <c r="I231" s="117" t="s">
        <v>113</v>
      </c>
      <c r="J231" s="116" t="s">
        <v>506</v>
      </c>
      <c r="K231" s="116" t="s">
        <v>507</v>
      </c>
      <c r="L231" s="118" t="s">
        <v>269</v>
      </c>
      <c r="M231" s="118"/>
      <c r="N231" s="119">
        <v>44378</v>
      </c>
      <c r="O231" s="119">
        <v>44742</v>
      </c>
      <c r="P231" s="120">
        <f>(O231-N231)/365</f>
        <v>0.99726027397260275</v>
      </c>
      <c r="Q231" s="114" t="s">
        <v>29</v>
      </c>
      <c r="R231" s="114">
        <f t="shared" ca="1" si="57"/>
        <v>-3.5357829786439505</v>
      </c>
      <c r="S231" s="114" t="str">
        <f t="shared" ca="1" si="40"/>
        <v>Y</v>
      </c>
      <c r="T231" s="121">
        <v>3</v>
      </c>
      <c r="U231" s="121">
        <v>1</v>
      </c>
      <c r="V231" s="121">
        <v>1</v>
      </c>
      <c r="W231" s="121">
        <f t="shared" si="37"/>
        <v>5</v>
      </c>
      <c r="X231" s="121" t="str">
        <f t="shared" si="38"/>
        <v>Biasa</v>
      </c>
      <c r="Y231" s="115"/>
      <c r="Z231" s="125"/>
      <c r="AA231" s="119"/>
      <c r="AB231" s="119"/>
      <c r="AC231" s="119"/>
      <c r="AD231" s="26"/>
      <c r="AE231" s="122"/>
      <c r="AF231" s="114" t="s">
        <v>270</v>
      </c>
      <c r="AG231" s="114" t="s">
        <v>119</v>
      </c>
      <c r="AH231" s="26"/>
      <c r="AI231" s="26"/>
      <c r="AJ231" s="26"/>
      <c r="AK231" s="26"/>
      <c r="AL231" s="26"/>
      <c r="AM231" s="26"/>
      <c r="AN231" s="34" t="s">
        <v>126</v>
      </c>
      <c r="AO231" s="123">
        <v>44055</v>
      </c>
      <c r="AP231" s="4"/>
      <c r="AQ231" s="4"/>
      <c r="AR231" s="4"/>
      <c r="AS231" s="4"/>
      <c r="AT231" s="4"/>
    </row>
    <row r="232" spans="1:46" s="124" customFormat="1" ht="111.95" customHeight="1" x14ac:dyDescent="0.25">
      <c r="A232" s="113">
        <v>97</v>
      </c>
      <c r="B232" s="113" t="s">
        <v>109</v>
      </c>
      <c r="C232" s="114" t="s">
        <v>391</v>
      </c>
      <c r="D232" s="113">
        <v>3</v>
      </c>
      <c r="E232" s="113" t="s">
        <v>121</v>
      </c>
      <c r="F232" s="115" t="s">
        <v>508</v>
      </c>
      <c r="G232" s="116" t="s">
        <v>312</v>
      </c>
      <c r="H232" s="116" t="s">
        <v>509</v>
      </c>
      <c r="I232" s="117" t="s">
        <v>113</v>
      </c>
      <c r="J232" s="116" t="s">
        <v>510</v>
      </c>
      <c r="K232" s="116" t="s">
        <v>511</v>
      </c>
      <c r="L232" s="118" t="s">
        <v>359</v>
      </c>
      <c r="M232" s="118"/>
      <c r="N232" s="119">
        <v>43647</v>
      </c>
      <c r="O232" s="119">
        <v>44742</v>
      </c>
      <c r="P232" s="120">
        <f>(O232-N232)/365</f>
        <v>3</v>
      </c>
      <c r="Q232" s="114" t="s">
        <v>29</v>
      </c>
      <c r="R232" s="114">
        <f t="shared" ca="1" si="57"/>
        <v>-3.5357829786439505</v>
      </c>
      <c r="S232" s="114" t="str">
        <f t="shared" ca="1" si="40"/>
        <v>Y</v>
      </c>
      <c r="T232" s="121">
        <v>1</v>
      </c>
      <c r="U232" s="121">
        <v>1</v>
      </c>
      <c r="V232" s="121">
        <v>1</v>
      </c>
      <c r="W232" s="121">
        <f t="shared" si="37"/>
        <v>3</v>
      </c>
      <c r="X232" s="121" t="str">
        <f t="shared" si="38"/>
        <v>Biasa</v>
      </c>
      <c r="Y232" s="115" t="s">
        <v>364</v>
      </c>
      <c r="Z232" s="114" t="s">
        <v>119</v>
      </c>
      <c r="AA232" s="119">
        <f>N232+270</f>
        <v>43917</v>
      </c>
      <c r="AB232" s="119">
        <f>+N232+635</f>
        <v>44282</v>
      </c>
      <c r="AC232" s="119">
        <f>+N232+1000</f>
        <v>44647</v>
      </c>
      <c r="AD232" s="26"/>
      <c r="AE232" s="122"/>
      <c r="AF232" s="114" t="s">
        <v>274</v>
      </c>
      <c r="AG232" s="114" t="s">
        <v>119</v>
      </c>
      <c r="AH232" s="26"/>
      <c r="AI232" s="26"/>
      <c r="AJ232" s="26"/>
      <c r="AK232" s="26"/>
      <c r="AL232" s="26"/>
      <c r="AM232" s="26"/>
      <c r="AN232" s="34" t="s">
        <v>126</v>
      </c>
      <c r="AO232" s="123"/>
      <c r="AP232" s="4"/>
      <c r="AQ232" s="4"/>
      <c r="AR232" s="4"/>
      <c r="AS232" s="4"/>
      <c r="AT232" s="4"/>
    </row>
    <row r="233" spans="1:46" s="124" customFormat="1" ht="111.95" customHeight="1" x14ac:dyDescent="0.25">
      <c r="A233" s="113">
        <v>98</v>
      </c>
      <c r="B233" s="113" t="s">
        <v>109</v>
      </c>
      <c r="C233" s="114" t="s">
        <v>391</v>
      </c>
      <c r="D233" s="113">
        <v>12</v>
      </c>
      <c r="E233" s="113" t="s">
        <v>121</v>
      </c>
      <c r="F233" s="115" t="s">
        <v>512</v>
      </c>
      <c r="G233" s="116" t="s">
        <v>312</v>
      </c>
      <c r="H233" s="116" t="s">
        <v>513</v>
      </c>
      <c r="I233" s="117" t="s">
        <v>113</v>
      </c>
      <c r="J233" s="116" t="s">
        <v>514</v>
      </c>
      <c r="K233" s="116" t="s">
        <v>515</v>
      </c>
      <c r="L233" s="118" t="s">
        <v>269</v>
      </c>
      <c r="M233" s="118"/>
      <c r="N233" s="119">
        <v>44013</v>
      </c>
      <c r="O233" s="119">
        <v>44742</v>
      </c>
      <c r="P233" s="120">
        <f>(O233-N233)/365</f>
        <v>1.9972602739726026</v>
      </c>
      <c r="Q233" s="114" t="s">
        <v>29</v>
      </c>
      <c r="R233" s="114">
        <f t="shared" ca="1" si="57"/>
        <v>-3.5357829786439505</v>
      </c>
      <c r="S233" s="114" t="str">
        <f t="shared" ca="1" si="40"/>
        <v>Y</v>
      </c>
      <c r="T233" s="121">
        <v>1</v>
      </c>
      <c r="U233" s="121">
        <v>1</v>
      </c>
      <c r="V233" s="121">
        <v>1</v>
      </c>
      <c r="W233" s="121">
        <f t="shared" si="37"/>
        <v>3</v>
      </c>
      <c r="X233" s="121" t="str">
        <f t="shared" si="38"/>
        <v>Biasa</v>
      </c>
      <c r="Y233" s="115" t="s">
        <v>364</v>
      </c>
      <c r="Z233" s="114" t="s">
        <v>119</v>
      </c>
      <c r="AA233" s="119">
        <f>N233+270</f>
        <v>44283</v>
      </c>
      <c r="AB233" s="119">
        <f>+N233+635</f>
        <v>44648</v>
      </c>
      <c r="AC233" s="119"/>
      <c r="AD233" s="26"/>
      <c r="AE233" s="122"/>
      <c r="AF233" s="114" t="s">
        <v>274</v>
      </c>
      <c r="AG233" s="114" t="s">
        <v>119</v>
      </c>
      <c r="AH233" s="26"/>
      <c r="AI233" s="26"/>
      <c r="AJ233" s="26"/>
      <c r="AK233" s="26"/>
      <c r="AL233" s="26"/>
      <c r="AM233" s="26"/>
      <c r="AN233" s="34" t="s">
        <v>126</v>
      </c>
      <c r="AO233" s="123">
        <v>44013</v>
      </c>
      <c r="AP233" s="4"/>
      <c r="AQ233" s="4"/>
      <c r="AR233" s="4"/>
      <c r="AS233" s="4"/>
      <c r="AT233" s="4"/>
    </row>
    <row r="234" spans="1:46" s="124" customFormat="1" ht="111.95" customHeight="1" x14ac:dyDescent="0.25">
      <c r="A234" s="113">
        <v>99</v>
      </c>
      <c r="B234" s="113" t="s">
        <v>109</v>
      </c>
      <c r="C234" s="114"/>
      <c r="D234" s="113"/>
      <c r="E234" s="113"/>
      <c r="F234" s="115" t="s">
        <v>516</v>
      </c>
      <c r="G234" s="116" t="s">
        <v>517</v>
      </c>
      <c r="H234" s="116" t="s">
        <v>518</v>
      </c>
      <c r="I234" s="117" t="s">
        <v>113</v>
      </c>
      <c r="J234" s="116" t="s">
        <v>519</v>
      </c>
      <c r="K234" s="116" t="s">
        <v>520</v>
      </c>
      <c r="L234" s="118">
        <v>835000000</v>
      </c>
      <c r="M234" s="118" t="s">
        <v>413</v>
      </c>
      <c r="N234" s="119">
        <v>43801</v>
      </c>
      <c r="O234" s="119">
        <v>44229</v>
      </c>
      <c r="P234" s="120">
        <f>(O234-N234)/365</f>
        <v>1.1726027397260275</v>
      </c>
      <c r="Q234" s="114" t="s">
        <v>29</v>
      </c>
      <c r="R234" s="114" t="s">
        <v>117</v>
      </c>
      <c r="S234" s="114" t="str">
        <f t="shared" si="40"/>
        <v>Z</v>
      </c>
      <c r="T234" s="121">
        <v>1</v>
      </c>
      <c r="U234" s="121">
        <v>2</v>
      </c>
      <c r="V234" s="121">
        <v>3</v>
      </c>
      <c r="W234" s="121">
        <f t="shared" si="37"/>
        <v>6</v>
      </c>
      <c r="X234" s="121" t="str">
        <f t="shared" si="38"/>
        <v>Penting</v>
      </c>
      <c r="Y234" s="115"/>
      <c r="Z234" s="115"/>
      <c r="AA234" s="119"/>
      <c r="AB234" s="119"/>
      <c r="AC234" s="119"/>
      <c r="AD234" s="26"/>
      <c r="AE234" s="122"/>
      <c r="AF234" s="114" t="s">
        <v>274</v>
      </c>
      <c r="AG234" s="114" t="s">
        <v>119</v>
      </c>
      <c r="AH234" s="26"/>
      <c r="AI234" s="26"/>
      <c r="AJ234" s="26"/>
      <c r="AK234" s="26"/>
      <c r="AL234" s="26"/>
      <c r="AM234" s="26"/>
      <c r="AN234" s="26"/>
      <c r="AO234" s="123">
        <v>43850</v>
      </c>
      <c r="AP234" s="4"/>
      <c r="AQ234" s="4"/>
      <c r="AR234" s="4"/>
      <c r="AS234" s="4"/>
      <c r="AT234" s="4"/>
    </row>
    <row r="235" spans="1:46" s="124" customFormat="1" ht="111.95" customHeight="1" x14ac:dyDescent="0.25">
      <c r="A235" s="113">
        <v>100</v>
      </c>
      <c r="B235" s="113" t="s">
        <v>109</v>
      </c>
      <c r="C235" s="114" t="s">
        <v>391</v>
      </c>
      <c r="D235" s="113">
        <v>4</v>
      </c>
      <c r="E235" s="113" t="s">
        <v>121</v>
      </c>
      <c r="F235" s="115" t="s">
        <v>521</v>
      </c>
      <c r="G235" s="116" t="s">
        <v>312</v>
      </c>
      <c r="H235" s="116" t="s">
        <v>522</v>
      </c>
      <c r="I235" s="117" t="s">
        <v>113</v>
      </c>
      <c r="J235" s="116" t="s">
        <v>523</v>
      </c>
      <c r="K235" s="116" t="s">
        <v>524</v>
      </c>
      <c r="L235" s="118" t="s">
        <v>269</v>
      </c>
      <c r="M235" s="118"/>
      <c r="N235" s="119">
        <v>44378</v>
      </c>
      <c r="O235" s="119">
        <v>44742</v>
      </c>
      <c r="P235" s="120">
        <f t="shared" ref="P235" si="58">(O235-N235)/365</f>
        <v>0.99726027397260275</v>
      </c>
      <c r="Q235" s="114" t="s">
        <v>29</v>
      </c>
      <c r="R235" s="114">
        <f ca="1">(O235-NOW()+1)/31</f>
        <v>-3.5357829786439505</v>
      </c>
      <c r="S235" s="114" t="str">
        <f t="shared" ca="1" si="40"/>
        <v>Y</v>
      </c>
      <c r="T235" s="121">
        <v>1</v>
      </c>
      <c r="U235" s="121">
        <v>1</v>
      </c>
      <c r="V235" s="121">
        <v>1</v>
      </c>
      <c r="W235" s="121">
        <f t="shared" si="37"/>
        <v>3</v>
      </c>
      <c r="X235" s="121" t="str">
        <f t="shared" si="38"/>
        <v>Biasa</v>
      </c>
      <c r="Y235" s="115"/>
      <c r="Z235" s="125"/>
      <c r="AA235" s="119"/>
      <c r="AB235" s="119"/>
      <c r="AC235" s="119"/>
      <c r="AD235" s="26"/>
      <c r="AE235" s="122"/>
      <c r="AF235" s="114" t="s">
        <v>383</v>
      </c>
      <c r="AG235" s="114" t="s">
        <v>119</v>
      </c>
      <c r="AH235" s="26"/>
      <c r="AI235" s="26"/>
      <c r="AJ235" s="26"/>
      <c r="AK235" s="26"/>
      <c r="AL235" s="26"/>
      <c r="AM235" s="26"/>
      <c r="AN235" s="34" t="s">
        <v>126</v>
      </c>
      <c r="AO235" s="123">
        <v>44407</v>
      </c>
      <c r="AP235" s="4"/>
      <c r="AQ235" s="4"/>
      <c r="AR235" s="4"/>
      <c r="AS235" s="4"/>
      <c r="AT235" s="4"/>
    </row>
    <row r="236" spans="1:46" s="124" customFormat="1" ht="111.95" customHeight="1" x14ac:dyDescent="0.25">
      <c r="A236" s="152">
        <v>101</v>
      </c>
      <c r="B236" s="152" t="s">
        <v>109</v>
      </c>
      <c r="C236" s="153"/>
      <c r="D236" s="152"/>
      <c r="E236" s="152"/>
      <c r="F236" s="154"/>
      <c r="G236" s="155"/>
      <c r="H236" s="155" t="s">
        <v>525</v>
      </c>
      <c r="I236" s="156"/>
      <c r="J236" s="155"/>
      <c r="K236" s="155"/>
      <c r="L236" s="157"/>
      <c r="M236" s="157"/>
      <c r="N236" s="158"/>
      <c r="O236" s="158"/>
      <c r="P236" s="159"/>
      <c r="Q236" s="153" t="s">
        <v>29</v>
      </c>
      <c r="R236" s="153" t="s">
        <v>18</v>
      </c>
      <c r="S236" s="153" t="str">
        <f t="shared" si="40"/>
        <v>C</v>
      </c>
      <c r="T236" s="160">
        <v>1</v>
      </c>
      <c r="U236" s="160">
        <v>1</v>
      </c>
      <c r="V236" s="160">
        <v>1</v>
      </c>
      <c r="W236" s="160">
        <f t="shared" si="37"/>
        <v>3</v>
      </c>
      <c r="X236" s="160" t="str">
        <f t="shared" si="38"/>
        <v>Biasa</v>
      </c>
      <c r="Y236" s="154"/>
      <c r="Z236" s="154"/>
      <c r="AA236" s="158"/>
      <c r="AB236" s="158"/>
      <c r="AC236" s="158"/>
      <c r="AD236" s="161" t="s">
        <v>18</v>
      </c>
      <c r="AE236" s="162">
        <v>43564</v>
      </c>
      <c r="AF236" s="153" t="s">
        <v>274</v>
      </c>
      <c r="AG236" s="153"/>
      <c r="AH236" s="161"/>
      <c r="AI236" s="161"/>
      <c r="AJ236" s="161"/>
      <c r="AK236" s="161"/>
      <c r="AL236" s="161"/>
      <c r="AM236" s="161"/>
      <c r="AN236" s="161"/>
      <c r="AO236" s="163"/>
      <c r="AP236" s="4"/>
      <c r="AQ236" s="4"/>
      <c r="AR236" s="4"/>
      <c r="AS236" s="4"/>
      <c r="AT236" s="4"/>
    </row>
    <row r="237" spans="1:46" s="124" customFormat="1" ht="111.95" customHeight="1" x14ac:dyDescent="0.25">
      <c r="A237" s="113">
        <v>102</v>
      </c>
      <c r="B237" s="113" t="s">
        <v>109</v>
      </c>
      <c r="C237" s="114"/>
      <c r="D237" s="113"/>
      <c r="E237" s="113"/>
      <c r="F237" s="115"/>
      <c r="G237" s="116"/>
      <c r="H237" s="116" t="s">
        <v>526</v>
      </c>
      <c r="I237" s="117"/>
      <c r="J237" s="116"/>
      <c r="K237" s="116"/>
      <c r="L237" s="118"/>
      <c r="M237" s="118"/>
      <c r="N237" s="119"/>
      <c r="O237" s="119"/>
      <c r="P237" s="120"/>
      <c r="Q237" s="114" t="s">
        <v>29</v>
      </c>
      <c r="R237" s="114" t="s">
        <v>18</v>
      </c>
      <c r="S237" s="114" t="str">
        <f t="shared" si="40"/>
        <v>C</v>
      </c>
      <c r="T237" s="121">
        <v>1</v>
      </c>
      <c r="U237" s="121">
        <v>1</v>
      </c>
      <c r="V237" s="121">
        <v>1</v>
      </c>
      <c r="W237" s="121">
        <f t="shared" si="37"/>
        <v>3</v>
      </c>
      <c r="X237" s="121" t="str">
        <f t="shared" si="38"/>
        <v>Biasa</v>
      </c>
      <c r="Y237" s="115"/>
      <c r="Z237" s="115"/>
      <c r="AA237" s="119"/>
      <c r="AB237" s="119"/>
      <c r="AC237" s="119"/>
      <c r="AD237" s="26" t="s">
        <v>18</v>
      </c>
      <c r="AE237" s="122">
        <v>43556</v>
      </c>
      <c r="AF237" s="114" t="s">
        <v>274</v>
      </c>
      <c r="AG237" s="114"/>
      <c r="AH237" s="26"/>
      <c r="AI237" s="26"/>
      <c r="AJ237" s="26"/>
      <c r="AK237" s="26"/>
      <c r="AL237" s="26"/>
      <c r="AM237" s="26"/>
      <c r="AN237" s="26"/>
      <c r="AO237" s="123"/>
      <c r="AP237" s="4"/>
      <c r="AQ237" s="4"/>
      <c r="AR237" s="4"/>
      <c r="AS237" s="4"/>
      <c r="AT237" s="4"/>
    </row>
    <row r="238" spans="1:46" s="124" customFormat="1" ht="111.95" customHeight="1" x14ac:dyDescent="0.25">
      <c r="A238" s="113">
        <v>103</v>
      </c>
      <c r="B238" s="113" t="s">
        <v>109</v>
      </c>
      <c r="C238" s="114"/>
      <c r="D238" s="113"/>
      <c r="E238" s="113"/>
      <c r="F238" s="115"/>
      <c r="G238" s="116"/>
      <c r="H238" s="116" t="s">
        <v>527</v>
      </c>
      <c r="I238" s="117"/>
      <c r="J238" s="116"/>
      <c r="K238" s="116"/>
      <c r="L238" s="118"/>
      <c r="M238" s="118"/>
      <c r="N238" s="119"/>
      <c r="O238" s="119"/>
      <c r="P238" s="120"/>
      <c r="Q238" s="114" t="s">
        <v>29</v>
      </c>
      <c r="R238" s="114" t="s">
        <v>18</v>
      </c>
      <c r="S238" s="114" t="str">
        <f t="shared" si="40"/>
        <v>C</v>
      </c>
      <c r="T238" s="121">
        <v>1</v>
      </c>
      <c r="U238" s="121">
        <v>1</v>
      </c>
      <c r="V238" s="121">
        <v>1</v>
      </c>
      <c r="W238" s="121">
        <f t="shared" si="37"/>
        <v>3</v>
      </c>
      <c r="X238" s="121" t="str">
        <f t="shared" si="38"/>
        <v>Biasa</v>
      </c>
      <c r="Y238" s="115"/>
      <c r="Z238" s="115"/>
      <c r="AA238" s="119"/>
      <c r="AB238" s="119"/>
      <c r="AC238" s="119"/>
      <c r="AD238" s="26" t="s">
        <v>18</v>
      </c>
      <c r="AE238" s="122">
        <v>43564</v>
      </c>
      <c r="AF238" s="114" t="s">
        <v>274</v>
      </c>
      <c r="AG238" s="114"/>
      <c r="AH238" s="26"/>
      <c r="AI238" s="26"/>
      <c r="AJ238" s="26"/>
      <c r="AK238" s="26"/>
      <c r="AL238" s="26"/>
      <c r="AM238" s="26"/>
      <c r="AN238" s="26"/>
      <c r="AO238" s="123"/>
      <c r="AP238" s="4"/>
      <c r="AQ238" s="4"/>
      <c r="AR238" s="4"/>
      <c r="AS238" s="4"/>
      <c r="AT238" s="4"/>
    </row>
    <row r="239" spans="1:46" s="124" customFormat="1" ht="111.95" customHeight="1" x14ac:dyDescent="0.25">
      <c r="A239" s="113">
        <v>104</v>
      </c>
      <c r="B239" s="113" t="s">
        <v>109</v>
      </c>
      <c r="C239" s="114"/>
      <c r="D239" s="113"/>
      <c r="E239" s="113"/>
      <c r="F239" s="115"/>
      <c r="G239" s="116"/>
      <c r="H239" s="116" t="s">
        <v>528</v>
      </c>
      <c r="I239" s="117"/>
      <c r="J239" s="116"/>
      <c r="K239" s="116"/>
      <c r="L239" s="118"/>
      <c r="M239" s="118"/>
      <c r="N239" s="119"/>
      <c r="O239" s="119"/>
      <c r="P239" s="120"/>
      <c r="Q239" s="114" t="s">
        <v>29</v>
      </c>
      <c r="R239" s="114" t="s">
        <v>18</v>
      </c>
      <c r="S239" s="114" t="str">
        <f t="shared" si="40"/>
        <v>C</v>
      </c>
      <c r="T239" s="121">
        <v>1</v>
      </c>
      <c r="U239" s="121">
        <v>1</v>
      </c>
      <c r="V239" s="121">
        <v>1</v>
      </c>
      <c r="W239" s="121">
        <f t="shared" ref="W239:W334" si="59">T239+U239+V239</f>
        <v>3</v>
      </c>
      <c r="X239" s="121" t="str">
        <f t="shared" ref="X239:X334" si="60">IF(W239&gt;5,"Penting",IF(ISBLANK(W239),"","Biasa"))</f>
        <v>Biasa</v>
      </c>
      <c r="Y239" s="115"/>
      <c r="Z239" s="115"/>
      <c r="AA239" s="119"/>
      <c r="AB239" s="119"/>
      <c r="AC239" s="119"/>
      <c r="AD239" s="26" t="s">
        <v>18</v>
      </c>
      <c r="AE239" s="122">
        <v>43564</v>
      </c>
      <c r="AF239" s="114" t="s">
        <v>274</v>
      </c>
      <c r="AG239" s="114"/>
      <c r="AH239" s="26"/>
      <c r="AI239" s="26"/>
      <c r="AJ239" s="26"/>
      <c r="AK239" s="26"/>
      <c r="AL239" s="26"/>
      <c r="AM239" s="26"/>
      <c r="AN239" s="26"/>
      <c r="AO239" s="123"/>
      <c r="AP239" s="4"/>
      <c r="AQ239" s="4"/>
      <c r="AR239" s="4"/>
      <c r="AS239" s="4"/>
      <c r="AT239" s="4"/>
    </row>
    <row r="240" spans="1:46" s="124" customFormat="1" ht="111.95" customHeight="1" x14ac:dyDescent="0.25">
      <c r="A240" s="113">
        <v>105</v>
      </c>
      <c r="B240" s="113" t="s">
        <v>109</v>
      </c>
      <c r="C240" s="114" t="s">
        <v>391</v>
      </c>
      <c r="D240" s="113">
        <v>5</v>
      </c>
      <c r="E240" s="113" t="s">
        <v>121</v>
      </c>
      <c r="F240" s="115" t="s">
        <v>529</v>
      </c>
      <c r="G240" s="116" t="s">
        <v>312</v>
      </c>
      <c r="H240" s="116" t="s">
        <v>530</v>
      </c>
      <c r="I240" s="117" t="s">
        <v>113</v>
      </c>
      <c r="J240" s="116" t="s">
        <v>362</v>
      </c>
      <c r="K240" s="116" t="s">
        <v>531</v>
      </c>
      <c r="L240" s="118" t="s">
        <v>359</v>
      </c>
      <c r="M240" s="118"/>
      <c r="N240" s="119">
        <v>43556</v>
      </c>
      <c r="O240" s="119">
        <v>44651</v>
      </c>
      <c r="P240" s="120">
        <f>(O240-N240)/365</f>
        <v>3</v>
      </c>
      <c r="Q240" s="114" t="s">
        <v>29</v>
      </c>
      <c r="R240" s="114" t="s">
        <v>117</v>
      </c>
      <c r="S240" s="114" t="str">
        <f t="shared" ref="S240:S335" si="61">IF(R240="End","Z",IF(R240="Cancel","C",IF(SUM(R240)&gt;0,"O",IF(ISBLANK(R240),"X",IF(SUM(R240)&lt;0,"Y",IF(SUM(R240),"-","O"))))))</f>
        <v>Z</v>
      </c>
      <c r="T240" s="121">
        <v>1</v>
      </c>
      <c r="U240" s="121">
        <v>1</v>
      </c>
      <c r="V240" s="121">
        <v>1</v>
      </c>
      <c r="W240" s="121">
        <f t="shared" si="59"/>
        <v>3</v>
      </c>
      <c r="X240" s="121" t="str">
        <f t="shared" si="60"/>
        <v>Biasa</v>
      </c>
      <c r="Y240" s="115" t="s">
        <v>532</v>
      </c>
      <c r="Z240" s="114" t="s">
        <v>119</v>
      </c>
      <c r="AA240" s="119">
        <f>N240+270</f>
        <v>43826</v>
      </c>
      <c r="AB240" s="119">
        <f>+N240+635</f>
        <v>44191</v>
      </c>
      <c r="AC240" s="119">
        <f>+N240+1000</f>
        <v>44556</v>
      </c>
      <c r="AD240" s="26"/>
      <c r="AE240" s="122"/>
      <c r="AF240" s="114" t="s">
        <v>274</v>
      </c>
      <c r="AG240" s="114" t="s">
        <v>119</v>
      </c>
      <c r="AH240" s="26"/>
      <c r="AI240" s="26"/>
      <c r="AJ240" s="26"/>
      <c r="AK240" s="26"/>
      <c r="AL240" s="26"/>
      <c r="AM240" s="26"/>
      <c r="AN240" s="34" t="s">
        <v>365</v>
      </c>
      <c r="AO240" s="123">
        <v>43544</v>
      </c>
      <c r="AP240" s="4"/>
      <c r="AQ240" s="4"/>
      <c r="AR240" s="4"/>
      <c r="AS240" s="4"/>
      <c r="AT240" s="4"/>
    </row>
    <row r="241" spans="1:46" s="124" customFormat="1" ht="111.95" customHeight="1" x14ac:dyDescent="0.25">
      <c r="A241" s="113">
        <v>106</v>
      </c>
      <c r="B241" s="113" t="s">
        <v>109</v>
      </c>
      <c r="C241" s="114" t="s">
        <v>391</v>
      </c>
      <c r="D241" s="113">
        <v>39</v>
      </c>
      <c r="E241" s="113" t="s">
        <v>121</v>
      </c>
      <c r="F241" s="115" t="s">
        <v>533</v>
      </c>
      <c r="G241" s="116" t="s">
        <v>534</v>
      </c>
      <c r="H241" s="116" t="s">
        <v>535</v>
      </c>
      <c r="I241" s="117" t="s">
        <v>113</v>
      </c>
      <c r="J241" s="116" t="s">
        <v>536</v>
      </c>
      <c r="K241" s="116" t="s">
        <v>336</v>
      </c>
      <c r="L241" s="118" t="s">
        <v>537</v>
      </c>
      <c r="M241" s="118" t="s">
        <v>538</v>
      </c>
      <c r="N241" s="119">
        <v>44516</v>
      </c>
      <c r="O241" s="119">
        <v>44880</v>
      </c>
      <c r="P241" s="120">
        <f>(O241-N241)/365</f>
        <v>0.99726027397260275</v>
      </c>
      <c r="Q241" s="114" t="s">
        <v>29</v>
      </c>
      <c r="R241" s="114">
        <f t="shared" ref="R241" ca="1" si="62">(O241-NOW()+1)/31</f>
        <v>0.91582992458185597</v>
      </c>
      <c r="S241" s="114" t="str">
        <f t="shared" ca="1" si="61"/>
        <v>O</v>
      </c>
      <c r="T241" s="121">
        <v>1</v>
      </c>
      <c r="U241" s="121">
        <v>2</v>
      </c>
      <c r="V241" s="121">
        <v>3</v>
      </c>
      <c r="W241" s="121">
        <f t="shared" si="59"/>
        <v>6</v>
      </c>
      <c r="X241" s="121" t="str">
        <f t="shared" si="60"/>
        <v>Penting</v>
      </c>
      <c r="Y241" s="115"/>
      <c r="Z241" s="125"/>
      <c r="AA241" s="119"/>
      <c r="AB241" s="119"/>
      <c r="AC241" s="119"/>
      <c r="AD241" s="26"/>
      <c r="AE241" s="122"/>
      <c r="AF241" s="114" t="s">
        <v>274</v>
      </c>
      <c r="AG241" s="114" t="s">
        <v>119</v>
      </c>
      <c r="AH241" s="26"/>
      <c r="AI241" s="26"/>
      <c r="AJ241" s="26"/>
      <c r="AK241" s="26"/>
      <c r="AL241" s="26"/>
      <c r="AM241" s="26"/>
      <c r="AN241" s="34" t="s">
        <v>126</v>
      </c>
      <c r="AO241" s="123">
        <v>44512</v>
      </c>
      <c r="AP241" s="4"/>
      <c r="AQ241" s="4"/>
      <c r="AR241" s="4"/>
      <c r="AS241" s="4"/>
      <c r="AT241" s="4"/>
    </row>
    <row r="242" spans="1:46" s="124" customFormat="1" ht="111.95" customHeight="1" x14ac:dyDescent="0.25">
      <c r="A242" s="113">
        <v>107</v>
      </c>
      <c r="B242" s="113" t="s">
        <v>109</v>
      </c>
      <c r="C242" s="114"/>
      <c r="D242" s="113"/>
      <c r="E242" s="113"/>
      <c r="F242" s="115"/>
      <c r="G242" s="116"/>
      <c r="H242" s="116" t="s">
        <v>539</v>
      </c>
      <c r="I242" s="117"/>
      <c r="J242" s="116"/>
      <c r="K242" s="116"/>
      <c r="L242" s="118"/>
      <c r="M242" s="118"/>
      <c r="N242" s="119"/>
      <c r="O242" s="119"/>
      <c r="P242" s="120"/>
      <c r="Q242" s="114" t="s">
        <v>29</v>
      </c>
      <c r="R242" s="114" t="s">
        <v>18</v>
      </c>
      <c r="S242" s="114" t="str">
        <f t="shared" si="61"/>
        <v>C</v>
      </c>
      <c r="T242" s="121">
        <v>1</v>
      </c>
      <c r="U242" s="121">
        <v>1</v>
      </c>
      <c r="V242" s="121">
        <v>1</v>
      </c>
      <c r="W242" s="121">
        <f t="shared" si="59"/>
        <v>3</v>
      </c>
      <c r="X242" s="121" t="str">
        <f t="shared" si="60"/>
        <v>Biasa</v>
      </c>
      <c r="Y242" s="115"/>
      <c r="Z242" s="115"/>
      <c r="AA242" s="119"/>
      <c r="AB242" s="119"/>
      <c r="AC242" s="119"/>
      <c r="AD242" s="26" t="s">
        <v>18</v>
      </c>
      <c r="AE242" s="122">
        <v>43564</v>
      </c>
      <c r="AF242" s="114" t="s">
        <v>274</v>
      </c>
      <c r="AG242" s="114"/>
      <c r="AH242" s="26"/>
      <c r="AI242" s="26"/>
      <c r="AJ242" s="26"/>
      <c r="AK242" s="26"/>
      <c r="AL242" s="26"/>
      <c r="AM242" s="26"/>
      <c r="AN242" s="26"/>
      <c r="AO242" s="123"/>
      <c r="AP242" s="4"/>
      <c r="AQ242" s="4"/>
      <c r="AR242" s="4"/>
      <c r="AS242" s="4"/>
      <c r="AT242" s="4"/>
    </row>
    <row r="243" spans="1:46" s="124" customFormat="1" ht="111.95" customHeight="1" x14ac:dyDescent="0.25">
      <c r="A243" s="113">
        <v>108</v>
      </c>
      <c r="B243" s="113" t="s">
        <v>109</v>
      </c>
      <c r="C243" s="114" t="s">
        <v>391</v>
      </c>
      <c r="D243" s="113">
        <v>6</v>
      </c>
      <c r="E243" s="113" t="s">
        <v>121</v>
      </c>
      <c r="F243" s="115" t="s">
        <v>540</v>
      </c>
      <c r="G243" s="116" t="s">
        <v>312</v>
      </c>
      <c r="H243" s="116" t="s">
        <v>541</v>
      </c>
      <c r="I243" s="117" t="s">
        <v>113</v>
      </c>
      <c r="J243" s="116" t="s">
        <v>542</v>
      </c>
      <c r="K243" s="116" t="s">
        <v>543</v>
      </c>
      <c r="L243" s="118" t="s">
        <v>269</v>
      </c>
      <c r="M243" s="118"/>
      <c r="N243" s="119">
        <v>44013</v>
      </c>
      <c r="O243" s="119">
        <v>44742</v>
      </c>
      <c r="P243" s="120">
        <f>(O243-N243)/365</f>
        <v>1.9972602739726026</v>
      </c>
      <c r="Q243" s="114" t="s">
        <v>29</v>
      </c>
      <c r="R243" s="114">
        <f t="shared" ref="R243:R245" ca="1" si="63">(O243-NOW()+1)/31</f>
        <v>-3.5357829786439505</v>
      </c>
      <c r="S243" s="114" t="str">
        <f t="shared" ca="1" si="61"/>
        <v>Y</v>
      </c>
      <c r="T243" s="121">
        <v>1</v>
      </c>
      <c r="U243" s="121">
        <v>1</v>
      </c>
      <c r="V243" s="121">
        <v>1</v>
      </c>
      <c r="W243" s="121">
        <f t="shared" si="59"/>
        <v>3</v>
      </c>
      <c r="X243" s="121" t="str">
        <f t="shared" si="60"/>
        <v>Biasa</v>
      </c>
      <c r="Y243" s="115" t="s">
        <v>364</v>
      </c>
      <c r="Z243" s="114" t="s">
        <v>119</v>
      </c>
      <c r="AA243" s="119">
        <f>N243+270</f>
        <v>44283</v>
      </c>
      <c r="AB243" s="119">
        <f>+N243+635</f>
        <v>44648</v>
      </c>
      <c r="AC243" s="119"/>
      <c r="AD243" s="26"/>
      <c r="AE243" s="122"/>
      <c r="AF243" s="114" t="s">
        <v>274</v>
      </c>
      <c r="AG243" s="114" t="s">
        <v>119</v>
      </c>
      <c r="AH243" s="26"/>
      <c r="AI243" s="26"/>
      <c r="AJ243" s="26"/>
      <c r="AK243" s="26"/>
      <c r="AL243" s="26"/>
      <c r="AM243" s="26"/>
      <c r="AN243" s="34" t="s">
        <v>126</v>
      </c>
      <c r="AO243" s="123">
        <v>44040</v>
      </c>
      <c r="AP243" s="4"/>
      <c r="AQ243" s="4"/>
      <c r="AR243" s="4"/>
      <c r="AS243" s="4"/>
      <c r="AT243" s="4"/>
    </row>
    <row r="244" spans="1:46" s="124" customFormat="1" ht="111.95" customHeight="1" x14ac:dyDescent="0.25">
      <c r="A244" s="113">
        <v>109</v>
      </c>
      <c r="B244" s="113" t="s">
        <v>109</v>
      </c>
      <c r="C244" s="114" t="s">
        <v>391</v>
      </c>
      <c r="D244" s="113">
        <v>7</v>
      </c>
      <c r="E244" s="113" t="s">
        <v>121</v>
      </c>
      <c r="F244" s="115" t="s">
        <v>544</v>
      </c>
      <c r="G244" s="116" t="s">
        <v>312</v>
      </c>
      <c r="H244" s="116" t="s">
        <v>545</v>
      </c>
      <c r="I244" s="117" t="s">
        <v>113</v>
      </c>
      <c r="J244" s="116" t="s">
        <v>546</v>
      </c>
      <c r="K244" s="116" t="s">
        <v>547</v>
      </c>
      <c r="L244" s="118" t="s">
        <v>359</v>
      </c>
      <c r="M244" s="118"/>
      <c r="N244" s="119">
        <v>43647</v>
      </c>
      <c r="O244" s="119">
        <v>44742</v>
      </c>
      <c r="P244" s="120">
        <f>(O244-N244)/365</f>
        <v>3</v>
      </c>
      <c r="Q244" s="114" t="s">
        <v>29</v>
      </c>
      <c r="R244" s="114">
        <f t="shared" ca="1" si="63"/>
        <v>-3.5357829786439505</v>
      </c>
      <c r="S244" s="114" t="str">
        <f t="shared" ca="1" si="61"/>
        <v>Y</v>
      </c>
      <c r="T244" s="121">
        <v>1</v>
      </c>
      <c r="U244" s="121">
        <v>1</v>
      </c>
      <c r="V244" s="121">
        <v>1</v>
      </c>
      <c r="W244" s="121">
        <f t="shared" si="59"/>
        <v>3</v>
      </c>
      <c r="X244" s="121" t="str">
        <f t="shared" si="60"/>
        <v>Biasa</v>
      </c>
      <c r="Y244" s="115" t="s">
        <v>364</v>
      </c>
      <c r="Z244" s="114" t="s">
        <v>119</v>
      </c>
      <c r="AA244" s="119">
        <f>N244+270</f>
        <v>43917</v>
      </c>
      <c r="AB244" s="119">
        <f>+N244+635</f>
        <v>44282</v>
      </c>
      <c r="AC244" s="119">
        <f>+N244+1000</f>
        <v>44647</v>
      </c>
      <c r="AD244" s="26"/>
      <c r="AE244" s="122"/>
      <c r="AF244" s="114" t="s">
        <v>274</v>
      </c>
      <c r="AG244" s="114" t="s">
        <v>119</v>
      </c>
      <c r="AH244" s="26"/>
      <c r="AI244" s="26"/>
      <c r="AJ244" s="26"/>
      <c r="AK244" s="26"/>
      <c r="AL244" s="26"/>
      <c r="AM244" s="26"/>
      <c r="AN244" s="34" t="s">
        <v>365</v>
      </c>
      <c r="AO244" s="123"/>
      <c r="AP244" s="4"/>
      <c r="AQ244" s="4"/>
      <c r="AR244" s="4"/>
      <c r="AS244" s="4"/>
      <c r="AT244" s="4"/>
    </row>
    <row r="245" spans="1:46" s="124" customFormat="1" ht="111.95" customHeight="1" x14ac:dyDescent="0.25">
      <c r="A245" s="113">
        <v>110</v>
      </c>
      <c r="B245" s="113" t="s">
        <v>109</v>
      </c>
      <c r="C245" s="114" t="s">
        <v>391</v>
      </c>
      <c r="D245" s="113">
        <v>8</v>
      </c>
      <c r="E245" s="113" t="s">
        <v>121</v>
      </c>
      <c r="F245" s="115" t="s">
        <v>548</v>
      </c>
      <c r="G245" s="116" t="s">
        <v>312</v>
      </c>
      <c r="H245" s="116" t="s">
        <v>549</v>
      </c>
      <c r="I245" s="117" t="s">
        <v>113</v>
      </c>
      <c r="J245" s="116" t="s">
        <v>550</v>
      </c>
      <c r="K245" s="116" t="s">
        <v>551</v>
      </c>
      <c r="L245" s="118" t="s">
        <v>359</v>
      </c>
      <c r="M245" s="118"/>
      <c r="N245" s="119">
        <v>44378</v>
      </c>
      <c r="O245" s="119">
        <v>44742</v>
      </c>
      <c r="P245" s="120">
        <f>(O245-N245)/365</f>
        <v>0.99726027397260275</v>
      </c>
      <c r="Q245" s="114" t="s">
        <v>29</v>
      </c>
      <c r="R245" s="114">
        <f t="shared" ca="1" si="63"/>
        <v>-3.5357829786439505</v>
      </c>
      <c r="S245" s="114" t="str">
        <f t="shared" ca="1" si="61"/>
        <v>Y</v>
      </c>
      <c r="T245" s="121">
        <v>1</v>
      </c>
      <c r="U245" s="121">
        <v>1</v>
      </c>
      <c r="V245" s="121">
        <v>1</v>
      </c>
      <c r="W245" s="121">
        <f t="shared" si="59"/>
        <v>3</v>
      </c>
      <c r="X245" s="121" t="str">
        <f t="shared" si="60"/>
        <v>Biasa</v>
      </c>
      <c r="Y245" s="115" t="s">
        <v>552</v>
      </c>
      <c r="Z245" s="125"/>
      <c r="AA245" s="119"/>
      <c r="AB245" s="119"/>
      <c r="AC245" s="119"/>
      <c r="AD245" s="26"/>
      <c r="AE245" s="122"/>
      <c r="AF245" s="114" t="s">
        <v>383</v>
      </c>
      <c r="AG245" s="114" t="s">
        <v>119</v>
      </c>
      <c r="AH245" s="26"/>
      <c r="AI245" s="26"/>
      <c r="AJ245" s="26"/>
      <c r="AK245" s="26"/>
      <c r="AL245" s="26"/>
      <c r="AM245" s="26"/>
      <c r="AN245" s="34" t="s">
        <v>126</v>
      </c>
      <c r="AO245" s="123">
        <v>44407</v>
      </c>
      <c r="AP245" s="4"/>
      <c r="AQ245" s="4"/>
      <c r="AR245" s="4"/>
      <c r="AS245" s="4"/>
      <c r="AT245" s="4"/>
    </row>
    <row r="246" spans="1:46" s="124" customFormat="1" ht="111.95" customHeight="1" x14ac:dyDescent="0.25">
      <c r="A246" s="113">
        <v>111</v>
      </c>
      <c r="B246" s="113" t="s">
        <v>109</v>
      </c>
      <c r="C246" s="114"/>
      <c r="D246" s="113"/>
      <c r="E246" s="113"/>
      <c r="F246" s="115"/>
      <c r="G246" s="116"/>
      <c r="H246" s="116" t="s">
        <v>553</v>
      </c>
      <c r="I246" s="117"/>
      <c r="J246" s="116"/>
      <c r="K246" s="116"/>
      <c r="L246" s="118"/>
      <c r="M246" s="118"/>
      <c r="N246" s="119"/>
      <c r="O246" s="119"/>
      <c r="P246" s="120"/>
      <c r="Q246" s="114" t="s">
        <v>29</v>
      </c>
      <c r="R246" s="114" t="s">
        <v>18</v>
      </c>
      <c r="S246" s="114" t="str">
        <f t="shared" si="61"/>
        <v>C</v>
      </c>
      <c r="T246" s="121">
        <v>1</v>
      </c>
      <c r="U246" s="121">
        <v>1</v>
      </c>
      <c r="V246" s="121">
        <v>1</v>
      </c>
      <c r="W246" s="121">
        <f t="shared" si="59"/>
        <v>3</v>
      </c>
      <c r="X246" s="121" t="str">
        <f t="shared" si="60"/>
        <v>Biasa</v>
      </c>
      <c r="Y246" s="115"/>
      <c r="Z246" s="115"/>
      <c r="AA246" s="119"/>
      <c r="AB246" s="119"/>
      <c r="AC246" s="119"/>
      <c r="AD246" s="26" t="s">
        <v>18</v>
      </c>
      <c r="AE246" s="122">
        <v>43564</v>
      </c>
      <c r="AF246" s="114" t="s">
        <v>274</v>
      </c>
      <c r="AG246" s="114"/>
      <c r="AH246" s="26"/>
      <c r="AI246" s="26"/>
      <c r="AJ246" s="26"/>
      <c r="AK246" s="26"/>
      <c r="AL246" s="26"/>
      <c r="AM246" s="26"/>
      <c r="AN246" s="26"/>
      <c r="AO246" s="123"/>
      <c r="AP246" s="4"/>
      <c r="AQ246" s="4"/>
      <c r="AR246" s="4"/>
      <c r="AS246" s="4"/>
      <c r="AT246" s="4"/>
    </row>
    <row r="247" spans="1:46" s="124" customFormat="1" ht="111.95" customHeight="1" x14ac:dyDescent="0.25">
      <c r="A247" s="113">
        <v>112</v>
      </c>
      <c r="B247" s="113" t="s">
        <v>109</v>
      </c>
      <c r="C247" s="114" t="s">
        <v>391</v>
      </c>
      <c r="D247" s="113">
        <v>9</v>
      </c>
      <c r="E247" s="113" t="s">
        <v>121</v>
      </c>
      <c r="F247" s="115" t="s">
        <v>554</v>
      </c>
      <c r="G247" s="116" t="s">
        <v>312</v>
      </c>
      <c r="H247" s="116" t="s">
        <v>555</v>
      </c>
      <c r="I247" s="117" t="s">
        <v>113</v>
      </c>
      <c r="J247" s="116" t="s">
        <v>556</v>
      </c>
      <c r="K247" s="116" t="s">
        <v>557</v>
      </c>
      <c r="L247" s="118" t="s">
        <v>359</v>
      </c>
      <c r="M247" s="118"/>
      <c r="N247" s="119">
        <v>43647</v>
      </c>
      <c r="O247" s="119">
        <v>44742</v>
      </c>
      <c r="P247" s="120">
        <f t="shared" ref="P247:P256" si="64">(O247-N247)/365</f>
        <v>3</v>
      </c>
      <c r="Q247" s="114" t="s">
        <v>29</v>
      </c>
      <c r="R247" s="114">
        <f t="shared" ref="R247:R255" ca="1" si="65">(O247-NOW()+1)/31</f>
        <v>-3.5357829786439505</v>
      </c>
      <c r="S247" s="114" t="str">
        <f t="shared" ca="1" si="61"/>
        <v>Y</v>
      </c>
      <c r="T247" s="121">
        <v>1</v>
      </c>
      <c r="U247" s="121">
        <v>1</v>
      </c>
      <c r="V247" s="121">
        <v>1</v>
      </c>
      <c r="W247" s="121">
        <f t="shared" si="59"/>
        <v>3</v>
      </c>
      <c r="X247" s="121" t="str">
        <f t="shared" si="60"/>
        <v>Biasa</v>
      </c>
      <c r="Y247" s="115" t="s">
        <v>364</v>
      </c>
      <c r="Z247" s="114" t="s">
        <v>119</v>
      </c>
      <c r="AA247" s="119">
        <f>N247+270</f>
        <v>43917</v>
      </c>
      <c r="AB247" s="119">
        <f>+N247+635</f>
        <v>44282</v>
      </c>
      <c r="AC247" s="119">
        <f>+N247+1000</f>
        <v>44647</v>
      </c>
      <c r="AD247" s="26"/>
      <c r="AE247" s="122"/>
      <c r="AF247" s="114" t="s">
        <v>274</v>
      </c>
      <c r="AG247" s="114" t="s">
        <v>119</v>
      </c>
      <c r="AH247" s="26"/>
      <c r="AI247" s="26"/>
      <c r="AJ247" s="26"/>
      <c r="AK247" s="26"/>
      <c r="AL247" s="26"/>
      <c r="AM247" s="26"/>
      <c r="AN247" s="34" t="s">
        <v>365</v>
      </c>
      <c r="AO247" s="123"/>
      <c r="AP247" s="4"/>
      <c r="AQ247" s="4"/>
      <c r="AR247" s="4"/>
      <c r="AS247" s="4"/>
      <c r="AT247" s="4"/>
    </row>
    <row r="248" spans="1:46" s="124" customFormat="1" ht="111.95" customHeight="1" x14ac:dyDescent="0.25">
      <c r="A248" s="113">
        <v>113</v>
      </c>
      <c r="B248" s="113" t="s">
        <v>109</v>
      </c>
      <c r="C248" s="114" t="s">
        <v>391</v>
      </c>
      <c r="D248" s="113">
        <v>13</v>
      </c>
      <c r="E248" s="113" t="s">
        <v>121</v>
      </c>
      <c r="F248" s="115" t="s">
        <v>558</v>
      </c>
      <c r="G248" s="116" t="s">
        <v>559</v>
      </c>
      <c r="H248" s="116" t="s">
        <v>560</v>
      </c>
      <c r="I248" s="117" t="s">
        <v>113</v>
      </c>
      <c r="J248" s="116" t="s">
        <v>561</v>
      </c>
      <c r="K248" s="116" t="s">
        <v>562</v>
      </c>
      <c r="L248" s="118">
        <v>5000000</v>
      </c>
      <c r="M248" s="118" t="s">
        <v>143</v>
      </c>
      <c r="N248" s="119">
        <v>44470</v>
      </c>
      <c r="O248" s="119">
        <v>46295</v>
      </c>
      <c r="P248" s="120">
        <f t="shared" si="64"/>
        <v>5</v>
      </c>
      <c r="Q248" s="114" t="s">
        <v>29</v>
      </c>
      <c r="R248" s="114">
        <f t="shared" ca="1" si="65"/>
        <v>46.560991214904433</v>
      </c>
      <c r="S248" s="114" t="str">
        <f t="shared" ref="S248:S249" ca="1" si="66">IF(R248="End","Z",IF(R248="Cancel","C",IF(SUM(R248)&gt;0,"O",IF(ISBLANK(R248),"X",IF(SUM(R248)&lt;0,"Y",IF(SUM(R248),"-","O"))))))</f>
        <v>O</v>
      </c>
      <c r="T248" s="121">
        <v>1</v>
      </c>
      <c r="U248" s="121">
        <v>1</v>
      </c>
      <c r="V248" s="121">
        <v>1</v>
      </c>
      <c r="W248" s="121">
        <f t="shared" si="59"/>
        <v>3</v>
      </c>
      <c r="X248" s="121" t="str">
        <f t="shared" si="60"/>
        <v>Biasa</v>
      </c>
      <c r="Y248" s="115"/>
      <c r="Z248" s="114" t="s">
        <v>119</v>
      </c>
      <c r="AA248" s="119">
        <f>N248+270</f>
        <v>44740</v>
      </c>
      <c r="AB248" s="119">
        <f>+N248+635</f>
        <v>45105</v>
      </c>
      <c r="AC248" s="119">
        <f>+N248+1000</f>
        <v>45470</v>
      </c>
      <c r="AD248" s="26" t="s">
        <v>125</v>
      </c>
      <c r="AE248" s="122">
        <v>44470</v>
      </c>
      <c r="AF248" s="114" t="s">
        <v>274</v>
      </c>
      <c r="AG248" s="114" t="s">
        <v>119</v>
      </c>
      <c r="AH248" s="26"/>
      <c r="AI248" s="26"/>
      <c r="AJ248" s="26"/>
      <c r="AK248" s="26"/>
      <c r="AL248" s="26"/>
      <c r="AM248" s="26"/>
      <c r="AN248" s="34" t="s">
        <v>126</v>
      </c>
      <c r="AO248" s="123"/>
      <c r="AP248" s="4"/>
      <c r="AQ248" s="4"/>
      <c r="AR248" s="4"/>
      <c r="AS248" s="4"/>
      <c r="AT248" s="4"/>
    </row>
    <row r="249" spans="1:46" s="124" customFormat="1" ht="111.95" customHeight="1" x14ac:dyDescent="0.25">
      <c r="A249" s="113">
        <v>114</v>
      </c>
      <c r="B249" s="113" t="s">
        <v>109</v>
      </c>
      <c r="C249" s="114" t="s">
        <v>391</v>
      </c>
      <c r="D249" s="113">
        <v>45</v>
      </c>
      <c r="E249" s="113" t="s">
        <v>121</v>
      </c>
      <c r="F249" s="115" t="s">
        <v>563</v>
      </c>
      <c r="G249" s="116" t="s">
        <v>564</v>
      </c>
      <c r="H249" s="116" t="s">
        <v>560</v>
      </c>
      <c r="I249" s="117" t="s">
        <v>113</v>
      </c>
      <c r="J249" s="116" t="s">
        <v>565</v>
      </c>
      <c r="K249" s="116" t="s">
        <v>562</v>
      </c>
      <c r="L249" s="118">
        <v>4800000</v>
      </c>
      <c r="M249" s="118" t="s">
        <v>124</v>
      </c>
      <c r="N249" s="119">
        <v>44470</v>
      </c>
      <c r="O249" s="119">
        <v>44834</v>
      </c>
      <c r="P249" s="120">
        <f t="shared" si="64"/>
        <v>0.99726027397260275</v>
      </c>
      <c r="Q249" s="114" t="s">
        <v>29</v>
      </c>
      <c r="R249" s="114">
        <f t="shared" ca="1" si="65"/>
        <v>-0.56804104316007953</v>
      </c>
      <c r="S249" s="114" t="str">
        <f t="shared" ca="1" si="66"/>
        <v>Y</v>
      </c>
      <c r="T249" s="121">
        <v>1</v>
      </c>
      <c r="U249" s="121">
        <v>1</v>
      </c>
      <c r="V249" s="121">
        <v>1</v>
      </c>
      <c r="W249" s="121">
        <f t="shared" si="59"/>
        <v>3</v>
      </c>
      <c r="X249" s="121" t="str">
        <f t="shared" si="60"/>
        <v>Biasa</v>
      </c>
      <c r="Y249" s="115"/>
      <c r="Z249" s="125"/>
      <c r="AA249" s="119"/>
      <c r="AB249" s="119"/>
      <c r="AC249" s="119"/>
      <c r="AD249" s="26" t="s">
        <v>125</v>
      </c>
      <c r="AE249" s="122">
        <v>44470</v>
      </c>
      <c r="AF249" s="114" t="s">
        <v>274</v>
      </c>
      <c r="AG249" s="114" t="s">
        <v>119</v>
      </c>
      <c r="AH249" s="26"/>
      <c r="AI249" s="26"/>
      <c r="AJ249" s="26"/>
      <c r="AK249" s="26"/>
      <c r="AL249" s="26"/>
      <c r="AM249" s="26"/>
      <c r="AN249" s="34" t="s">
        <v>126</v>
      </c>
      <c r="AO249" s="123"/>
      <c r="AP249" s="4"/>
      <c r="AQ249" s="4"/>
      <c r="AR249" s="4"/>
      <c r="AS249" s="4"/>
      <c r="AT249" s="4"/>
    </row>
    <row r="250" spans="1:46" s="124" customFormat="1" ht="111.95" customHeight="1" x14ac:dyDescent="0.25">
      <c r="A250" s="113">
        <v>115</v>
      </c>
      <c r="B250" s="113" t="s">
        <v>109</v>
      </c>
      <c r="C250" s="114" t="s">
        <v>391</v>
      </c>
      <c r="D250" s="113">
        <v>42</v>
      </c>
      <c r="E250" s="113" t="s">
        <v>121</v>
      </c>
      <c r="F250" s="115" t="s">
        <v>566</v>
      </c>
      <c r="G250" s="116" t="s">
        <v>300</v>
      </c>
      <c r="H250" s="116" t="s">
        <v>567</v>
      </c>
      <c r="I250" s="117" t="s">
        <v>113</v>
      </c>
      <c r="J250" s="116" t="s">
        <v>568</v>
      </c>
      <c r="K250" s="116" t="s">
        <v>569</v>
      </c>
      <c r="L250" s="118">
        <v>1100000</v>
      </c>
      <c r="M250" s="118" t="s">
        <v>143</v>
      </c>
      <c r="N250" s="119">
        <v>44440</v>
      </c>
      <c r="O250" s="119">
        <v>44804</v>
      </c>
      <c r="P250" s="120">
        <f t="shared" si="64"/>
        <v>0.99726027397260275</v>
      </c>
      <c r="Q250" s="114" t="s">
        <v>29</v>
      </c>
      <c r="R250" s="114">
        <f t="shared" ca="1" si="65"/>
        <v>-1.5357829786439505</v>
      </c>
      <c r="S250" s="114" t="str">
        <f t="shared" ref="S250" ca="1" si="67">IF(R250="End","Z",IF(R250="Cancel","C",IF(SUM(R250)&gt;0,"O",IF(ISBLANK(R250),"X",IF(SUM(R250)&lt;0,"Y",IF(SUM(R250),"-","O"))))))</f>
        <v>Y</v>
      </c>
      <c r="T250" s="121">
        <v>1</v>
      </c>
      <c r="U250" s="121">
        <v>1</v>
      </c>
      <c r="V250" s="121">
        <v>1</v>
      </c>
      <c r="W250" s="121">
        <f t="shared" si="59"/>
        <v>3</v>
      </c>
      <c r="X250" s="121" t="str">
        <f t="shared" si="60"/>
        <v>Biasa</v>
      </c>
      <c r="Y250" s="115"/>
      <c r="Z250" s="125"/>
      <c r="AA250" s="119"/>
      <c r="AB250" s="119"/>
      <c r="AC250" s="119"/>
      <c r="AD250" s="26" t="s">
        <v>125</v>
      </c>
      <c r="AE250" s="122">
        <v>44501</v>
      </c>
      <c r="AF250" s="114" t="s">
        <v>274</v>
      </c>
      <c r="AG250" s="114" t="s">
        <v>119</v>
      </c>
      <c r="AH250" s="26"/>
      <c r="AI250" s="26"/>
      <c r="AJ250" s="26"/>
      <c r="AK250" s="26"/>
      <c r="AL250" s="26"/>
      <c r="AM250" s="26"/>
      <c r="AN250" s="34" t="s">
        <v>126</v>
      </c>
      <c r="AO250" s="123"/>
      <c r="AP250" s="4"/>
      <c r="AQ250" s="4"/>
      <c r="AR250" s="4"/>
      <c r="AS250" s="4"/>
      <c r="AT250" s="4"/>
    </row>
    <row r="251" spans="1:46" s="124" customFormat="1" ht="111.95" customHeight="1" x14ac:dyDescent="0.25">
      <c r="A251" s="113">
        <v>116</v>
      </c>
      <c r="B251" s="113"/>
      <c r="C251" s="114"/>
      <c r="D251" s="113"/>
      <c r="E251" s="113"/>
      <c r="F251" s="115" t="s">
        <v>570</v>
      </c>
      <c r="G251" s="116" t="s">
        <v>559</v>
      </c>
      <c r="H251" s="116" t="s">
        <v>571</v>
      </c>
      <c r="I251" s="117" t="s">
        <v>113</v>
      </c>
      <c r="J251" s="116" t="s">
        <v>572</v>
      </c>
      <c r="K251" s="116" t="s">
        <v>573</v>
      </c>
      <c r="L251" s="118">
        <v>3000000</v>
      </c>
      <c r="M251" s="118" t="s">
        <v>143</v>
      </c>
      <c r="N251" s="119">
        <v>44075</v>
      </c>
      <c r="O251" s="119">
        <v>44439</v>
      </c>
      <c r="P251" s="120">
        <f t="shared" si="64"/>
        <v>0.99726027397260275</v>
      </c>
      <c r="Q251" s="114" t="s">
        <v>29</v>
      </c>
      <c r="R251" s="114" t="s">
        <v>117</v>
      </c>
      <c r="S251" s="114" t="str">
        <f t="shared" si="61"/>
        <v>Z</v>
      </c>
      <c r="T251" s="121">
        <v>1</v>
      </c>
      <c r="U251" s="121">
        <v>1</v>
      </c>
      <c r="V251" s="121">
        <v>1</v>
      </c>
      <c r="W251" s="121">
        <f t="shared" si="59"/>
        <v>3</v>
      </c>
      <c r="X251" s="121" t="str">
        <f t="shared" si="60"/>
        <v>Biasa</v>
      </c>
      <c r="Y251" s="115"/>
      <c r="Z251" s="115"/>
      <c r="AA251" s="119"/>
      <c r="AB251" s="119"/>
      <c r="AC251" s="119"/>
      <c r="AD251" s="26" t="s">
        <v>16</v>
      </c>
      <c r="AE251" s="122">
        <v>44409</v>
      </c>
      <c r="AF251" s="114" t="s">
        <v>274</v>
      </c>
      <c r="AG251" s="114" t="s">
        <v>119</v>
      </c>
      <c r="AH251" s="26"/>
      <c r="AI251" s="26"/>
      <c r="AJ251" s="26"/>
      <c r="AK251" s="26"/>
      <c r="AL251" s="26"/>
      <c r="AM251" s="26"/>
      <c r="AN251" s="26"/>
      <c r="AO251" s="123"/>
      <c r="AP251" s="4"/>
      <c r="AQ251" s="4"/>
      <c r="AR251" s="4"/>
      <c r="AS251" s="4"/>
      <c r="AT251" s="4"/>
    </row>
    <row r="252" spans="1:46" s="124" customFormat="1" ht="111.95" customHeight="1" x14ac:dyDescent="0.25">
      <c r="A252" s="113">
        <v>117</v>
      </c>
      <c r="B252" s="113"/>
      <c r="C252" s="114"/>
      <c r="D252" s="113"/>
      <c r="E252" s="113"/>
      <c r="F252" s="115" t="s">
        <v>574</v>
      </c>
      <c r="G252" s="116" t="s">
        <v>575</v>
      </c>
      <c r="H252" s="116" t="s">
        <v>560</v>
      </c>
      <c r="I252" s="117" t="s">
        <v>113</v>
      </c>
      <c r="J252" s="116" t="s">
        <v>576</v>
      </c>
      <c r="K252" s="116" t="s">
        <v>562</v>
      </c>
      <c r="L252" s="118">
        <v>1100000</v>
      </c>
      <c r="M252" s="118" t="s">
        <v>143</v>
      </c>
      <c r="N252" s="119">
        <v>44253</v>
      </c>
      <c r="O252" s="119">
        <v>44433</v>
      </c>
      <c r="P252" s="120">
        <f t="shared" si="64"/>
        <v>0.49315068493150682</v>
      </c>
      <c r="Q252" s="114" t="s">
        <v>29</v>
      </c>
      <c r="R252" s="114" t="s">
        <v>117</v>
      </c>
      <c r="S252" s="114" t="str">
        <f t="shared" si="61"/>
        <v>Z</v>
      </c>
      <c r="T252" s="121">
        <v>1</v>
      </c>
      <c r="U252" s="121">
        <v>1</v>
      </c>
      <c r="V252" s="121">
        <v>1</v>
      </c>
      <c r="W252" s="121">
        <f t="shared" si="59"/>
        <v>3</v>
      </c>
      <c r="X252" s="121" t="str">
        <f t="shared" si="60"/>
        <v>Biasa</v>
      </c>
      <c r="Y252" s="115"/>
      <c r="Z252" s="115"/>
      <c r="AA252" s="119"/>
      <c r="AB252" s="119"/>
      <c r="AC252" s="119"/>
      <c r="AD252" s="26"/>
      <c r="AE252" s="122"/>
      <c r="AF252" s="114" t="s">
        <v>274</v>
      </c>
      <c r="AG252" s="114" t="s">
        <v>119</v>
      </c>
      <c r="AH252" s="26"/>
      <c r="AI252" s="26"/>
      <c r="AJ252" s="26"/>
      <c r="AK252" s="26"/>
      <c r="AL252" s="26"/>
      <c r="AM252" s="26"/>
      <c r="AN252" s="26"/>
      <c r="AO252" s="123"/>
      <c r="AP252" s="4"/>
      <c r="AQ252" s="4"/>
      <c r="AR252" s="4"/>
      <c r="AS252" s="4"/>
      <c r="AT252" s="4"/>
    </row>
    <row r="253" spans="1:46" s="124" customFormat="1" ht="111.95" customHeight="1" x14ac:dyDescent="0.25">
      <c r="A253" s="113">
        <v>118</v>
      </c>
      <c r="B253" s="113" t="s">
        <v>109</v>
      </c>
      <c r="C253" s="114" t="s">
        <v>290</v>
      </c>
      <c r="D253" s="113">
        <v>9</v>
      </c>
      <c r="E253" s="113" t="s">
        <v>291</v>
      </c>
      <c r="F253" s="115" t="s">
        <v>577</v>
      </c>
      <c r="G253" s="116" t="s">
        <v>312</v>
      </c>
      <c r="H253" s="116" t="s">
        <v>578</v>
      </c>
      <c r="I253" s="117" t="s">
        <v>113</v>
      </c>
      <c r="J253" s="116" t="s">
        <v>579</v>
      </c>
      <c r="K253" s="116" t="s">
        <v>580</v>
      </c>
      <c r="L253" s="118" t="s">
        <v>581</v>
      </c>
      <c r="M253" s="118" t="s">
        <v>582</v>
      </c>
      <c r="N253" s="119">
        <v>44210</v>
      </c>
      <c r="O253" s="119">
        <v>44575</v>
      </c>
      <c r="P253" s="120">
        <f t="shared" si="64"/>
        <v>1</v>
      </c>
      <c r="Q253" s="114" t="s">
        <v>29</v>
      </c>
      <c r="R253" s="114" t="s">
        <v>117</v>
      </c>
      <c r="S253" s="114" t="str">
        <f t="shared" si="61"/>
        <v>Z</v>
      </c>
      <c r="T253" s="121">
        <v>1</v>
      </c>
      <c r="U253" s="121">
        <v>1</v>
      </c>
      <c r="V253" s="121">
        <v>1</v>
      </c>
      <c r="W253" s="121">
        <f t="shared" si="59"/>
        <v>3</v>
      </c>
      <c r="X253" s="121" t="str">
        <f t="shared" si="60"/>
        <v>Biasa</v>
      </c>
      <c r="Y253" s="115" t="s">
        <v>583</v>
      </c>
      <c r="Z253" s="114"/>
      <c r="AA253" s="119"/>
      <c r="AB253" s="119"/>
      <c r="AC253" s="119"/>
      <c r="AD253" s="26" t="s">
        <v>16</v>
      </c>
      <c r="AE253" s="122">
        <v>44576</v>
      </c>
      <c r="AF253" s="114" t="s">
        <v>274</v>
      </c>
      <c r="AG253" s="114" t="s">
        <v>119</v>
      </c>
      <c r="AH253" s="26"/>
      <c r="AI253" s="26"/>
      <c r="AJ253" s="26"/>
      <c r="AK253" s="26"/>
      <c r="AL253" s="26"/>
      <c r="AM253" s="26"/>
      <c r="AN253" s="26"/>
      <c r="AO253" s="123"/>
      <c r="AP253" s="4"/>
      <c r="AQ253" s="4"/>
      <c r="AR253" s="4"/>
      <c r="AS253" s="4"/>
      <c r="AT253" s="4"/>
    </row>
    <row r="254" spans="1:46" s="124" customFormat="1" ht="111.95" customHeight="1" x14ac:dyDescent="0.25">
      <c r="A254" s="113"/>
      <c r="B254" s="113" t="s">
        <v>109</v>
      </c>
      <c r="C254" s="114" t="s">
        <v>290</v>
      </c>
      <c r="D254" s="113">
        <v>9</v>
      </c>
      <c r="E254" s="113" t="s">
        <v>291</v>
      </c>
      <c r="F254" s="115" t="s">
        <v>584</v>
      </c>
      <c r="G254" s="116" t="s">
        <v>312</v>
      </c>
      <c r="H254" s="116" t="s">
        <v>585</v>
      </c>
      <c r="I254" s="117" t="s">
        <v>113</v>
      </c>
      <c r="J254" s="116" t="s">
        <v>586</v>
      </c>
      <c r="K254" s="116" t="s">
        <v>587</v>
      </c>
      <c r="L254" s="118">
        <v>126000000</v>
      </c>
      <c r="M254" s="118" t="s">
        <v>332</v>
      </c>
      <c r="N254" s="119">
        <v>44655</v>
      </c>
      <c r="O254" s="119">
        <v>45808</v>
      </c>
      <c r="P254" s="120">
        <f t="shared" si="64"/>
        <v>3.1589041095890411</v>
      </c>
      <c r="Q254" s="114" t="s">
        <v>29</v>
      </c>
      <c r="R254" s="114">
        <f t="shared" ref="R254" ca="1" si="68">(O254-NOW()+1)/31</f>
        <v>30.851313795549597</v>
      </c>
      <c r="S254" s="114" t="str">
        <f t="shared" ca="1" si="61"/>
        <v>O</v>
      </c>
      <c r="T254" s="121">
        <v>3</v>
      </c>
      <c r="U254" s="121">
        <v>3</v>
      </c>
      <c r="V254" s="121">
        <v>3</v>
      </c>
      <c r="W254" s="121">
        <f t="shared" si="59"/>
        <v>9</v>
      </c>
      <c r="X254" s="121" t="str">
        <f t="shared" si="60"/>
        <v>Penting</v>
      </c>
      <c r="Y254" s="115"/>
      <c r="Z254" s="114"/>
      <c r="AA254" s="119"/>
      <c r="AB254" s="119"/>
      <c r="AC254" s="119"/>
      <c r="AD254" s="26" t="s">
        <v>125</v>
      </c>
      <c r="AE254" s="122">
        <v>44655</v>
      </c>
      <c r="AF254" s="114" t="s">
        <v>274</v>
      </c>
      <c r="AG254" s="114" t="s">
        <v>119</v>
      </c>
      <c r="AH254" s="26"/>
      <c r="AI254" s="26"/>
      <c r="AJ254" s="26"/>
      <c r="AK254" s="26"/>
      <c r="AL254" s="26"/>
      <c r="AM254" s="26"/>
      <c r="AN254" s="34" t="s">
        <v>126</v>
      </c>
      <c r="AO254" s="123">
        <v>44658</v>
      </c>
      <c r="AP254" s="4"/>
      <c r="AQ254" s="4"/>
      <c r="AR254" s="4"/>
      <c r="AS254" s="4"/>
      <c r="AT254" s="4"/>
    </row>
    <row r="255" spans="1:46" s="124" customFormat="1" ht="111.95" customHeight="1" x14ac:dyDescent="0.25">
      <c r="A255" s="113">
        <v>119</v>
      </c>
      <c r="B255" s="113" t="s">
        <v>109</v>
      </c>
      <c r="C255" s="114" t="s">
        <v>120</v>
      </c>
      <c r="D255" s="113">
        <v>27</v>
      </c>
      <c r="E255" s="113" t="s">
        <v>121</v>
      </c>
      <c r="F255" s="115" t="s">
        <v>588</v>
      </c>
      <c r="G255" s="116" t="s">
        <v>589</v>
      </c>
      <c r="H255" s="116" t="s">
        <v>590</v>
      </c>
      <c r="I255" s="117" t="s">
        <v>113</v>
      </c>
      <c r="J255" s="116" t="s">
        <v>591</v>
      </c>
      <c r="K255" s="116" t="s">
        <v>592</v>
      </c>
      <c r="L255" s="118">
        <v>750000</v>
      </c>
      <c r="M255" s="118" t="s">
        <v>593</v>
      </c>
      <c r="N255" s="119">
        <v>44501</v>
      </c>
      <c r="O255" s="119">
        <v>44865</v>
      </c>
      <c r="P255" s="120">
        <f t="shared" si="64"/>
        <v>0.99726027397260275</v>
      </c>
      <c r="Q255" s="114" t="s">
        <v>29</v>
      </c>
      <c r="R255" s="114">
        <f t="shared" ca="1" si="65"/>
        <v>0.43195895683992047</v>
      </c>
      <c r="S255" s="114" t="str">
        <f t="shared" ca="1" si="61"/>
        <v>O</v>
      </c>
      <c r="T255" s="121">
        <v>3</v>
      </c>
      <c r="U255" s="121">
        <v>3</v>
      </c>
      <c r="V255" s="121">
        <v>3</v>
      </c>
      <c r="W255" s="121">
        <f t="shared" si="59"/>
        <v>9</v>
      </c>
      <c r="X255" s="121" t="str">
        <f t="shared" si="60"/>
        <v>Penting</v>
      </c>
      <c r="Y255" s="115"/>
      <c r="Z255" s="114"/>
      <c r="AA255" s="119"/>
      <c r="AB255" s="119"/>
      <c r="AC255" s="119"/>
      <c r="AD255" s="26" t="s">
        <v>125</v>
      </c>
      <c r="AE255" s="122">
        <v>44501</v>
      </c>
      <c r="AF255" s="114" t="s">
        <v>274</v>
      </c>
      <c r="AG255" s="114" t="s">
        <v>119</v>
      </c>
      <c r="AH255" s="26"/>
      <c r="AI255" s="26"/>
      <c r="AJ255" s="26"/>
      <c r="AK255" s="26"/>
      <c r="AL255" s="26"/>
      <c r="AM255" s="26"/>
      <c r="AN255" s="34" t="s">
        <v>126</v>
      </c>
      <c r="AO255" s="123"/>
      <c r="AP255" s="4"/>
      <c r="AQ255" s="4"/>
      <c r="AR255" s="4"/>
      <c r="AS255" s="4"/>
      <c r="AT255" s="4"/>
    </row>
    <row r="256" spans="1:46" s="124" customFormat="1" ht="111.95" customHeight="1" x14ac:dyDescent="0.25">
      <c r="A256" s="113">
        <v>120</v>
      </c>
      <c r="B256" s="113"/>
      <c r="C256" s="114"/>
      <c r="D256" s="113"/>
      <c r="E256" s="113"/>
      <c r="F256" s="115" t="s">
        <v>594</v>
      </c>
      <c r="G256" s="116" t="s">
        <v>589</v>
      </c>
      <c r="H256" s="116" t="s">
        <v>595</v>
      </c>
      <c r="I256" s="117" t="s">
        <v>113</v>
      </c>
      <c r="J256" s="116" t="s">
        <v>591</v>
      </c>
      <c r="K256" s="116" t="s">
        <v>596</v>
      </c>
      <c r="L256" s="118">
        <v>850000</v>
      </c>
      <c r="M256" s="118" t="s">
        <v>593</v>
      </c>
      <c r="N256" s="119">
        <v>43405</v>
      </c>
      <c r="O256" s="119">
        <v>43769</v>
      </c>
      <c r="P256" s="120">
        <f t="shared" si="64"/>
        <v>0.99726027397260275</v>
      </c>
      <c r="Q256" s="114" t="s">
        <v>29</v>
      </c>
      <c r="R256" s="114" t="s">
        <v>117</v>
      </c>
      <c r="S256" s="114" t="str">
        <f t="shared" si="61"/>
        <v>Z</v>
      </c>
      <c r="T256" s="121">
        <v>3</v>
      </c>
      <c r="U256" s="121">
        <v>3</v>
      </c>
      <c r="V256" s="121">
        <v>3</v>
      </c>
      <c r="W256" s="121">
        <f t="shared" si="59"/>
        <v>9</v>
      </c>
      <c r="X256" s="121" t="str">
        <f t="shared" si="60"/>
        <v>Penting</v>
      </c>
      <c r="Y256" s="115"/>
      <c r="Z256" s="115"/>
      <c r="AA256" s="119"/>
      <c r="AB256" s="119"/>
      <c r="AC256" s="119"/>
      <c r="AD256" s="26" t="s">
        <v>16</v>
      </c>
      <c r="AE256" s="122">
        <v>43769</v>
      </c>
      <c r="AF256" s="114" t="s">
        <v>274</v>
      </c>
      <c r="AG256" s="114" t="s">
        <v>119</v>
      </c>
      <c r="AH256" s="26"/>
      <c r="AI256" s="26"/>
      <c r="AJ256" s="26"/>
      <c r="AK256" s="26"/>
      <c r="AL256" s="26"/>
      <c r="AM256" s="26"/>
      <c r="AN256" s="26"/>
      <c r="AO256" s="123"/>
      <c r="AP256" s="4"/>
      <c r="AQ256" s="4"/>
      <c r="AR256" s="4"/>
      <c r="AS256" s="4"/>
      <c r="AT256" s="4"/>
    </row>
    <row r="257" spans="1:46" s="124" customFormat="1" ht="111.95" customHeight="1" x14ac:dyDescent="0.25">
      <c r="A257" s="113">
        <v>121</v>
      </c>
      <c r="B257" s="113"/>
      <c r="C257" s="114"/>
      <c r="D257" s="113"/>
      <c r="E257" s="113"/>
      <c r="F257" s="115"/>
      <c r="G257" s="116"/>
      <c r="H257" s="116" t="s">
        <v>597</v>
      </c>
      <c r="I257" s="117"/>
      <c r="J257" s="116"/>
      <c r="K257" s="116"/>
      <c r="L257" s="118"/>
      <c r="M257" s="118"/>
      <c r="N257" s="119"/>
      <c r="O257" s="119"/>
      <c r="P257" s="120"/>
      <c r="Q257" s="114" t="s">
        <v>29</v>
      </c>
      <c r="R257" s="114" t="s">
        <v>18</v>
      </c>
      <c r="S257" s="114" t="str">
        <f t="shared" si="61"/>
        <v>C</v>
      </c>
      <c r="T257" s="121">
        <v>1</v>
      </c>
      <c r="U257" s="121">
        <v>1</v>
      </c>
      <c r="V257" s="121">
        <v>2</v>
      </c>
      <c r="W257" s="121">
        <f t="shared" si="59"/>
        <v>4</v>
      </c>
      <c r="X257" s="121" t="str">
        <f t="shared" si="60"/>
        <v>Biasa</v>
      </c>
      <c r="Y257" s="115"/>
      <c r="Z257" s="115"/>
      <c r="AA257" s="119"/>
      <c r="AB257" s="119"/>
      <c r="AC257" s="119"/>
      <c r="AD257" s="26" t="s">
        <v>18</v>
      </c>
      <c r="AE257" s="122">
        <v>43800</v>
      </c>
      <c r="AF257" s="114" t="s">
        <v>274</v>
      </c>
      <c r="AG257" s="114"/>
      <c r="AH257" s="26"/>
      <c r="AI257" s="26"/>
      <c r="AJ257" s="26"/>
      <c r="AK257" s="26"/>
      <c r="AL257" s="26"/>
      <c r="AM257" s="26"/>
      <c r="AN257" s="26"/>
      <c r="AO257" s="123"/>
      <c r="AP257" s="4"/>
      <c r="AQ257" s="4"/>
      <c r="AR257" s="4"/>
      <c r="AS257" s="4"/>
      <c r="AT257" s="4"/>
    </row>
    <row r="258" spans="1:46" s="124" customFormat="1" ht="111.95" customHeight="1" x14ac:dyDescent="0.25">
      <c r="A258" s="113">
        <v>122</v>
      </c>
      <c r="B258" s="113" t="s">
        <v>109</v>
      </c>
      <c r="C258" s="114" t="s">
        <v>391</v>
      </c>
      <c r="D258" s="113">
        <v>41</v>
      </c>
      <c r="E258" s="113" t="s">
        <v>121</v>
      </c>
      <c r="F258" s="115" t="s">
        <v>598</v>
      </c>
      <c r="G258" s="116" t="s">
        <v>599</v>
      </c>
      <c r="H258" s="116" t="s">
        <v>600</v>
      </c>
      <c r="I258" s="117" t="s">
        <v>113</v>
      </c>
      <c r="J258" s="116" t="s">
        <v>601</v>
      </c>
      <c r="K258" s="116" t="s">
        <v>602</v>
      </c>
      <c r="L258" s="118">
        <v>8500</v>
      </c>
      <c r="M258" s="118" t="s">
        <v>603</v>
      </c>
      <c r="N258" s="119">
        <v>44531</v>
      </c>
      <c r="O258" s="119">
        <v>45626</v>
      </c>
      <c r="P258" s="120">
        <f t="shared" ref="P258:P272" si="69">(O258-N258)/365</f>
        <v>3</v>
      </c>
      <c r="Q258" s="114" t="s">
        <v>29</v>
      </c>
      <c r="R258" s="114">
        <f t="shared" ref="R258:R263" ca="1" si="70">(O258-NOW()+1)/31</f>
        <v>24.980346053614113</v>
      </c>
      <c r="S258" s="114" t="str">
        <f t="shared" ca="1" si="61"/>
        <v>O</v>
      </c>
      <c r="T258" s="121">
        <v>1</v>
      </c>
      <c r="U258" s="121">
        <v>1</v>
      </c>
      <c r="V258" s="121">
        <v>2</v>
      </c>
      <c r="W258" s="121">
        <f t="shared" si="59"/>
        <v>4</v>
      </c>
      <c r="X258" s="121" t="str">
        <f t="shared" si="60"/>
        <v>Biasa</v>
      </c>
      <c r="Y258" s="115"/>
      <c r="Z258" s="114" t="s">
        <v>119</v>
      </c>
      <c r="AA258" s="119">
        <f>N258+270</f>
        <v>44801</v>
      </c>
      <c r="AB258" s="119">
        <f>+N258+635</f>
        <v>45166</v>
      </c>
      <c r="AC258" s="119"/>
      <c r="AD258" s="26" t="s">
        <v>125</v>
      </c>
      <c r="AE258" s="122">
        <v>43787</v>
      </c>
      <c r="AF258" s="114" t="s">
        <v>274</v>
      </c>
      <c r="AG258" s="114" t="s">
        <v>119</v>
      </c>
      <c r="AH258" s="26"/>
      <c r="AI258" s="26"/>
      <c r="AJ258" s="26"/>
      <c r="AK258" s="26"/>
      <c r="AL258" s="26"/>
      <c r="AM258" s="26"/>
      <c r="AN258" s="34" t="s">
        <v>126</v>
      </c>
      <c r="AO258" s="123"/>
      <c r="AP258" s="4"/>
      <c r="AQ258" s="4"/>
      <c r="AR258" s="4"/>
      <c r="AS258" s="4"/>
      <c r="AT258" s="4"/>
    </row>
    <row r="259" spans="1:46" s="124" customFormat="1" ht="111.95" customHeight="1" x14ac:dyDescent="0.25">
      <c r="A259" s="113">
        <v>123</v>
      </c>
      <c r="B259" s="113" t="s">
        <v>109</v>
      </c>
      <c r="C259" s="114" t="s">
        <v>120</v>
      </c>
      <c r="D259" s="113">
        <v>23</v>
      </c>
      <c r="E259" s="113" t="s">
        <v>121</v>
      </c>
      <c r="F259" s="115" t="s">
        <v>604</v>
      </c>
      <c r="G259" s="116" t="s">
        <v>312</v>
      </c>
      <c r="H259" s="116" t="s">
        <v>605</v>
      </c>
      <c r="I259" s="117" t="s">
        <v>113</v>
      </c>
      <c r="J259" s="116" t="s">
        <v>606</v>
      </c>
      <c r="K259" s="116" t="s">
        <v>607</v>
      </c>
      <c r="L259" s="118" t="s">
        <v>359</v>
      </c>
      <c r="M259" s="118"/>
      <c r="N259" s="119">
        <v>44531</v>
      </c>
      <c r="O259" s="119">
        <v>44895</v>
      </c>
      <c r="P259" s="120">
        <f>(O259-N259)/365</f>
        <v>0.99726027397260275</v>
      </c>
      <c r="Q259" s="114" t="s">
        <v>29</v>
      </c>
      <c r="R259" s="114">
        <f t="shared" ca="1" si="70"/>
        <v>1.3997008923237915</v>
      </c>
      <c r="S259" s="114" t="str">
        <f t="shared" ca="1" si="61"/>
        <v>O</v>
      </c>
      <c r="T259" s="121">
        <v>1</v>
      </c>
      <c r="U259" s="121">
        <v>1</v>
      </c>
      <c r="V259" s="121">
        <v>2</v>
      </c>
      <c r="W259" s="121">
        <f t="shared" si="59"/>
        <v>4</v>
      </c>
      <c r="X259" s="121" t="str">
        <f t="shared" si="60"/>
        <v>Biasa</v>
      </c>
      <c r="Y259" s="115"/>
      <c r="Z259" s="114"/>
      <c r="AA259" s="119"/>
      <c r="AB259" s="119"/>
      <c r="AC259" s="119"/>
      <c r="AD259" s="26" t="s">
        <v>125</v>
      </c>
      <c r="AE259" s="122">
        <v>44562</v>
      </c>
      <c r="AF259" s="114" t="s">
        <v>274</v>
      </c>
      <c r="AG259" s="114" t="s">
        <v>119</v>
      </c>
      <c r="AH259" s="26"/>
      <c r="AI259" s="26"/>
      <c r="AJ259" s="26"/>
      <c r="AK259" s="26"/>
      <c r="AL259" s="26"/>
      <c r="AM259" s="26"/>
      <c r="AN259" s="34" t="s">
        <v>126</v>
      </c>
      <c r="AO259" s="123"/>
      <c r="AP259" s="4"/>
      <c r="AQ259" s="4"/>
      <c r="AR259" s="4"/>
      <c r="AS259" s="4"/>
      <c r="AT259" s="4"/>
    </row>
    <row r="260" spans="1:46" s="124" customFormat="1" ht="111.95" customHeight="1" x14ac:dyDescent="0.25">
      <c r="A260" s="113">
        <v>124</v>
      </c>
      <c r="B260" s="113" t="s">
        <v>109</v>
      </c>
      <c r="C260" s="114" t="s">
        <v>441</v>
      </c>
      <c r="D260" s="113">
        <v>38</v>
      </c>
      <c r="E260" s="113" t="s">
        <v>121</v>
      </c>
      <c r="F260" s="115" t="s">
        <v>608</v>
      </c>
      <c r="G260" s="116" t="s">
        <v>312</v>
      </c>
      <c r="H260" s="116" t="s">
        <v>578</v>
      </c>
      <c r="I260" s="117" t="s">
        <v>113</v>
      </c>
      <c r="J260" s="116" t="s">
        <v>609</v>
      </c>
      <c r="K260" s="116" t="s">
        <v>580</v>
      </c>
      <c r="L260" s="118" t="s">
        <v>269</v>
      </c>
      <c r="M260" s="118"/>
      <c r="N260" s="119">
        <v>44531</v>
      </c>
      <c r="O260" s="119">
        <v>44895</v>
      </c>
      <c r="P260" s="120">
        <f>(O260-N260)/365</f>
        <v>0.99726027397260275</v>
      </c>
      <c r="Q260" s="114" t="s">
        <v>29</v>
      </c>
      <c r="R260" s="114">
        <f t="shared" ca="1" si="70"/>
        <v>1.3997008923237915</v>
      </c>
      <c r="S260" s="114" t="str">
        <f t="shared" ca="1" si="61"/>
        <v>O</v>
      </c>
      <c r="T260" s="121">
        <v>1</v>
      </c>
      <c r="U260" s="121">
        <v>1</v>
      </c>
      <c r="V260" s="121">
        <v>2</v>
      </c>
      <c r="W260" s="121">
        <f t="shared" si="59"/>
        <v>4</v>
      </c>
      <c r="X260" s="121" t="str">
        <f t="shared" si="60"/>
        <v>Biasa</v>
      </c>
      <c r="Y260" s="115"/>
      <c r="Z260" s="114"/>
      <c r="AA260" s="119"/>
      <c r="AB260" s="119"/>
      <c r="AC260" s="119"/>
      <c r="AD260" s="26" t="s">
        <v>125</v>
      </c>
      <c r="AE260" s="122">
        <v>44562</v>
      </c>
      <c r="AF260" s="114" t="s">
        <v>274</v>
      </c>
      <c r="AG260" s="114" t="s">
        <v>119</v>
      </c>
      <c r="AH260" s="26"/>
      <c r="AI260" s="26"/>
      <c r="AJ260" s="26"/>
      <c r="AK260" s="26"/>
      <c r="AL260" s="26"/>
      <c r="AM260" s="26"/>
      <c r="AN260" s="34" t="s">
        <v>126</v>
      </c>
      <c r="AO260" s="123"/>
      <c r="AP260" s="4"/>
      <c r="AQ260" s="4"/>
      <c r="AR260" s="4"/>
      <c r="AS260" s="4"/>
      <c r="AT260" s="4"/>
    </row>
    <row r="261" spans="1:46" s="124" customFormat="1" ht="111.95" customHeight="1" x14ac:dyDescent="0.25">
      <c r="A261" s="113">
        <v>125</v>
      </c>
      <c r="B261" s="113" t="s">
        <v>109</v>
      </c>
      <c r="C261" s="114" t="s">
        <v>441</v>
      </c>
      <c r="D261" s="113">
        <v>40</v>
      </c>
      <c r="E261" s="113" t="s">
        <v>121</v>
      </c>
      <c r="F261" s="115" t="s">
        <v>610</v>
      </c>
      <c r="G261" s="116" t="s">
        <v>312</v>
      </c>
      <c r="H261" s="116" t="s">
        <v>611</v>
      </c>
      <c r="I261" s="117" t="s">
        <v>113</v>
      </c>
      <c r="J261" s="116" t="s">
        <v>612</v>
      </c>
      <c r="K261" s="116" t="s">
        <v>613</v>
      </c>
      <c r="L261" s="118" t="s">
        <v>269</v>
      </c>
      <c r="M261" s="118"/>
      <c r="N261" s="119">
        <v>44562</v>
      </c>
      <c r="O261" s="119">
        <v>44742</v>
      </c>
      <c r="P261" s="120">
        <f>(O261-N261)/365</f>
        <v>0.49315068493150682</v>
      </c>
      <c r="Q261" s="114" t="s">
        <v>29</v>
      </c>
      <c r="R261" s="114">
        <f t="shared" ca="1" si="70"/>
        <v>-3.5357829786439505</v>
      </c>
      <c r="S261" s="114" t="str">
        <f t="shared" ca="1" si="61"/>
        <v>Y</v>
      </c>
      <c r="T261" s="121">
        <v>1</v>
      </c>
      <c r="U261" s="121">
        <v>1</v>
      </c>
      <c r="V261" s="121">
        <v>2</v>
      </c>
      <c r="W261" s="121">
        <f t="shared" si="59"/>
        <v>4</v>
      </c>
      <c r="X261" s="121" t="str">
        <f t="shared" si="60"/>
        <v>Biasa</v>
      </c>
      <c r="Y261" s="115"/>
      <c r="Z261" s="114"/>
      <c r="AA261" s="119"/>
      <c r="AB261" s="119"/>
      <c r="AC261" s="119"/>
      <c r="AD261" s="26" t="s">
        <v>125</v>
      </c>
      <c r="AE261" s="122">
        <v>44586</v>
      </c>
      <c r="AF261" s="114" t="s">
        <v>274</v>
      </c>
      <c r="AG261" s="114" t="s">
        <v>119</v>
      </c>
      <c r="AH261" s="26"/>
      <c r="AI261" s="26"/>
      <c r="AJ261" s="26"/>
      <c r="AK261" s="26"/>
      <c r="AL261" s="26"/>
      <c r="AM261" s="26"/>
      <c r="AN261" s="34" t="s">
        <v>126</v>
      </c>
      <c r="AO261" s="123"/>
      <c r="AP261" s="4"/>
      <c r="AQ261" s="4"/>
      <c r="AR261" s="4"/>
      <c r="AS261" s="4"/>
      <c r="AT261" s="4"/>
    </row>
    <row r="262" spans="1:46" s="124" customFormat="1" ht="111.95" customHeight="1" x14ac:dyDescent="0.25">
      <c r="A262" s="113">
        <v>126</v>
      </c>
      <c r="B262" s="113" t="s">
        <v>109</v>
      </c>
      <c r="C262" s="114" t="s">
        <v>441</v>
      </c>
      <c r="D262" s="113">
        <v>42</v>
      </c>
      <c r="E262" s="113" t="s">
        <v>121</v>
      </c>
      <c r="F262" s="115" t="s">
        <v>614</v>
      </c>
      <c r="G262" s="116" t="s">
        <v>312</v>
      </c>
      <c r="H262" s="116" t="s">
        <v>615</v>
      </c>
      <c r="I262" s="117" t="s">
        <v>113</v>
      </c>
      <c r="J262" s="116" t="s">
        <v>612</v>
      </c>
      <c r="K262" s="116" t="s">
        <v>616</v>
      </c>
      <c r="L262" s="118" t="s">
        <v>269</v>
      </c>
      <c r="M262" s="118"/>
      <c r="N262" s="119">
        <v>44562</v>
      </c>
      <c r="O262" s="119">
        <v>44742</v>
      </c>
      <c r="P262" s="120">
        <f>(O262-N262)/365</f>
        <v>0.49315068493150682</v>
      </c>
      <c r="Q262" s="114" t="s">
        <v>29</v>
      </c>
      <c r="R262" s="114">
        <f t="shared" ca="1" si="70"/>
        <v>-3.5357829786439505</v>
      </c>
      <c r="S262" s="114" t="str">
        <f t="shared" ca="1" si="61"/>
        <v>Y</v>
      </c>
      <c r="T262" s="121">
        <v>1</v>
      </c>
      <c r="U262" s="121">
        <v>1</v>
      </c>
      <c r="V262" s="121">
        <v>2</v>
      </c>
      <c r="W262" s="121">
        <f t="shared" si="59"/>
        <v>4</v>
      </c>
      <c r="X262" s="121" t="str">
        <f t="shared" si="60"/>
        <v>Biasa</v>
      </c>
      <c r="Y262" s="115"/>
      <c r="Z262" s="114"/>
      <c r="AA262" s="119"/>
      <c r="AB262" s="119"/>
      <c r="AC262" s="119"/>
      <c r="AD262" s="26" t="s">
        <v>125</v>
      </c>
      <c r="AE262" s="122">
        <v>44617</v>
      </c>
      <c r="AF262" s="114" t="s">
        <v>274</v>
      </c>
      <c r="AG262" s="114" t="s">
        <v>119</v>
      </c>
      <c r="AH262" s="26"/>
      <c r="AI262" s="26"/>
      <c r="AJ262" s="26"/>
      <c r="AK262" s="26"/>
      <c r="AL262" s="26"/>
      <c r="AM262" s="26"/>
      <c r="AN262" s="34" t="s">
        <v>126</v>
      </c>
      <c r="AO262" s="123"/>
      <c r="AP262" s="4"/>
      <c r="AQ262" s="4"/>
      <c r="AR262" s="4"/>
      <c r="AS262" s="4"/>
      <c r="AT262" s="4"/>
    </row>
    <row r="263" spans="1:46" s="124" customFormat="1" ht="111.95" customHeight="1" x14ac:dyDescent="0.25">
      <c r="A263" s="113">
        <v>127</v>
      </c>
      <c r="B263" s="113" t="s">
        <v>109</v>
      </c>
      <c r="C263" s="114" t="s">
        <v>441</v>
      </c>
      <c r="D263" s="113">
        <v>43</v>
      </c>
      <c r="E263" s="113" t="s">
        <v>121</v>
      </c>
      <c r="F263" s="115" t="s">
        <v>617</v>
      </c>
      <c r="G263" s="116" t="s">
        <v>312</v>
      </c>
      <c r="H263" s="116" t="s">
        <v>618</v>
      </c>
      <c r="I263" s="117" t="s">
        <v>113</v>
      </c>
      <c r="J263" s="116" t="s">
        <v>619</v>
      </c>
      <c r="K263" s="116" t="s">
        <v>620</v>
      </c>
      <c r="L263" s="118" t="s">
        <v>359</v>
      </c>
      <c r="M263" s="118"/>
      <c r="N263" s="119">
        <v>44564</v>
      </c>
      <c r="O263" s="119">
        <v>44928</v>
      </c>
      <c r="P263" s="120">
        <f>(O263-N263)/365</f>
        <v>0.99726027397260275</v>
      </c>
      <c r="Q263" s="114" t="s">
        <v>29</v>
      </c>
      <c r="R263" s="114">
        <f t="shared" ca="1" si="70"/>
        <v>2.4642170213560495</v>
      </c>
      <c r="S263" s="114" t="str">
        <f t="shared" ca="1" si="61"/>
        <v>O</v>
      </c>
      <c r="T263" s="121">
        <v>1</v>
      </c>
      <c r="U263" s="121">
        <v>1</v>
      </c>
      <c r="V263" s="121">
        <v>2</v>
      </c>
      <c r="W263" s="121">
        <f t="shared" si="59"/>
        <v>4</v>
      </c>
      <c r="X263" s="121" t="str">
        <f t="shared" si="60"/>
        <v>Biasa</v>
      </c>
      <c r="Y263" s="115"/>
      <c r="Z263" s="114"/>
      <c r="AA263" s="119"/>
      <c r="AB263" s="119"/>
      <c r="AC263" s="119"/>
      <c r="AD263" s="26" t="s">
        <v>125</v>
      </c>
      <c r="AE263" s="122">
        <v>44617</v>
      </c>
      <c r="AF263" s="114" t="s">
        <v>274</v>
      </c>
      <c r="AG263" s="114" t="s">
        <v>119</v>
      </c>
      <c r="AH263" s="26"/>
      <c r="AI263" s="26"/>
      <c r="AJ263" s="26"/>
      <c r="AK263" s="26"/>
      <c r="AL263" s="26"/>
      <c r="AM263" s="26"/>
      <c r="AN263" s="34" t="s">
        <v>126</v>
      </c>
      <c r="AO263" s="123"/>
      <c r="AP263" s="4"/>
      <c r="AQ263" s="4"/>
      <c r="AR263" s="4"/>
      <c r="AS263" s="4"/>
      <c r="AT263" s="4"/>
    </row>
    <row r="264" spans="1:46" s="124" customFormat="1" ht="111.95" customHeight="1" x14ac:dyDescent="0.25">
      <c r="A264" s="113">
        <v>128</v>
      </c>
      <c r="B264" s="113"/>
      <c r="C264" s="114"/>
      <c r="D264" s="113"/>
      <c r="E264" s="113"/>
      <c r="F264" s="115" t="s">
        <v>621</v>
      </c>
      <c r="G264" s="116" t="s">
        <v>622</v>
      </c>
      <c r="H264" s="116" t="s">
        <v>623</v>
      </c>
      <c r="I264" s="117" t="s">
        <v>113</v>
      </c>
      <c r="J264" s="116" t="s">
        <v>624</v>
      </c>
      <c r="K264" s="116"/>
      <c r="L264" s="118">
        <v>13650000</v>
      </c>
      <c r="M264" s="118" t="s">
        <v>625</v>
      </c>
      <c r="N264" s="119">
        <v>43405</v>
      </c>
      <c r="O264" s="119">
        <v>44136</v>
      </c>
      <c r="P264" s="120">
        <f t="shared" si="69"/>
        <v>2.0027397260273974</v>
      </c>
      <c r="Q264" s="114" t="s">
        <v>37</v>
      </c>
      <c r="R264" s="114" t="s">
        <v>117</v>
      </c>
      <c r="S264" s="114" t="str">
        <f t="shared" si="61"/>
        <v>Z</v>
      </c>
      <c r="T264" s="121">
        <v>1</v>
      </c>
      <c r="U264" s="121">
        <v>1</v>
      </c>
      <c r="V264" s="121">
        <v>1</v>
      </c>
      <c r="W264" s="121">
        <f t="shared" si="59"/>
        <v>3</v>
      </c>
      <c r="X264" s="121" t="str">
        <f t="shared" si="60"/>
        <v>Biasa</v>
      </c>
      <c r="Y264" s="115"/>
      <c r="Z264" s="115"/>
      <c r="AA264" s="119"/>
      <c r="AB264" s="119"/>
      <c r="AC264" s="119"/>
      <c r="AD264" s="26" t="s">
        <v>16</v>
      </c>
      <c r="AE264" s="122">
        <v>44105</v>
      </c>
      <c r="AF264" s="114" t="s">
        <v>626</v>
      </c>
      <c r="AG264" s="114" t="s">
        <v>119</v>
      </c>
      <c r="AH264" s="26"/>
      <c r="AI264" s="26"/>
      <c r="AJ264" s="26"/>
      <c r="AK264" s="26"/>
      <c r="AL264" s="26"/>
      <c r="AM264" s="26"/>
      <c r="AN264" s="26"/>
      <c r="AO264" s="123"/>
      <c r="AP264" s="4"/>
      <c r="AQ264" s="4"/>
      <c r="AR264" s="4"/>
      <c r="AS264" s="4"/>
      <c r="AT264" s="4"/>
    </row>
    <row r="265" spans="1:46" s="124" customFormat="1" ht="111.95" customHeight="1" x14ac:dyDescent="0.25">
      <c r="A265" s="113">
        <v>129</v>
      </c>
      <c r="B265" s="113" t="s">
        <v>109</v>
      </c>
      <c r="C265" s="114" t="s">
        <v>441</v>
      </c>
      <c r="D265" s="113">
        <v>44</v>
      </c>
      <c r="E265" s="113" t="s">
        <v>121</v>
      </c>
      <c r="F265" s="115" t="s">
        <v>627</v>
      </c>
      <c r="G265" s="116" t="s">
        <v>628</v>
      </c>
      <c r="H265" s="116" t="s">
        <v>629</v>
      </c>
      <c r="I265" s="117" t="s">
        <v>113</v>
      </c>
      <c r="J265" s="116" t="s">
        <v>630</v>
      </c>
      <c r="K265" s="116" t="s">
        <v>631</v>
      </c>
      <c r="L265" s="118" t="s">
        <v>269</v>
      </c>
      <c r="M265" s="118"/>
      <c r="N265" s="119">
        <v>44562</v>
      </c>
      <c r="O265" s="119">
        <v>44926</v>
      </c>
      <c r="P265" s="120">
        <f>(O265-N265)/365</f>
        <v>0.99726027397260275</v>
      </c>
      <c r="Q265" s="114" t="s">
        <v>29</v>
      </c>
      <c r="R265" s="114">
        <f t="shared" ref="R265" ca="1" si="71">(O265-NOW()+1)/31</f>
        <v>2.3997008923237915</v>
      </c>
      <c r="S265" s="114" t="str">
        <f t="shared" ca="1" si="61"/>
        <v>O</v>
      </c>
      <c r="T265" s="121">
        <v>1</v>
      </c>
      <c r="U265" s="121">
        <v>1</v>
      </c>
      <c r="V265" s="121">
        <v>2</v>
      </c>
      <c r="W265" s="121">
        <f t="shared" si="59"/>
        <v>4</v>
      </c>
      <c r="X265" s="121" t="str">
        <f t="shared" si="60"/>
        <v>Biasa</v>
      </c>
      <c r="Y265" s="115"/>
      <c r="Z265" s="115"/>
      <c r="AA265" s="119"/>
      <c r="AB265" s="119"/>
      <c r="AC265" s="119"/>
      <c r="AD265" s="26" t="s">
        <v>125</v>
      </c>
      <c r="AE265" s="122">
        <v>44630</v>
      </c>
      <c r="AF265" s="114" t="s">
        <v>230</v>
      </c>
      <c r="AG265" s="114" t="s">
        <v>119</v>
      </c>
      <c r="AH265" s="26"/>
      <c r="AI265" s="26"/>
      <c r="AJ265" s="26"/>
      <c r="AK265" s="26"/>
      <c r="AL265" s="26"/>
      <c r="AM265" s="26"/>
      <c r="AN265" s="34" t="s">
        <v>126</v>
      </c>
      <c r="AO265" s="123"/>
      <c r="AP265" s="4"/>
      <c r="AQ265" s="4"/>
      <c r="AR265" s="4"/>
      <c r="AS265" s="4"/>
      <c r="AT265" s="4"/>
    </row>
    <row r="266" spans="1:46" s="124" customFormat="1" ht="111.95" customHeight="1" x14ac:dyDescent="0.25">
      <c r="A266" s="113">
        <v>130</v>
      </c>
      <c r="B266" s="113" t="s">
        <v>109</v>
      </c>
      <c r="C266" s="114" t="s">
        <v>462</v>
      </c>
      <c r="D266" s="113">
        <v>20</v>
      </c>
      <c r="E266" s="113" t="s">
        <v>121</v>
      </c>
      <c r="F266" s="115" t="s">
        <v>632</v>
      </c>
      <c r="G266" s="116" t="s">
        <v>622</v>
      </c>
      <c r="H266" s="116" t="s">
        <v>633</v>
      </c>
      <c r="I266" s="117" t="s">
        <v>113</v>
      </c>
      <c r="J266" s="116" t="s">
        <v>634</v>
      </c>
      <c r="K266" s="116"/>
      <c r="L266" s="118">
        <v>8250000</v>
      </c>
      <c r="M266" s="118" t="s">
        <v>143</v>
      </c>
      <c r="N266" s="119">
        <v>44378</v>
      </c>
      <c r="O266" s="119">
        <v>45107</v>
      </c>
      <c r="P266" s="120">
        <f t="shared" si="69"/>
        <v>1.9972602739726026</v>
      </c>
      <c r="Q266" s="114" t="s">
        <v>37</v>
      </c>
      <c r="R266" s="114">
        <f ca="1">(O266-NOW()+1)/31</f>
        <v>8.2384105697431469</v>
      </c>
      <c r="S266" s="114" t="str">
        <f ca="1">IF(R266="End","Z",IF(R266="Cancel","C",IF(SUM(R266)&gt;0,"O",IF(ISBLANK(R266),"X",IF(SUM(R266)&lt;0,"Y",IF(SUM(R266),"-","O"))))))</f>
        <v>O</v>
      </c>
      <c r="T266" s="121">
        <v>1</v>
      </c>
      <c r="U266" s="121">
        <v>1</v>
      </c>
      <c r="V266" s="121">
        <v>1</v>
      </c>
      <c r="W266" s="121">
        <f>T266+U266+V266</f>
        <v>3</v>
      </c>
      <c r="X266" s="121" t="str">
        <f>IF(W266&gt;5,"Penting",IF(ISBLANK(W266),"","Biasa"))</f>
        <v>Biasa</v>
      </c>
      <c r="Y266" s="115"/>
      <c r="Z266" s="114" t="s">
        <v>119</v>
      </c>
      <c r="AA266" s="119">
        <f>N266+270</f>
        <v>44648</v>
      </c>
      <c r="AB266" s="119">
        <f>+N266+635</f>
        <v>45013</v>
      </c>
      <c r="AC266" s="119"/>
      <c r="AD266" s="26" t="s">
        <v>125</v>
      </c>
      <c r="AE266" s="122">
        <v>43601</v>
      </c>
      <c r="AF266" s="114" t="s">
        <v>626</v>
      </c>
      <c r="AG266" s="114" t="s">
        <v>119</v>
      </c>
      <c r="AH266" s="26"/>
      <c r="AI266" s="26"/>
      <c r="AJ266" s="26"/>
      <c r="AK266" s="26"/>
      <c r="AL266" s="26"/>
      <c r="AM266" s="26"/>
      <c r="AN266" s="34" t="s">
        <v>126</v>
      </c>
      <c r="AO266" s="123">
        <v>44295</v>
      </c>
      <c r="AP266" s="4"/>
      <c r="AQ266" s="4"/>
      <c r="AR266" s="4"/>
      <c r="AS266" s="4"/>
      <c r="AT266" s="4"/>
    </row>
    <row r="267" spans="1:46" s="124" customFormat="1" ht="111.95" customHeight="1" x14ac:dyDescent="0.25">
      <c r="A267" s="113">
        <v>131</v>
      </c>
      <c r="B267" s="113" t="s">
        <v>109</v>
      </c>
      <c r="C267" s="114" t="s">
        <v>462</v>
      </c>
      <c r="D267" s="113">
        <v>19</v>
      </c>
      <c r="E267" s="113" t="s">
        <v>121</v>
      </c>
      <c r="F267" s="115" t="s">
        <v>635</v>
      </c>
      <c r="G267" s="116" t="s">
        <v>622</v>
      </c>
      <c r="H267" s="116" t="s">
        <v>633</v>
      </c>
      <c r="I267" s="117" t="s">
        <v>113</v>
      </c>
      <c r="J267" s="116" t="s">
        <v>636</v>
      </c>
      <c r="K267" s="116"/>
      <c r="L267" s="118">
        <v>12000000</v>
      </c>
      <c r="M267" s="118" t="s">
        <v>143</v>
      </c>
      <c r="N267" s="119">
        <v>44136</v>
      </c>
      <c r="O267" s="119">
        <v>45230</v>
      </c>
      <c r="P267" s="120">
        <f>(O267-N267)/365</f>
        <v>2.9972602739726026</v>
      </c>
      <c r="Q267" s="114" t="s">
        <v>37</v>
      </c>
      <c r="R267" s="114">
        <f t="shared" ref="R267:R270" ca="1" si="72">(O267-NOW()+1)/31</f>
        <v>12.206152505227017</v>
      </c>
      <c r="S267" s="114" t="str">
        <f ca="1">IF(R267="End","Z",IF(R267="Cancel","C",IF(SUM(R267)&gt;0,"O",IF(ISBLANK(R267),"X",IF(SUM(R267)&lt;0,"Y",IF(SUM(R267),"-","O"))))))</f>
        <v>O</v>
      </c>
      <c r="T267" s="121">
        <v>1</v>
      </c>
      <c r="U267" s="121">
        <v>1</v>
      </c>
      <c r="V267" s="121">
        <v>1</v>
      </c>
      <c r="W267" s="121">
        <f>T267+U267+V267</f>
        <v>3</v>
      </c>
      <c r="X267" s="121" t="str">
        <f>IF(W267&gt;5,"Penting",IF(ISBLANK(W267),"","Biasa"))</f>
        <v>Biasa</v>
      </c>
      <c r="Y267" s="115"/>
      <c r="Z267" s="114" t="s">
        <v>119</v>
      </c>
      <c r="AA267" s="119">
        <f>N267+270</f>
        <v>44406</v>
      </c>
      <c r="AB267" s="119">
        <f>+N267+635</f>
        <v>44771</v>
      </c>
      <c r="AC267" s="119">
        <f>+N267+1000</f>
        <v>45136</v>
      </c>
      <c r="AD267" s="26" t="s">
        <v>125</v>
      </c>
      <c r="AE267" s="122">
        <v>44105</v>
      </c>
      <c r="AF267" s="114" t="s">
        <v>626</v>
      </c>
      <c r="AG267" s="114" t="s">
        <v>119</v>
      </c>
      <c r="AH267" s="26"/>
      <c r="AI267" s="26"/>
      <c r="AJ267" s="26"/>
      <c r="AK267" s="26"/>
      <c r="AL267" s="26"/>
      <c r="AM267" s="26"/>
      <c r="AN267" s="34" t="s">
        <v>126</v>
      </c>
      <c r="AO267" s="123">
        <v>44104</v>
      </c>
      <c r="AP267" s="4"/>
      <c r="AQ267" s="4"/>
      <c r="AR267" s="4"/>
      <c r="AS267" s="4"/>
      <c r="AT267" s="4"/>
    </row>
    <row r="268" spans="1:46" s="124" customFormat="1" ht="111.95" customHeight="1" x14ac:dyDescent="0.25">
      <c r="A268" s="113">
        <v>132</v>
      </c>
      <c r="B268" s="113" t="s">
        <v>109</v>
      </c>
      <c r="C268" s="114" t="s">
        <v>290</v>
      </c>
      <c r="D268" s="113">
        <v>10</v>
      </c>
      <c r="E268" s="113" t="s">
        <v>291</v>
      </c>
      <c r="F268" s="115" t="s">
        <v>637</v>
      </c>
      <c r="G268" s="116" t="s">
        <v>638</v>
      </c>
      <c r="H268" s="116" t="s">
        <v>639</v>
      </c>
      <c r="I268" s="117" t="s">
        <v>113</v>
      </c>
      <c r="J268" s="116" t="s">
        <v>640</v>
      </c>
      <c r="K268" s="116" t="s">
        <v>641</v>
      </c>
      <c r="L268" s="118">
        <v>296140000</v>
      </c>
      <c r="M268" s="118" t="s">
        <v>332</v>
      </c>
      <c r="N268" s="119">
        <v>43696</v>
      </c>
      <c r="O268" s="119">
        <v>47392</v>
      </c>
      <c r="P268" s="120">
        <f t="shared" si="69"/>
        <v>10.126027397260273</v>
      </c>
      <c r="Q268" s="114" t="s">
        <v>29</v>
      </c>
      <c r="R268" s="114">
        <f t="shared" ca="1" si="72"/>
        <v>81.948087989097985</v>
      </c>
      <c r="S268" s="114" t="str">
        <f ca="1">IF(R268="End","Z",IF(R268="Cancel","C",IF(SUM(R268)&gt;0,"O",IF(ISBLANK(R268),"X",IF(SUM(R268)&lt;0,"Y",IF(SUM(R268),"-","O"))))))</f>
        <v>O</v>
      </c>
      <c r="T268" s="121">
        <v>1</v>
      </c>
      <c r="U268" s="121">
        <v>3</v>
      </c>
      <c r="V268" s="121">
        <v>3</v>
      </c>
      <c r="W268" s="121">
        <f>T268+U268+V268</f>
        <v>7</v>
      </c>
      <c r="X268" s="121" t="str">
        <f>IF(W268&gt;5,"Penting",IF(ISBLANK(W268),"","Biasa"))</f>
        <v>Penting</v>
      </c>
      <c r="Y268" s="115" t="s">
        <v>642</v>
      </c>
      <c r="Z268" s="114"/>
      <c r="AA268" s="119"/>
      <c r="AB268" s="119"/>
      <c r="AC268" s="119"/>
      <c r="AD268" s="26" t="s">
        <v>125</v>
      </c>
      <c r="AE268" s="122">
        <v>43696</v>
      </c>
      <c r="AF268" s="114" t="s">
        <v>230</v>
      </c>
      <c r="AG268" s="114" t="s">
        <v>119</v>
      </c>
      <c r="AH268" s="26"/>
      <c r="AI268" s="26"/>
      <c r="AJ268" s="26"/>
      <c r="AK268" s="26"/>
      <c r="AL268" s="26"/>
      <c r="AM268" s="26"/>
      <c r="AN268" s="34" t="s">
        <v>126</v>
      </c>
      <c r="AO268" s="123"/>
      <c r="AP268" s="4"/>
      <c r="AQ268" s="4"/>
      <c r="AR268" s="4"/>
      <c r="AS268" s="4"/>
      <c r="AT268" s="4"/>
    </row>
    <row r="269" spans="1:46" s="124" customFormat="1" ht="111.95" customHeight="1" x14ac:dyDescent="0.25">
      <c r="A269" s="113">
        <v>133</v>
      </c>
      <c r="B269" s="113" t="s">
        <v>109</v>
      </c>
      <c r="C269" s="114" t="s">
        <v>290</v>
      </c>
      <c r="D269" s="113">
        <v>11</v>
      </c>
      <c r="E269" s="113" t="s">
        <v>291</v>
      </c>
      <c r="F269" s="115" t="s">
        <v>643</v>
      </c>
      <c r="G269" s="116" t="s">
        <v>638</v>
      </c>
      <c r="H269" s="116" t="s">
        <v>644</v>
      </c>
      <c r="I269" s="117" t="s">
        <v>113</v>
      </c>
      <c r="J269" s="116" t="s">
        <v>645</v>
      </c>
      <c r="K269" s="116" t="s">
        <v>646</v>
      </c>
      <c r="L269" s="118">
        <v>589380000</v>
      </c>
      <c r="M269" s="118" t="s">
        <v>332</v>
      </c>
      <c r="N269" s="119">
        <v>44044</v>
      </c>
      <c r="O269" s="119">
        <v>47727</v>
      </c>
      <c r="P269" s="120">
        <f t="shared" si="69"/>
        <v>10.09041095890411</v>
      </c>
      <c r="Q269" s="114" t="s">
        <v>29</v>
      </c>
      <c r="R269" s="114">
        <f t="shared" ca="1" si="72"/>
        <v>92.754539602001216</v>
      </c>
      <c r="S269" s="114" t="str">
        <f ca="1">IF(R269="End","Z",IF(R269="Cancel","C",IF(SUM(R269)&gt;0,"O",IF(ISBLANK(R269),"X",IF(SUM(R269)&lt;0,"Y",IF(SUM(R269),"-","O"))))))</f>
        <v>O</v>
      </c>
      <c r="T269" s="121">
        <v>1</v>
      </c>
      <c r="U269" s="121">
        <v>3</v>
      </c>
      <c r="V269" s="121">
        <v>3</v>
      </c>
      <c r="W269" s="121">
        <f>T269+U269+V269</f>
        <v>7</v>
      </c>
      <c r="X269" s="121" t="str">
        <f>IF(W269&gt;5,"Penting",IF(ISBLANK(W269),"","Biasa"))</f>
        <v>Penting</v>
      </c>
      <c r="Y269" s="115" t="s">
        <v>642</v>
      </c>
      <c r="Z269" s="114"/>
      <c r="AA269" s="119"/>
      <c r="AB269" s="119"/>
      <c r="AC269" s="119"/>
      <c r="AD269" s="26" t="s">
        <v>125</v>
      </c>
      <c r="AE269" s="122">
        <v>44044</v>
      </c>
      <c r="AF269" s="114" t="s">
        <v>230</v>
      </c>
      <c r="AG269" s="114" t="s">
        <v>119</v>
      </c>
      <c r="AH269" s="26"/>
      <c r="AI269" s="26"/>
      <c r="AJ269" s="26"/>
      <c r="AK269" s="26"/>
      <c r="AL269" s="26"/>
      <c r="AM269" s="26"/>
      <c r="AN269" s="34" t="s">
        <v>126</v>
      </c>
      <c r="AO269" s="123">
        <v>44067</v>
      </c>
      <c r="AP269" s="4"/>
      <c r="AQ269" s="4"/>
      <c r="AR269" s="4"/>
      <c r="AS269" s="4"/>
      <c r="AT269" s="4"/>
    </row>
    <row r="270" spans="1:46" s="124" customFormat="1" ht="111.95" customHeight="1" x14ac:dyDescent="0.25">
      <c r="A270" s="113">
        <v>134</v>
      </c>
      <c r="B270" s="113" t="s">
        <v>109</v>
      </c>
      <c r="C270" s="114" t="s">
        <v>290</v>
      </c>
      <c r="D270" s="113">
        <v>12</v>
      </c>
      <c r="E270" s="113" t="s">
        <v>291</v>
      </c>
      <c r="F270" s="115" t="s">
        <v>647</v>
      </c>
      <c r="G270" s="116" t="s">
        <v>648</v>
      </c>
      <c r="H270" s="116" t="s">
        <v>644</v>
      </c>
      <c r="I270" s="117" t="s">
        <v>113</v>
      </c>
      <c r="J270" s="116" t="s">
        <v>648</v>
      </c>
      <c r="K270" s="116" t="s">
        <v>649</v>
      </c>
      <c r="L270" s="118">
        <v>1530000000</v>
      </c>
      <c r="M270" s="118" t="s">
        <v>332</v>
      </c>
      <c r="N270" s="119">
        <v>44409</v>
      </c>
      <c r="O270" s="119">
        <v>45596</v>
      </c>
      <c r="P270" s="120">
        <f t="shared" si="69"/>
        <v>3.2520547945205478</v>
      </c>
      <c r="Q270" s="114" t="s">
        <v>29</v>
      </c>
      <c r="R270" s="114">
        <f t="shared" ca="1" si="72"/>
        <v>24.012604118130245</v>
      </c>
      <c r="S270" s="114" t="str">
        <f ca="1">IF(R270="End","Z",IF(R270="Cancel","C",IF(SUM(R270)&gt;0,"O",IF(ISBLANK(R270),"X",IF(SUM(R270)&lt;0,"Y",IF(SUM(R270),"-","O"))))))</f>
        <v>O</v>
      </c>
      <c r="T270" s="121">
        <v>1</v>
      </c>
      <c r="U270" s="121">
        <v>3</v>
      </c>
      <c r="V270" s="121">
        <v>3</v>
      </c>
      <c r="W270" s="121">
        <f>T270+U270+V270</f>
        <v>7</v>
      </c>
      <c r="X270" s="121" t="str">
        <f>IF(W270&gt;5,"Penting",IF(ISBLANK(W270),"","Biasa"))</f>
        <v>Penting</v>
      </c>
      <c r="Y270" s="115" t="s">
        <v>650</v>
      </c>
      <c r="Z270" s="114"/>
      <c r="AA270" s="119"/>
      <c r="AB270" s="119"/>
      <c r="AC270" s="119"/>
      <c r="AD270" s="26" t="s">
        <v>125</v>
      </c>
      <c r="AE270" s="122">
        <v>44409</v>
      </c>
      <c r="AF270" s="114" t="s">
        <v>230</v>
      </c>
      <c r="AG270" s="114" t="s">
        <v>119</v>
      </c>
      <c r="AH270" s="26"/>
      <c r="AI270" s="26"/>
      <c r="AJ270" s="26"/>
      <c r="AK270" s="26"/>
      <c r="AL270" s="26"/>
      <c r="AM270" s="26"/>
      <c r="AN270" s="34" t="s">
        <v>126</v>
      </c>
      <c r="AO270" s="123">
        <v>44440</v>
      </c>
      <c r="AP270" s="4"/>
      <c r="AQ270" s="4"/>
      <c r="AR270" s="4"/>
      <c r="AS270" s="4"/>
      <c r="AT270" s="4"/>
    </row>
    <row r="271" spans="1:46" s="124" customFormat="1" ht="111.95" customHeight="1" x14ac:dyDescent="0.25">
      <c r="A271" s="113">
        <v>135</v>
      </c>
      <c r="B271" s="113"/>
      <c r="C271" s="114"/>
      <c r="D271" s="113"/>
      <c r="E271" s="113"/>
      <c r="F271" s="115" t="s">
        <v>651</v>
      </c>
      <c r="G271" s="116" t="s">
        <v>652</v>
      </c>
      <c r="H271" s="116" t="s">
        <v>653</v>
      </c>
      <c r="I271" s="117" t="s">
        <v>113</v>
      </c>
      <c r="J271" s="116" t="s">
        <v>654</v>
      </c>
      <c r="K271" s="116" t="s">
        <v>655</v>
      </c>
      <c r="L271" s="118">
        <v>135225000</v>
      </c>
      <c r="M271" s="118"/>
      <c r="N271" s="119">
        <v>42832</v>
      </c>
      <c r="O271" s="119">
        <v>43561</v>
      </c>
      <c r="P271" s="120">
        <f t="shared" si="69"/>
        <v>1.9972602739726026</v>
      </c>
      <c r="Q271" s="114" t="s">
        <v>29</v>
      </c>
      <c r="R271" s="114" t="s">
        <v>117</v>
      </c>
      <c r="S271" s="114" t="str">
        <f t="shared" si="61"/>
        <v>Z</v>
      </c>
      <c r="T271" s="121">
        <v>3</v>
      </c>
      <c r="U271" s="121">
        <v>3</v>
      </c>
      <c r="V271" s="121">
        <v>3</v>
      </c>
      <c r="W271" s="121">
        <f t="shared" si="59"/>
        <v>9</v>
      </c>
      <c r="X271" s="121" t="str">
        <f t="shared" si="60"/>
        <v>Penting</v>
      </c>
      <c r="Y271" s="115" t="s">
        <v>656</v>
      </c>
      <c r="Z271" s="115"/>
      <c r="AA271" s="119"/>
      <c r="AB271" s="119"/>
      <c r="AC271" s="119"/>
      <c r="AD271" s="26" t="s">
        <v>16</v>
      </c>
      <c r="AE271" s="122">
        <v>43556</v>
      </c>
      <c r="AF271" s="114" t="s">
        <v>274</v>
      </c>
      <c r="AG271" s="114"/>
      <c r="AH271" s="26"/>
      <c r="AI271" s="26"/>
      <c r="AJ271" s="26"/>
      <c r="AK271" s="26"/>
      <c r="AL271" s="26"/>
      <c r="AM271" s="26"/>
      <c r="AN271" s="26"/>
      <c r="AO271" s="123"/>
      <c r="AP271" s="4"/>
      <c r="AQ271" s="4"/>
      <c r="AR271" s="4"/>
      <c r="AS271" s="4"/>
      <c r="AT271" s="4"/>
    </row>
    <row r="272" spans="1:46" s="124" customFormat="1" ht="111.95" customHeight="1" x14ac:dyDescent="0.25">
      <c r="A272" s="113">
        <v>136</v>
      </c>
      <c r="B272" s="113"/>
      <c r="C272" s="114"/>
      <c r="D272" s="113"/>
      <c r="E272" s="113"/>
      <c r="F272" s="115" t="s">
        <v>657</v>
      </c>
      <c r="G272" s="116" t="s">
        <v>652</v>
      </c>
      <c r="H272" s="116" t="s">
        <v>658</v>
      </c>
      <c r="I272" s="117" t="s">
        <v>113</v>
      </c>
      <c r="J272" s="116" t="s">
        <v>659</v>
      </c>
      <c r="K272" s="116" t="s">
        <v>660</v>
      </c>
      <c r="L272" s="118">
        <v>1306330000</v>
      </c>
      <c r="M272" s="118"/>
      <c r="N272" s="119">
        <v>42837</v>
      </c>
      <c r="O272" s="119">
        <v>43566</v>
      </c>
      <c r="P272" s="120">
        <f t="shared" si="69"/>
        <v>1.9972602739726026</v>
      </c>
      <c r="Q272" s="114" t="s">
        <v>29</v>
      </c>
      <c r="R272" s="114" t="s">
        <v>117</v>
      </c>
      <c r="S272" s="114" t="str">
        <f t="shared" si="61"/>
        <v>Z</v>
      </c>
      <c r="T272" s="121">
        <v>3</v>
      </c>
      <c r="U272" s="121">
        <v>3</v>
      </c>
      <c r="V272" s="121">
        <v>3</v>
      </c>
      <c r="W272" s="121">
        <f t="shared" si="59"/>
        <v>9</v>
      </c>
      <c r="X272" s="121" t="str">
        <f t="shared" si="60"/>
        <v>Penting</v>
      </c>
      <c r="Y272" s="115" t="s">
        <v>656</v>
      </c>
      <c r="Z272" s="115"/>
      <c r="AA272" s="119"/>
      <c r="AB272" s="119"/>
      <c r="AC272" s="119"/>
      <c r="AD272" s="26" t="s">
        <v>16</v>
      </c>
      <c r="AE272" s="122">
        <v>43567</v>
      </c>
      <c r="AF272" s="114" t="s">
        <v>274</v>
      </c>
      <c r="AG272" s="114"/>
      <c r="AH272" s="26"/>
      <c r="AI272" s="26"/>
      <c r="AJ272" s="26"/>
      <c r="AK272" s="26"/>
      <c r="AL272" s="26"/>
      <c r="AM272" s="26"/>
      <c r="AN272" s="26"/>
      <c r="AO272" s="123"/>
      <c r="AP272" s="4"/>
      <c r="AQ272" s="4"/>
      <c r="AR272" s="4"/>
      <c r="AS272" s="4"/>
      <c r="AT272" s="4"/>
    </row>
    <row r="273" spans="1:46" s="124" customFormat="1" ht="111.95" customHeight="1" x14ac:dyDescent="0.25">
      <c r="A273" s="113">
        <v>137</v>
      </c>
      <c r="B273" s="113"/>
      <c r="C273" s="114"/>
      <c r="D273" s="113"/>
      <c r="E273" s="113"/>
      <c r="F273" s="115" t="s">
        <v>110</v>
      </c>
      <c r="G273" s="116" t="s">
        <v>661</v>
      </c>
      <c r="H273" s="116" t="s">
        <v>662</v>
      </c>
      <c r="I273" s="117" t="s">
        <v>113</v>
      </c>
      <c r="J273" s="116" t="s">
        <v>661</v>
      </c>
      <c r="K273" s="116" t="s">
        <v>110</v>
      </c>
      <c r="L273" s="118">
        <v>82118300</v>
      </c>
      <c r="M273" s="118"/>
      <c r="N273" s="119">
        <v>41969</v>
      </c>
      <c r="O273" s="119" t="s">
        <v>110</v>
      </c>
      <c r="P273" s="120" t="s">
        <v>110</v>
      </c>
      <c r="Q273" s="114" t="s">
        <v>29</v>
      </c>
      <c r="R273" s="114" t="s">
        <v>117</v>
      </c>
      <c r="S273" s="114" t="str">
        <f t="shared" si="61"/>
        <v>Z</v>
      </c>
      <c r="T273" s="121">
        <v>2</v>
      </c>
      <c r="U273" s="121">
        <v>2</v>
      </c>
      <c r="V273" s="121">
        <v>2</v>
      </c>
      <c r="W273" s="121">
        <f t="shared" si="59"/>
        <v>6</v>
      </c>
      <c r="X273" s="121" t="str">
        <f t="shared" si="60"/>
        <v>Penting</v>
      </c>
      <c r="Y273" s="115"/>
      <c r="Z273" s="114"/>
      <c r="AA273" s="119"/>
      <c r="AB273" s="119"/>
      <c r="AC273" s="119"/>
      <c r="AD273" s="26"/>
      <c r="AE273" s="122"/>
      <c r="AF273" s="114" t="s">
        <v>274</v>
      </c>
      <c r="AG273" s="114" t="s">
        <v>216</v>
      </c>
      <c r="AH273" s="26"/>
      <c r="AI273" s="26"/>
      <c r="AJ273" s="26"/>
      <c r="AK273" s="26"/>
      <c r="AL273" s="26"/>
      <c r="AM273" s="26"/>
      <c r="AN273" s="26"/>
      <c r="AO273" s="123"/>
      <c r="AP273" s="4"/>
      <c r="AQ273" s="4"/>
      <c r="AR273" s="4"/>
      <c r="AS273" s="4"/>
      <c r="AT273" s="4"/>
    </row>
    <row r="274" spans="1:46" s="124" customFormat="1" ht="111.95" customHeight="1" x14ac:dyDescent="0.25">
      <c r="A274" s="113">
        <v>138</v>
      </c>
      <c r="B274" s="113"/>
      <c r="C274" s="114"/>
      <c r="D274" s="113"/>
      <c r="E274" s="113"/>
      <c r="F274" s="115" t="s">
        <v>663</v>
      </c>
      <c r="G274" s="116" t="s">
        <v>664</v>
      </c>
      <c r="H274" s="116" t="s">
        <v>665</v>
      </c>
      <c r="I274" s="117" t="s">
        <v>113</v>
      </c>
      <c r="J274" s="116"/>
      <c r="K274" s="116"/>
      <c r="L274" s="118">
        <v>137500000</v>
      </c>
      <c r="M274" s="118"/>
      <c r="N274" s="119">
        <v>42733</v>
      </c>
      <c r="O274" s="119">
        <v>44571</v>
      </c>
      <c r="P274" s="120">
        <f t="shared" ref="P274:P285" si="73">(O274-N274)/365</f>
        <v>5.0356164383561648</v>
      </c>
      <c r="Q274" s="114" t="s">
        <v>29</v>
      </c>
      <c r="R274" s="114" t="s">
        <v>117</v>
      </c>
      <c r="S274" s="114" t="str">
        <f t="shared" si="61"/>
        <v>Z</v>
      </c>
      <c r="T274" s="121">
        <v>1</v>
      </c>
      <c r="U274" s="121">
        <v>3</v>
      </c>
      <c r="V274" s="121">
        <v>2</v>
      </c>
      <c r="W274" s="121">
        <f t="shared" si="59"/>
        <v>6</v>
      </c>
      <c r="X274" s="121" t="str">
        <f t="shared" si="60"/>
        <v>Penting</v>
      </c>
      <c r="Y274" s="115" t="s">
        <v>666</v>
      </c>
      <c r="Z274" s="114"/>
      <c r="AA274" s="119"/>
      <c r="AB274" s="119"/>
      <c r="AC274" s="119"/>
      <c r="AD274" s="26"/>
      <c r="AE274" s="122"/>
      <c r="AF274" s="114" t="s">
        <v>274</v>
      </c>
      <c r="AG274" s="114" t="s">
        <v>216</v>
      </c>
      <c r="AH274" s="26"/>
      <c r="AI274" s="26"/>
      <c r="AJ274" s="26"/>
      <c r="AK274" s="26"/>
      <c r="AL274" s="26"/>
      <c r="AM274" s="26"/>
      <c r="AN274" s="26"/>
      <c r="AO274" s="123"/>
      <c r="AP274" s="4"/>
      <c r="AQ274" s="4"/>
      <c r="AR274" s="4"/>
      <c r="AS274" s="4"/>
      <c r="AT274" s="4"/>
    </row>
    <row r="275" spans="1:46" s="124" customFormat="1" ht="111.95" customHeight="1" x14ac:dyDescent="0.25">
      <c r="A275" s="113">
        <v>139</v>
      </c>
      <c r="B275" s="113"/>
      <c r="C275" s="114"/>
      <c r="D275" s="113"/>
      <c r="E275" s="113"/>
      <c r="F275" s="115" t="s">
        <v>667</v>
      </c>
      <c r="G275" s="116" t="s">
        <v>668</v>
      </c>
      <c r="H275" s="116" t="s">
        <v>395</v>
      </c>
      <c r="I275" s="117" t="s">
        <v>113</v>
      </c>
      <c r="J275" s="116" t="s">
        <v>669</v>
      </c>
      <c r="K275" s="116" t="s">
        <v>670</v>
      </c>
      <c r="L275" s="118">
        <f>11850000*34</f>
        <v>402900000</v>
      </c>
      <c r="M275" s="118"/>
      <c r="N275" s="119">
        <v>42935</v>
      </c>
      <c r="O275" s="119">
        <v>44031</v>
      </c>
      <c r="P275" s="120">
        <f t="shared" si="73"/>
        <v>3.0027397260273974</v>
      </c>
      <c r="Q275" s="114" t="s">
        <v>29</v>
      </c>
      <c r="R275" s="114" t="s">
        <v>117</v>
      </c>
      <c r="S275" s="114" t="str">
        <f t="shared" si="61"/>
        <v>Z</v>
      </c>
      <c r="T275" s="121">
        <v>3</v>
      </c>
      <c r="U275" s="121">
        <v>3</v>
      </c>
      <c r="V275" s="121">
        <v>3</v>
      </c>
      <c r="W275" s="121">
        <f t="shared" si="59"/>
        <v>9</v>
      </c>
      <c r="X275" s="121" t="str">
        <f t="shared" si="60"/>
        <v>Penting</v>
      </c>
      <c r="Y275" s="115" t="s">
        <v>671</v>
      </c>
      <c r="Z275" s="115"/>
      <c r="AA275" s="119"/>
      <c r="AB275" s="119"/>
      <c r="AC275" s="119"/>
      <c r="AD275" s="26"/>
      <c r="AE275" s="122"/>
      <c r="AF275" s="114" t="s">
        <v>274</v>
      </c>
      <c r="AG275" s="114" t="s">
        <v>216</v>
      </c>
      <c r="AH275" s="26"/>
      <c r="AI275" s="26"/>
      <c r="AJ275" s="26"/>
      <c r="AK275" s="26"/>
      <c r="AL275" s="26"/>
      <c r="AM275" s="26"/>
      <c r="AN275" s="26"/>
      <c r="AO275" s="123"/>
      <c r="AP275" s="4"/>
      <c r="AQ275" s="4"/>
      <c r="AR275" s="4"/>
      <c r="AS275" s="4"/>
      <c r="AT275" s="4"/>
    </row>
    <row r="276" spans="1:46" s="124" customFormat="1" ht="111.95" customHeight="1" x14ac:dyDescent="0.25">
      <c r="A276" s="113">
        <v>140</v>
      </c>
      <c r="B276" s="113"/>
      <c r="C276" s="114"/>
      <c r="D276" s="113"/>
      <c r="E276" s="113"/>
      <c r="F276" s="115" t="s">
        <v>672</v>
      </c>
      <c r="G276" s="116" t="s">
        <v>673</v>
      </c>
      <c r="H276" s="116" t="s">
        <v>395</v>
      </c>
      <c r="I276" s="117" t="s">
        <v>113</v>
      </c>
      <c r="J276" s="116" t="s">
        <v>674</v>
      </c>
      <c r="K276" s="116" t="s">
        <v>670</v>
      </c>
      <c r="L276" s="118">
        <f>4295000*34</f>
        <v>146030000</v>
      </c>
      <c r="M276" s="118"/>
      <c r="N276" s="119">
        <v>42947</v>
      </c>
      <c r="O276" s="119">
        <v>44012</v>
      </c>
      <c r="P276" s="120">
        <f t="shared" si="73"/>
        <v>2.9178082191780823</v>
      </c>
      <c r="Q276" s="114" t="s">
        <v>29</v>
      </c>
      <c r="R276" s="114" t="s">
        <v>117</v>
      </c>
      <c r="S276" s="114" t="str">
        <f t="shared" si="61"/>
        <v>Z</v>
      </c>
      <c r="T276" s="121">
        <v>3</v>
      </c>
      <c r="U276" s="121">
        <v>3</v>
      </c>
      <c r="V276" s="121">
        <v>3</v>
      </c>
      <c r="W276" s="121">
        <f t="shared" si="59"/>
        <v>9</v>
      </c>
      <c r="X276" s="121" t="str">
        <f t="shared" si="60"/>
        <v>Penting</v>
      </c>
      <c r="Y276" s="115" t="s">
        <v>671</v>
      </c>
      <c r="Z276" s="115"/>
      <c r="AA276" s="119"/>
      <c r="AB276" s="119"/>
      <c r="AC276" s="119"/>
      <c r="AD276" s="26"/>
      <c r="AE276" s="122"/>
      <c r="AF276" s="114" t="s">
        <v>274</v>
      </c>
      <c r="AG276" s="114" t="s">
        <v>216</v>
      </c>
      <c r="AH276" s="26"/>
      <c r="AI276" s="26"/>
      <c r="AJ276" s="26"/>
      <c r="AK276" s="26"/>
      <c r="AL276" s="26"/>
      <c r="AM276" s="26"/>
      <c r="AN276" s="26"/>
      <c r="AO276" s="123"/>
      <c r="AP276" s="4"/>
      <c r="AQ276" s="4"/>
      <c r="AR276" s="4"/>
      <c r="AS276" s="4"/>
      <c r="AT276" s="4"/>
    </row>
    <row r="277" spans="1:46" s="124" customFormat="1" ht="111.95" customHeight="1" x14ac:dyDescent="0.25">
      <c r="A277" s="113">
        <v>141</v>
      </c>
      <c r="B277" s="113"/>
      <c r="C277" s="114"/>
      <c r="D277" s="113"/>
      <c r="E277" s="113"/>
      <c r="F277" s="115" t="s">
        <v>675</v>
      </c>
      <c r="G277" s="116" t="s">
        <v>676</v>
      </c>
      <c r="H277" s="116" t="s">
        <v>677</v>
      </c>
      <c r="I277" s="117" t="s">
        <v>113</v>
      </c>
      <c r="J277" s="116" t="s">
        <v>678</v>
      </c>
      <c r="K277" s="116"/>
      <c r="L277" s="118">
        <v>214400000</v>
      </c>
      <c r="M277" s="118"/>
      <c r="N277" s="119">
        <v>42491</v>
      </c>
      <c r="O277" s="119">
        <v>44316</v>
      </c>
      <c r="P277" s="120">
        <f t="shared" si="73"/>
        <v>5</v>
      </c>
      <c r="Q277" s="114" t="s">
        <v>29</v>
      </c>
      <c r="R277" s="114" t="s">
        <v>117</v>
      </c>
      <c r="S277" s="114" t="str">
        <f t="shared" si="61"/>
        <v>Z</v>
      </c>
      <c r="T277" s="121">
        <v>1</v>
      </c>
      <c r="U277" s="121">
        <v>3</v>
      </c>
      <c r="V277" s="121">
        <v>1</v>
      </c>
      <c r="W277" s="121">
        <f t="shared" si="59"/>
        <v>5</v>
      </c>
      <c r="X277" s="121" t="str">
        <f t="shared" si="60"/>
        <v>Biasa</v>
      </c>
      <c r="Y277" s="115"/>
      <c r="Z277" s="115"/>
      <c r="AA277" s="119"/>
      <c r="AB277" s="119"/>
      <c r="AC277" s="119"/>
      <c r="AD277" s="26"/>
      <c r="AE277" s="122"/>
      <c r="AF277" s="114" t="s">
        <v>274</v>
      </c>
      <c r="AG277" s="114" t="s">
        <v>216</v>
      </c>
      <c r="AH277" s="26"/>
      <c r="AI277" s="26"/>
      <c r="AJ277" s="26"/>
      <c r="AK277" s="26"/>
      <c r="AL277" s="26"/>
      <c r="AM277" s="26"/>
      <c r="AN277" s="26"/>
      <c r="AO277" s="123"/>
      <c r="AP277" s="4"/>
      <c r="AQ277" s="4"/>
      <c r="AR277" s="4"/>
      <c r="AS277" s="4"/>
      <c r="AT277" s="4"/>
    </row>
    <row r="278" spans="1:46" s="124" customFormat="1" ht="111.95" customHeight="1" x14ac:dyDescent="0.25">
      <c r="A278" s="113">
        <v>142</v>
      </c>
      <c r="B278" s="113" t="s">
        <v>109</v>
      </c>
      <c r="C278" s="114" t="s">
        <v>290</v>
      </c>
      <c r="D278" s="113">
        <v>14</v>
      </c>
      <c r="E278" s="113" t="s">
        <v>291</v>
      </c>
      <c r="F278" s="115" t="s">
        <v>679</v>
      </c>
      <c r="G278" s="116" t="s">
        <v>680</v>
      </c>
      <c r="H278" s="116" t="s">
        <v>681</v>
      </c>
      <c r="I278" s="117" t="s">
        <v>113</v>
      </c>
      <c r="J278" s="116" t="s">
        <v>678</v>
      </c>
      <c r="K278" s="116"/>
      <c r="L278" s="118">
        <v>215450000</v>
      </c>
      <c r="M278" s="118"/>
      <c r="N278" s="119">
        <v>42917</v>
      </c>
      <c r="O278" s="119">
        <v>44742</v>
      </c>
      <c r="P278" s="120">
        <f t="shared" si="73"/>
        <v>5</v>
      </c>
      <c r="Q278" s="114" t="s">
        <v>29</v>
      </c>
      <c r="R278" s="114">
        <f t="shared" ref="R278:R279" ca="1" si="74">(O278-NOW()+1)/31</f>
        <v>-3.5357829786439505</v>
      </c>
      <c r="S278" s="114" t="str">
        <f t="shared" ca="1" si="61"/>
        <v>Y</v>
      </c>
      <c r="T278" s="121">
        <v>1</v>
      </c>
      <c r="U278" s="121">
        <v>3</v>
      </c>
      <c r="V278" s="121">
        <v>1</v>
      </c>
      <c r="W278" s="121">
        <f t="shared" si="59"/>
        <v>5</v>
      </c>
      <c r="X278" s="121" t="str">
        <f t="shared" si="60"/>
        <v>Biasa</v>
      </c>
      <c r="Y278" s="115"/>
      <c r="Z278" s="114"/>
      <c r="AA278" s="119"/>
      <c r="AB278" s="119"/>
      <c r="AC278" s="119"/>
      <c r="AD278" s="26"/>
      <c r="AE278" s="122"/>
      <c r="AF278" s="114" t="s">
        <v>274</v>
      </c>
      <c r="AG278" s="114" t="s">
        <v>216</v>
      </c>
      <c r="AH278" s="26"/>
      <c r="AI278" s="26"/>
      <c r="AJ278" s="26"/>
      <c r="AK278" s="26"/>
      <c r="AL278" s="26"/>
      <c r="AM278" s="26"/>
      <c r="AN278" s="34" t="s">
        <v>682</v>
      </c>
      <c r="AO278" s="123"/>
      <c r="AP278" s="4"/>
      <c r="AQ278" s="4"/>
      <c r="AR278" s="4"/>
      <c r="AS278" s="4"/>
      <c r="AT278" s="4"/>
    </row>
    <row r="279" spans="1:46" s="124" customFormat="1" ht="111.95" customHeight="1" x14ac:dyDescent="0.25">
      <c r="A279" s="113">
        <v>143</v>
      </c>
      <c r="B279" s="113" t="s">
        <v>109</v>
      </c>
      <c r="C279" s="114" t="s">
        <v>290</v>
      </c>
      <c r="D279" s="113">
        <v>15</v>
      </c>
      <c r="E279" s="113" t="s">
        <v>291</v>
      </c>
      <c r="F279" s="115" t="s">
        <v>683</v>
      </c>
      <c r="G279" s="116" t="s">
        <v>684</v>
      </c>
      <c r="H279" s="116" t="s">
        <v>685</v>
      </c>
      <c r="I279" s="117" t="s">
        <v>113</v>
      </c>
      <c r="J279" s="116" t="s">
        <v>678</v>
      </c>
      <c r="K279" s="116"/>
      <c r="L279" s="118">
        <v>208875000</v>
      </c>
      <c r="M279" s="118"/>
      <c r="N279" s="119">
        <v>42948</v>
      </c>
      <c r="O279" s="119">
        <v>44773</v>
      </c>
      <c r="P279" s="120">
        <f t="shared" si="73"/>
        <v>5</v>
      </c>
      <c r="Q279" s="114" t="s">
        <v>29</v>
      </c>
      <c r="R279" s="114">
        <f t="shared" ca="1" si="74"/>
        <v>-2.5357829786439505</v>
      </c>
      <c r="S279" s="114" t="str">
        <f t="shared" ca="1" si="61"/>
        <v>Y</v>
      </c>
      <c r="T279" s="121">
        <v>1</v>
      </c>
      <c r="U279" s="121">
        <v>3</v>
      </c>
      <c r="V279" s="121">
        <v>1</v>
      </c>
      <c r="W279" s="121">
        <f t="shared" si="59"/>
        <v>5</v>
      </c>
      <c r="X279" s="121" t="str">
        <f t="shared" si="60"/>
        <v>Biasa</v>
      </c>
      <c r="Y279" s="115"/>
      <c r="Z279" s="114"/>
      <c r="AA279" s="119"/>
      <c r="AB279" s="119"/>
      <c r="AC279" s="119"/>
      <c r="AD279" s="26"/>
      <c r="AE279" s="122"/>
      <c r="AF279" s="114" t="s">
        <v>274</v>
      </c>
      <c r="AG279" s="114" t="s">
        <v>216</v>
      </c>
      <c r="AH279" s="26"/>
      <c r="AI279" s="26"/>
      <c r="AJ279" s="26"/>
      <c r="AK279" s="26"/>
      <c r="AL279" s="26"/>
      <c r="AM279" s="26"/>
      <c r="AN279" s="34" t="s">
        <v>682</v>
      </c>
      <c r="AO279" s="123"/>
      <c r="AP279" s="4"/>
      <c r="AQ279" s="4"/>
      <c r="AR279" s="4"/>
      <c r="AS279" s="4"/>
      <c r="AT279" s="4"/>
    </row>
    <row r="280" spans="1:46" s="124" customFormat="1" ht="111.95" customHeight="1" x14ac:dyDescent="0.25">
      <c r="A280" s="113">
        <v>144</v>
      </c>
      <c r="B280" s="113"/>
      <c r="C280" s="114"/>
      <c r="D280" s="113"/>
      <c r="E280" s="113"/>
      <c r="F280" s="115" t="s">
        <v>686</v>
      </c>
      <c r="G280" s="116" t="s">
        <v>687</v>
      </c>
      <c r="H280" s="116" t="s">
        <v>688</v>
      </c>
      <c r="I280" s="117" t="s">
        <v>113</v>
      </c>
      <c r="J280" s="116" t="s">
        <v>689</v>
      </c>
      <c r="K280" s="116"/>
      <c r="L280" s="118">
        <v>313000000</v>
      </c>
      <c r="M280" s="118"/>
      <c r="N280" s="119">
        <v>42186</v>
      </c>
      <c r="O280" s="119">
        <v>44012</v>
      </c>
      <c r="P280" s="120">
        <f t="shared" si="73"/>
        <v>5.0027397260273974</v>
      </c>
      <c r="Q280" s="114" t="s">
        <v>29</v>
      </c>
      <c r="R280" s="114" t="s">
        <v>117</v>
      </c>
      <c r="S280" s="114" t="str">
        <f t="shared" si="61"/>
        <v>Z</v>
      </c>
      <c r="T280" s="121">
        <v>1</v>
      </c>
      <c r="U280" s="121">
        <v>3</v>
      </c>
      <c r="V280" s="121">
        <v>1</v>
      </c>
      <c r="W280" s="121">
        <f t="shared" si="59"/>
        <v>5</v>
      </c>
      <c r="X280" s="121" t="str">
        <f t="shared" si="60"/>
        <v>Biasa</v>
      </c>
      <c r="Y280" s="115"/>
      <c r="Z280" s="115"/>
      <c r="AA280" s="119"/>
      <c r="AB280" s="119"/>
      <c r="AC280" s="119"/>
      <c r="AD280" s="26"/>
      <c r="AE280" s="122"/>
      <c r="AF280" s="114" t="s">
        <v>274</v>
      </c>
      <c r="AG280" s="114" t="s">
        <v>216</v>
      </c>
      <c r="AH280" s="26"/>
      <c r="AI280" s="26"/>
      <c r="AJ280" s="26"/>
      <c r="AK280" s="26"/>
      <c r="AL280" s="26"/>
      <c r="AM280" s="26"/>
      <c r="AN280" s="26"/>
      <c r="AO280" s="123"/>
      <c r="AP280" s="4"/>
      <c r="AQ280" s="4"/>
      <c r="AR280" s="4"/>
      <c r="AS280" s="4"/>
      <c r="AT280" s="4"/>
    </row>
    <row r="281" spans="1:46" s="124" customFormat="1" ht="111.95" customHeight="1" x14ac:dyDescent="0.25">
      <c r="A281" s="113">
        <v>145</v>
      </c>
      <c r="B281" s="113"/>
      <c r="C281" s="114"/>
      <c r="D281" s="113"/>
      <c r="E281" s="113"/>
      <c r="F281" s="115" t="s">
        <v>690</v>
      </c>
      <c r="G281" s="116" t="s">
        <v>691</v>
      </c>
      <c r="H281" s="116" t="s">
        <v>692</v>
      </c>
      <c r="I281" s="117" t="s">
        <v>113</v>
      </c>
      <c r="J281" s="116" t="s">
        <v>693</v>
      </c>
      <c r="K281" s="116"/>
      <c r="L281" s="118">
        <f>96250000*2</f>
        <v>192500000</v>
      </c>
      <c r="M281" s="118"/>
      <c r="N281" s="119">
        <v>43231</v>
      </c>
      <c r="O281" s="119">
        <v>44326</v>
      </c>
      <c r="P281" s="120">
        <f t="shared" si="73"/>
        <v>3</v>
      </c>
      <c r="Q281" s="114" t="s">
        <v>29</v>
      </c>
      <c r="R281" s="114" t="s">
        <v>117</v>
      </c>
      <c r="S281" s="114" t="str">
        <f t="shared" si="61"/>
        <v>Z</v>
      </c>
      <c r="T281" s="121">
        <v>3</v>
      </c>
      <c r="U281" s="121">
        <v>3</v>
      </c>
      <c r="V281" s="121">
        <v>3</v>
      </c>
      <c r="W281" s="121">
        <f t="shared" si="59"/>
        <v>9</v>
      </c>
      <c r="X281" s="121" t="str">
        <f t="shared" si="60"/>
        <v>Penting</v>
      </c>
      <c r="Y281" s="115"/>
      <c r="Z281" s="115"/>
      <c r="AA281" s="119"/>
      <c r="AB281" s="119"/>
      <c r="AC281" s="119"/>
      <c r="AD281" s="26"/>
      <c r="AE281" s="122"/>
      <c r="AF281" s="114" t="s">
        <v>274</v>
      </c>
      <c r="AG281" s="114" t="s">
        <v>216</v>
      </c>
      <c r="AH281" s="26"/>
      <c r="AI281" s="26"/>
      <c r="AJ281" s="26"/>
      <c r="AK281" s="26"/>
      <c r="AL281" s="26"/>
      <c r="AM281" s="26"/>
      <c r="AN281" s="26"/>
      <c r="AO281" s="123"/>
      <c r="AP281" s="4"/>
      <c r="AQ281" s="4"/>
      <c r="AR281" s="4"/>
      <c r="AS281" s="4"/>
      <c r="AT281" s="4"/>
    </row>
    <row r="282" spans="1:46" s="124" customFormat="1" ht="111.95" customHeight="1" x14ac:dyDescent="0.25">
      <c r="A282" s="113">
        <v>146</v>
      </c>
      <c r="B282" s="113" t="s">
        <v>109</v>
      </c>
      <c r="C282" s="114" t="s">
        <v>290</v>
      </c>
      <c r="D282" s="113">
        <v>16</v>
      </c>
      <c r="E282" s="113" t="s">
        <v>291</v>
      </c>
      <c r="F282" s="115" t="s">
        <v>694</v>
      </c>
      <c r="G282" s="116" t="s">
        <v>691</v>
      </c>
      <c r="H282" s="116" t="s">
        <v>692</v>
      </c>
      <c r="I282" s="117" t="s">
        <v>113</v>
      </c>
      <c r="J282" s="116" t="s">
        <v>695</v>
      </c>
      <c r="K282" s="116" t="s">
        <v>696</v>
      </c>
      <c r="L282" s="118">
        <v>1289000233</v>
      </c>
      <c r="M282" s="118"/>
      <c r="N282" s="119">
        <v>44032</v>
      </c>
      <c r="O282" s="119">
        <v>45127</v>
      </c>
      <c r="P282" s="120">
        <f t="shared" si="73"/>
        <v>3</v>
      </c>
      <c r="Q282" s="114" t="s">
        <v>29</v>
      </c>
      <c r="R282" s="114">
        <f t="shared" ref="R282" ca="1" si="75">(O282-NOW()+1)/31</f>
        <v>8.883571860065727</v>
      </c>
      <c r="S282" s="114" t="str">
        <f t="shared" ca="1" si="61"/>
        <v>O</v>
      </c>
      <c r="T282" s="121">
        <v>3</v>
      </c>
      <c r="U282" s="121">
        <v>3</v>
      </c>
      <c r="V282" s="121">
        <v>3</v>
      </c>
      <c r="W282" s="121">
        <f>T282+U282+V282</f>
        <v>9</v>
      </c>
      <c r="X282" s="121" t="str">
        <f>IF(W282&gt;5,"Penting",IF(ISBLANK(W282),"","Biasa"))</f>
        <v>Penting</v>
      </c>
      <c r="Y282" s="115"/>
      <c r="Z282" s="114"/>
      <c r="AA282" s="119"/>
      <c r="AB282" s="119"/>
      <c r="AC282" s="119"/>
      <c r="AD282" s="26" t="s">
        <v>125</v>
      </c>
      <c r="AE282" s="122">
        <v>44044</v>
      </c>
      <c r="AF282" s="114" t="s">
        <v>274</v>
      </c>
      <c r="AG282" s="114" t="s">
        <v>119</v>
      </c>
      <c r="AH282" s="26"/>
      <c r="AI282" s="26"/>
      <c r="AJ282" s="26"/>
      <c r="AK282" s="26"/>
      <c r="AL282" s="26"/>
      <c r="AM282" s="26"/>
      <c r="AN282" s="34" t="s">
        <v>126</v>
      </c>
      <c r="AO282" s="123">
        <v>44057</v>
      </c>
      <c r="AP282" s="4"/>
      <c r="AQ282" s="4"/>
      <c r="AR282" s="4"/>
      <c r="AS282" s="4"/>
      <c r="AT282" s="4"/>
    </row>
    <row r="283" spans="1:46" s="124" customFormat="1" ht="111.95" customHeight="1" x14ac:dyDescent="0.25">
      <c r="A283" s="113">
        <v>147</v>
      </c>
      <c r="B283" s="113" t="s">
        <v>109</v>
      </c>
      <c r="C283" s="114" t="s">
        <v>290</v>
      </c>
      <c r="D283" s="113" t="s">
        <v>697</v>
      </c>
      <c r="E283" s="113"/>
      <c r="F283" s="115" t="s">
        <v>110</v>
      </c>
      <c r="G283" s="116" t="s">
        <v>698</v>
      </c>
      <c r="H283" s="116" t="s">
        <v>699</v>
      </c>
      <c r="I283" s="117" t="s">
        <v>113</v>
      </c>
      <c r="J283" s="116" t="s">
        <v>700</v>
      </c>
      <c r="K283" s="116"/>
      <c r="L283" s="118"/>
      <c r="M283" s="118"/>
      <c r="N283" s="119">
        <v>43178</v>
      </c>
      <c r="O283" s="119" t="s">
        <v>110</v>
      </c>
      <c r="P283" s="120" t="s">
        <v>110</v>
      </c>
      <c r="Q283" s="114" t="s">
        <v>29</v>
      </c>
      <c r="R283" s="114" t="s">
        <v>117</v>
      </c>
      <c r="S283" s="114" t="str">
        <f t="shared" si="61"/>
        <v>Z</v>
      </c>
      <c r="T283" s="121">
        <v>3</v>
      </c>
      <c r="U283" s="121">
        <v>3</v>
      </c>
      <c r="V283" s="121">
        <v>3</v>
      </c>
      <c r="W283" s="121">
        <f t="shared" si="59"/>
        <v>9</v>
      </c>
      <c r="X283" s="121" t="str">
        <f t="shared" si="60"/>
        <v>Penting</v>
      </c>
      <c r="Y283" s="115"/>
      <c r="Z283" s="114"/>
      <c r="AA283" s="119"/>
      <c r="AB283" s="119"/>
      <c r="AC283" s="119"/>
      <c r="AD283" s="26"/>
      <c r="AE283" s="122"/>
      <c r="AF283" s="114" t="s">
        <v>701</v>
      </c>
      <c r="AG283" s="114" t="s">
        <v>216</v>
      </c>
      <c r="AH283" s="26"/>
      <c r="AI283" s="26"/>
      <c r="AJ283" s="26"/>
      <c r="AK283" s="26"/>
      <c r="AL283" s="26"/>
      <c r="AM283" s="26"/>
      <c r="AN283" s="26"/>
      <c r="AO283" s="123"/>
      <c r="AP283" s="4"/>
      <c r="AQ283" s="4"/>
      <c r="AR283" s="4"/>
      <c r="AS283" s="4"/>
      <c r="AT283" s="4"/>
    </row>
    <row r="284" spans="1:46" s="124" customFormat="1" ht="111.95" customHeight="1" x14ac:dyDescent="0.25">
      <c r="A284" s="113">
        <v>148</v>
      </c>
      <c r="B284" s="113" t="s">
        <v>109</v>
      </c>
      <c r="C284" s="114" t="s">
        <v>290</v>
      </c>
      <c r="D284" s="113" t="s">
        <v>702</v>
      </c>
      <c r="E284" s="113"/>
      <c r="F284" s="115" t="s">
        <v>110</v>
      </c>
      <c r="G284" s="116" t="s">
        <v>703</v>
      </c>
      <c r="H284" s="116" t="s">
        <v>699</v>
      </c>
      <c r="I284" s="117" t="s">
        <v>113</v>
      </c>
      <c r="J284" s="116" t="s">
        <v>704</v>
      </c>
      <c r="K284" s="116"/>
      <c r="L284" s="118"/>
      <c r="M284" s="118"/>
      <c r="N284" s="119">
        <v>43272</v>
      </c>
      <c r="O284" s="119">
        <v>43585</v>
      </c>
      <c r="P284" s="120">
        <f t="shared" si="73"/>
        <v>0.8575342465753425</v>
      </c>
      <c r="Q284" s="114" t="s">
        <v>29</v>
      </c>
      <c r="R284" s="114" t="s">
        <v>117</v>
      </c>
      <c r="S284" s="114" t="str">
        <f>IF(R284="End","Z",IF(R284="Cancel","C",IF(SUM(R284)&gt;0,"O",IF(ISBLANK(R284),"X",IF(SUM(R284)&lt;0,"Y",IF(SUM(R284),"-","O"))))))</f>
        <v>Z</v>
      </c>
      <c r="T284" s="121">
        <v>3</v>
      </c>
      <c r="U284" s="121">
        <v>3</v>
      </c>
      <c r="V284" s="121">
        <v>3</v>
      </c>
      <c r="W284" s="121">
        <f>T284+U284+V284</f>
        <v>9</v>
      </c>
      <c r="X284" s="121" t="str">
        <f>IF(W284&gt;5,"Penting",IF(ISBLANK(W284),"","Biasa"))</f>
        <v>Penting</v>
      </c>
      <c r="Y284" s="115" t="s">
        <v>705</v>
      </c>
      <c r="Z284" s="114"/>
      <c r="AA284" s="119"/>
      <c r="AB284" s="119"/>
      <c r="AC284" s="119"/>
      <c r="AD284" s="26"/>
      <c r="AE284" s="122"/>
      <c r="AF284" s="114" t="s">
        <v>701</v>
      </c>
      <c r="AG284" s="114" t="s">
        <v>216</v>
      </c>
      <c r="AH284" s="26"/>
      <c r="AI284" s="26"/>
      <c r="AJ284" s="26"/>
      <c r="AK284" s="26"/>
      <c r="AL284" s="26"/>
      <c r="AM284" s="26"/>
      <c r="AN284" s="26"/>
      <c r="AO284" s="123"/>
      <c r="AP284" s="4"/>
      <c r="AQ284" s="4"/>
      <c r="AR284" s="4"/>
      <c r="AS284" s="4"/>
      <c r="AT284" s="4"/>
    </row>
    <row r="285" spans="1:46" s="124" customFormat="1" ht="111.95" customHeight="1" x14ac:dyDescent="0.25">
      <c r="A285" s="113">
        <v>149</v>
      </c>
      <c r="B285" s="113" t="s">
        <v>109</v>
      </c>
      <c r="C285" s="114" t="s">
        <v>290</v>
      </c>
      <c r="D285" s="113" t="s">
        <v>706</v>
      </c>
      <c r="E285" s="113"/>
      <c r="F285" s="115" t="s">
        <v>110</v>
      </c>
      <c r="G285" s="116" t="s">
        <v>703</v>
      </c>
      <c r="H285" s="116" t="s">
        <v>699</v>
      </c>
      <c r="I285" s="117" t="s">
        <v>113</v>
      </c>
      <c r="J285" s="116" t="s">
        <v>707</v>
      </c>
      <c r="K285" s="116"/>
      <c r="L285" s="118"/>
      <c r="M285" s="118"/>
      <c r="N285" s="119">
        <v>43847</v>
      </c>
      <c r="O285" s="119">
        <v>44362</v>
      </c>
      <c r="P285" s="120">
        <f t="shared" si="73"/>
        <v>1.4109589041095891</v>
      </c>
      <c r="Q285" s="114" t="s">
        <v>29</v>
      </c>
      <c r="R285" s="114" t="s">
        <v>117</v>
      </c>
      <c r="S285" s="114" t="str">
        <f>IF(R285="End","Z",IF(R285="Cancel","C",IF(SUM(R285)&gt;0,"O",IF(ISBLANK(R285),"X",IF(SUM(R285)&lt;0,"Y",IF(SUM(R285),"-","O"))))))</f>
        <v>Z</v>
      </c>
      <c r="T285" s="121">
        <v>3</v>
      </c>
      <c r="U285" s="121">
        <v>3</v>
      </c>
      <c r="V285" s="121">
        <v>3</v>
      </c>
      <c r="W285" s="121">
        <f>T285+U285+V285</f>
        <v>9</v>
      </c>
      <c r="X285" s="121" t="str">
        <f>IF(W285&gt;5,"Penting",IF(ISBLANK(W285),"","Biasa"))</f>
        <v>Penting</v>
      </c>
      <c r="Y285" s="115" t="s">
        <v>708</v>
      </c>
      <c r="Z285" s="114"/>
      <c r="AA285" s="119"/>
      <c r="AB285" s="119"/>
      <c r="AC285" s="119"/>
      <c r="AD285" s="26"/>
      <c r="AE285" s="122"/>
      <c r="AF285" s="114" t="s">
        <v>701</v>
      </c>
      <c r="AG285" s="114" t="s">
        <v>216</v>
      </c>
      <c r="AH285" s="26"/>
      <c r="AI285" s="26"/>
      <c r="AJ285" s="26"/>
      <c r="AK285" s="26"/>
      <c r="AL285" s="26"/>
      <c r="AM285" s="26"/>
      <c r="AN285" s="26"/>
      <c r="AO285" s="123"/>
      <c r="AP285" s="4"/>
      <c r="AQ285" s="4"/>
      <c r="AR285" s="4"/>
      <c r="AS285" s="4"/>
      <c r="AT285" s="4"/>
    </row>
    <row r="286" spans="1:46" s="124" customFormat="1" ht="111.95" customHeight="1" x14ac:dyDescent="0.25">
      <c r="A286" s="113">
        <v>150</v>
      </c>
      <c r="B286" s="113" t="s">
        <v>109</v>
      </c>
      <c r="C286" s="114" t="s">
        <v>290</v>
      </c>
      <c r="D286" s="113" t="s">
        <v>709</v>
      </c>
      <c r="E286" s="113"/>
      <c r="F286" s="115" t="s">
        <v>110</v>
      </c>
      <c r="G286" s="116" t="s">
        <v>710</v>
      </c>
      <c r="H286" s="116" t="s">
        <v>699</v>
      </c>
      <c r="I286" s="117" t="s">
        <v>113</v>
      </c>
      <c r="J286" s="116"/>
      <c r="K286" s="116"/>
      <c r="L286" s="118"/>
      <c r="M286" s="118"/>
      <c r="N286" s="119">
        <v>43647</v>
      </c>
      <c r="O286" s="119" t="s">
        <v>110</v>
      </c>
      <c r="P286" s="120" t="s">
        <v>110</v>
      </c>
      <c r="Q286" s="114" t="s">
        <v>29</v>
      </c>
      <c r="R286" s="114" t="s">
        <v>110</v>
      </c>
      <c r="S286" s="114" t="str">
        <f>IF(R286="End","Z",IF(R286="Cancel","C",IF(SUM(R286)&gt;0,"O",IF(ISBLANK(R286),"X",IF(SUM(R286)&lt;0,"Y",IF(SUM(R286),"-","O"))))))</f>
        <v>O</v>
      </c>
      <c r="T286" s="121">
        <v>3</v>
      </c>
      <c r="U286" s="121">
        <v>3</v>
      </c>
      <c r="V286" s="121">
        <v>3</v>
      </c>
      <c r="W286" s="121">
        <f>T286+U286+V286</f>
        <v>9</v>
      </c>
      <c r="X286" s="121" t="str">
        <f>IF(W286&gt;5,"Penting",IF(ISBLANK(W286),"","Biasa"))</f>
        <v>Penting</v>
      </c>
      <c r="Y286" s="115"/>
      <c r="Z286" s="114"/>
      <c r="AA286" s="119"/>
      <c r="AB286" s="119"/>
      <c r="AC286" s="119"/>
      <c r="AD286" s="26"/>
      <c r="AE286" s="122"/>
      <c r="AF286" s="114" t="s">
        <v>701</v>
      </c>
      <c r="AG286" s="114" t="s">
        <v>216</v>
      </c>
      <c r="AH286" s="26"/>
      <c r="AI286" s="26"/>
      <c r="AJ286" s="26"/>
      <c r="AK286" s="26"/>
      <c r="AL286" s="26"/>
      <c r="AM286" s="26"/>
      <c r="AN286" s="34" t="s">
        <v>365</v>
      </c>
      <c r="AO286" s="123"/>
      <c r="AP286" s="4"/>
      <c r="AQ286" s="4"/>
      <c r="AR286" s="4"/>
      <c r="AS286" s="4"/>
      <c r="AT286" s="4"/>
    </row>
    <row r="287" spans="1:46" s="124" customFormat="1" ht="111.95" customHeight="1" x14ac:dyDescent="0.25">
      <c r="A287" s="113">
        <v>151</v>
      </c>
      <c r="B287" s="113" t="s">
        <v>109</v>
      </c>
      <c r="C287" s="114" t="s">
        <v>290</v>
      </c>
      <c r="D287" s="113" t="s">
        <v>711</v>
      </c>
      <c r="E287" s="113"/>
      <c r="F287" s="115" t="s">
        <v>110</v>
      </c>
      <c r="G287" s="116" t="s">
        <v>712</v>
      </c>
      <c r="H287" s="116" t="s">
        <v>699</v>
      </c>
      <c r="I287" s="117" t="s">
        <v>113</v>
      </c>
      <c r="J287" s="116"/>
      <c r="K287" s="116"/>
      <c r="L287" s="118"/>
      <c r="M287" s="118"/>
      <c r="N287" s="119">
        <v>44368</v>
      </c>
      <c r="O287" s="119">
        <v>44732</v>
      </c>
      <c r="P287" s="120">
        <f t="shared" ref="P287" si="76">(O287-N287)/365</f>
        <v>0.99726027397260275</v>
      </c>
      <c r="Q287" s="114" t="s">
        <v>29</v>
      </c>
      <c r="R287" s="114">
        <f t="shared" ref="R287:R293" ca="1" si="77">(O287-NOW()+1)/31</f>
        <v>-3.858363623805241</v>
      </c>
      <c r="S287" s="114" t="str">
        <f ca="1">IF(R287="End","Z",IF(R287="Cancel","C",IF(SUM(R287)&gt;0,"O",IF(ISBLANK(R287),"X",IF(SUM(R287)&lt;0,"Y",IF(SUM(R287),"-","O"))))))</f>
        <v>Y</v>
      </c>
      <c r="T287" s="121">
        <v>3</v>
      </c>
      <c r="U287" s="121">
        <v>3</v>
      </c>
      <c r="V287" s="121">
        <v>3</v>
      </c>
      <c r="W287" s="121">
        <f>T287+U287+V287</f>
        <v>9</v>
      </c>
      <c r="X287" s="121" t="str">
        <f>IF(W287&gt;5,"Penting",IF(ISBLANK(W287),"","Biasa"))</f>
        <v>Penting</v>
      </c>
      <c r="Y287" s="115" t="s">
        <v>713</v>
      </c>
      <c r="Z287" s="114"/>
      <c r="AA287" s="119"/>
      <c r="AB287" s="119"/>
      <c r="AC287" s="119"/>
      <c r="AD287" s="26"/>
      <c r="AE287" s="122"/>
      <c r="AF287" s="114" t="s">
        <v>701</v>
      </c>
      <c r="AG287" s="114" t="s">
        <v>216</v>
      </c>
      <c r="AH287" s="26"/>
      <c r="AI287" s="26"/>
      <c r="AJ287" s="26"/>
      <c r="AK287" s="26"/>
      <c r="AL287" s="26"/>
      <c r="AM287" s="26"/>
      <c r="AN287" s="34" t="s">
        <v>714</v>
      </c>
      <c r="AO287" s="123"/>
      <c r="AP287" s="4"/>
      <c r="AQ287" s="4"/>
      <c r="AR287" s="4"/>
      <c r="AS287" s="4"/>
      <c r="AT287" s="4"/>
    </row>
    <row r="288" spans="1:46" s="124" customFormat="1" ht="111.95" customHeight="1" x14ac:dyDescent="0.25">
      <c r="A288" s="113">
        <v>152</v>
      </c>
      <c r="B288" s="113"/>
      <c r="C288" s="114"/>
      <c r="D288" s="113"/>
      <c r="E288" s="113"/>
      <c r="F288" s="115" t="s">
        <v>715</v>
      </c>
      <c r="G288" s="116" t="s">
        <v>716</v>
      </c>
      <c r="H288" s="116" t="s">
        <v>717</v>
      </c>
      <c r="I288" s="117" t="s">
        <v>160</v>
      </c>
      <c r="J288" s="116" t="s">
        <v>718</v>
      </c>
      <c r="K288" s="116"/>
      <c r="L288" s="118">
        <v>11650000</v>
      </c>
      <c r="M288" s="118"/>
      <c r="N288" s="119">
        <v>43241</v>
      </c>
      <c r="O288" s="119">
        <v>43605</v>
      </c>
      <c r="P288" s="120">
        <f>(O288-N288)/365</f>
        <v>0.99726027397260275</v>
      </c>
      <c r="Q288" s="114" t="s">
        <v>36</v>
      </c>
      <c r="R288" s="114" t="s">
        <v>117</v>
      </c>
      <c r="S288" s="114" t="str">
        <f t="shared" si="61"/>
        <v>Z</v>
      </c>
      <c r="T288" s="121"/>
      <c r="U288" s="121"/>
      <c r="V288" s="121"/>
      <c r="W288" s="121">
        <f t="shared" si="59"/>
        <v>0</v>
      </c>
      <c r="X288" s="121" t="str">
        <f t="shared" si="60"/>
        <v>Biasa</v>
      </c>
      <c r="Y288" s="115"/>
      <c r="Z288" s="115"/>
      <c r="AA288" s="119"/>
      <c r="AB288" s="119"/>
      <c r="AC288" s="119"/>
      <c r="AD288" s="26" t="s">
        <v>16</v>
      </c>
      <c r="AE288" s="122">
        <v>43586</v>
      </c>
      <c r="AF288" s="114" t="s">
        <v>719</v>
      </c>
      <c r="AG288" s="114"/>
      <c r="AH288" s="26"/>
      <c r="AI288" s="26"/>
      <c r="AJ288" s="26"/>
      <c r="AK288" s="26"/>
      <c r="AL288" s="26"/>
      <c r="AM288" s="26"/>
      <c r="AN288" s="26"/>
      <c r="AO288" s="123"/>
      <c r="AP288" s="4"/>
      <c r="AQ288" s="4"/>
      <c r="AR288" s="4"/>
      <c r="AS288" s="4"/>
      <c r="AT288" s="4"/>
    </row>
    <row r="289" spans="1:46" s="124" customFormat="1" ht="111.95" customHeight="1" x14ac:dyDescent="0.25">
      <c r="A289" s="113">
        <v>153</v>
      </c>
      <c r="B289" s="113" t="s">
        <v>109</v>
      </c>
      <c r="C289" s="114" t="s">
        <v>391</v>
      </c>
      <c r="D289" s="113">
        <v>14</v>
      </c>
      <c r="E289" s="113" t="s">
        <v>121</v>
      </c>
      <c r="F289" s="115" t="s">
        <v>720</v>
      </c>
      <c r="G289" s="116" t="s">
        <v>721</v>
      </c>
      <c r="H289" s="116" t="s">
        <v>722</v>
      </c>
      <c r="I289" s="117" t="s">
        <v>113</v>
      </c>
      <c r="J289" s="116" t="s">
        <v>723</v>
      </c>
      <c r="K289" s="116" t="s">
        <v>724</v>
      </c>
      <c r="L289" s="118"/>
      <c r="M289" s="118"/>
      <c r="N289" s="119">
        <v>44355</v>
      </c>
      <c r="O289" s="119">
        <v>44719</v>
      </c>
      <c r="P289" s="120">
        <f t="shared" ref="P289:P320" si="78">(O289-N289)/365</f>
        <v>0.99726027397260275</v>
      </c>
      <c r="Q289" s="114" t="s">
        <v>30</v>
      </c>
      <c r="R289" s="114">
        <f t="shared" ca="1" si="77"/>
        <v>-4.2777184625149181</v>
      </c>
      <c r="S289" s="114" t="str">
        <f t="shared" ca="1" si="61"/>
        <v>Y</v>
      </c>
      <c r="T289" s="121">
        <v>3</v>
      </c>
      <c r="U289" s="121">
        <v>2</v>
      </c>
      <c r="V289" s="121">
        <v>2</v>
      </c>
      <c r="W289" s="121">
        <f t="shared" si="59"/>
        <v>7</v>
      </c>
      <c r="X289" s="121" t="str">
        <f t="shared" si="60"/>
        <v>Penting</v>
      </c>
      <c r="Y289" s="115"/>
      <c r="Z289" s="125"/>
      <c r="AA289" s="119"/>
      <c r="AB289" s="119"/>
      <c r="AC289" s="119"/>
      <c r="AD289" s="26"/>
      <c r="AE289" s="122"/>
      <c r="AF289" s="114" t="s">
        <v>725</v>
      </c>
      <c r="AG289" s="114" t="s">
        <v>119</v>
      </c>
      <c r="AH289" s="26"/>
      <c r="AI289" s="26"/>
      <c r="AJ289" s="26"/>
      <c r="AK289" s="26"/>
      <c r="AL289" s="26"/>
      <c r="AM289" s="26"/>
      <c r="AN289" s="34" t="s">
        <v>126</v>
      </c>
      <c r="AO289" s="123">
        <v>44377</v>
      </c>
      <c r="AP289" s="4"/>
      <c r="AQ289" s="4"/>
      <c r="AR289" s="4"/>
      <c r="AS289" s="4"/>
      <c r="AT289" s="4"/>
    </row>
    <row r="290" spans="1:46" s="124" customFormat="1" ht="111.95" customHeight="1" x14ac:dyDescent="0.25">
      <c r="A290" s="113">
        <v>154</v>
      </c>
      <c r="B290" s="113" t="s">
        <v>109</v>
      </c>
      <c r="C290" s="114" t="s">
        <v>391</v>
      </c>
      <c r="D290" s="113">
        <v>15</v>
      </c>
      <c r="E290" s="113" t="s">
        <v>121</v>
      </c>
      <c r="F290" s="115" t="s">
        <v>726</v>
      </c>
      <c r="G290" s="116" t="s">
        <v>727</v>
      </c>
      <c r="H290" s="116" t="s">
        <v>728</v>
      </c>
      <c r="I290" s="117" t="s">
        <v>160</v>
      </c>
      <c r="J290" s="116" t="s">
        <v>729</v>
      </c>
      <c r="K290" s="116" t="s">
        <v>730</v>
      </c>
      <c r="L290" s="118">
        <v>7000</v>
      </c>
      <c r="M290" s="118" t="s">
        <v>731</v>
      </c>
      <c r="N290" s="119">
        <v>44577</v>
      </c>
      <c r="O290" s="119">
        <v>44696</v>
      </c>
      <c r="P290" s="120">
        <f t="shared" si="78"/>
        <v>0.32602739726027397</v>
      </c>
      <c r="Q290" s="114" t="s">
        <v>29</v>
      </c>
      <c r="R290" s="114">
        <f t="shared" ca="1" si="77"/>
        <v>-5.019653946385886</v>
      </c>
      <c r="S290" s="114" t="str">
        <f t="shared" ca="1" si="61"/>
        <v>Y</v>
      </c>
      <c r="T290" s="121">
        <v>3</v>
      </c>
      <c r="U290" s="121">
        <v>2</v>
      </c>
      <c r="V290" s="121">
        <v>2</v>
      </c>
      <c r="W290" s="121">
        <f t="shared" si="59"/>
        <v>7</v>
      </c>
      <c r="X290" s="121" t="str">
        <f t="shared" si="60"/>
        <v>Penting</v>
      </c>
      <c r="Y290" s="115" t="s">
        <v>732</v>
      </c>
      <c r="Z290" s="125"/>
      <c r="AA290" s="119"/>
      <c r="AB290" s="119"/>
      <c r="AC290" s="119"/>
      <c r="AD290" s="26"/>
      <c r="AE290" s="122"/>
      <c r="AF290" s="114" t="s">
        <v>274</v>
      </c>
      <c r="AG290" s="114" t="s">
        <v>119</v>
      </c>
      <c r="AH290" s="26"/>
      <c r="AI290" s="26"/>
      <c r="AJ290" s="26"/>
      <c r="AK290" s="26"/>
      <c r="AL290" s="26"/>
      <c r="AM290" s="26"/>
      <c r="AN290" s="34" t="s">
        <v>126</v>
      </c>
      <c r="AO290" s="123">
        <v>44575</v>
      </c>
      <c r="AP290" s="4"/>
      <c r="AQ290" s="4"/>
      <c r="AR290" s="4"/>
      <c r="AS290" s="4"/>
      <c r="AT290" s="4"/>
    </row>
    <row r="291" spans="1:46" s="124" customFormat="1" ht="111.95" customHeight="1" x14ac:dyDescent="0.25">
      <c r="A291" s="113">
        <v>155</v>
      </c>
      <c r="B291" s="113" t="s">
        <v>109</v>
      </c>
      <c r="C291" s="114" t="s">
        <v>391</v>
      </c>
      <c r="D291" s="113">
        <v>16</v>
      </c>
      <c r="E291" s="113" t="s">
        <v>121</v>
      </c>
      <c r="F291" s="115" t="s">
        <v>733</v>
      </c>
      <c r="G291" s="116" t="s">
        <v>727</v>
      </c>
      <c r="H291" s="116" t="s">
        <v>734</v>
      </c>
      <c r="I291" s="117" t="s">
        <v>160</v>
      </c>
      <c r="J291" s="116" t="s">
        <v>729</v>
      </c>
      <c r="K291" s="116" t="s">
        <v>735</v>
      </c>
      <c r="L291" s="118">
        <v>7000</v>
      </c>
      <c r="M291" s="118" t="s">
        <v>731</v>
      </c>
      <c r="N291" s="119">
        <v>44577</v>
      </c>
      <c r="O291" s="119">
        <v>44696</v>
      </c>
      <c r="P291" s="120">
        <f t="shared" si="78"/>
        <v>0.32602739726027397</v>
      </c>
      <c r="Q291" s="114" t="s">
        <v>29</v>
      </c>
      <c r="R291" s="114">
        <f t="shared" ca="1" si="77"/>
        <v>-5.019653946385886</v>
      </c>
      <c r="S291" s="114" t="str">
        <f t="shared" ca="1" si="61"/>
        <v>Y</v>
      </c>
      <c r="T291" s="121">
        <v>3</v>
      </c>
      <c r="U291" s="121">
        <v>2</v>
      </c>
      <c r="V291" s="121">
        <v>2</v>
      </c>
      <c r="W291" s="121">
        <f t="shared" si="59"/>
        <v>7</v>
      </c>
      <c r="X291" s="121" t="str">
        <f t="shared" si="60"/>
        <v>Penting</v>
      </c>
      <c r="Y291" s="115" t="s">
        <v>736</v>
      </c>
      <c r="Z291" s="125"/>
      <c r="AA291" s="119"/>
      <c r="AB291" s="119"/>
      <c r="AC291" s="119"/>
      <c r="AD291" s="26"/>
      <c r="AE291" s="122"/>
      <c r="AF291" s="114" t="s">
        <v>274</v>
      </c>
      <c r="AG291" s="114" t="s">
        <v>119</v>
      </c>
      <c r="AH291" s="26"/>
      <c r="AI291" s="26"/>
      <c r="AJ291" s="26"/>
      <c r="AK291" s="26"/>
      <c r="AL291" s="26"/>
      <c r="AM291" s="26"/>
      <c r="AN291" s="34" t="s">
        <v>126</v>
      </c>
      <c r="AO291" s="123">
        <v>44575</v>
      </c>
      <c r="AP291" s="4"/>
      <c r="AQ291" s="4"/>
      <c r="AR291" s="4"/>
      <c r="AS291" s="4"/>
      <c r="AT291" s="4"/>
    </row>
    <row r="292" spans="1:46" s="124" customFormat="1" ht="111.95" customHeight="1" x14ac:dyDescent="0.25">
      <c r="A292" s="113">
        <v>156</v>
      </c>
      <c r="B292" s="113" t="s">
        <v>109</v>
      </c>
      <c r="C292" s="114" t="s">
        <v>391</v>
      </c>
      <c r="D292" s="113">
        <v>17</v>
      </c>
      <c r="E292" s="113" t="s">
        <v>121</v>
      </c>
      <c r="F292" s="115" t="s">
        <v>737</v>
      </c>
      <c r="G292" s="116" t="s">
        <v>727</v>
      </c>
      <c r="H292" s="116" t="s">
        <v>738</v>
      </c>
      <c r="I292" s="117" t="s">
        <v>160</v>
      </c>
      <c r="J292" s="116" t="s">
        <v>729</v>
      </c>
      <c r="K292" s="116" t="s">
        <v>739</v>
      </c>
      <c r="L292" s="118">
        <v>7000</v>
      </c>
      <c r="M292" s="118" t="s">
        <v>731</v>
      </c>
      <c r="N292" s="119">
        <v>44577</v>
      </c>
      <c r="O292" s="119">
        <v>44696</v>
      </c>
      <c r="P292" s="120">
        <f t="shared" si="78"/>
        <v>0.32602739726027397</v>
      </c>
      <c r="Q292" s="114" t="s">
        <v>29</v>
      </c>
      <c r="R292" s="114">
        <f t="shared" ca="1" si="77"/>
        <v>-5.019653946385886</v>
      </c>
      <c r="S292" s="114" t="str">
        <f t="shared" ca="1" si="61"/>
        <v>Y</v>
      </c>
      <c r="T292" s="121">
        <v>3</v>
      </c>
      <c r="U292" s="121">
        <v>2</v>
      </c>
      <c r="V292" s="121">
        <v>2</v>
      </c>
      <c r="W292" s="121">
        <f t="shared" si="59"/>
        <v>7</v>
      </c>
      <c r="X292" s="121" t="str">
        <f t="shared" si="60"/>
        <v>Penting</v>
      </c>
      <c r="Y292" s="115" t="s">
        <v>740</v>
      </c>
      <c r="Z292" s="125"/>
      <c r="AA292" s="119"/>
      <c r="AB292" s="119"/>
      <c r="AC292" s="119"/>
      <c r="AD292" s="26"/>
      <c r="AE292" s="122"/>
      <c r="AF292" s="114" t="s">
        <v>274</v>
      </c>
      <c r="AG292" s="114" t="s">
        <v>119</v>
      </c>
      <c r="AH292" s="26"/>
      <c r="AI292" s="26"/>
      <c r="AJ292" s="26"/>
      <c r="AK292" s="26"/>
      <c r="AL292" s="26"/>
      <c r="AM292" s="26"/>
      <c r="AN292" s="34" t="s">
        <v>126</v>
      </c>
      <c r="AO292" s="123">
        <v>44575</v>
      </c>
      <c r="AP292" s="4"/>
      <c r="AQ292" s="4"/>
      <c r="AR292" s="4"/>
      <c r="AS292" s="4"/>
      <c r="AT292" s="4"/>
    </row>
    <row r="293" spans="1:46" s="124" customFormat="1" ht="111.95" customHeight="1" x14ac:dyDescent="0.25">
      <c r="A293" s="113">
        <v>157</v>
      </c>
      <c r="B293" s="113" t="s">
        <v>109</v>
      </c>
      <c r="C293" s="114" t="s">
        <v>391</v>
      </c>
      <c r="D293" s="113">
        <v>18</v>
      </c>
      <c r="E293" s="113" t="s">
        <v>121</v>
      </c>
      <c r="F293" s="115" t="s">
        <v>741</v>
      </c>
      <c r="G293" s="116" t="s">
        <v>727</v>
      </c>
      <c r="H293" s="116" t="s">
        <v>742</v>
      </c>
      <c r="I293" s="117" t="s">
        <v>160</v>
      </c>
      <c r="J293" s="116" t="s">
        <v>729</v>
      </c>
      <c r="K293" s="116" t="s">
        <v>743</v>
      </c>
      <c r="L293" s="118">
        <v>7000</v>
      </c>
      <c r="M293" s="118" t="s">
        <v>731</v>
      </c>
      <c r="N293" s="119">
        <v>44577</v>
      </c>
      <c r="O293" s="119">
        <v>44696</v>
      </c>
      <c r="P293" s="120">
        <f t="shared" si="78"/>
        <v>0.32602739726027397</v>
      </c>
      <c r="Q293" s="114" t="s">
        <v>29</v>
      </c>
      <c r="R293" s="114">
        <f t="shared" ca="1" si="77"/>
        <v>-5.019653946385886</v>
      </c>
      <c r="S293" s="114" t="str">
        <f t="shared" ca="1" si="61"/>
        <v>Y</v>
      </c>
      <c r="T293" s="121">
        <v>3</v>
      </c>
      <c r="U293" s="121">
        <v>2</v>
      </c>
      <c r="V293" s="121">
        <v>2</v>
      </c>
      <c r="W293" s="121">
        <f t="shared" si="59"/>
        <v>7</v>
      </c>
      <c r="X293" s="121" t="str">
        <f t="shared" si="60"/>
        <v>Penting</v>
      </c>
      <c r="Y293" s="115" t="s">
        <v>744</v>
      </c>
      <c r="Z293" s="125"/>
      <c r="AA293" s="119"/>
      <c r="AB293" s="119"/>
      <c r="AC293" s="119"/>
      <c r="AD293" s="26"/>
      <c r="AE293" s="122"/>
      <c r="AF293" s="114" t="s">
        <v>274</v>
      </c>
      <c r="AG293" s="114" t="s">
        <v>119</v>
      </c>
      <c r="AH293" s="26"/>
      <c r="AI293" s="26"/>
      <c r="AJ293" s="26"/>
      <c r="AK293" s="26"/>
      <c r="AL293" s="26"/>
      <c r="AM293" s="26"/>
      <c r="AN293" s="34" t="s">
        <v>126</v>
      </c>
      <c r="AO293" s="123">
        <v>44575</v>
      </c>
      <c r="AP293" s="4"/>
      <c r="AQ293" s="4"/>
      <c r="AR293" s="4"/>
      <c r="AS293" s="4"/>
      <c r="AT293" s="4"/>
    </row>
    <row r="294" spans="1:46" s="124" customFormat="1" ht="111.95" customHeight="1" x14ac:dyDescent="0.25">
      <c r="A294" s="113">
        <v>158</v>
      </c>
      <c r="B294" s="113"/>
      <c r="C294" s="114"/>
      <c r="D294" s="113"/>
      <c r="E294" s="113"/>
      <c r="F294" s="115" t="s">
        <v>745</v>
      </c>
      <c r="G294" s="116" t="s">
        <v>727</v>
      </c>
      <c r="H294" s="116" t="s">
        <v>746</v>
      </c>
      <c r="I294" s="117" t="s">
        <v>113</v>
      </c>
      <c r="J294" s="116" t="s">
        <v>729</v>
      </c>
      <c r="K294" s="116" t="s">
        <v>747</v>
      </c>
      <c r="L294" s="118">
        <v>7000</v>
      </c>
      <c r="M294" s="118" t="s">
        <v>731</v>
      </c>
      <c r="N294" s="119">
        <v>44332</v>
      </c>
      <c r="O294" s="119">
        <v>44454</v>
      </c>
      <c r="P294" s="120">
        <f t="shared" si="78"/>
        <v>0.33424657534246577</v>
      </c>
      <c r="Q294" s="114" t="s">
        <v>29</v>
      </c>
      <c r="R294" s="114" t="s">
        <v>117</v>
      </c>
      <c r="S294" s="114" t="str">
        <f t="shared" si="61"/>
        <v>Z</v>
      </c>
      <c r="T294" s="121">
        <v>3</v>
      </c>
      <c r="U294" s="121">
        <v>2</v>
      </c>
      <c r="V294" s="121">
        <v>2</v>
      </c>
      <c r="W294" s="121">
        <f t="shared" si="59"/>
        <v>7</v>
      </c>
      <c r="X294" s="121" t="str">
        <f t="shared" si="60"/>
        <v>Penting</v>
      </c>
      <c r="Y294" s="115"/>
      <c r="Z294" s="115"/>
      <c r="AA294" s="119"/>
      <c r="AB294" s="119"/>
      <c r="AC294" s="119"/>
      <c r="AD294" s="26" t="s">
        <v>16</v>
      </c>
      <c r="AE294" s="122">
        <v>44440</v>
      </c>
      <c r="AF294" s="114" t="s">
        <v>274</v>
      </c>
      <c r="AG294" s="114" t="s">
        <v>119</v>
      </c>
      <c r="AH294" s="26"/>
      <c r="AI294" s="26"/>
      <c r="AJ294" s="26"/>
      <c r="AK294" s="26"/>
      <c r="AL294" s="26"/>
      <c r="AM294" s="26"/>
      <c r="AN294" s="26"/>
      <c r="AO294" s="123"/>
      <c r="AP294" s="4"/>
      <c r="AQ294" s="4"/>
      <c r="AR294" s="4"/>
      <c r="AS294" s="4"/>
      <c r="AT294" s="4"/>
    </row>
    <row r="295" spans="1:46" s="124" customFormat="1" ht="111.95" customHeight="1" x14ac:dyDescent="0.25">
      <c r="A295" s="113">
        <v>159</v>
      </c>
      <c r="B295" s="113"/>
      <c r="C295" s="114"/>
      <c r="D295" s="113"/>
      <c r="E295" s="113"/>
      <c r="F295" s="115"/>
      <c r="G295" s="116" t="s">
        <v>727</v>
      </c>
      <c r="H295" s="116" t="s">
        <v>748</v>
      </c>
      <c r="I295" s="117" t="s">
        <v>160</v>
      </c>
      <c r="J295" s="116" t="s">
        <v>729</v>
      </c>
      <c r="K295" s="116"/>
      <c r="L295" s="118">
        <v>7000</v>
      </c>
      <c r="M295" s="118" t="s">
        <v>731</v>
      </c>
      <c r="N295" s="119">
        <v>43601</v>
      </c>
      <c r="O295" s="119">
        <v>43723</v>
      </c>
      <c r="P295" s="120">
        <f t="shared" si="78"/>
        <v>0.33424657534246577</v>
      </c>
      <c r="Q295" s="114" t="s">
        <v>29</v>
      </c>
      <c r="R295" s="114" t="s">
        <v>117</v>
      </c>
      <c r="S295" s="114" t="str">
        <f t="shared" si="61"/>
        <v>Z</v>
      </c>
      <c r="T295" s="121">
        <v>3</v>
      </c>
      <c r="U295" s="121">
        <v>2</v>
      </c>
      <c r="V295" s="121">
        <v>2</v>
      </c>
      <c r="W295" s="121">
        <f t="shared" si="59"/>
        <v>7</v>
      </c>
      <c r="X295" s="121" t="str">
        <f t="shared" si="60"/>
        <v>Penting</v>
      </c>
      <c r="Y295" s="115"/>
      <c r="Z295" s="115"/>
      <c r="AA295" s="119"/>
      <c r="AB295" s="119"/>
      <c r="AC295" s="119"/>
      <c r="AD295" s="26" t="s">
        <v>16</v>
      </c>
      <c r="AE295" s="122">
        <v>43862</v>
      </c>
      <c r="AF295" s="114" t="s">
        <v>274</v>
      </c>
      <c r="AG295" s="114" t="s">
        <v>119</v>
      </c>
      <c r="AH295" s="26"/>
      <c r="AI295" s="26"/>
      <c r="AJ295" s="26"/>
      <c r="AK295" s="26"/>
      <c r="AL295" s="26"/>
      <c r="AM295" s="26"/>
      <c r="AN295" s="26"/>
      <c r="AO295" s="123"/>
      <c r="AP295" s="4"/>
      <c r="AQ295" s="4"/>
      <c r="AR295" s="4"/>
      <c r="AS295" s="4"/>
      <c r="AT295" s="4"/>
    </row>
    <row r="296" spans="1:46" s="124" customFormat="1" ht="111.95" customHeight="1" x14ac:dyDescent="0.25">
      <c r="A296" s="113">
        <v>160</v>
      </c>
      <c r="B296" s="113" t="s">
        <v>109</v>
      </c>
      <c r="C296" s="114" t="s">
        <v>391</v>
      </c>
      <c r="D296" s="113">
        <v>20</v>
      </c>
      <c r="E296" s="113" t="s">
        <v>121</v>
      </c>
      <c r="F296" s="115" t="s">
        <v>749</v>
      </c>
      <c r="G296" s="116" t="s">
        <v>727</v>
      </c>
      <c r="H296" s="116" t="s">
        <v>750</v>
      </c>
      <c r="I296" s="117" t="s">
        <v>160</v>
      </c>
      <c r="J296" s="116" t="s">
        <v>729</v>
      </c>
      <c r="K296" s="116" t="s">
        <v>751</v>
      </c>
      <c r="L296" s="118">
        <v>7000</v>
      </c>
      <c r="M296" s="118" t="s">
        <v>731</v>
      </c>
      <c r="N296" s="119">
        <v>44577</v>
      </c>
      <c r="O296" s="119">
        <v>44696</v>
      </c>
      <c r="P296" s="120">
        <f t="shared" si="78"/>
        <v>0.32602739726027397</v>
      </c>
      <c r="Q296" s="114" t="s">
        <v>29</v>
      </c>
      <c r="R296" s="114">
        <f t="shared" ref="R296:R299" ca="1" si="79">(O296-NOW()+1)/31</f>
        <v>-5.019653946385886</v>
      </c>
      <c r="S296" s="114" t="str">
        <f t="shared" ca="1" si="61"/>
        <v>Y</v>
      </c>
      <c r="T296" s="121">
        <v>3</v>
      </c>
      <c r="U296" s="121">
        <v>2</v>
      </c>
      <c r="V296" s="121">
        <v>2</v>
      </c>
      <c r="W296" s="121">
        <f t="shared" si="59"/>
        <v>7</v>
      </c>
      <c r="X296" s="121" t="str">
        <f t="shared" si="60"/>
        <v>Penting</v>
      </c>
      <c r="Y296" s="115" t="s">
        <v>752</v>
      </c>
      <c r="Z296" s="125"/>
      <c r="AA296" s="119"/>
      <c r="AB296" s="119"/>
      <c r="AC296" s="119"/>
      <c r="AD296" s="26"/>
      <c r="AE296" s="122"/>
      <c r="AF296" s="114" t="s">
        <v>274</v>
      </c>
      <c r="AG296" s="114" t="s">
        <v>119</v>
      </c>
      <c r="AH296" s="26"/>
      <c r="AI296" s="26"/>
      <c r="AJ296" s="26"/>
      <c r="AK296" s="26"/>
      <c r="AL296" s="26"/>
      <c r="AM296" s="26"/>
      <c r="AN296" s="34" t="s">
        <v>126</v>
      </c>
      <c r="AO296" s="123">
        <v>44575</v>
      </c>
      <c r="AP296" s="4"/>
      <c r="AQ296" s="4"/>
      <c r="AR296" s="4"/>
      <c r="AS296" s="4"/>
      <c r="AT296" s="4"/>
    </row>
    <row r="297" spans="1:46" s="124" customFormat="1" ht="111.95" customHeight="1" x14ac:dyDescent="0.25">
      <c r="A297" s="113">
        <v>161</v>
      </c>
      <c r="B297" s="113" t="s">
        <v>109</v>
      </c>
      <c r="C297" s="114" t="s">
        <v>391</v>
      </c>
      <c r="D297" s="113">
        <v>21</v>
      </c>
      <c r="E297" s="113" t="s">
        <v>121</v>
      </c>
      <c r="F297" s="115" t="s">
        <v>753</v>
      </c>
      <c r="G297" s="116" t="s">
        <v>727</v>
      </c>
      <c r="H297" s="116" t="s">
        <v>754</v>
      </c>
      <c r="I297" s="117" t="s">
        <v>160</v>
      </c>
      <c r="J297" s="116" t="s">
        <v>729</v>
      </c>
      <c r="K297" s="116" t="s">
        <v>755</v>
      </c>
      <c r="L297" s="118">
        <v>7000</v>
      </c>
      <c r="M297" s="118" t="s">
        <v>731</v>
      </c>
      <c r="N297" s="119">
        <v>44594</v>
      </c>
      <c r="O297" s="119">
        <v>44696</v>
      </c>
      <c r="P297" s="120">
        <f t="shared" si="78"/>
        <v>0.27945205479452057</v>
      </c>
      <c r="Q297" s="114" t="s">
        <v>29</v>
      </c>
      <c r="R297" s="114">
        <f t="shared" ca="1" si="79"/>
        <v>-5.019653946385886</v>
      </c>
      <c r="S297" s="114" t="str">
        <f t="shared" ca="1" si="61"/>
        <v>Y</v>
      </c>
      <c r="T297" s="121">
        <v>3</v>
      </c>
      <c r="U297" s="121">
        <v>2</v>
      </c>
      <c r="V297" s="121">
        <v>2</v>
      </c>
      <c r="W297" s="121">
        <f t="shared" si="59"/>
        <v>7</v>
      </c>
      <c r="X297" s="121" t="str">
        <f t="shared" si="60"/>
        <v>Penting</v>
      </c>
      <c r="Y297" s="115" t="s">
        <v>756</v>
      </c>
      <c r="Z297" s="125"/>
      <c r="AA297" s="119"/>
      <c r="AB297" s="119"/>
      <c r="AC297" s="119"/>
      <c r="AD297" s="26"/>
      <c r="AE297" s="122"/>
      <c r="AF297" s="114" t="s">
        <v>274</v>
      </c>
      <c r="AG297" s="114" t="s">
        <v>119</v>
      </c>
      <c r="AH297" s="26"/>
      <c r="AI297" s="26"/>
      <c r="AJ297" s="26"/>
      <c r="AK297" s="26"/>
      <c r="AL297" s="26"/>
      <c r="AM297" s="26"/>
      <c r="AN297" s="34" t="s">
        <v>126</v>
      </c>
      <c r="AO297" s="123">
        <v>44594</v>
      </c>
      <c r="AP297" s="4"/>
      <c r="AQ297" s="4"/>
      <c r="AR297" s="4"/>
      <c r="AS297" s="4"/>
      <c r="AT297" s="4"/>
    </row>
    <row r="298" spans="1:46" s="124" customFormat="1" ht="111.95" customHeight="1" x14ac:dyDescent="0.25">
      <c r="A298" s="113">
        <v>162</v>
      </c>
      <c r="B298" s="113" t="s">
        <v>109</v>
      </c>
      <c r="C298" s="114" t="s">
        <v>391</v>
      </c>
      <c r="D298" s="113">
        <v>22</v>
      </c>
      <c r="E298" s="113" t="s">
        <v>121</v>
      </c>
      <c r="F298" s="115" t="s">
        <v>757</v>
      </c>
      <c r="G298" s="116" t="s">
        <v>727</v>
      </c>
      <c r="H298" s="116" t="s">
        <v>758</v>
      </c>
      <c r="I298" s="117" t="s">
        <v>160</v>
      </c>
      <c r="J298" s="116" t="s">
        <v>729</v>
      </c>
      <c r="K298" s="116" t="s">
        <v>759</v>
      </c>
      <c r="L298" s="118">
        <v>7000</v>
      </c>
      <c r="M298" s="118" t="s">
        <v>731</v>
      </c>
      <c r="N298" s="119">
        <v>44577</v>
      </c>
      <c r="O298" s="119">
        <v>44696</v>
      </c>
      <c r="P298" s="120">
        <f t="shared" si="78"/>
        <v>0.32602739726027397</v>
      </c>
      <c r="Q298" s="114" t="s">
        <v>29</v>
      </c>
      <c r="R298" s="114">
        <f t="shared" ca="1" si="79"/>
        <v>-5.019653946385886</v>
      </c>
      <c r="S298" s="114" t="str">
        <f t="shared" ca="1" si="61"/>
        <v>Y</v>
      </c>
      <c r="T298" s="121">
        <v>3</v>
      </c>
      <c r="U298" s="121">
        <v>2</v>
      </c>
      <c r="V298" s="121">
        <v>2</v>
      </c>
      <c r="W298" s="121">
        <f t="shared" si="59"/>
        <v>7</v>
      </c>
      <c r="X298" s="121" t="str">
        <f t="shared" si="60"/>
        <v>Penting</v>
      </c>
      <c r="Y298" s="115" t="s">
        <v>760</v>
      </c>
      <c r="Z298" s="125"/>
      <c r="AA298" s="119"/>
      <c r="AB298" s="119"/>
      <c r="AC298" s="119"/>
      <c r="AD298" s="26"/>
      <c r="AE298" s="122"/>
      <c r="AF298" s="114" t="s">
        <v>274</v>
      </c>
      <c r="AG298" s="114" t="s">
        <v>119</v>
      </c>
      <c r="AH298" s="26"/>
      <c r="AI298" s="26"/>
      <c r="AJ298" s="26"/>
      <c r="AK298" s="26"/>
      <c r="AL298" s="26"/>
      <c r="AM298" s="26"/>
      <c r="AN298" s="34" t="s">
        <v>126</v>
      </c>
      <c r="AO298" s="123">
        <v>44575</v>
      </c>
      <c r="AP298" s="4"/>
      <c r="AQ298" s="4"/>
      <c r="AR298" s="4"/>
      <c r="AS298" s="4"/>
      <c r="AT298" s="4"/>
    </row>
    <row r="299" spans="1:46" s="124" customFormat="1" ht="111.95" customHeight="1" x14ac:dyDescent="0.25">
      <c r="A299" s="113">
        <v>163</v>
      </c>
      <c r="B299" s="113" t="s">
        <v>109</v>
      </c>
      <c r="C299" s="114" t="s">
        <v>391</v>
      </c>
      <c r="D299" s="113">
        <v>46</v>
      </c>
      <c r="E299" s="113" t="s">
        <v>121</v>
      </c>
      <c r="F299" s="115" t="s">
        <v>761</v>
      </c>
      <c r="G299" s="116" t="s">
        <v>727</v>
      </c>
      <c r="H299" s="116" t="s">
        <v>762</v>
      </c>
      <c r="I299" s="117" t="s">
        <v>113</v>
      </c>
      <c r="J299" s="116" t="s">
        <v>729</v>
      </c>
      <c r="K299" s="116" t="s">
        <v>763</v>
      </c>
      <c r="L299" s="118">
        <v>7000</v>
      </c>
      <c r="M299" s="118" t="s">
        <v>731</v>
      </c>
      <c r="N299" s="119">
        <v>44577</v>
      </c>
      <c r="O299" s="119">
        <v>44696</v>
      </c>
      <c r="P299" s="120">
        <f t="shared" si="78"/>
        <v>0.32602739726027397</v>
      </c>
      <c r="Q299" s="114" t="s">
        <v>29</v>
      </c>
      <c r="R299" s="114">
        <f t="shared" ca="1" si="79"/>
        <v>-5.019653946385886</v>
      </c>
      <c r="S299" s="114" t="str">
        <f t="shared" ca="1" si="61"/>
        <v>Y</v>
      </c>
      <c r="T299" s="121">
        <v>3</v>
      </c>
      <c r="U299" s="121">
        <v>2</v>
      </c>
      <c r="V299" s="121">
        <v>2</v>
      </c>
      <c r="W299" s="121">
        <f t="shared" si="59"/>
        <v>7</v>
      </c>
      <c r="X299" s="121" t="str">
        <f t="shared" si="60"/>
        <v>Penting</v>
      </c>
      <c r="Y299" s="115" t="s">
        <v>764</v>
      </c>
      <c r="Z299" s="125"/>
      <c r="AA299" s="119"/>
      <c r="AB299" s="119"/>
      <c r="AC299" s="119"/>
      <c r="AD299" s="26" t="s">
        <v>125</v>
      </c>
      <c r="AE299" s="122">
        <v>44562</v>
      </c>
      <c r="AF299" s="114" t="s">
        <v>274</v>
      </c>
      <c r="AG299" s="114" t="s">
        <v>119</v>
      </c>
      <c r="AH299" s="26"/>
      <c r="AI299" s="26"/>
      <c r="AJ299" s="26"/>
      <c r="AK299" s="26"/>
      <c r="AL299" s="26"/>
      <c r="AM299" s="26"/>
      <c r="AN299" s="34" t="s">
        <v>126</v>
      </c>
      <c r="AO299" s="123">
        <v>44575</v>
      </c>
      <c r="AP299" s="4"/>
      <c r="AQ299" s="4"/>
      <c r="AR299" s="4"/>
      <c r="AS299" s="4"/>
      <c r="AT299" s="4"/>
    </row>
    <row r="300" spans="1:46" s="124" customFormat="1" ht="111.75" customHeight="1" x14ac:dyDescent="0.25">
      <c r="A300" s="113">
        <v>164</v>
      </c>
      <c r="B300" s="113"/>
      <c r="C300" s="114"/>
      <c r="D300" s="113"/>
      <c r="E300" s="113"/>
      <c r="F300" s="115" t="s">
        <v>765</v>
      </c>
      <c r="G300" s="116" t="s">
        <v>727</v>
      </c>
      <c r="H300" s="116" t="s">
        <v>766</v>
      </c>
      <c r="I300" s="117" t="s">
        <v>113</v>
      </c>
      <c r="J300" s="116" t="s">
        <v>729</v>
      </c>
      <c r="K300" s="116"/>
      <c r="L300" s="118">
        <v>7000</v>
      </c>
      <c r="M300" s="118" t="s">
        <v>731</v>
      </c>
      <c r="N300" s="119">
        <v>43967</v>
      </c>
      <c r="O300" s="119">
        <v>44089</v>
      </c>
      <c r="P300" s="120">
        <f t="shared" si="78"/>
        <v>0.33424657534246577</v>
      </c>
      <c r="Q300" s="114" t="s">
        <v>29</v>
      </c>
      <c r="R300" s="114" t="s">
        <v>117</v>
      </c>
      <c r="S300" s="114" t="str">
        <f t="shared" si="61"/>
        <v>Z</v>
      </c>
      <c r="T300" s="121">
        <v>3</v>
      </c>
      <c r="U300" s="121">
        <v>2</v>
      </c>
      <c r="V300" s="121">
        <v>2</v>
      </c>
      <c r="W300" s="121">
        <f t="shared" si="59"/>
        <v>7</v>
      </c>
      <c r="X300" s="121" t="str">
        <f t="shared" si="60"/>
        <v>Penting</v>
      </c>
      <c r="Y300" s="115"/>
      <c r="Z300" s="115"/>
      <c r="AA300" s="119"/>
      <c r="AB300" s="119"/>
      <c r="AC300" s="119"/>
      <c r="AD300" s="26" t="s">
        <v>16</v>
      </c>
      <c r="AE300" s="122">
        <v>44089</v>
      </c>
      <c r="AF300" s="114" t="s">
        <v>274</v>
      </c>
      <c r="AG300" s="114" t="s">
        <v>119</v>
      </c>
      <c r="AH300" s="26"/>
      <c r="AI300" s="26"/>
      <c r="AJ300" s="26"/>
      <c r="AK300" s="26"/>
      <c r="AL300" s="26"/>
      <c r="AM300" s="26"/>
      <c r="AN300" s="26"/>
      <c r="AO300" s="123"/>
      <c r="AP300" s="4"/>
      <c r="AQ300" s="4"/>
      <c r="AR300" s="4"/>
      <c r="AS300" s="4"/>
      <c r="AT300" s="4"/>
    </row>
    <row r="301" spans="1:46" s="124" customFormat="1" ht="111.95" customHeight="1" x14ac:dyDescent="0.25">
      <c r="A301" s="113">
        <v>165</v>
      </c>
      <c r="B301" s="113" t="s">
        <v>109</v>
      </c>
      <c r="C301" s="114" t="s">
        <v>391</v>
      </c>
      <c r="D301" s="113">
        <v>25</v>
      </c>
      <c r="E301" s="113" t="s">
        <v>121</v>
      </c>
      <c r="F301" s="115" t="s">
        <v>767</v>
      </c>
      <c r="G301" s="116" t="s">
        <v>768</v>
      </c>
      <c r="H301" s="116" t="s">
        <v>769</v>
      </c>
      <c r="I301" s="117" t="s">
        <v>160</v>
      </c>
      <c r="J301" s="116" t="s">
        <v>770</v>
      </c>
      <c r="K301" s="116" t="s">
        <v>771</v>
      </c>
      <c r="L301" s="118"/>
      <c r="M301" s="118"/>
      <c r="N301" s="119">
        <v>44455</v>
      </c>
      <c r="O301" s="119">
        <v>44819</v>
      </c>
      <c r="P301" s="120">
        <f t="shared" si="78"/>
        <v>0.99726027397260275</v>
      </c>
      <c r="Q301" s="114" t="s">
        <v>30</v>
      </c>
      <c r="R301" s="114">
        <f t="shared" ref="R301:R320" ca="1" si="80">(O301-NOW()+1)/31</f>
        <v>-1.051912010902015</v>
      </c>
      <c r="S301" s="114" t="str">
        <f t="shared" ca="1" si="61"/>
        <v>Y</v>
      </c>
      <c r="T301" s="121">
        <v>3</v>
      </c>
      <c r="U301" s="121">
        <v>2</v>
      </c>
      <c r="V301" s="121">
        <v>1</v>
      </c>
      <c r="W301" s="121">
        <f t="shared" si="59"/>
        <v>6</v>
      </c>
      <c r="X301" s="121" t="str">
        <f t="shared" si="60"/>
        <v>Penting</v>
      </c>
      <c r="Y301" s="115"/>
      <c r="Z301" s="125"/>
      <c r="AA301" s="119"/>
      <c r="AB301" s="119"/>
      <c r="AC301" s="119"/>
      <c r="AD301" s="26"/>
      <c r="AE301" s="122"/>
      <c r="AF301" s="114" t="s">
        <v>390</v>
      </c>
      <c r="AG301" s="114" t="s">
        <v>119</v>
      </c>
      <c r="AH301" s="26"/>
      <c r="AI301" s="26"/>
      <c r="AJ301" s="26"/>
      <c r="AK301" s="26"/>
      <c r="AL301" s="26"/>
      <c r="AM301" s="26"/>
      <c r="AN301" s="34" t="s">
        <v>126</v>
      </c>
      <c r="AO301" s="123">
        <v>44456</v>
      </c>
      <c r="AP301" s="4"/>
      <c r="AQ301" s="4"/>
      <c r="AR301" s="4"/>
      <c r="AS301" s="4"/>
      <c r="AT301" s="4"/>
    </row>
    <row r="302" spans="1:46" s="124" customFormat="1" ht="111.95" customHeight="1" x14ac:dyDescent="0.25">
      <c r="A302" s="113">
        <v>166</v>
      </c>
      <c r="B302" s="113"/>
      <c r="C302" s="114"/>
      <c r="D302" s="113"/>
      <c r="E302" s="113"/>
      <c r="F302" s="115" t="s">
        <v>772</v>
      </c>
      <c r="G302" s="116" t="s">
        <v>773</v>
      </c>
      <c r="H302" s="116" t="s">
        <v>774</v>
      </c>
      <c r="I302" s="117" t="s">
        <v>160</v>
      </c>
      <c r="J302" s="116" t="s">
        <v>775</v>
      </c>
      <c r="K302" s="116"/>
      <c r="L302" s="129">
        <v>18850000</v>
      </c>
      <c r="M302" s="118" t="s">
        <v>776</v>
      </c>
      <c r="N302" s="119">
        <v>44137</v>
      </c>
      <c r="O302" s="119">
        <v>44502</v>
      </c>
      <c r="P302" s="120">
        <f t="shared" si="78"/>
        <v>1</v>
      </c>
      <c r="Q302" s="114" t="s">
        <v>30</v>
      </c>
      <c r="R302" s="114" t="s">
        <v>117</v>
      </c>
      <c r="S302" s="114" t="str">
        <f t="shared" si="61"/>
        <v>Z</v>
      </c>
      <c r="T302" s="121">
        <v>3</v>
      </c>
      <c r="U302" s="121">
        <v>2</v>
      </c>
      <c r="V302" s="121">
        <v>1</v>
      </c>
      <c r="W302" s="121">
        <f t="shared" si="59"/>
        <v>6</v>
      </c>
      <c r="X302" s="121" t="str">
        <f t="shared" si="60"/>
        <v>Penting</v>
      </c>
      <c r="Y302" s="115"/>
      <c r="Z302" s="125"/>
      <c r="AA302" s="119"/>
      <c r="AB302" s="119"/>
      <c r="AC302" s="119"/>
      <c r="AD302" s="26" t="s">
        <v>16</v>
      </c>
      <c r="AE302" s="122">
        <v>44502</v>
      </c>
      <c r="AF302" s="114" t="s">
        <v>390</v>
      </c>
      <c r="AG302" s="114" t="s">
        <v>119</v>
      </c>
      <c r="AH302" s="26"/>
      <c r="AI302" s="26"/>
      <c r="AJ302" s="26"/>
      <c r="AK302" s="26"/>
      <c r="AL302" s="26"/>
      <c r="AM302" s="26"/>
      <c r="AN302" s="26"/>
      <c r="AO302" s="123">
        <v>44138</v>
      </c>
      <c r="AP302" s="4"/>
      <c r="AQ302" s="4"/>
      <c r="AR302" s="4"/>
      <c r="AS302" s="4"/>
      <c r="AT302" s="4"/>
    </row>
    <row r="303" spans="1:46" s="124" customFormat="1" ht="111.95" customHeight="1" x14ac:dyDescent="0.25">
      <c r="A303" s="113">
        <v>167</v>
      </c>
      <c r="B303" s="113" t="s">
        <v>109</v>
      </c>
      <c r="C303" s="114" t="s">
        <v>391</v>
      </c>
      <c r="D303" s="113">
        <v>24</v>
      </c>
      <c r="E303" s="113" t="s">
        <v>121</v>
      </c>
      <c r="F303" s="115" t="s">
        <v>777</v>
      </c>
      <c r="G303" s="116" t="s">
        <v>773</v>
      </c>
      <c r="H303" s="116" t="s">
        <v>778</v>
      </c>
      <c r="I303" s="117" t="s">
        <v>113</v>
      </c>
      <c r="J303" s="116" t="s">
        <v>779</v>
      </c>
      <c r="K303" s="116" t="s">
        <v>780</v>
      </c>
      <c r="L303" s="129">
        <v>18500000</v>
      </c>
      <c r="M303" s="118" t="s">
        <v>781</v>
      </c>
      <c r="N303" s="119">
        <v>44502</v>
      </c>
      <c r="O303" s="119">
        <v>44867</v>
      </c>
      <c r="P303" s="120">
        <f t="shared" si="78"/>
        <v>1</v>
      </c>
      <c r="Q303" s="114" t="s">
        <v>30</v>
      </c>
      <c r="R303" s="114">
        <f t="shared" ref="R303" ca="1" si="81">(O303-NOW()+1)/31</f>
        <v>0.49647508587217853</v>
      </c>
      <c r="S303" s="114" t="str">
        <f t="shared" ca="1" si="61"/>
        <v>O</v>
      </c>
      <c r="T303" s="121">
        <v>3</v>
      </c>
      <c r="U303" s="121">
        <v>2</v>
      </c>
      <c r="V303" s="121">
        <v>1</v>
      </c>
      <c r="W303" s="121">
        <f t="shared" si="59"/>
        <v>6</v>
      </c>
      <c r="X303" s="121" t="str">
        <f t="shared" si="60"/>
        <v>Penting</v>
      </c>
      <c r="Y303" s="115"/>
      <c r="Z303" s="125"/>
      <c r="AA303" s="119"/>
      <c r="AB303" s="119"/>
      <c r="AC303" s="119"/>
      <c r="AD303" s="26"/>
      <c r="AE303" s="122"/>
      <c r="AF303" s="114" t="s">
        <v>390</v>
      </c>
      <c r="AG303" s="114" t="s">
        <v>119</v>
      </c>
      <c r="AH303" s="26"/>
      <c r="AI303" s="26"/>
      <c r="AJ303" s="26"/>
      <c r="AK303" s="26"/>
      <c r="AL303" s="26"/>
      <c r="AM303" s="26"/>
      <c r="AN303" s="34" t="s">
        <v>126</v>
      </c>
      <c r="AO303" s="123">
        <v>44501</v>
      </c>
      <c r="AP303" s="4"/>
      <c r="AQ303" s="4"/>
      <c r="AR303" s="4"/>
      <c r="AS303" s="4"/>
      <c r="AT303" s="4"/>
    </row>
    <row r="304" spans="1:46" s="124" customFormat="1" ht="111.95" customHeight="1" x14ac:dyDescent="0.25">
      <c r="A304" s="113">
        <v>168</v>
      </c>
      <c r="B304" s="113" t="s">
        <v>109</v>
      </c>
      <c r="C304" s="114" t="s">
        <v>391</v>
      </c>
      <c r="D304" s="113">
        <v>27</v>
      </c>
      <c r="E304" s="113" t="s">
        <v>121</v>
      </c>
      <c r="F304" s="115" t="s">
        <v>782</v>
      </c>
      <c r="G304" s="116" t="s">
        <v>783</v>
      </c>
      <c r="H304" s="116" t="s">
        <v>784</v>
      </c>
      <c r="I304" s="117" t="s">
        <v>113</v>
      </c>
      <c r="J304" s="116" t="s">
        <v>785</v>
      </c>
      <c r="K304" s="116"/>
      <c r="L304" s="118"/>
      <c r="M304" s="118"/>
      <c r="N304" s="119">
        <v>43617</v>
      </c>
      <c r="O304" s="119">
        <v>44712</v>
      </c>
      <c r="P304" s="120">
        <f t="shared" si="78"/>
        <v>3</v>
      </c>
      <c r="Q304" s="114" t="s">
        <v>35</v>
      </c>
      <c r="R304" s="114">
        <f t="shared" ca="1" si="80"/>
        <v>-4.5035249141278211</v>
      </c>
      <c r="S304" s="114" t="str">
        <f t="shared" ca="1" si="61"/>
        <v>Y</v>
      </c>
      <c r="T304" s="121">
        <v>1</v>
      </c>
      <c r="U304" s="121">
        <v>1</v>
      </c>
      <c r="V304" s="121">
        <v>1</v>
      </c>
      <c r="W304" s="121">
        <f t="shared" si="59"/>
        <v>3</v>
      </c>
      <c r="X304" s="121" t="str">
        <f t="shared" si="60"/>
        <v>Biasa</v>
      </c>
      <c r="Y304" s="115"/>
      <c r="Z304" s="114" t="s">
        <v>119</v>
      </c>
      <c r="AA304" s="119">
        <f>N304+270</f>
        <v>43887</v>
      </c>
      <c r="AB304" s="119">
        <f>+N304+635</f>
        <v>44252</v>
      </c>
      <c r="AC304" s="119">
        <f>+N304+1000</f>
        <v>44617</v>
      </c>
      <c r="AD304" s="26"/>
      <c r="AE304" s="122"/>
      <c r="AF304" s="114" t="s">
        <v>786</v>
      </c>
      <c r="AG304" s="114" t="s">
        <v>119</v>
      </c>
      <c r="AH304" s="26"/>
      <c r="AI304" s="26"/>
      <c r="AJ304" s="26"/>
      <c r="AK304" s="26"/>
      <c r="AL304" s="26"/>
      <c r="AM304" s="26"/>
      <c r="AN304" s="34" t="s">
        <v>365</v>
      </c>
      <c r="AO304" s="123">
        <v>43609</v>
      </c>
      <c r="AP304" s="4"/>
      <c r="AQ304" s="4"/>
      <c r="AR304" s="4"/>
      <c r="AS304" s="4"/>
      <c r="AT304" s="4"/>
    </row>
    <row r="305" spans="1:46" s="124" customFormat="1" ht="111.95" customHeight="1" x14ac:dyDescent="0.25">
      <c r="A305" s="113">
        <v>169</v>
      </c>
      <c r="B305" s="113" t="s">
        <v>109</v>
      </c>
      <c r="C305" s="114" t="s">
        <v>391</v>
      </c>
      <c r="D305" s="113">
        <v>28</v>
      </c>
      <c r="E305" s="113" t="s">
        <v>121</v>
      </c>
      <c r="F305" s="115" t="s">
        <v>787</v>
      </c>
      <c r="G305" s="116" t="s">
        <v>783</v>
      </c>
      <c r="H305" s="116" t="s">
        <v>788</v>
      </c>
      <c r="I305" s="117" t="s">
        <v>113</v>
      </c>
      <c r="J305" s="116" t="s">
        <v>785</v>
      </c>
      <c r="K305" s="116" t="s">
        <v>789</v>
      </c>
      <c r="L305" s="118"/>
      <c r="M305" s="118"/>
      <c r="N305" s="119">
        <v>43313</v>
      </c>
      <c r="O305" s="119">
        <v>44773</v>
      </c>
      <c r="P305" s="120">
        <f t="shared" si="78"/>
        <v>4</v>
      </c>
      <c r="Q305" s="114" t="s">
        <v>35</v>
      </c>
      <c r="R305" s="114">
        <f t="shared" ca="1" si="80"/>
        <v>-2.5357829786439505</v>
      </c>
      <c r="S305" s="114" t="str">
        <f t="shared" ca="1" si="61"/>
        <v>Y</v>
      </c>
      <c r="T305" s="121">
        <v>1</v>
      </c>
      <c r="U305" s="121">
        <v>1</v>
      </c>
      <c r="V305" s="121">
        <v>1</v>
      </c>
      <c r="W305" s="121">
        <f t="shared" si="59"/>
        <v>3</v>
      </c>
      <c r="X305" s="121" t="str">
        <f t="shared" si="60"/>
        <v>Biasa</v>
      </c>
      <c r="Y305" s="115" t="s">
        <v>790</v>
      </c>
      <c r="Z305" s="114" t="s">
        <v>119</v>
      </c>
      <c r="AA305" s="119">
        <f>N305+635</f>
        <v>43948</v>
      </c>
      <c r="AB305" s="119">
        <f>+N305+1000</f>
        <v>44313</v>
      </c>
      <c r="AC305" s="119">
        <f>+N305+1365</f>
        <v>44678</v>
      </c>
      <c r="AD305" s="26"/>
      <c r="AE305" s="122"/>
      <c r="AF305" s="114" t="s">
        <v>786</v>
      </c>
      <c r="AG305" s="114" t="s">
        <v>119</v>
      </c>
      <c r="AH305" s="26"/>
      <c r="AI305" s="26"/>
      <c r="AJ305" s="26"/>
      <c r="AK305" s="26"/>
      <c r="AL305" s="26"/>
      <c r="AM305" s="26"/>
      <c r="AN305" s="34" t="s">
        <v>365</v>
      </c>
      <c r="AO305" s="123"/>
      <c r="AP305" s="4"/>
      <c r="AQ305" s="4"/>
      <c r="AR305" s="4"/>
      <c r="AS305" s="4"/>
      <c r="AT305" s="4"/>
    </row>
    <row r="306" spans="1:46" s="124" customFormat="1" ht="111.95" customHeight="1" x14ac:dyDescent="0.25">
      <c r="A306" s="113">
        <v>170</v>
      </c>
      <c r="B306" s="113" t="s">
        <v>109</v>
      </c>
      <c r="C306" s="114" t="s">
        <v>391</v>
      </c>
      <c r="D306" s="113">
        <v>29</v>
      </c>
      <c r="E306" s="113" t="s">
        <v>121</v>
      </c>
      <c r="F306" s="115" t="s">
        <v>791</v>
      </c>
      <c r="G306" s="116" t="s">
        <v>783</v>
      </c>
      <c r="H306" s="116" t="s">
        <v>792</v>
      </c>
      <c r="I306" s="117" t="s">
        <v>113</v>
      </c>
      <c r="J306" s="116" t="s">
        <v>785</v>
      </c>
      <c r="K306" s="116" t="s">
        <v>793</v>
      </c>
      <c r="L306" s="118"/>
      <c r="M306" s="118"/>
      <c r="N306" s="119">
        <v>44470</v>
      </c>
      <c r="O306" s="119">
        <v>45199</v>
      </c>
      <c r="P306" s="120">
        <f t="shared" si="78"/>
        <v>1.9972602739726026</v>
      </c>
      <c r="Q306" s="114" t="s">
        <v>35</v>
      </c>
      <c r="R306" s="114">
        <f t="shared" ca="1" si="80"/>
        <v>11.206152505227017</v>
      </c>
      <c r="S306" s="114" t="str">
        <f t="shared" ca="1" si="61"/>
        <v>O</v>
      </c>
      <c r="T306" s="121">
        <v>1</v>
      </c>
      <c r="U306" s="121">
        <v>1</v>
      </c>
      <c r="V306" s="121">
        <v>1</v>
      </c>
      <c r="W306" s="121">
        <f t="shared" si="59"/>
        <v>3</v>
      </c>
      <c r="X306" s="121" t="str">
        <f t="shared" si="60"/>
        <v>Biasa</v>
      </c>
      <c r="Y306" s="115"/>
      <c r="Z306" s="114" t="s">
        <v>119</v>
      </c>
      <c r="AA306" s="119">
        <f>N306+270</f>
        <v>44740</v>
      </c>
      <c r="AB306" s="119">
        <f>+N306+635</f>
        <v>45105</v>
      </c>
      <c r="AC306" s="119"/>
      <c r="AD306" s="26"/>
      <c r="AE306" s="122"/>
      <c r="AF306" s="114" t="s">
        <v>786</v>
      </c>
      <c r="AG306" s="114" t="s">
        <v>119</v>
      </c>
      <c r="AH306" s="26"/>
      <c r="AI306" s="26"/>
      <c r="AJ306" s="26"/>
      <c r="AK306" s="26"/>
      <c r="AL306" s="26"/>
      <c r="AM306" s="26"/>
      <c r="AN306" s="34" t="s">
        <v>126</v>
      </c>
      <c r="AO306" s="123">
        <v>44469</v>
      </c>
      <c r="AP306" s="4"/>
      <c r="AQ306" s="4"/>
      <c r="AR306" s="4"/>
      <c r="AS306" s="4"/>
      <c r="AT306" s="4"/>
    </row>
    <row r="307" spans="1:46" s="124" customFormat="1" ht="111.95" customHeight="1" x14ac:dyDescent="0.25">
      <c r="A307" s="113">
        <v>171</v>
      </c>
      <c r="B307" s="113" t="s">
        <v>109</v>
      </c>
      <c r="C307" s="114" t="s">
        <v>391</v>
      </c>
      <c r="D307" s="113">
        <v>30</v>
      </c>
      <c r="E307" s="113" t="s">
        <v>121</v>
      </c>
      <c r="F307" s="115" t="s">
        <v>794</v>
      </c>
      <c r="G307" s="116" t="s">
        <v>783</v>
      </c>
      <c r="H307" s="116" t="s">
        <v>795</v>
      </c>
      <c r="I307" s="117" t="s">
        <v>113</v>
      </c>
      <c r="J307" s="116" t="s">
        <v>785</v>
      </c>
      <c r="K307" s="116" t="s">
        <v>796</v>
      </c>
      <c r="L307" s="118"/>
      <c r="M307" s="118"/>
      <c r="N307" s="119">
        <v>44562</v>
      </c>
      <c r="O307" s="119">
        <v>44926</v>
      </c>
      <c r="P307" s="120">
        <f t="shared" si="78"/>
        <v>0.99726027397260275</v>
      </c>
      <c r="Q307" s="114" t="s">
        <v>35</v>
      </c>
      <c r="R307" s="114">
        <f t="shared" ca="1" si="80"/>
        <v>2.3997008923237915</v>
      </c>
      <c r="S307" s="114" t="str">
        <f t="shared" ca="1" si="61"/>
        <v>O</v>
      </c>
      <c r="T307" s="121">
        <v>1</v>
      </c>
      <c r="U307" s="121">
        <v>1</v>
      </c>
      <c r="V307" s="121">
        <v>1</v>
      </c>
      <c r="W307" s="121">
        <f t="shared" si="59"/>
        <v>3</v>
      </c>
      <c r="X307" s="121" t="str">
        <f t="shared" si="60"/>
        <v>Biasa</v>
      </c>
      <c r="Y307" s="115"/>
      <c r="Z307" s="125"/>
      <c r="AA307" s="119"/>
      <c r="AB307" s="119"/>
      <c r="AC307" s="119"/>
      <c r="AD307" s="26"/>
      <c r="AE307" s="122"/>
      <c r="AF307" s="114" t="s">
        <v>786</v>
      </c>
      <c r="AG307" s="114" t="s">
        <v>119</v>
      </c>
      <c r="AH307" s="26"/>
      <c r="AI307" s="26"/>
      <c r="AJ307" s="26"/>
      <c r="AK307" s="26"/>
      <c r="AL307" s="26"/>
      <c r="AM307" s="26"/>
      <c r="AN307" s="34" t="s">
        <v>126</v>
      </c>
      <c r="AO307" s="123">
        <v>44537</v>
      </c>
      <c r="AP307" s="4"/>
      <c r="AQ307" s="4"/>
      <c r="AR307" s="4"/>
      <c r="AS307" s="4"/>
      <c r="AT307" s="4"/>
    </row>
    <row r="308" spans="1:46" s="124" customFormat="1" ht="111.95" customHeight="1" x14ac:dyDescent="0.25">
      <c r="A308" s="113">
        <v>172</v>
      </c>
      <c r="B308" s="113" t="s">
        <v>109</v>
      </c>
      <c r="C308" s="114" t="s">
        <v>391</v>
      </c>
      <c r="D308" s="113">
        <v>31</v>
      </c>
      <c r="E308" s="113" t="s">
        <v>121</v>
      </c>
      <c r="F308" s="115" t="s">
        <v>797</v>
      </c>
      <c r="G308" s="116" t="s">
        <v>783</v>
      </c>
      <c r="H308" s="116" t="s">
        <v>798</v>
      </c>
      <c r="I308" s="117" t="s">
        <v>113</v>
      </c>
      <c r="J308" s="116" t="s">
        <v>785</v>
      </c>
      <c r="K308" s="116" t="s">
        <v>799</v>
      </c>
      <c r="L308" s="118"/>
      <c r="M308" s="118"/>
      <c r="N308" s="119">
        <v>43891</v>
      </c>
      <c r="O308" s="119">
        <v>44679</v>
      </c>
      <c r="P308" s="120">
        <f t="shared" si="78"/>
        <v>2.1589041095890411</v>
      </c>
      <c r="Q308" s="114" t="s">
        <v>35</v>
      </c>
      <c r="R308" s="114">
        <f t="shared" ca="1" si="80"/>
        <v>-5.56804104316008</v>
      </c>
      <c r="S308" s="114" t="str">
        <f t="shared" ca="1" si="61"/>
        <v>Y</v>
      </c>
      <c r="T308" s="121">
        <v>1</v>
      </c>
      <c r="U308" s="121">
        <v>1</v>
      </c>
      <c r="V308" s="121">
        <v>1</v>
      </c>
      <c r="W308" s="121">
        <f t="shared" si="59"/>
        <v>3</v>
      </c>
      <c r="X308" s="121" t="str">
        <f t="shared" si="60"/>
        <v>Biasa</v>
      </c>
      <c r="Y308" s="115"/>
      <c r="Z308" s="114" t="s">
        <v>119</v>
      </c>
      <c r="AA308" s="119">
        <f>N308+270</f>
        <v>44161</v>
      </c>
      <c r="AB308" s="119">
        <f>+N308+635</f>
        <v>44526</v>
      </c>
      <c r="AC308" s="119"/>
      <c r="AD308" s="26"/>
      <c r="AE308" s="122"/>
      <c r="AF308" s="114" t="s">
        <v>786</v>
      </c>
      <c r="AG308" s="114" t="s">
        <v>119</v>
      </c>
      <c r="AH308" s="26"/>
      <c r="AI308" s="26"/>
      <c r="AJ308" s="26"/>
      <c r="AK308" s="26"/>
      <c r="AL308" s="26"/>
      <c r="AM308" s="26"/>
      <c r="AN308" s="34" t="s">
        <v>126</v>
      </c>
      <c r="AO308" s="123">
        <v>43930</v>
      </c>
      <c r="AP308" s="4"/>
      <c r="AQ308" s="4"/>
      <c r="AR308" s="4"/>
      <c r="AS308" s="4"/>
      <c r="AT308" s="4"/>
    </row>
    <row r="309" spans="1:46" s="124" customFormat="1" ht="111.95" customHeight="1" x14ac:dyDescent="0.25">
      <c r="A309" s="113">
        <v>173</v>
      </c>
      <c r="B309" s="113" t="s">
        <v>109</v>
      </c>
      <c r="C309" s="114" t="s">
        <v>391</v>
      </c>
      <c r="D309" s="113">
        <v>32</v>
      </c>
      <c r="E309" s="113" t="s">
        <v>121</v>
      </c>
      <c r="F309" s="115" t="s">
        <v>800</v>
      </c>
      <c r="G309" s="116" t="s">
        <v>783</v>
      </c>
      <c r="H309" s="116" t="s">
        <v>801</v>
      </c>
      <c r="I309" s="117" t="s">
        <v>160</v>
      </c>
      <c r="J309" s="116" t="s">
        <v>785</v>
      </c>
      <c r="K309" s="116" t="s">
        <v>802</v>
      </c>
      <c r="L309" s="118"/>
      <c r="M309" s="118"/>
      <c r="N309" s="119">
        <v>44256</v>
      </c>
      <c r="O309" s="119">
        <v>44985</v>
      </c>
      <c r="P309" s="120">
        <f t="shared" si="78"/>
        <v>1.9972602739726026</v>
      </c>
      <c r="Q309" s="114" t="s">
        <v>35</v>
      </c>
      <c r="R309" s="114">
        <f t="shared" ca="1" si="80"/>
        <v>4.302926698775404</v>
      </c>
      <c r="S309" s="114" t="str">
        <f t="shared" ca="1" si="61"/>
        <v>O</v>
      </c>
      <c r="T309" s="121">
        <v>1</v>
      </c>
      <c r="U309" s="121">
        <v>1</v>
      </c>
      <c r="V309" s="121">
        <v>1</v>
      </c>
      <c r="W309" s="121">
        <f t="shared" si="59"/>
        <v>3</v>
      </c>
      <c r="X309" s="121" t="str">
        <f t="shared" si="60"/>
        <v>Biasa</v>
      </c>
      <c r="Y309" s="115" t="s">
        <v>803</v>
      </c>
      <c r="Z309" s="114" t="s">
        <v>119</v>
      </c>
      <c r="AA309" s="119">
        <f>N309+270</f>
        <v>44526</v>
      </c>
      <c r="AB309" s="119">
        <f>+N309+635</f>
        <v>44891</v>
      </c>
      <c r="AC309" s="119"/>
      <c r="AD309" s="26"/>
      <c r="AE309" s="122"/>
      <c r="AF309" s="114" t="s">
        <v>786</v>
      </c>
      <c r="AG309" s="114" t="s">
        <v>119</v>
      </c>
      <c r="AH309" s="26"/>
      <c r="AI309" s="26"/>
      <c r="AJ309" s="26"/>
      <c r="AK309" s="26"/>
      <c r="AL309" s="26"/>
      <c r="AM309" s="26"/>
      <c r="AN309" s="34" t="s">
        <v>126</v>
      </c>
      <c r="AO309" s="123">
        <v>44295</v>
      </c>
      <c r="AP309" s="4"/>
      <c r="AQ309" s="4"/>
      <c r="AR309" s="4"/>
      <c r="AS309" s="4"/>
      <c r="AT309" s="4"/>
    </row>
    <row r="310" spans="1:46" s="124" customFormat="1" ht="111.95" customHeight="1" x14ac:dyDescent="0.25">
      <c r="A310" s="113">
        <v>174</v>
      </c>
      <c r="B310" s="113" t="s">
        <v>109</v>
      </c>
      <c r="C310" s="114" t="s">
        <v>391</v>
      </c>
      <c r="D310" s="113">
        <v>33</v>
      </c>
      <c r="E310" s="113" t="s">
        <v>121</v>
      </c>
      <c r="F310" s="115" t="s">
        <v>804</v>
      </c>
      <c r="G310" s="116" t="s">
        <v>805</v>
      </c>
      <c r="H310" s="116" t="s">
        <v>806</v>
      </c>
      <c r="I310" s="117" t="s">
        <v>113</v>
      </c>
      <c r="J310" s="116" t="s">
        <v>807</v>
      </c>
      <c r="K310" s="116"/>
      <c r="L310" s="118"/>
      <c r="M310" s="118"/>
      <c r="N310" s="119">
        <v>44085</v>
      </c>
      <c r="O310" s="119">
        <v>45179</v>
      </c>
      <c r="P310" s="120">
        <f t="shared" si="78"/>
        <v>2.9972602739726026</v>
      </c>
      <c r="Q310" s="114" t="s">
        <v>35</v>
      </c>
      <c r="R310" s="114">
        <f t="shared" ca="1" si="80"/>
        <v>10.560991214904437</v>
      </c>
      <c r="S310" s="114" t="str">
        <f t="shared" ca="1" si="61"/>
        <v>O</v>
      </c>
      <c r="T310" s="121">
        <v>1</v>
      </c>
      <c r="U310" s="121">
        <v>1</v>
      </c>
      <c r="V310" s="121">
        <v>1</v>
      </c>
      <c r="W310" s="121">
        <f>T310+U310+V310</f>
        <v>3</v>
      </c>
      <c r="X310" s="121" t="str">
        <f>IF(W310&gt;5,"Penting",IF(ISBLANK(W310),"","Biasa"))</f>
        <v>Biasa</v>
      </c>
      <c r="Y310" s="115"/>
      <c r="Z310" s="114" t="s">
        <v>119</v>
      </c>
      <c r="AA310" s="119">
        <f>N310+270</f>
        <v>44355</v>
      </c>
      <c r="AB310" s="119">
        <f>+N310+635</f>
        <v>44720</v>
      </c>
      <c r="AC310" s="119">
        <f>+N310+1000</f>
        <v>45085</v>
      </c>
      <c r="AD310" s="26"/>
      <c r="AE310" s="122"/>
      <c r="AF310" s="114" t="s">
        <v>786</v>
      </c>
      <c r="AG310" s="114" t="s">
        <v>119</v>
      </c>
      <c r="AH310" s="26"/>
      <c r="AI310" s="26"/>
      <c r="AJ310" s="26"/>
      <c r="AK310" s="26"/>
      <c r="AL310" s="26"/>
      <c r="AM310" s="26"/>
      <c r="AN310" s="34" t="s">
        <v>126</v>
      </c>
      <c r="AO310" s="123">
        <v>44102</v>
      </c>
      <c r="AP310" s="4"/>
      <c r="AQ310" s="4"/>
      <c r="AR310" s="4"/>
      <c r="AS310" s="4"/>
      <c r="AT310" s="4"/>
    </row>
    <row r="311" spans="1:46" s="124" customFormat="1" ht="111.95" customHeight="1" x14ac:dyDescent="0.25">
      <c r="A311" s="113">
        <v>175</v>
      </c>
      <c r="B311" s="113" t="s">
        <v>109</v>
      </c>
      <c r="C311" s="114" t="s">
        <v>391</v>
      </c>
      <c r="D311" s="113">
        <v>43</v>
      </c>
      <c r="E311" s="113" t="s">
        <v>121</v>
      </c>
      <c r="F311" s="115" t="s">
        <v>808</v>
      </c>
      <c r="G311" s="116" t="s">
        <v>809</v>
      </c>
      <c r="H311" s="116" t="s">
        <v>810</v>
      </c>
      <c r="I311" s="117" t="s">
        <v>113</v>
      </c>
      <c r="J311" s="116" t="s">
        <v>811</v>
      </c>
      <c r="K311" s="116" t="s">
        <v>812</v>
      </c>
      <c r="L311" s="118"/>
      <c r="M311" s="118"/>
      <c r="N311" s="119">
        <v>43922</v>
      </c>
      <c r="O311" s="119">
        <v>44651</v>
      </c>
      <c r="P311" s="120">
        <f t="shared" si="78"/>
        <v>1.9972602739726026</v>
      </c>
      <c r="Q311" s="114" t="s">
        <v>35</v>
      </c>
      <c r="R311" s="114" t="s">
        <v>117</v>
      </c>
      <c r="S311" s="114" t="str">
        <f t="shared" si="61"/>
        <v>Z</v>
      </c>
      <c r="T311" s="121">
        <v>1</v>
      </c>
      <c r="U311" s="121">
        <v>3</v>
      </c>
      <c r="V311" s="121">
        <v>3</v>
      </c>
      <c r="W311" s="121">
        <f>T311+U311+V311</f>
        <v>7</v>
      </c>
      <c r="X311" s="121" t="str">
        <f>IF(W311&gt;5,"Penting",IF(ISBLANK(W311),"","Biasa"))</f>
        <v>Penting</v>
      </c>
      <c r="Y311" s="115"/>
      <c r="Z311" s="114" t="s">
        <v>119</v>
      </c>
      <c r="AA311" s="119">
        <f>N311+270</f>
        <v>44192</v>
      </c>
      <c r="AB311" s="119">
        <f>+N311+635</f>
        <v>44557</v>
      </c>
      <c r="AC311" s="119"/>
      <c r="AD311" s="26" t="s">
        <v>125</v>
      </c>
      <c r="AE311" s="122">
        <v>43922</v>
      </c>
      <c r="AF311" s="114" t="s">
        <v>786</v>
      </c>
      <c r="AG311" s="114" t="s">
        <v>119</v>
      </c>
      <c r="AH311" s="26"/>
      <c r="AI311" s="26"/>
      <c r="AJ311" s="26"/>
      <c r="AK311" s="26"/>
      <c r="AL311" s="26"/>
      <c r="AM311" s="26"/>
      <c r="AN311" s="34" t="s">
        <v>126</v>
      </c>
      <c r="AO311" s="123">
        <v>43930</v>
      </c>
      <c r="AP311" s="4"/>
      <c r="AQ311" s="4"/>
      <c r="AR311" s="4"/>
      <c r="AS311" s="4"/>
      <c r="AT311" s="4"/>
    </row>
    <row r="312" spans="1:46" s="124" customFormat="1" ht="111.95" customHeight="1" x14ac:dyDescent="0.25">
      <c r="A312" s="113">
        <v>176</v>
      </c>
      <c r="B312" s="113" t="s">
        <v>109</v>
      </c>
      <c r="C312" s="114" t="s">
        <v>391</v>
      </c>
      <c r="D312" s="113">
        <v>23</v>
      </c>
      <c r="E312" s="113" t="s">
        <v>121</v>
      </c>
      <c r="F312" s="115" t="s">
        <v>813</v>
      </c>
      <c r="G312" s="116" t="s">
        <v>783</v>
      </c>
      <c r="H312" s="116" t="s">
        <v>814</v>
      </c>
      <c r="I312" s="117" t="s">
        <v>113</v>
      </c>
      <c r="J312" s="116" t="s">
        <v>785</v>
      </c>
      <c r="K312" s="116" t="s">
        <v>815</v>
      </c>
      <c r="L312" s="118"/>
      <c r="M312" s="118"/>
      <c r="N312" s="119">
        <v>44569</v>
      </c>
      <c r="O312" s="119">
        <v>45298</v>
      </c>
      <c r="P312" s="120">
        <f t="shared" si="78"/>
        <v>1.9972602739726026</v>
      </c>
      <c r="Q312" s="114" t="s">
        <v>35</v>
      </c>
      <c r="R312" s="114">
        <f t="shared" ca="1" si="80"/>
        <v>14.399700892323791</v>
      </c>
      <c r="S312" s="114" t="str">
        <f t="shared" ca="1" si="61"/>
        <v>O</v>
      </c>
      <c r="T312" s="121">
        <v>1</v>
      </c>
      <c r="U312" s="121">
        <v>1</v>
      </c>
      <c r="V312" s="121">
        <v>1</v>
      </c>
      <c r="W312" s="121">
        <f t="shared" ref="W312:W313" si="82">T312+U312+V312</f>
        <v>3</v>
      </c>
      <c r="X312" s="121" t="str">
        <f t="shared" ref="X312:X313" si="83">IF(W312&gt;5,"Penting",IF(ISBLANK(W312),"","Biasa"))</f>
        <v>Biasa</v>
      </c>
      <c r="Y312" s="115" t="s">
        <v>816</v>
      </c>
      <c r="Z312" s="125"/>
      <c r="AA312" s="119"/>
      <c r="AB312" s="119"/>
      <c r="AC312" s="119"/>
      <c r="AD312" s="26" t="s">
        <v>125</v>
      </c>
      <c r="AE312" s="122">
        <v>44257</v>
      </c>
      <c r="AF312" s="114" t="s">
        <v>786</v>
      </c>
      <c r="AG312" s="114" t="s">
        <v>119</v>
      </c>
      <c r="AH312" s="26"/>
      <c r="AI312" s="26"/>
      <c r="AJ312" s="26"/>
      <c r="AK312" s="26"/>
      <c r="AL312" s="26"/>
      <c r="AM312" s="26"/>
      <c r="AN312" s="34" t="s">
        <v>126</v>
      </c>
      <c r="AO312" s="123">
        <v>44658</v>
      </c>
      <c r="AP312" s="4"/>
      <c r="AQ312" s="4"/>
      <c r="AR312" s="4"/>
      <c r="AS312" s="4"/>
      <c r="AT312" s="4"/>
    </row>
    <row r="313" spans="1:46" s="124" customFormat="1" ht="144" customHeight="1" x14ac:dyDescent="0.25">
      <c r="A313" s="113">
        <v>177</v>
      </c>
      <c r="B313" s="113" t="s">
        <v>109</v>
      </c>
      <c r="C313" s="114" t="s">
        <v>391</v>
      </c>
      <c r="D313" s="113">
        <v>19</v>
      </c>
      <c r="E313" s="113" t="s">
        <v>121</v>
      </c>
      <c r="F313" s="115" t="s">
        <v>110</v>
      </c>
      <c r="G313" s="116" t="s">
        <v>817</v>
      </c>
      <c r="H313" s="116" t="s">
        <v>818</v>
      </c>
      <c r="I313" s="117" t="s">
        <v>113</v>
      </c>
      <c r="J313" s="116" t="s">
        <v>819</v>
      </c>
      <c r="K313" s="116"/>
      <c r="L313" s="118"/>
      <c r="M313" s="118"/>
      <c r="N313" s="119">
        <v>40210</v>
      </c>
      <c r="O313" s="119">
        <v>45322</v>
      </c>
      <c r="P313" s="120">
        <f t="shared" si="78"/>
        <v>14.005479452054795</v>
      </c>
      <c r="Q313" s="114" t="s">
        <v>35</v>
      </c>
      <c r="R313" s="114">
        <f t="shared" ca="1" si="80"/>
        <v>15.173894440710889</v>
      </c>
      <c r="S313" s="114" t="str">
        <f t="shared" ca="1" si="61"/>
        <v>O</v>
      </c>
      <c r="T313" s="121">
        <v>1</v>
      </c>
      <c r="U313" s="121">
        <v>1</v>
      </c>
      <c r="V313" s="121">
        <v>1</v>
      </c>
      <c r="W313" s="121">
        <f t="shared" si="82"/>
        <v>3</v>
      </c>
      <c r="X313" s="121" t="str">
        <f t="shared" si="83"/>
        <v>Biasa</v>
      </c>
      <c r="Y313" s="115" t="s">
        <v>820</v>
      </c>
      <c r="Z313" s="114" t="s">
        <v>119</v>
      </c>
      <c r="AA313" s="119">
        <f>N313+4285</f>
        <v>44495</v>
      </c>
      <c r="AB313" s="119">
        <f>N313+4650</f>
        <v>44860</v>
      </c>
      <c r="AC313" s="119"/>
      <c r="AD313" s="26" t="s">
        <v>125</v>
      </c>
      <c r="AE313" s="122">
        <v>44501</v>
      </c>
      <c r="AF313" s="114" t="s">
        <v>786</v>
      </c>
      <c r="AG313" s="114" t="s">
        <v>216</v>
      </c>
      <c r="AH313" s="26"/>
      <c r="AI313" s="26"/>
      <c r="AJ313" s="26"/>
      <c r="AK313" s="26"/>
      <c r="AL313" s="26"/>
      <c r="AM313" s="26"/>
      <c r="AN313" s="34" t="s">
        <v>821</v>
      </c>
      <c r="AO313" s="123">
        <v>40331</v>
      </c>
      <c r="AP313" s="4"/>
      <c r="AQ313" s="4"/>
      <c r="AR313" s="4"/>
      <c r="AS313" s="4"/>
      <c r="AT313" s="4"/>
    </row>
    <row r="314" spans="1:46" s="124" customFormat="1" ht="111.95" customHeight="1" x14ac:dyDescent="0.25">
      <c r="A314" s="113">
        <v>178</v>
      </c>
      <c r="B314" s="113" t="s">
        <v>109</v>
      </c>
      <c r="C314" s="114" t="s">
        <v>391</v>
      </c>
      <c r="D314" s="113">
        <v>34</v>
      </c>
      <c r="E314" s="113" t="s">
        <v>121</v>
      </c>
      <c r="F314" s="115" t="s">
        <v>822</v>
      </c>
      <c r="G314" s="116" t="s">
        <v>823</v>
      </c>
      <c r="H314" s="116" t="s">
        <v>824</v>
      </c>
      <c r="I314" s="117" t="s">
        <v>113</v>
      </c>
      <c r="J314" s="116" t="s">
        <v>825</v>
      </c>
      <c r="K314" s="116"/>
      <c r="L314" s="118">
        <v>52000000</v>
      </c>
      <c r="M314" s="118" t="s">
        <v>124</v>
      </c>
      <c r="N314" s="119">
        <v>44577</v>
      </c>
      <c r="O314" s="119">
        <v>44942</v>
      </c>
      <c r="P314" s="120">
        <f t="shared" si="78"/>
        <v>1</v>
      </c>
      <c r="Q314" s="114" t="s">
        <v>39</v>
      </c>
      <c r="R314" s="114">
        <f t="shared" ca="1" si="80"/>
        <v>2.915829924581856</v>
      </c>
      <c r="S314" s="114" t="str">
        <f t="shared" ca="1" si="61"/>
        <v>O</v>
      </c>
      <c r="T314" s="121">
        <v>1</v>
      </c>
      <c r="U314" s="121">
        <v>2</v>
      </c>
      <c r="V314" s="121">
        <v>2</v>
      </c>
      <c r="W314" s="121">
        <f t="shared" si="59"/>
        <v>5</v>
      </c>
      <c r="X314" s="121" t="str">
        <f t="shared" si="60"/>
        <v>Biasa</v>
      </c>
      <c r="Y314" s="115"/>
      <c r="Z314" s="125"/>
      <c r="AA314" s="119"/>
      <c r="AB314" s="119"/>
      <c r="AC314" s="119"/>
      <c r="AD314" s="26"/>
      <c r="AE314" s="122"/>
      <c r="AF314" s="114" t="s">
        <v>826</v>
      </c>
      <c r="AG314" s="114" t="s">
        <v>119</v>
      </c>
      <c r="AH314" s="26"/>
      <c r="AI314" s="26"/>
      <c r="AJ314" s="26"/>
      <c r="AK314" s="26"/>
      <c r="AL314" s="26"/>
      <c r="AM314" s="26"/>
      <c r="AN314" s="34" t="s">
        <v>126</v>
      </c>
      <c r="AO314" s="123">
        <v>44566</v>
      </c>
      <c r="AP314" s="4"/>
      <c r="AQ314" s="4"/>
      <c r="AR314" s="4"/>
      <c r="AS314" s="4"/>
      <c r="AT314" s="4"/>
    </row>
    <row r="315" spans="1:46" s="131" customFormat="1" ht="111.95" customHeight="1" x14ac:dyDescent="0.25">
      <c r="A315" s="113">
        <v>179</v>
      </c>
      <c r="B315" s="113" t="s">
        <v>109</v>
      </c>
      <c r="C315" s="114" t="s">
        <v>391</v>
      </c>
      <c r="D315" s="113">
        <v>35</v>
      </c>
      <c r="E315" s="113" t="s">
        <v>121</v>
      </c>
      <c r="F315" s="115" t="s">
        <v>827</v>
      </c>
      <c r="G315" s="116" t="s">
        <v>828</v>
      </c>
      <c r="H315" s="116" t="s">
        <v>829</v>
      </c>
      <c r="I315" s="117" t="s">
        <v>113</v>
      </c>
      <c r="J315" s="116" t="s">
        <v>830</v>
      </c>
      <c r="K315" s="116"/>
      <c r="L315" s="118">
        <v>64915185</v>
      </c>
      <c r="M315" s="118" t="s">
        <v>143</v>
      </c>
      <c r="N315" s="119">
        <v>44378</v>
      </c>
      <c r="O315" s="119">
        <v>44742</v>
      </c>
      <c r="P315" s="120">
        <f t="shared" si="78"/>
        <v>0.99726027397260275</v>
      </c>
      <c r="Q315" s="114" t="s">
        <v>39</v>
      </c>
      <c r="R315" s="114">
        <f t="shared" ca="1" si="80"/>
        <v>-3.5357829786439505</v>
      </c>
      <c r="S315" s="114" t="str">
        <f t="shared" ca="1" si="61"/>
        <v>Y</v>
      </c>
      <c r="T315" s="121">
        <v>3</v>
      </c>
      <c r="U315" s="121">
        <v>2</v>
      </c>
      <c r="V315" s="121">
        <v>3</v>
      </c>
      <c r="W315" s="121">
        <f t="shared" si="59"/>
        <v>8</v>
      </c>
      <c r="X315" s="121" t="str">
        <f t="shared" si="60"/>
        <v>Penting</v>
      </c>
      <c r="Y315" s="130"/>
      <c r="Z315" s="125"/>
      <c r="AA315" s="119"/>
      <c r="AB315" s="119"/>
      <c r="AC315" s="119"/>
      <c r="AD315" s="26"/>
      <c r="AE315" s="122"/>
      <c r="AF315" s="114" t="s">
        <v>826</v>
      </c>
      <c r="AG315" s="114" t="s">
        <v>216</v>
      </c>
      <c r="AH315" s="26"/>
      <c r="AI315" s="26"/>
      <c r="AJ315" s="26"/>
      <c r="AK315" s="26"/>
      <c r="AL315" s="26"/>
      <c r="AM315" s="26"/>
      <c r="AN315" s="34" t="s">
        <v>126</v>
      </c>
      <c r="AO315" s="123">
        <v>44422</v>
      </c>
      <c r="AP315" s="4"/>
      <c r="AQ315" s="4"/>
      <c r="AR315" s="4"/>
      <c r="AS315" s="4"/>
      <c r="AT315" s="4"/>
    </row>
    <row r="316" spans="1:46" s="124" customFormat="1" ht="111.95" customHeight="1" x14ac:dyDescent="0.25">
      <c r="A316" s="113">
        <v>180</v>
      </c>
      <c r="B316" s="113" t="s">
        <v>109</v>
      </c>
      <c r="C316" s="114" t="s">
        <v>391</v>
      </c>
      <c r="D316" s="113">
        <v>36</v>
      </c>
      <c r="E316" s="113" t="s">
        <v>121</v>
      </c>
      <c r="F316" s="115" t="s">
        <v>831</v>
      </c>
      <c r="G316" s="116" t="s">
        <v>832</v>
      </c>
      <c r="H316" s="116" t="s">
        <v>833</v>
      </c>
      <c r="I316" s="117" t="s">
        <v>160</v>
      </c>
      <c r="J316" s="116" t="s">
        <v>834</v>
      </c>
      <c r="K316" s="116" t="s">
        <v>835</v>
      </c>
      <c r="L316" s="118">
        <v>7500000</v>
      </c>
      <c r="M316" s="118" t="s">
        <v>143</v>
      </c>
      <c r="N316" s="119">
        <v>44378</v>
      </c>
      <c r="O316" s="119">
        <v>44742</v>
      </c>
      <c r="P316" s="120">
        <f t="shared" si="78"/>
        <v>0.99726027397260275</v>
      </c>
      <c r="Q316" s="114" t="s">
        <v>39</v>
      </c>
      <c r="R316" s="114">
        <f t="shared" ca="1" si="80"/>
        <v>-3.5357829786439505</v>
      </c>
      <c r="S316" s="114" t="str">
        <f t="shared" ca="1" si="61"/>
        <v>Y</v>
      </c>
      <c r="T316" s="121">
        <v>3</v>
      </c>
      <c r="U316" s="121">
        <v>1</v>
      </c>
      <c r="V316" s="121">
        <v>3</v>
      </c>
      <c r="W316" s="121">
        <f t="shared" si="59"/>
        <v>7</v>
      </c>
      <c r="X316" s="121" t="str">
        <f t="shared" si="60"/>
        <v>Penting</v>
      </c>
      <c r="Y316" s="130"/>
      <c r="Z316" s="125"/>
      <c r="AA316" s="119"/>
      <c r="AB316" s="119"/>
      <c r="AC316" s="119"/>
      <c r="AD316" s="26"/>
      <c r="AE316" s="122"/>
      <c r="AF316" s="114" t="s">
        <v>826</v>
      </c>
      <c r="AG316" s="114" t="s">
        <v>119</v>
      </c>
      <c r="AH316" s="26"/>
      <c r="AI316" s="26"/>
      <c r="AJ316" s="26"/>
      <c r="AK316" s="26"/>
      <c r="AL316" s="26"/>
      <c r="AM316" s="26"/>
      <c r="AN316" s="34" t="s">
        <v>126</v>
      </c>
      <c r="AO316" s="123">
        <v>44422</v>
      </c>
      <c r="AP316" s="4"/>
      <c r="AQ316" s="4"/>
      <c r="AR316" s="4"/>
      <c r="AS316" s="4"/>
      <c r="AT316" s="4"/>
    </row>
    <row r="317" spans="1:46" s="124" customFormat="1" ht="111.95" customHeight="1" x14ac:dyDescent="0.25">
      <c r="A317" s="113">
        <v>181</v>
      </c>
      <c r="B317" s="113" t="s">
        <v>836</v>
      </c>
      <c r="C317" s="114" t="s">
        <v>391</v>
      </c>
      <c r="D317" s="113">
        <v>37</v>
      </c>
      <c r="E317" s="113" t="s">
        <v>121</v>
      </c>
      <c r="F317" s="130" t="s">
        <v>837</v>
      </c>
      <c r="G317" s="116" t="s">
        <v>838</v>
      </c>
      <c r="H317" s="116" t="s">
        <v>833</v>
      </c>
      <c r="I317" s="117" t="s">
        <v>160</v>
      </c>
      <c r="J317" s="116" t="s">
        <v>834</v>
      </c>
      <c r="K317" s="116" t="s">
        <v>835</v>
      </c>
      <c r="L317" s="118">
        <v>6000000</v>
      </c>
      <c r="M317" s="118" t="s">
        <v>143</v>
      </c>
      <c r="N317" s="119">
        <v>44378</v>
      </c>
      <c r="O317" s="119">
        <v>44742</v>
      </c>
      <c r="P317" s="120">
        <f t="shared" si="78"/>
        <v>0.99726027397260275</v>
      </c>
      <c r="Q317" s="114" t="s">
        <v>39</v>
      </c>
      <c r="R317" s="114">
        <f t="shared" ca="1" si="80"/>
        <v>-3.5357829786439505</v>
      </c>
      <c r="S317" s="114" t="str">
        <f t="shared" ca="1" si="61"/>
        <v>Y</v>
      </c>
      <c r="T317" s="121">
        <v>3</v>
      </c>
      <c r="U317" s="121">
        <v>1</v>
      </c>
      <c r="V317" s="121">
        <v>3</v>
      </c>
      <c r="W317" s="121">
        <f t="shared" si="59"/>
        <v>7</v>
      </c>
      <c r="X317" s="121" t="str">
        <f t="shared" si="60"/>
        <v>Penting</v>
      </c>
      <c r="Y317" s="130"/>
      <c r="Z317" s="125"/>
      <c r="AA317" s="119"/>
      <c r="AB317" s="119"/>
      <c r="AC317" s="119"/>
      <c r="AD317" s="26"/>
      <c r="AE317" s="122"/>
      <c r="AF317" s="114" t="s">
        <v>826</v>
      </c>
      <c r="AG317" s="114" t="s">
        <v>119</v>
      </c>
      <c r="AH317" s="26"/>
      <c r="AI317" s="26"/>
      <c r="AJ317" s="26"/>
      <c r="AK317" s="26"/>
      <c r="AL317" s="26"/>
      <c r="AM317" s="26"/>
      <c r="AN317" s="34" t="s">
        <v>126</v>
      </c>
      <c r="AO317" s="123">
        <v>44422</v>
      </c>
      <c r="AP317" s="4"/>
      <c r="AQ317" s="4"/>
      <c r="AR317" s="4"/>
      <c r="AS317" s="4"/>
      <c r="AT317" s="4"/>
    </row>
    <row r="318" spans="1:46" s="124" customFormat="1" ht="111.95" customHeight="1" x14ac:dyDescent="0.25">
      <c r="A318" s="113">
        <v>182</v>
      </c>
      <c r="B318" s="113" t="s">
        <v>109</v>
      </c>
      <c r="C318" s="114" t="s">
        <v>391</v>
      </c>
      <c r="D318" s="113">
        <v>38</v>
      </c>
      <c r="E318" s="113" t="s">
        <v>121</v>
      </c>
      <c r="F318" s="115" t="s">
        <v>839</v>
      </c>
      <c r="G318" s="116" t="s">
        <v>840</v>
      </c>
      <c r="H318" s="116" t="s">
        <v>841</v>
      </c>
      <c r="I318" s="117" t="s">
        <v>113</v>
      </c>
      <c r="J318" s="116" t="s">
        <v>842</v>
      </c>
      <c r="K318" s="116" t="s">
        <v>843</v>
      </c>
      <c r="L318" s="118">
        <f>4750000/2</f>
        <v>2375000</v>
      </c>
      <c r="M318" s="118" t="s">
        <v>143</v>
      </c>
      <c r="N318" s="119">
        <v>44197</v>
      </c>
      <c r="O318" s="119">
        <v>44926</v>
      </c>
      <c r="P318" s="120">
        <f t="shared" si="78"/>
        <v>1.9972602739726026</v>
      </c>
      <c r="Q318" s="114" t="s">
        <v>39</v>
      </c>
      <c r="R318" s="114">
        <f t="shared" ca="1" si="80"/>
        <v>2.3997008923237915</v>
      </c>
      <c r="S318" s="114" t="str">
        <f t="shared" ca="1" si="61"/>
        <v>O</v>
      </c>
      <c r="T318" s="121">
        <v>3</v>
      </c>
      <c r="U318" s="121">
        <v>1</v>
      </c>
      <c r="V318" s="121">
        <v>3</v>
      </c>
      <c r="W318" s="121">
        <f t="shared" si="59"/>
        <v>7</v>
      </c>
      <c r="X318" s="121" t="str">
        <f t="shared" si="60"/>
        <v>Penting</v>
      </c>
      <c r="Y318" s="115"/>
      <c r="Z318" s="114" t="s">
        <v>119</v>
      </c>
      <c r="AA318" s="119">
        <f>N318+270</f>
        <v>44467</v>
      </c>
      <c r="AB318" s="119">
        <f>+N318+635</f>
        <v>44832</v>
      </c>
      <c r="AC318" s="119"/>
      <c r="AD318" s="26" t="s">
        <v>125</v>
      </c>
      <c r="AE318" s="122">
        <v>43497</v>
      </c>
      <c r="AF318" s="114" t="s">
        <v>826</v>
      </c>
      <c r="AG318" s="114" t="s">
        <v>119</v>
      </c>
      <c r="AH318" s="26"/>
      <c r="AI318" s="26"/>
      <c r="AJ318" s="26"/>
      <c r="AK318" s="26"/>
      <c r="AL318" s="26"/>
      <c r="AM318" s="26"/>
      <c r="AN318" s="34" t="s">
        <v>126</v>
      </c>
      <c r="AO318" s="123">
        <v>43834</v>
      </c>
      <c r="AP318" s="4"/>
      <c r="AQ318" s="4"/>
      <c r="AR318" s="4"/>
      <c r="AS318" s="4"/>
      <c r="AT318" s="4"/>
    </row>
    <row r="319" spans="1:46" s="124" customFormat="1" ht="111.95" customHeight="1" x14ac:dyDescent="0.25">
      <c r="A319" s="113">
        <v>183</v>
      </c>
      <c r="B319" s="113" t="s">
        <v>109</v>
      </c>
      <c r="C319" s="114" t="s">
        <v>391</v>
      </c>
      <c r="D319" s="113">
        <v>44</v>
      </c>
      <c r="E319" s="113" t="s">
        <v>121</v>
      </c>
      <c r="F319" s="115" t="s">
        <v>844</v>
      </c>
      <c r="G319" s="116" t="s">
        <v>845</v>
      </c>
      <c r="H319" s="116" t="s">
        <v>846</v>
      </c>
      <c r="I319" s="117" t="s">
        <v>113</v>
      </c>
      <c r="J319" s="116" t="s">
        <v>847</v>
      </c>
      <c r="K319" s="116" t="s">
        <v>848</v>
      </c>
      <c r="L319" s="118">
        <v>53677777</v>
      </c>
      <c r="M319" s="118" t="s">
        <v>143</v>
      </c>
      <c r="N319" s="119">
        <v>44378</v>
      </c>
      <c r="O319" s="119">
        <v>44742</v>
      </c>
      <c r="P319" s="120">
        <f t="shared" si="78"/>
        <v>0.99726027397260275</v>
      </c>
      <c r="Q319" s="114" t="s">
        <v>39</v>
      </c>
      <c r="R319" s="114">
        <f t="shared" ca="1" si="80"/>
        <v>-3.5357829786439505</v>
      </c>
      <c r="S319" s="114" t="str">
        <f t="shared" ca="1" si="61"/>
        <v>Y</v>
      </c>
      <c r="T319" s="121">
        <v>3</v>
      </c>
      <c r="U319" s="121">
        <v>1</v>
      </c>
      <c r="V319" s="121">
        <v>3</v>
      </c>
      <c r="W319" s="121">
        <f>T319+U319+V319</f>
        <v>7</v>
      </c>
      <c r="X319" s="121" t="str">
        <f>IF(W319&gt;5,"Penting",IF(ISBLANK(W319),"","Biasa"))</f>
        <v>Penting</v>
      </c>
      <c r="Y319" s="115"/>
      <c r="Z319" s="125"/>
      <c r="AA319" s="119"/>
      <c r="AB319" s="119"/>
      <c r="AC319" s="119"/>
      <c r="AD319" s="26" t="s">
        <v>125</v>
      </c>
      <c r="AE319" s="122">
        <v>43983</v>
      </c>
      <c r="AF319" s="114" t="s">
        <v>826</v>
      </c>
      <c r="AG319" s="114" t="s">
        <v>119</v>
      </c>
      <c r="AH319" s="26"/>
      <c r="AI319" s="26"/>
      <c r="AJ319" s="26"/>
      <c r="AK319" s="26"/>
      <c r="AL319" s="26"/>
      <c r="AM319" s="26"/>
      <c r="AN319" s="34" t="s">
        <v>126</v>
      </c>
      <c r="AO319" s="123">
        <v>44432</v>
      </c>
      <c r="AP319" s="4"/>
      <c r="AQ319" s="4"/>
      <c r="AR319" s="4"/>
      <c r="AS319" s="4"/>
      <c r="AT319" s="4"/>
    </row>
    <row r="320" spans="1:46" s="124" customFormat="1" ht="111.95" customHeight="1" x14ac:dyDescent="0.25">
      <c r="A320" s="113">
        <v>184</v>
      </c>
      <c r="B320" s="113" t="s">
        <v>109</v>
      </c>
      <c r="C320" s="114" t="s">
        <v>462</v>
      </c>
      <c r="D320" s="113">
        <v>7</v>
      </c>
      <c r="E320" s="113" t="s">
        <v>121</v>
      </c>
      <c r="F320" s="115"/>
      <c r="G320" s="116" t="s">
        <v>849</v>
      </c>
      <c r="H320" s="116" t="s">
        <v>850</v>
      </c>
      <c r="I320" s="117" t="s">
        <v>113</v>
      </c>
      <c r="J320" s="116" t="s">
        <v>851</v>
      </c>
      <c r="K320" s="116"/>
      <c r="L320" s="118"/>
      <c r="M320" s="118"/>
      <c r="N320" s="119">
        <v>41817</v>
      </c>
      <c r="O320" s="119">
        <v>44708</v>
      </c>
      <c r="P320" s="120">
        <f t="shared" si="78"/>
        <v>7.9205479452054792</v>
      </c>
      <c r="Q320" s="114" t="s">
        <v>39</v>
      </c>
      <c r="R320" s="114">
        <f t="shared" ca="1" si="80"/>
        <v>-4.632557172192338</v>
      </c>
      <c r="S320" s="114" t="str">
        <f t="shared" ca="1" si="61"/>
        <v>Y</v>
      </c>
      <c r="T320" s="121">
        <v>3</v>
      </c>
      <c r="U320" s="121">
        <v>1</v>
      </c>
      <c r="V320" s="121">
        <v>3</v>
      </c>
      <c r="W320" s="121">
        <f>T320+U320+V320</f>
        <v>7</v>
      </c>
      <c r="X320" s="121" t="str">
        <f>IF(W320&gt;5,"Penting",IF(ISBLANK(W320),"","Biasa"))</f>
        <v>Penting</v>
      </c>
      <c r="Y320" s="115" t="s">
        <v>852</v>
      </c>
      <c r="Z320" s="114" t="s">
        <v>119</v>
      </c>
      <c r="AA320" s="119">
        <f>N320+2460</f>
        <v>44277</v>
      </c>
      <c r="AB320" s="119">
        <f>N320+2825</f>
        <v>44642</v>
      </c>
      <c r="AC320" s="119"/>
      <c r="AD320" s="26" t="s">
        <v>125</v>
      </c>
      <c r="AE320" s="122">
        <v>44501</v>
      </c>
      <c r="AF320" s="114" t="s">
        <v>826</v>
      </c>
      <c r="AG320" s="114" t="s">
        <v>216</v>
      </c>
      <c r="AH320" s="26"/>
      <c r="AI320" s="26"/>
      <c r="AJ320" s="26"/>
      <c r="AK320" s="26"/>
      <c r="AL320" s="26"/>
      <c r="AM320" s="26"/>
      <c r="AN320" s="34"/>
      <c r="AO320" s="123"/>
      <c r="AP320" s="4"/>
      <c r="AQ320" s="4"/>
      <c r="AR320" s="4"/>
      <c r="AS320" s="4"/>
      <c r="AT320" s="4"/>
    </row>
    <row r="321" spans="1:48" s="124" customFormat="1" ht="111.95" customHeight="1" x14ac:dyDescent="0.25">
      <c r="A321" s="113">
        <v>185</v>
      </c>
      <c r="B321" s="113" t="s">
        <v>109</v>
      </c>
      <c r="C321" s="114" t="s">
        <v>853</v>
      </c>
      <c r="D321" s="113">
        <v>1</v>
      </c>
      <c r="E321" s="113"/>
      <c r="F321" s="115"/>
      <c r="G321" s="116" t="s">
        <v>854</v>
      </c>
      <c r="H321" s="116" t="s">
        <v>855</v>
      </c>
      <c r="I321" s="117" t="s">
        <v>113</v>
      </c>
      <c r="J321" s="116"/>
      <c r="K321" s="116"/>
      <c r="L321" s="118"/>
      <c r="M321" s="118"/>
      <c r="N321" s="119"/>
      <c r="O321" s="119"/>
      <c r="P321" s="120"/>
      <c r="Q321" s="114" t="s">
        <v>33</v>
      </c>
      <c r="R321" s="114"/>
      <c r="S321" s="114" t="str">
        <f t="shared" si="61"/>
        <v>X</v>
      </c>
      <c r="T321" s="121">
        <v>3</v>
      </c>
      <c r="U321" s="121">
        <v>3</v>
      </c>
      <c r="V321" s="121">
        <v>3</v>
      </c>
      <c r="W321" s="121">
        <f t="shared" si="59"/>
        <v>9</v>
      </c>
      <c r="X321" s="121" t="str">
        <f t="shared" si="60"/>
        <v>Penting</v>
      </c>
      <c r="Y321" s="115" t="s">
        <v>856</v>
      </c>
      <c r="Z321" s="114"/>
      <c r="AA321" s="119"/>
      <c r="AB321" s="119"/>
      <c r="AC321" s="119"/>
      <c r="AD321" s="26"/>
      <c r="AE321" s="122"/>
      <c r="AF321" s="114" t="s">
        <v>857</v>
      </c>
      <c r="AG321" s="114"/>
      <c r="AH321" s="26"/>
      <c r="AI321" s="26" t="s">
        <v>119</v>
      </c>
      <c r="AJ321" s="26"/>
      <c r="AK321" s="26"/>
      <c r="AL321" s="26"/>
      <c r="AM321" s="26"/>
      <c r="AN321" s="26"/>
      <c r="AO321" s="123" t="s">
        <v>119</v>
      </c>
      <c r="AP321" s="4"/>
      <c r="AQ321" s="4"/>
      <c r="AR321" s="4"/>
      <c r="AS321" s="4"/>
      <c r="AT321" s="4"/>
    </row>
    <row r="322" spans="1:48" s="124" customFormat="1" ht="111.95" customHeight="1" x14ac:dyDescent="0.25">
      <c r="A322" s="113">
        <v>186</v>
      </c>
      <c r="B322" s="113" t="s">
        <v>109</v>
      </c>
      <c r="C322" s="114" t="s">
        <v>853</v>
      </c>
      <c r="D322" s="113">
        <v>2</v>
      </c>
      <c r="E322" s="113" t="s">
        <v>121</v>
      </c>
      <c r="F322" s="115"/>
      <c r="G322" s="116" t="s">
        <v>854</v>
      </c>
      <c r="H322" s="116" t="s">
        <v>858</v>
      </c>
      <c r="I322" s="117" t="s">
        <v>113</v>
      </c>
      <c r="J322" s="116"/>
      <c r="K322" s="116"/>
      <c r="L322" s="118"/>
      <c r="M322" s="118"/>
      <c r="N322" s="119">
        <v>43523</v>
      </c>
      <c r="O322" s="119" t="s">
        <v>110</v>
      </c>
      <c r="P322" s="120" t="s">
        <v>110</v>
      </c>
      <c r="Q322" s="114" t="s">
        <v>33</v>
      </c>
      <c r="R322" s="114" t="s">
        <v>110</v>
      </c>
      <c r="S322" s="114" t="str">
        <f t="shared" si="61"/>
        <v>O</v>
      </c>
      <c r="T322" s="121">
        <v>3</v>
      </c>
      <c r="U322" s="121">
        <v>3</v>
      </c>
      <c r="V322" s="121">
        <v>3</v>
      </c>
      <c r="W322" s="121">
        <f t="shared" si="59"/>
        <v>9</v>
      </c>
      <c r="X322" s="121" t="str">
        <f t="shared" si="60"/>
        <v>Penting</v>
      </c>
      <c r="Y322" s="115" t="s">
        <v>859</v>
      </c>
      <c r="Z322" s="114" t="s">
        <v>119</v>
      </c>
      <c r="AA322" s="119">
        <f>N322+270</f>
        <v>43793</v>
      </c>
      <c r="AB322" s="119">
        <f>+N322+635</f>
        <v>44158</v>
      </c>
      <c r="AC322" s="119">
        <f>+N322+1000</f>
        <v>44523</v>
      </c>
      <c r="AD322" s="26"/>
      <c r="AE322" s="122"/>
      <c r="AF322" s="114" t="s">
        <v>857</v>
      </c>
      <c r="AG322" s="114" t="s">
        <v>216</v>
      </c>
      <c r="AH322" s="26"/>
      <c r="AI322" s="26"/>
      <c r="AJ322" s="26"/>
      <c r="AK322" s="26"/>
      <c r="AL322" s="26"/>
      <c r="AM322" s="26"/>
      <c r="AN322" s="34"/>
      <c r="AO322" s="123"/>
      <c r="AP322" s="4"/>
      <c r="AQ322" s="4"/>
      <c r="AR322" s="4"/>
      <c r="AS322" s="4"/>
      <c r="AT322" s="4"/>
    </row>
    <row r="323" spans="1:48" s="124" customFormat="1" ht="111.95" customHeight="1" x14ac:dyDescent="0.25">
      <c r="A323" s="113">
        <v>187</v>
      </c>
      <c r="B323" s="113" t="s">
        <v>109</v>
      </c>
      <c r="C323" s="114" t="s">
        <v>853</v>
      </c>
      <c r="D323" s="113">
        <v>3</v>
      </c>
      <c r="E323" s="113" t="s">
        <v>121</v>
      </c>
      <c r="F323" s="115" t="s">
        <v>860</v>
      </c>
      <c r="G323" s="116" t="s">
        <v>854</v>
      </c>
      <c r="H323" s="116" t="s">
        <v>861</v>
      </c>
      <c r="I323" s="117" t="s">
        <v>113</v>
      </c>
      <c r="J323" s="116" t="s">
        <v>862</v>
      </c>
      <c r="K323" s="116"/>
      <c r="L323" s="118"/>
      <c r="M323" s="118"/>
      <c r="N323" s="119">
        <v>41081</v>
      </c>
      <c r="O323" s="119">
        <v>44732</v>
      </c>
      <c r="P323" s="120">
        <f>(O323-N323)/365</f>
        <v>10.002739726027396</v>
      </c>
      <c r="Q323" s="114" t="s">
        <v>33</v>
      </c>
      <c r="R323" s="114">
        <f t="shared" ref="R323" ca="1" si="84">(O323-NOW()+1)/31</f>
        <v>-3.858363623805241</v>
      </c>
      <c r="S323" s="114" t="str">
        <f t="shared" ca="1" si="61"/>
        <v>Y</v>
      </c>
      <c r="T323" s="121">
        <v>3</v>
      </c>
      <c r="U323" s="121">
        <v>3</v>
      </c>
      <c r="V323" s="121">
        <v>3</v>
      </c>
      <c r="W323" s="121">
        <f t="shared" si="59"/>
        <v>9</v>
      </c>
      <c r="X323" s="121" t="str">
        <f t="shared" si="60"/>
        <v>Penting</v>
      </c>
      <c r="Y323" s="115" t="s">
        <v>863</v>
      </c>
      <c r="Z323" s="114" t="s">
        <v>119</v>
      </c>
      <c r="AA323" s="119">
        <f>N323+3190</f>
        <v>44271</v>
      </c>
      <c r="AB323" s="119">
        <f>+N323+3555</f>
        <v>44636</v>
      </c>
      <c r="AC323" s="119"/>
      <c r="AD323" s="26"/>
      <c r="AE323" s="122"/>
      <c r="AF323" s="114" t="s">
        <v>857</v>
      </c>
      <c r="AG323" s="114" t="s">
        <v>216</v>
      </c>
      <c r="AH323" s="26"/>
      <c r="AI323" s="26"/>
      <c r="AJ323" s="26"/>
      <c r="AK323" s="26"/>
      <c r="AL323" s="26"/>
      <c r="AM323" s="26"/>
      <c r="AN323" s="34"/>
      <c r="AO323" s="123"/>
      <c r="AP323" s="4"/>
      <c r="AQ323" s="4"/>
      <c r="AR323" s="4"/>
      <c r="AS323" s="4"/>
      <c r="AT323" s="4"/>
      <c r="AV323" s="124" t="s">
        <v>864</v>
      </c>
    </row>
    <row r="324" spans="1:48" s="124" customFormat="1" ht="111.95" customHeight="1" x14ac:dyDescent="0.25">
      <c r="A324" s="113">
        <v>188</v>
      </c>
      <c r="B324" s="113" t="s">
        <v>109</v>
      </c>
      <c r="C324" s="114" t="s">
        <v>853</v>
      </c>
      <c r="D324" s="113">
        <v>4</v>
      </c>
      <c r="E324" s="113" t="s">
        <v>121</v>
      </c>
      <c r="F324" s="115"/>
      <c r="G324" s="116" t="s">
        <v>854</v>
      </c>
      <c r="H324" s="116" t="s">
        <v>865</v>
      </c>
      <c r="I324" s="117" t="s">
        <v>113</v>
      </c>
      <c r="J324" s="116" t="s">
        <v>862</v>
      </c>
      <c r="K324" s="116"/>
      <c r="L324" s="118"/>
      <c r="M324" s="118"/>
      <c r="N324" s="119">
        <v>43966</v>
      </c>
      <c r="O324" s="119" t="s">
        <v>110</v>
      </c>
      <c r="P324" s="120"/>
      <c r="Q324" s="114" t="s">
        <v>33</v>
      </c>
      <c r="R324" s="114"/>
      <c r="S324" s="114" t="str">
        <f t="shared" si="61"/>
        <v>X</v>
      </c>
      <c r="T324" s="121">
        <v>3</v>
      </c>
      <c r="U324" s="121">
        <v>3</v>
      </c>
      <c r="V324" s="121">
        <v>3</v>
      </c>
      <c r="W324" s="121">
        <f t="shared" si="59"/>
        <v>9</v>
      </c>
      <c r="X324" s="121" t="str">
        <f t="shared" si="60"/>
        <v>Penting</v>
      </c>
      <c r="Y324" s="115" t="s">
        <v>866</v>
      </c>
      <c r="Z324" s="114"/>
      <c r="AA324" s="119"/>
      <c r="AB324" s="119"/>
      <c r="AC324" s="119"/>
      <c r="AD324" s="26"/>
      <c r="AE324" s="122"/>
      <c r="AF324" s="114" t="s">
        <v>857</v>
      </c>
      <c r="AG324" s="114"/>
      <c r="AH324" s="26"/>
      <c r="AI324" s="26" t="s">
        <v>119</v>
      </c>
      <c r="AJ324" s="26"/>
      <c r="AK324" s="26"/>
      <c r="AL324" s="26"/>
      <c r="AM324" s="26"/>
      <c r="AN324" s="26"/>
      <c r="AO324" s="123" t="s">
        <v>119</v>
      </c>
      <c r="AP324" s="4"/>
      <c r="AQ324" s="4"/>
      <c r="AR324" s="4"/>
      <c r="AS324" s="4"/>
      <c r="AT324" s="4"/>
    </row>
    <row r="325" spans="1:48" s="124" customFormat="1" ht="111.95" customHeight="1" x14ac:dyDescent="0.25">
      <c r="A325" s="113">
        <v>189</v>
      </c>
      <c r="B325" s="113" t="s">
        <v>109</v>
      </c>
      <c r="C325" s="114" t="s">
        <v>853</v>
      </c>
      <c r="D325" s="113">
        <v>5</v>
      </c>
      <c r="E325" s="113" t="s">
        <v>121</v>
      </c>
      <c r="F325" s="115"/>
      <c r="G325" s="116" t="s">
        <v>854</v>
      </c>
      <c r="H325" s="116" t="s">
        <v>867</v>
      </c>
      <c r="I325" s="117" t="s">
        <v>113</v>
      </c>
      <c r="J325" s="116" t="s">
        <v>862</v>
      </c>
      <c r="K325" s="116"/>
      <c r="L325" s="118"/>
      <c r="M325" s="118"/>
      <c r="N325" s="119">
        <v>39547</v>
      </c>
      <c r="O325" s="119">
        <v>45024</v>
      </c>
      <c r="P325" s="120">
        <f>(O325-N325)/365</f>
        <v>15.005479452054795</v>
      </c>
      <c r="Q325" s="114" t="s">
        <v>33</v>
      </c>
      <c r="R325" s="114">
        <f t="shared" ref="R325" ca="1" si="85">(O325-NOW()+1)/31</f>
        <v>5.5609912149044369</v>
      </c>
      <c r="S325" s="114" t="str">
        <f t="shared" ca="1" si="61"/>
        <v>O</v>
      </c>
      <c r="T325" s="121">
        <v>3</v>
      </c>
      <c r="U325" s="121">
        <v>3</v>
      </c>
      <c r="V325" s="121">
        <v>3</v>
      </c>
      <c r="W325" s="121">
        <f t="shared" si="59"/>
        <v>9</v>
      </c>
      <c r="X325" s="121" t="str">
        <f t="shared" si="60"/>
        <v>Penting</v>
      </c>
      <c r="Y325" s="115" t="s">
        <v>863</v>
      </c>
      <c r="Z325" s="114" t="s">
        <v>119</v>
      </c>
      <c r="AA325" s="119">
        <f>N325+4650</f>
        <v>44197</v>
      </c>
      <c r="AB325" s="119">
        <f>+N325+5015</f>
        <v>44562</v>
      </c>
      <c r="AC325" s="119"/>
      <c r="AD325" s="26"/>
      <c r="AE325" s="122"/>
      <c r="AF325" s="114" t="s">
        <v>857</v>
      </c>
      <c r="AG325" s="114" t="s">
        <v>119</v>
      </c>
      <c r="AH325" s="26"/>
      <c r="AI325" s="26"/>
      <c r="AJ325" s="26"/>
      <c r="AK325" s="26"/>
      <c r="AL325" s="26"/>
      <c r="AM325" s="26"/>
      <c r="AN325" s="34"/>
      <c r="AO325" s="123"/>
      <c r="AP325" s="4"/>
      <c r="AQ325" s="4"/>
      <c r="AR325" s="4"/>
      <c r="AS325" s="4"/>
      <c r="AT325" s="4"/>
    </row>
    <row r="326" spans="1:48" s="124" customFormat="1" ht="111.95" customHeight="1" x14ac:dyDescent="0.25">
      <c r="A326" s="113">
        <v>190</v>
      </c>
      <c r="B326" s="113" t="s">
        <v>109</v>
      </c>
      <c r="C326" s="114" t="s">
        <v>853</v>
      </c>
      <c r="D326" s="113">
        <v>6</v>
      </c>
      <c r="E326" s="113"/>
      <c r="F326" s="115"/>
      <c r="G326" s="116" t="s">
        <v>854</v>
      </c>
      <c r="H326" s="116" t="s">
        <v>868</v>
      </c>
      <c r="I326" s="117" t="s">
        <v>113</v>
      </c>
      <c r="J326" s="116"/>
      <c r="K326" s="116"/>
      <c r="L326" s="118"/>
      <c r="M326" s="118"/>
      <c r="N326" s="119"/>
      <c r="O326" s="119"/>
      <c r="P326" s="120"/>
      <c r="Q326" s="114" t="s">
        <v>33</v>
      </c>
      <c r="R326" s="114" t="s">
        <v>18</v>
      </c>
      <c r="S326" s="114" t="str">
        <f t="shared" si="61"/>
        <v>C</v>
      </c>
      <c r="T326" s="121">
        <v>3</v>
      </c>
      <c r="U326" s="121">
        <v>3</v>
      </c>
      <c r="V326" s="121">
        <v>3</v>
      </c>
      <c r="W326" s="121">
        <f t="shared" si="59"/>
        <v>9</v>
      </c>
      <c r="X326" s="121" t="str">
        <f t="shared" si="60"/>
        <v>Penting</v>
      </c>
      <c r="Y326" s="115" t="s">
        <v>869</v>
      </c>
      <c r="Z326" s="115"/>
      <c r="AA326" s="119"/>
      <c r="AB326" s="119"/>
      <c r="AC326" s="119"/>
      <c r="AD326" s="26" t="s">
        <v>18</v>
      </c>
      <c r="AE326" s="122">
        <v>44409</v>
      </c>
      <c r="AF326" s="114" t="s">
        <v>857</v>
      </c>
      <c r="AG326" s="114"/>
      <c r="AH326" s="26"/>
      <c r="AI326" s="26"/>
      <c r="AJ326" s="26"/>
      <c r="AK326" s="26"/>
      <c r="AL326" s="26"/>
      <c r="AM326" s="26"/>
      <c r="AN326" s="26"/>
      <c r="AO326" s="123"/>
      <c r="AP326" s="4"/>
      <c r="AQ326" s="4"/>
      <c r="AR326" s="4"/>
      <c r="AS326" s="4"/>
      <c r="AT326" s="4"/>
    </row>
    <row r="327" spans="1:48" s="124" customFormat="1" ht="111.95" customHeight="1" x14ac:dyDescent="0.25">
      <c r="A327" s="113">
        <v>191</v>
      </c>
      <c r="B327" s="113" t="s">
        <v>109</v>
      </c>
      <c r="C327" s="114" t="s">
        <v>853</v>
      </c>
      <c r="D327" s="113">
        <v>7</v>
      </c>
      <c r="E327" s="113"/>
      <c r="F327" s="115"/>
      <c r="G327" s="116" t="s">
        <v>854</v>
      </c>
      <c r="H327" s="116" t="s">
        <v>870</v>
      </c>
      <c r="I327" s="117" t="s">
        <v>113</v>
      </c>
      <c r="J327" s="116"/>
      <c r="K327" s="116"/>
      <c r="L327" s="118"/>
      <c r="M327" s="118"/>
      <c r="N327" s="119"/>
      <c r="O327" s="119"/>
      <c r="P327" s="120"/>
      <c r="Q327" s="114" t="s">
        <v>33</v>
      </c>
      <c r="R327" s="114"/>
      <c r="S327" s="114" t="str">
        <f>IF(R327="End","Z",IF(R327="Cancel","C",IF(SUM(R327)&gt;0,"O",IF(ISBLANK(R327),"X",IF(SUM(R327)&lt;0,"Y",IF(SUM(R327),"-","O"))))))</f>
        <v>X</v>
      </c>
      <c r="T327" s="121">
        <v>3</v>
      </c>
      <c r="U327" s="121">
        <v>3</v>
      </c>
      <c r="V327" s="121">
        <v>3</v>
      </c>
      <c r="W327" s="121">
        <f t="shared" si="59"/>
        <v>9</v>
      </c>
      <c r="X327" s="121" t="str">
        <f t="shared" si="60"/>
        <v>Penting</v>
      </c>
      <c r="Y327" s="115" t="s">
        <v>871</v>
      </c>
      <c r="Z327" s="114"/>
      <c r="AA327" s="119"/>
      <c r="AB327" s="119"/>
      <c r="AC327" s="119"/>
      <c r="AD327" s="26" t="s">
        <v>125</v>
      </c>
      <c r="AE327" s="122">
        <v>43497</v>
      </c>
      <c r="AF327" s="114" t="s">
        <v>857</v>
      </c>
      <c r="AG327" s="114"/>
      <c r="AH327" s="26"/>
      <c r="AI327" s="26" t="s">
        <v>119</v>
      </c>
      <c r="AJ327" s="26"/>
      <c r="AK327" s="26"/>
      <c r="AL327" s="26"/>
      <c r="AM327" s="26"/>
      <c r="AN327" s="26"/>
      <c r="AO327" s="123"/>
      <c r="AP327" s="4"/>
      <c r="AQ327" s="4"/>
      <c r="AR327" s="4"/>
      <c r="AS327" s="4"/>
      <c r="AT327" s="4"/>
    </row>
    <row r="328" spans="1:48" s="124" customFormat="1" ht="111.95" customHeight="1" x14ac:dyDescent="0.25">
      <c r="A328" s="113">
        <v>192</v>
      </c>
      <c r="B328" s="113" t="s">
        <v>109</v>
      </c>
      <c r="C328" s="114" t="s">
        <v>853</v>
      </c>
      <c r="D328" s="113">
        <v>8</v>
      </c>
      <c r="E328" s="113"/>
      <c r="F328" s="115"/>
      <c r="G328" s="116" t="s">
        <v>854</v>
      </c>
      <c r="H328" s="116" t="s">
        <v>872</v>
      </c>
      <c r="I328" s="117" t="s">
        <v>113</v>
      </c>
      <c r="J328" s="116"/>
      <c r="K328" s="116"/>
      <c r="L328" s="118"/>
      <c r="M328" s="118"/>
      <c r="N328" s="119"/>
      <c r="O328" s="119"/>
      <c r="P328" s="120"/>
      <c r="Q328" s="114" t="s">
        <v>33</v>
      </c>
      <c r="R328" s="114"/>
      <c r="S328" s="114" t="str">
        <f t="shared" si="61"/>
        <v>X</v>
      </c>
      <c r="T328" s="121">
        <v>3</v>
      </c>
      <c r="U328" s="121">
        <v>3</v>
      </c>
      <c r="V328" s="121">
        <v>3</v>
      </c>
      <c r="W328" s="121">
        <f t="shared" si="59"/>
        <v>9</v>
      </c>
      <c r="X328" s="121" t="str">
        <f t="shared" si="60"/>
        <v>Penting</v>
      </c>
      <c r="Y328" s="115" t="s">
        <v>873</v>
      </c>
      <c r="Z328" s="114"/>
      <c r="AA328" s="119"/>
      <c r="AB328" s="119"/>
      <c r="AC328" s="119"/>
      <c r="AD328" s="26"/>
      <c r="AE328" s="122"/>
      <c r="AF328" s="114" t="s">
        <v>857</v>
      </c>
      <c r="AG328" s="114"/>
      <c r="AH328" s="26"/>
      <c r="AI328" s="26" t="s">
        <v>119</v>
      </c>
      <c r="AJ328" s="26"/>
      <c r="AK328" s="26"/>
      <c r="AL328" s="26"/>
      <c r="AM328" s="26"/>
      <c r="AN328" s="26"/>
      <c r="AO328" s="123"/>
      <c r="AP328" s="4"/>
      <c r="AQ328" s="4"/>
      <c r="AR328" s="4"/>
      <c r="AS328" s="4"/>
      <c r="AT328" s="4"/>
    </row>
    <row r="329" spans="1:48" s="124" customFormat="1" ht="111.95" customHeight="1" x14ac:dyDescent="0.25">
      <c r="A329" s="113">
        <v>193</v>
      </c>
      <c r="B329" s="113" t="s">
        <v>109</v>
      </c>
      <c r="C329" s="114" t="s">
        <v>853</v>
      </c>
      <c r="D329" s="113">
        <v>9</v>
      </c>
      <c r="E329" s="113"/>
      <c r="F329" s="115"/>
      <c r="G329" s="116" t="s">
        <v>854</v>
      </c>
      <c r="H329" s="116" t="s">
        <v>874</v>
      </c>
      <c r="I329" s="117" t="s">
        <v>113</v>
      </c>
      <c r="J329" s="116"/>
      <c r="K329" s="116"/>
      <c r="L329" s="118"/>
      <c r="M329" s="118"/>
      <c r="N329" s="119">
        <v>43371</v>
      </c>
      <c r="O329" s="119">
        <v>44832</v>
      </c>
      <c r="P329" s="120">
        <f t="shared" ref="P329:P334" si="86">(O329-N329)/365</f>
        <v>4.0027397260273974</v>
      </c>
      <c r="Q329" s="114" t="s">
        <v>33</v>
      </c>
      <c r="R329" s="114">
        <f t="shared" ref="R329" ca="1" si="87">(O329-NOW()+1)/31</f>
        <v>-0.63255717219233765</v>
      </c>
      <c r="S329" s="114" t="str">
        <f t="shared" ca="1" si="61"/>
        <v>Y</v>
      </c>
      <c r="T329" s="121">
        <v>3</v>
      </c>
      <c r="U329" s="121">
        <v>3</v>
      </c>
      <c r="V329" s="121">
        <v>3</v>
      </c>
      <c r="W329" s="121">
        <f t="shared" si="59"/>
        <v>9</v>
      </c>
      <c r="X329" s="121" t="str">
        <f t="shared" si="60"/>
        <v>Penting</v>
      </c>
      <c r="Y329" s="115" t="s">
        <v>863</v>
      </c>
      <c r="Z329" s="114" t="s">
        <v>119</v>
      </c>
      <c r="AA329" s="119">
        <f>+N329+635</f>
        <v>44006</v>
      </c>
      <c r="AB329" s="119">
        <f>N329+1000</f>
        <v>44371</v>
      </c>
      <c r="AC329" s="119">
        <f>+N329+1365</f>
        <v>44736</v>
      </c>
      <c r="AD329" s="26"/>
      <c r="AE329" s="122"/>
      <c r="AF329" s="114" t="s">
        <v>857</v>
      </c>
      <c r="AG329" s="114" t="s">
        <v>216</v>
      </c>
      <c r="AH329" s="26"/>
      <c r="AI329" s="26"/>
      <c r="AJ329" s="26"/>
      <c r="AK329" s="26"/>
      <c r="AL329" s="26"/>
      <c r="AM329" s="26"/>
      <c r="AN329" s="34"/>
      <c r="AO329" s="123"/>
      <c r="AP329" s="4"/>
      <c r="AQ329" s="4"/>
      <c r="AR329" s="4"/>
      <c r="AS329" s="4"/>
      <c r="AT329" s="4"/>
    </row>
    <row r="330" spans="1:48" s="124" customFormat="1" ht="111.95" customHeight="1" x14ac:dyDescent="0.25">
      <c r="A330" s="113">
        <v>194</v>
      </c>
      <c r="B330" s="113"/>
      <c r="C330" s="114"/>
      <c r="D330" s="113"/>
      <c r="E330" s="113"/>
      <c r="F330" s="115"/>
      <c r="G330" s="116" t="s">
        <v>854</v>
      </c>
      <c r="H330" s="116" t="s">
        <v>875</v>
      </c>
      <c r="I330" s="117" t="s">
        <v>113</v>
      </c>
      <c r="J330" s="116"/>
      <c r="K330" s="116"/>
      <c r="L330" s="118"/>
      <c r="M330" s="118"/>
      <c r="N330" s="119"/>
      <c r="O330" s="119"/>
      <c r="P330" s="120"/>
      <c r="Q330" s="114" t="s">
        <v>33</v>
      </c>
      <c r="R330" s="114" t="s">
        <v>18</v>
      </c>
      <c r="S330" s="114" t="str">
        <f t="shared" si="61"/>
        <v>C</v>
      </c>
      <c r="T330" s="121">
        <v>3</v>
      </c>
      <c r="U330" s="121">
        <v>3</v>
      </c>
      <c r="V330" s="121">
        <v>3</v>
      </c>
      <c r="W330" s="121">
        <f t="shared" si="59"/>
        <v>9</v>
      </c>
      <c r="X330" s="121" t="str">
        <f t="shared" si="60"/>
        <v>Penting</v>
      </c>
      <c r="Y330" s="115" t="s">
        <v>876</v>
      </c>
      <c r="Z330" s="115"/>
      <c r="AA330" s="119"/>
      <c r="AB330" s="119"/>
      <c r="AC330" s="119"/>
      <c r="AD330" s="26"/>
      <c r="AE330" s="122"/>
      <c r="AF330" s="114" t="s">
        <v>857</v>
      </c>
      <c r="AG330" s="114"/>
      <c r="AH330" s="26"/>
      <c r="AI330" s="26"/>
      <c r="AJ330" s="26"/>
      <c r="AK330" s="26"/>
      <c r="AL330" s="26"/>
      <c r="AM330" s="26"/>
      <c r="AN330" s="26"/>
      <c r="AO330" s="123"/>
      <c r="AP330" s="4"/>
      <c r="AQ330" s="4"/>
      <c r="AR330" s="4"/>
      <c r="AS330" s="4"/>
      <c r="AT330" s="4"/>
    </row>
    <row r="331" spans="1:48" s="124" customFormat="1" ht="111.95" customHeight="1" x14ac:dyDescent="0.25">
      <c r="A331" s="113">
        <v>195</v>
      </c>
      <c r="B331" s="113" t="s">
        <v>109</v>
      </c>
      <c r="C331" s="114" t="s">
        <v>853</v>
      </c>
      <c r="D331" s="113">
        <v>13</v>
      </c>
      <c r="E331" s="113" t="s">
        <v>121</v>
      </c>
      <c r="F331" s="115" t="s">
        <v>110</v>
      </c>
      <c r="G331" s="116" t="s">
        <v>854</v>
      </c>
      <c r="H331" s="116" t="s">
        <v>877</v>
      </c>
      <c r="I331" s="117" t="s">
        <v>113</v>
      </c>
      <c r="J331" s="116" t="s">
        <v>862</v>
      </c>
      <c r="K331" s="116"/>
      <c r="L331" s="118"/>
      <c r="M331" s="118"/>
      <c r="N331" s="119">
        <v>42278</v>
      </c>
      <c r="O331" s="119">
        <v>44834</v>
      </c>
      <c r="P331" s="120">
        <f t="shared" si="86"/>
        <v>7.0027397260273974</v>
      </c>
      <c r="Q331" s="114" t="s">
        <v>33</v>
      </c>
      <c r="R331" s="114" t="s">
        <v>117</v>
      </c>
      <c r="S331" s="114" t="str">
        <f t="shared" si="61"/>
        <v>Z</v>
      </c>
      <c r="T331" s="121">
        <v>3</v>
      </c>
      <c r="U331" s="121">
        <v>3</v>
      </c>
      <c r="V331" s="121">
        <v>3</v>
      </c>
      <c r="W331" s="121">
        <f t="shared" si="59"/>
        <v>9</v>
      </c>
      <c r="X331" s="121" t="str">
        <f t="shared" si="60"/>
        <v>Penting</v>
      </c>
      <c r="Y331" s="115" t="s">
        <v>878</v>
      </c>
      <c r="Z331" s="114" t="s">
        <v>119</v>
      </c>
      <c r="AA331" s="119">
        <f>N331+1730</f>
        <v>44008</v>
      </c>
      <c r="AB331" s="119">
        <f>N331+2095</f>
        <v>44373</v>
      </c>
      <c r="AC331" s="119">
        <f>+N331+2460</f>
        <v>44738</v>
      </c>
      <c r="AD331" s="26"/>
      <c r="AE331" s="122"/>
      <c r="AF331" s="114" t="s">
        <v>857</v>
      </c>
      <c r="AG331" s="114" t="s">
        <v>216</v>
      </c>
      <c r="AH331" s="26"/>
      <c r="AI331" s="26"/>
      <c r="AJ331" s="26"/>
      <c r="AK331" s="26"/>
      <c r="AL331" s="26"/>
      <c r="AM331" s="26"/>
      <c r="AN331" s="26"/>
      <c r="AO331" s="123"/>
      <c r="AP331" s="4"/>
      <c r="AQ331" s="4"/>
      <c r="AR331" s="4"/>
      <c r="AS331" s="4"/>
      <c r="AT331" s="4"/>
    </row>
    <row r="332" spans="1:48" s="124" customFormat="1" ht="111.95" customHeight="1" x14ac:dyDescent="0.25">
      <c r="A332" s="113">
        <v>196</v>
      </c>
      <c r="B332" s="113" t="s">
        <v>109</v>
      </c>
      <c r="C332" s="114" t="s">
        <v>853</v>
      </c>
      <c r="D332" s="113">
        <v>15</v>
      </c>
      <c r="E332" s="113" t="s">
        <v>121</v>
      </c>
      <c r="F332" s="115" t="s">
        <v>110</v>
      </c>
      <c r="G332" s="116" t="s">
        <v>854</v>
      </c>
      <c r="H332" s="116" t="s">
        <v>879</v>
      </c>
      <c r="I332" s="117" t="s">
        <v>113</v>
      </c>
      <c r="J332" s="116" t="s">
        <v>862</v>
      </c>
      <c r="K332" s="116"/>
      <c r="L332" s="118"/>
      <c r="M332" s="118"/>
      <c r="N332" s="119">
        <v>42879</v>
      </c>
      <c r="O332" s="119">
        <v>44704</v>
      </c>
      <c r="P332" s="120">
        <f t="shared" si="86"/>
        <v>5</v>
      </c>
      <c r="Q332" s="114" t="s">
        <v>33</v>
      </c>
      <c r="R332" s="114">
        <f t="shared" ref="R332:R334" ca="1" si="88">(O332-NOW()+1)/31</f>
        <v>-4.761589430256854</v>
      </c>
      <c r="S332" s="114" t="str">
        <f t="shared" ca="1" si="61"/>
        <v>Y</v>
      </c>
      <c r="T332" s="121">
        <v>3</v>
      </c>
      <c r="U332" s="121">
        <v>3</v>
      </c>
      <c r="V332" s="121">
        <v>3</v>
      </c>
      <c r="W332" s="121">
        <f t="shared" si="59"/>
        <v>9</v>
      </c>
      <c r="X332" s="121" t="str">
        <f t="shared" si="60"/>
        <v>Penting</v>
      </c>
      <c r="Y332" s="115" t="s">
        <v>863</v>
      </c>
      <c r="Z332" s="114" t="s">
        <v>119</v>
      </c>
      <c r="AA332" s="119">
        <f>N332+1000</f>
        <v>43879</v>
      </c>
      <c r="AB332" s="119">
        <f>N332+1365</f>
        <v>44244</v>
      </c>
      <c r="AC332" s="119">
        <f>+N332+1730</f>
        <v>44609</v>
      </c>
      <c r="AD332" s="26"/>
      <c r="AE332" s="122"/>
      <c r="AF332" s="114" t="s">
        <v>857</v>
      </c>
      <c r="AG332" s="114" t="s">
        <v>216</v>
      </c>
      <c r="AH332" s="26"/>
      <c r="AI332" s="26"/>
      <c r="AJ332" s="26"/>
      <c r="AK332" s="26"/>
      <c r="AL332" s="26"/>
      <c r="AM332" s="26"/>
      <c r="AN332" s="34"/>
      <c r="AO332" s="123"/>
      <c r="AP332" s="4"/>
      <c r="AQ332" s="4"/>
      <c r="AR332" s="4"/>
      <c r="AS332" s="4"/>
      <c r="AT332" s="4"/>
    </row>
    <row r="333" spans="1:48" s="124" customFormat="1" ht="111.95" customHeight="1" x14ac:dyDescent="0.25">
      <c r="A333" s="113">
        <v>197</v>
      </c>
      <c r="B333" s="113" t="s">
        <v>109</v>
      </c>
      <c r="C333" s="114" t="s">
        <v>853</v>
      </c>
      <c r="D333" s="113">
        <v>16</v>
      </c>
      <c r="E333" s="113" t="s">
        <v>121</v>
      </c>
      <c r="F333" s="115" t="s">
        <v>110</v>
      </c>
      <c r="G333" s="116" t="s">
        <v>854</v>
      </c>
      <c r="H333" s="116" t="s">
        <v>880</v>
      </c>
      <c r="I333" s="117" t="s">
        <v>113</v>
      </c>
      <c r="J333" s="116" t="s">
        <v>862</v>
      </c>
      <c r="K333" s="116"/>
      <c r="L333" s="118"/>
      <c r="M333" s="118"/>
      <c r="N333" s="119">
        <v>42879</v>
      </c>
      <c r="O333" s="119">
        <v>44704</v>
      </c>
      <c r="P333" s="120">
        <f t="shared" si="86"/>
        <v>5</v>
      </c>
      <c r="Q333" s="114" t="s">
        <v>33</v>
      </c>
      <c r="R333" s="114" t="s">
        <v>117</v>
      </c>
      <c r="S333" s="114" t="str">
        <f t="shared" si="61"/>
        <v>Z</v>
      </c>
      <c r="T333" s="121">
        <v>3</v>
      </c>
      <c r="U333" s="121">
        <v>3</v>
      </c>
      <c r="V333" s="121">
        <v>3</v>
      </c>
      <c r="W333" s="121">
        <f t="shared" si="59"/>
        <v>9</v>
      </c>
      <c r="X333" s="121" t="str">
        <f t="shared" si="60"/>
        <v>Penting</v>
      </c>
      <c r="Y333" s="115" t="s">
        <v>878</v>
      </c>
      <c r="Z333" s="114" t="s">
        <v>119</v>
      </c>
      <c r="AA333" s="119">
        <f>N333+1000</f>
        <v>43879</v>
      </c>
      <c r="AB333" s="119">
        <f>N333+1365</f>
        <v>44244</v>
      </c>
      <c r="AC333" s="119">
        <f>+N333+1730</f>
        <v>44609</v>
      </c>
      <c r="AD333" s="26"/>
      <c r="AE333" s="122"/>
      <c r="AF333" s="114" t="s">
        <v>857</v>
      </c>
      <c r="AG333" s="114" t="s">
        <v>216</v>
      </c>
      <c r="AH333" s="26"/>
      <c r="AI333" s="26"/>
      <c r="AJ333" s="26"/>
      <c r="AK333" s="26"/>
      <c r="AL333" s="26"/>
      <c r="AM333" s="26"/>
      <c r="AN333" s="26"/>
      <c r="AO333" s="123"/>
      <c r="AP333" s="4"/>
      <c r="AQ333" s="4"/>
      <c r="AR333" s="4"/>
      <c r="AS333" s="4"/>
      <c r="AT333" s="4"/>
    </row>
    <row r="334" spans="1:48" s="124" customFormat="1" ht="111.95" customHeight="1" x14ac:dyDescent="0.25">
      <c r="A334" s="113">
        <v>198</v>
      </c>
      <c r="B334" s="113" t="s">
        <v>109</v>
      </c>
      <c r="C334" s="114" t="s">
        <v>853</v>
      </c>
      <c r="D334" s="113">
        <v>18</v>
      </c>
      <c r="E334" s="113" t="s">
        <v>121</v>
      </c>
      <c r="F334" s="115" t="s">
        <v>110</v>
      </c>
      <c r="G334" s="116" t="s">
        <v>854</v>
      </c>
      <c r="H334" s="116" t="s">
        <v>881</v>
      </c>
      <c r="I334" s="117" t="s">
        <v>113</v>
      </c>
      <c r="J334" s="116" t="s">
        <v>862</v>
      </c>
      <c r="K334" s="116"/>
      <c r="L334" s="118"/>
      <c r="M334" s="118"/>
      <c r="N334" s="119">
        <v>42879</v>
      </c>
      <c r="O334" s="119">
        <v>44704</v>
      </c>
      <c r="P334" s="120">
        <f t="shared" si="86"/>
        <v>5</v>
      </c>
      <c r="Q334" s="114" t="s">
        <v>33</v>
      </c>
      <c r="R334" s="114">
        <f t="shared" ca="1" si="88"/>
        <v>-4.761589430256854</v>
      </c>
      <c r="S334" s="114" t="str">
        <f t="shared" ca="1" si="61"/>
        <v>Y</v>
      </c>
      <c r="T334" s="121">
        <v>3</v>
      </c>
      <c r="U334" s="121">
        <v>3</v>
      </c>
      <c r="V334" s="121">
        <v>3</v>
      </c>
      <c r="W334" s="121">
        <f t="shared" si="59"/>
        <v>9</v>
      </c>
      <c r="X334" s="121" t="str">
        <f t="shared" si="60"/>
        <v>Penting</v>
      </c>
      <c r="Y334" s="115" t="s">
        <v>863</v>
      </c>
      <c r="Z334" s="114" t="s">
        <v>119</v>
      </c>
      <c r="AA334" s="119">
        <f>N334+1000</f>
        <v>43879</v>
      </c>
      <c r="AB334" s="119">
        <f>N334+1365</f>
        <v>44244</v>
      </c>
      <c r="AC334" s="119">
        <f>+N334+1730</f>
        <v>44609</v>
      </c>
      <c r="AD334" s="26"/>
      <c r="AE334" s="122"/>
      <c r="AF334" s="114" t="s">
        <v>857</v>
      </c>
      <c r="AG334" s="114" t="s">
        <v>119</v>
      </c>
      <c r="AH334" s="26"/>
      <c r="AI334" s="26"/>
      <c r="AJ334" s="26"/>
      <c r="AK334" s="26"/>
      <c r="AL334" s="26"/>
      <c r="AM334" s="26"/>
      <c r="AN334" s="34"/>
      <c r="AO334" s="123"/>
      <c r="AP334" s="4"/>
      <c r="AQ334" s="4"/>
      <c r="AR334" s="4"/>
      <c r="AS334" s="4"/>
      <c r="AT334" s="4"/>
    </row>
    <row r="335" spans="1:48" s="124" customFormat="1" ht="111.95" customHeight="1" x14ac:dyDescent="0.25">
      <c r="A335" s="113">
        <v>199</v>
      </c>
      <c r="B335" s="113"/>
      <c r="C335" s="114"/>
      <c r="D335" s="113"/>
      <c r="E335" s="113"/>
      <c r="F335" s="115"/>
      <c r="G335" s="116" t="s">
        <v>854</v>
      </c>
      <c r="H335" s="116" t="s">
        <v>882</v>
      </c>
      <c r="I335" s="117" t="s">
        <v>113</v>
      </c>
      <c r="J335" s="116"/>
      <c r="K335" s="116"/>
      <c r="L335" s="118"/>
      <c r="M335" s="118"/>
      <c r="N335" s="119"/>
      <c r="O335" s="119"/>
      <c r="P335" s="120"/>
      <c r="Q335" s="114" t="s">
        <v>33</v>
      </c>
      <c r="R335" s="114" t="s">
        <v>18</v>
      </c>
      <c r="S335" s="114" t="str">
        <f t="shared" si="61"/>
        <v>C</v>
      </c>
      <c r="T335" s="121">
        <v>3</v>
      </c>
      <c r="U335" s="121">
        <v>3</v>
      </c>
      <c r="V335" s="121">
        <v>3</v>
      </c>
      <c r="W335" s="121">
        <f t="shared" ref="W335:W410" si="89">T335+U335+V335</f>
        <v>9</v>
      </c>
      <c r="X335" s="121" t="str">
        <f t="shared" ref="X335:X410" si="90">IF(W335&gt;5,"Penting",IF(ISBLANK(W335),"","Biasa"))</f>
        <v>Penting</v>
      </c>
      <c r="Y335" s="115" t="s">
        <v>876</v>
      </c>
      <c r="Z335" s="115"/>
      <c r="AA335" s="119"/>
      <c r="AB335" s="119"/>
      <c r="AC335" s="119"/>
      <c r="AD335" s="26"/>
      <c r="AE335" s="122"/>
      <c r="AF335" s="114" t="s">
        <v>857</v>
      </c>
      <c r="AG335" s="114"/>
      <c r="AH335" s="26"/>
      <c r="AI335" s="26"/>
      <c r="AJ335" s="26"/>
      <c r="AK335" s="26"/>
      <c r="AL335" s="26"/>
      <c r="AM335" s="26"/>
      <c r="AN335" s="26"/>
      <c r="AO335" s="123"/>
      <c r="AP335" s="4"/>
      <c r="AQ335" s="4"/>
      <c r="AR335" s="4"/>
      <c r="AS335" s="4"/>
      <c r="AT335" s="4"/>
    </row>
    <row r="336" spans="1:48" s="124" customFormat="1" ht="111.95" customHeight="1" x14ac:dyDescent="0.25">
      <c r="A336" s="113">
        <v>200</v>
      </c>
      <c r="B336" s="113" t="s">
        <v>109</v>
      </c>
      <c r="C336" s="114" t="s">
        <v>853</v>
      </c>
      <c r="D336" s="113">
        <v>20</v>
      </c>
      <c r="E336" s="113" t="s">
        <v>121</v>
      </c>
      <c r="F336" s="115" t="s">
        <v>110</v>
      </c>
      <c r="G336" s="116" t="s">
        <v>854</v>
      </c>
      <c r="H336" s="116" t="s">
        <v>883</v>
      </c>
      <c r="I336" s="117" t="s">
        <v>113</v>
      </c>
      <c r="J336" s="116" t="s">
        <v>862</v>
      </c>
      <c r="K336" s="116"/>
      <c r="L336" s="118"/>
      <c r="M336" s="118"/>
      <c r="N336" s="119">
        <v>43416</v>
      </c>
      <c r="O336" s="119">
        <v>44876</v>
      </c>
      <c r="P336" s="120">
        <f>(O336-N336)/365</f>
        <v>4</v>
      </c>
      <c r="Q336" s="114" t="s">
        <v>33</v>
      </c>
      <c r="R336" s="114" t="s">
        <v>117</v>
      </c>
      <c r="S336" s="114" t="str">
        <f t="shared" ref="S336:S411" si="91">IF(R336="End","Z",IF(R336="Cancel","C",IF(SUM(R336)&gt;0,"O",IF(ISBLANK(R336),"X",IF(SUM(R336)&lt;0,"Y",IF(SUM(R336),"-","O"))))))</f>
        <v>Z</v>
      </c>
      <c r="T336" s="121">
        <v>3</v>
      </c>
      <c r="U336" s="121">
        <v>3</v>
      </c>
      <c r="V336" s="121">
        <v>3</v>
      </c>
      <c r="W336" s="121">
        <f t="shared" si="89"/>
        <v>9</v>
      </c>
      <c r="X336" s="121" t="str">
        <f t="shared" si="90"/>
        <v>Penting</v>
      </c>
      <c r="Y336" s="115" t="s">
        <v>878</v>
      </c>
      <c r="Z336" s="114" t="s">
        <v>119</v>
      </c>
      <c r="AA336" s="119">
        <f>+N336+635</f>
        <v>44051</v>
      </c>
      <c r="AB336" s="119">
        <f>N336+1000</f>
        <v>44416</v>
      </c>
      <c r="AC336" s="119"/>
      <c r="AD336" s="26"/>
      <c r="AE336" s="122"/>
      <c r="AF336" s="114" t="s">
        <v>857</v>
      </c>
      <c r="AG336" s="114" t="s">
        <v>216</v>
      </c>
      <c r="AH336" s="26"/>
      <c r="AI336" s="26"/>
      <c r="AJ336" s="26"/>
      <c r="AK336" s="26"/>
      <c r="AL336" s="26"/>
      <c r="AM336" s="26"/>
      <c r="AN336" s="26"/>
      <c r="AO336" s="123">
        <v>43882</v>
      </c>
      <c r="AP336" s="4"/>
      <c r="AQ336" s="4"/>
      <c r="AR336" s="4"/>
      <c r="AS336" s="4"/>
      <c r="AT336" s="4"/>
    </row>
    <row r="337" spans="1:48" s="124" customFormat="1" ht="111.95" customHeight="1" x14ac:dyDescent="0.25">
      <c r="A337" s="113">
        <v>201</v>
      </c>
      <c r="B337" s="113" t="s">
        <v>109</v>
      </c>
      <c r="C337" s="114" t="s">
        <v>853</v>
      </c>
      <c r="D337" s="113">
        <v>21</v>
      </c>
      <c r="E337" s="113" t="s">
        <v>121</v>
      </c>
      <c r="F337" s="115" t="s">
        <v>110</v>
      </c>
      <c r="G337" s="116" t="s">
        <v>854</v>
      </c>
      <c r="H337" s="116" t="s">
        <v>884</v>
      </c>
      <c r="I337" s="117" t="s">
        <v>113</v>
      </c>
      <c r="J337" s="116" t="s">
        <v>862</v>
      </c>
      <c r="K337" s="116"/>
      <c r="L337" s="118"/>
      <c r="M337" s="118"/>
      <c r="N337" s="119">
        <v>42662</v>
      </c>
      <c r="O337" s="119">
        <v>44852</v>
      </c>
      <c r="P337" s="120">
        <f>(O337-N337)/365</f>
        <v>6</v>
      </c>
      <c r="Q337" s="114" t="s">
        <v>33</v>
      </c>
      <c r="R337" s="114">
        <f t="shared" ref="R337:R339" ca="1" si="92">(O337-NOW()+1)/31</f>
        <v>1.2604118130243038E-2</v>
      </c>
      <c r="S337" s="114" t="str">
        <f t="shared" ca="1" si="91"/>
        <v>O</v>
      </c>
      <c r="T337" s="121">
        <v>3</v>
      </c>
      <c r="U337" s="121">
        <v>3</v>
      </c>
      <c r="V337" s="121">
        <v>3</v>
      </c>
      <c r="W337" s="121">
        <f t="shared" si="89"/>
        <v>9</v>
      </c>
      <c r="X337" s="121" t="str">
        <f t="shared" si="90"/>
        <v>Penting</v>
      </c>
      <c r="Y337" s="115" t="s">
        <v>863</v>
      </c>
      <c r="Z337" s="114" t="s">
        <v>119</v>
      </c>
      <c r="AA337" s="119">
        <f>N337+1365</f>
        <v>44027</v>
      </c>
      <c r="AB337" s="119">
        <f>N337+1730</f>
        <v>44392</v>
      </c>
      <c r="AC337" s="119"/>
      <c r="AD337" s="26"/>
      <c r="AE337" s="122"/>
      <c r="AF337" s="114" t="s">
        <v>857</v>
      </c>
      <c r="AG337" s="114" t="s">
        <v>216</v>
      </c>
      <c r="AH337" s="26"/>
      <c r="AI337" s="26"/>
      <c r="AJ337" s="26"/>
      <c r="AK337" s="26"/>
      <c r="AL337" s="26"/>
      <c r="AM337" s="26"/>
      <c r="AN337" s="34"/>
      <c r="AO337" s="123"/>
      <c r="AP337" s="4"/>
      <c r="AQ337" s="4"/>
      <c r="AR337" s="4"/>
      <c r="AS337" s="4"/>
      <c r="AT337" s="4"/>
    </row>
    <row r="338" spans="1:48" s="124" customFormat="1" ht="111.95" customHeight="1" x14ac:dyDescent="0.25">
      <c r="A338" s="113">
        <v>202</v>
      </c>
      <c r="B338" s="113" t="s">
        <v>109</v>
      </c>
      <c r="C338" s="114" t="s">
        <v>853</v>
      </c>
      <c r="D338" s="113">
        <v>22</v>
      </c>
      <c r="E338" s="113" t="s">
        <v>121</v>
      </c>
      <c r="F338" s="115" t="s">
        <v>860</v>
      </c>
      <c r="G338" s="116" t="s">
        <v>854</v>
      </c>
      <c r="H338" s="116" t="s">
        <v>885</v>
      </c>
      <c r="I338" s="117" t="s">
        <v>113</v>
      </c>
      <c r="J338" s="116" t="s">
        <v>862</v>
      </c>
      <c r="K338" s="116"/>
      <c r="L338" s="118"/>
      <c r="M338" s="118"/>
      <c r="N338" s="119">
        <v>43922</v>
      </c>
      <c r="O338" s="119">
        <v>45016</v>
      </c>
      <c r="P338" s="120">
        <f>(O338-N338)/365</f>
        <v>2.9972602739726026</v>
      </c>
      <c r="Q338" s="114" t="s">
        <v>33</v>
      </c>
      <c r="R338" s="114">
        <f t="shared" ca="1" si="92"/>
        <v>5.302926698775404</v>
      </c>
      <c r="S338" s="114" t="str">
        <f t="shared" ca="1" si="91"/>
        <v>O</v>
      </c>
      <c r="T338" s="121">
        <v>3</v>
      </c>
      <c r="U338" s="121">
        <v>3</v>
      </c>
      <c r="V338" s="121">
        <v>3</v>
      </c>
      <c r="W338" s="121">
        <f t="shared" si="89"/>
        <v>9</v>
      </c>
      <c r="X338" s="121" t="str">
        <f t="shared" si="90"/>
        <v>Penting</v>
      </c>
      <c r="Y338" s="115" t="s">
        <v>863</v>
      </c>
      <c r="Z338" s="114" t="s">
        <v>119</v>
      </c>
      <c r="AA338" s="119">
        <f t="shared" ref="AA338:AA348" si="93">N338+270</f>
        <v>44192</v>
      </c>
      <c r="AB338" s="119">
        <f t="shared" ref="AB338:AB348" si="94">+N338+635</f>
        <v>44557</v>
      </c>
      <c r="AC338" s="119"/>
      <c r="AD338" s="26"/>
      <c r="AE338" s="122"/>
      <c r="AF338" s="114" t="s">
        <v>857</v>
      </c>
      <c r="AG338" s="114" t="s">
        <v>216</v>
      </c>
      <c r="AH338" s="26"/>
      <c r="AI338" s="26"/>
      <c r="AJ338" s="26"/>
      <c r="AK338" s="26"/>
      <c r="AL338" s="26"/>
      <c r="AM338" s="26"/>
      <c r="AN338" s="34"/>
      <c r="AO338" s="123">
        <v>44158</v>
      </c>
      <c r="AP338" s="4"/>
      <c r="AQ338" s="4"/>
      <c r="AR338" s="4"/>
      <c r="AS338" s="4"/>
      <c r="AT338" s="4"/>
    </row>
    <row r="339" spans="1:48" s="124" customFormat="1" ht="111.95" customHeight="1" x14ac:dyDescent="0.25">
      <c r="A339" s="113">
        <v>203</v>
      </c>
      <c r="B339" s="113" t="s">
        <v>109</v>
      </c>
      <c r="C339" s="114" t="s">
        <v>853</v>
      </c>
      <c r="D339" s="113">
        <v>23</v>
      </c>
      <c r="E339" s="113" t="s">
        <v>121</v>
      </c>
      <c r="F339" s="115" t="s">
        <v>110</v>
      </c>
      <c r="G339" s="116" t="s">
        <v>854</v>
      </c>
      <c r="H339" s="116" t="s">
        <v>886</v>
      </c>
      <c r="I339" s="117" t="s">
        <v>113</v>
      </c>
      <c r="J339" s="116" t="s">
        <v>862</v>
      </c>
      <c r="K339" s="116"/>
      <c r="L339" s="118"/>
      <c r="M339" s="118"/>
      <c r="N339" s="119">
        <v>39845</v>
      </c>
      <c r="O339" s="119">
        <v>44957</v>
      </c>
      <c r="P339" s="120">
        <f>(O339-N339)/365</f>
        <v>14.005479452054795</v>
      </c>
      <c r="Q339" s="114" t="s">
        <v>33</v>
      </c>
      <c r="R339" s="114">
        <f t="shared" ca="1" si="92"/>
        <v>3.3997008923237915</v>
      </c>
      <c r="S339" s="114" t="str">
        <f t="shared" ca="1" si="91"/>
        <v>O</v>
      </c>
      <c r="T339" s="121">
        <v>3</v>
      </c>
      <c r="U339" s="121">
        <v>3</v>
      </c>
      <c r="V339" s="121">
        <v>3</v>
      </c>
      <c r="W339" s="121">
        <f t="shared" si="89"/>
        <v>9</v>
      </c>
      <c r="X339" s="121" t="str">
        <f t="shared" si="90"/>
        <v>Penting</v>
      </c>
      <c r="Y339" s="115" t="s">
        <v>863</v>
      </c>
      <c r="Z339" s="114" t="s">
        <v>119</v>
      </c>
      <c r="AA339" s="119">
        <f>N339+4285</f>
        <v>44130</v>
      </c>
      <c r="AB339" s="119">
        <f>N339+4650</f>
        <v>44495</v>
      </c>
      <c r="AC339" s="119"/>
      <c r="AD339" s="26"/>
      <c r="AE339" s="122"/>
      <c r="AF339" s="114" t="s">
        <v>857</v>
      </c>
      <c r="AG339" s="114" t="s">
        <v>216</v>
      </c>
      <c r="AH339" s="26"/>
      <c r="AI339" s="26"/>
      <c r="AJ339" s="26"/>
      <c r="AK339" s="26"/>
      <c r="AL339" s="26"/>
      <c r="AM339" s="26"/>
      <c r="AN339" s="34"/>
      <c r="AO339" s="123"/>
      <c r="AP339" s="4"/>
      <c r="AQ339" s="4"/>
      <c r="AR339" s="4"/>
      <c r="AS339" s="4"/>
      <c r="AT339" s="4"/>
    </row>
    <row r="340" spans="1:48" s="124" customFormat="1" ht="111.95" customHeight="1" x14ac:dyDescent="0.25">
      <c r="A340" s="113">
        <v>204</v>
      </c>
      <c r="B340" s="113" t="s">
        <v>109</v>
      </c>
      <c r="C340" s="114" t="s">
        <v>853</v>
      </c>
      <c r="D340" s="113">
        <v>24</v>
      </c>
      <c r="E340" s="113" t="s">
        <v>121</v>
      </c>
      <c r="F340" s="115" t="s">
        <v>887</v>
      </c>
      <c r="G340" s="116" t="s">
        <v>854</v>
      </c>
      <c r="H340" s="116" t="s">
        <v>829</v>
      </c>
      <c r="I340" s="117" t="s">
        <v>113</v>
      </c>
      <c r="J340" s="116" t="s">
        <v>862</v>
      </c>
      <c r="K340" s="116"/>
      <c r="L340" s="118"/>
      <c r="M340" s="118"/>
      <c r="N340" s="119">
        <v>41000</v>
      </c>
      <c r="O340" s="119" t="s">
        <v>110</v>
      </c>
      <c r="P340" s="120" t="s">
        <v>110</v>
      </c>
      <c r="Q340" s="114" t="s">
        <v>33</v>
      </c>
      <c r="R340" s="114" t="s">
        <v>110</v>
      </c>
      <c r="S340" s="114" t="str">
        <f t="shared" si="91"/>
        <v>O</v>
      </c>
      <c r="T340" s="121">
        <v>3</v>
      </c>
      <c r="U340" s="121">
        <v>3</v>
      </c>
      <c r="V340" s="121">
        <v>3</v>
      </c>
      <c r="W340" s="121">
        <f t="shared" si="89"/>
        <v>9</v>
      </c>
      <c r="X340" s="121" t="str">
        <f t="shared" si="90"/>
        <v>Penting</v>
      </c>
      <c r="Y340" s="115" t="s">
        <v>888</v>
      </c>
      <c r="Z340" s="114" t="s">
        <v>119</v>
      </c>
      <c r="AA340" s="119">
        <f>N340+3190</f>
        <v>44190</v>
      </c>
      <c r="AB340" s="119">
        <f>N340+3555</f>
        <v>44555</v>
      </c>
      <c r="AC340" s="119"/>
      <c r="AD340" s="26"/>
      <c r="AE340" s="122"/>
      <c r="AF340" s="114" t="s">
        <v>857</v>
      </c>
      <c r="AG340" s="114" t="s">
        <v>216</v>
      </c>
      <c r="AH340" s="26"/>
      <c r="AI340" s="26"/>
      <c r="AJ340" s="26"/>
      <c r="AK340" s="26"/>
      <c r="AL340" s="26"/>
      <c r="AM340" s="26"/>
      <c r="AN340" s="34"/>
      <c r="AO340" s="123"/>
      <c r="AP340" s="4"/>
      <c r="AQ340" s="4"/>
      <c r="AR340" s="4"/>
      <c r="AS340" s="4"/>
      <c r="AT340" s="4"/>
    </row>
    <row r="341" spans="1:48" s="124" customFormat="1" ht="111.95" customHeight="1" x14ac:dyDescent="0.25">
      <c r="A341" s="113">
        <v>205</v>
      </c>
      <c r="B341" s="113" t="s">
        <v>109</v>
      </c>
      <c r="C341" s="114" t="s">
        <v>853</v>
      </c>
      <c r="D341" s="113">
        <v>27</v>
      </c>
      <c r="E341" s="113" t="s">
        <v>121</v>
      </c>
      <c r="F341" s="115" t="s">
        <v>110</v>
      </c>
      <c r="G341" s="116" t="s">
        <v>854</v>
      </c>
      <c r="H341" s="116" t="s">
        <v>889</v>
      </c>
      <c r="I341" s="117" t="s">
        <v>113</v>
      </c>
      <c r="J341" s="116" t="s">
        <v>862</v>
      </c>
      <c r="K341" s="116"/>
      <c r="L341" s="118"/>
      <c r="M341" s="118"/>
      <c r="N341" s="119">
        <v>42983</v>
      </c>
      <c r="O341" s="119">
        <v>44808</v>
      </c>
      <c r="P341" s="120">
        <f t="shared" ref="P341:P355" si="95">(O341-N341)/365</f>
        <v>5</v>
      </c>
      <c r="Q341" s="114" t="s">
        <v>33</v>
      </c>
      <c r="R341" s="114">
        <f t="shared" ref="R341:R343" ca="1" si="96">(O341-NOW()+1)/31</f>
        <v>-1.4067507205794343</v>
      </c>
      <c r="S341" s="114" t="str">
        <f t="shared" ca="1" si="91"/>
        <v>Y</v>
      </c>
      <c r="T341" s="121">
        <v>3</v>
      </c>
      <c r="U341" s="121">
        <v>3</v>
      </c>
      <c r="V341" s="121">
        <v>3</v>
      </c>
      <c r="W341" s="121">
        <f t="shared" si="89"/>
        <v>9</v>
      </c>
      <c r="X341" s="121" t="str">
        <f t="shared" si="90"/>
        <v>Penting</v>
      </c>
      <c r="Y341" s="115" t="s">
        <v>863</v>
      </c>
      <c r="Z341" s="114" t="s">
        <v>119</v>
      </c>
      <c r="AA341" s="119">
        <f>N341+1000</f>
        <v>43983</v>
      </c>
      <c r="AB341" s="119">
        <f>N341+1365</f>
        <v>44348</v>
      </c>
      <c r="AC341" s="119">
        <f>+N341+1730</f>
        <v>44713</v>
      </c>
      <c r="AD341" s="26"/>
      <c r="AE341" s="122"/>
      <c r="AF341" s="114" t="s">
        <v>857</v>
      </c>
      <c r="AG341" s="114" t="s">
        <v>216</v>
      </c>
      <c r="AH341" s="26"/>
      <c r="AI341" s="26"/>
      <c r="AJ341" s="26"/>
      <c r="AK341" s="26"/>
      <c r="AL341" s="26"/>
      <c r="AM341" s="26"/>
      <c r="AN341" s="34"/>
      <c r="AO341" s="123"/>
      <c r="AP341" s="4"/>
      <c r="AQ341" s="4"/>
      <c r="AR341" s="4"/>
      <c r="AS341" s="4"/>
      <c r="AT341" s="4"/>
      <c r="AV341" s="124" t="s">
        <v>890</v>
      </c>
    </row>
    <row r="342" spans="1:48" s="124" customFormat="1" ht="111.95" customHeight="1" x14ac:dyDescent="0.25">
      <c r="A342" s="113">
        <v>206</v>
      </c>
      <c r="B342" s="113" t="s">
        <v>109</v>
      </c>
      <c r="C342" s="114" t="s">
        <v>853</v>
      </c>
      <c r="D342" s="113">
        <v>28</v>
      </c>
      <c r="E342" s="113" t="s">
        <v>121</v>
      </c>
      <c r="F342" s="115" t="s">
        <v>110</v>
      </c>
      <c r="G342" s="116" t="s">
        <v>854</v>
      </c>
      <c r="H342" s="116" t="s">
        <v>891</v>
      </c>
      <c r="I342" s="117" t="s">
        <v>113</v>
      </c>
      <c r="J342" s="116" t="s">
        <v>892</v>
      </c>
      <c r="K342" s="116"/>
      <c r="L342" s="118"/>
      <c r="M342" s="118"/>
      <c r="N342" s="119">
        <v>42374</v>
      </c>
      <c r="O342" s="119">
        <v>44930</v>
      </c>
      <c r="P342" s="120">
        <f t="shared" si="95"/>
        <v>7.0027397260273974</v>
      </c>
      <c r="Q342" s="114" t="s">
        <v>33</v>
      </c>
      <c r="R342" s="114">
        <f t="shared" ca="1" si="96"/>
        <v>2.5287331503883075</v>
      </c>
      <c r="S342" s="114" t="str">
        <f t="shared" ca="1" si="91"/>
        <v>O</v>
      </c>
      <c r="T342" s="121">
        <v>3</v>
      </c>
      <c r="U342" s="121">
        <v>3</v>
      </c>
      <c r="V342" s="121">
        <v>3</v>
      </c>
      <c r="W342" s="121">
        <f t="shared" si="89"/>
        <v>9</v>
      </c>
      <c r="X342" s="121" t="str">
        <f t="shared" si="90"/>
        <v>Penting</v>
      </c>
      <c r="Y342" s="115" t="s">
        <v>863</v>
      </c>
      <c r="Z342" s="114" t="s">
        <v>119</v>
      </c>
      <c r="AA342" s="119">
        <f>N342+1365</f>
        <v>43739</v>
      </c>
      <c r="AB342" s="119">
        <f>N342+1730</f>
        <v>44104</v>
      </c>
      <c r="AC342" s="119">
        <f>+N342+2095</f>
        <v>44469</v>
      </c>
      <c r="AD342" s="26"/>
      <c r="AE342" s="122"/>
      <c r="AF342" s="114" t="s">
        <v>857</v>
      </c>
      <c r="AG342" s="114" t="s">
        <v>216</v>
      </c>
      <c r="AH342" s="26"/>
      <c r="AI342" s="26"/>
      <c r="AJ342" s="26"/>
      <c r="AK342" s="26"/>
      <c r="AL342" s="26"/>
      <c r="AM342" s="26"/>
      <c r="AN342" s="34"/>
      <c r="AO342" s="123"/>
      <c r="AP342" s="4"/>
      <c r="AQ342" s="4"/>
      <c r="AR342" s="4"/>
      <c r="AS342" s="4"/>
      <c r="AT342" s="4"/>
    </row>
    <row r="343" spans="1:48" s="124" customFormat="1" ht="111.95" customHeight="1" x14ac:dyDescent="0.25">
      <c r="A343" s="113">
        <v>207</v>
      </c>
      <c r="B343" s="113" t="s">
        <v>109</v>
      </c>
      <c r="C343" s="114" t="s">
        <v>853</v>
      </c>
      <c r="D343" s="113">
        <v>29</v>
      </c>
      <c r="E343" s="113" t="s">
        <v>121</v>
      </c>
      <c r="F343" s="115" t="s">
        <v>110</v>
      </c>
      <c r="G343" s="116" t="s">
        <v>854</v>
      </c>
      <c r="H343" s="116" t="s">
        <v>893</v>
      </c>
      <c r="I343" s="117" t="s">
        <v>113</v>
      </c>
      <c r="J343" s="116" t="s">
        <v>862</v>
      </c>
      <c r="K343" s="116"/>
      <c r="L343" s="118"/>
      <c r="M343" s="118"/>
      <c r="N343" s="119">
        <v>42352</v>
      </c>
      <c r="O343" s="119">
        <v>44908</v>
      </c>
      <c r="P343" s="120">
        <f t="shared" si="95"/>
        <v>7.0027397260273974</v>
      </c>
      <c r="Q343" s="114" t="s">
        <v>33</v>
      </c>
      <c r="R343" s="114">
        <f t="shared" ca="1" si="96"/>
        <v>1.8190557310334687</v>
      </c>
      <c r="S343" s="114" t="str">
        <f t="shared" ca="1" si="91"/>
        <v>O</v>
      </c>
      <c r="T343" s="121">
        <v>3</v>
      </c>
      <c r="U343" s="121">
        <v>3</v>
      </c>
      <c r="V343" s="121">
        <v>3</v>
      </c>
      <c r="W343" s="121">
        <f t="shared" si="89"/>
        <v>9</v>
      </c>
      <c r="X343" s="121" t="str">
        <f t="shared" si="90"/>
        <v>Penting</v>
      </c>
      <c r="Y343" s="115" t="s">
        <v>863</v>
      </c>
      <c r="Z343" s="114" t="s">
        <v>119</v>
      </c>
      <c r="AA343" s="119">
        <f>N343+1365</f>
        <v>43717</v>
      </c>
      <c r="AB343" s="119">
        <f>+N343+1730</f>
        <v>44082</v>
      </c>
      <c r="AC343" s="119">
        <f>+N343+2095</f>
        <v>44447</v>
      </c>
      <c r="AD343" s="26"/>
      <c r="AE343" s="122"/>
      <c r="AF343" s="114" t="s">
        <v>857</v>
      </c>
      <c r="AG343" s="114" t="s">
        <v>216</v>
      </c>
      <c r="AH343" s="26"/>
      <c r="AI343" s="26"/>
      <c r="AJ343" s="26"/>
      <c r="AK343" s="26"/>
      <c r="AL343" s="26"/>
      <c r="AM343" s="26"/>
      <c r="AN343" s="34"/>
      <c r="AO343" s="123"/>
      <c r="AP343" s="4"/>
      <c r="AQ343" s="4"/>
      <c r="AR343" s="4"/>
      <c r="AS343" s="4"/>
      <c r="AT343" s="4"/>
    </row>
    <row r="344" spans="1:48" s="124" customFormat="1" ht="111.95" customHeight="1" x14ac:dyDescent="0.25">
      <c r="A344" s="113">
        <v>208</v>
      </c>
      <c r="B344" s="113" t="s">
        <v>109</v>
      </c>
      <c r="C344" s="114" t="s">
        <v>853</v>
      </c>
      <c r="D344" s="113">
        <v>31</v>
      </c>
      <c r="E344" s="113" t="s">
        <v>121</v>
      </c>
      <c r="F344" s="115" t="s">
        <v>110</v>
      </c>
      <c r="G344" s="116" t="s">
        <v>854</v>
      </c>
      <c r="H344" s="116" t="s">
        <v>894</v>
      </c>
      <c r="I344" s="117" t="s">
        <v>113</v>
      </c>
      <c r="J344" s="116" t="s">
        <v>862</v>
      </c>
      <c r="K344" s="116"/>
      <c r="L344" s="118"/>
      <c r="M344" s="118"/>
      <c r="N344" s="119">
        <v>42552</v>
      </c>
      <c r="O344" s="119">
        <v>44742</v>
      </c>
      <c r="P344" s="120">
        <f t="shared" si="95"/>
        <v>6</v>
      </c>
      <c r="Q344" s="114" t="s">
        <v>33</v>
      </c>
      <c r="R344" s="114" t="s">
        <v>117</v>
      </c>
      <c r="S344" s="114" t="str">
        <f t="shared" si="91"/>
        <v>Z</v>
      </c>
      <c r="T344" s="121">
        <v>3</v>
      </c>
      <c r="U344" s="121">
        <v>3</v>
      </c>
      <c r="V344" s="121">
        <v>3</v>
      </c>
      <c r="W344" s="121">
        <f t="shared" si="89"/>
        <v>9</v>
      </c>
      <c r="X344" s="121" t="str">
        <f t="shared" si="90"/>
        <v>Penting</v>
      </c>
      <c r="Y344" s="115" t="s">
        <v>878</v>
      </c>
      <c r="Z344" s="114" t="s">
        <v>119</v>
      </c>
      <c r="AA344" s="119">
        <f>N344+1365</f>
        <v>43917</v>
      </c>
      <c r="AB344" s="119">
        <f>N344+1730</f>
        <v>44282</v>
      </c>
      <c r="AC344" s="119">
        <f>+N344+2095</f>
        <v>44647</v>
      </c>
      <c r="AD344" s="26"/>
      <c r="AE344" s="122"/>
      <c r="AF344" s="114" t="s">
        <v>857</v>
      </c>
      <c r="AG344" s="114" t="s">
        <v>216</v>
      </c>
      <c r="AH344" s="26"/>
      <c r="AI344" s="26"/>
      <c r="AJ344" s="26"/>
      <c r="AK344" s="26"/>
      <c r="AL344" s="26"/>
      <c r="AM344" s="26"/>
      <c r="AN344" s="26"/>
      <c r="AO344" s="123"/>
      <c r="AP344" s="4"/>
      <c r="AQ344" s="4"/>
      <c r="AR344" s="4"/>
      <c r="AS344" s="4"/>
      <c r="AT344" s="4"/>
    </row>
    <row r="345" spans="1:48" s="124" customFormat="1" ht="111.95" customHeight="1" x14ac:dyDescent="0.25">
      <c r="A345" s="113">
        <v>209</v>
      </c>
      <c r="B345" s="113" t="s">
        <v>836</v>
      </c>
      <c r="C345" s="114" t="s">
        <v>853</v>
      </c>
      <c r="D345" s="113">
        <v>32</v>
      </c>
      <c r="E345" s="113" t="s">
        <v>121</v>
      </c>
      <c r="F345" s="115" t="s">
        <v>110</v>
      </c>
      <c r="G345" s="116" t="s">
        <v>895</v>
      </c>
      <c r="H345" s="116" t="s">
        <v>896</v>
      </c>
      <c r="I345" s="117" t="s">
        <v>113</v>
      </c>
      <c r="J345" s="116" t="s">
        <v>897</v>
      </c>
      <c r="K345" s="116"/>
      <c r="L345" s="118"/>
      <c r="M345" s="118"/>
      <c r="N345" s="119">
        <v>43040</v>
      </c>
      <c r="O345" s="119">
        <v>44865</v>
      </c>
      <c r="P345" s="120">
        <f t="shared" si="95"/>
        <v>5</v>
      </c>
      <c r="Q345" s="114" t="s">
        <v>46</v>
      </c>
      <c r="R345" s="114">
        <f t="shared" ref="R345:R353" ca="1" si="97">(O345-NOW()+1)/31</f>
        <v>0.43195895683992047</v>
      </c>
      <c r="S345" s="114" t="str">
        <f t="shared" ca="1" si="91"/>
        <v>O</v>
      </c>
      <c r="T345" s="121">
        <v>3</v>
      </c>
      <c r="U345" s="121">
        <v>3</v>
      </c>
      <c r="V345" s="121">
        <v>3</v>
      </c>
      <c r="W345" s="121">
        <f>T345+U345+V345</f>
        <v>9</v>
      </c>
      <c r="X345" s="121" t="str">
        <f t="shared" si="90"/>
        <v>Penting</v>
      </c>
      <c r="Y345" s="115"/>
      <c r="Z345" s="114" t="s">
        <v>119</v>
      </c>
      <c r="AA345" s="119">
        <f>N345+1000</f>
        <v>44040</v>
      </c>
      <c r="AB345" s="119">
        <f>N345+1365</f>
        <v>44405</v>
      </c>
      <c r="AC345" s="119">
        <f>+N345+1730</f>
        <v>44770</v>
      </c>
      <c r="AD345" s="26"/>
      <c r="AE345" s="122"/>
      <c r="AF345" s="114" t="s">
        <v>898</v>
      </c>
      <c r="AG345" s="114" t="s">
        <v>119</v>
      </c>
      <c r="AH345" s="26"/>
      <c r="AI345" s="26"/>
      <c r="AJ345" s="26"/>
      <c r="AK345" s="26"/>
      <c r="AL345" s="26"/>
      <c r="AM345" s="26"/>
      <c r="AN345" s="34"/>
      <c r="AO345" s="123"/>
      <c r="AP345" s="4"/>
      <c r="AQ345" s="4"/>
      <c r="AR345" s="4"/>
      <c r="AS345" s="4"/>
      <c r="AT345" s="4"/>
    </row>
    <row r="346" spans="1:48" s="124" customFormat="1" ht="111.95" customHeight="1" x14ac:dyDescent="0.25">
      <c r="A346" s="113">
        <v>210</v>
      </c>
      <c r="B346" s="113" t="s">
        <v>836</v>
      </c>
      <c r="C346" s="114" t="s">
        <v>853</v>
      </c>
      <c r="D346" s="113">
        <v>32</v>
      </c>
      <c r="E346" s="113" t="s">
        <v>121</v>
      </c>
      <c r="F346" s="115" t="s">
        <v>899</v>
      </c>
      <c r="G346" s="116" t="s">
        <v>900</v>
      </c>
      <c r="H346" s="116" t="s">
        <v>896</v>
      </c>
      <c r="I346" s="117" t="s">
        <v>113</v>
      </c>
      <c r="J346" s="116" t="s">
        <v>901</v>
      </c>
      <c r="K346" s="116"/>
      <c r="L346" s="118" t="s">
        <v>902</v>
      </c>
      <c r="M346" s="115" t="s">
        <v>903</v>
      </c>
      <c r="N346" s="119">
        <v>43466</v>
      </c>
      <c r="O346" s="119">
        <v>45291</v>
      </c>
      <c r="P346" s="120">
        <f t="shared" si="95"/>
        <v>5</v>
      </c>
      <c r="Q346" s="114" t="s">
        <v>46</v>
      </c>
      <c r="R346" s="114">
        <f t="shared" ca="1" si="97"/>
        <v>14.173894440710889</v>
      </c>
      <c r="S346" s="114" t="str">
        <f t="shared" ca="1" si="91"/>
        <v>O</v>
      </c>
      <c r="T346" s="121">
        <v>3</v>
      </c>
      <c r="U346" s="121">
        <v>3</v>
      </c>
      <c r="V346" s="121">
        <v>3</v>
      </c>
      <c r="W346" s="121">
        <f>T346+U346+V346</f>
        <v>9</v>
      </c>
      <c r="X346" s="121" t="str">
        <f t="shared" si="90"/>
        <v>Penting</v>
      </c>
      <c r="Y346" s="115" t="s">
        <v>904</v>
      </c>
      <c r="Z346" s="114" t="s">
        <v>119</v>
      </c>
      <c r="AA346" s="119">
        <f>N346+1000</f>
        <v>44466</v>
      </c>
      <c r="AB346" s="119">
        <f>+N346+1365</f>
        <v>44831</v>
      </c>
      <c r="AC346" s="119">
        <f>+N346+1730</f>
        <v>45196</v>
      </c>
      <c r="AD346" s="26"/>
      <c r="AE346" s="122"/>
      <c r="AF346" s="114" t="s">
        <v>898</v>
      </c>
      <c r="AG346" s="114" t="s">
        <v>119</v>
      </c>
      <c r="AH346" s="26"/>
      <c r="AI346" s="26"/>
      <c r="AJ346" s="26"/>
      <c r="AK346" s="26"/>
      <c r="AL346" s="26"/>
      <c r="AM346" s="26"/>
      <c r="AN346" s="34"/>
      <c r="AO346" s="123"/>
      <c r="AP346" s="4"/>
      <c r="AQ346" s="4"/>
      <c r="AR346" s="4"/>
      <c r="AS346" s="4"/>
      <c r="AT346" s="4"/>
    </row>
    <row r="347" spans="1:48" s="124" customFormat="1" ht="111.95" customHeight="1" x14ac:dyDescent="0.25">
      <c r="A347" s="113">
        <v>211</v>
      </c>
      <c r="B347" s="113" t="s">
        <v>109</v>
      </c>
      <c r="C347" s="114" t="s">
        <v>853</v>
      </c>
      <c r="D347" s="113">
        <v>33</v>
      </c>
      <c r="E347" s="113" t="s">
        <v>121</v>
      </c>
      <c r="F347" s="115" t="s">
        <v>110</v>
      </c>
      <c r="G347" s="116" t="s">
        <v>854</v>
      </c>
      <c r="H347" s="116" t="s">
        <v>905</v>
      </c>
      <c r="I347" s="117" t="s">
        <v>113</v>
      </c>
      <c r="J347" s="116" t="s">
        <v>862</v>
      </c>
      <c r="K347" s="116"/>
      <c r="L347" s="118"/>
      <c r="M347" s="118"/>
      <c r="N347" s="119">
        <v>43453</v>
      </c>
      <c r="O347" s="119">
        <v>44913</v>
      </c>
      <c r="P347" s="120">
        <f t="shared" si="95"/>
        <v>4</v>
      </c>
      <c r="Q347" s="114" t="s">
        <v>33</v>
      </c>
      <c r="R347" s="114">
        <f t="shared" ca="1" si="97"/>
        <v>1.980346053614114</v>
      </c>
      <c r="S347" s="114" t="str">
        <f t="shared" ca="1" si="91"/>
        <v>O</v>
      </c>
      <c r="T347" s="121">
        <v>3</v>
      </c>
      <c r="U347" s="121">
        <v>3</v>
      </c>
      <c r="V347" s="121">
        <v>3</v>
      </c>
      <c r="W347" s="121">
        <f t="shared" si="89"/>
        <v>9</v>
      </c>
      <c r="X347" s="121" t="str">
        <f t="shared" si="90"/>
        <v>Penting</v>
      </c>
      <c r="Y347" s="115" t="s">
        <v>863</v>
      </c>
      <c r="Z347" s="114" t="s">
        <v>119</v>
      </c>
      <c r="AA347" s="119">
        <f>+N347+635</f>
        <v>44088</v>
      </c>
      <c r="AB347" s="119">
        <f>N347+1000</f>
        <v>44453</v>
      </c>
      <c r="AC347" s="119"/>
      <c r="AD347" s="26"/>
      <c r="AE347" s="122"/>
      <c r="AF347" s="114" t="s">
        <v>857</v>
      </c>
      <c r="AG347" s="114" t="s">
        <v>216</v>
      </c>
      <c r="AH347" s="26"/>
      <c r="AI347" s="26"/>
      <c r="AJ347" s="26"/>
      <c r="AK347" s="26"/>
      <c r="AL347" s="26"/>
      <c r="AM347" s="26"/>
      <c r="AN347" s="34"/>
      <c r="AO347" s="123"/>
      <c r="AP347" s="4"/>
      <c r="AQ347" s="4"/>
      <c r="AR347" s="4"/>
      <c r="AS347" s="4"/>
      <c r="AT347" s="4"/>
    </row>
    <row r="348" spans="1:48" s="124" customFormat="1" ht="111.95" customHeight="1" x14ac:dyDescent="0.25">
      <c r="A348" s="113">
        <v>212</v>
      </c>
      <c r="B348" s="113" t="s">
        <v>109</v>
      </c>
      <c r="C348" s="114" t="s">
        <v>853</v>
      </c>
      <c r="D348" s="113">
        <v>25</v>
      </c>
      <c r="E348" s="113" t="s">
        <v>121</v>
      </c>
      <c r="F348" s="115"/>
      <c r="G348" s="116" t="s">
        <v>854</v>
      </c>
      <c r="H348" s="116" t="s">
        <v>906</v>
      </c>
      <c r="I348" s="117" t="s">
        <v>113</v>
      </c>
      <c r="J348" s="116" t="s">
        <v>862</v>
      </c>
      <c r="K348" s="116"/>
      <c r="L348" s="118"/>
      <c r="M348" s="118"/>
      <c r="N348" s="119">
        <v>43966</v>
      </c>
      <c r="O348" s="119">
        <v>44695</v>
      </c>
      <c r="P348" s="120">
        <f t="shared" si="95"/>
        <v>1.9972602739726026</v>
      </c>
      <c r="Q348" s="114" t="s">
        <v>33</v>
      </c>
      <c r="R348" s="114">
        <f t="shared" ca="1" si="97"/>
        <v>-5.051912010902015</v>
      </c>
      <c r="S348" s="114" t="str">
        <f ca="1">IF(R348="End","Z",IF(R348="Cancel","C",IF(SUM(R348)&gt;0,"O",IF(ISBLANK(R348),"X",IF(SUM(R348)&lt;0,"Y",IF(SUM(R348),"-","O"))))))</f>
        <v>Y</v>
      </c>
      <c r="T348" s="121">
        <v>3</v>
      </c>
      <c r="U348" s="121">
        <v>3</v>
      </c>
      <c r="V348" s="121">
        <v>3</v>
      </c>
      <c r="W348" s="121">
        <f>T348+U348+V348</f>
        <v>9</v>
      </c>
      <c r="X348" s="121" t="str">
        <f>IF(W348&gt;5,"Penting",IF(ISBLANK(W348),"","Biasa"))</f>
        <v>Penting</v>
      </c>
      <c r="Y348" s="115" t="s">
        <v>863</v>
      </c>
      <c r="Z348" s="114" t="s">
        <v>119</v>
      </c>
      <c r="AA348" s="119">
        <f t="shared" si="93"/>
        <v>44236</v>
      </c>
      <c r="AB348" s="119">
        <f t="shared" si="94"/>
        <v>44601</v>
      </c>
      <c r="AC348" s="119"/>
      <c r="AD348" s="26" t="s">
        <v>125</v>
      </c>
      <c r="AE348" s="122">
        <v>43966</v>
      </c>
      <c r="AF348" s="114" t="s">
        <v>857</v>
      </c>
      <c r="AG348" s="114" t="s">
        <v>216</v>
      </c>
      <c r="AH348" s="26"/>
      <c r="AI348" s="26"/>
      <c r="AJ348" s="26"/>
      <c r="AK348" s="26"/>
      <c r="AL348" s="26"/>
      <c r="AM348" s="26"/>
      <c r="AN348" s="34"/>
      <c r="AO348" s="123">
        <v>43990</v>
      </c>
      <c r="AP348" s="4"/>
      <c r="AQ348" s="4"/>
      <c r="AR348" s="4"/>
      <c r="AS348" s="4"/>
      <c r="AT348" s="4"/>
    </row>
    <row r="349" spans="1:48" s="124" customFormat="1" ht="111.95" customHeight="1" x14ac:dyDescent="0.25">
      <c r="A349" s="113">
        <v>213</v>
      </c>
      <c r="B349" s="113" t="s">
        <v>109</v>
      </c>
      <c r="C349" s="114" t="s">
        <v>462</v>
      </c>
      <c r="D349" s="113">
        <v>1</v>
      </c>
      <c r="E349" s="113" t="s">
        <v>121</v>
      </c>
      <c r="F349" s="115"/>
      <c r="G349" s="116" t="s">
        <v>907</v>
      </c>
      <c r="H349" s="116" t="s">
        <v>699</v>
      </c>
      <c r="I349" s="117" t="s">
        <v>113</v>
      </c>
      <c r="J349" s="116" t="s">
        <v>908</v>
      </c>
      <c r="K349" s="116"/>
      <c r="L349" s="118"/>
      <c r="M349" s="118"/>
      <c r="N349" s="119">
        <v>39845</v>
      </c>
      <c r="O349" s="119">
        <v>44957</v>
      </c>
      <c r="P349" s="120">
        <f t="shared" si="95"/>
        <v>14.005479452054795</v>
      </c>
      <c r="Q349" s="114" t="s">
        <v>40</v>
      </c>
      <c r="R349" s="114">
        <f t="shared" ca="1" si="97"/>
        <v>3.3997008923237915</v>
      </c>
      <c r="S349" s="114" t="str">
        <f t="shared" ca="1" si="91"/>
        <v>O</v>
      </c>
      <c r="T349" s="121">
        <v>3</v>
      </c>
      <c r="U349" s="121">
        <v>3</v>
      </c>
      <c r="V349" s="121">
        <v>3</v>
      </c>
      <c r="W349" s="121">
        <f t="shared" si="89"/>
        <v>9</v>
      </c>
      <c r="X349" s="121" t="str">
        <f t="shared" si="90"/>
        <v>Penting</v>
      </c>
      <c r="Y349" s="115" t="s">
        <v>909</v>
      </c>
      <c r="Z349" s="114" t="s">
        <v>119</v>
      </c>
      <c r="AA349" s="119">
        <f>N349+4285</f>
        <v>44130</v>
      </c>
      <c r="AB349" s="119">
        <f>N349+4650</f>
        <v>44495</v>
      </c>
      <c r="AC349" s="119"/>
      <c r="AD349" s="26" t="s">
        <v>164</v>
      </c>
      <c r="AE349" s="122">
        <v>43497</v>
      </c>
      <c r="AF349" s="114" t="s">
        <v>910</v>
      </c>
      <c r="AG349" s="114" t="s">
        <v>216</v>
      </c>
      <c r="AH349" s="26"/>
      <c r="AI349" s="26"/>
      <c r="AJ349" s="26"/>
      <c r="AK349" s="26"/>
      <c r="AL349" s="26"/>
      <c r="AM349" s="26"/>
      <c r="AN349" s="34"/>
      <c r="AO349" s="123"/>
      <c r="AP349" s="4"/>
      <c r="AQ349" s="4"/>
      <c r="AR349" s="4"/>
      <c r="AS349" s="4"/>
      <c r="AT349" s="4"/>
    </row>
    <row r="350" spans="1:48" s="124" customFormat="1" ht="111.95" customHeight="1" x14ac:dyDescent="0.25">
      <c r="A350" s="113">
        <v>214</v>
      </c>
      <c r="B350" s="113" t="s">
        <v>109</v>
      </c>
      <c r="C350" s="114" t="s">
        <v>462</v>
      </c>
      <c r="D350" s="113">
        <v>2</v>
      </c>
      <c r="E350" s="113" t="s">
        <v>121</v>
      </c>
      <c r="F350" s="115" t="s">
        <v>911</v>
      </c>
      <c r="G350" s="116" t="s">
        <v>912</v>
      </c>
      <c r="H350" s="116" t="s">
        <v>913</v>
      </c>
      <c r="I350" s="117" t="s">
        <v>113</v>
      </c>
      <c r="J350" s="116" t="s">
        <v>914</v>
      </c>
      <c r="K350" s="116"/>
      <c r="L350" s="118"/>
      <c r="M350" s="118"/>
      <c r="N350" s="119">
        <v>40119</v>
      </c>
      <c r="O350" s="119" t="s">
        <v>110</v>
      </c>
      <c r="P350" s="120" t="s">
        <v>110</v>
      </c>
      <c r="Q350" s="114" t="s">
        <v>40</v>
      </c>
      <c r="R350" s="114" t="s">
        <v>110</v>
      </c>
      <c r="S350" s="114" t="str">
        <f t="shared" si="91"/>
        <v>O</v>
      </c>
      <c r="T350" s="121">
        <v>3</v>
      </c>
      <c r="U350" s="121">
        <v>3</v>
      </c>
      <c r="V350" s="121">
        <v>3</v>
      </c>
      <c r="W350" s="121">
        <f>T350+U350+V350</f>
        <v>9</v>
      </c>
      <c r="X350" s="121" t="str">
        <f t="shared" si="90"/>
        <v>Penting</v>
      </c>
      <c r="Y350" s="115" t="s">
        <v>915</v>
      </c>
      <c r="Z350" s="114" t="s">
        <v>119</v>
      </c>
      <c r="AA350" s="119">
        <f>N350+4650</f>
        <v>44769</v>
      </c>
      <c r="AB350" s="119">
        <f>N350+5015</f>
        <v>45134</v>
      </c>
      <c r="AC350" s="119"/>
      <c r="AD350" s="26"/>
      <c r="AE350" s="122"/>
      <c r="AF350" s="114" t="s">
        <v>910</v>
      </c>
      <c r="AG350" s="114" t="s">
        <v>216</v>
      </c>
      <c r="AH350" s="26"/>
      <c r="AI350" s="26"/>
      <c r="AJ350" s="26"/>
      <c r="AK350" s="26"/>
      <c r="AL350" s="26"/>
      <c r="AM350" s="26"/>
      <c r="AN350" s="34"/>
      <c r="AO350" s="123"/>
      <c r="AP350" s="4"/>
      <c r="AQ350" s="4"/>
      <c r="AR350" s="4"/>
      <c r="AS350" s="4"/>
      <c r="AT350" s="4"/>
    </row>
    <row r="351" spans="1:48" s="124" customFormat="1" ht="111.95" customHeight="1" x14ac:dyDescent="0.25">
      <c r="A351" s="113">
        <v>215</v>
      </c>
      <c r="B351" s="113" t="s">
        <v>109</v>
      </c>
      <c r="C351" s="114" t="s">
        <v>462</v>
      </c>
      <c r="D351" s="113">
        <v>2</v>
      </c>
      <c r="E351" s="113" t="s">
        <v>121</v>
      </c>
      <c r="F351" s="115" t="s">
        <v>916</v>
      </c>
      <c r="G351" s="116" t="s">
        <v>917</v>
      </c>
      <c r="H351" s="116" t="s">
        <v>913</v>
      </c>
      <c r="I351" s="117" t="s">
        <v>113</v>
      </c>
      <c r="J351" s="116" t="s">
        <v>914</v>
      </c>
      <c r="K351" s="116"/>
      <c r="L351" s="118">
        <v>72494</v>
      </c>
      <c r="M351" s="118" t="s">
        <v>918</v>
      </c>
      <c r="N351" s="119">
        <v>44562</v>
      </c>
      <c r="O351" s="119">
        <v>44742</v>
      </c>
      <c r="P351" s="120">
        <f t="shared" si="95"/>
        <v>0.49315068493150682</v>
      </c>
      <c r="Q351" s="114" t="s">
        <v>40</v>
      </c>
      <c r="R351" s="114">
        <f t="shared" ca="1" si="97"/>
        <v>-3.5357829786439505</v>
      </c>
      <c r="S351" s="114" t="str">
        <f t="shared" ca="1" si="91"/>
        <v>Y</v>
      </c>
      <c r="T351" s="121">
        <v>3</v>
      </c>
      <c r="U351" s="121">
        <v>3</v>
      </c>
      <c r="V351" s="121">
        <v>3</v>
      </c>
      <c r="W351" s="121">
        <f t="shared" si="89"/>
        <v>9</v>
      </c>
      <c r="X351" s="121" t="str">
        <f t="shared" si="90"/>
        <v>Penting</v>
      </c>
      <c r="Y351" s="115"/>
      <c r="Z351" s="125"/>
      <c r="AA351" s="119"/>
      <c r="AB351" s="119"/>
      <c r="AC351" s="119"/>
      <c r="AD351" s="26"/>
      <c r="AE351" s="122"/>
      <c r="AF351" s="114" t="s">
        <v>910</v>
      </c>
      <c r="AG351" s="114" t="s">
        <v>216</v>
      </c>
      <c r="AH351" s="26"/>
      <c r="AI351" s="26"/>
      <c r="AJ351" s="26"/>
      <c r="AK351" s="26"/>
      <c r="AL351" s="26"/>
      <c r="AM351" s="26"/>
      <c r="AN351" s="34"/>
      <c r="AO351" s="123">
        <v>44575</v>
      </c>
      <c r="AP351" s="4"/>
      <c r="AQ351" s="4"/>
      <c r="AR351" s="4"/>
      <c r="AS351" s="4"/>
      <c r="AT351" s="4"/>
    </row>
    <row r="352" spans="1:48" s="124" customFormat="1" ht="111.95" customHeight="1" x14ac:dyDescent="0.25">
      <c r="A352" s="113">
        <v>216</v>
      </c>
      <c r="B352" s="113" t="s">
        <v>109</v>
      </c>
      <c r="C352" s="114" t="s">
        <v>462</v>
      </c>
      <c r="D352" s="113">
        <v>3</v>
      </c>
      <c r="E352" s="113" t="s">
        <v>121</v>
      </c>
      <c r="F352" s="115" t="s">
        <v>919</v>
      </c>
      <c r="G352" s="116" t="s">
        <v>917</v>
      </c>
      <c r="H352" s="116" t="s">
        <v>920</v>
      </c>
      <c r="I352" s="117" t="s">
        <v>160</v>
      </c>
      <c r="J352" s="116" t="s">
        <v>921</v>
      </c>
      <c r="K352" s="116"/>
      <c r="L352" s="118"/>
      <c r="M352" s="118"/>
      <c r="N352" s="119">
        <v>44481</v>
      </c>
      <c r="O352" s="119">
        <v>44845</v>
      </c>
      <c r="P352" s="120">
        <f t="shared" si="95"/>
        <v>0.99726027397260275</v>
      </c>
      <c r="Q352" s="114" t="s">
        <v>40</v>
      </c>
      <c r="R352" s="114">
        <f t="shared" ca="1" si="97"/>
        <v>-0.21320233348266018</v>
      </c>
      <c r="S352" s="114" t="str">
        <f t="shared" ca="1" si="91"/>
        <v>Y</v>
      </c>
      <c r="T352" s="121">
        <v>3</v>
      </c>
      <c r="U352" s="121">
        <v>3</v>
      </c>
      <c r="V352" s="121">
        <v>3</v>
      </c>
      <c r="W352" s="121">
        <f t="shared" si="89"/>
        <v>9</v>
      </c>
      <c r="X352" s="121" t="str">
        <f t="shared" si="90"/>
        <v>Penting</v>
      </c>
      <c r="Y352" s="115"/>
      <c r="Z352" s="125"/>
      <c r="AA352" s="119"/>
      <c r="AB352" s="119"/>
      <c r="AC352" s="119"/>
      <c r="AD352" s="26"/>
      <c r="AE352" s="122"/>
      <c r="AF352" s="114" t="s">
        <v>910</v>
      </c>
      <c r="AG352" s="114" t="s">
        <v>119</v>
      </c>
      <c r="AH352" s="26"/>
      <c r="AI352" s="26"/>
      <c r="AJ352" s="26"/>
      <c r="AK352" s="26"/>
      <c r="AL352" s="26"/>
      <c r="AM352" s="26"/>
      <c r="AN352" s="34"/>
      <c r="AO352" s="123">
        <v>44470</v>
      </c>
      <c r="AP352" s="4"/>
      <c r="AQ352" s="4"/>
      <c r="AR352" s="4"/>
      <c r="AS352" s="4"/>
      <c r="AT352" s="4"/>
    </row>
    <row r="353" spans="1:46" s="124" customFormat="1" ht="111.95" customHeight="1" x14ac:dyDescent="0.25">
      <c r="A353" s="113">
        <v>217</v>
      </c>
      <c r="B353" s="113" t="s">
        <v>109</v>
      </c>
      <c r="C353" s="114" t="s">
        <v>462</v>
      </c>
      <c r="D353" s="113">
        <v>4</v>
      </c>
      <c r="E353" s="113" t="s">
        <v>121</v>
      </c>
      <c r="F353" s="115"/>
      <c r="G353" s="116" t="s">
        <v>922</v>
      </c>
      <c r="H353" s="116" t="s">
        <v>923</v>
      </c>
      <c r="I353" s="117" t="s">
        <v>113</v>
      </c>
      <c r="J353" s="116" t="s">
        <v>924</v>
      </c>
      <c r="K353" s="116"/>
      <c r="L353" s="118"/>
      <c r="M353" s="118"/>
      <c r="N353" s="119">
        <v>43283</v>
      </c>
      <c r="O353" s="119">
        <v>44743</v>
      </c>
      <c r="P353" s="120">
        <f t="shared" si="95"/>
        <v>4</v>
      </c>
      <c r="Q353" s="114" t="s">
        <v>40</v>
      </c>
      <c r="R353" s="114">
        <f t="shared" ca="1" si="97"/>
        <v>-3.5035249141278215</v>
      </c>
      <c r="S353" s="114" t="str">
        <f t="shared" ca="1" si="91"/>
        <v>Y</v>
      </c>
      <c r="T353" s="121">
        <v>3</v>
      </c>
      <c r="U353" s="121">
        <v>3</v>
      </c>
      <c r="V353" s="121">
        <v>3</v>
      </c>
      <c r="W353" s="121">
        <f t="shared" si="89"/>
        <v>9</v>
      </c>
      <c r="X353" s="121" t="str">
        <f t="shared" si="90"/>
        <v>Penting</v>
      </c>
      <c r="Y353" s="115" t="s">
        <v>364</v>
      </c>
      <c r="Z353" s="114" t="s">
        <v>119</v>
      </c>
      <c r="AA353" s="119">
        <f>N353+635</f>
        <v>43918</v>
      </c>
      <c r="AB353" s="119">
        <f>+N353+1000</f>
        <v>44283</v>
      </c>
      <c r="AC353" s="119">
        <f>+N353+1365</f>
        <v>44648</v>
      </c>
      <c r="AD353" s="26"/>
      <c r="AE353" s="122"/>
      <c r="AF353" s="114" t="s">
        <v>910</v>
      </c>
      <c r="AG353" s="114" t="s">
        <v>119</v>
      </c>
      <c r="AH353" s="26"/>
      <c r="AI353" s="26"/>
      <c r="AJ353" s="26"/>
      <c r="AK353" s="26"/>
      <c r="AL353" s="26"/>
      <c r="AM353" s="26"/>
      <c r="AN353" s="34"/>
      <c r="AO353" s="123"/>
      <c r="AP353" s="4"/>
      <c r="AQ353" s="4"/>
      <c r="AR353" s="4"/>
      <c r="AS353" s="4"/>
      <c r="AT353" s="4"/>
    </row>
    <row r="354" spans="1:46" s="124" customFormat="1" ht="111.95" customHeight="1" x14ac:dyDescent="0.25">
      <c r="A354" s="113">
        <v>218</v>
      </c>
      <c r="B354" s="113"/>
      <c r="C354" s="114"/>
      <c r="D354" s="113"/>
      <c r="E354" s="113"/>
      <c r="F354" s="115"/>
      <c r="G354" s="116"/>
      <c r="H354" s="116" t="s">
        <v>925</v>
      </c>
      <c r="I354" s="117"/>
      <c r="J354" s="116"/>
      <c r="K354" s="116"/>
      <c r="L354" s="118"/>
      <c r="M354" s="118"/>
      <c r="N354" s="119"/>
      <c r="O354" s="119"/>
      <c r="P354" s="120"/>
      <c r="Q354" s="114" t="s">
        <v>40</v>
      </c>
      <c r="R354" s="114" t="s">
        <v>117</v>
      </c>
      <c r="S354" s="114" t="str">
        <f t="shared" si="91"/>
        <v>Z</v>
      </c>
      <c r="T354" s="121">
        <v>3</v>
      </c>
      <c r="U354" s="121">
        <v>3</v>
      </c>
      <c r="V354" s="121">
        <v>3</v>
      </c>
      <c r="W354" s="121">
        <f t="shared" si="89"/>
        <v>9</v>
      </c>
      <c r="X354" s="121" t="str">
        <f t="shared" si="90"/>
        <v>Penting</v>
      </c>
      <c r="Y354" s="115" t="s">
        <v>926</v>
      </c>
      <c r="Z354" s="115"/>
      <c r="AA354" s="119"/>
      <c r="AB354" s="119"/>
      <c r="AC354" s="119"/>
      <c r="AD354" s="26"/>
      <c r="AE354" s="122"/>
      <c r="AF354" s="114" t="s">
        <v>910</v>
      </c>
      <c r="AG354" s="114"/>
      <c r="AH354" s="26"/>
      <c r="AI354" s="26"/>
      <c r="AJ354" s="26"/>
      <c r="AK354" s="26"/>
      <c r="AL354" s="26"/>
      <c r="AM354" s="26"/>
      <c r="AN354" s="26"/>
      <c r="AO354" s="123"/>
      <c r="AP354" s="4"/>
      <c r="AQ354" s="4"/>
      <c r="AR354" s="4"/>
      <c r="AS354" s="4"/>
      <c r="AT354" s="4"/>
    </row>
    <row r="355" spans="1:46" s="124" customFormat="1" ht="111.95" customHeight="1" x14ac:dyDescent="0.25">
      <c r="A355" s="113">
        <v>219</v>
      </c>
      <c r="B355" s="113" t="s">
        <v>109</v>
      </c>
      <c r="C355" s="114" t="s">
        <v>462</v>
      </c>
      <c r="D355" s="113">
        <v>8</v>
      </c>
      <c r="E355" s="113" t="s">
        <v>121</v>
      </c>
      <c r="F355" s="115" t="s">
        <v>927</v>
      </c>
      <c r="G355" s="116" t="s">
        <v>928</v>
      </c>
      <c r="H355" s="116" t="s">
        <v>929</v>
      </c>
      <c r="I355" s="117" t="s">
        <v>113</v>
      </c>
      <c r="J355" s="116" t="s">
        <v>930</v>
      </c>
      <c r="K355" s="116"/>
      <c r="L355" s="118"/>
      <c r="M355" s="118"/>
      <c r="N355" s="119">
        <v>43983</v>
      </c>
      <c r="O355" s="119">
        <v>44712</v>
      </c>
      <c r="P355" s="120">
        <f t="shared" si="95"/>
        <v>1.9972602739726026</v>
      </c>
      <c r="Q355" s="114" t="s">
        <v>40</v>
      </c>
      <c r="R355" s="114">
        <f t="shared" ref="R355" ca="1" si="98">(O355-NOW()+1)/31</f>
        <v>-4.5035249141278211</v>
      </c>
      <c r="S355" s="114" t="str">
        <f t="shared" ca="1" si="91"/>
        <v>Y</v>
      </c>
      <c r="T355" s="121">
        <v>3</v>
      </c>
      <c r="U355" s="121">
        <v>3</v>
      </c>
      <c r="V355" s="121">
        <v>3</v>
      </c>
      <c r="W355" s="121">
        <f t="shared" si="89"/>
        <v>9</v>
      </c>
      <c r="X355" s="121" t="str">
        <f t="shared" si="90"/>
        <v>Penting</v>
      </c>
      <c r="Y355" s="115" t="s">
        <v>863</v>
      </c>
      <c r="Z355" s="114" t="s">
        <v>119</v>
      </c>
      <c r="AA355" s="119">
        <f>N355+270</f>
        <v>44253</v>
      </c>
      <c r="AB355" s="119">
        <f>+N355+635</f>
        <v>44618</v>
      </c>
      <c r="AC355" s="119"/>
      <c r="AD355" s="26" t="s">
        <v>125</v>
      </c>
      <c r="AE355" s="122">
        <v>43497</v>
      </c>
      <c r="AF355" s="114" t="s">
        <v>910</v>
      </c>
      <c r="AG355" s="114" t="s">
        <v>216</v>
      </c>
      <c r="AH355" s="26"/>
      <c r="AI355" s="26"/>
      <c r="AJ355" s="26"/>
      <c r="AK355" s="26"/>
      <c r="AL355" s="26"/>
      <c r="AM355" s="26"/>
      <c r="AN355" s="34"/>
      <c r="AO355" s="123">
        <v>44166</v>
      </c>
      <c r="AP355" s="4"/>
      <c r="AQ355" s="4"/>
      <c r="AR355" s="4"/>
      <c r="AS355" s="4"/>
      <c r="AT355" s="4"/>
    </row>
    <row r="356" spans="1:46" s="124" customFormat="1" ht="111.95" customHeight="1" x14ac:dyDescent="0.25">
      <c r="A356" s="113">
        <v>220</v>
      </c>
      <c r="B356" s="113" t="s">
        <v>109</v>
      </c>
      <c r="C356" s="114" t="s">
        <v>462</v>
      </c>
      <c r="D356" s="113">
        <v>5</v>
      </c>
      <c r="E356" s="113" t="s">
        <v>121</v>
      </c>
      <c r="F356" s="115"/>
      <c r="G356" s="116" t="s">
        <v>907</v>
      </c>
      <c r="H356" s="116" t="s">
        <v>931</v>
      </c>
      <c r="I356" s="117" t="s">
        <v>113</v>
      </c>
      <c r="J356" s="116" t="s">
        <v>932</v>
      </c>
      <c r="K356" s="116"/>
      <c r="L356" s="118"/>
      <c r="M356" s="118"/>
      <c r="N356" s="119">
        <v>39845</v>
      </c>
      <c r="O356" s="119" t="s">
        <v>110</v>
      </c>
      <c r="P356" s="120" t="s">
        <v>110</v>
      </c>
      <c r="Q356" s="114" t="s">
        <v>40</v>
      </c>
      <c r="R356" s="114" t="s">
        <v>110</v>
      </c>
      <c r="S356" s="114" t="str">
        <f t="shared" si="91"/>
        <v>O</v>
      </c>
      <c r="T356" s="121">
        <v>3</v>
      </c>
      <c r="U356" s="121">
        <v>3</v>
      </c>
      <c r="V356" s="121">
        <v>3</v>
      </c>
      <c r="W356" s="121">
        <f>T356+U356+V356</f>
        <v>9</v>
      </c>
      <c r="X356" s="121" t="str">
        <f t="shared" si="90"/>
        <v>Penting</v>
      </c>
      <c r="Y356" s="115"/>
      <c r="Z356" s="114" t="s">
        <v>119</v>
      </c>
      <c r="AA356" s="119">
        <f>N356+4650</f>
        <v>44495</v>
      </c>
      <c r="AB356" s="119">
        <f>N356+5015</f>
        <v>44860</v>
      </c>
      <c r="AC356" s="119"/>
      <c r="AD356" s="26" t="s">
        <v>125</v>
      </c>
      <c r="AE356" s="122">
        <v>43556</v>
      </c>
      <c r="AF356" s="114" t="s">
        <v>910</v>
      </c>
      <c r="AG356" s="114" t="s">
        <v>216</v>
      </c>
      <c r="AH356" s="26"/>
      <c r="AI356" s="26"/>
      <c r="AJ356" s="26"/>
      <c r="AK356" s="26"/>
      <c r="AL356" s="26"/>
      <c r="AM356" s="26"/>
      <c r="AN356" s="34"/>
      <c r="AO356" s="123"/>
      <c r="AP356" s="4"/>
      <c r="AQ356" s="4"/>
      <c r="AR356" s="4"/>
      <c r="AS356" s="4"/>
      <c r="AT356" s="4"/>
    </row>
    <row r="357" spans="1:46" s="124" customFormat="1" ht="111.95" customHeight="1" x14ac:dyDescent="0.25">
      <c r="A357" s="113">
        <v>221</v>
      </c>
      <c r="B357" s="113" t="s">
        <v>109</v>
      </c>
      <c r="C357" s="114" t="s">
        <v>462</v>
      </c>
      <c r="D357" s="113">
        <v>6</v>
      </c>
      <c r="E357" s="113" t="s">
        <v>121</v>
      </c>
      <c r="F357" s="115" t="s">
        <v>110</v>
      </c>
      <c r="G357" s="116" t="s">
        <v>933</v>
      </c>
      <c r="H357" s="116" t="s">
        <v>934</v>
      </c>
      <c r="I357" s="117" t="s">
        <v>113</v>
      </c>
      <c r="J357" s="116" t="s">
        <v>935</v>
      </c>
      <c r="K357" s="116"/>
      <c r="L357" s="118"/>
      <c r="M357" s="118"/>
      <c r="N357" s="119">
        <v>42461</v>
      </c>
      <c r="O357" s="119">
        <v>45016</v>
      </c>
      <c r="P357" s="120">
        <f t="shared" ref="P357:P397" si="99">(O357-N357)/365</f>
        <v>7</v>
      </c>
      <c r="Q357" s="114" t="s">
        <v>40</v>
      </c>
      <c r="R357" s="114">
        <f t="shared" ref="R357:R358" ca="1" si="100">(O357-NOW()+1)/31</f>
        <v>5.302926698775404</v>
      </c>
      <c r="S357" s="114" t="str">
        <f t="shared" ca="1" si="91"/>
        <v>O</v>
      </c>
      <c r="T357" s="121">
        <v>3</v>
      </c>
      <c r="U357" s="121">
        <v>3</v>
      </c>
      <c r="V357" s="121">
        <v>2</v>
      </c>
      <c r="W357" s="121">
        <f>T357+U357+V357</f>
        <v>8</v>
      </c>
      <c r="X357" s="121" t="str">
        <f t="shared" si="90"/>
        <v>Penting</v>
      </c>
      <c r="Y357" s="115" t="s">
        <v>863</v>
      </c>
      <c r="Z357" s="114" t="s">
        <v>119</v>
      </c>
      <c r="AA357" s="119">
        <f>N357+1365</f>
        <v>43826</v>
      </c>
      <c r="AB357" s="119">
        <f>N357+1730</f>
        <v>44191</v>
      </c>
      <c r="AC357" s="119">
        <f>+N357+2095</f>
        <v>44556</v>
      </c>
      <c r="AD357" s="26" t="s">
        <v>125</v>
      </c>
      <c r="AE357" s="122">
        <v>43709</v>
      </c>
      <c r="AF357" s="114" t="s">
        <v>910</v>
      </c>
      <c r="AG357" s="114" t="s">
        <v>119</v>
      </c>
      <c r="AH357" s="26"/>
      <c r="AI357" s="26"/>
      <c r="AJ357" s="26"/>
      <c r="AK357" s="26"/>
      <c r="AL357" s="26"/>
      <c r="AM357" s="26"/>
      <c r="AN357" s="34"/>
      <c r="AO357" s="123"/>
      <c r="AP357" s="4"/>
      <c r="AQ357" s="4"/>
      <c r="AR357" s="4"/>
      <c r="AS357" s="4"/>
      <c r="AT357" s="4"/>
    </row>
    <row r="358" spans="1:46" s="124" customFormat="1" ht="111.95" customHeight="1" x14ac:dyDescent="0.25">
      <c r="A358" s="113">
        <v>222</v>
      </c>
      <c r="B358" s="113" t="s">
        <v>109</v>
      </c>
      <c r="C358" s="114" t="s">
        <v>462</v>
      </c>
      <c r="D358" s="113">
        <v>9</v>
      </c>
      <c r="E358" s="113" t="s">
        <v>121</v>
      </c>
      <c r="F358" s="115" t="s">
        <v>936</v>
      </c>
      <c r="G358" s="116" t="s">
        <v>937</v>
      </c>
      <c r="H358" s="116" t="s">
        <v>938</v>
      </c>
      <c r="I358" s="117" t="s">
        <v>160</v>
      </c>
      <c r="J358" s="116" t="s">
        <v>939</v>
      </c>
      <c r="K358" s="116"/>
      <c r="L358" s="118">
        <v>37500000</v>
      </c>
      <c r="M358" s="118" t="s">
        <v>940</v>
      </c>
      <c r="N358" s="119">
        <v>44409</v>
      </c>
      <c r="O358" s="119">
        <v>44773</v>
      </c>
      <c r="P358" s="120">
        <f t="shared" si="99"/>
        <v>0.99726027397260275</v>
      </c>
      <c r="Q358" s="114" t="s">
        <v>31</v>
      </c>
      <c r="R358" s="114">
        <f t="shared" ca="1" si="100"/>
        <v>-2.5357829786439505</v>
      </c>
      <c r="S358" s="114" t="str">
        <f t="shared" ca="1" si="91"/>
        <v>Y</v>
      </c>
      <c r="T358" s="121">
        <v>3</v>
      </c>
      <c r="U358" s="121">
        <v>3</v>
      </c>
      <c r="V358" s="121">
        <v>2</v>
      </c>
      <c r="W358" s="121">
        <f t="shared" si="89"/>
        <v>8</v>
      </c>
      <c r="X358" s="121" t="str">
        <f t="shared" si="90"/>
        <v>Penting</v>
      </c>
      <c r="Y358" s="115"/>
      <c r="Z358" s="125"/>
      <c r="AA358" s="119"/>
      <c r="AB358" s="119"/>
      <c r="AC358" s="119"/>
      <c r="AD358" s="26"/>
      <c r="AE358" s="122"/>
      <c r="AF358" s="114" t="s">
        <v>941</v>
      </c>
      <c r="AG358" s="114" t="s">
        <v>119</v>
      </c>
      <c r="AH358" s="26"/>
      <c r="AI358" s="26"/>
      <c r="AJ358" s="26"/>
      <c r="AK358" s="26"/>
      <c r="AL358" s="26"/>
      <c r="AM358" s="26"/>
      <c r="AN358" s="34"/>
      <c r="AO358" s="123">
        <v>44440</v>
      </c>
      <c r="AP358" s="4"/>
      <c r="AQ358" s="4"/>
      <c r="AR358" s="4"/>
      <c r="AS358" s="4"/>
      <c r="AT358" s="4"/>
    </row>
    <row r="359" spans="1:46" s="124" customFormat="1" ht="111.95" customHeight="1" x14ac:dyDescent="0.25">
      <c r="A359" s="113">
        <v>223</v>
      </c>
      <c r="B359" s="113" t="s">
        <v>109</v>
      </c>
      <c r="C359" s="114"/>
      <c r="D359" s="113"/>
      <c r="E359" s="113"/>
      <c r="F359" s="115" t="s">
        <v>942</v>
      </c>
      <c r="G359" s="116" t="s">
        <v>937</v>
      </c>
      <c r="H359" s="116" t="s">
        <v>943</v>
      </c>
      <c r="I359" s="117" t="s">
        <v>160</v>
      </c>
      <c r="J359" s="116" t="s">
        <v>944</v>
      </c>
      <c r="K359" s="116"/>
      <c r="L359" s="118">
        <v>27500000</v>
      </c>
      <c r="M359" s="118" t="s">
        <v>143</v>
      </c>
      <c r="N359" s="119">
        <v>43525</v>
      </c>
      <c r="O359" s="119">
        <v>43646</v>
      </c>
      <c r="P359" s="120">
        <f t="shared" si="99"/>
        <v>0.33150684931506852</v>
      </c>
      <c r="Q359" s="114" t="s">
        <v>31</v>
      </c>
      <c r="R359" s="114" t="s">
        <v>117</v>
      </c>
      <c r="S359" s="114" t="str">
        <f t="shared" si="91"/>
        <v>Z</v>
      </c>
      <c r="T359" s="121">
        <v>3</v>
      </c>
      <c r="U359" s="121">
        <v>3</v>
      </c>
      <c r="V359" s="121">
        <v>2</v>
      </c>
      <c r="W359" s="121">
        <f t="shared" si="89"/>
        <v>8</v>
      </c>
      <c r="X359" s="121" t="str">
        <f t="shared" si="90"/>
        <v>Penting</v>
      </c>
      <c r="Y359" s="115"/>
      <c r="Z359" s="115"/>
      <c r="AA359" s="119"/>
      <c r="AB359" s="119"/>
      <c r="AC359" s="119"/>
      <c r="AD359" s="26" t="s">
        <v>16</v>
      </c>
      <c r="AE359" s="122">
        <v>43760</v>
      </c>
      <c r="AF359" s="114" t="s">
        <v>941</v>
      </c>
      <c r="AG359" s="114" t="s">
        <v>119</v>
      </c>
      <c r="AH359" s="26"/>
      <c r="AI359" s="26"/>
      <c r="AJ359" s="26"/>
      <c r="AK359" s="26"/>
      <c r="AL359" s="26"/>
      <c r="AM359" s="26"/>
      <c r="AN359" s="26"/>
      <c r="AO359" s="123"/>
      <c r="AP359" s="4"/>
      <c r="AQ359" s="4"/>
      <c r="AR359" s="4"/>
      <c r="AS359" s="4"/>
      <c r="AT359" s="4"/>
    </row>
    <row r="360" spans="1:46" s="124" customFormat="1" ht="111.95" customHeight="1" x14ac:dyDescent="0.25">
      <c r="A360" s="113">
        <v>224</v>
      </c>
      <c r="B360" s="113" t="s">
        <v>109</v>
      </c>
      <c r="C360" s="114" t="s">
        <v>462</v>
      </c>
      <c r="D360" s="113">
        <v>11</v>
      </c>
      <c r="E360" s="113" t="s">
        <v>121</v>
      </c>
      <c r="F360" s="115" t="s">
        <v>110</v>
      </c>
      <c r="G360" s="116" t="s">
        <v>945</v>
      </c>
      <c r="H360" s="116" t="s">
        <v>946</v>
      </c>
      <c r="I360" s="117" t="s">
        <v>113</v>
      </c>
      <c r="J360" s="116" t="s">
        <v>947</v>
      </c>
      <c r="K360" s="116"/>
      <c r="L360" s="118"/>
      <c r="M360" s="118"/>
      <c r="N360" s="119">
        <v>44409</v>
      </c>
      <c r="O360" s="119">
        <v>44773</v>
      </c>
      <c r="P360" s="120">
        <f t="shared" si="99"/>
        <v>0.99726027397260275</v>
      </c>
      <c r="Q360" s="114" t="s">
        <v>31</v>
      </c>
      <c r="R360" s="114">
        <f t="shared" ref="R360:R369" ca="1" si="101">(O360-NOW()+1)/31</f>
        <v>-2.5357829786439505</v>
      </c>
      <c r="S360" s="114" t="str">
        <f t="shared" ca="1" si="91"/>
        <v>Y</v>
      </c>
      <c r="T360" s="121">
        <v>3</v>
      </c>
      <c r="U360" s="121">
        <v>3</v>
      </c>
      <c r="V360" s="121">
        <v>3</v>
      </c>
      <c r="W360" s="121">
        <f t="shared" si="89"/>
        <v>9</v>
      </c>
      <c r="X360" s="121" t="str">
        <f t="shared" si="90"/>
        <v>Penting</v>
      </c>
      <c r="Y360" s="115"/>
      <c r="Z360" s="125"/>
      <c r="AA360" s="119"/>
      <c r="AB360" s="119"/>
      <c r="AC360" s="119"/>
      <c r="AD360" s="26"/>
      <c r="AE360" s="122"/>
      <c r="AF360" s="114" t="s">
        <v>941</v>
      </c>
      <c r="AG360" s="114" t="s">
        <v>119</v>
      </c>
      <c r="AH360" s="26"/>
      <c r="AI360" s="26"/>
      <c r="AJ360" s="26"/>
      <c r="AK360" s="26"/>
      <c r="AL360" s="26"/>
      <c r="AM360" s="26"/>
      <c r="AN360" s="34"/>
      <c r="AO360" s="123">
        <v>44440</v>
      </c>
      <c r="AP360" s="4"/>
      <c r="AQ360" s="4"/>
      <c r="AR360" s="4"/>
      <c r="AS360" s="4"/>
      <c r="AT360" s="4"/>
    </row>
    <row r="361" spans="1:46" s="124" customFormat="1" ht="111.95" customHeight="1" x14ac:dyDescent="0.25">
      <c r="A361" s="113">
        <v>225</v>
      </c>
      <c r="B361" s="113" t="s">
        <v>109</v>
      </c>
      <c r="C361" s="114" t="s">
        <v>462</v>
      </c>
      <c r="D361" s="113">
        <v>12</v>
      </c>
      <c r="E361" s="113" t="s">
        <v>121</v>
      </c>
      <c r="F361" s="115"/>
      <c r="G361" s="116" t="s">
        <v>945</v>
      </c>
      <c r="H361" s="116" t="s">
        <v>948</v>
      </c>
      <c r="I361" s="117" t="s">
        <v>113</v>
      </c>
      <c r="J361" s="116" t="s">
        <v>949</v>
      </c>
      <c r="K361" s="116"/>
      <c r="L361" s="118"/>
      <c r="M361" s="118"/>
      <c r="N361" s="119">
        <v>43040</v>
      </c>
      <c r="O361" s="119">
        <v>44865</v>
      </c>
      <c r="P361" s="120">
        <f t="shared" si="99"/>
        <v>5</v>
      </c>
      <c r="Q361" s="114" t="s">
        <v>31</v>
      </c>
      <c r="R361" s="114">
        <f t="shared" ca="1" si="101"/>
        <v>0.43195895683992047</v>
      </c>
      <c r="S361" s="114" t="str">
        <f t="shared" ca="1" si="91"/>
        <v>O</v>
      </c>
      <c r="T361" s="121">
        <v>3</v>
      </c>
      <c r="U361" s="121">
        <v>3</v>
      </c>
      <c r="V361" s="121">
        <v>3</v>
      </c>
      <c r="W361" s="121">
        <f t="shared" si="89"/>
        <v>9</v>
      </c>
      <c r="X361" s="121" t="str">
        <f t="shared" si="90"/>
        <v>Penting</v>
      </c>
      <c r="Y361" s="115"/>
      <c r="Z361" s="114" t="s">
        <v>119</v>
      </c>
      <c r="AA361" s="119">
        <f>N361+1000</f>
        <v>44040</v>
      </c>
      <c r="AB361" s="119">
        <f>N361+1365</f>
        <v>44405</v>
      </c>
      <c r="AC361" s="119">
        <f>+N361+1730</f>
        <v>44770</v>
      </c>
      <c r="AD361" s="26"/>
      <c r="AE361" s="122"/>
      <c r="AF361" s="114" t="s">
        <v>941</v>
      </c>
      <c r="AG361" s="114" t="s">
        <v>119</v>
      </c>
      <c r="AH361" s="26"/>
      <c r="AI361" s="26"/>
      <c r="AJ361" s="26"/>
      <c r="AK361" s="26"/>
      <c r="AL361" s="26"/>
      <c r="AM361" s="26"/>
      <c r="AN361" s="34"/>
      <c r="AO361" s="123"/>
      <c r="AP361" s="4"/>
      <c r="AQ361" s="4"/>
      <c r="AR361" s="4"/>
      <c r="AS361" s="4"/>
      <c r="AT361" s="4"/>
    </row>
    <row r="362" spans="1:46" s="124" customFormat="1" ht="111.95" customHeight="1" x14ac:dyDescent="0.25">
      <c r="A362" s="113">
        <v>226</v>
      </c>
      <c r="B362" s="113" t="s">
        <v>109</v>
      </c>
      <c r="C362" s="114" t="s">
        <v>462</v>
      </c>
      <c r="D362" s="113">
        <v>13</v>
      </c>
      <c r="E362" s="113" t="s">
        <v>121</v>
      </c>
      <c r="F362" s="115" t="s">
        <v>950</v>
      </c>
      <c r="G362" s="116" t="s">
        <v>951</v>
      </c>
      <c r="H362" s="116" t="s">
        <v>952</v>
      </c>
      <c r="I362" s="117" t="s">
        <v>113</v>
      </c>
      <c r="J362" s="116" t="s">
        <v>953</v>
      </c>
      <c r="K362" s="116" t="s">
        <v>954</v>
      </c>
      <c r="L362" s="118" t="s">
        <v>269</v>
      </c>
      <c r="M362" s="118"/>
      <c r="N362" s="119">
        <v>44593</v>
      </c>
      <c r="O362" s="119">
        <v>44957</v>
      </c>
      <c r="P362" s="120">
        <f t="shared" si="99"/>
        <v>0.99726027397260275</v>
      </c>
      <c r="Q362" s="114" t="s">
        <v>31</v>
      </c>
      <c r="R362" s="114">
        <f t="shared" ca="1" si="101"/>
        <v>3.3997008923237915</v>
      </c>
      <c r="S362" s="114" t="str">
        <f t="shared" ca="1" si="91"/>
        <v>O</v>
      </c>
      <c r="T362" s="121">
        <v>3</v>
      </c>
      <c r="U362" s="121">
        <v>3</v>
      </c>
      <c r="V362" s="121">
        <v>3</v>
      </c>
      <c r="W362" s="121">
        <f t="shared" si="89"/>
        <v>9</v>
      </c>
      <c r="X362" s="121" t="str">
        <f t="shared" si="90"/>
        <v>Penting</v>
      </c>
      <c r="Y362" s="115"/>
      <c r="Z362" s="125"/>
      <c r="AA362" s="119"/>
      <c r="AB362" s="119"/>
      <c r="AC362" s="119"/>
      <c r="AD362" s="26"/>
      <c r="AE362" s="122"/>
      <c r="AF362" s="114" t="s">
        <v>941</v>
      </c>
      <c r="AG362" s="114" t="s">
        <v>119</v>
      </c>
      <c r="AH362" s="26"/>
      <c r="AI362" s="26"/>
      <c r="AJ362" s="26"/>
      <c r="AK362" s="26"/>
      <c r="AL362" s="26"/>
      <c r="AM362" s="26"/>
      <c r="AN362" s="34" t="s">
        <v>126</v>
      </c>
      <c r="AO362" s="123">
        <v>44617</v>
      </c>
      <c r="AP362" s="4"/>
      <c r="AQ362" s="4"/>
      <c r="AR362" s="4"/>
      <c r="AS362" s="4"/>
      <c r="AT362" s="4"/>
    </row>
    <row r="363" spans="1:46" s="124" customFormat="1" ht="111.95" customHeight="1" x14ac:dyDescent="0.25">
      <c r="A363" s="113">
        <v>227</v>
      </c>
      <c r="B363" s="113" t="s">
        <v>109</v>
      </c>
      <c r="C363" s="114" t="s">
        <v>462</v>
      </c>
      <c r="D363" s="113">
        <v>14</v>
      </c>
      <c r="E363" s="113" t="s">
        <v>121</v>
      </c>
      <c r="F363" s="115" t="s">
        <v>955</v>
      </c>
      <c r="G363" s="116" t="s">
        <v>951</v>
      </c>
      <c r="H363" s="116" t="s">
        <v>956</v>
      </c>
      <c r="I363" s="117" t="s">
        <v>113</v>
      </c>
      <c r="J363" s="116" t="s">
        <v>957</v>
      </c>
      <c r="K363" s="116"/>
      <c r="L363" s="118"/>
      <c r="M363" s="118"/>
      <c r="N363" s="119">
        <v>44318</v>
      </c>
      <c r="O363" s="119">
        <v>44682</v>
      </c>
      <c r="P363" s="120">
        <f t="shared" si="99"/>
        <v>0.99726027397260275</v>
      </c>
      <c r="Q363" s="114" t="s">
        <v>31</v>
      </c>
      <c r="R363" s="114">
        <f t="shared" ca="1" si="101"/>
        <v>-5.4712668496116921</v>
      </c>
      <c r="S363" s="114" t="str">
        <f t="shared" ca="1" si="91"/>
        <v>Y</v>
      </c>
      <c r="T363" s="121">
        <v>3</v>
      </c>
      <c r="U363" s="121">
        <v>3</v>
      </c>
      <c r="V363" s="121">
        <v>3</v>
      </c>
      <c r="W363" s="121">
        <f t="shared" si="89"/>
        <v>9</v>
      </c>
      <c r="X363" s="121" t="str">
        <f t="shared" si="90"/>
        <v>Penting</v>
      </c>
      <c r="Y363" s="115"/>
      <c r="Z363" s="125"/>
      <c r="AA363" s="119"/>
      <c r="AB363" s="119"/>
      <c r="AC363" s="119"/>
      <c r="AD363" s="26" t="s">
        <v>125</v>
      </c>
      <c r="AE363" s="122">
        <v>43564</v>
      </c>
      <c r="AF363" s="114" t="s">
        <v>941</v>
      </c>
      <c r="AG363" s="114" t="s">
        <v>119</v>
      </c>
      <c r="AH363" s="26"/>
      <c r="AI363" s="26"/>
      <c r="AJ363" s="26"/>
      <c r="AK363" s="26"/>
      <c r="AL363" s="26"/>
      <c r="AM363" s="26"/>
      <c r="AN363" s="34"/>
      <c r="AO363" s="123">
        <v>44320</v>
      </c>
      <c r="AP363" s="4"/>
      <c r="AQ363" s="4"/>
      <c r="AR363" s="4"/>
      <c r="AS363" s="4"/>
      <c r="AT363" s="4"/>
    </row>
    <row r="364" spans="1:46" s="124" customFormat="1" ht="111.95" customHeight="1" x14ac:dyDescent="0.25">
      <c r="A364" s="113">
        <v>228</v>
      </c>
      <c r="B364" s="113" t="s">
        <v>109</v>
      </c>
      <c r="C364" s="114" t="s">
        <v>462</v>
      </c>
      <c r="D364" s="113">
        <v>15</v>
      </c>
      <c r="E364" s="113" t="s">
        <v>121</v>
      </c>
      <c r="F364" s="115" t="s">
        <v>958</v>
      </c>
      <c r="G364" s="116" t="s">
        <v>937</v>
      </c>
      <c r="H364" s="116" t="s">
        <v>959</v>
      </c>
      <c r="I364" s="117" t="s">
        <v>113</v>
      </c>
      <c r="J364" s="116" t="s">
        <v>960</v>
      </c>
      <c r="K364" s="116"/>
      <c r="L364" s="118">
        <v>37500000</v>
      </c>
      <c r="M364" s="118" t="s">
        <v>961</v>
      </c>
      <c r="N364" s="119">
        <v>44563</v>
      </c>
      <c r="O364" s="119">
        <v>44743</v>
      </c>
      <c r="P364" s="120">
        <f t="shared" si="99"/>
        <v>0.49315068493150682</v>
      </c>
      <c r="Q364" s="114" t="s">
        <v>31</v>
      </c>
      <c r="R364" s="114">
        <f t="shared" ca="1" si="101"/>
        <v>-3.5035249141278215</v>
      </c>
      <c r="S364" s="114" t="str">
        <f t="shared" ca="1" si="91"/>
        <v>Y</v>
      </c>
      <c r="T364" s="121">
        <v>3</v>
      </c>
      <c r="U364" s="121">
        <v>3</v>
      </c>
      <c r="V364" s="121">
        <v>2</v>
      </c>
      <c r="W364" s="121">
        <f t="shared" si="89"/>
        <v>8</v>
      </c>
      <c r="X364" s="121" t="str">
        <f t="shared" si="90"/>
        <v>Penting</v>
      </c>
      <c r="Y364" s="115"/>
      <c r="Z364" s="125"/>
      <c r="AA364" s="119"/>
      <c r="AB364" s="119"/>
      <c r="AC364" s="119"/>
      <c r="AD364" s="26" t="s">
        <v>125</v>
      </c>
      <c r="AE364" s="122">
        <v>43497</v>
      </c>
      <c r="AF364" s="114" t="s">
        <v>941</v>
      </c>
      <c r="AG364" s="114" t="s">
        <v>119</v>
      </c>
      <c r="AH364" s="26"/>
      <c r="AI364" s="26"/>
      <c r="AJ364" s="26"/>
      <c r="AK364" s="26"/>
      <c r="AL364" s="26"/>
      <c r="AM364" s="26"/>
      <c r="AN364" s="34"/>
      <c r="AO364" s="123"/>
      <c r="AP364" s="4"/>
      <c r="AQ364" s="4"/>
      <c r="AR364" s="4"/>
      <c r="AS364" s="4"/>
      <c r="AT364" s="4"/>
    </row>
    <row r="365" spans="1:46" s="124" customFormat="1" ht="111.95" customHeight="1" x14ac:dyDescent="0.25">
      <c r="A365" s="113">
        <v>229</v>
      </c>
      <c r="B365" s="113" t="s">
        <v>109</v>
      </c>
      <c r="C365" s="114" t="s">
        <v>462</v>
      </c>
      <c r="D365" s="113">
        <v>16</v>
      </c>
      <c r="E365" s="113" t="s">
        <v>121</v>
      </c>
      <c r="F365" s="115" t="s">
        <v>962</v>
      </c>
      <c r="G365" s="116" t="s">
        <v>951</v>
      </c>
      <c r="H365" s="116" t="s">
        <v>963</v>
      </c>
      <c r="I365" s="117" t="s">
        <v>113</v>
      </c>
      <c r="J365" s="116" t="s">
        <v>957</v>
      </c>
      <c r="K365" s="116" t="s">
        <v>964</v>
      </c>
      <c r="L365" s="118" t="s">
        <v>269</v>
      </c>
      <c r="M365" s="118"/>
      <c r="N365" s="119">
        <v>44409</v>
      </c>
      <c r="O365" s="119">
        <v>44773</v>
      </c>
      <c r="P365" s="120">
        <f t="shared" si="99"/>
        <v>0.99726027397260275</v>
      </c>
      <c r="Q365" s="114" t="s">
        <v>31</v>
      </c>
      <c r="R365" s="114">
        <f t="shared" ca="1" si="101"/>
        <v>-2.5357829786439505</v>
      </c>
      <c r="S365" s="114" t="str">
        <f t="shared" ca="1" si="91"/>
        <v>Y</v>
      </c>
      <c r="T365" s="121">
        <v>3</v>
      </c>
      <c r="U365" s="121">
        <v>3</v>
      </c>
      <c r="V365" s="121">
        <v>3</v>
      </c>
      <c r="W365" s="121">
        <f t="shared" si="89"/>
        <v>9</v>
      </c>
      <c r="X365" s="121" t="str">
        <f t="shared" si="90"/>
        <v>Penting</v>
      </c>
      <c r="Y365" s="115"/>
      <c r="Z365" s="125"/>
      <c r="AA365" s="119"/>
      <c r="AB365" s="119"/>
      <c r="AC365" s="119"/>
      <c r="AD365" s="26" t="s">
        <v>125</v>
      </c>
      <c r="AE365" s="122">
        <v>43602</v>
      </c>
      <c r="AF365" s="114" t="s">
        <v>941</v>
      </c>
      <c r="AG365" s="114" t="s">
        <v>119</v>
      </c>
      <c r="AH365" s="26"/>
      <c r="AI365" s="26"/>
      <c r="AJ365" s="26"/>
      <c r="AK365" s="26"/>
      <c r="AL365" s="26"/>
      <c r="AM365" s="26"/>
      <c r="AN365" s="34"/>
      <c r="AO365" s="123">
        <v>44440</v>
      </c>
      <c r="AP365" s="4"/>
      <c r="AQ365" s="4"/>
      <c r="AR365" s="4"/>
      <c r="AS365" s="4"/>
      <c r="AT365" s="4"/>
    </row>
    <row r="366" spans="1:46" s="124" customFormat="1" ht="111.95" customHeight="1" x14ac:dyDescent="0.25">
      <c r="A366" s="113">
        <v>230</v>
      </c>
      <c r="B366" s="113" t="s">
        <v>109</v>
      </c>
      <c r="C366" s="114" t="s">
        <v>462</v>
      </c>
      <c r="D366" s="113">
        <v>17</v>
      </c>
      <c r="E366" s="113" t="s">
        <v>121</v>
      </c>
      <c r="F366" s="115" t="s">
        <v>965</v>
      </c>
      <c r="G366" s="116" t="s">
        <v>951</v>
      </c>
      <c r="H366" s="116" t="s">
        <v>966</v>
      </c>
      <c r="I366" s="117" t="s">
        <v>113</v>
      </c>
      <c r="J366" s="116" t="s">
        <v>953</v>
      </c>
      <c r="K366" s="116" t="s">
        <v>967</v>
      </c>
      <c r="L366" s="118">
        <v>1250000</v>
      </c>
      <c r="M366" s="118" t="s">
        <v>968</v>
      </c>
      <c r="N366" s="119">
        <v>44409</v>
      </c>
      <c r="O366" s="119">
        <v>44773</v>
      </c>
      <c r="P366" s="120">
        <f t="shared" si="99"/>
        <v>0.99726027397260275</v>
      </c>
      <c r="Q366" s="114" t="s">
        <v>31</v>
      </c>
      <c r="R366" s="114">
        <f t="shared" ca="1" si="101"/>
        <v>-2.5357829786439505</v>
      </c>
      <c r="S366" s="114" t="str">
        <f t="shared" ca="1" si="91"/>
        <v>Y</v>
      </c>
      <c r="T366" s="121">
        <v>3</v>
      </c>
      <c r="U366" s="121">
        <v>3</v>
      </c>
      <c r="V366" s="121">
        <v>3</v>
      </c>
      <c r="W366" s="121">
        <f t="shared" si="89"/>
        <v>9</v>
      </c>
      <c r="X366" s="121" t="str">
        <f t="shared" si="90"/>
        <v>Penting</v>
      </c>
      <c r="Y366" s="115"/>
      <c r="Z366" s="125"/>
      <c r="AA366" s="119"/>
      <c r="AB366" s="119"/>
      <c r="AC366" s="119"/>
      <c r="AD366" s="26" t="s">
        <v>125</v>
      </c>
      <c r="AE366" s="122">
        <v>43608</v>
      </c>
      <c r="AF366" s="114" t="s">
        <v>941</v>
      </c>
      <c r="AG366" s="114" t="s">
        <v>119</v>
      </c>
      <c r="AH366" s="26"/>
      <c r="AI366" s="26"/>
      <c r="AJ366" s="26"/>
      <c r="AK366" s="26"/>
      <c r="AL366" s="26"/>
      <c r="AM366" s="26"/>
      <c r="AN366" s="34"/>
      <c r="AO366" s="123">
        <v>44454</v>
      </c>
      <c r="AP366" s="4"/>
      <c r="AQ366" s="4"/>
      <c r="AR366" s="4"/>
      <c r="AS366" s="4"/>
      <c r="AT366" s="4"/>
    </row>
    <row r="367" spans="1:46" s="124" customFormat="1" ht="111.95" customHeight="1" x14ac:dyDescent="0.25">
      <c r="A367" s="113">
        <v>231</v>
      </c>
      <c r="B367" s="113" t="s">
        <v>109</v>
      </c>
      <c r="C367" s="114" t="s">
        <v>462</v>
      </c>
      <c r="D367" s="113">
        <v>18</v>
      </c>
      <c r="E367" s="113" t="s">
        <v>121</v>
      </c>
      <c r="F367" s="115" t="s">
        <v>969</v>
      </c>
      <c r="G367" s="116" t="s">
        <v>970</v>
      </c>
      <c r="H367" s="116" t="s">
        <v>971</v>
      </c>
      <c r="I367" s="117" t="s">
        <v>113</v>
      </c>
      <c r="J367" s="116" t="s">
        <v>972</v>
      </c>
      <c r="K367" s="116" t="s">
        <v>973</v>
      </c>
      <c r="L367" s="118"/>
      <c r="M367" s="118"/>
      <c r="N367" s="119">
        <v>44652</v>
      </c>
      <c r="O367" s="119">
        <v>45016</v>
      </c>
      <c r="P367" s="120">
        <f t="shared" si="99"/>
        <v>0.99726027397260275</v>
      </c>
      <c r="Q367" s="114" t="s">
        <v>31</v>
      </c>
      <c r="R367" s="114">
        <f t="shared" ca="1" si="101"/>
        <v>5.302926698775404</v>
      </c>
      <c r="S367" s="114" t="str">
        <f t="shared" ca="1" si="91"/>
        <v>O</v>
      </c>
      <c r="T367" s="121">
        <v>3</v>
      </c>
      <c r="U367" s="121">
        <v>3</v>
      </c>
      <c r="V367" s="121">
        <v>3</v>
      </c>
      <c r="W367" s="121">
        <f t="shared" si="89"/>
        <v>9</v>
      </c>
      <c r="X367" s="121" t="str">
        <f t="shared" si="90"/>
        <v>Penting</v>
      </c>
      <c r="Y367" s="115" t="s">
        <v>816</v>
      </c>
      <c r="Z367" s="125"/>
      <c r="AA367" s="119"/>
      <c r="AB367" s="119"/>
      <c r="AC367" s="119"/>
      <c r="AD367" s="26"/>
      <c r="AE367" s="122"/>
      <c r="AF367" s="114" t="s">
        <v>941</v>
      </c>
      <c r="AG367" s="114" t="s">
        <v>119</v>
      </c>
      <c r="AH367" s="26"/>
      <c r="AI367" s="26"/>
      <c r="AJ367" s="26"/>
      <c r="AK367" s="26"/>
      <c r="AL367" s="26"/>
      <c r="AM367" s="26"/>
      <c r="AN367" s="34" t="s">
        <v>126</v>
      </c>
      <c r="AO367" s="123">
        <v>44658</v>
      </c>
      <c r="AP367" s="4"/>
      <c r="AQ367" s="4"/>
      <c r="AR367" s="4"/>
      <c r="AS367" s="4"/>
      <c r="AT367" s="4"/>
    </row>
    <row r="368" spans="1:46" s="124" customFormat="1" ht="111.95" customHeight="1" x14ac:dyDescent="0.25">
      <c r="A368" s="113">
        <v>232</v>
      </c>
      <c r="B368" s="113" t="s">
        <v>109</v>
      </c>
      <c r="C368" s="114" t="s">
        <v>462</v>
      </c>
      <c r="D368" s="113">
        <v>40</v>
      </c>
      <c r="E368" s="113" t="s">
        <v>121</v>
      </c>
      <c r="F368" s="115" t="s">
        <v>974</v>
      </c>
      <c r="G368" s="116" t="s">
        <v>970</v>
      </c>
      <c r="H368" s="116" t="s">
        <v>975</v>
      </c>
      <c r="I368" s="117" t="s">
        <v>113</v>
      </c>
      <c r="J368" s="116" t="s">
        <v>972</v>
      </c>
      <c r="K368" s="116" t="s">
        <v>976</v>
      </c>
      <c r="L368" s="118" t="s">
        <v>269</v>
      </c>
      <c r="M368" s="118"/>
      <c r="N368" s="119">
        <v>44582</v>
      </c>
      <c r="O368" s="119">
        <v>44946</v>
      </c>
      <c r="P368" s="120">
        <f t="shared" si="99"/>
        <v>0.99726027397260275</v>
      </c>
      <c r="Q368" s="114" t="s">
        <v>31</v>
      </c>
      <c r="R368" s="114">
        <f t="shared" ca="1" si="101"/>
        <v>3.044862182646372</v>
      </c>
      <c r="S368" s="114" t="str">
        <f t="shared" ca="1" si="91"/>
        <v>O</v>
      </c>
      <c r="T368" s="121">
        <v>3</v>
      </c>
      <c r="U368" s="121">
        <v>3</v>
      </c>
      <c r="V368" s="121">
        <v>3</v>
      </c>
      <c r="W368" s="121">
        <f t="shared" si="89"/>
        <v>9</v>
      </c>
      <c r="X368" s="121" t="str">
        <f t="shared" si="90"/>
        <v>Penting</v>
      </c>
      <c r="Y368" s="115"/>
      <c r="Z368" s="125"/>
      <c r="AA368" s="119"/>
      <c r="AB368" s="119"/>
      <c r="AC368" s="119"/>
      <c r="AD368" s="26" t="s">
        <v>125</v>
      </c>
      <c r="AE368" s="122">
        <v>43608</v>
      </c>
      <c r="AF368" s="114" t="s">
        <v>941</v>
      </c>
      <c r="AG368" s="114" t="s">
        <v>119</v>
      </c>
      <c r="AH368" s="26"/>
      <c r="AI368" s="26"/>
      <c r="AJ368" s="26"/>
      <c r="AK368" s="26"/>
      <c r="AL368" s="26"/>
      <c r="AM368" s="26"/>
      <c r="AN368" s="34"/>
      <c r="AO368" s="123"/>
      <c r="AP368" s="132" t="s">
        <v>977</v>
      </c>
      <c r="AQ368" s="4"/>
      <c r="AR368" s="4"/>
      <c r="AS368" s="4"/>
      <c r="AT368" s="4"/>
    </row>
    <row r="369" spans="1:46" s="124" customFormat="1" ht="111.95" customHeight="1" x14ac:dyDescent="0.25">
      <c r="A369" s="113">
        <v>233</v>
      </c>
      <c r="B369" s="113" t="s">
        <v>109</v>
      </c>
      <c r="C369" s="114" t="s">
        <v>441</v>
      </c>
      <c r="D369" s="113">
        <v>39</v>
      </c>
      <c r="E369" s="113" t="s">
        <v>121</v>
      </c>
      <c r="F369" s="115" t="s">
        <v>978</v>
      </c>
      <c r="G369" s="116" t="s">
        <v>979</v>
      </c>
      <c r="H369" s="116" t="s">
        <v>980</v>
      </c>
      <c r="I369" s="117" t="s">
        <v>113</v>
      </c>
      <c r="J369" s="116" t="s">
        <v>981</v>
      </c>
      <c r="K369" s="116" t="s">
        <v>982</v>
      </c>
      <c r="L369" s="118" t="s">
        <v>269</v>
      </c>
      <c r="M369" s="118"/>
      <c r="N369" s="119">
        <v>44577</v>
      </c>
      <c r="O369" s="119">
        <v>44941</v>
      </c>
      <c r="P369" s="120">
        <f t="shared" si="99"/>
        <v>0.99726027397260275</v>
      </c>
      <c r="Q369" s="114" t="s">
        <v>31</v>
      </c>
      <c r="R369" s="114">
        <f t="shared" ca="1" si="101"/>
        <v>2.883571860065727</v>
      </c>
      <c r="S369" s="114" t="str">
        <f t="shared" ca="1" si="91"/>
        <v>O</v>
      </c>
      <c r="T369" s="121">
        <v>3</v>
      </c>
      <c r="U369" s="121">
        <v>3</v>
      </c>
      <c r="V369" s="121">
        <v>3</v>
      </c>
      <c r="W369" s="121">
        <f t="shared" si="89"/>
        <v>9</v>
      </c>
      <c r="X369" s="121" t="str">
        <f t="shared" si="90"/>
        <v>Penting</v>
      </c>
      <c r="Y369" s="115"/>
      <c r="Z369" s="125"/>
      <c r="AA369" s="119"/>
      <c r="AB369" s="119"/>
      <c r="AC369" s="119"/>
      <c r="AD369" s="26" t="s">
        <v>125</v>
      </c>
      <c r="AE369" s="122">
        <v>44576</v>
      </c>
      <c r="AF369" s="114" t="s">
        <v>941</v>
      </c>
      <c r="AG369" s="114" t="s">
        <v>119</v>
      </c>
      <c r="AH369" s="26"/>
      <c r="AI369" s="26"/>
      <c r="AJ369" s="26"/>
      <c r="AK369" s="26"/>
      <c r="AL369" s="26"/>
      <c r="AM369" s="26"/>
      <c r="AN369" s="34" t="s">
        <v>126</v>
      </c>
      <c r="AO369" s="123"/>
      <c r="AP369" s="132"/>
      <c r="AQ369" s="4"/>
      <c r="AR369" s="4"/>
      <c r="AS369" s="4"/>
      <c r="AT369" s="4"/>
    </row>
    <row r="370" spans="1:46" s="124" customFormat="1" ht="111.95" customHeight="1" x14ac:dyDescent="0.25">
      <c r="A370" s="113">
        <v>234</v>
      </c>
      <c r="B370" s="113"/>
      <c r="C370" s="114"/>
      <c r="D370" s="113"/>
      <c r="E370" s="113"/>
      <c r="F370" s="115"/>
      <c r="G370" s="116"/>
      <c r="H370" s="116" t="s">
        <v>983</v>
      </c>
      <c r="I370" s="117"/>
      <c r="J370" s="116"/>
      <c r="K370" s="116"/>
      <c r="L370" s="118"/>
      <c r="M370" s="118"/>
      <c r="N370" s="119"/>
      <c r="O370" s="119"/>
      <c r="P370" s="120"/>
      <c r="Q370" s="114" t="s">
        <v>31</v>
      </c>
      <c r="R370" s="114" t="s">
        <v>18</v>
      </c>
      <c r="S370" s="114" t="str">
        <f t="shared" si="91"/>
        <v>C</v>
      </c>
      <c r="T370" s="121">
        <v>3</v>
      </c>
      <c r="U370" s="121">
        <v>3</v>
      </c>
      <c r="V370" s="121">
        <v>3</v>
      </c>
      <c r="W370" s="121">
        <f t="shared" si="89"/>
        <v>9</v>
      </c>
      <c r="X370" s="121" t="str">
        <f t="shared" si="90"/>
        <v>Penting</v>
      </c>
      <c r="Y370" s="115"/>
      <c r="Z370" s="115"/>
      <c r="AA370" s="119"/>
      <c r="AB370" s="119"/>
      <c r="AC370" s="119"/>
      <c r="AD370" s="26" t="s">
        <v>18</v>
      </c>
      <c r="AE370" s="122">
        <v>43892</v>
      </c>
      <c r="AF370" s="114" t="s">
        <v>941</v>
      </c>
      <c r="AG370" s="114"/>
      <c r="AH370" s="26"/>
      <c r="AI370" s="26"/>
      <c r="AJ370" s="26"/>
      <c r="AK370" s="26"/>
      <c r="AL370" s="26"/>
      <c r="AM370" s="26"/>
      <c r="AN370" s="26"/>
      <c r="AO370" s="123"/>
      <c r="AP370" s="4"/>
      <c r="AQ370" s="4"/>
      <c r="AR370" s="4"/>
      <c r="AS370" s="4"/>
      <c r="AT370" s="4"/>
    </row>
    <row r="371" spans="1:46" s="124" customFormat="1" ht="111.95" customHeight="1" x14ac:dyDescent="0.25">
      <c r="A371" s="113">
        <v>235</v>
      </c>
      <c r="B371" s="113" t="s">
        <v>109</v>
      </c>
      <c r="C371" s="114" t="s">
        <v>441</v>
      </c>
      <c r="D371" s="113">
        <v>45</v>
      </c>
      <c r="E371" s="113" t="s">
        <v>121</v>
      </c>
      <c r="F371" s="115" t="s">
        <v>984</v>
      </c>
      <c r="G371" s="116" t="s">
        <v>979</v>
      </c>
      <c r="H371" s="116" t="s">
        <v>985</v>
      </c>
      <c r="I371" s="117" t="s">
        <v>113</v>
      </c>
      <c r="J371" s="116" t="s">
        <v>981</v>
      </c>
      <c r="K371" s="116" t="s">
        <v>986</v>
      </c>
      <c r="L371" s="118" t="s">
        <v>269</v>
      </c>
      <c r="M371" s="118"/>
      <c r="N371" s="119">
        <v>44608</v>
      </c>
      <c r="O371" s="119">
        <v>44972</v>
      </c>
      <c r="P371" s="120">
        <f t="shared" ref="P371:P372" si="102">(O371-N371)/365</f>
        <v>0.99726027397260275</v>
      </c>
      <c r="Q371" s="114" t="s">
        <v>31</v>
      </c>
      <c r="R371" s="114">
        <f t="shared" ref="R371:R402" ca="1" si="103">(O371-NOW()+1)/31</f>
        <v>3.883571860065727</v>
      </c>
      <c r="S371" s="114" t="str">
        <f t="shared" ca="1" si="91"/>
        <v>O</v>
      </c>
      <c r="T371" s="121">
        <v>3</v>
      </c>
      <c r="U371" s="121">
        <v>3</v>
      </c>
      <c r="V371" s="121">
        <v>3</v>
      </c>
      <c r="W371" s="121">
        <f t="shared" si="89"/>
        <v>9</v>
      </c>
      <c r="X371" s="121" t="str">
        <f t="shared" si="90"/>
        <v>Penting</v>
      </c>
      <c r="Y371" s="115"/>
      <c r="Z371" s="115"/>
      <c r="AA371" s="119"/>
      <c r="AB371" s="119"/>
      <c r="AC371" s="119"/>
      <c r="AD371" s="26" t="s">
        <v>125</v>
      </c>
      <c r="AE371" s="122">
        <v>44630</v>
      </c>
      <c r="AF371" s="114" t="s">
        <v>941</v>
      </c>
      <c r="AG371" s="114" t="s">
        <v>119</v>
      </c>
      <c r="AH371" s="26"/>
      <c r="AI371" s="26"/>
      <c r="AJ371" s="26"/>
      <c r="AK371" s="26"/>
      <c r="AL371" s="26"/>
      <c r="AM371" s="26"/>
      <c r="AN371" s="34" t="s">
        <v>126</v>
      </c>
      <c r="AO371" s="123"/>
      <c r="AP371" s="4"/>
      <c r="AQ371" s="4"/>
      <c r="AR371" s="4"/>
      <c r="AS371" s="4"/>
      <c r="AT371" s="4"/>
    </row>
    <row r="372" spans="1:46" s="124" customFormat="1" ht="111.95" customHeight="1" x14ac:dyDescent="0.25">
      <c r="A372" s="113"/>
      <c r="B372" s="113" t="s">
        <v>109</v>
      </c>
      <c r="C372" s="114" t="s">
        <v>441</v>
      </c>
      <c r="D372" s="113">
        <v>46</v>
      </c>
      <c r="E372" s="113" t="s">
        <v>121</v>
      </c>
      <c r="F372" s="115" t="s">
        <v>987</v>
      </c>
      <c r="G372" s="116" t="s">
        <v>979</v>
      </c>
      <c r="H372" s="116" t="s">
        <v>988</v>
      </c>
      <c r="I372" s="117" t="s">
        <v>113</v>
      </c>
      <c r="J372" s="116" t="s">
        <v>981</v>
      </c>
      <c r="K372" s="116" t="s">
        <v>989</v>
      </c>
      <c r="L372" s="118" t="s">
        <v>269</v>
      </c>
      <c r="M372" s="118"/>
      <c r="N372" s="119">
        <v>44608</v>
      </c>
      <c r="O372" s="119">
        <v>44972</v>
      </c>
      <c r="P372" s="120">
        <f t="shared" si="102"/>
        <v>0.99726027397260275</v>
      </c>
      <c r="Q372" s="114" t="s">
        <v>31</v>
      </c>
      <c r="R372" s="114">
        <f t="shared" ca="1" si="103"/>
        <v>3.883571860065727</v>
      </c>
      <c r="S372" s="114" t="str">
        <f t="shared" ca="1" si="91"/>
        <v>O</v>
      </c>
      <c r="T372" s="121">
        <v>3</v>
      </c>
      <c r="U372" s="121">
        <v>3</v>
      </c>
      <c r="V372" s="121">
        <v>3</v>
      </c>
      <c r="W372" s="121">
        <f t="shared" si="89"/>
        <v>9</v>
      </c>
      <c r="X372" s="121" t="str">
        <f t="shared" si="90"/>
        <v>Penting</v>
      </c>
      <c r="Y372" s="115"/>
      <c r="Z372" s="115"/>
      <c r="AA372" s="119"/>
      <c r="AB372" s="119"/>
      <c r="AC372" s="119"/>
      <c r="AD372" s="26" t="s">
        <v>125</v>
      </c>
      <c r="AE372" s="122">
        <v>44630</v>
      </c>
      <c r="AF372" s="114" t="s">
        <v>941</v>
      </c>
      <c r="AG372" s="114" t="s">
        <v>119</v>
      </c>
      <c r="AH372" s="26"/>
      <c r="AI372" s="26"/>
      <c r="AJ372" s="26"/>
      <c r="AK372" s="26"/>
      <c r="AL372" s="26"/>
      <c r="AM372" s="26"/>
      <c r="AN372" s="34" t="s">
        <v>126</v>
      </c>
      <c r="AO372" s="123"/>
      <c r="AP372" s="4"/>
      <c r="AQ372" s="4"/>
      <c r="AR372" s="4"/>
      <c r="AS372" s="4"/>
      <c r="AT372" s="4"/>
    </row>
    <row r="373" spans="1:46" s="124" customFormat="1" ht="111.95" customHeight="1" x14ac:dyDescent="0.25">
      <c r="A373" s="113">
        <v>236</v>
      </c>
      <c r="B373" s="113" t="s">
        <v>109</v>
      </c>
      <c r="C373" s="114" t="s">
        <v>462</v>
      </c>
      <c r="D373" s="113">
        <v>21</v>
      </c>
      <c r="E373" s="113" t="s">
        <v>121</v>
      </c>
      <c r="F373" s="115" t="s">
        <v>990</v>
      </c>
      <c r="G373" s="116" t="s">
        <v>312</v>
      </c>
      <c r="H373" s="116" t="s">
        <v>991</v>
      </c>
      <c r="I373" s="117" t="s">
        <v>113</v>
      </c>
      <c r="J373" s="116" t="s">
        <v>992</v>
      </c>
      <c r="K373" s="116"/>
      <c r="L373" s="118" t="s">
        <v>269</v>
      </c>
      <c r="M373" s="118"/>
      <c r="N373" s="119">
        <v>44378</v>
      </c>
      <c r="O373" s="119">
        <v>44742</v>
      </c>
      <c r="P373" s="120">
        <f t="shared" si="99"/>
        <v>0.99726027397260275</v>
      </c>
      <c r="Q373" s="114" t="s">
        <v>37</v>
      </c>
      <c r="R373" s="114">
        <f t="shared" ca="1" si="103"/>
        <v>-3.5357829786439505</v>
      </c>
      <c r="S373" s="114" t="str">
        <f t="shared" ca="1" si="91"/>
        <v>Y</v>
      </c>
      <c r="T373" s="121">
        <v>3</v>
      </c>
      <c r="U373" s="121">
        <v>3</v>
      </c>
      <c r="V373" s="121">
        <v>3</v>
      </c>
      <c r="W373" s="121">
        <f t="shared" si="89"/>
        <v>9</v>
      </c>
      <c r="X373" s="121" t="str">
        <f t="shared" si="90"/>
        <v>Penting</v>
      </c>
      <c r="Y373" s="115" t="s">
        <v>552</v>
      </c>
      <c r="Z373" s="125"/>
      <c r="AA373" s="119"/>
      <c r="AB373" s="119"/>
      <c r="AC373" s="119"/>
      <c r="AD373" s="26"/>
      <c r="AE373" s="122"/>
      <c r="AF373" s="114" t="s">
        <v>626</v>
      </c>
      <c r="AG373" s="114" t="s">
        <v>119</v>
      </c>
      <c r="AH373" s="26"/>
      <c r="AI373" s="26"/>
      <c r="AJ373" s="26"/>
      <c r="AK373" s="26"/>
      <c r="AL373" s="26"/>
      <c r="AM373" s="26"/>
      <c r="AN373" s="34"/>
      <c r="AO373" s="123">
        <v>44407</v>
      </c>
      <c r="AP373" s="4"/>
      <c r="AQ373" s="4"/>
      <c r="AR373" s="4"/>
      <c r="AS373" s="4"/>
      <c r="AT373" s="4"/>
    </row>
    <row r="374" spans="1:46" s="124" customFormat="1" ht="111.95" customHeight="1" x14ac:dyDescent="0.25">
      <c r="A374" s="113">
        <v>237</v>
      </c>
      <c r="B374" s="113" t="s">
        <v>109</v>
      </c>
      <c r="C374" s="114" t="s">
        <v>462</v>
      </c>
      <c r="D374" s="113">
        <v>22</v>
      </c>
      <c r="E374" s="113" t="s">
        <v>121</v>
      </c>
      <c r="F374" s="115" t="s">
        <v>993</v>
      </c>
      <c r="G374" s="116" t="s">
        <v>312</v>
      </c>
      <c r="H374" s="116" t="s">
        <v>994</v>
      </c>
      <c r="I374" s="117" t="s">
        <v>113</v>
      </c>
      <c r="J374" s="116" t="s">
        <v>992</v>
      </c>
      <c r="K374" s="116"/>
      <c r="L374" s="118" t="s">
        <v>269</v>
      </c>
      <c r="M374" s="118"/>
      <c r="N374" s="119">
        <v>44378</v>
      </c>
      <c r="O374" s="119">
        <v>44742</v>
      </c>
      <c r="P374" s="120">
        <f t="shared" si="99"/>
        <v>0.99726027397260275</v>
      </c>
      <c r="Q374" s="114" t="s">
        <v>37</v>
      </c>
      <c r="R374" s="114">
        <f t="shared" ca="1" si="103"/>
        <v>-3.5357829786439505</v>
      </c>
      <c r="S374" s="114" t="str">
        <f t="shared" ca="1" si="91"/>
        <v>Y</v>
      </c>
      <c r="T374" s="121">
        <v>3</v>
      </c>
      <c r="U374" s="121">
        <v>3</v>
      </c>
      <c r="V374" s="121">
        <v>3</v>
      </c>
      <c r="W374" s="121">
        <f t="shared" si="89"/>
        <v>9</v>
      </c>
      <c r="X374" s="121" t="str">
        <f t="shared" si="90"/>
        <v>Penting</v>
      </c>
      <c r="Y374" s="115" t="s">
        <v>552</v>
      </c>
      <c r="Z374" s="125"/>
      <c r="AA374" s="119"/>
      <c r="AB374" s="119"/>
      <c r="AC374" s="119"/>
      <c r="AD374" s="26"/>
      <c r="AE374" s="122"/>
      <c r="AF374" s="114" t="s">
        <v>626</v>
      </c>
      <c r="AG374" s="114" t="s">
        <v>119</v>
      </c>
      <c r="AH374" s="26"/>
      <c r="AI374" s="26"/>
      <c r="AJ374" s="26"/>
      <c r="AK374" s="26"/>
      <c r="AL374" s="26"/>
      <c r="AM374" s="26"/>
      <c r="AN374" s="34"/>
      <c r="AO374" s="123">
        <v>44407</v>
      </c>
      <c r="AP374" s="4"/>
      <c r="AQ374" s="4"/>
      <c r="AR374" s="4"/>
      <c r="AS374" s="4"/>
      <c r="AT374" s="4"/>
    </row>
    <row r="375" spans="1:46" s="124" customFormat="1" ht="111.95" customHeight="1" x14ac:dyDescent="0.25">
      <c r="A375" s="113">
        <v>238</v>
      </c>
      <c r="B375" s="113" t="s">
        <v>109</v>
      </c>
      <c r="C375" s="114" t="s">
        <v>462</v>
      </c>
      <c r="D375" s="113">
        <v>23</v>
      </c>
      <c r="E375" s="113" t="s">
        <v>121</v>
      </c>
      <c r="F375" s="115" t="s">
        <v>995</v>
      </c>
      <c r="G375" s="116" t="s">
        <v>312</v>
      </c>
      <c r="H375" s="116" t="s">
        <v>996</v>
      </c>
      <c r="I375" s="117" t="s">
        <v>113</v>
      </c>
      <c r="J375" s="116" t="s">
        <v>992</v>
      </c>
      <c r="K375" s="116"/>
      <c r="L375" s="118" t="s">
        <v>269</v>
      </c>
      <c r="M375" s="118"/>
      <c r="N375" s="119">
        <v>44378</v>
      </c>
      <c r="O375" s="119">
        <v>44742</v>
      </c>
      <c r="P375" s="120">
        <f t="shared" si="99"/>
        <v>0.99726027397260275</v>
      </c>
      <c r="Q375" s="114" t="s">
        <v>37</v>
      </c>
      <c r="R375" s="114">
        <f t="shared" ca="1" si="103"/>
        <v>-3.5357829786439505</v>
      </c>
      <c r="S375" s="114" t="str">
        <f t="shared" ca="1" si="91"/>
        <v>Y</v>
      </c>
      <c r="T375" s="121">
        <v>3</v>
      </c>
      <c r="U375" s="121">
        <v>3</v>
      </c>
      <c r="V375" s="121">
        <v>3</v>
      </c>
      <c r="W375" s="121">
        <f t="shared" si="89"/>
        <v>9</v>
      </c>
      <c r="X375" s="121" t="str">
        <f t="shared" si="90"/>
        <v>Penting</v>
      </c>
      <c r="Y375" s="115" t="s">
        <v>552</v>
      </c>
      <c r="Z375" s="125"/>
      <c r="AA375" s="119"/>
      <c r="AB375" s="119"/>
      <c r="AC375" s="119"/>
      <c r="AD375" s="26"/>
      <c r="AE375" s="122"/>
      <c r="AF375" s="114" t="s">
        <v>626</v>
      </c>
      <c r="AG375" s="114" t="s">
        <v>119</v>
      </c>
      <c r="AH375" s="26"/>
      <c r="AI375" s="26"/>
      <c r="AJ375" s="26"/>
      <c r="AK375" s="26"/>
      <c r="AL375" s="26"/>
      <c r="AM375" s="26"/>
      <c r="AN375" s="34"/>
      <c r="AO375" s="123">
        <v>44407</v>
      </c>
      <c r="AP375" s="4"/>
      <c r="AQ375" s="4"/>
      <c r="AR375" s="4"/>
      <c r="AS375" s="4"/>
      <c r="AT375" s="4"/>
    </row>
    <row r="376" spans="1:46" s="124" customFormat="1" ht="111.95" customHeight="1" x14ac:dyDescent="0.25">
      <c r="A376" s="113">
        <v>239</v>
      </c>
      <c r="B376" s="113" t="s">
        <v>109</v>
      </c>
      <c r="C376" s="114" t="s">
        <v>462</v>
      </c>
      <c r="D376" s="113">
        <v>24</v>
      </c>
      <c r="E376" s="113" t="s">
        <v>121</v>
      </c>
      <c r="F376" s="115" t="s">
        <v>997</v>
      </c>
      <c r="G376" s="116" t="s">
        <v>312</v>
      </c>
      <c r="H376" s="116" t="s">
        <v>998</v>
      </c>
      <c r="I376" s="117" t="s">
        <v>113</v>
      </c>
      <c r="J376" s="116" t="s">
        <v>992</v>
      </c>
      <c r="K376" s="116"/>
      <c r="L376" s="118" t="s">
        <v>269</v>
      </c>
      <c r="M376" s="118"/>
      <c r="N376" s="119">
        <v>44378</v>
      </c>
      <c r="O376" s="119">
        <v>44742</v>
      </c>
      <c r="P376" s="120">
        <f t="shared" si="99"/>
        <v>0.99726027397260275</v>
      </c>
      <c r="Q376" s="114" t="s">
        <v>37</v>
      </c>
      <c r="R376" s="114">
        <f t="shared" ca="1" si="103"/>
        <v>-3.5357829786439505</v>
      </c>
      <c r="S376" s="114" t="str">
        <f t="shared" ca="1" si="91"/>
        <v>Y</v>
      </c>
      <c r="T376" s="121">
        <v>3</v>
      </c>
      <c r="U376" s="121">
        <v>3</v>
      </c>
      <c r="V376" s="121">
        <v>3</v>
      </c>
      <c r="W376" s="121">
        <f t="shared" si="89"/>
        <v>9</v>
      </c>
      <c r="X376" s="121" t="str">
        <f t="shared" si="90"/>
        <v>Penting</v>
      </c>
      <c r="Y376" s="115" t="s">
        <v>552</v>
      </c>
      <c r="Z376" s="125"/>
      <c r="AA376" s="119"/>
      <c r="AB376" s="119"/>
      <c r="AC376" s="119"/>
      <c r="AD376" s="26"/>
      <c r="AE376" s="122"/>
      <c r="AF376" s="114" t="s">
        <v>626</v>
      </c>
      <c r="AG376" s="114" t="s">
        <v>119</v>
      </c>
      <c r="AH376" s="26"/>
      <c r="AI376" s="26"/>
      <c r="AJ376" s="26"/>
      <c r="AK376" s="26"/>
      <c r="AL376" s="26"/>
      <c r="AM376" s="26"/>
      <c r="AN376" s="34"/>
      <c r="AO376" s="123">
        <v>44407</v>
      </c>
      <c r="AP376" s="4"/>
      <c r="AQ376" s="4"/>
      <c r="AR376" s="4"/>
      <c r="AS376" s="4"/>
      <c r="AT376" s="4"/>
    </row>
    <row r="377" spans="1:46" s="124" customFormat="1" ht="111.75" customHeight="1" x14ac:dyDescent="0.25">
      <c r="A377" s="113">
        <v>240</v>
      </c>
      <c r="B377" s="113" t="s">
        <v>109</v>
      </c>
      <c r="C377" s="114" t="s">
        <v>120</v>
      </c>
      <c r="D377" s="113">
        <v>39</v>
      </c>
      <c r="E377" s="113" t="s">
        <v>121</v>
      </c>
      <c r="F377" s="115" t="s">
        <v>423</v>
      </c>
      <c r="G377" s="116" t="s">
        <v>312</v>
      </c>
      <c r="H377" s="116" t="s">
        <v>424</v>
      </c>
      <c r="I377" s="117" t="s">
        <v>113</v>
      </c>
      <c r="J377" s="116" t="s">
        <v>425</v>
      </c>
      <c r="K377" s="116" t="s">
        <v>426</v>
      </c>
      <c r="L377" s="118" t="s">
        <v>427</v>
      </c>
      <c r="M377" s="118"/>
      <c r="N377" s="119">
        <v>44378</v>
      </c>
      <c r="O377" s="119">
        <v>44742</v>
      </c>
      <c r="P377" s="120">
        <f t="shared" si="99"/>
        <v>0.99726027397260275</v>
      </c>
      <c r="Q377" s="114" t="s">
        <v>37</v>
      </c>
      <c r="R377" s="114">
        <f t="shared" ca="1" si="103"/>
        <v>-3.5357829786439505</v>
      </c>
      <c r="S377" s="114" t="str">
        <f ca="1">IF(R377="End","Z",IF(R377="Cancel","C",IF(SUM(R377)&gt;0,"O",IF(ISBLANK(R377),"X",IF(SUM(R377)&lt;0,"Y",IF(SUM(R377),"-","O"))))))</f>
        <v>Y</v>
      </c>
      <c r="T377" s="121">
        <v>2</v>
      </c>
      <c r="U377" s="121">
        <v>2</v>
      </c>
      <c r="V377" s="121">
        <v>2</v>
      </c>
      <c r="W377" s="121">
        <f t="shared" si="89"/>
        <v>6</v>
      </c>
      <c r="X377" s="121" t="str">
        <f t="shared" si="90"/>
        <v>Penting</v>
      </c>
      <c r="Y377" s="115" t="s">
        <v>552</v>
      </c>
      <c r="Z377" s="125"/>
      <c r="AA377" s="119"/>
      <c r="AB377" s="119"/>
      <c r="AC377" s="119"/>
      <c r="AD377" s="26"/>
      <c r="AE377" s="122"/>
      <c r="AF377" s="114" t="s">
        <v>428</v>
      </c>
      <c r="AG377" s="114" t="s">
        <v>119</v>
      </c>
      <c r="AH377" s="26"/>
      <c r="AI377" s="26"/>
      <c r="AJ377" s="26"/>
      <c r="AK377" s="26"/>
      <c r="AL377" s="26"/>
      <c r="AM377" s="26"/>
      <c r="AN377" s="34"/>
      <c r="AO377" s="123">
        <v>43991</v>
      </c>
      <c r="AP377" s="4"/>
      <c r="AQ377" s="4"/>
      <c r="AR377" s="4"/>
      <c r="AS377" s="4"/>
      <c r="AT377" s="4"/>
    </row>
    <row r="378" spans="1:46" s="124" customFormat="1" ht="111.95" customHeight="1" x14ac:dyDescent="0.25">
      <c r="A378" s="113">
        <v>241</v>
      </c>
      <c r="B378" s="113" t="s">
        <v>109</v>
      </c>
      <c r="C378" s="114" t="s">
        <v>120</v>
      </c>
      <c r="D378" s="113">
        <v>31</v>
      </c>
      <c r="E378" s="113" t="s">
        <v>121</v>
      </c>
      <c r="F378" s="115" t="s">
        <v>379</v>
      </c>
      <c r="G378" s="116" t="s">
        <v>312</v>
      </c>
      <c r="H378" s="116" t="s">
        <v>380</v>
      </c>
      <c r="I378" s="117" t="s">
        <v>113</v>
      </c>
      <c r="J378" s="116" t="s">
        <v>381</v>
      </c>
      <c r="K378" s="116" t="s">
        <v>382</v>
      </c>
      <c r="L378" s="118" t="s">
        <v>269</v>
      </c>
      <c r="M378" s="118"/>
      <c r="N378" s="119">
        <v>44378</v>
      </c>
      <c r="O378" s="119">
        <v>44742</v>
      </c>
      <c r="P378" s="120">
        <f t="shared" si="99"/>
        <v>0.99726027397260275</v>
      </c>
      <c r="Q378" s="114" t="s">
        <v>37</v>
      </c>
      <c r="R378" s="114">
        <f t="shared" ca="1" si="103"/>
        <v>-3.5357829786439505</v>
      </c>
      <c r="S378" s="114" t="str">
        <f t="shared" ca="1" si="91"/>
        <v>Y</v>
      </c>
      <c r="T378" s="121">
        <v>3</v>
      </c>
      <c r="U378" s="121">
        <v>3</v>
      </c>
      <c r="V378" s="121">
        <v>3</v>
      </c>
      <c r="W378" s="121">
        <f t="shared" si="89"/>
        <v>9</v>
      </c>
      <c r="X378" s="121" t="str">
        <f t="shared" si="90"/>
        <v>Penting</v>
      </c>
      <c r="Y378" s="115" t="s">
        <v>552</v>
      </c>
      <c r="Z378" s="125"/>
      <c r="AA378" s="119"/>
      <c r="AB378" s="119"/>
      <c r="AC378" s="119"/>
      <c r="AD378" s="26"/>
      <c r="AE378" s="122"/>
      <c r="AF378" s="114" t="s">
        <v>383</v>
      </c>
      <c r="AG378" s="114" t="s">
        <v>119</v>
      </c>
      <c r="AH378" s="26"/>
      <c r="AI378" s="26"/>
      <c r="AJ378" s="26"/>
      <c r="AK378" s="26"/>
      <c r="AL378" s="26"/>
      <c r="AM378" s="26"/>
      <c r="AN378" s="34"/>
      <c r="AO378" s="123">
        <v>44407</v>
      </c>
      <c r="AP378" s="4"/>
      <c r="AQ378" s="4"/>
      <c r="AR378" s="4"/>
      <c r="AS378" s="4"/>
      <c r="AT378" s="4"/>
    </row>
    <row r="379" spans="1:46" s="124" customFormat="1" ht="111.95" customHeight="1" x14ac:dyDescent="0.25">
      <c r="A379" s="113">
        <v>242</v>
      </c>
      <c r="B379" s="113" t="s">
        <v>109</v>
      </c>
      <c r="C379" s="114" t="s">
        <v>462</v>
      </c>
      <c r="D379" s="113">
        <v>25</v>
      </c>
      <c r="E379" s="113" t="s">
        <v>121</v>
      </c>
      <c r="F379" s="115" t="s">
        <v>999</v>
      </c>
      <c r="G379" s="116" t="s">
        <v>312</v>
      </c>
      <c r="H379" s="116" t="s">
        <v>1000</v>
      </c>
      <c r="I379" s="117" t="s">
        <v>113</v>
      </c>
      <c r="J379" s="116" t="s">
        <v>1001</v>
      </c>
      <c r="K379" s="116" t="s">
        <v>1002</v>
      </c>
      <c r="L379" s="118" t="s">
        <v>269</v>
      </c>
      <c r="M379" s="118"/>
      <c r="N379" s="119">
        <v>44378</v>
      </c>
      <c r="O379" s="119">
        <v>44742</v>
      </c>
      <c r="P379" s="120">
        <f t="shared" si="99"/>
        <v>0.99726027397260275</v>
      </c>
      <c r="Q379" s="114" t="s">
        <v>37</v>
      </c>
      <c r="R379" s="114">
        <f t="shared" ca="1" si="103"/>
        <v>-3.5357829786439505</v>
      </c>
      <c r="S379" s="114" t="str">
        <f t="shared" ca="1" si="91"/>
        <v>Y</v>
      </c>
      <c r="T379" s="121">
        <v>2</v>
      </c>
      <c r="U379" s="121">
        <v>2</v>
      </c>
      <c r="V379" s="121">
        <v>2</v>
      </c>
      <c r="W379" s="121">
        <f t="shared" si="89"/>
        <v>6</v>
      </c>
      <c r="X379" s="121" t="str">
        <f t="shared" si="90"/>
        <v>Penting</v>
      </c>
      <c r="Y379" s="115"/>
      <c r="Z379" s="125"/>
      <c r="AA379" s="119"/>
      <c r="AB379" s="119"/>
      <c r="AC379" s="119"/>
      <c r="AD379" s="26"/>
      <c r="AE379" s="122"/>
      <c r="AF379" s="114" t="s">
        <v>626</v>
      </c>
      <c r="AG379" s="114" t="s">
        <v>119</v>
      </c>
      <c r="AH379" s="26"/>
      <c r="AI379" s="26"/>
      <c r="AJ379" s="26"/>
      <c r="AK379" s="26"/>
      <c r="AL379" s="26"/>
      <c r="AM379" s="26"/>
      <c r="AN379" s="34"/>
      <c r="AO379" s="123">
        <v>44407</v>
      </c>
      <c r="AP379" s="4"/>
      <c r="AQ379" s="4"/>
      <c r="AR379" s="4"/>
      <c r="AS379" s="4"/>
      <c r="AT379" s="4"/>
    </row>
    <row r="380" spans="1:46" s="124" customFormat="1" ht="111.95" customHeight="1" x14ac:dyDescent="0.25">
      <c r="A380" s="113">
        <v>243</v>
      </c>
      <c r="B380" s="113" t="s">
        <v>109</v>
      </c>
      <c r="C380" s="114" t="s">
        <v>462</v>
      </c>
      <c r="D380" s="113">
        <v>28</v>
      </c>
      <c r="E380" s="113" t="s">
        <v>121</v>
      </c>
      <c r="F380" s="115" t="s">
        <v>1003</v>
      </c>
      <c r="G380" s="116" t="s">
        <v>312</v>
      </c>
      <c r="H380" s="116" t="s">
        <v>1004</v>
      </c>
      <c r="I380" s="117" t="s">
        <v>113</v>
      </c>
      <c r="J380" s="116" t="s">
        <v>1005</v>
      </c>
      <c r="K380" s="116" t="s">
        <v>1006</v>
      </c>
      <c r="L380" s="118" t="s">
        <v>269</v>
      </c>
      <c r="M380" s="118"/>
      <c r="N380" s="119">
        <v>44378</v>
      </c>
      <c r="O380" s="119">
        <v>44742</v>
      </c>
      <c r="P380" s="120">
        <f t="shared" si="99"/>
        <v>0.99726027397260275</v>
      </c>
      <c r="Q380" s="114" t="s">
        <v>37</v>
      </c>
      <c r="R380" s="114">
        <f t="shared" ca="1" si="103"/>
        <v>-3.5357829786439505</v>
      </c>
      <c r="S380" s="114" t="str">
        <f t="shared" ca="1" si="91"/>
        <v>Y</v>
      </c>
      <c r="T380" s="121">
        <v>2</v>
      </c>
      <c r="U380" s="121">
        <v>2</v>
      </c>
      <c r="V380" s="121">
        <v>2</v>
      </c>
      <c r="W380" s="121">
        <f t="shared" si="89"/>
        <v>6</v>
      </c>
      <c r="X380" s="121" t="str">
        <f t="shared" si="90"/>
        <v>Penting</v>
      </c>
      <c r="Y380" s="115" t="s">
        <v>552</v>
      </c>
      <c r="Z380" s="125"/>
      <c r="AA380" s="119"/>
      <c r="AB380" s="119"/>
      <c r="AC380" s="119"/>
      <c r="AD380" s="26"/>
      <c r="AE380" s="122"/>
      <c r="AF380" s="114" t="s">
        <v>626</v>
      </c>
      <c r="AG380" s="114" t="s">
        <v>119</v>
      </c>
      <c r="AH380" s="26"/>
      <c r="AI380" s="26"/>
      <c r="AJ380" s="26"/>
      <c r="AK380" s="26"/>
      <c r="AL380" s="26"/>
      <c r="AM380" s="26"/>
      <c r="AN380" s="34"/>
      <c r="AO380" s="123">
        <v>44407</v>
      </c>
      <c r="AP380" s="4"/>
      <c r="AQ380" s="4"/>
      <c r="AR380" s="4"/>
      <c r="AS380" s="4"/>
      <c r="AT380" s="4"/>
    </row>
    <row r="381" spans="1:46" s="124" customFormat="1" ht="111.95" customHeight="1" x14ac:dyDescent="0.25">
      <c r="A381" s="113">
        <v>244</v>
      </c>
      <c r="B381" s="113" t="s">
        <v>109</v>
      </c>
      <c r="C381" s="114" t="s">
        <v>462</v>
      </c>
      <c r="D381" s="113">
        <v>29</v>
      </c>
      <c r="E381" s="113" t="s">
        <v>121</v>
      </c>
      <c r="F381" s="115" t="s">
        <v>1007</v>
      </c>
      <c r="G381" s="116" t="s">
        <v>312</v>
      </c>
      <c r="H381" s="116" t="s">
        <v>1008</v>
      </c>
      <c r="I381" s="117" t="s">
        <v>113</v>
      </c>
      <c r="J381" s="116" t="s">
        <v>1009</v>
      </c>
      <c r="K381" s="116" t="s">
        <v>1010</v>
      </c>
      <c r="L381" s="118" t="s">
        <v>269</v>
      </c>
      <c r="M381" s="118"/>
      <c r="N381" s="119">
        <v>44378</v>
      </c>
      <c r="O381" s="119">
        <v>44742</v>
      </c>
      <c r="P381" s="120">
        <f t="shared" si="99"/>
        <v>0.99726027397260275</v>
      </c>
      <c r="Q381" s="114" t="s">
        <v>37</v>
      </c>
      <c r="R381" s="114">
        <f t="shared" ca="1" si="103"/>
        <v>-3.5357829786439505</v>
      </c>
      <c r="S381" s="114" t="str">
        <f t="shared" ca="1" si="91"/>
        <v>Y</v>
      </c>
      <c r="T381" s="121">
        <v>2</v>
      </c>
      <c r="U381" s="121">
        <v>2</v>
      </c>
      <c r="V381" s="121">
        <v>2</v>
      </c>
      <c r="W381" s="121">
        <f t="shared" si="89"/>
        <v>6</v>
      </c>
      <c r="X381" s="121" t="str">
        <f t="shared" si="90"/>
        <v>Penting</v>
      </c>
      <c r="Y381" s="115" t="s">
        <v>552</v>
      </c>
      <c r="Z381" s="125"/>
      <c r="AA381" s="119"/>
      <c r="AB381" s="119"/>
      <c r="AC381" s="119"/>
      <c r="AD381" s="26"/>
      <c r="AE381" s="122"/>
      <c r="AF381" s="114" t="s">
        <v>626</v>
      </c>
      <c r="AG381" s="114" t="s">
        <v>119</v>
      </c>
      <c r="AH381" s="26"/>
      <c r="AI381" s="26"/>
      <c r="AJ381" s="26"/>
      <c r="AK381" s="26"/>
      <c r="AL381" s="26"/>
      <c r="AM381" s="26"/>
      <c r="AN381" s="34"/>
      <c r="AO381" s="123"/>
      <c r="AP381" s="4"/>
      <c r="AQ381" s="4"/>
      <c r="AR381" s="4"/>
      <c r="AS381" s="4"/>
      <c r="AT381" s="4"/>
    </row>
    <row r="382" spans="1:46" s="124" customFormat="1" ht="111.95" customHeight="1" x14ac:dyDescent="0.25">
      <c r="A382" s="113">
        <v>245</v>
      </c>
      <c r="B382" s="113" t="s">
        <v>109</v>
      </c>
      <c r="C382" s="114"/>
      <c r="D382" s="113"/>
      <c r="E382" s="113"/>
      <c r="F382" s="115" t="s">
        <v>1011</v>
      </c>
      <c r="G382" s="116" t="s">
        <v>312</v>
      </c>
      <c r="H382" s="116" t="s">
        <v>1012</v>
      </c>
      <c r="I382" s="117" t="s">
        <v>113</v>
      </c>
      <c r="J382" s="116" t="s">
        <v>1013</v>
      </c>
      <c r="K382" s="116" t="s">
        <v>1014</v>
      </c>
      <c r="L382" s="118" t="s">
        <v>269</v>
      </c>
      <c r="M382" s="118"/>
      <c r="N382" s="119">
        <v>44013</v>
      </c>
      <c r="O382" s="119">
        <v>44377</v>
      </c>
      <c r="P382" s="120">
        <f t="shared" si="99"/>
        <v>0.99726027397260275</v>
      </c>
      <c r="Q382" s="114" t="s">
        <v>37</v>
      </c>
      <c r="R382" s="114" t="s">
        <v>117</v>
      </c>
      <c r="S382" s="114" t="str">
        <f>IF(R382="End","Z",IF(R382="Cancel","C",IF(SUM(R382)&gt;0,"O",IF(ISBLANK(R382),"X",IF(SUM(R382)&lt;0,"Y",IF(SUM(R382),"-","O"))))))</f>
        <v>Z</v>
      </c>
      <c r="T382" s="121">
        <v>2</v>
      </c>
      <c r="U382" s="121">
        <v>1</v>
      </c>
      <c r="V382" s="121">
        <v>2</v>
      </c>
      <c r="W382" s="121">
        <f t="shared" si="89"/>
        <v>5</v>
      </c>
      <c r="X382" s="121" t="str">
        <f t="shared" si="90"/>
        <v>Biasa</v>
      </c>
      <c r="Y382" s="115" t="s">
        <v>1015</v>
      </c>
      <c r="Z382" s="115"/>
      <c r="AA382" s="119"/>
      <c r="AB382" s="119"/>
      <c r="AC382" s="119"/>
      <c r="AD382" s="26" t="s">
        <v>16</v>
      </c>
      <c r="AE382" s="122">
        <v>44348</v>
      </c>
      <c r="AF382" s="114" t="s">
        <v>1016</v>
      </c>
      <c r="AG382" s="114" t="s">
        <v>119</v>
      </c>
      <c r="AH382" s="26"/>
      <c r="AI382" s="26"/>
      <c r="AJ382" s="26"/>
      <c r="AK382" s="26"/>
      <c r="AL382" s="26"/>
      <c r="AM382" s="26"/>
      <c r="AN382" s="26"/>
      <c r="AO382" s="123"/>
      <c r="AP382" s="4"/>
      <c r="AQ382" s="4"/>
      <c r="AR382" s="4"/>
      <c r="AS382" s="4"/>
      <c r="AT382" s="4"/>
    </row>
    <row r="383" spans="1:46" s="124" customFormat="1" ht="111.95" customHeight="1" x14ac:dyDescent="0.25">
      <c r="A383" s="113">
        <v>246</v>
      </c>
      <c r="B383" s="113" t="s">
        <v>109</v>
      </c>
      <c r="C383" s="114" t="s">
        <v>120</v>
      </c>
      <c r="D383" s="113">
        <v>37</v>
      </c>
      <c r="E383" s="113" t="s">
        <v>121</v>
      </c>
      <c r="F383" s="115" t="s">
        <v>414</v>
      </c>
      <c r="G383" s="116" t="s">
        <v>312</v>
      </c>
      <c r="H383" s="116" t="s">
        <v>415</v>
      </c>
      <c r="I383" s="117" t="s">
        <v>113</v>
      </c>
      <c r="J383" s="116" t="s">
        <v>416</v>
      </c>
      <c r="K383" s="116" t="s">
        <v>417</v>
      </c>
      <c r="L383" s="118" t="s">
        <v>269</v>
      </c>
      <c r="M383" s="118"/>
      <c r="N383" s="119">
        <v>44378</v>
      </c>
      <c r="O383" s="119">
        <v>44742</v>
      </c>
      <c r="P383" s="120">
        <f t="shared" si="99"/>
        <v>0.99726027397260275</v>
      </c>
      <c r="Q383" s="114" t="s">
        <v>37</v>
      </c>
      <c r="R383" s="114">
        <f t="shared" ca="1" si="103"/>
        <v>-3.5357829786439505</v>
      </c>
      <c r="S383" s="114" t="str">
        <f t="shared" ca="1" si="91"/>
        <v>Y</v>
      </c>
      <c r="T383" s="121">
        <v>2</v>
      </c>
      <c r="U383" s="121">
        <v>1</v>
      </c>
      <c r="V383" s="121">
        <v>2</v>
      </c>
      <c r="W383" s="121">
        <f t="shared" si="89"/>
        <v>5</v>
      </c>
      <c r="X383" s="121" t="str">
        <f t="shared" si="90"/>
        <v>Biasa</v>
      </c>
      <c r="Y383" s="115"/>
      <c r="Z383" s="125"/>
      <c r="AA383" s="119"/>
      <c r="AB383" s="119"/>
      <c r="AC383" s="119"/>
      <c r="AD383" s="26"/>
      <c r="AE383" s="122"/>
      <c r="AF383" s="114" t="s">
        <v>383</v>
      </c>
      <c r="AG383" s="114" t="s">
        <v>119</v>
      </c>
      <c r="AH383" s="26"/>
      <c r="AI383" s="26"/>
      <c r="AJ383" s="26"/>
      <c r="AK383" s="26"/>
      <c r="AL383" s="26"/>
      <c r="AM383" s="26"/>
      <c r="AN383" s="34"/>
      <c r="AO383" s="123">
        <v>44407</v>
      </c>
      <c r="AP383" s="4"/>
      <c r="AQ383" s="4"/>
      <c r="AR383" s="4"/>
      <c r="AS383" s="4"/>
      <c r="AT383" s="4"/>
    </row>
    <row r="384" spans="1:46" s="124" customFormat="1" ht="111.95" customHeight="1" x14ac:dyDescent="0.25">
      <c r="A384" s="113">
        <v>247</v>
      </c>
      <c r="B384" s="113" t="s">
        <v>109</v>
      </c>
      <c r="C384" s="114" t="s">
        <v>462</v>
      </c>
      <c r="D384" s="113">
        <v>27</v>
      </c>
      <c r="E384" s="113" t="s">
        <v>121</v>
      </c>
      <c r="F384" s="115" t="s">
        <v>1017</v>
      </c>
      <c r="G384" s="116" t="s">
        <v>312</v>
      </c>
      <c r="H384" s="116" t="s">
        <v>1018</v>
      </c>
      <c r="I384" s="117" t="s">
        <v>113</v>
      </c>
      <c r="J384" s="116" t="s">
        <v>1019</v>
      </c>
      <c r="K384" s="116" t="s">
        <v>1020</v>
      </c>
      <c r="L384" s="118" t="s">
        <v>269</v>
      </c>
      <c r="M384" s="118"/>
      <c r="N384" s="119">
        <v>44378</v>
      </c>
      <c r="O384" s="119">
        <v>44742</v>
      </c>
      <c r="P384" s="120">
        <f t="shared" si="99"/>
        <v>0.99726027397260275</v>
      </c>
      <c r="Q384" s="114" t="s">
        <v>37</v>
      </c>
      <c r="R384" s="114">
        <f t="shared" ca="1" si="103"/>
        <v>-3.5357829786439505</v>
      </c>
      <c r="S384" s="114" t="str">
        <f t="shared" ca="1" si="91"/>
        <v>Y</v>
      </c>
      <c r="T384" s="121">
        <v>2</v>
      </c>
      <c r="U384" s="121">
        <v>2</v>
      </c>
      <c r="V384" s="121">
        <v>2</v>
      </c>
      <c r="W384" s="121">
        <f t="shared" si="89"/>
        <v>6</v>
      </c>
      <c r="X384" s="121" t="str">
        <f t="shared" si="90"/>
        <v>Penting</v>
      </c>
      <c r="Y384" s="115" t="s">
        <v>552</v>
      </c>
      <c r="Z384" s="125"/>
      <c r="AA384" s="119"/>
      <c r="AB384" s="119"/>
      <c r="AC384" s="119"/>
      <c r="AD384" s="26" t="s">
        <v>125</v>
      </c>
      <c r="AE384" s="122">
        <v>43497</v>
      </c>
      <c r="AF384" s="114" t="s">
        <v>626</v>
      </c>
      <c r="AG384" s="114" t="s">
        <v>119</v>
      </c>
      <c r="AH384" s="26"/>
      <c r="AI384" s="26"/>
      <c r="AJ384" s="26"/>
      <c r="AK384" s="26"/>
      <c r="AL384" s="26"/>
      <c r="AM384" s="26"/>
      <c r="AN384" s="34"/>
      <c r="AO384" s="123">
        <v>44407</v>
      </c>
      <c r="AP384" s="4"/>
      <c r="AQ384" s="4"/>
      <c r="AR384" s="4"/>
      <c r="AS384" s="4"/>
      <c r="AT384" s="4"/>
    </row>
    <row r="385" spans="1:46" s="124" customFormat="1" ht="111.95" customHeight="1" x14ac:dyDescent="0.25">
      <c r="A385" s="113">
        <v>248</v>
      </c>
      <c r="B385" s="113" t="s">
        <v>109</v>
      </c>
      <c r="C385" s="114" t="s">
        <v>462</v>
      </c>
      <c r="D385" s="113">
        <v>10</v>
      </c>
      <c r="E385" s="113" t="s">
        <v>121</v>
      </c>
      <c r="F385" s="115" t="s">
        <v>1021</v>
      </c>
      <c r="G385" s="116" t="s">
        <v>312</v>
      </c>
      <c r="H385" s="116" t="s">
        <v>1022</v>
      </c>
      <c r="I385" s="117" t="s">
        <v>113</v>
      </c>
      <c r="J385" s="116" t="s">
        <v>1023</v>
      </c>
      <c r="K385" s="116" t="s">
        <v>1024</v>
      </c>
      <c r="L385" s="118" t="s">
        <v>269</v>
      </c>
      <c r="M385" s="118"/>
      <c r="N385" s="119">
        <v>44378</v>
      </c>
      <c r="O385" s="119">
        <v>44742</v>
      </c>
      <c r="P385" s="120">
        <f t="shared" si="99"/>
        <v>0.99726027397260275</v>
      </c>
      <c r="Q385" s="114" t="s">
        <v>37</v>
      </c>
      <c r="R385" s="114">
        <f t="shared" ca="1" si="103"/>
        <v>-3.5357829786439505</v>
      </c>
      <c r="S385" s="114" t="str">
        <f t="shared" ca="1" si="91"/>
        <v>Y</v>
      </c>
      <c r="T385" s="121">
        <v>1</v>
      </c>
      <c r="U385" s="121">
        <v>2</v>
      </c>
      <c r="V385" s="121">
        <v>1</v>
      </c>
      <c r="W385" s="121">
        <f t="shared" si="89"/>
        <v>4</v>
      </c>
      <c r="X385" s="121" t="str">
        <f t="shared" si="90"/>
        <v>Biasa</v>
      </c>
      <c r="Y385" s="115"/>
      <c r="Z385" s="125"/>
      <c r="AA385" s="119"/>
      <c r="AB385" s="119"/>
      <c r="AC385" s="119"/>
      <c r="AD385" s="26"/>
      <c r="AE385" s="122"/>
      <c r="AF385" s="114" t="s">
        <v>626</v>
      </c>
      <c r="AG385" s="114" t="s">
        <v>119</v>
      </c>
      <c r="AH385" s="26"/>
      <c r="AI385" s="26"/>
      <c r="AJ385" s="26"/>
      <c r="AK385" s="26"/>
      <c r="AL385" s="26"/>
      <c r="AM385" s="26"/>
      <c r="AN385" s="34"/>
      <c r="AO385" s="123">
        <v>44036</v>
      </c>
      <c r="AP385" s="4"/>
      <c r="AQ385" s="4"/>
      <c r="AR385" s="4"/>
      <c r="AS385" s="4"/>
      <c r="AT385" s="4"/>
    </row>
    <row r="386" spans="1:46" s="124" customFormat="1" ht="111.95" customHeight="1" x14ac:dyDescent="0.25">
      <c r="A386" s="113">
        <v>249</v>
      </c>
      <c r="B386" s="113" t="s">
        <v>109</v>
      </c>
      <c r="C386" s="114" t="s">
        <v>391</v>
      </c>
      <c r="D386" s="113">
        <v>4</v>
      </c>
      <c r="E386" s="113" t="s">
        <v>121</v>
      </c>
      <c r="F386" s="115" t="s">
        <v>521</v>
      </c>
      <c r="G386" s="116" t="s">
        <v>312</v>
      </c>
      <c r="H386" s="116" t="s">
        <v>522</v>
      </c>
      <c r="I386" s="117" t="s">
        <v>113</v>
      </c>
      <c r="J386" s="116" t="s">
        <v>523</v>
      </c>
      <c r="K386" s="116" t="s">
        <v>524</v>
      </c>
      <c r="L386" s="118" t="s">
        <v>269</v>
      </c>
      <c r="M386" s="118"/>
      <c r="N386" s="119">
        <v>44378</v>
      </c>
      <c r="O386" s="119">
        <v>44742</v>
      </c>
      <c r="P386" s="120">
        <f t="shared" si="99"/>
        <v>0.99726027397260275</v>
      </c>
      <c r="Q386" s="114" t="s">
        <v>37</v>
      </c>
      <c r="R386" s="114">
        <f t="shared" ca="1" si="103"/>
        <v>-3.5357829786439505</v>
      </c>
      <c r="S386" s="114" t="str">
        <f t="shared" ca="1" si="91"/>
        <v>Y</v>
      </c>
      <c r="T386" s="121">
        <v>2</v>
      </c>
      <c r="U386" s="121">
        <v>2</v>
      </c>
      <c r="V386" s="121">
        <v>2</v>
      </c>
      <c r="W386" s="121">
        <f t="shared" si="89"/>
        <v>6</v>
      </c>
      <c r="X386" s="121" t="str">
        <f t="shared" si="90"/>
        <v>Penting</v>
      </c>
      <c r="Y386" s="115" t="s">
        <v>552</v>
      </c>
      <c r="Z386" s="125"/>
      <c r="AA386" s="119"/>
      <c r="AB386" s="119"/>
      <c r="AC386" s="119"/>
      <c r="AD386" s="26"/>
      <c r="AE386" s="122"/>
      <c r="AF386" s="114" t="s">
        <v>383</v>
      </c>
      <c r="AG386" s="114" t="s">
        <v>119</v>
      </c>
      <c r="AH386" s="26"/>
      <c r="AI386" s="26"/>
      <c r="AJ386" s="26"/>
      <c r="AK386" s="26"/>
      <c r="AL386" s="26"/>
      <c r="AM386" s="26"/>
      <c r="AN386" s="34"/>
      <c r="AO386" s="123">
        <v>44407</v>
      </c>
      <c r="AP386" s="4"/>
      <c r="AQ386" s="4"/>
      <c r="AR386" s="4"/>
      <c r="AS386" s="4"/>
      <c r="AT386" s="4"/>
    </row>
    <row r="387" spans="1:46" s="124" customFormat="1" ht="111.95" customHeight="1" x14ac:dyDescent="0.25">
      <c r="A387" s="113">
        <v>250</v>
      </c>
      <c r="B387" s="113" t="s">
        <v>109</v>
      </c>
      <c r="C387" s="114" t="s">
        <v>462</v>
      </c>
      <c r="D387" s="113">
        <v>30</v>
      </c>
      <c r="E387" s="113" t="s">
        <v>121</v>
      </c>
      <c r="F387" s="115" t="s">
        <v>1025</v>
      </c>
      <c r="G387" s="116" t="s">
        <v>312</v>
      </c>
      <c r="H387" s="116" t="s">
        <v>1026</v>
      </c>
      <c r="I387" s="117" t="s">
        <v>113</v>
      </c>
      <c r="J387" s="116" t="s">
        <v>1027</v>
      </c>
      <c r="K387" s="116"/>
      <c r="L387" s="118" t="s">
        <v>359</v>
      </c>
      <c r="M387" s="118"/>
      <c r="N387" s="119">
        <v>44378</v>
      </c>
      <c r="O387" s="119">
        <v>44742</v>
      </c>
      <c r="P387" s="120">
        <f t="shared" si="99"/>
        <v>0.99726027397260275</v>
      </c>
      <c r="Q387" s="114" t="s">
        <v>37</v>
      </c>
      <c r="R387" s="114">
        <f t="shared" ca="1" si="103"/>
        <v>-3.5357829786439505</v>
      </c>
      <c r="S387" s="114" t="str">
        <f t="shared" ca="1" si="91"/>
        <v>Y</v>
      </c>
      <c r="T387" s="121">
        <v>2</v>
      </c>
      <c r="U387" s="121">
        <v>2</v>
      </c>
      <c r="V387" s="121">
        <v>2</v>
      </c>
      <c r="W387" s="121">
        <f t="shared" si="89"/>
        <v>6</v>
      </c>
      <c r="X387" s="121" t="str">
        <f t="shared" si="90"/>
        <v>Penting</v>
      </c>
      <c r="Y387" s="115" t="s">
        <v>1028</v>
      </c>
      <c r="Z387" s="125"/>
      <c r="AA387" s="119"/>
      <c r="AB387" s="119"/>
      <c r="AC387" s="119"/>
      <c r="AD387" s="26" t="s">
        <v>125</v>
      </c>
      <c r="AE387" s="122">
        <v>43497</v>
      </c>
      <c r="AF387" s="114" t="s">
        <v>626</v>
      </c>
      <c r="AG387" s="114" t="s">
        <v>119</v>
      </c>
      <c r="AH387" s="26"/>
      <c r="AI387" s="26"/>
      <c r="AJ387" s="26"/>
      <c r="AK387" s="26"/>
      <c r="AL387" s="26"/>
      <c r="AM387" s="26"/>
      <c r="AN387" s="34"/>
      <c r="AO387" s="123">
        <v>43760</v>
      </c>
      <c r="AP387" s="4"/>
      <c r="AQ387" s="4"/>
      <c r="AR387" s="4"/>
      <c r="AS387" s="4"/>
      <c r="AT387" s="4"/>
    </row>
    <row r="388" spans="1:46" s="124" customFormat="1" ht="111.95" customHeight="1" x14ac:dyDescent="0.25">
      <c r="A388" s="113">
        <v>251</v>
      </c>
      <c r="B388" s="113" t="s">
        <v>109</v>
      </c>
      <c r="C388" s="114" t="s">
        <v>441</v>
      </c>
      <c r="D388" s="113">
        <v>5</v>
      </c>
      <c r="E388" s="113" t="s">
        <v>121</v>
      </c>
      <c r="F388" s="115" t="s">
        <v>1029</v>
      </c>
      <c r="G388" s="116" t="s">
        <v>312</v>
      </c>
      <c r="H388" s="116" t="s">
        <v>1030</v>
      </c>
      <c r="I388" s="117" t="s">
        <v>160</v>
      </c>
      <c r="J388" s="116" t="s">
        <v>1031</v>
      </c>
      <c r="K388" s="116"/>
      <c r="L388" s="118"/>
      <c r="M388" s="118"/>
      <c r="N388" s="119">
        <v>44378</v>
      </c>
      <c r="O388" s="119">
        <v>44742</v>
      </c>
      <c r="P388" s="120">
        <f t="shared" si="99"/>
        <v>0.99726027397260275</v>
      </c>
      <c r="Q388" s="114" t="s">
        <v>37</v>
      </c>
      <c r="R388" s="114">
        <f t="shared" ca="1" si="103"/>
        <v>-3.5357829786439505</v>
      </c>
      <c r="S388" s="114" t="str">
        <f ca="1">IF(R388="End","Z",IF(R388="Cancel","C",IF(SUM(R388)&gt;0,"O",IF(ISBLANK(R388),"X",IF(SUM(R388)&lt;0,"Y",IF(SUM(R388),"-","O"))))))</f>
        <v>Y</v>
      </c>
      <c r="T388" s="121">
        <v>3</v>
      </c>
      <c r="U388" s="121">
        <v>3</v>
      </c>
      <c r="V388" s="121">
        <v>3</v>
      </c>
      <c r="W388" s="121">
        <f>T388+U388+V388</f>
        <v>9</v>
      </c>
      <c r="X388" s="121" t="str">
        <f>IF(W388&gt;5,"Penting",IF(ISBLANK(W388),"","Biasa"))</f>
        <v>Penting</v>
      </c>
      <c r="Y388" s="115" t="s">
        <v>552</v>
      </c>
      <c r="Z388" s="125"/>
      <c r="AA388" s="119"/>
      <c r="AB388" s="119"/>
      <c r="AC388" s="119"/>
      <c r="AD388" s="26"/>
      <c r="AE388" s="122"/>
      <c r="AF388" s="114" t="s">
        <v>1016</v>
      </c>
      <c r="AG388" s="114" t="s">
        <v>119</v>
      </c>
      <c r="AH388" s="26"/>
      <c r="AI388" s="26"/>
      <c r="AJ388" s="26"/>
      <c r="AK388" s="26"/>
      <c r="AL388" s="26"/>
      <c r="AM388" s="26"/>
      <c r="AN388" s="34"/>
      <c r="AO388" s="123">
        <v>44407</v>
      </c>
      <c r="AP388" s="4"/>
      <c r="AQ388" s="4"/>
      <c r="AR388" s="4"/>
      <c r="AS388" s="4"/>
      <c r="AT388" s="4"/>
    </row>
    <row r="389" spans="1:46" s="124" customFormat="1" ht="111.95" customHeight="1" x14ac:dyDescent="0.25">
      <c r="A389" s="113">
        <v>252</v>
      </c>
      <c r="B389" s="113" t="s">
        <v>109</v>
      </c>
      <c r="C389" s="114" t="s">
        <v>391</v>
      </c>
      <c r="D389" s="113">
        <v>8</v>
      </c>
      <c r="E389" s="113" t="s">
        <v>121</v>
      </c>
      <c r="F389" s="115" t="s">
        <v>548</v>
      </c>
      <c r="G389" s="116" t="s">
        <v>312</v>
      </c>
      <c r="H389" s="116" t="s">
        <v>549</v>
      </c>
      <c r="I389" s="117" t="s">
        <v>113</v>
      </c>
      <c r="J389" s="116" t="s">
        <v>550</v>
      </c>
      <c r="K389" s="116" t="s">
        <v>551</v>
      </c>
      <c r="L389" s="118" t="s">
        <v>359</v>
      </c>
      <c r="M389" s="118"/>
      <c r="N389" s="119">
        <v>44378</v>
      </c>
      <c r="O389" s="119">
        <v>44742</v>
      </c>
      <c r="P389" s="120">
        <f>(O389-N389)/365</f>
        <v>0.99726027397260275</v>
      </c>
      <c r="Q389" s="114" t="s">
        <v>37</v>
      </c>
      <c r="R389" s="114">
        <f t="shared" ca="1" si="103"/>
        <v>-3.5357829786439505</v>
      </c>
      <c r="S389" s="114" t="str">
        <f t="shared" ref="S389" ca="1" si="104">IF(R389="End","Z",IF(R389="Cancel","C",IF(SUM(R389)&gt;0,"O",IF(ISBLANK(R389),"X",IF(SUM(R389)&lt;0,"Y",IF(SUM(R389),"-","O"))))))</f>
        <v>Y</v>
      </c>
      <c r="T389" s="121">
        <v>1</v>
      </c>
      <c r="U389" s="121">
        <v>1</v>
      </c>
      <c r="V389" s="121">
        <v>1</v>
      </c>
      <c r="W389" s="121">
        <f t="shared" ref="W389" si="105">T389+U389+V389</f>
        <v>3</v>
      </c>
      <c r="X389" s="121" t="str">
        <f t="shared" ref="X389" si="106">IF(W389&gt;5,"Penting",IF(ISBLANK(W389),"","Biasa"))</f>
        <v>Biasa</v>
      </c>
      <c r="Y389" s="115" t="s">
        <v>552</v>
      </c>
      <c r="Z389" s="125"/>
      <c r="AA389" s="119"/>
      <c r="AB389" s="119"/>
      <c r="AC389" s="119"/>
      <c r="AD389" s="26"/>
      <c r="AE389" s="122"/>
      <c r="AF389" s="114" t="s">
        <v>383</v>
      </c>
      <c r="AG389" s="114" t="s">
        <v>119</v>
      </c>
      <c r="AH389" s="26"/>
      <c r="AI389" s="26"/>
      <c r="AJ389" s="26"/>
      <c r="AK389" s="26"/>
      <c r="AL389" s="26"/>
      <c r="AM389" s="26"/>
      <c r="AN389" s="34" t="s">
        <v>126</v>
      </c>
      <c r="AO389" s="123">
        <v>44407</v>
      </c>
      <c r="AP389" s="4"/>
      <c r="AQ389" s="4"/>
      <c r="AR389" s="4"/>
      <c r="AS389" s="4"/>
      <c r="AT389" s="4"/>
    </row>
    <row r="390" spans="1:46" s="124" customFormat="1" ht="111.95" customHeight="1" x14ac:dyDescent="0.25">
      <c r="A390" s="113">
        <v>253</v>
      </c>
      <c r="B390" s="113"/>
      <c r="C390" s="114"/>
      <c r="D390" s="113"/>
      <c r="E390" s="113"/>
      <c r="F390" s="115" t="s">
        <v>1032</v>
      </c>
      <c r="G390" s="116" t="s">
        <v>312</v>
      </c>
      <c r="H390" s="116" t="s">
        <v>1033</v>
      </c>
      <c r="I390" s="117" t="s">
        <v>113</v>
      </c>
      <c r="J390" s="116" t="s">
        <v>1034</v>
      </c>
      <c r="K390" s="116"/>
      <c r="L390" s="118">
        <v>8500</v>
      </c>
      <c r="M390" s="118" t="s">
        <v>1035</v>
      </c>
      <c r="N390" s="119"/>
      <c r="O390" s="119"/>
      <c r="P390" s="120">
        <f t="shared" si="99"/>
        <v>0</v>
      </c>
      <c r="Q390" s="114" t="s">
        <v>37</v>
      </c>
      <c r="R390" s="114" t="s">
        <v>18</v>
      </c>
      <c r="S390" s="114" t="str">
        <f>IF(R390="End","Z",IF(R390="Cancel","C",IF(SUM(R390)&gt;0,"O",IF(ISBLANK(R390),"X",IF(SUM(R390)&lt;0,"Y",IF(SUM(R390),"-","O"))))))</f>
        <v>C</v>
      </c>
      <c r="T390" s="121">
        <v>3</v>
      </c>
      <c r="U390" s="121">
        <v>3</v>
      </c>
      <c r="V390" s="121">
        <v>3</v>
      </c>
      <c r="W390" s="121">
        <f>T390+U390+V390</f>
        <v>9</v>
      </c>
      <c r="X390" s="121" t="str">
        <f>IF(W390&gt;5,"Penting",IF(ISBLANK(W390),"","Biasa"))</f>
        <v>Penting</v>
      </c>
      <c r="Y390" s="115" t="s">
        <v>1036</v>
      </c>
      <c r="Z390" s="114"/>
      <c r="AA390" s="119"/>
      <c r="AB390" s="119"/>
      <c r="AC390" s="119"/>
      <c r="AD390" s="26" t="s">
        <v>125</v>
      </c>
      <c r="AE390" s="122">
        <v>44440</v>
      </c>
      <c r="AF390" s="114" t="s">
        <v>626</v>
      </c>
      <c r="AG390" s="114" t="s">
        <v>119</v>
      </c>
      <c r="AH390" s="26"/>
      <c r="AI390" s="26"/>
      <c r="AJ390" s="26"/>
      <c r="AK390" s="26"/>
      <c r="AL390" s="26"/>
      <c r="AM390" s="26"/>
      <c r="AN390" s="26"/>
      <c r="AO390" s="123">
        <v>44440</v>
      </c>
      <c r="AP390" s="4"/>
      <c r="AQ390" s="4"/>
      <c r="AR390" s="4"/>
      <c r="AS390" s="4"/>
      <c r="AT390" s="4"/>
    </row>
    <row r="391" spans="1:46" s="124" customFormat="1" ht="111.95" customHeight="1" x14ac:dyDescent="0.25">
      <c r="A391" s="113">
        <v>254</v>
      </c>
      <c r="B391" s="113" t="s">
        <v>109</v>
      </c>
      <c r="C391" s="114" t="s">
        <v>462</v>
      </c>
      <c r="D391" s="113">
        <v>35</v>
      </c>
      <c r="E391" s="113" t="s">
        <v>121</v>
      </c>
      <c r="F391" s="115"/>
      <c r="G391" s="116" t="s">
        <v>1037</v>
      </c>
      <c r="H391" s="116" t="s">
        <v>1038</v>
      </c>
      <c r="I391" s="117" t="s">
        <v>113</v>
      </c>
      <c r="J391" s="116"/>
      <c r="K391" s="116" t="s">
        <v>1039</v>
      </c>
      <c r="L391" s="118"/>
      <c r="M391" s="118"/>
      <c r="N391" s="119">
        <v>42767</v>
      </c>
      <c r="O391" s="119">
        <v>44957</v>
      </c>
      <c r="P391" s="120">
        <f t="shared" si="99"/>
        <v>6</v>
      </c>
      <c r="Q391" s="114" t="s">
        <v>48</v>
      </c>
      <c r="R391" s="114">
        <f t="shared" ca="1" si="103"/>
        <v>3.3997008923237915</v>
      </c>
      <c r="S391" s="114" t="str">
        <f t="shared" ca="1" si="91"/>
        <v>O</v>
      </c>
      <c r="T391" s="121">
        <v>3</v>
      </c>
      <c r="U391" s="121">
        <v>3</v>
      </c>
      <c r="V391" s="121">
        <v>1</v>
      </c>
      <c r="W391" s="121">
        <f t="shared" si="89"/>
        <v>7</v>
      </c>
      <c r="X391" s="121" t="str">
        <f t="shared" si="90"/>
        <v>Penting</v>
      </c>
      <c r="Y391" s="115" t="s">
        <v>1040</v>
      </c>
      <c r="Z391" s="114" t="s">
        <v>119</v>
      </c>
      <c r="AA391" s="119">
        <f>N391+1000</f>
        <v>43767</v>
      </c>
      <c r="AB391" s="119">
        <f>N391+1365</f>
        <v>44132</v>
      </c>
      <c r="AC391" s="119">
        <f>+N391+1730</f>
        <v>44497</v>
      </c>
      <c r="AD391" s="26"/>
      <c r="AE391" s="122"/>
      <c r="AF391" s="114" t="s">
        <v>1041</v>
      </c>
      <c r="AG391" s="114" t="s">
        <v>216</v>
      </c>
      <c r="AH391" s="26"/>
      <c r="AI391" s="26"/>
      <c r="AJ391" s="26"/>
      <c r="AK391" s="26"/>
      <c r="AL391" s="26"/>
      <c r="AM391" s="26"/>
      <c r="AN391" s="34"/>
      <c r="AO391" s="123"/>
      <c r="AP391" s="4"/>
      <c r="AQ391" s="4"/>
      <c r="AR391" s="4"/>
      <c r="AS391" s="4"/>
      <c r="AT391" s="4"/>
    </row>
    <row r="392" spans="1:46" s="124" customFormat="1" ht="111.95" customHeight="1" x14ac:dyDescent="0.25">
      <c r="A392" s="113">
        <v>255</v>
      </c>
      <c r="B392" s="113" t="s">
        <v>109</v>
      </c>
      <c r="C392" s="114" t="s">
        <v>462</v>
      </c>
      <c r="D392" s="113">
        <v>36</v>
      </c>
      <c r="E392" s="113" t="s">
        <v>121</v>
      </c>
      <c r="F392" s="115"/>
      <c r="G392" s="116" t="s">
        <v>1042</v>
      </c>
      <c r="H392" s="116" t="s">
        <v>1038</v>
      </c>
      <c r="I392" s="117" t="s">
        <v>113</v>
      </c>
      <c r="J392" s="116"/>
      <c r="K392" s="116" t="s">
        <v>1039</v>
      </c>
      <c r="L392" s="118"/>
      <c r="M392" s="118"/>
      <c r="N392" s="119">
        <v>44378</v>
      </c>
      <c r="O392" s="119">
        <v>44742</v>
      </c>
      <c r="P392" s="120">
        <f t="shared" si="99"/>
        <v>0.99726027397260275</v>
      </c>
      <c r="Q392" s="114" t="s">
        <v>48</v>
      </c>
      <c r="R392" s="114">
        <f t="shared" ca="1" si="103"/>
        <v>-3.5357829786439505</v>
      </c>
      <c r="S392" s="114" t="str">
        <f t="shared" ca="1" si="91"/>
        <v>Y</v>
      </c>
      <c r="T392" s="121">
        <v>1</v>
      </c>
      <c r="U392" s="121">
        <v>3</v>
      </c>
      <c r="V392" s="121">
        <v>1</v>
      </c>
      <c r="W392" s="121">
        <f t="shared" si="89"/>
        <v>5</v>
      </c>
      <c r="X392" s="121" t="str">
        <f t="shared" si="90"/>
        <v>Biasa</v>
      </c>
      <c r="Y392" s="115"/>
      <c r="Z392" s="125"/>
      <c r="AA392" s="119"/>
      <c r="AB392" s="119"/>
      <c r="AC392" s="119"/>
      <c r="AD392" s="26"/>
      <c r="AE392" s="122"/>
      <c r="AF392" s="114" t="s">
        <v>1041</v>
      </c>
      <c r="AG392" s="114" t="s">
        <v>216</v>
      </c>
      <c r="AH392" s="26"/>
      <c r="AI392" s="26"/>
      <c r="AJ392" s="26"/>
      <c r="AK392" s="26"/>
      <c r="AL392" s="26"/>
      <c r="AM392" s="26"/>
      <c r="AN392" s="34"/>
      <c r="AO392" s="123">
        <v>43991</v>
      </c>
      <c r="AP392" s="4"/>
      <c r="AQ392" s="4"/>
      <c r="AR392" s="4"/>
      <c r="AS392" s="4"/>
      <c r="AT392" s="4"/>
    </row>
    <row r="393" spans="1:46" s="124" customFormat="1" ht="111.95" customHeight="1" x14ac:dyDescent="0.25">
      <c r="A393" s="113">
        <v>256</v>
      </c>
      <c r="B393" s="113" t="s">
        <v>109</v>
      </c>
      <c r="C393" s="114" t="s">
        <v>462</v>
      </c>
      <c r="D393" s="113">
        <v>37</v>
      </c>
      <c r="E393" s="113" t="s">
        <v>121</v>
      </c>
      <c r="F393" s="115"/>
      <c r="G393" s="116" t="s">
        <v>1043</v>
      </c>
      <c r="H393" s="116" t="s">
        <v>1044</v>
      </c>
      <c r="I393" s="117" t="s">
        <v>113</v>
      </c>
      <c r="J393" s="116" t="s">
        <v>1045</v>
      </c>
      <c r="K393" s="116" t="s">
        <v>1046</v>
      </c>
      <c r="L393" s="118"/>
      <c r="M393" s="118"/>
      <c r="N393" s="119">
        <v>44367</v>
      </c>
      <c r="O393" s="119">
        <v>44732</v>
      </c>
      <c r="P393" s="120">
        <f t="shared" si="99"/>
        <v>1</v>
      </c>
      <c r="Q393" s="114" t="s">
        <v>48</v>
      </c>
      <c r="R393" s="114">
        <f t="shared" ca="1" si="103"/>
        <v>-3.858363623805241</v>
      </c>
      <c r="S393" s="114" t="str">
        <f t="shared" ca="1" si="91"/>
        <v>Y</v>
      </c>
      <c r="T393" s="121">
        <v>1</v>
      </c>
      <c r="U393" s="121">
        <v>3</v>
      </c>
      <c r="V393" s="121">
        <v>1</v>
      </c>
      <c r="W393" s="121">
        <f t="shared" si="89"/>
        <v>5</v>
      </c>
      <c r="X393" s="121" t="str">
        <f t="shared" si="90"/>
        <v>Biasa</v>
      </c>
      <c r="Y393" s="115"/>
      <c r="Z393" s="125"/>
      <c r="AA393" s="119"/>
      <c r="AB393" s="119"/>
      <c r="AC393" s="119"/>
      <c r="AD393" s="26"/>
      <c r="AE393" s="122"/>
      <c r="AF393" s="114" t="s">
        <v>1041</v>
      </c>
      <c r="AG393" s="114" t="s">
        <v>216</v>
      </c>
      <c r="AH393" s="26"/>
      <c r="AI393" s="26"/>
      <c r="AJ393" s="26"/>
      <c r="AK393" s="26"/>
      <c r="AL393" s="26"/>
      <c r="AM393" s="26"/>
      <c r="AN393" s="34"/>
      <c r="AO393" s="123"/>
      <c r="AP393" s="4"/>
      <c r="AQ393" s="4"/>
      <c r="AR393" s="4"/>
      <c r="AS393" s="4"/>
      <c r="AT393" s="4"/>
    </row>
    <row r="394" spans="1:46" s="124" customFormat="1" ht="111.95" customHeight="1" x14ac:dyDescent="0.25">
      <c r="A394" s="113">
        <v>257</v>
      </c>
      <c r="B394" s="113" t="s">
        <v>109</v>
      </c>
      <c r="C394" s="114" t="s">
        <v>462</v>
      </c>
      <c r="D394" s="113">
        <v>38</v>
      </c>
      <c r="E394" s="113" t="s">
        <v>121</v>
      </c>
      <c r="F394" s="115" t="s">
        <v>1047</v>
      </c>
      <c r="G394" s="116" t="s">
        <v>1048</v>
      </c>
      <c r="H394" s="116" t="s">
        <v>1049</v>
      </c>
      <c r="I394" s="117" t="s">
        <v>113</v>
      </c>
      <c r="J394" s="116" t="s">
        <v>1050</v>
      </c>
      <c r="K394" s="116" t="s">
        <v>1051</v>
      </c>
      <c r="L394" s="118"/>
      <c r="M394" s="118"/>
      <c r="N394" s="119">
        <v>44013</v>
      </c>
      <c r="O394" s="119">
        <v>44742</v>
      </c>
      <c r="P394" s="120">
        <f t="shared" si="99"/>
        <v>1.9972602739726026</v>
      </c>
      <c r="Q394" s="114" t="s">
        <v>48</v>
      </c>
      <c r="R394" s="114">
        <f t="shared" ca="1" si="103"/>
        <v>-3.5357829786439505</v>
      </c>
      <c r="S394" s="114" t="str">
        <f t="shared" ca="1" si="91"/>
        <v>Y</v>
      </c>
      <c r="T394" s="121">
        <v>3</v>
      </c>
      <c r="U394" s="121">
        <v>3</v>
      </c>
      <c r="V394" s="121">
        <v>1</v>
      </c>
      <c r="W394" s="121">
        <f t="shared" si="89"/>
        <v>7</v>
      </c>
      <c r="X394" s="121" t="str">
        <f t="shared" si="90"/>
        <v>Penting</v>
      </c>
      <c r="Y394" s="115" t="s">
        <v>1052</v>
      </c>
      <c r="Z394" s="114" t="s">
        <v>119</v>
      </c>
      <c r="AA394" s="119">
        <f t="shared" ref="AA394:AA400" si="107">N394+270</f>
        <v>44283</v>
      </c>
      <c r="AB394" s="119">
        <f t="shared" ref="AB394:AB400" si="108">+N394+635</f>
        <v>44648</v>
      </c>
      <c r="AC394" s="119"/>
      <c r="AD394" s="26"/>
      <c r="AE394" s="122"/>
      <c r="AF394" s="114" t="s">
        <v>1041</v>
      </c>
      <c r="AG394" s="114" t="s">
        <v>216</v>
      </c>
      <c r="AH394" s="26"/>
      <c r="AI394" s="26"/>
      <c r="AJ394" s="26"/>
      <c r="AK394" s="26"/>
      <c r="AL394" s="26"/>
      <c r="AM394" s="26"/>
      <c r="AN394" s="34"/>
      <c r="AO394" s="123"/>
      <c r="AP394" s="4"/>
      <c r="AQ394" s="4"/>
      <c r="AR394" s="4"/>
      <c r="AS394" s="4"/>
      <c r="AT394" s="4"/>
    </row>
    <row r="395" spans="1:46" s="124" customFormat="1" ht="111.95" customHeight="1" x14ac:dyDescent="0.25">
      <c r="A395" s="113">
        <v>258</v>
      </c>
      <c r="B395" s="113" t="s">
        <v>109</v>
      </c>
      <c r="C395" s="114" t="s">
        <v>462</v>
      </c>
      <c r="D395" s="113">
        <v>39</v>
      </c>
      <c r="E395" s="113" t="s">
        <v>121</v>
      </c>
      <c r="F395" s="115"/>
      <c r="G395" s="116" t="s">
        <v>1053</v>
      </c>
      <c r="H395" s="116" t="s">
        <v>1038</v>
      </c>
      <c r="I395" s="117" t="s">
        <v>113</v>
      </c>
      <c r="J395" s="116" t="s">
        <v>1054</v>
      </c>
      <c r="K395" s="116" t="s">
        <v>1055</v>
      </c>
      <c r="L395" s="118"/>
      <c r="M395" s="118"/>
      <c r="N395" s="119">
        <v>39845</v>
      </c>
      <c r="O395" s="119">
        <v>45322</v>
      </c>
      <c r="P395" s="120">
        <f t="shared" si="99"/>
        <v>15.005479452054795</v>
      </c>
      <c r="Q395" s="114" t="s">
        <v>48</v>
      </c>
      <c r="R395" s="114">
        <f t="shared" ca="1" si="103"/>
        <v>15.173894440710889</v>
      </c>
      <c r="S395" s="114" t="str">
        <f ca="1">IF(R395="End","Z",IF(R395="Cancel","C",IF(SUM(R395)&gt;0,"O",IF(ISBLANK(R395),"X",IF(SUM(R395)&lt;0,"Y",IF(SUM(R395),"-","O"))))))</f>
        <v>O</v>
      </c>
      <c r="T395" s="121">
        <v>3</v>
      </c>
      <c r="U395" s="121">
        <v>3</v>
      </c>
      <c r="V395" s="121">
        <v>1</v>
      </c>
      <c r="W395" s="121">
        <f t="shared" si="89"/>
        <v>7</v>
      </c>
      <c r="X395" s="121" t="str">
        <f t="shared" si="90"/>
        <v>Penting</v>
      </c>
      <c r="Y395" s="115" t="s">
        <v>1056</v>
      </c>
      <c r="Z395" s="114" t="s">
        <v>119</v>
      </c>
      <c r="AA395" s="119">
        <f>N395+4285</f>
        <v>44130</v>
      </c>
      <c r="AB395" s="119">
        <f>N395+4650</f>
        <v>44495</v>
      </c>
      <c r="AC395" s="119">
        <f>N395+5015</f>
        <v>44860</v>
      </c>
      <c r="AD395" s="26"/>
      <c r="AE395" s="122"/>
      <c r="AF395" s="114" t="s">
        <v>1041</v>
      </c>
      <c r="AG395" s="114" t="s">
        <v>216</v>
      </c>
      <c r="AH395" s="26"/>
      <c r="AI395" s="26"/>
      <c r="AJ395" s="26"/>
      <c r="AK395" s="26"/>
      <c r="AL395" s="26"/>
      <c r="AM395" s="26"/>
      <c r="AN395" s="34"/>
      <c r="AO395" s="123"/>
      <c r="AP395" s="4"/>
      <c r="AQ395" s="4"/>
      <c r="AR395" s="4"/>
      <c r="AS395" s="4"/>
      <c r="AT395" s="4"/>
    </row>
    <row r="396" spans="1:46" s="124" customFormat="1" ht="111.95" customHeight="1" x14ac:dyDescent="0.25">
      <c r="A396" s="113"/>
      <c r="B396" s="113" t="s">
        <v>109</v>
      </c>
      <c r="C396" s="114"/>
      <c r="D396" s="113"/>
      <c r="E396" s="113" t="s">
        <v>291</v>
      </c>
      <c r="F396" s="115" t="s">
        <v>1057</v>
      </c>
      <c r="G396" s="116" t="s">
        <v>1058</v>
      </c>
      <c r="H396" s="116" t="s">
        <v>1059</v>
      </c>
      <c r="I396" s="117" t="s">
        <v>113</v>
      </c>
      <c r="J396" s="116" t="s">
        <v>1060</v>
      </c>
      <c r="K396" s="116"/>
      <c r="L396" s="118"/>
      <c r="M396" s="118"/>
      <c r="N396" s="119">
        <v>44623</v>
      </c>
      <c r="O396" s="119">
        <v>44742</v>
      </c>
      <c r="P396" s="120">
        <f t="shared" si="99"/>
        <v>0.32602739726027397</v>
      </c>
      <c r="Q396" s="114" t="s">
        <v>48</v>
      </c>
      <c r="R396" s="114">
        <f t="shared" ca="1" si="103"/>
        <v>-3.5357829786439505</v>
      </c>
      <c r="S396" s="114" t="str">
        <f ca="1">IF(R396="End","Z",IF(R396="Cancel","C",IF(SUM(R396)&gt;0,"O",IF(ISBLANK(R396),"X",IF(SUM(R396)&lt;0,"Y",IF(SUM(R396),"-","O"))))))</f>
        <v>Y</v>
      </c>
      <c r="T396" s="121">
        <v>3</v>
      </c>
      <c r="U396" s="121">
        <v>3</v>
      </c>
      <c r="V396" s="121">
        <v>1</v>
      </c>
      <c r="W396" s="121">
        <f t="shared" si="89"/>
        <v>7</v>
      </c>
      <c r="X396" s="121" t="str">
        <f t="shared" si="90"/>
        <v>Penting</v>
      </c>
      <c r="Y396" s="115"/>
      <c r="Z396" s="114"/>
      <c r="AA396" s="119"/>
      <c r="AB396" s="119"/>
      <c r="AC396" s="119"/>
      <c r="AD396" s="26" t="s">
        <v>125</v>
      </c>
      <c r="AE396" s="122">
        <v>44650</v>
      </c>
      <c r="AF396" s="114" t="s">
        <v>1041</v>
      </c>
      <c r="AG396" s="114" t="s">
        <v>119</v>
      </c>
      <c r="AH396" s="26"/>
      <c r="AI396" s="26"/>
      <c r="AJ396" s="26"/>
      <c r="AK396" s="26"/>
      <c r="AL396" s="26"/>
      <c r="AM396" s="26"/>
      <c r="AN396" s="34" t="s">
        <v>1061</v>
      </c>
      <c r="AO396" s="123">
        <v>44623</v>
      </c>
      <c r="AP396" s="4"/>
      <c r="AQ396" s="4"/>
      <c r="AR396" s="4"/>
      <c r="AS396" s="4"/>
      <c r="AT396" s="4"/>
    </row>
    <row r="397" spans="1:46" s="124" customFormat="1" ht="111.95" customHeight="1" x14ac:dyDescent="0.25">
      <c r="A397" s="113"/>
      <c r="B397" s="113" t="s">
        <v>109</v>
      </c>
      <c r="C397" s="114"/>
      <c r="D397" s="113"/>
      <c r="E397" s="113" t="s">
        <v>291</v>
      </c>
      <c r="F397" s="115" t="s">
        <v>1062</v>
      </c>
      <c r="G397" s="116" t="s">
        <v>1063</v>
      </c>
      <c r="H397" s="116" t="s">
        <v>1059</v>
      </c>
      <c r="I397" s="117" t="s">
        <v>113</v>
      </c>
      <c r="J397" s="116" t="s">
        <v>1064</v>
      </c>
      <c r="K397" s="116"/>
      <c r="L397" s="118"/>
      <c r="M397" s="118"/>
      <c r="N397" s="119">
        <v>44615</v>
      </c>
      <c r="O397" s="119">
        <v>44717</v>
      </c>
      <c r="P397" s="120">
        <f t="shared" si="99"/>
        <v>0.27945205479452057</v>
      </c>
      <c r="Q397" s="114" t="s">
        <v>48</v>
      </c>
      <c r="R397" s="114">
        <f t="shared" ca="1" si="103"/>
        <v>-4.3422345915471761</v>
      </c>
      <c r="S397" s="114" t="str">
        <f ca="1">IF(R397="End","Z",IF(R397="Cancel","C",IF(SUM(R397)&gt;0,"O",IF(ISBLANK(R397),"X",IF(SUM(R397)&lt;0,"Y",IF(SUM(R397),"-","O"))))))</f>
        <v>Y</v>
      </c>
      <c r="T397" s="121">
        <v>3</v>
      </c>
      <c r="U397" s="121">
        <v>3</v>
      </c>
      <c r="V397" s="121">
        <v>1</v>
      </c>
      <c r="W397" s="121">
        <f t="shared" si="89"/>
        <v>7</v>
      </c>
      <c r="X397" s="121" t="str">
        <f t="shared" si="90"/>
        <v>Penting</v>
      </c>
      <c r="Y397" s="115"/>
      <c r="Z397" s="114"/>
      <c r="AA397" s="119"/>
      <c r="AB397" s="119"/>
      <c r="AC397" s="119"/>
      <c r="AD397" s="26" t="s">
        <v>125</v>
      </c>
      <c r="AE397" s="122">
        <v>44650</v>
      </c>
      <c r="AF397" s="114" t="s">
        <v>1041</v>
      </c>
      <c r="AG397" s="114" t="s">
        <v>119</v>
      </c>
      <c r="AH397" s="26"/>
      <c r="AI397" s="26"/>
      <c r="AJ397" s="26"/>
      <c r="AK397" s="26"/>
      <c r="AL397" s="26"/>
      <c r="AM397" s="26"/>
      <c r="AN397" s="34" t="s">
        <v>1061</v>
      </c>
      <c r="AO397" s="123">
        <v>44615</v>
      </c>
      <c r="AP397" s="133"/>
      <c r="AQ397" s="4"/>
      <c r="AR397" s="4"/>
      <c r="AS397" s="4"/>
      <c r="AT397" s="4"/>
    </row>
    <row r="398" spans="1:46" s="124" customFormat="1" ht="111.95" customHeight="1" x14ac:dyDescent="0.25">
      <c r="A398" s="113">
        <v>259</v>
      </c>
      <c r="B398" s="113" t="s">
        <v>109</v>
      </c>
      <c r="C398" s="114" t="s">
        <v>441</v>
      </c>
      <c r="D398" s="113">
        <v>1</v>
      </c>
      <c r="E398" s="113" t="s">
        <v>121</v>
      </c>
      <c r="F398" s="115"/>
      <c r="G398" s="116" t="s">
        <v>1065</v>
      </c>
      <c r="H398" s="116" t="s">
        <v>1066</v>
      </c>
      <c r="I398" s="117" t="s">
        <v>160</v>
      </c>
      <c r="J398" s="116" t="s">
        <v>1067</v>
      </c>
      <c r="K398" s="116"/>
      <c r="L398" s="118"/>
      <c r="M398" s="118"/>
      <c r="N398" s="119">
        <v>42996</v>
      </c>
      <c r="O398" s="119">
        <v>45002</v>
      </c>
      <c r="P398" s="120">
        <f>(O398-N398)/365</f>
        <v>5.4958904109589044</v>
      </c>
      <c r="Q398" s="114" t="s">
        <v>43</v>
      </c>
      <c r="R398" s="114">
        <f t="shared" ca="1" si="103"/>
        <v>4.851313795549598</v>
      </c>
      <c r="S398" s="114" t="str">
        <f t="shared" ca="1" si="91"/>
        <v>O</v>
      </c>
      <c r="T398" s="121">
        <v>3</v>
      </c>
      <c r="U398" s="121">
        <v>3</v>
      </c>
      <c r="V398" s="121">
        <v>3</v>
      </c>
      <c r="W398" s="121">
        <f t="shared" si="89"/>
        <v>9</v>
      </c>
      <c r="X398" s="121" t="str">
        <f t="shared" si="90"/>
        <v>Penting</v>
      </c>
      <c r="Y398" s="115" t="s">
        <v>1068</v>
      </c>
      <c r="Z398" s="114" t="s">
        <v>119</v>
      </c>
      <c r="AA398" s="119">
        <f>N398+1000</f>
        <v>43996</v>
      </c>
      <c r="AB398" s="119">
        <f>+N398+1365</f>
        <v>44361</v>
      </c>
      <c r="AC398" s="119">
        <f>+N398+1730</f>
        <v>44726</v>
      </c>
      <c r="AD398" s="26"/>
      <c r="AE398" s="122"/>
      <c r="AF398" s="114" t="s">
        <v>1069</v>
      </c>
      <c r="AG398" s="114" t="s">
        <v>119</v>
      </c>
      <c r="AH398" s="26"/>
      <c r="AI398" s="26"/>
      <c r="AJ398" s="26"/>
      <c r="AK398" s="26"/>
      <c r="AL398" s="26"/>
      <c r="AM398" s="26"/>
      <c r="AN398" s="34"/>
      <c r="AO398" s="123"/>
      <c r="AP398" s="4"/>
      <c r="AQ398" s="4"/>
      <c r="AR398" s="4"/>
      <c r="AS398" s="4"/>
      <c r="AT398" s="4"/>
    </row>
    <row r="399" spans="1:46" s="124" customFormat="1" ht="111.95" customHeight="1" x14ac:dyDescent="0.25">
      <c r="A399" s="113">
        <v>260</v>
      </c>
      <c r="B399" s="113" t="s">
        <v>109</v>
      </c>
      <c r="C399" s="114" t="s">
        <v>120</v>
      </c>
      <c r="D399" s="113">
        <v>40</v>
      </c>
      <c r="E399" s="113" t="s">
        <v>121</v>
      </c>
      <c r="F399" s="115" t="s">
        <v>429</v>
      </c>
      <c r="G399" s="116" t="s">
        <v>1065</v>
      </c>
      <c r="H399" s="116" t="s">
        <v>430</v>
      </c>
      <c r="I399" s="117" t="s">
        <v>113</v>
      </c>
      <c r="J399" s="116" t="s">
        <v>431</v>
      </c>
      <c r="K399" s="116" t="s">
        <v>432</v>
      </c>
      <c r="L399" s="118" t="s">
        <v>269</v>
      </c>
      <c r="M399" s="118"/>
      <c r="N399" s="119">
        <v>44013</v>
      </c>
      <c r="O399" s="119">
        <v>44742</v>
      </c>
      <c r="P399" s="120">
        <f>(O399-N399)/365</f>
        <v>1.9972602739726026</v>
      </c>
      <c r="Q399" s="114" t="s">
        <v>43</v>
      </c>
      <c r="R399" s="114">
        <f t="shared" ca="1" si="103"/>
        <v>-3.5357829786439505</v>
      </c>
      <c r="S399" s="114" t="str">
        <f t="shared" ca="1" si="91"/>
        <v>Y</v>
      </c>
      <c r="T399" s="121">
        <v>3</v>
      </c>
      <c r="U399" s="121">
        <v>2</v>
      </c>
      <c r="V399" s="121">
        <v>3</v>
      </c>
      <c r="W399" s="121">
        <f t="shared" si="89"/>
        <v>8</v>
      </c>
      <c r="X399" s="121" t="str">
        <f t="shared" si="90"/>
        <v>Penting</v>
      </c>
      <c r="Y399" s="115" t="s">
        <v>364</v>
      </c>
      <c r="Z399" s="114" t="s">
        <v>119</v>
      </c>
      <c r="AA399" s="119">
        <f t="shared" si="107"/>
        <v>44283</v>
      </c>
      <c r="AB399" s="119">
        <f t="shared" si="108"/>
        <v>44648</v>
      </c>
      <c r="AC399" s="119"/>
      <c r="AD399" s="26"/>
      <c r="AE399" s="122"/>
      <c r="AF399" s="114" t="s">
        <v>270</v>
      </c>
      <c r="AG399" s="114" t="s">
        <v>119</v>
      </c>
      <c r="AH399" s="26"/>
      <c r="AI399" s="26"/>
      <c r="AJ399" s="26"/>
      <c r="AK399" s="26"/>
      <c r="AL399" s="26"/>
      <c r="AM399" s="26"/>
      <c r="AN399" s="34"/>
      <c r="AO399" s="123">
        <v>44018</v>
      </c>
      <c r="AP399" s="4"/>
      <c r="AQ399" s="4"/>
      <c r="AR399" s="4"/>
      <c r="AS399" s="4"/>
      <c r="AT399" s="4"/>
    </row>
    <row r="400" spans="1:46" s="124" customFormat="1" ht="111.95" customHeight="1" x14ac:dyDescent="0.25">
      <c r="A400" s="113">
        <v>261</v>
      </c>
      <c r="B400" s="113" t="s">
        <v>109</v>
      </c>
      <c r="C400" s="114" t="s">
        <v>120</v>
      </c>
      <c r="D400" s="113">
        <v>29</v>
      </c>
      <c r="E400" s="113" t="s">
        <v>121</v>
      </c>
      <c r="F400" s="115" t="s">
        <v>366</v>
      </c>
      <c r="G400" s="116" t="s">
        <v>312</v>
      </c>
      <c r="H400" s="116" t="s">
        <v>367</v>
      </c>
      <c r="I400" s="117" t="s">
        <v>113</v>
      </c>
      <c r="J400" s="116" t="s">
        <v>368</v>
      </c>
      <c r="K400" s="116" t="s">
        <v>369</v>
      </c>
      <c r="L400" s="118"/>
      <c r="M400" s="118"/>
      <c r="N400" s="119">
        <v>43647</v>
      </c>
      <c r="O400" s="119">
        <v>44742</v>
      </c>
      <c r="P400" s="120">
        <f>(O400-N400)/365</f>
        <v>3</v>
      </c>
      <c r="Q400" s="114" t="s">
        <v>43</v>
      </c>
      <c r="R400" s="114">
        <f t="shared" ca="1" si="103"/>
        <v>-3.5357829786439505</v>
      </c>
      <c r="S400" s="114" t="str">
        <f t="shared" ca="1" si="91"/>
        <v>Y</v>
      </c>
      <c r="T400" s="121">
        <v>3</v>
      </c>
      <c r="U400" s="121">
        <v>2</v>
      </c>
      <c r="V400" s="121">
        <v>3</v>
      </c>
      <c r="W400" s="121">
        <f t="shared" si="89"/>
        <v>8</v>
      </c>
      <c r="X400" s="121" t="str">
        <f t="shared" si="90"/>
        <v>Penting</v>
      </c>
      <c r="Y400" s="115" t="s">
        <v>364</v>
      </c>
      <c r="Z400" s="114" t="s">
        <v>119</v>
      </c>
      <c r="AA400" s="119">
        <f t="shared" si="107"/>
        <v>43917</v>
      </c>
      <c r="AB400" s="119">
        <f t="shared" si="108"/>
        <v>44282</v>
      </c>
      <c r="AC400" s="119">
        <f t="shared" ref="AC400" si="109">+N400+1000</f>
        <v>44647</v>
      </c>
      <c r="AD400" s="26"/>
      <c r="AE400" s="122"/>
      <c r="AF400" s="114" t="s">
        <v>270</v>
      </c>
      <c r="AG400" s="114" t="s">
        <v>119</v>
      </c>
      <c r="AH400" s="26"/>
      <c r="AI400" s="26"/>
      <c r="AJ400" s="26"/>
      <c r="AK400" s="26"/>
      <c r="AL400" s="26"/>
      <c r="AM400" s="26"/>
      <c r="AN400" s="34"/>
      <c r="AO400" s="123"/>
      <c r="AP400" s="4"/>
      <c r="AQ400" s="4"/>
      <c r="AR400" s="4"/>
      <c r="AS400" s="4"/>
      <c r="AT400" s="4"/>
    </row>
    <row r="401" spans="1:46" s="124" customFormat="1" ht="111.95" customHeight="1" x14ac:dyDescent="0.25">
      <c r="A401" s="113">
        <v>262</v>
      </c>
      <c r="B401" s="113" t="s">
        <v>109</v>
      </c>
      <c r="C401" s="114" t="s">
        <v>441</v>
      </c>
      <c r="D401" s="113">
        <v>4</v>
      </c>
      <c r="E401" s="113" t="s">
        <v>121</v>
      </c>
      <c r="F401" s="115"/>
      <c r="G401" s="116" t="s">
        <v>1065</v>
      </c>
      <c r="H401" s="116" t="s">
        <v>1070</v>
      </c>
      <c r="I401" s="117" t="s">
        <v>160</v>
      </c>
      <c r="J401" s="116" t="s">
        <v>1067</v>
      </c>
      <c r="K401" s="116"/>
      <c r="L401" s="118"/>
      <c r="M401" s="118"/>
      <c r="N401" s="119">
        <v>43018</v>
      </c>
      <c r="O401" s="119">
        <v>44843</v>
      </c>
      <c r="P401" s="120">
        <f>(O401-N401)/365</f>
        <v>5</v>
      </c>
      <c r="Q401" s="114" t="s">
        <v>43</v>
      </c>
      <c r="R401" s="114">
        <f t="shared" ca="1" si="103"/>
        <v>-0.27771846251491827</v>
      </c>
      <c r="S401" s="114" t="str">
        <f t="shared" ca="1" si="91"/>
        <v>Y</v>
      </c>
      <c r="T401" s="121">
        <v>3</v>
      </c>
      <c r="U401" s="121">
        <v>2</v>
      </c>
      <c r="V401" s="121">
        <v>3</v>
      </c>
      <c r="W401" s="121">
        <f t="shared" si="89"/>
        <v>8</v>
      </c>
      <c r="X401" s="121" t="str">
        <f t="shared" si="90"/>
        <v>Penting</v>
      </c>
      <c r="Y401" s="115" t="s">
        <v>1068</v>
      </c>
      <c r="Z401" s="114" t="s">
        <v>119</v>
      </c>
      <c r="AA401" s="119">
        <f>N401+1000</f>
        <v>44018</v>
      </c>
      <c r="AB401" s="119">
        <f>+N401+1365</f>
        <v>44383</v>
      </c>
      <c r="AC401" s="119"/>
      <c r="AD401" s="26"/>
      <c r="AE401" s="122"/>
      <c r="AF401" s="114" t="s">
        <v>1069</v>
      </c>
      <c r="AG401" s="114" t="s">
        <v>119</v>
      </c>
      <c r="AH401" s="26"/>
      <c r="AI401" s="26"/>
      <c r="AJ401" s="26"/>
      <c r="AK401" s="26"/>
      <c r="AL401" s="26"/>
      <c r="AM401" s="26"/>
      <c r="AN401" s="34"/>
      <c r="AO401" s="123"/>
      <c r="AP401" s="4"/>
      <c r="AQ401" s="4"/>
      <c r="AR401" s="4"/>
      <c r="AS401" s="4"/>
      <c r="AT401" s="4"/>
    </row>
    <row r="402" spans="1:46" s="124" customFormat="1" ht="111.95" customHeight="1" x14ac:dyDescent="0.25">
      <c r="A402" s="113">
        <v>263</v>
      </c>
      <c r="B402" s="113" t="s">
        <v>109</v>
      </c>
      <c r="C402" s="114" t="s">
        <v>441</v>
      </c>
      <c r="D402" s="113">
        <v>5</v>
      </c>
      <c r="E402" s="113" t="s">
        <v>121</v>
      </c>
      <c r="F402" s="115" t="s">
        <v>1029</v>
      </c>
      <c r="G402" s="116" t="s">
        <v>312</v>
      </c>
      <c r="H402" s="116" t="s">
        <v>1030</v>
      </c>
      <c r="I402" s="117" t="s">
        <v>160</v>
      </c>
      <c r="J402" s="116" t="s">
        <v>1031</v>
      </c>
      <c r="K402" s="116"/>
      <c r="L402" s="118"/>
      <c r="M402" s="118"/>
      <c r="N402" s="119">
        <v>44378</v>
      </c>
      <c r="O402" s="119">
        <v>44742</v>
      </c>
      <c r="P402" s="120">
        <f t="shared" ref="P402" si="110">(O402-N402)/365</f>
        <v>0.99726027397260275</v>
      </c>
      <c r="Q402" s="114" t="s">
        <v>43</v>
      </c>
      <c r="R402" s="114">
        <f t="shared" ca="1" si="103"/>
        <v>-3.5357829786439505</v>
      </c>
      <c r="S402" s="114" t="str">
        <f t="shared" ca="1" si="91"/>
        <v>Y</v>
      </c>
      <c r="T402" s="121">
        <v>3</v>
      </c>
      <c r="U402" s="121">
        <v>3</v>
      </c>
      <c r="V402" s="121">
        <v>3</v>
      </c>
      <c r="W402" s="121">
        <f t="shared" si="89"/>
        <v>9</v>
      </c>
      <c r="X402" s="121" t="str">
        <f t="shared" si="90"/>
        <v>Penting</v>
      </c>
      <c r="Y402" s="115"/>
      <c r="Z402" s="125"/>
      <c r="AA402" s="119"/>
      <c r="AB402" s="119"/>
      <c r="AC402" s="119"/>
      <c r="AD402" s="26"/>
      <c r="AE402" s="122"/>
      <c r="AF402" s="114" t="s">
        <v>1016</v>
      </c>
      <c r="AG402" s="114" t="s">
        <v>119</v>
      </c>
      <c r="AH402" s="26"/>
      <c r="AI402" s="26"/>
      <c r="AJ402" s="26"/>
      <c r="AK402" s="26"/>
      <c r="AL402" s="26"/>
      <c r="AM402" s="26"/>
      <c r="AN402" s="34"/>
      <c r="AO402" s="123">
        <v>44407</v>
      </c>
      <c r="AP402" s="4"/>
      <c r="AQ402" s="4"/>
      <c r="AR402" s="4"/>
      <c r="AS402" s="4"/>
      <c r="AT402" s="4"/>
    </row>
    <row r="403" spans="1:46" s="124" customFormat="1" ht="111.95" customHeight="1" x14ac:dyDescent="0.25">
      <c r="A403" s="113">
        <v>264</v>
      </c>
      <c r="B403" s="113" t="s">
        <v>109</v>
      </c>
      <c r="C403" s="114"/>
      <c r="D403" s="113"/>
      <c r="E403" s="113"/>
      <c r="F403" s="115"/>
      <c r="G403" s="116"/>
      <c r="H403" s="116" t="s">
        <v>1071</v>
      </c>
      <c r="I403" s="117"/>
      <c r="J403" s="116"/>
      <c r="K403" s="116"/>
      <c r="L403" s="118"/>
      <c r="M403" s="118"/>
      <c r="N403" s="119"/>
      <c r="O403" s="119"/>
      <c r="P403" s="120"/>
      <c r="Q403" s="114" t="s">
        <v>43</v>
      </c>
      <c r="R403" s="114" t="s">
        <v>18</v>
      </c>
      <c r="S403" s="114" t="str">
        <f t="shared" si="91"/>
        <v>C</v>
      </c>
      <c r="T403" s="121">
        <v>1</v>
      </c>
      <c r="U403" s="121">
        <v>1</v>
      </c>
      <c r="V403" s="121">
        <v>1</v>
      </c>
      <c r="W403" s="121">
        <f t="shared" si="89"/>
        <v>3</v>
      </c>
      <c r="X403" s="121" t="str">
        <f t="shared" si="90"/>
        <v>Biasa</v>
      </c>
      <c r="Y403" s="115"/>
      <c r="Z403" s="115"/>
      <c r="AA403" s="119"/>
      <c r="AB403" s="119"/>
      <c r="AC403" s="119"/>
      <c r="AD403" s="26" t="s">
        <v>18</v>
      </c>
      <c r="AE403" s="122">
        <v>43800</v>
      </c>
      <c r="AF403" s="114" t="s">
        <v>1069</v>
      </c>
      <c r="AG403" s="114"/>
      <c r="AH403" s="26"/>
      <c r="AI403" s="26"/>
      <c r="AJ403" s="26"/>
      <c r="AK403" s="26"/>
      <c r="AL403" s="26"/>
      <c r="AM403" s="26"/>
      <c r="AN403" s="26"/>
      <c r="AO403" s="123"/>
      <c r="AP403" s="4"/>
      <c r="AQ403" s="4"/>
      <c r="AR403" s="4"/>
      <c r="AS403" s="4"/>
      <c r="AT403" s="4"/>
    </row>
    <row r="404" spans="1:46" s="124" customFormat="1" ht="111.95" customHeight="1" x14ac:dyDescent="0.25">
      <c r="A404" s="113">
        <v>265</v>
      </c>
      <c r="B404" s="113" t="s">
        <v>109</v>
      </c>
      <c r="C404" s="114" t="s">
        <v>120</v>
      </c>
      <c r="D404" s="113">
        <v>21</v>
      </c>
      <c r="E404" s="113" t="s">
        <v>121</v>
      </c>
      <c r="F404" s="115" t="s">
        <v>264</v>
      </c>
      <c r="G404" s="116" t="s">
        <v>265</v>
      </c>
      <c r="H404" s="116" t="s">
        <v>266</v>
      </c>
      <c r="I404" s="117" t="s">
        <v>160</v>
      </c>
      <c r="J404" s="116" t="s">
        <v>267</v>
      </c>
      <c r="K404" s="116" t="s">
        <v>268</v>
      </c>
      <c r="L404" s="118" t="s">
        <v>269</v>
      </c>
      <c r="M404" s="118"/>
      <c r="N404" s="119">
        <v>44501</v>
      </c>
      <c r="O404" s="119">
        <v>44742</v>
      </c>
      <c r="P404" s="120">
        <f>(O404-N404)/365</f>
        <v>0.66027397260273968</v>
      </c>
      <c r="Q404" s="114" t="s">
        <v>43</v>
      </c>
      <c r="R404" s="114">
        <f t="shared" ref="R404:R409" ca="1" si="111">(O404-NOW()+1)/31</f>
        <v>-3.5357829786439505</v>
      </c>
      <c r="S404" s="114" t="str">
        <f t="shared" ca="1" si="91"/>
        <v>Y</v>
      </c>
      <c r="T404" s="121">
        <v>3</v>
      </c>
      <c r="U404" s="121">
        <v>2</v>
      </c>
      <c r="V404" s="121">
        <v>1</v>
      </c>
      <c r="W404" s="121">
        <f t="shared" si="89"/>
        <v>6</v>
      </c>
      <c r="X404" s="121" t="str">
        <f t="shared" si="90"/>
        <v>Penting</v>
      </c>
      <c r="Y404" s="115"/>
      <c r="Z404" s="114"/>
      <c r="AA404" s="119"/>
      <c r="AB404" s="119"/>
      <c r="AC404" s="119"/>
      <c r="AD404" s="26"/>
      <c r="AE404" s="122"/>
      <c r="AF404" s="114" t="s">
        <v>270</v>
      </c>
      <c r="AG404" s="114" t="s">
        <v>119</v>
      </c>
      <c r="AH404" s="26"/>
      <c r="AI404" s="26"/>
      <c r="AJ404" s="26"/>
      <c r="AK404" s="26"/>
      <c r="AL404" s="26"/>
      <c r="AM404" s="26"/>
      <c r="AN404" s="34"/>
      <c r="AO404" s="123">
        <v>44512</v>
      </c>
      <c r="AP404" s="4"/>
      <c r="AQ404" s="4"/>
      <c r="AR404" s="4"/>
      <c r="AS404" s="4"/>
      <c r="AT404" s="4"/>
    </row>
    <row r="405" spans="1:46" s="124" customFormat="1" ht="111.95" customHeight="1" x14ac:dyDescent="0.25">
      <c r="A405" s="113">
        <v>266</v>
      </c>
      <c r="B405" s="113" t="s">
        <v>109</v>
      </c>
      <c r="C405" s="114" t="s">
        <v>441</v>
      </c>
      <c r="D405" s="113">
        <v>6</v>
      </c>
      <c r="E405" s="113" t="s">
        <v>121</v>
      </c>
      <c r="F405" s="115" t="s">
        <v>1072</v>
      </c>
      <c r="G405" s="116" t="s">
        <v>312</v>
      </c>
      <c r="H405" s="116" t="s">
        <v>1073</v>
      </c>
      <c r="I405" s="117" t="s">
        <v>113</v>
      </c>
      <c r="J405" s="116" t="s">
        <v>1074</v>
      </c>
      <c r="K405" s="116" t="s">
        <v>1075</v>
      </c>
      <c r="L405" s="118" t="s">
        <v>269</v>
      </c>
      <c r="M405" s="118"/>
      <c r="N405" s="119">
        <v>43710</v>
      </c>
      <c r="O405" s="119">
        <v>44805</v>
      </c>
      <c r="P405" s="120">
        <f>(O405-N405)/365</f>
        <v>3</v>
      </c>
      <c r="Q405" s="114" t="s">
        <v>43</v>
      </c>
      <c r="R405" s="114">
        <f t="shared" ca="1" si="111"/>
        <v>-1.5035249141278215</v>
      </c>
      <c r="S405" s="114" t="str">
        <f t="shared" ca="1" si="91"/>
        <v>Y</v>
      </c>
      <c r="T405" s="121">
        <v>1</v>
      </c>
      <c r="U405" s="121">
        <v>1</v>
      </c>
      <c r="V405" s="121">
        <v>1</v>
      </c>
      <c r="W405" s="121">
        <f t="shared" si="89"/>
        <v>3</v>
      </c>
      <c r="X405" s="121" t="str">
        <f t="shared" si="90"/>
        <v>Biasa</v>
      </c>
      <c r="Y405" s="115" t="s">
        <v>364</v>
      </c>
      <c r="Z405" s="114" t="s">
        <v>119</v>
      </c>
      <c r="AA405" s="119">
        <f>N405+270</f>
        <v>43980</v>
      </c>
      <c r="AB405" s="119">
        <f>+N405+635</f>
        <v>44345</v>
      </c>
      <c r="AC405" s="119">
        <f>+N405+1000</f>
        <v>44710</v>
      </c>
      <c r="AD405" s="26"/>
      <c r="AE405" s="122"/>
      <c r="AF405" s="114" t="s">
        <v>1069</v>
      </c>
      <c r="AG405" s="114" t="s">
        <v>119</v>
      </c>
      <c r="AH405" s="26"/>
      <c r="AI405" s="26"/>
      <c r="AJ405" s="26"/>
      <c r="AK405" s="26"/>
      <c r="AL405" s="26"/>
      <c r="AM405" s="26"/>
      <c r="AN405" s="34"/>
      <c r="AO405" s="123">
        <v>43756</v>
      </c>
      <c r="AP405" s="4"/>
      <c r="AQ405" s="4"/>
      <c r="AR405" s="4"/>
      <c r="AS405" s="4"/>
      <c r="AT405" s="4"/>
    </row>
    <row r="406" spans="1:46" s="124" customFormat="1" ht="111.95" customHeight="1" x14ac:dyDescent="0.25">
      <c r="A406" s="113">
        <v>267</v>
      </c>
      <c r="B406" s="113"/>
      <c r="C406" s="114"/>
      <c r="D406" s="113"/>
      <c r="E406" s="113"/>
      <c r="F406" s="115" t="s">
        <v>370</v>
      </c>
      <c r="G406" s="116" t="s">
        <v>312</v>
      </c>
      <c r="H406" s="116" t="s">
        <v>371</v>
      </c>
      <c r="I406" s="117" t="s">
        <v>113</v>
      </c>
      <c r="J406" s="116" t="s">
        <v>372</v>
      </c>
      <c r="K406" s="116" t="s">
        <v>373</v>
      </c>
      <c r="L406" s="118" t="s">
        <v>269</v>
      </c>
      <c r="M406" s="118"/>
      <c r="N406" s="119">
        <v>44013</v>
      </c>
      <c r="O406" s="119">
        <v>44742</v>
      </c>
      <c r="P406" s="120">
        <f t="shared" ref="P406:P407" si="112">(O406-N406)/365</f>
        <v>1.9972602739726026</v>
      </c>
      <c r="Q406" s="114" t="s">
        <v>43</v>
      </c>
      <c r="R406" s="114" t="s">
        <v>117</v>
      </c>
      <c r="S406" s="114" t="str">
        <f>IF(R406="End","Z",IF(R406="Cancel","C",IF(SUM(R406)&gt;0,"O",IF(ISBLANK(R406),"X",IF(SUM(R406)&lt;0,"Y",IF(SUM(R406),"-","O"))))))</f>
        <v>Z</v>
      </c>
      <c r="T406" s="121">
        <v>2</v>
      </c>
      <c r="U406" s="121">
        <v>2</v>
      </c>
      <c r="V406" s="121">
        <v>1</v>
      </c>
      <c r="W406" s="121">
        <f t="shared" si="89"/>
        <v>5</v>
      </c>
      <c r="X406" s="121" t="str">
        <f t="shared" si="90"/>
        <v>Biasa</v>
      </c>
      <c r="Y406" s="115" t="s">
        <v>374</v>
      </c>
      <c r="Z406" s="114"/>
      <c r="AA406" s="119"/>
      <c r="AB406" s="119"/>
      <c r="AC406" s="119"/>
      <c r="AD406" s="26" t="s">
        <v>16</v>
      </c>
      <c r="AE406" s="122">
        <v>44501</v>
      </c>
      <c r="AF406" s="114" t="s">
        <v>270</v>
      </c>
      <c r="AG406" s="114" t="s">
        <v>119</v>
      </c>
      <c r="AH406" s="26"/>
      <c r="AI406" s="26"/>
      <c r="AJ406" s="26"/>
      <c r="AK406" s="26"/>
      <c r="AL406" s="26"/>
      <c r="AM406" s="26"/>
      <c r="AN406" s="26"/>
      <c r="AO406" s="123"/>
      <c r="AP406" s="4"/>
      <c r="AQ406" s="4"/>
      <c r="AR406" s="4"/>
      <c r="AS406" s="4"/>
      <c r="AT406" s="4"/>
    </row>
    <row r="407" spans="1:46" s="124" customFormat="1" ht="111.95" customHeight="1" x14ac:dyDescent="0.25">
      <c r="A407" s="113">
        <v>268</v>
      </c>
      <c r="B407" s="113" t="s">
        <v>109</v>
      </c>
      <c r="C407" s="114" t="s">
        <v>120</v>
      </c>
      <c r="D407" s="113">
        <v>30</v>
      </c>
      <c r="E407" s="113" t="s">
        <v>121</v>
      </c>
      <c r="F407" s="115" t="s">
        <v>375</v>
      </c>
      <c r="G407" s="116" t="s">
        <v>312</v>
      </c>
      <c r="H407" s="116" t="s">
        <v>376</v>
      </c>
      <c r="I407" s="117" t="s">
        <v>113</v>
      </c>
      <c r="J407" s="116" t="s">
        <v>377</v>
      </c>
      <c r="K407" s="116" t="s">
        <v>378</v>
      </c>
      <c r="L407" s="118" t="s">
        <v>269</v>
      </c>
      <c r="M407" s="118"/>
      <c r="N407" s="119">
        <v>44501</v>
      </c>
      <c r="O407" s="119">
        <v>44865</v>
      </c>
      <c r="P407" s="120">
        <f t="shared" si="112"/>
        <v>0.99726027397260275</v>
      </c>
      <c r="Q407" s="114" t="s">
        <v>43</v>
      </c>
      <c r="R407" s="114">
        <f t="shared" ca="1" si="111"/>
        <v>0.43195895683992047</v>
      </c>
      <c r="S407" s="114" t="str">
        <f t="shared" ca="1" si="91"/>
        <v>O</v>
      </c>
      <c r="T407" s="121">
        <v>1</v>
      </c>
      <c r="U407" s="121">
        <v>1</v>
      </c>
      <c r="V407" s="121">
        <v>1</v>
      </c>
      <c r="W407" s="121">
        <f t="shared" si="89"/>
        <v>3</v>
      </c>
      <c r="X407" s="121" t="str">
        <f t="shared" si="90"/>
        <v>Biasa</v>
      </c>
      <c r="Y407" s="115"/>
      <c r="Z407" s="114"/>
      <c r="AA407" s="119"/>
      <c r="AB407" s="119"/>
      <c r="AC407" s="119"/>
      <c r="AD407" s="26"/>
      <c r="AE407" s="122"/>
      <c r="AF407" s="114" t="s">
        <v>270</v>
      </c>
      <c r="AG407" s="114" t="s">
        <v>119</v>
      </c>
      <c r="AH407" s="26"/>
      <c r="AI407" s="26"/>
      <c r="AJ407" s="26"/>
      <c r="AK407" s="26"/>
      <c r="AL407" s="26"/>
      <c r="AM407" s="26"/>
      <c r="AN407" s="34"/>
      <c r="AO407" s="123"/>
      <c r="AP407" s="4"/>
      <c r="AQ407" s="4"/>
      <c r="AR407" s="4"/>
      <c r="AS407" s="4"/>
      <c r="AT407" s="4"/>
    </row>
    <row r="408" spans="1:46" s="124" customFormat="1" ht="111.95" customHeight="1" x14ac:dyDescent="0.25">
      <c r="A408" s="113">
        <v>269</v>
      </c>
      <c r="B408" s="113" t="s">
        <v>109</v>
      </c>
      <c r="C408" s="114" t="s">
        <v>441</v>
      </c>
      <c r="D408" s="113">
        <v>24</v>
      </c>
      <c r="E408" s="113" t="s">
        <v>121</v>
      </c>
      <c r="F408" s="115" t="s">
        <v>1076</v>
      </c>
      <c r="G408" s="116" t="s">
        <v>312</v>
      </c>
      <c r="H408" s="116" t="s">
        <v>1077</v>
      </c>
      <c r="I408" s="117" t="s">
        <v>113</v>
      </c>
      <c r="J408" s="116" t="s">
        <v>1078</v>
      </c>
      <c r="K408" s="116" t="s">
        <v>1079</v>
      </c>
      <c r="L408" s="118" t="s">
        <v>359</v>
      </c>
      <c r="M408" s="118"/>
      <c r="N408" s="119">
        <v>43922</v>
      </c>
      <c r="O408" s="119">
        <v>45016</v>
      </c>
      <c r="P408" s="120">
        <f>(O408-N408)/365</f>
        <v>2.9972602739726026</v>
      </c>
      <c r="Q408" s="114" t="s">
        <v>43</v>
      </c>
      <c r="R408" s="114">
        <f t="shared" ca="1" si="111"/>
        <v>5.302926698775404</v>
      </c>
      <c r="S408" s="114" t="str">
        <f t="shared" ca="1" si="91"/>
        <v>O</v>
      </c>
      <c r="T408" s="121">
        <v>1</v>
      </c>
      <c r="U408" s="121">
        <v>1</v>
      </c>
      <c r="V408" s="121">
        <v>3</v>
      </c>
      <c r="W408" s="121">
        <f t="shared" si="89"/>
        <v>5</v>
      </c>
      <c r="X408" s="121" t="str">
        <f t="shared" si="90"/>
        <v>Biasa</v>
      </c>
      <c r="Y408" s="115" t="s">
        <v>364</v>
      </c>
      <c r="Z408" s="114" t="s">
        <v>119</v>
      </c>
      <c r="AA408" s="119">
        <f>N408+270</f>
        <v>44192</v>
      </c>
      <c r="AB408" s="119">
        <f>+N408+635</f>
        <v>44557</v>
      </c>
      <c r="AC408" s="119"/>
      <c r="AD408" s="26"/>
      <c r="AE408" s="122"/>
      <c r="AF408" s="114" t="s">
        <v>1069</v>
      </c>
      <c r="AG408" s="114" t="s">
        <v>119</v>
      </c>
      <c r="AH408" s="26"/>
      <c r="AI408" s="26"/>
      <c r="AJ408" s="26"/>
      <c r="AK408" s="26"/>
      <c r="AL408" s="26"/>
      <c r="AM408" s="26"/>
      <c r="AN408" s="34"/>
      <c r="AO408" s="123">
        <v>43959</v>
      </c>
      <c r="AP408" s="4"/>
      <c r="AQ408" s="4"/>
      <c r="AR408" s="4"/>
      <c r="AS408" s="4"/>
      <c r="AT408" s="4"/>
    </row>
    <row r="409" spans="1:46" s="124" customFormat="1" ht="111.95" customHeight="1" x14ac:dyDescent="0.25">
      <c r="A409" s="113">
        <v>270</v>
      </c>
      <c r="B409" s="113" t="s">
        <v>109</v>
      </c>
      <c r="C409" s="114" t="s">
        <v>441</v>
      </c>
      <c r="D409" s="113">
        <v>15</v>
      </c>
      <c r="E409" s="113" t="s">
        <v>121</v>
      </c>
      <c r="F409" s="115" t="s">
        <v>1080</v>
      </c>
      <c r="G409" s="116" t="s">
        <v>312</v>
      </c>
      <c r="H409" s="116" t="s">
        <v>1081</v>
      </c>
      <c r="I409" s="117" t="s">
        <v>113</v>
      </c>
      <c r="J409" s="116" t="s">
        <v>1082</v>
      </c>
      <c r="K409" s="116" t="s">
        <v>1083</v>
      </c>
      <c r="L409" s="118" t="s">
        <v>269</v>
      </c>
      <c r="M409" s="118"/>
      <c r="N409" s="119">
        <v>43739</v>
      </c>
      <c r="O409" s="119">
        <v>44834</v>
      </c>
      <c r="P409" s="120">
        <f>(O409-N409)/365</f>
        <v>3</v>
      </c>
      <c r="Q409" s="114" t="s">
        <v>43</v>
      </c>
      <c r="R409" s="114">
        <f t="shared" ca="1" si="111"/>
        <v>-0.56804104316007953</v>
      </c>
      <c r="S409" s="114" t="str">
        <f t="shared" ca="1" si="91"/>
        <v>Y</v>
      </c>
      <c r="T409" s="121">
        <v>1</v>
      </c>
      <c r="U409" s="121">
        <v>1</v>
      </c>
      <c r="V409" s="121">
        <v>2</v>
      </c>
      <c r="W409" s="121">
        <f t="shared" si="89"/>
        <v>4</v>
      </c>
      <c r="X409" s="121" t="str">
        <f t="shared" si="90"/>
        <v>Biasa</v>
      </c>
      <c r="Y409" s="115" t="s">
        <v>364</v>
      </c>
      <c r="Z409" s="114" t="s">
        <v>119</v>
      </c>
      <c r="AA409" s="119">
        <f>N409+270</f>
        <v>44009</v>
      </c>
      <c r="AB409" s="119">
        <f>+N409+635</f>
        <v>44374</v>
      </c>
      <c r="AC409" s="119">
        <f>+N409+1000</f>
        <v>44739</v>
      </c>
      <c r="AD409" s="26"/>
      <c r="AE409" s="122"/>
      <c r="AF409" s="114" t="s">
        <v>1069</v>
      </c>
      <c r="AG409" s="114" t="s">
        <v>119</v>
      </c>
      <c r="AH409" s="26"/>
      <c r="AI409" s="26"/>
      <c r="AJ409" s="26"/>
      <c r="AK409" s="26"/>
      <c r="AL409" s="26"/>
      <c r="AM409" s="26"/>
      <c r="AN409" s="34"/>
      <c r="AO409" s="123">
        <v>43858</v>
      </c>
      <c r="AP409" s="4"/>
      <c r="AQ409" s="4"/>
      <c r="AR409" s="4"/>
      <c r="AS409" s="4"/>
      <c r="AT409" s="4"/>
    </row>
    <row r="410" spans="1:46" s="124" customFormat="1" ht="111.95" customHeight="1" x14ac:dyDescent="0.25">
      <c r="A410" s="113">
        <v>271</v>
      </c>
      <c r="B410" s="113" t="s">
        <v>109</v>
      </c>
      <c r="C410" s="114"/>
      <c r="D410" s="113"/>
      <c r="E410" s="113"/>
      <c r="F410" s="115"/>
      <c r="G410" s="116"/>
      <c r="H410" s="116" t="s">
        <v>1084</v>
      </c>
      <c r="I410" s="117"/>
      <c r="J410" s="116"/>
      <c r="K410" s="116"/>
      <c r="L410" s="118"/>
      <c r="M410" s="118"/>
      <c r="N410" s="119"/>
      <c r="O410" s="119"/>
      <c r="P410" s="120"/>
      <c r="Q410" s="114" t="s">
        <v>43</v>
      </c>
      <c r="R410" s="114" t="s">
        <v>18</v>
      </c>
      <c r="S410" s="114" t="str">
        <f t="shared" si="91"/>
        <v>C</v>
      </c>
      <c r="T410" s="121">
        <v>2</v>
      </c>
      <c r="U410" s="121">
        <v>1</v>
      </c>
      <c r="V410" s="121">
        <v>2</v>
      </c>
      <c r="W410" s="121">
        <f t="shared" si="89"/>
        <v>5</v>
      </c>
      <c r="X410" s="121" t="str">
        <f t="shared" si="90"/>
        <v>Biasa</v>
      </c>
      <c r="Y410" s="115"/>
      <c r="Z410" s="115"/>
      <c r="AA410" s="119"/>
      <c r="AB410" s="119"/>
      <c r="AC410" s="119"/>
      <c r="AD410" s="26" t="s">
        <v>18</v>
      </c>
      <c r="AE410" s="122">
        <v>43678</v>
      </c>
      <c r="AF410" s="114" t="s">
        <v>1069</v>
      </c>
      <c r="AG410" s="114"/>
      <c r="AH410" s="26"/>
      <c r="AI410" s="26"/>
      <c r="AJ410" s="26"/>
      <c r="AK410" s="26"/>
      <c r="AL410" s="26"/>
      <c r="AM410" s="26"/>
      <c r="AN410" s="26"/>
      <c r="AO410" s="123"/>
      <c r="AP410" s="4"/>
      <c r="AQ410" s="4"/>
      <c r="AR410" s="4"/>
      <c r="AS410" s="4"/>
      <c r="AT410" s="4"/>
    </row>
    <row r="411" spans="1:46" s="124" customFormat="1" ht="111.95" customHeight="1" x14ac:dyDescent="0.25">
      <c r="A411" s="113">
        <v>272</v>
      </c>
      <c r="B411" s="113" t="s">
        <v>109</v>
      </c>
      <c r="C411" s="114" t="s">
        <v>120</v>
      </c>
      <c r="D411" s="113">
        <v>39</v>
      </c>
      <c r="E411" s="113" t="s">
        <v>121</v>
      </c>
      <c r="F411" s="115" t="s">
        <v>423</v>
      </c>
      <c r="G411" s="116" t="s">
        <v>312</v>
      </c>
      <c r="H411" s="116" t="s">
        <v>424</v>
      </c>
      <c r="I411" s="117" t="s">
        <v>113</v>
      </c>
      <c r="J411" s="116" t="s">
        <v>425</v>
      </c>
      <c r="K411" s="116" t="s">
        <v>426</v>
      </c>
      <c r="L411" s="118" t="s">
        <v>427</v>
      </c>
      <c r="M411" s="118"/>
      <c r="N411" s="119">
        <v>44378</v>
      </c>
      <c r="O411" s="119">
        <v>44742</v>
      </c>
      <c r="P411" s="120">
        <f t="shared" ref="P411" si="113">(O411-N411)/365</f>
        <v>0.99726027397260275</v>
      </c>
      <c r="Q411" s="114" t="s">
        <v>43</v>
      </c>
      <c r="R411" s="114">
        <f t="shared" ref="R411" ca="1" si="114">(O411-NOW()+1)/31</f>
        <v>-3.5357829786439505</v>
      </c>
      <c r="S411" s="114" t="str">
        <f t="shared" ca="1" si="91"/>
        <v>Y</v>
      </c>
      <c r="T411" s="121">
        <v>1</v>
      </c>
      <c r="U411" s="121">
        <v>1</v>
      </c>
      <c r="V411" s="121">
        <v>2</v>
      </c>
      <c r="W411" s="121">
        <f t="shared" ref="W411:W480" si="115">T411+U411+V411</f>
        <v>4</v>
      </c>
      <c r="X411" s="121" t="str">
        <f t="shared" ref="X411:X480" si="116">IF(W411&gt;5,"Penting",IF(ISBLANK(W411),"","Biasa"))</f>
        <v>Biasa</v>
      </c>
      <c r="Y411" s="115" t="s">
        <v>552</v>
      </c>
      <c r="Z411" s="125"/>
      <c r="AA411" s="119"/>
      <c r="AB411" s="119"/>
      <c r="AC411" s="119"/>
      <c r="AD411" s="26"/>
      <c r="AE411" s="122"/>
      <c r="AF411" s="114" t="s">
        <v>428</v>
      </c>
      <c r="AG411" s="114" t="s">
        <v>119</v>
      </c>
      <c r="AH411" s="26"/>
      <c r="AI411" s="26"/>
      <c r="AJ411" s="26"/>
      <c r="AK411" s="26"/>
      <c r="AL411" s="26"/>
      <c r="AM411" s="26"/>
      <c r="AN411" s="34"/>
      <c r="AO411" s="123">
        <v>43991</v>
      </c>
      <c r="AP411" s="4"/>
      <c r="AQ411" s="4"/>
      <c r="AR411" s="4"/>
      <c r="AS411" s="4"/>
      <c r="AT411" s="4"/>
    </row>
    <row r="412" spans="1:46" s="124" customFormat="1" ht="111.95" customHeight="1" x14ac:dyDescent="0.25">
      <c r="A412" s="113">
        <v>273</v>
      </c>
      <c r="B412" s="113" t="s">
        <v>109</v>
      </c>
      <c r="C412" s="114"/>
      <c r="D412" s="113"/>
      <c r="E412" s="113"/>
      <c r="F412" s="115"/>
      <c r="G412" s="116"/>
      <c r="H412" s="116" t="s">
        <v>1085</v>
      </c>
      <c r="I412" s="117"/>
      <c r="J412" s="116"/>
      <c r="K412" s="116"/>
      <c r="L412" s="118"/>
      <c r="M412" s="118"/>
      <c r="N412" s="119"/>
      <c r="O412" s="119"/>
      <c r="P412" s="120"/>
      <c r="Q412" s="114" t="s">
        <v>43</v>
      </c>
      <c r="R412" s="114" t="s">
        <v>18</v>
      </c>
      <c r="S412" s="114" t="str">
        <f t="shared" ref="S412:S481" si="117">IF(R412="End","Z",IF(R412="Cancel","C",IF(SUM(R412)&gt;0,"O",IF(ISBLANK(R412),"X",IF(SUM(R412)&lt;0,"Y",IF(SUM(R412),"-","O"))))))</f>
        <v>C</v>
      </c>
      <c r="T412" s="121">
        <v>1</v>
      </c>
      <c r="U412" s="121">
        <v>1</v>
      </c>
      <c r="V412" s="121">
        <v>2</v>
      </c>
      <c r="W412" s="121">
        <f t="shared" si="115"/>
        <v>4</v>
      </c>
      <c r="X412" s="121" t="str">
        <f t="shared" si="116"/>
        <v>Biasa</v>
      </c>
      <c r="Y412" s="115"/>
      <c r="Z412" s="115"/>
      <c r="AA412" s="119"/>
      <c r="AB412" s="119"/>
      <c r="AC412" s="119"/>
      <c r="AD412" s="26" t="s">
        <v>18</v>
      </c>
      <c r="AE412" s="122">
        <v>43800</v>
      </c>
      <c r="AF412" s="114" t="s">
        <v>1069</v>
      </c>
      <c r="AG412" s="114"/>
      <c r="AH412" s="26"/>
      <c r="AI412" s="26"/>
      <c r="AJ412" s="26"/>
      <c r="AK412" s="26"/>
      <c r="AL412" s="26"/>
      <c r="AM412" s="26"/>
      <c r="AN412" s="26"/>
      <c r="AO412" s="123"/>
      <c r="AP412" s="4"/>
      <c r="AQ412" s="4"/>
      <c r="AR412" s="4"/>
      <c r="AS412" s="4"/>
      <c r="AT412" s="4"/>
    </row>
    <row r="413" spans="1:46" s="124" customFormat="1" ht="111.95" customHeight="1" x14ac:dyDescent="0.25">
      <c r="A413" s="113">
        <v>274</v>
      </c>
      <c r="B413" s="113" t="s">
        <v>109</v>
      </c>
      <c r="C413" s="114" t="s">
        <v>441</v>
      </c>
      <c r="D413" s="113">
        <v>12</v>
      </c>
      <c r="E413" s="113" t="s">
        <v>121</v>
      </c>
      <c r="F413" s="115" t="s">
        <v>1086</v>
      </c>
      <c r="G413" s="116" t="s">
        <v>312</v>
      </c>
      <c r="H413" s="116" t="s">
        <v>1087</v>
      </c>
      <c r="I413" s="117" t="s">
        <v>113</v>
      </c>
      <c r="J413" s="116" t="s">
        <v>1088</v>
      </c>
      <c r="K413" s="116" t="s">
        <v>1089</v>
      </c>
      <c r="L413" s="118" t="s">
        <v>1090</v>
      </c>
      <c r="M413" s="118"/>
      <c r="N413" s="119">
        <v>43800</v>
      </c>
      <c r="O413" s="119">
        <v>44895</v>
      </c>
      <c r="P413" s="120">
        <f>(O413-N413)/365</f>
        <v>3</v>
      </c>
      <c r="Q413" s="114" t="s">
        <v>43</v>
      </c>
      <c r="R413" s="114">
        <f t="shared" ref="R413:R414" ca="1" si="118">(O413-NOW()+1)/31</f>
        <v>1.3997008923237915</v>
      </c>
      <c r="S413" s="114" t="str">
        <f t="shared" ca="1" si="117"/>
        <v>O</v>
      </c>
      <c r="T413" s="121">
        <v>2</v>
      </c>
      <c r="U413" s="121">
        <v>1</v>
      </c>
      <c r="V413" s="121">
        <v>3</v>
      </c>
      <c r="W413" s="121">
        <f t="shared" si="115"/>
        <v>6</v>
      </c>
      <c r="X413" s="121" t="str">
        <f t="shared" si="116"/>
        <v>Penting</v>
      </c>
      <c r="Y413" s="115" t="s">
        <v>1091</v>
      </c>
      <c r="Z413" s="114" t="s">
        <v>119</v>
      </c>
      <c r="AA413" s="119">
        <f>N413+270</f>
        <v>44070</v>
      </c>
      <c r="AB413" s="119">
        <f>+N413+635</f>
        <v>44435</v>
      </c>
      <c r="AC413" s="119">
        <f>+N413+1000</f>
        <v>44800</v>
      </c>
      <c r="AD413" s="26"/>
      <c r="AE413" s="122"/>
      <c r="AF413" s="114" t="s">
        <v>1069</v>
      </c>
      <c r="AG413" s="114" t="s">
        <v>119</v>
      </c>
      <c r="AH413" s="26"/>
      <c r="AI413" s="26"/>
      <c r="AJ413" s="26"/>
      <c r="AK413" s="26"/>
      <c r="AL413" s="26"/>
      <c r="AM413" s="26"/>
      <c r="AN413" s="34"/>
      <c r="AO413" s="123">
        <v>43851</v>
      </c>
      <c r="AP413" s="4"/>
      <c r="AQ413" s="4"/>
      <c r="AR413" s="4"/>
      <c r="AS413" s="4"/>
      <c r="AT413" s="4"/>
    </row>
    <row r="414" spans="1:46" s="124" customFormat="1" ht="111.95" customHeight="1" x14ac:dyDescent="0.25">
      <c r="A414" s="113">
        <v>275</v>
      </c>
      <c r="B414" s="113" t="s">
        <v>109</v>
      </c>
      <c r="C414" s="114" t="s">
        <v>441</v>
      </c>
      <c r="D414" s="113">
        <v>7</v>
      </c>
      <c r="E414" s="113" t="s">
        <v>121</v>
      </c>
      <c r="F414" s="115" t="s">
        <v>1092</v>
      </c>
      <c r="G414" s="116" t="s">
        <v>312</v>
      </c>
      <c r="H414" s="116" t="s">
        <v>1093</v>
      </c>
      <c r="I414" s="117" t="s">
        <v>113</v>
      </c>
      <c r="J414" s="116" t="s">
        <v>1094</v>
      </c>
      <c r="K414" s="116" t="s">
        <v>1095</v>
      </c>
      <c r="L414" s="118" t="s">
        <v>269</v>
      </c>
      <c r="M414" s="118"/>
      <c r="N414" s="119">
        <v>43709</v>
      </c>
      <c r="O414" s="119">
        <v>44804</v>
      </c>
      <c r="P414" s="120">
        <f>(O414-N414)/365</f>
        <v>3</v>
      </c>
      <c r="Q414" s="114" t="s">
        <v>43</v>
      </c>
      <c r="R414" s="114">
        <f t="shared" ca="1" si="118"/>
        <v>-1.5357829786439505</v>
      </c>
      <c r="S414" s="114" t="str">
        <f t="shared" ca="1" si="117"/>
        <v>Y</v>
      </c>
      <c r="T414" s="121">
        <v>2</v>
      </c>
      <c r="U414" s="121">
        <v>2</v>
      </c>
      <c r="V414" s="121">
        <v>1</v>
      </c>
      <c r="W414" s="121">
        <f t="shared" si="115"/>
        <v>5</v>
      </c>
      <c r="X414" s="121" t="str">
        <f t="shared" si="116"/>
        <v>Biasa</v>
      </c>
      <c r="Y414" s="115" t="s">
        <v>364</v>
      </c>
      <c r="Z414" s="114" t="s">
        <v>119</v>
      </c>
      <c r="AA414" s="119">
        <f>N414+270</f>
        <v>43979</v>
      </c>
      <c r="AB414" s="119">
        <f>+N414+635</f>
        <v>44344</v>
      </c>
      <c r="AC414" s="119">
        <f>+N414+1000</f>
        <v>44709</v>
      </c>
      <c r="AD414" s="26"/>
      <c r="AE414" s="122"/>
      <c r="AF414" s="114" t="s">
        <v>1069</v>
      </c>
      <c r="AG414" s="114" t="s">
        <v>119</v>
      </c>
      <c r="AH414" s="26"/>
      <c r="AI414" s="26"/>
      <c r="AJ414" s="26"/>
      <c r="AK414" s="26"/>
      <c r="AL414" s="26"/>
      <c r="AM414" s="26"/>
      <c r="AN414" s="34"/>
      <c r="AO414" s="123">
        <v>43734</v>
      </c>
      <c r="AP414" s="4"/>
      <c r="AQ414" s="4"/>
      <c r="AR414" s="4"/>
      <c r="AS414" s="4"/>
      <c r="AT414" s="4"/>
    </row>
    <row r="415" spans="1:46" s="124" customFormat="1" ht="111.75" customHeight="1" x14ac:dyDescent="0.25">
      <c r="A415" s="113">
        <v>276</v>
      </c>
      <c r="B415" s="113" t="s">
        <v>109</v>
      </c>
      <c r="C415" s="114"/>
      <c r="D415" s="113"/>
      <c r="E415" s="113"/>
      <c r="F415" s="115"/>
      <c r="G415" s="116"/>
      <c r="H415" s="116" t="s">
        <v>1096</v>
      </c>
      <c r="I415" s="117"/>
      <c r="J415" s="116"/>
      <c r="K415" s="116"/>
      <c r="L415" s="118"/>
      <c r="M415" s="118"/>
      <c r="N415" s="119"/>
      <c r="O415" s="119"/>
      <c r="P415" s="120"/>
      <c r="Q415" s="114" t="s">
        <v>43</v>
      </c>
      <c r="R415" s="114" t="s">
        <v>18</v>
      </c>
      <c r="S415" s="114" t="str">
        <f t="shared" si="117"/>
        <v>C</v>
      </c>
      <c r="T415" s="121">
        <v>1</v>
      </c>
      <c r="U415" s="121">
        <v>1</v>
      </c>
      <c r="V415" s="121">
        <v>3</v>
      </c>
      <c r="W415" s="121">
        <f t="shared" si="115"/>
        <v>5</v>
      </c>
      <c r="X415" s="121" t="str">
        <f t="shared" si="116"/>
        <v>Biasa</v>
      </c>
      <c r="Y415" s="115"/>
      <c r="Z415" s="115"/>
      <c r="AA415" s="119"/>
      <c r="AB415" s="119"/>
      <c r="AC415" s="119"/>
      <c r="AD415" s="26" t="s">
        <v>18</v>
      </c>
      <c r="AE415" s="122">
        <v>43800</v>
      </c>
      <c r="AF415" s="114" t="s">
        <v>1069</v>
      </c>
      <c r="AG415" s="114"/>
      <c r="AH415" s="26"/>
      <c r="AI415" s="26"/>
      <c r="AJ415" s="26"/>
      <c r="AK415" s="26"/>
      <c r="AL415" s="26"/>
      <c r="AM415" s="26"/>
      <c r="AN415" s="26"/>
      <c r="AO415" s="123"/>
      <c r="AP415" s="4"/>
      <c r="AQ415" s="4"/>
      <c r="AR415" s="4"/>
      <c r="AS415" s="4"/>
      <c r="AT415" s="4"/>
    </row>
    <row r="416" spans="1:46" s="124" customFormat="1" ht="111.95" customHeight="1" x14ac:dyDescent="0.25">
      <c r="A416" s="113">
        <v>277</v>
      </c>
      <c r="B416" s="113" t="s">
        <v>109</v>
      </c>
      <c r="C416" s="114" t="s">
        <v>441</v>
      </c>
      <c r="D416" s="113">
        <v>25</v>
      </c>
      <c r="E416" s="113" t="s">
        <v>121</v>
      </c>
      <c r="F416" s="115" t="s">
        <v>1097</v>
      </c>
      <c r="G416" s="116" t="s">
        <v>312</v>
      </c>
      <c r="H416" s="116" t="s">
        <v>1098</v>
      </c>
      <c r="I416" s="117" t="s">
        <v>113</v>
      </c>
      <c r="J416" s="116" t="s">
        <v>1099</v>
      </c>
      <c r="K416" s="116" t="s">
        <v>1100</v>
      </c>
      <c r="L416" s="118" t="s">
        <v>269</v>
      </c>
      <c r="M416" s="118"/>
      <c r="N416" s="119">
        <v>43922</v>
      </c>
      <c r="O416" s="119">
        <v>45016</v>
      </c>
      <c r="P416" s="120">
        <f t="shared" ref="P416:P425" si="119">(O416-N416)/365</f>
        <v>2.9972602739726026</v>
      </c>
      <c r="Q416" s="114" t="s">
        <v>43</v>
      </c>
      <c r="R416" s="114">
        <f t="shared" ref="R416:R420" ca="1" si="120">(O416-NOW()+1)/31</f>
        <v>5.302926698775404</v>
      </c>
      <c r="S416" s="114" t="str">
        <f t="shared" ca="1" si="117"/>
        <v>O</v>
      </c>
      <c r="T416" s="121">
        <v>2</v>
      </c>
      <c r="U416" s="121">
        <v>1</v>
      </c>
      <c r="V416" s="121">
        <v>3</v>
      </c>
      <c r="W416" s="121">
        <f t="shared" si="115"/>
        <v>6</v>
      </c>
      <c r="X416" s="121" t="str">
        <f t="shared" si="116"/>
        <v>Penting</v>
      </c>
      <c r="Y416" s="115" t="s">
        <v>364</v>
      </c>
      <c r="Z416" s="114" t="s">
        <v>119</v>
      </c>
      <c r="AA416" s="119">
        <f>N416+270</f>
        <v>44192</v>
      </c>
      <c r="AB416" s="119">
        <f>+N416+635</f>
        <v>44557</v>
      </c>
      <c r="AC416" s="119"/>
      <c r="AD416" s="26"/>
      <c r="AE416" s="122"/>
      <c r="AF416" s="114" t="s">
        <v>1069</v>
      </c>
      <c r="AG416" s="114" t="s">
        <v>119</v>
      </c>
      <c r="AH416" s="26"/>
      <c r="AI416" s="26"/>
      <c r="AJ416" s="26"/>
      <c r="AK416" s="26"/>
      <c r="AL416" s="26"/>
      <c r="AM416" s="26"/>
      <c r="AN416" s="34"/>
      <c r="AO416" s="123">
        <v>43949</v>
      </c>
      <c r="AP416" s="4"/>
      <c r="AQ416" s="4"/>
      <c r="AR416" s="4"/>
      <c r="AS416" s="4"/>
      <c r="AT416" s="4"/>
    </row>
    <row r="417" spans="1:46" s="124" customFormat="1" ht="111.95" customHeight="1" x14ac:dyDescent="0.25">
      <c r="A417" s="113">
        <v>278</v>
      </c>
      <c r="B417" s="113" t="s">
        <v>109</v>
      </c>
      <c r="C417" s="114" t="s">
        <v>441</v>
      </c>
      <c r="D417" s="113">
        <v>11</v>
      </c>
      <c r="E417" s="113" t="s">
        <v>121</v>
      </c>
      <c r="F417" s="115" t="s">
        <v>1101</v>
      </c>
      <c r="G417" s="116" t="s">
        <v>312</v>
      </c>
      <c r="H417" s="116" t="s">
        <v>1102</v>
      </c>
      <c r="I417" s="117" t="s">
        <v>113</v>
      </c>
      <c r="J417" s="116" t="s">
        <v>1103</v>
      </c>
      <c r="K417" s="116" t="s">
        <v>1104</v>
      </c>
      <c r="L417" s="118" t="s">
        <v>269</v>
      </c>
      <c r="M417" s="118"/>
      <c r="N417" s="119">
        <v>43770</v>
      </c>
      <c r="O417" s="119">
        <v>44865</v>
      </c>
      <c r="P417" s="120">
        <f t="shared" si="119"/>
        <v>3</v>
      </c>
      <c r="Q417" s="114" t="s">
        <v>43</v>
      </c>
      <c r="R417" s="114">
        <f t="shared" ca="1" si="120"/>
        <v>0.43195895683992047</v>
      </c>
      <c r="S417" s="114" t="str">
        <f t="shared" ca="1" si="117"/>
        <v>O</v>
      </c>
      <c r="T417" s="121">
        <v>1</v>
      </c>
      <c r="U417" s="121">
        <v>1</v>
      </c>
      <c r="V417" s="121">
        <v>3</v>
      </c>
      <c r="W417" s="121">
        <f t="shared" si="115"/>
        <v>5</v>
      </c>
      <c r="X417" s="121" t="str">
        <f t="shared" si="116"/>
        <v>Biasa</v>
      </c>
      <c r="Y417" s="115" t="s">
        <v>364</v>
      </c>
      <c r="Z417" s="114" t="s">
        <v>119</v>
      </c>
      <c r="AA417" s="119">
        <f>N417+270</f>
        <v>44040</v>
      </c>
      <c r="AB417" s="119">
        <f>+N417+635</f>
        <v>44405</v>
      </c>
      <c r="AC417" s="119"/>
      <c r="AD417" s="26"/>
      <c r="AE417" s="122"/>
      <c r="AF417" s="114" t="s">
        <v>1069</v>
      </c>
      <c r="AG417" s="114" t="s">
        <v>119</v>
      </c>
      <c r="AH417" s="26"/>
      <c r="AI417" s="26"/>
      <c r="AJ417" s="26"/>
      <c r="AK417" s="26"/>
      <c r="AL417" s="26"/>
      <c r="AM417" s="26"/>
      <c r="AN417" s="34"/>
      <c r="AO417" s="123">
        <v>43802</v>
      </c>
      <c r="AP417" s="4"/>
      <c r="AQ417" s="4"/>
      <c r="AR417" s="4"/>
      <c r="AS417" s="4"/>
      <c r="AT417" s="4"/>
    </row>
    <row r="418" spans="1:46" s="124" customFormat="1" ht="111.95" customHeight="1" x14ac:dyDescent="0.25">
      <c r="A418" s="113">
        <v>279</v>
      </c>
      <c r="B418" s="113" t="s">
        <v>109</v>
      </c>
      <c r="C418" s="114" t="s">
        <v>441</v>
      </c>
      <c r="D418" s="113">
        <v>9</v>
      </c>
      <c r="E418" s="113" t="s">
        <v>121</v>
      </c>
      <c r="F418" s="115" t="s">
        <v>1105</v>
      </c>
      <c r="G418" s="116" t="s">
        <v>312</v>
      </c>
      <c r="H418" s="116" t="s">
        <v>1106</v>
      </c>
      <c r="I418" s="117" t="s">
        <v>113</v>
      </c>
      <c r="J418" s="116" t="s">
        <v>1107</v>
      </c>
      <c r="K418" s="116" t="s">
        <v>1108</v>
      </c>
      <c r="L418" s="118" t="s">
        <v>359</v>
      </c>
      <c r="M418" s="118"/>
      <c r="N418" s="119">
        <v>43739</v>
      </c>
      <c r="O418" s="119">
        <v>44834</v>
      </c>
      <c r="P418" s="120">
        <f t="shared" si="119"/>
        <v>3</v>
      </c>
      <c r="Q418" s="114" t="s">
        <v>43</v>
      </c>
      <c r="R418" s="114">
        <f t="shared" ca="1" si="120"/>
        <v>-0.56804104316007953</v>
      </c>
      <c r="S418" s="114" t="str">
        <f t="shared" ca="1" si="117"/>
        <v>Y</v>
      </c>
      <c r="T418" s="121">
        <v>3</v>
      </c>
      <c r="U418" s="121">
        <v>2</v>
      </c>
      <c r="V418" s="121">
        <v>3</v>
      </c>
      <c r="W418" s="121">
        <f t="shared" si="115"/>
        <v>8</v>
      </c>
      <c r="X418" s="121" t="str">
        <f t="shared" si="116"/>
        <v>Penting</v>
      </c>
      <c r="Y418" s="115" t="s">
        <v>364</v>
      </c>
      <c r="Z418" s="114" t="s">
        <v>119</v>
      </c>
      <c r="AA418" s="119">
        <f>N418+270</f>
        <v>44009</v>
      </c>
      <c r="AB418" s="119">
        <f>+N418+635</f>
        <v>44374</v>
      </c>
      <c r="AC418" s="119">
        <f>+N418+1000</f>
        <v>44739</v>
      </c>
      <c r="AD418" s="26"/>
      <c r="AE418" s="122"/>
      <c r="AF418" s="114" t="s">
        <v>1069</v>
      </c>
      <c r="AG418" s="114" t="s">
        <v>119</v>
      </c>
      <c r="AH418" s="26"/>
      <c r="AI418" s="26"/>
      <c r="AJ418" s="26"/>
      <c r="AK418" s="26"/>
      <c r="AL418" s="26"/>
      <c r="AM418" s="26"/>
      <c r="AN418" s="34"/>
      <c r="AO418" s="123">
        <v>43773</v>
      </c>
      <c r="AP418" s="4"/>
      <c r="AQ418" s="4"/>
      <c r="AR418" s="4"/>
      <c r="AS418" s="4"/>
      <c r="AT418" s="4"/>
    </row>
    <row r="419" spans="1:46" s="124" customFormat="1" ht="111.95" customHeight="1" x14ac:dyDescent="0.25">
      <c r="A419" s="113">
        <v>280</v>
      </c>
      <c r="B419" s="113" t="s">
        <v>109</v>
      </c>
      <c r="C419" s="114" t="s">
        <v>441</v>
      </c>
      <c r="D419" s="113">
        <v>8</v>
      </c>
      <c r="E419" s="113" t="s">
        <v>121</v>
      </c>
      <c r="F419" s="115" t="s">
        <v>1109</v>
      </c>
      <c r="G419" s="116" t="s">
        <v>312</v>
      </c>
      <c r="H419" s="116" t="s">
        <v>1110</v>
      </c>
      <c r="I419" s="117" t="s">
        <v>113</v>
      </c>
      <c r="J419" s="116" t="s">
        <v>1111</v>
      </c>
      <c r="K419" s="116" t="s">
        <v>1112</v>
      </c>
      <c r="L419" s="118" t="s">
        <v>269</v>
      </c>
      <c r="M419" s="118"/>
      <c r="N419" s="119">
        <v>43709</v>
      </c>
      <c r="O419" s="119">
        <v>44804</v>
      </c>
      <c r="P419" s="120">
        <f t="shared" si="119"/>
        <v>3</v>
      </c>
      <c r="Q419" s="114" t="s">
        <v>43</v>
      </c>
      <c r="R419" s="114">
        <f t="shared" ca="1" si="120"/>
        <v>-1.5357829786439505</v>
      </c>
      <c r="S419" s="114" t="str">
        <f t="shared" ca="1" si="117"/>
        <v>Y</v>
      </c>
      <c r="T419" s="121">
        <v>1</v>
      </c>
      <c r="U419" s="121">
        <v>1</v>
      </c>
      <c r="V419" s="121">
        <v>3</v>
      </c>
      <c r="W419" s="121">
        <f t="shared" si="115"/>
        <v>5</v>
      </c>
      <c r="X419" s="121" t="str">
        <f t="shared" si="116"/>
        <v>Biasa</v>
      </c>
      <c r="Y419" s="115" t="s">
        <v>364</v>
      </c>
      <c r="Z419" s="114" t="s">
        <v>119</v>
      </c>
      <c r="AA419" s="119">
        <f>N419+270</f>
        <v>43979</v>
      </c>
      <c r="AB419" s="119">
        <f>+N419+635</f>
        <v>44344</v>
      </c>
      <c r="AC419" s="119">
        <f>+N419+1000</f>
        <v>44709</v>
      </c>
      <c r="AD419" s="26"/>
      <c r="AE419" s="122"/>
      <c r="AF419" s="114" t="s">
        <v>1069</v>
      </c>
      <c r="AG419" s="114" t="s">
        <v>119</v>
      </c>
      <c r="AH419" s="26"/>
      <c r="AI419" s="26"/>
      <c r="AJ419" s="26"/>
      <c r="AK419" s="26"/>
      <c r="AL419" s="26"/>
      <c r="AM419" s="26"/>
      <c r="AN419" s="34"/>
      <c r="AO419" s="123">
        <v>43766</v>
      </c>
      <c r="AP419" s="4"/>
      <c r="AQ419" s="4"/>
      <c r="AR419" s="4"/>
      <c r="AS419" s="4"/>
      <c r="AT419" s="4"/>
    </row>
    <row r="420" spans="1:46" s="124" customFormat="1" ht="111.95" customHeight="1" x14ac:dyDescent="0.25">
      <c r="A420" s="113">
        <v>281</v>
      </c>
      <c r="B420" s="113" t="s">
        <v>109</v>
      </c>
      <c r="C420" s="114" t="s">
        <v>391</v>
      </c>
      <c r="D420" s="113">
        <v>11</v>
      </c>
      <c r="E420" s="113" t="s">
        <v>121</v>
      </c>
      <c r="F420" s="115" t="s">
        <v>504</v>
      </c>
      <c r="G420" s="116" t="s">
        <v>312</v>
      </c>
      <c r="H420" s="116" t="s">
        <v>505</v>
      </c>
      <c r="I420" s="117" t="s">
        <v>113</v>
      </c>
      <c r="J420" s="116" t="s">
        <v>506</v>
      </c>
      <c r="K420" s="116" t="s">
        <v>507</v>
      </c>
      <c r="L420" s="118" t="s">
        <v>269</v>
      </c>
      <c r="M420" s="118"/>
      <c r="N420" s="119">
        <v>44378</v>
      </c>
      <c r="O420" s="119">
        <v>44742</v>
      </c>
      <c r="P420" s="120">
        <f>(O420-N420)/365</f>
        <v>0.99726027397260275</v>
      </c>
      <c r="Q420" s="114" t="s">
        <v>43</v>
      </c>
      <c r="R420" s="114">
        <f t="shared" ca="1" si="120"/>
        <v>-3.5357829786439505</v>
      </c>
      <c r="S420" s="114" t="str">
        <f t="shared" ca="1" si="117"/>
        <v>Y</v>
      </c>
      <c r="T420" s="121">
        <v>1</v>
      </c>
      <c r="U420" s="121">
        <v>1</v>
      </c>
      <c r="V420" s="121">
        <v>3</v>
      </c>
      <c r="W420" s="121">
        <f t="shared" si="115"/>
        <v>5</v>
      </c>
      <c r="X420" s="121" t="str">
        <f t="shared" si="116"/>
        <v>Biasa</v>
      </c>
      <c r="Y420" s="115"/>
      <c r="Z420" s="125"/>
      <c r="AA420" s="119"/>
      <c r="AB420" s="119"/>
      <c r="AC420" s="119"/>
      <c r="AD420" s="26"/>
      <c r="AE420" s="122"/>
      <c r="AF420" s="114" t="s">
        <v>270</v>
      </c>
      <c r="AG420" s="114" t="s">
        <v>119</v>
      </c>
      <c r="AH420" s="26"/>
      <c r="AI420" s="26"/>
      <c r="AJ420" s="26"/>
      <c r="AK420" s="26"/>
      <c r="AL420" s="26"/>
      <c r="AM420" s="26"/>
      <c r="AN420" s="34"/>
      <c r="AO420" s="123">
        <v>44055</v>
      </c>
      <c r="AP420" s="4"/>
      <c r="AQ420" s="4"/>
      <c r="AR420" s="4"/>
      <c r="AS420" s="4"/>
      <c r="AT420" s="4"/>
    </row>
    <row r="421" spans="1:46" s="124" customFormat="1" ht="111.95" customHeight="1" x14ac:dyDescent="0.25">
      <c r="A421" s="113">
        <v>282</v>
      </c>
      <c r="B421" s="113" t="s">
        <v>109</v>
      </c>
      <c r="C421" s="114"/>
      <c r="D421" s="113"/>
      <c r="E421" s="113"/>
      <c r="F421" s="115"/>
      <c r="G421" s="116"/>
      <c r="H421" s="116" t="s">
        <v>1113</v>
      </c>
      <c r="I421" s="117"/>
      <c r="J421" s="116"/>
      <c r="K421" s="116"/>
      <c r="L421" s="118"/>
      <c r="M421" s="118"/>
      <c r="N421" s="119"/>
      <c r="O421" s="119"/>
      <c r="P421" s="120"/>
      <c r="Q421" s="114" t="s">
        <v>43</v>
      </c>
      <c r="R421" s="114" t="s">
        <v>18</v>
      </c>
      <c r="S421" s="114" t="str">
        <f t="shared" si="117"/>
        <v>C</v>
      </c>
      <c r="T421" s="121">
        <v>1</v>
      </c>
      <c r="U421" s="121">
        <v>1</v>
      </c>
      <c r="V421" s="121">
        <v>3</v>
      </c>
      <c r="W421" s="121">
        <f t="shared" si="115"/>
        <v>5</v>
      </c>
      <c r="X421" s="121" t="str">
        <f t="shared" si="116"/>
        <v>Biasa</v>
      </c>
      <c r="Y421" s="115"/>
      <c r="Z421" s="115"/>
      <c r="AA421" s="119"/>
      <c r="AB421" s="119"/>
      <c r="AC421" s="119"/>
      <c r="AD421" s="26" t="s">
        <v>18</v>
      </c>
      <c r="AE421" s="122">
        <v>43800</v>
      </c>
      <c r="AF421" s="114" t="s">
        <v>1069</v>
      </c>
      <c r="AG421" s="114"/>
      <c r="AH421" s="26"/>
      <c r="AI421" s="26"/>
      <c r="AJ421" s="26"/>
      <c r="AK421" s="26"/>
      <c r="AL421" s="26"/>
      <c r="AM421" s="26"/>
      <c r="AN421" s="26"/>
      <c r="AO421" s="123"/>
      <c r="AP421" s="4"/>
      <c r="AQ421" s="4"/>
      <c r="AR421" s="4"/>
      <c r="AS421" s="4"/>
      <c r="AT421" s="4"/>
    </row>
    <row r="422" spans="1:46" s="124" customFormat="1" ht="111.95" customHeight="1" x14ac:dyDescent="0.25">
      <c r="A422" s="113">
        <v>283</v>
      </c>
      <c r="B422" s="113" t="s">
        <v>109</v>
      </c>
      <c r="C422" s="114" t="s">
        <v>441</v>
      </c>
      <c r="D422" s="113">
        <v>17</v>
      </c>
      <c r="E422" s="113" t="s">
        <v>121</v>
      </c>
      <c r="F422" s="115" t="s">
        <v>1114</v>
      </c>
      <c r="G422" s="116" t="s">
        <v>312</v>
      </c>
      <c r="H422" s="116" t="s">
        <v>1115</v>
      </c>
      <c r="I422" s="117" t="s">
        <v>113</v>
      </c>
      <c r="J422" s="116" t="s">
        <v>1116</v>
      </c>
      <c r="K422" s="116" t="s">
        <v>1117</v>
      </c>
      <c r="L422" s="118" t="s">
        <v>359</v>
      </c>
      <c r="M422" s="118"/>
      <c r="N422" s="119">
        <v>43770</v>
      </c>
      <c r="O422" s="119">
        <v>44865</v>
      </c>
      <c r="P422" s="120">
        <f t="shared" si="119"/>
        <v>3</v>
      </c>
      <c r="Q422" s="114" t="s">
        <v>43</v>
      </c>
      <c r="R422" s="114">
        <f t="shared" ref="R422:R427" ca="1" si="121">(O422-NOW()+1)/31</f>
        <v>0.43195895683992047</v>
      </c>
      <c r="S422" s="114" t="str">
        <f t="shared" ca="1" si="117"/>
        <v>O</v>
      </c>
      <c r="T422" s="121">
        <v>1</v>
      </c>
      <c r="U422" s="121">
        <v>1</v>
      </c>
      <c r="V422" s="121">
        <v>3</v>
      </c>
      <c r="W422" s="121">
        <f t="shared" si="115"/>
        <v>5</v>
      </c>
      <c r="X422" s="121" t="str">
        <f t="shared" si="116"/>
        <v>Biasa</v>
      </c>
      <c r="Y422" s="115" t="s">
        <v>364</v>
      </c>
      <c r="Z422" s="114" t="s">
        <v>119</v>
      </c>
      <c r="AA422" s="119">
        <f t="shared" ref="AA422:AA427" si="122">N422+270</f>
        <v>44040</v>
      </c>
      <c r="AB422" s="119">
        <f t="shared" ref="AB422:AB427" si="123">+N422+635</f>
        <v>44405</v>
      </c>
      <c r="AC422" s="119"/>
      <c r="AD422" s="26"/>
      <c r="AE422" s="122"/>
      <c r="AF422" s="114" t="s">
        <v>1069</v>
      </c>
      <c r="AG422" s="114" t="s">
        <v>119</v>
      </c>
      <c r="AH422" s="26"/>
      <c r="AI422" s="26"/>
      <c r="AJ422" s="26"/>
      <c r="AK422" s="26"/>
      <c r="AL422" s="26"/>
      <c r="AM422" s="26"/>
      <c r="AN422" s="34"/>
      <c r="AO422" s="123">
        <v>43861</v>
      </c>
      <c r="AP422" s="4"/>
      <c r="AQ422" s="4"/>
      <c r="AR422" s="4"/>
      <c r="AS422" s="4"/>
      <c r="AT422" s="4"/>
    </row>
    <row r="423" spans="1:46" s="124" customFormat="1" ht="111.95" customHeight="1" x14ac:dyDescent="0.25">
      <c r="A423" s="113">
        <v>284</v>
      </c>
      <c r="B423" s="113" t="s">
        <v>109</v>
      </c>
      <c r="C423" s="114" t="s">
        <v>441</v>
      </c>
      <c r="D423" s="113">
        <v>26</v>
      </c>
      <c r="E423" s="113" t="s">
        <v>121</v>
      </c>
      <c r="F423" s="115" t="s">
        <v>1118</v>
      </c>
      <c r="G423" s="116" t="s">
        <v>312</v>
      </c>
      <c r="H423" s="116" t="s">
        <v>1119</v>
      </c>
      <c r="I423" s="117" t="s">
        <v>113</v>
      </c>
      <c r="J423" s="116" t="s">
        <v>1120</v>
      </c>
      <c r="K423" s="116" t="s">
        <v>1121</v>
      </c>
      <c r="L423" s="118" t="s">
        <v>359</v>
      </c>
      <c r="M423" s="118"/>
      <c r="N423" s="119">
        <v>43922</v>
      </c>
      <c r="O423" s="119">
        <v>45016</v>
      </c>
      <c r="P423" s="120">
        <f t="shared" si="119"/>
        <v>2.9972602739726026</v>
      </c>
      <c r="Q423" s="114" t="s">
        <v>43</v>
      </c>
      <c r="R423" s="114">
        <f t="shared" ca="1" si="121"/>
        <v>5.302926698775404</v>
      </c>
      <c r="S423" s="114" t="str">
        <f t="shared" ca="1" si="117"/>
        <v>O</v>
      </c>
      <c r="T423" s="121">
        <v>1</v>
      </c>
      <c r="U423" s="121">
        <v>2</v>
      </c>
      <c r="V423" s="121">
        <v>2</v>
      </c>
      <c r="W423" s="121">
        <f t="shared" si="115"/>
        <v>5</v>
      </c>
      <c r="X423" s="121" t="str">
        <f t="shared" si="116"/>
        <v>Biasa</v>
      </c>
      <c r="Y423" s="115" t="s">
        <v>364</v>
      </c>
      <c r="Z423" s="114" t="s">
        <v>119</v>
      </c>
      <c r="AA423" s="119">
        <f t="shared" si="122"/>
        <v>44192</v>
      </c>
      <c r="AB423" s="119">
        <f t="shared" si="123"/>
        <v>44557</v>
      </c>
      <c r="AC423" s="119"/>
      <c r="AD423" s="26"/>
      <c r="AE423" s="122"/>
      <c r="AF423" s="114" t="s">
        <v>1069</v>
      </c>
      <c r="AG423" s="114" t="s">
        <v>119</v>
      </c>
      <c r="AH423" s="26"/>
      <c r="AI423" s="26"/>
      <c r="AJ423" s="26"/>
      <c r="AK423" s="26"/>
      <c r="AL423" s="26"/>
      <c r="AM423" s="26"/>
      <c r="AN423" s="34"/>
      <c r="AO423" s="123">
        <v>43948</v>
      </c>
      <c r="AP423" s="4"/>
      <c r="AQ423" s="4"/>
      <c r="AR423" s="4"/>
      <c r="AS423" s="4"/>
      <c r="AT423" s="4"/>
    </row>
    <row r="424" spans="1:46" s="124" customFormat="1" ht="111.95" customHeight="1" x14ac:dyDescent="0.25">
      <c r="A424" s="113">
        <v>285</v>
      </c>
      <c r="B424" s="113" t="s">
        <v>109</v>
      </c>
      <c r="C424" s="114" t="s">
        <v>441</v>
      </c>
      <c r="D424" s="113">
        <v>16</v>
      </c>
      <c r="E424" s="113" t="s">
        <v>121</v>
      </c>
      <c r="F424" s="115" t="s">
        <v>1122</v>
      </c>
      <c r="G424" s="116" t="s">
        <v>312</v>
      </c>
      <c r="H424" s="116" t="s">
        <v>1123</v>
      </c>
      <c r="I424" s="117" t="s">
        <v>113</v>
      </c>
      <c r="J424" s="116" t="s">
        <v>1124</v>
      </c>
      <c r="K424" s="116" t="s">
        <v>1125</v>
      </c>
      <c r="L424" s="118" t="s">
        <v>359</v>
      </c>
      <c r="M424" s="118"/>
      <c r="N424" s="119">
        <v>43739</v>
      </c>
      <c r="O424" s="119">
        <v>44834</v>
      </c>
      <c r="P424" s="120">
        <f t="shared" si="119"/>
        <v>3</v>
      </c>
      <c r="Q424" s="114" t="s">
        <v>43</v>
      </c>
      <c r="R424" s="114">
        <f t="shared" ca="1" si="121"/>
        <v>-0.56804104316007953</v>
      </c>
      <c r="S424" s="114" t="str">
        <f t="shared" ca="1" si="117"/>
        <v>Y</v>
      </c>
      <c r="T424" s="121">
        <v>2</v>
      </c>
      <c r="U424" s="121">
        <v>2</v>
      </c>
      <c r="V424" s="121">
        <v>3</v>
      </c>
      <c r="W424" s="121">
        <f t="shared" si="115"/>
        <v>7</v>
      </c>
      <c r="X424" s="121" t="str">
        <f t="shared" si="116"/>
        <v>Penting</v>
      </c>
      <c r="Y424" s="115" t="s">
        <v>364</v>
      </c>
      <c r="Z424" s="114" t="s">
        <v>119</v>
      </c>
      <c r="AA424" s="119">
        <f t="shared" si="122"/>
        <v>44009</v>
      </c>
      <c r="AB424" s="119">
        <f t="shared" si="123"/>
        <v>44374</v>
      </c>
      <c r="AC424" s="119">
        <f>+N424+1000</f>
        <v>44739</v>
      </c>
      <c r="AD424" s="26"/>
      <c r="AE424" s="122"/>
      <c r="AF424" s="114" t="s">
        <v>1069</v>
      </c>
      <c r="AG424" s="114" t="s">
        <v>119</v>
      </c>
      <c r="AH424" s="26"/>
      <c r="AI424" s="26"/>
      <c r="AJ424" s="26"/>
      <c r="AK424" s="26"/>
      <c r="AL424" s="26"/>
      <c r="AM424" s="26"/>
      <c r="AN424" s="34"/>
      <c r="AO424" s="123">
        <v>43861</v>
      </c>
      <c r="AP424" s="4"/>
      <c r="AQ424" s="4"/>
      <c r="AR424" s="4"/>
      <c r="AS424" s="4"/>
      <c r="AT424" s="4"/>
    </row>
    <row r="425" spans="1:46" s="124" customFormat="1" ht="111.95" customHeight="1" x14ac:dyDescent="0.25">
      <c r="A425" s="113">
        <v>286</v>
      </c>
      <c r="B425" s="113" t="s">
        <v>109</v>
      </c>
      <c r="C425" s="114" t="s">
        <v>441</v>
      </c>
      <c r="D425" s="113">
        <v>28</v>
      </c>
      <c r="E425" s="113" t="s">
        <v>121</v>
      </c>
      <c r="F425" s="115" t="s">
        <v>1126</v>
      </c>
      <c r="G425" s="116" t="s">
        <v>312</v>
      </c>
      <c r="H425" s="116" t="s">
        <v>1127</v>
      </c>
      <c r="I425" s="117" t="s">
        <v>113</v>
      </c>
      <c r="J425" s="116" t="s">
        <v>1128</v>
      </c>
      <c r="K425" s="116" t="s">
        <v>1129</v>
      </c>
      <c r="L425" s="118">
        <v>890000</v>
      </c>
      <c r="M425" s="118" t="s">
        <v>1130</v>
      </c>
      <c r="N425" s="119">
        <v>43910</v>
      </c>
      <c r="O425" s="119">
        <v>45005</v>
      </c>
      <c r="P425" s="120">
        <f t="shared" si="119"/>
        <v>3</v>
      </c>
      <c r="Q425" s="114" t="s">
        <v>43</v>
      </c>
      <c r="R425" s="114">
        <f t="shared" ca="1" si="121"/>
        <v>4.948087989097985</v>
      </c>
      <c r="S425" s="114" t="str">
        <f t="shared" ca="1" si="117"/>
        <v>O</v>
      </c>
      <c r="T425" s="121">
        <v>2</v>
      </c>
      <c r="U425" s="121">
        <v>1</v>
      </c>
      <c r="V425" s="121">
        <v>3</v>
      </c>
      <c r="W425" s="121">
        <f t="shared" si="115"/>
        <v>6</v>
      </c>
      <c r="X425" s="121" t="str">
        <f t="shared" si="116"/>
        <v>Penting</v>
      </c>
      <c r="Y425" s="115" t="s">
        <v>364</v>
      </c>
      <c r="Z425" s="114" t="s">
        <v>119</v>
      </c>
      <c r="AA425" s="119">
        <f t="shared" si="122"/>
        <v>44180</v>
      </c>
      <c r="AB425" s="119">
        <f t="shared" si="123"/>
        <v>44545</v>
      </c>
      <c r="AC425" s="119"/>
      <c r="AD425" s="26"/>
      <c r="AE425" s="122"/>
      <c r="AF425" s="114" t="s">
        <v>1069</v>
      </c>
      <c r="AG425" s="114" t="s">
        <v>119</v>
      </c>
      <c r="AH425" s="26"/>
      <c r="AI425" s="26"/>
      <c r="AJ425" s="26"/>
      <c r="AK425" s="26"/>
      <c r="AL425" s="26"/>
      <c r="AM425" s="26"/>
      <c r="AN425" s="34"/>
      <c r="AO425" s="123">
        <v>43978</v>
      </c>
      <c r="AP425" s="4"/>
      <c r="AQ425" s="4"/>
      <c r="AR425" s="4"/>
      <c r="AS425" s="4"/>
      <c r="AT425" s="4"/>
    </row>
    <row r="426" spans="1:46" s="124" customFormat="1" ht="111.95" customHeight="1" x14ac:dyDescent="0.25">
      <c r="A426" s="113">
        <v>287</v>
      </c>
      <c r="B426" s="113" t="s">
        <v>109</v>
      </c>
      <c r="C426" s="114" t="s">
        <v>441</v>
      </c>
      <c r="D426" s="113">
        <v>23</v>
      </c>
      <c r="E426" s="113" t="s">
        <v>121</v>
      </c>
      <c r="F426" s="115" t="s">
        <v>1131</v>
      </c>
      <c r="G426" s="116" t="s">
        <v>312</v>
      </c>
      <c r="H426" s="116" t="s">
        <v>1132</v>
      </c>
      <c r="I426" s="117" t="s">
        <v>113</v>
      </c>
      <c r="J426" s="116" t="s">
        <v>1133</v>
      </c>
      <c r="K426" s="116" t="s">
        <v>1134</v>
      </c>
      <c r="L426" s="118" t="s">
        <v>359</v>
      </c>
      <c r="M426" s="118"/>
      <c r="N426" s="119">
        <v>44257</v>
      </c>
      <c r="O426" s="119">
        <v>44986</v>
      </c>
      <c r="P426" s="120">
        <f>(O426-N426)/365</f>
        <v>1.9972602739726026</v>
      </c>
      <c r="Q426" s="114" t="s">
        <v>43</v>
      </c>
      <c r="R426" s="114">
        <f t="shared" ca="1" si="121"/>
        <v>4.335184763291533</v>
      </c>
      <c r="S426" s="114" t="str">
        <f t="shared" ca="1" si="117"/>
        <v>O</v>
      </c>
      <c r="T426" s="121">
        <v>1</v>
      </c>
      <c r="U426" s="121">
        <v>1</v>
      </c>
      <c r="V426" s="121">
        <v>3</v>
      </c>
      <c r="W426" s="121">
        <f t="shared" si="115"/>
        <v>5</v>
      </c>
      <c r="X426" s="121" t="str">
        <f t="shared" si="116"/>
        <v>Biasa</v>
      </c>
      <c r="Y426" s="115"/>
      <c r="Z426" s="114" t="s">
        <v>119</v>
      </c>
      <c r="AA426" s="119">
        <f t="shared" si="122"/>
        <v>44527</v>
      </c>
      <c r="AB426" s="119">
        <f t="shared" si="123"/>
        <v>44892</v>
      </c>
      <c r="AC426" s="119"/>
      <c r="AD426" s="26"/>
      <c r="AE426" s="122"/>
      <c r="AF426" s="114" t="s">
        <v>1069</v>
      </c>
      <c r="AG426" s="114" t="s">
        <v>119</v>
      </c>
      <c r="AH426" s="26"/>
      <c r="AI426" s="26"/>
      <c r="AJ426" s="26"/>
      <c r="AK426" s="26"/>
      <c r="AL426" s="26"/>
      <c r="AM426" s="26"/>
      <c r="AN426" s="34"/>
      <c r="AO426" s="123">
        <v>44295</v>
      </c>
      <c r="AP426" s="4"/>
      <c r="AQ426" s="4"/>
      <c r="AR426" s="4"/>
      <c r="AS426" s="4"/>
      <c r="AT426" s="4"/>
    </row>
    <row r="427" spans="1:46" s="124" customFormat="1" ht="111.95" customHeight="1" x14ac:dyDescent="0.25">
      <c r="A427" s="113">
        <v>288</v>
      </c>
      <c r="B427" s="113" t="s">
        <v>109</v>
      </c>
      <c r="C427" s="114" t="s">
        <v>441</v>
      </c>
      <c r="D427" s="113">
        <v>27</v>
      </c>
      <c r="E427" s="113" t="s">
        <v>121</v>
      </c>
      <c r="F427" s="115" t="s">
        <v>1135</v>
      </c>
      <c r="G427" s="116" t="s">
        <v>312</v>
      </c>
      <c r="H427" s="116" t="s">
        <v>526</v>
      </c>
      <c r="I427" s="117" t="s">
        <v>113</v>
      </c>
      <c r="J427" s="116" t="s">
        <v>1136</v>
      </c>
      <c r="K427" s="116" t="s">
        <v>1137</v>
      </c>
      <c r="L427" s="118" t="s">
        <v>359</v>
      </c>
      <c r="M427" s="118"/>
      <c r="N427" s="119">
        <v>43871</v>
      </c>
      <c r="O427" s="119">
        <v>44966</v>
      </c>
      <c r="P427" s="120">
        <f>(O427-N427)/365</f>
        <v>3</v>
      </c>
      <c r="Q427" s="114" t="s">
        <v>43</v>
      </c>
      <c r="R427" s="114">
        <f t="shared" ca="1" si="121"/>
        <v>3.6900234729689525</v>
      </c>
      <c r="S427" s="114" t="str">
        <f t="shared" ca="1" si="117"/>
        <v>O</v>
      </c>
      <c r="T427" s="121">
        <v>1</v>
      </c>
      <c r="U427" s="121">
        <v>2</v>
      </c>
      <c r="V427" s="121">
        <v>2</v>
      </c>
      <c r="W427" s="121">
        <f t="shared" si="115"/>
        <v>5</v>
      </c>
      <c r="X427" s="121" t="str">
        <f t="shared" si="116"/>
        <v>Biasa</v>
      </c>
      <c r="Y427" s="115" t="s">
        <v>364</v>
      </c>
      <c r="Z427" s="114" t="s">
        <v>119</v>
      </c>
      <c r="AA427" s="119">
        <f t="shared" si="122"/>
        <v>44141</v>
      </c>
      <c r="AB427" s="119">
        <f t="shared" si="123"/>
        <v>44506</v>
      </c>
      <c r="AC427" s="119"/>
      <c r="AD427" s="26"/>
      <c r="AE427" s="122"/>
      <c r="AF427" s="114" t="s">
        <v>1069</v>
      </c>
      <c r="AG427" s="114" t="s">
        <v>119</v>
      </c>
      <c r="AH427" s="26"/>
      <c r="AI427" s="26"/>
      <c r="AJ427" s="26"/>
      <c r="AK427" s="26"/>
      <c r="AL427" s="26"/>
      <c r="AM427" s="26"/>
      <c r="AN427" s="34"/>
      <c r="AO427" s="123">
        <v>43966</v>
      </c>
      <c r="AP427" s="4"/>
      <c r="AQ427" s="4"/>
      <c r="AR427" s="4"/>
      <c r="AS427" s="4"/>
      <c r="AT427" s="4"/>
    </row>
    <row r="428" spans="1:46" s="124" customFormat="1" ht="111.95" customHeight="1" x14ac:dyDescent="0.25">
      <c r="A428" s="113">
        <v>289</v>
      </c>
      <c r="B428" s="113" t="s">
        <v>109</v>
      </c>
      <c r="C428" s="114"/>
      <c r="D428" s="113"/>
      <c r="E428" s="113"/>
      <c r="F428" s="115"/>
      <c r="G428" s="116"/>
      <c r="H428" s="116" t="s">
        <v>1138</v>
      </c>
      <c r="I428" s="117"/>
      <c r="J428" s="116"/>
      <c r="K428" s="116"/>
      <c r="L428" s="118"/>
      <c r="M428" s="118"/>
      <c r="N428" s="119"/>
      <c r="O428" s="119"/>
      <c r="P428" s="120"/>
      <c r="Q428" s="114" t="s">
        <v>43</v>
      </c>
      <c r="R428" s="114" t="s">
        <v>18</v>
      </c>
      <c r="S428" s="114" t="str">
        <f t="shared" si="117"/>
        <v>C</v>
      </c>
      <c r="T428" s="121">
        <v>1</v>
      </c>
      <c r="U428" s="121">
        <v>1</v>
      </c>
      <c r="V428" s="121">
        <v>3</v>
      </c>
      <c r="W428" s="121">
        <f t="shared" si="115"/>
        <v>5</v>
      </c>
      <c r="X428" s="121" t="str">
        <f t="shared" si="116"/>
        <v>Biasa</v>
      </c>
      <c r="Y428" s="115"/>
      <c r="Z428" s="115"/>
      <c r="AA428" s="119"/>
      <c r="AB428" s="119"/>
      <c r="AC428" s="119"/>
      <c r="AD428" s="26" t="s">
        <v>18</v>
      </c>
      <c r="AE428" s="122">
        <v>43860</v>
      </c>
      <c r="AF428" s="114" t="s">
        <v>1069</v>
      </c>
      <c r="AG428" s="114"/>
      <c r="AH428" s="26"/>
      <c r="AI428" s="26"/>
      <c r="AJ428" s="26"/>
      <c r="AK428" s="26"/>
      <c r="AL428" s="26"/>
      <c r="AM428" s="26"/>
      <c r="AN428" s="26"/>
      <c r="AO428" s="123"/>
      <c r="AP428" s="4"/>
      <c r="AQ428" s="4"/>
      <c r="AR428" s="4"/>
      <c r="AS428" s="4"/>
      <c r="AT428" s="4"/>
    </row>
    <row r="429" spans="1:46" s="124" customFormat="1" ht="111.95" customHeight="1" x14ac:dyDescent="0.25">
      <c r="A429" s="113">
        <v>290</v>
      </c>
      <c r="B429" s="113" t="s">
        <v>109</v>
      </c>
      <c r="C429" s="114" t="s">
        <v>441</v>
      </c>
      <c r="D429" s="113">
        <v>14</v>
      </c>
      <c r="E429" s="113" t="s">
        <v>121</v>
      </c>
      <c r="F429" s="115" t="s">
        <v>1139</v>
      </c>
      <c r="G429" s="116" t="s">
        <v>312</v>
      </c>
      <c r="H429" s="116" t="s">
        <v>527</v>
      </c>
      <c r="I429" s="117" t="s">
        <v>113</v>
      </c>
      <c r="J429" s="116" t="s">
        <v>1140</v>
      </c>
      <c r="K429" s="116" t="s">
        <v>1141</v>
      </c>
      <c r="L429" s="118" t="s">
        <v>359</v>
      </c>
      <c r="M429" s="118"/>
      <c r="N429" s="119">
        <v>43710</v>
      </c>
      <c r="O429" s="119">
        <v>44805</v>
      </c>
      <c r="P429" s="120">
        <f>(O429-N429)/365</f>
        <v>3</v>
      </c>
      <c r="Q429" s="114" t="s">
        <v>43</v>
      </c>
      <c r="R429" s="114">
        <f t="shared" ref="R429:R433" ca="1" si="124">(O429-NOW()+1)/31</f>
        <v>-1.5035249141278215</v>
      </c>
      <c r="S429" s="114" t="str">
        <f t="shared" ca="1" si="117"/>
        <v>Y</v>
      </c>
      <c r="T429" s="121">
        <v>2</v>
      </c>
      <c r="U429" s="121">
        <v>1</v>
      </c>
      <c r="V429" s="121">
        <v>1</v>
      </c>
      <c r="W429" s="121">
        <f t="shared" si="115"/>
        <v>4</v>
      </c>
      <c r="X429" s="121" t="str">
        <f t="shared" si="116"/>
        <v>Biasa</v>
      </c>
      <c r="Y429" s="115" t="s">
        <v>364</v>
      </c>
      <c r="Z429" s="114" t="s">
        <v>119</v>
      </c>
      <c r="AA429" s="119">
        <f>N429+270</f>
        <v>43980</v>
      </c>
      <c r="AB429" s="119">
        <f>+N429+635</f>
        <v>44345</v>
      </c>
      <c r="AC429" s="119">
        <f>+N429+1000</f>
        <v>44710</v>
      </c>
      <c r="AD429" s="26"/>
      <c r="AE429" s="122"/>
      <c r="AF429" s="114" t="s">
        <v>1069</v>
      </c>
      <c r="AG429" s="114" t="s">
        <v>119</v>
      </c>
      <c r="AH429" s="26"/>
      <c r="AI429" s="26"/>
      <c r="AJ429" s="26"/>
      <c r="AK429" s="26"/>
      <c r="AL429" s="26"/>
      <c r="AM429" s="26"/>
      <c r="AN429" s="34"/>
      <c r="AO429" s="123"/>
      <c r="AP429" s="4"/>
      <c r="AQ429" s="4"/>
      <c r="AR429" s="4"/>
      <c r="AS429" s="4"/>
      <c r="AT429" s="4"/>
    </row>
    <row r="430" spans="1:46" s="124" customFormat="1" ht="111.95" customHeight="1" x14ac:dyDescent="0.25">
      <c r="A430" s="113">
        <v>291</v>
      </c>
      <c r="B430" s="113" t="s">
        <v>109</v>
      </c>
      <c r="C430" s="114" t="s">
        <v>441</v>
      </c>
      <c r="D430" s="113">
        <v>21</v>
      </c>
      <c r="E430" s="113" t="s">
        <v>121</v>
      </c>
      <c r="F430" s="115" t="s">
        <v>1142</v>
      </c>
      <c r="G430" s="116" t="s">
        <v>312</v>
      </c>
      <c r="H430" s="116" t="s">
        <v>1143</v>
      </c>
      <c r="I430" s="117" t="s">
        <v>113</v>
      </c>
      <c r="J430" s="116" t="s">
        <v>1144</v>
      </c>
      <c r="K430" s="116" t="s">
        <v>1145</v>
      </c>
      <c r="L430" s="118" t="s">
        <v>1146</v>
      </c>
      <c r="M430" s="118"/>
      <c r="N430" s="119">
        <v>43864</v>
      </c>
      <c r="O430" s="119">
        <v>44959</v>
      </c>
      <c r="P430" s="120">
        <f>(O430-N430)/365</f>
        <v>3</v>
      </c>
      <c r="Q430" s="114" t="s">
        <v>43</v>
      </c>
      <c r="R430" s="114">
        <f t="shared" ca="1" si="124"/>
        <v>3.4642170213560495</v>
      </c>
      <c r="S430" s="114" t="str">
        <f t="shared" ca="1" si="117"/>
        <v>O</v>
      </c>
      <c r="T430" s="121">
        <v>2</v>
      </c>
      <c r="U430" s="121">
        <v>2</v>
      </c>
      <c r="V430" s="121">
        <v>3</v>
      </c>
      <c r="W430" s="121">
        <f t="shared" si="115"/>
        <v>7</v>
      </c>
      <c r="X430" s="121" t="str">
        <f t="shared" si="116"/>
        <v>Penting</v>
      </c>
      <c r="Y430" s="115" t="s">
        <v>364</v>
      </c>
      <c r="Z430" s="114" t="s">
        <v>119</v>
      </c>
      <c r="AA430" s="119">
        <f>N430+270</f>
        <v>44134</v>
      </c>
      <c r="AB430" s="119">
        <f>+N430+635</f>
        <v>44499</v>
      </c>
      <c r="AC430" s="119"/>
      <c r="AD430" s="26"/>
      <c r="AE430" s="122"/>
      <c r="AF430" s="114" t="s">
        <v>1069</v>
      </c>
      <c r="AG430" s="114" t="s">
        <v>119</v>
      </c>
      <c r="AH430" s="26"/>
      <c r="AI430" s="26"/>
      <c r="AJ430" s="26"/>
      <c r="AK430" s="26"/>
      <c r="AL430" s="26"/>
      <c r="AM430" s="26"/>
      <c r="AN430" s="34"/>
      <c r="AO430" s="123">
        <v>43949</v>
      </c>
      <c r="AP430" s="4"/>
      <c r="AQ430" s="4"/>
      <c r="AR430" s="4"/>
      <c r="AS430" s="4"/>
      <c r="AT430" s="4"/>
    </row>
    <row r="431" spans="1:46" s="124" customFormat="1" ht="111.95" customHeight="1" x14ac:dyDescent="0.25">
      <c r="A431" s="113">
        <v>292</v>
      </c>
      <c r="B431" s="113" t="s">
        <v>109</v>
      </c>
      <c r="C431" s="114" t="s">
        <v>441</v>
      </c>
      <c r="D431" s="113">
        <v>19</v>
      </c>
      <c r="E431" s="113" t="s">
        <v>121</v>
      </c>
      <c r="F431" s="115" t="s">
        <v>1147</v>
      </c>
      <c r="G431" s="116" t="s">
        <v>312</v>
      </c>
      <c r="H431" s="116" t="s">
        <v>1148</v>
      </c>
      <c r="I431" s="117" t="s">
        <v>113</v>
      </c>
      <c r="J431" s="116" t="s">
        <v>1149</v>
      </c>
      <c r="K431" s="116" t="s">
        <v>1150</v>
      </c>
      <c r="L431" s="118" t="s">
        <v>359</v>
      </c>
      <c r="M431" s="118"/>
      <c r="N431" s="119">
        <v>43832</v>
      </c>
      <c r="O431" s="119">
        <v>44928</v>
      </c>
      <c r="P431" s="120">
        <f>(O431-N431)/365</f>
        <v>3.0027397260273974</v>
      </c>
      <c r="Q431" s="114" t="s">
        <v>43</v>
      </c>
      <c r="R431" s="114">
        <f t="shared" ca="1" si="124"/>
        <v>2.4642170213560495</v>
      </c>
      <c r="S431" s="114" t="str">
        <f t="shared" ca="1" si="117"/>
        <v>O</v>
      </c>
      <c r="T431" s="121">
        <v>1</v>
      </c>
      <c r="U431" s="121">
        <v>1</v>
      </c>
      <c r="V431" s="121">
        <v>3</v>
      </c>
      <c r="W431" s="121">
        <f t="shared" si="115"/>
        <v>5</v>
      </c>
      <c r="X431" s="121" t="str">
        <f t="shared" si="116"/>
        <v>Biasa</v>
      </c>
      <c r="Y431" s="115" t="s">
        <v>364</v>
      </c>
      <c r="Z431" s="114" t="s">
        <v>119</v>
      </c>
      <c r="AA431" s="119">
        <f>N431+270</f>
        <v>44102</v>
      </c>
      <c r="AB431" s="119">
        <f>+N431+635</f>
        <v>44467</v>
      </c>
      <c r="AC431" s="119">
        <f>N431+1000</f>
        <v>44832</v>
      </c>
      <c r="AD431" s="26"/>
      <c r="AE431" s="122"/>
      <c r="AF431" s="114" t="s">
        <v>1069</v>
      </c>
      <c r="AG431" s="114" t="s">
        <v>119</v>
      </c>
      <c r="AH431" s="26"/>
      <c r="AI431" s="26"/>
      <c r="AJ431" s="26"/>
      <c r="AK431" s="26"/>
      <c r="AL431" s="26"/>
      <c r="AM431" s="26"/>
      <c r="AN431" s="34"/>
      <c r="AO431" s="123">
        <v>43874</v>
      </c>
      <c r="AP431" s="4"/>
      <c r="AQ431" s="4"/>
      <c r="AR431" s="4"/>
      <c r="AS431" s="4"/>
      <c r="AT431" s="4"/>
    </row>
    <row r="432" spans="1:46" s="124" customFormat="1" ht="111.95" customHeight="1" x14ac:dyDescent="0.25">
      <c r="A432" s="113">
        <v>293</v>
      </c>
      <c r="B432" s="113" t="s">
        <v>109</v>
      </c>
      <c r="C432" s="114" t="s">
        <v>441</v>
      </c>
      <c r="D432" s="113">
        <v>20</v>
      </c>
      <c r="E432" s="113" t="s">
        <v>121</v>
      </c>
      <c r="F432" s="115" t="s">
        <v>1151</v>
      </c>
      <c r="G432" s="116" t="s">
        <v>312</v>
      </c>
      <c r="H432" s="116" t="s">
        <v>1152</v>
      </c>
      <c r="I432" s="117" t="s">
        <v>113</v>
      </c>
      <c r="J432" s="116" t="s">
        <v>1153</v>
      </c>
      <c r="K432" s="116" t="s">
        <v>1154</v>
      </c>
      <c r="L432" s="118" t="s">
        <v>359</v>
      </c>
      <c r="M432" s="118"/>
      <c r="N432" s="119">
        <v>43832</v>
      </c>
      <c r="O432" s="119">
        <v>44928</v>
      </c>
      <c r="P432" s="120">
        <f>(O432-N432)/365</f>
        <v>3.0027397260273974</v>
      </c>
      <c r="Q432" s="114" t="s">
        <v>43</v>
      </c>
      <c r="R432" s="114">
        <f t="shared" ca="1" si="124"/>
        <v>2.4642170213560495</v>
      </c>
      <c r="S432" s="114" t="str">
        <f t="shared" ca="1" si="117"/>
        <v>O</v>
      </c>
      <c r="T432" s="121">
        <v>1</v>
      </c>
      <c r="U432" s="121">
        <v>1</v>
      </c>
      <c r="V432" s="121">
        <v>3</v>
      </c>
      <c r="W432" s="121">
        <f t="shared" si="115"/>
        <v>5</v>
      </c>
      <c r="X432" s="121" t="str">
        <f t="shared" si="116"/>
        <v>Biasa</v>
      </c>
      <c r="Y432" s="115" t="s">
        <v>364</v>
      </c>
      <c r="Z432" s="114" t="s">
        <v>119</v>
      </c>
      <c r="AA432" s="119">
        <f>N432+270</f>
        <v>44102</v>
      </c>
      <c r="AB432" s="119">
        <f>+N432+635</f>
        <v>44467</v>
      </c>
      <c r="AC432" s="119">
        <f>N432+1000</f>
        <v>44832</v>
      </c>
      <c r="AD432" s="26"/>
      <c r="AE432" s="122"/>
      <c r="AF432" s="114" t="s">
        <v>1069</v>
      </c>
      <c r="AG432" s="114" t="s">
        <v>119</v>
      </c>
      <c r="AH432" s="26"/>
      <c r="AI432" s="26"/>
      <c r="AJ432" s="26"/>
      <c r="AK432" s="26"/>
      <c r="AL432" s="26"/>
      <c r="AM432" s="26"/>
      <c r="AN432" s="34"/>
      <c r="AO432" s="123">
        <v>43895</v>
      </c>
      <c r="AP432" s="4"/>
      <c r="AQ432" s="4"/>
      <c r="AR432" s="4"/>
      <c r="AS432" s="4"/>
      <c r="AT432" s="4"/>
    </row>
    <row r="433" spans="1:46" s="124" customFormat="1" ht="111.95" customHeight="1" x14ac:dyDescent="0.25">
      <c r="A433" s="113">
        <v>294</v>
      </c>
      <c r="B433" s="113" t="s">
        <v>109</v>
      </c>
      <c r="C433" s="114" t="s">
        <v>441</v>
      </c>
      <c r="D433" s="113">
        <v>13</v>
      </c>
      <c r="E433" s="113" t="s">
        <v>121</v>
      </c>
      <c r="F433" s="115" t="s">
        <v>1155</v>
      </c>
      <c r="G433" s="116" t="s">
        <v>312</v>
      </c>
      <c r="H433" s="116" t="s">
        <v>1156</v>
      </c>
      <c r="I433" s="117" t="s">
        <v>113</v>
      </c>
      <c r="J433" s="116" t="s">
        <v>1157</v>
      </c>
      <c r="K433" s="116" t="s">
        <v>1158</v>
      </c>
      <c r="L433" s="118" t="s">
        <v>269</v>
      </c>
      <c r="M433" s="118"/>
      <c r="N433" s="119">
        <v>43739</v>
      </c>
      <c r="O433" s="119">
        <v>44834</v>
      </c>
      <c r="P433" s="120">
        <f>(O433-N433)/365</f>
        <v>3</v>
      </c>
      <c r="Q433" s="114" t="s">
        <v>43</v>
      </c>
      <c r="R433" s="114">
        <f t="shared" ca="1" si="124"/>
        <v>-0.56804104316007953</v>
      </c>
      <c r="S433" s="114" t="str">
        <f t="shared" ca="1" si="117"/>
        <v>Y</v>
      </c>
      <c r="T433" s="121">
        <v>2</v>
      </c>
      <c r="U433" s="121">
        <v>2</v>
      </c>
      <c r="V433" s="121">
        <v>3</v>
      </c>
      <c r="W433" s="121">
        <f t="shared" si="115"/>
        <v>7</v>
      </c>
      <c r="X433" s="121" t="str">
        <f t="shared" si="116"/>
        <v>Penting</v>
      </c>
      <c r="Y433" s="115" t="s">
        <v>364</v>
      </c>
      <c r="Z433" s="114" t="s">
        <v>119</v>
      </c>
      <c r="AA433" s="119">
        <f>N433+270</f>
        <v>44009</v>
      </c>
      <c r="AB433" s="119">
        <f>+N433+635</f>
        <v>44374</v>
      </c>
      <c r="AC433" s="119">
        <f>+N433+1000</f>
        <v>44739</v>
      </c>
      <c r="AD433" s="26"/>
      <c r="AE433" s="122"/>
      <c r="AF433" s="114" t="s">
        <v>1069</v>
      </c>
      <c r="AG433" s="114" t="s">
        <v>119</v>
      </c>
      <c r="AH433" s="26"/>
      <c r="AI433" s="26"/>
      <c r="AJ433" s="26"/>
      <c r="AK433" s="26"/>
      <c r="AL433" s="26"/>
      <c r="AM433" s="26"/>
      <c r="AN433" s="34"/>
      <c r="AO433" s="123">
        <v>43852</v>
      </c>
      <c r="AP433" s="4"/>
      <c r="AQ433" s="4"/>
      <c r="AR433" s="4"/>
      <c r="AS433" s="4"/>
      <c r="AT433" s="4"/>
    </row>
    <row r="434" spans="1:46" s="124" customFormat="1" ht="111.95" customHeight="1" x14ac:dyDescent="0.25">
      <c r="A434" s="113">
        <v>295</v>
      </c>
      <c r="B434" s="113" t="s">
        <v>109</v>
      </c>
      <c r="C434" s="114"/>
      <c r="D434" s="113"/>
      <c r="E434" s="113"/>
      <c r="F434" s="115"/>
      <c r="G434" s="116"/>
      <c r="H434" s="116" t="s">
        <v>1159</v>
      </c>
      <c r="I434" s="117"/>
      <c r="J434" s="116"/>
      <c r="K434" s="116"/>
      <c r="L434" s="118"/>
      <c r="M434" s="118"/>
      <c r="N434" s="119"/>
      <c r="O434" s="119"/>
      <c r="P434" s="120"/>
      <c r="Q434" s="114" t="s">
        <v>43</v>
      </c>
      <c r="R434" s="114" t="s">
        <v>18</v>
      </c>
      <c r="S434" s="114" t="str">
        <f t="shared" si="117"/>
        <v>C</v>
      </c>
      <c r="T434" s="121">
        <v>1</v>
      </c>
      <c r="U434" s="121">
        <v>1</v>
      </c>
      <c r="V434" s="121">
        <v>3</v>
      </c>
      <c r="W434" s="121">
        <f t="shared" si="115"/>
        <v>5</v>
      </c>
      <c r="X434" s="121" t="str">
        <f t="shared" si="116"/>
        <v>Biasa</v>
      </c>
      <c r="Y434" s="115"/>
      <c r="Z434" s="115"/>
      <c r="AA434" s="119"/>
      <c r="AB434" s="119"/>
      <c r="AC434" s="119"/>
      <c r="AD434" s="26" t="s">
        <v>18</v>
      </c>
      <c r="AE434" s="122">
        <v>43678</v>
      </c>
      <c r="AF434" s="114" t="s">
        <v>1069</v>
      </c>
      <c r="AG434" s="114"/>
      <c r="AH434" s="26"/>
      <c r="AI434" s="26"/>
      <c r="AJ434" s="26"/>
      <c r="AK434" s="26"/>
      <c r="AL434" s="26"/>
      <c r="AM434" s="26"/>
      <c r="AN434" s="26"/>
      <c r="AO434" s="123"/>
      <c r="AP434" s="4"/>
      <c r="AQ434" s="4"/>
      <c r="AR434" s="4"/>
      <c r="AS434" s="4"/>
      <c r="AT434" s="4"/>
    </row>
    <row r="435" spans="1:46" s="124" customFormat="1" ht="111.95" customHeight="1" x14ac:dyDescent="0.25">
      <c r="A435" s="113">
        <v>296</v>
      </c>
      <c r="B435" s="113" t="s">
        <v>109</v>
      </c>
      <c r="C435" s="114" t="s">
        <v>441</v>
      </c>
      <c r="D435" s="113">
        <v>22</v>
      </c>
      <c r="E435" s="113" t="s">
        <v>121</v>
      </c>
      <c r="F435" s="115" t="s">
        <v>1160</v>
      </c>
      <c r="G435" s="116" t="s">
        <v>312</v>
      </c>
      <c r="H435" s="116" t="s">
        <v>1161</v>
      </c>
      <c r="I435" s="117" t="s">
        <v>113</v>
      </c>
      <c r="J435" s="116" t="s">
        <v>1162</v>
      </c>
      <c r="K435" s="116" t="s">
        <v>495</v>
      </c>
      <c r="L435" s="118" t="s">
        <v>269</v>
      </c>
      <c r="M435" s="118"/>
      <c r="N435" s="119">
        <v>43885</v>
      </c>
      <c r="O435" s="119">
        <v>44980</v>
      </c>
      <c r="P435" s="120">
        <f>(O435-N435)/365</f>
        <v>3</v>
      </c>
      <c r="Q435" s="114" t="s">
        <v>43</v>
      </c>
      <c r="R435" s="114">
        <f t="shared" ref="R435:R436" ca="1" si="125">(O435-NOW()+1)/31</f>
        <v>4.141636376194759</v>
      </c>
      <c r="S435" s="114" t="str">
        <f t="shared" ca="1" si="117"/>
        <v>O</v>
      </c>
      <c r="T435" s="121">
        <v>1</v>
      </c>
      <c r="U435" s="121">
        <v>2</v>
      </c>
      <c r="V435" s="121">
        <v>2</v>
      </c>
      <c r="W435" s="121">
        <f t="shared" si="115"/>
        <v>5</v>
      </c>
      <c r="X435" s="121" t="str">
        <f t="shared" si="116"/>
        <v>Biasa</v>
      </c>
      <c r="Y435" s="115" t="s">
        <v>364</v>
      </c>
      <c r="Z435" s="114" t="s">
        <v>119</v>
      </c>
      <c r="AA435" s="119">
        <f>N435+270</f>
        <v>44155</v>
      </c>
      <c r="AB435" s="119">
        <f>+N435+635</f>
        <v>44520</v>
      </c>
      <c r="AC435" s="119"/>
      <c r="AD435" s="26"/>
      <c r="AE435" s="122"/>
      <c r="AF435" s="114" t="s">
        <v>1069</v>
      </c>
      <c r="AG435" s="114" t="s">
        <v>119</v>
      </c>
      <c r="AH435" s="26"/>
      <c r="AI435" s="26"/>
      <c r="AJ435" s="26"/>
      <c r="AK435" s="26"/>
      <c r="AL435" s="26"/>
      <c r="AM435" s="26"/>
      <c r="AN435" s="34"/>
      <c r="AO435" s="123">
        <v>43903</v>
      </c>
      <c r="AP435" s="4"/>
      <c r="AQ435" s="4"/>
      <c r="AR435" s="4"/>
      <c r="AS435" s="4"/>
      <c r="AT435" s="4"/>
    </row>
    <row r="436" spans="1:46" s="124" customFormat="1" ht="111.95" customHeight="1" x14ac:dyDescent="0.25">
      <c r="A436" s="113">
        <v>297</v>
      </c>
      <c r="B436" s="113" t="s">
        <v>109</v>
      </c>
      <c r="C436" s="114" t="s">
        <v>441</v>
      </c>
      <c r="D436" s="113">
        <v>18</v>
      </c>
      <c r="E436" s="113" t="s">
        <v>121</v>
      </c>
      <c r="F436" s="115" t="s">
        <v>1163</v>
      </c>
      <c r="G436" s="116" t="s">
        <v>312</v>
      </c>
      <c r="H436" s="116" t="s">
        <v>1164</v>
      </c>
      <c r="I436" s="117" t="s">
        <v>113</v>
      </c>
      <c r="J436" s="116" t="s">
        <v>1165</v>
      </c>
      <c r="K436" s="116" t="s">
        <v>1166</v>
      </c>
      <c r="L436" s="118" t="s">
        <v>269</v>
      </c>
      <c r="M436" s="118"/>
      <c r="N436" s="119">
        <v>43846</v>
      </c>
      <c r="O436" s="119">
        <v>44941</v>
      </c>
      <c r="P436" s="120">
        <f>(O436-N436)/365</f>
        <v>3</v>
      </c>
      <c r="Q436" s="114" t="s">
        <v>43</v>
      </c>
      <c r="R436" s="114">
        <f t="shared" ca="1" si="125"/>
        <v>2.883571860065727</v>
      </c>
      <c r="S436" s="114" t="str">
        <f t="shared" ca="1" si="117"/>
        <v>O</v>
      </c>
      <c r="T436" s="121">
        <v>1</v>
      </c>
      <c r="U436" s="121">
        <v>1</v>
      </c>
      <c r="V436" s="121">
        <v>3</v>
      </c>
      <c r="W436" s="121">
        <f t="shared" si="115"/>
        <v>5</v>
      </c>
      <c r="X436" s="121" t="str">
        <f t="shared" si="116"/>
        <v>Biasa</v>
      </c>
      <c r="Y436" s="115" t="s">
        <v>364</v>
      </c>
      <c r="Z436" s="114" t="s">
        <v>119</v>
      </c>
      <c r="AA436" s="119">
        <f>N436+270</f>
        <v>44116</v>
      </c>
      <c r="AB436" s="119">
        <f>+N436+635</f>
        <v>44481</v>
      </c>
      <c r="AC436" s="119"/>
      <c r="AD436" s="26"/>
      <c r="AE436" s="122"/>
      <c r="AF436" s="114" t="s">
        <v>1069</v>
      </c>
      <c r="AG436" s="114" t="s">
        <v>119</v>
      </c>
      <c r="AH436" s="26"/>
      <c r="AI436" s="26"/>
      <c r="AJ436" s="26"/>
      <c r="AK436" s="26"/>
      <c r="AL436" s="26"/>
      <c r="AM436" s="26"/>
      <c r="AN436" s="34"/>
      <c r="AO436" s="123">
        <v>43910</v>
      </c>
      <c r="AP436" s="4"/>
      <c r="AQ436" s="4"/>
      <c r="AR436" s="4"/>
      <c r="AS436" s="4"/>
      <c r="AT436" s="4"/>
    </row>
    <row r="437" spans="1:46" s="124" customFormat="1" ht="111.95" customHeight="1" x14ac:dyDescent="0.25">
      <c r="A437" s="113">
        <v>298</v>
      </c>
      <c r="B437" s="113" t="s">
        <v>109</v>
      </c>
      <c r="C437" s="114"/>
      <c r="D437" s="113"/>
      <c r="E437" s="113"/>
      <c r="F437" s="115"/>
      <c r="G437" s="116"/>
      <c r="H437" s="116" t="s">
        <v>1167</v>
      </c>
      <c r="I437" s="117"/>
      <c r="J437" s="116"/>
      <c r="K437" s="116"/>
      <c r="L437" s="118"/>
      <c r="M437" s="118"/>
      <c r="N437" s="119"/>
      <c r="O437" s="119"/>
      <c r="P437" s="120"/>
      <c r="Q437" s="114" t="s">
        <v>43</v>
      </c>
      <c r="R437" s="114" t="s">
        <v>18</v>
      </c>
      <c r="S437" s="114" t="str">
        <f t="shared" si="117"/>
        <v>C</v>
      </c>
      <c r="T437" s="121">
        <v>1</v>
      </c>
      <c r="U437" s="121">
        <v>3</v>
      </c>
      <c r="V437" s="121">
        <v>3</v>
      </c>
      <c r="W437" s="121">
        <f t="shared" si="115"/>
        <v>7</v>
      </c>
      <c r="X437" s="121" t="str">
        <f t="shared" si="116"/>
        <v>Penting</v>
      </c>
      <c r="Y437" s="115"/>
      <c r="Z437" s="115"/>
      <c r="AA437" s="119"/>
      <c r="AB437" s="119"/>
      <c r="AC437" s="119"/>
      <c r="AD437" s="26" t="s">
        <v>18</v>
      </c>
      <c r="AE437" s="122">
        <v>43799</v>
      </c>
      <c r="AF437" s="114" t="s">
        <v>1069</v>
      </c>
      <c r="AG437" s="114"/>
      <c r="AH437" s="26"/>
      <c r="AI437" s="26"/>
      <c r="AJ437" s="26"/>
      <c r="AK437" s="26"/>
      <c r="AL437" s="26"/>
      <c r="AM437" s="26"/>
      <c r="AN437" s="26"/>
      <c r="AO437" s="123"/>
      <c r="AP437" s="4"/>
      <c r="AQ437" s="4"/>
      <c r="AR437" s="4"/>
      <c r="AS437" s="4"/>
      <c r="AT437" s="4"/>
    </row>
    <row r="438" spans="1:46" s="124" customFormat="1" ht="111.75" customHeight="1" x14ac:dyDescent="0.25">
      <c r="A438" s="113">
        <v>299</v>
      </c>
      <c r="B438" s="113" t="s">
        <v>109</v>
      </c>
      <c r="C438" s="114" t="s">
        <v>391</v>
      </c>
      <c r="D438" s="113">
        <v>7</v>
      </c>
      <c r="E438" s="113" t="s">
        <v>121</v>
      </c>
      <c r="F438" s="115" t="s">
        <v>544</v>
      </c>
      <c r="G438" s="116" t="s">
        <v>312</v>
      </c>
      <c r="H438" s="116" t="s">
        <v>545</v>
      </c>
      <c r="I438" s="117" t="s">
        <v>113</v>
      </c>
      <c r="J438" s="116" t="s">
        <v>546</v>
      </c>
      <c r="K438" s="116" t="s">
        <v>547</v>
      </c>
      <c r="L438" s="118" t="s">
        <v>359</v>
      </c>
      <c r="M438" s="118"/>
      <c r="N438" s="119">
        <v>43647</v>
      </c>
      <c r="O438" s="119">
        <v>44742</v>
      </c>
      <c r="P438" s="120">
        <f>(O438-N438)/365</f>
        <v>3</v>
      </c>
      <c r="Q438" s="114" t="s">
        <v>43</v>
      </c>
      <c r="R438" s="114">
        <f t="shared" ref="R438:R439" ca="1" si="126">(O438-NOW()+1)/31</f>
        <v>-3.5357829786439505</v>
      </c>
      <c r="S438" s="114" t="str">
        <f t="shared" ca="1" si="117"/>
        <v>Y</v>
      </c>
      <c r="T438" s="121">
        <v>1</v>
      </c>
      <c r="U438" s="121">
        <v>1</v>
      </c>
      <c r="V438" s="121">
        <v>3</v>
      </c>
      <c r="W438" s="121">
        <f t="shared" si="115"/>
        <v>5</v>
      </c>
      <c r="X438" s="121" t="str">
        <f t="shared" si="116"/>
        <v>Biasa</v>
      </c>
      <c r="Y438" s="115" t="s">
        <v>364</v>
      </c>
      <c r="Z438" s="114" t="s">
        <v>119</v>
      </c>
      <c r="AA438" s="119">
        <f>N438+270</f>
        <v>43917</v>
      </c>
      <c r="AB438" s="119">
        <f>+N438+635</f>
        <v>44282</v>
      </c>
      <c r="AC438" s="119">
        <f>+N438+1000</f>
        <v>44647</v>
      </c>
      <c r="AD438" s="26"/>
      <c r="AE438" s="122"/>
      <c r="AF438" s="114" t="s">
        <v>1069</v>
      </c>
      <c r="AG438" s="114" t="s">
        <v>119</v>
      </c>
      <c r="AH438" s="26"/>
      <c r="AI438" s="26"/>
      <c r="AJ438" s="26"/>
      <c r="AK438" s="26"/>
      <c r="AL438" s="26"/>
      <c r="AM438" s="26"/>
      <c r="AN438" s="34"/>
      <c r="AO438" s="123"/>
      <c r="AP438" s="4"/>
      <c r="AQ438" s="4"/>
      <c r="AR438" s="4"/>
      <c r="AS438" s="4"/>
      <c r="AT438" s="4"/>
    </row>
    <row r="439" spans="1:46" s="124" customFormat="1" ht="111.95" customHeight="1" x14ac:dyDescent="0.25">
      <c r="A439" s="113">
        <v>300</v>
      </c>
      <c r="B439" s="113" t="s">
        <v>109</v>
      </c>
      <c r="C439" s="114" t="s">
        <v>462</v>
      </c>
      <c r="D439" s="113">
        <v>26</v>
      </c>
      <c r="E439" s="113" t="s">
        <v>121</v>
      </c>
      <c r="F439" s="115" t="s">
        <v>1011</v>
      </c>
      <c r="G439" s="116" t="s">
        <v>312</v>
      </c>
      <c r="H439" s="116" t="s">
        <v>1012</v>
      </c>
      <c r="I439" s="117" t="s">
        <v>113</v>
      </c>
      <c r="J439" s="116" t="s">
        <v>1013</v>
      </c>
      <c r="K439" s="116" t="s">
        <v>1014</v>
      </c>
      <c r="L439" s="118" t="s">
        <v>269</v>
      </c>
      <c r="M439" s="118"/>
      <c r="N439" s="119">
        <v>44013</v>
      </c>
      <c r="O439" s="119">
        <v>44742</v>
      </c>
      <c r="P439" s="120">
        <f>(O439-N439)/365</f>
        <v>1.9972602739726026</v>
      </c>
      <c r="Q439" s="114" t="s">
        <v>43</v>
      </c>
      <c r="R439" s="114">
        <f t="shared" ca="1" si="126"/>
        <v>-3.5357829786439505</v>
      </c>
      <c r="S439" s="114" t="str">
        <f t="shared" ca="1" si="117"/>
        <v>Y</v>
      </c>
      <c r="T439" s="121">
        <v>1</v>
      </c>
      <c r="U439" s="121">
        <v>1</v>
      </c>
      <c r="V439" s="121">
        <v>1</v>
      </c>
      <c r="W439" s="121">
        <f t="shared" si="115"/>
        <v>3</v>
      </c>
      <c r="X439" s="121" t="str">
        <f t="shared" si="116"/>
        <v>Biasa</v>
      </c>
      <c r="Y439" s="115" t="s">
        <v>364</v>
      </c>
      <c r="Z439" s="114" t="s">
        <v>119</v>
      </c>
      <c r="AA439" s="119">
        <f>N439+270</f>
        <v>44283</v>
      </c>
      <c r="AB439" s="119">
        <f>+N439+635</f>
        <v>44648</v>
      </c>
      <c r="AC439" s="119"/>
      <c r="AD439" s="26"/>
      <c r="AE439" s="122"/>
      <c r="AF439" s="114" t="s">
        <v>1069</v>
      </c>
      <c r="AG439" s="114" t="s">
        <v>119</v>
      </c>
      <c r="AH439" s="26"/>
      <c r="AI439" s="26"/>
      <c r="AJ439" s="26"/>
      <c r="AK439" s="26"/>
      <c r="AL439" s="26"/>
      <c r="AM439" s="26"/>
      <c r="AN439" s="34"/>
      <c r="AO439" s="123">
        <v>43991</v>
      </c>
      <c r="AP439" s="4"/>
      <c r="AQ439" s="4"/>
      <c r="AR439" s="4"/>
      <c r="AS439" s="4"/>
      <c r="AT439" s="4"/>
    </row>
    <row r="440" spans="1:46" s="124" customFormat="1" ht="111.95" customHeight="1" x14ac:dyDescent="0.25">
      <c r="A440" s="113">
        <v>301</v>
      </c>
      <c r="B440" s="113" t="s">
        <v>109</v>
      </c>
      <c r="C440" s="114"/>
      <c r="D440" s="113"/>
      <c r="E440" s="113"/>
      <c r="F440" s="115"/>
      <c r="G440" s="116"/>
      <c r="H440" s="116" t="s">
        <v>1168</v>
      </c>
      <c r="I440" s="117"/>
      <c r="J440" s="116"/>
      <c r="K440" s="116"/>
      <c r="L440" s="118"/>
      <c r="M440" s="118"/>
      <c r="N440" s="119"/>
      <c r="O440" s="119"/>
      <c r="P440" s="120"/>
      <c r="Q440" s="114" t="s">
        <v>43</v>
      </c>
      <c r="R440" s="114" t="s">
        <v>18</v>
      </c>
      <c r="S440" s="114" t="str">
        <f t="shared" si="117"/>
        <v>C</v>
      </c>
      <c r="T440" s="121">
        <v>1</v>
      </c>
      <c r="U440" s="121">
        <v>1</v>
      </c>
      <c r="V440" s="121">
        <v>1</v>
      </c>
      <c r="W440" s="121">
        <f t="shared" si="115"/>
        <v>3</v>
      </c>
      <c r="X440" s="121" t="str">
        <f t="shared" si="116"/>
        <v>Biasa</v>
      </c>
      <c r="Y440" s="115"/>
      <c r="Z440" s="115"/>
      <c r="AA440" s="119"/>
      <c r="AB440" s="119"/>
      <c r="AC440" s="119"/>
      <c r="AD440" s="26" t="s">
        <v>18</v>
      </c>
      <c r="AE440" s="122">
        <v>43860</v>
      </c>
      <c r="AF440" s="114" t="s">
        <v>1069</v>
      </c>
      <c r="AG440" s="114"/>
      <c r="AH440" s="26"/>
      <c r="AI440" s="26"/>
      <c r="AJ440" s="26"/>
      <c r="AK440" s="26"/>
      <c r="AL440" s="26"/>
      <c r="AM440" s="26"/>
      <c r="AN440" s="26"/>
      <c r="AO440" s="123"/>
      <c r="AP440" s="4"/>
      <c r="AQ440" s="4"/>
      <c r="AR440" s="4"/>
      <c r="AS440" s="4"/>
      <c r="AT440" s="4"/>
    </row>
    <row r="441" spans="1:46" s="124" customFormat="1" ht="111.95" customHeight="1" x14ac:dyDescent="0.25">
      <c r="A441" s="113">
        <v>302</v>
      </c>
      <c r="B441" s="113" t="s">
        <v>109</v>
      </c>
      <c r="C441" s="114"/>
      <c r="D441" s="113"/>
      <c r="E441" s="113"/>
      <c r="F441" s="115"/>
      <c r="G441" s="116"/>
      <c r="H441" s="116" t="s">
        <v>1169</v>
      </c>
      <c r="I441" s="117"/>
      <c r="J441" s="116"/>
      <c r="K441" s="116"/>
      <c r="L441" s="118"/>
      <c r="M441" s="118"/>
      <c r="N441" s="119"/>
      <c r="O441" s="119"/>
      <c r="P441" s="120"/>
      <c r="Q441" s="114" t="s">
        <v>43</v>
      </c>
      <c r="R441" s="114" t="s">
        <v>18</v>
      </c>
      <c r="S441" s="114" t="str">
        <f t="shared" si="117"/>
        <v>C</v>
      </c>
      <c r="T441" s="121">
        <v>1</v>
      </c>
      <c r="U441" s="121">
        <v>1</v>
      </c>
      <c r="V441" s="121">
        <v>3</v>
      </c>
      <c r="W441" s="121">
        <f t="shared" si="115"/>
        <v>5</v>
      </c>
      <c r="X441" s="121" t="str">
        <f t="shared" si="116"/>
        <v>Biasa</v>
      </c>
      <c r="Y441" s="115"/>
      <c r="Z441" s="115"/>
      <c r="AA441" s="119"/>
      <c r="AB441" s="119"/>
      <c r="AC441" s="119"/>
      <c r="AD441" s="26" t="s">
        <v>18</v>
      </c>
      <c r="AE441" s="122">
        <v>43799</v>
      </c>
      <c r="AF441" s="114" t="s">
        <v>1069</v>
      </c>
      <c r="AG441" s="114"/>
      <c r="AH441" s="26"/>
      <c r="AI441" s="26"/>
      <c r="AJ441" s="26"/>
      <c r="AK441" s="26"/>
      <c r="AL441" s="26"/>
      <c r="AM441" s="26"/>
      <c r="AN441" s="26"/>
      <c r="AO441" s="123"/>
      <c r="AP441" s="4"/>
      <c r="AQ441" s="4"/>
      <c r="AR441" s="4"/>
      <c r="AS441" s="4"/>
      <c r="AT441" s="4"/>
    </row>
    <row r="442" spans="1:46" s="124" customFormat="1" ht="111.95" customHeight="1" x14ac:dyDescent="0.25">
      <c r="A442" s="113">
        <v>303</v>
      </c>
      <c r="B442" s="113" t="s">
        <v>109</v>
      </c>
      <c r="C442" s="114" t="s">
        <v>441</v>
      </c>
      <c r="D442" s="113">
        <v>10</v>
      </c>
      <c r="E442" s="113" t="s">
        <v>121</v>
      </c>
      <c r="F442" s="115" t="s">
        <v>1170</v>
      </c>
      <c r="G442" s="116" t="s">
        <v>312</v>
      </c>
      <c r="H442" s="116" t="s">
        <v>1171</v>
      </c>
      <c r="I442" s="117" t="s">
        <v>113</v>
      </c>
      <c r="J442" s="116" t="s">
        <v>1172</v>
      </c>
      <c r="K442" s="116" t="s">
        <v>1173</v>
      </c>
      <c r="L442" s="118" t="s">
        <v>359</v>
      </c>
      <c r="M442" s="118"/>
      <c r="N442" s="119">
        <v>43739</v>
      </c>
      <c r="O442" s="119">
        <v>44834</v>
      </c>
      <c r="P442" s="120">
        <f t="shared" ref="P442:P447" si="127">(O442-N442)/365</f>
        <v>3</v>
      </c>
      <c r="Q442" s="114" t="s">
        <v>43</v>
      </c>
      <c r="R442" s="114">
        <f t="shared" ref="R442" ca="1" si="128">(O442-NOW()+1)/31</f>
        <v>-0.56804104316007953</v>
      </c>
      <c r="S442" s="114" t="str">
        <f t="shared" ca="1" si="117"/>
        <v>Y</v>
      </c>
      <c r="T442" s="121">
        <v>3</v>
      </c>
      <c r="U442" s="121">
        <v>2</v>
      </c>
      <c r="V442" s="121">
        <v>3</v>
      </c>
      <c r="W442" s="121">
        <f t="shared" si="115"/>
        <v>8</v>
      </c>
      <c r="X442" s="121" t="str">
        <f t="shared" si="116"/>
        <v>Penting</v>
      </c>
      <c r="Y442" s="115" t="s">
        <v>364</v>
      </c>
      <c r="Z442" s="114" t="s">
        <v>119</v>
      </c>
      <c r="AA442" s="119">
        <f>N442+270</f>
        <v>44009</v>
      </c>
      <c r="AB442" s="119">
        <f>+N442+635</f>
        <v>44374</v>
      </c>
      <c r="AC442" s="119">
        <f>+N442+1000</f>
        <v>44739</v>
      </c>
      <c r="AD442" s="26"/>
      <c r="AE442" s="122"/>
      <c r="AF442" s="114" t="s">
        <v>1069</v>
      </c>
      <c r="AG442" s="114" t="s">
        <v>119</v>
      </c>
      <c r="AH442" s="26"/>
      <c r="AI442" s="26"/>
      <c r="AJ442" s="26"/>
      <c r="AK442" s="26"/>
      <c r="AL442" s="26"/>
      <c r="AM442" s="26"/>
      <c r="AN442" s="34"/>
      <c r="AO442" s="123">
        <v>43784</v>
      </c>
      <c r="AP442" s="4"/>
      <c r="AQ442" s="4"/>
      <c r="AR442" s="4"/>
      <c r="AS442" s="4"/>
      <c r="AT442" s="4"/>
    </row>
    <row r="443" spans="1:46" s="124" customFormat="1" ht="111.95" customHeight="1" x14ac:dyDescent="0.25">
      <c r="A443" s="113">
        <v>304</v>
      </c>
      <c r="B443" s="113" t="s">
        <v>109</v>
      </c>
      <c r="C443" s="114"/>
      <c r="D443" s="113"/>
      <c r="E443" s="113"/>
      <c r="F443" s="115" t="s">
        <v>1174</v>
      </c>
      <c r="G443" s="116" t="s">
        <v>1175</v>
      </c>
      <c r="H443" s="116" t="s">
        <v>1070</v>
      </c>
      <c r="I443" s="117" t="s">
        <v>113</v>
      </c>
      <c r="J443" s="116" t="s">
        <v>1176</v>
      </c>
      <c r="K443" s="116"/>
      <c r="L443" s="118">
        <v>43156344</v>
      </c>
      <c r="M443" s="118"/>
      <c r="N443" s="119">
        <v>43018</v>
      </c>
      <c r="O443" s="119">
        <v>43983</v>
      </c>
      <c r="P443" s="120">
        <f t="shared" si="127"/>
        <v>2.6438356164383561</v>
      </c>
      <c r="Q443" s="114" t="s">
        <v>43</v>
      </c>
      <c r="R443" s="114" t="s">
        <v>117</v>
      </c>
      <c r="S443" s="114" t="str">
        <f t="shared" si="117"/>
        <v>Z</v>
      </c>
      <c r="T443" s="121">
        <v>1</v>
      </c>
      <c r="U443" s="121">
        <v>2</v>
      </c>
      <c r="V443" s="121">
        <v>2</v>
      </c>
      <c r="W443" s="121">
        <f t="shared" si="115"/>
        <v>5</v>
      </c>
      <c r="X443" s="121" t="str">
        <f t="shared" si="116"/>
        <v>Biasa</v>
      </c>
      <c r="Y443" s="115"/>
      <c r="Z443" s="115"/>
      <c r="AA443" s="119"/>
      <c r="AB443" s="119"/>
      <c r="AC443" s="119"/>
      <c r="AD443" s="26" t="s">
        <v>16</v>
      </c>
      <c r="AE443" s="122">
        <v>43983</v>
      </c>
      <c r="AF443" s="114" t="s">
        <v>1069</v>
      </c>
      <c r="AG443" s="114" t="s">
        <v>216</v>
      </c>
      <c r="AH443" s="26"/>
      <c r="AI443" s="26"/>
      <c r="AJ443" s="26"/>
      <c r="AK443" s="26"/>
      <c r="AL443" s="26"/>
      <c r="AM443" s="26"/>
      <c r="AN443" s="26"/>
      <c r="AO443" s="123"/>
      <c r="AP443" s="4"/>
      <c r="AQ443" s="4"/>
      <c r="AR443" s="4"/>
      <c r="AS443" s="4"/>
      <c r="AT443" s="4"/>
    </row>
    <row r="444" spans="1:46" s="124" customFormat="1" ht="111.95" customHeight="1" x14ac:dyDescent="0.25">
      <c r="A444" s="113">
        <v>305</v>
      </c>
      <c r="B444" s="113" t="s">
        <v>109</v>
      </c>
      <c r="C444" s="114" t="s">
        <v>441</v>
      </c>
      <c r="D444" s="113">
        <v>30</v>
      </c>
      <c r="E444" s="113" t="s">
        <v>121</v>
      </c>
      <c r="F444" s="115" t="s">
        <v>1177</v>
      </c>
      <c r="G444" s="116" t="s">
        <v>312</v>
      </c>
      <c r="H444" s="116" t="s">
        <v>1178</v>
      </c>
      <c r="I444" s="117" t="s">
        <v>113</v>
      </c>
      <c r="J444" s="116" t="s">
        <v>1179</v>
      </c>
      <c r="K444" s="116" t="s">
        <v>1180</v>
      </c>
      <c r="L444" s="118" t="s">
        <v>359</v>
      </c>
      <c r="M444" s="118"/>
      <c r="N444" s="119">
        <v>43985</v>
      </c>
      <c r="O444" s="119">
        <v>44714</v>
      </c>
      <c r="P444" s="120">
        <f t="shared" si="127"/>
        <v>1.9972602739726026</v>
      </c>
      <c r="Q444" s="114" t="s">
        <v>43</v>
      </c>
      <c r="R444" s="114">
        <f t="shared" ref="R444:R447" ca="1" si="129">(O444-NOW()+1)/31</f>
        <v>-4.4390087850955631</v>
      </c>
      <c r="S444" s="114" t="str">
        <f t="shared" ca="1" si="117"/>
        <v>Y</v>
      </c>
      <c r="T444" s="121">
        <v>1</v>
      </c>
      <c r="U444" s="121">
        <v>2</v>
      </c>
      <c r="V444" s="121">
        <v>2</v>
      </c>
      <c r="W444" s="121">
        <f t="shared" si="115"/>
        <v>5</v>
      </c>
      <c r="X444" s="121" t="str">
        <f t="shared" si="116"/>
        <v>Biasa</v>
      </c>
      <c r="Y444" s="115" t="s">
        <v>364</v>
      </c>
      <c r="Z444" s="114" t="s">
        <v>119</v>
      </c>
      <c r="AA444" s="119">
        <f>N444+270</f>
        <v>44255</v>
      </c>
      <c r="AB444" s="119">
        <f>+N444+635</f>
        <v>44620</v>
      </c>
      <c r="AC444" s="119"/>
      <c r="AD444" s="26"/>
      <c r="AE444" s="122"/>
      <c r="AF444" s="114" t="s">
        <v>1069</v>
      </c>
      <c r="AG444" s="114"/>
      <c r="AH444" s="26"/>
      <c r="AI444" s="26"/>
      <c r="AJ444" s="26"/>
      <c r="AK444" s="26"/>
      <c r="AL444" s="26"/>
      <c r="AM444" s="26"/>
      <c r="AN444" s="34"/>
      <c r="AO444" s="123">
        <v>44008</v>
      </c>
      <c r="AP444" s="4"/>
      <c r="AQ444" s="4"/>
      <c r="AR444" s="4"/>
      <c r="AS444" s="4"/>
      <c r="AT444" s="4"/>
    </row>
    <row r="445" spans="1:46" s="124" customFormat="1" ht="111.95" customHeight="1" x14ac:dyDescent="0.25">
      <c r="A445" s="113">
        <v>306</v>
      </c>
      <c r="B445" s="113" t="s">
        <v>109</v>
      </c>
      <c r="C445" s="114" t="s">
        <v>441</v>
      </c>
      <c r="D445" s="113">
        <v>32</v>
      </c>
      <c r="E445" s="113" t="s">
        <v>121</v>
      </c>
      <c r="F445" s="115" t="s">
        <v>1181</v>
      </c>
      <c r="G445" s="116" t="s">
        <v>312</v>
      </c>
      <c r="H445" s="116" t="s">
        <v>1182</v>
      </c>
      <c r="I445" s="117" t="s">
        <v>113</v>
      </c>
      <c r="J445" s="116" t="s">
        <v>1183</v>
      </c>
      <c r="K445" s="116" t="s">
        <v>1184</v>
      </c>
      <c r="L445" s="118" t="s">
        <v>269</v>
      </c>
      <c r="M445" s="118"/>
      <c r="N445" s="119">
        <v>44165</v>
      </c>
      <c r="O445" s="119">
        <v>44894</v>
      </c>
      <c r="P445" s="120">
        <f t="shared" si="127"/>
        <v>1.9972602739726026</v>
      </c>
      <c r="Q445" s="114" t="s">
        <v>43</v>
      </c>
      <c r="R445" s="114">
        <f t="shared" ca="1" si="129"/>
        <v>1.3674428278076625</v>
      </c>
      <c r="S445" s="114" t="str">
        <f t="shared" ca="1" si="117"/>
        <v>O</v>
      </c>
      <c r="T445" s="121">
        <v>1</v>
      </c>
      <c r="U445" s="121">
        <v>2</v>
      </c>
      <c r="V445" s="121">
        <v>2</v>
      </c>
      <c r="W445" s="121">
        <f t="shared" si="115"/>
        <v>5</v>
      </c>
      <c r="X445" s="121" t="str">
        <f t="shared" si="116"/>
        <v>Biasa</v>
      </c>
      <c r="Y445" s="115" t="s">
        <v>364</v>
      </c>
      <c r="Z445" s="114" t="s">
        <v>119</v>
      </c>
      <c r="AA445" s="119">
        <f>N445+270</f>
        <v>44435</v>
      </c>
      <c r="AB445" s="119"/>
      <c r="AC445" s="119"/>
      <c r="AD445" s="26"/>
      <c r="AE445" s="122"/>
      <c r="AF445" s="114" t="s">
        <v>1069</v>
      </c>
      <c r="AG445" s="114"/>
      <c r="AH445" s="26"/>
      <c r="AI445" s="26"/>
      <c r="AJ445" s="26"/>
      <c r="AK445" s="26"/>
      <c r="AL445" s="26"/>
      <c r="AM445" s="26"/>
      <c r="AN445" s="34"/>
      <c r="AO445" s="123">
        <v>44172</v>
      </c>
      <c r="AP445" s="4"/>
      <c r="AQ445" s="4"/>
      <c r="AR445" s="4"/>
      <c r="AS445" s="4"/>
      <c r="AT445" s="4"/>
    </row>
    <row r="446" spans="1:46" s="124" customFormat="1" ht="111.95" customHeight="1" x14ac:dyDescent="0.25">
      <c r="A446" s="113">
        <v>307</v>
      </c>
      <c r="B446" s="113" t="s">
        <v>109</v>
      </c>
      <c r="C446" s="114" t="s">
        <v>441</v>
      </c>
      <c r="D446" s="113">
        <v>29</v>
      </c>
      <c r="E446" s="113" t="s">
        <v>121</v>
      </c>
      <c r="F446" s="115" t="s">
        <v>1185</v>
      </c>
      <c r="G446" s="116" t="s">
        <v>312</v>
      </c>
      <c r="H446" s="116" t="s">
        <v>1186</v>
      </c>
      <c r="I446" s="117" t="s">
        <v>113</v>
      </c>
      <c r="J446" s="116" t="s">
        <v>1187</v>
      </c>
      <c r="K446" s="116" t="s">
        <v>1188</v>
      </c>
      <c r="L446" s="118" t="s">
        <v>359</v>
      </c>
      <c r="M446" s="118"/>
      <c r="N446" s="119">
        <v>43985</v>
      </c>
      <c r="O446" s="119">
        <v>44714</v>
      </c>
      <c r="P446" s="120">
        <f t="shared" si="127"/>
        <v>1.9972602739726026</v>
      </c>
      <c r="Q446" s="114" t="s">
        <v>43</v>
      </c>
      <c r="R446" s="114">
        <f t="shared" ca="1" si="129"/>
        <v>-4.4390087850955631</v>
      </c>
      <c r="S446" s="114" t="str">
        <f t="shared" ca="1" si="117"/>
        <v>Y</v>
      </c>
      <c r="T446" s="121">
        <v>1</v>
      </c>
      <c r="U446" s="121">
        <v>2</v>
      </c>
      <c r="V446" s="121">
        <v>2</v>
      </c>
      <c r="W446" s="121">
        <f t="shared" si="115"/>
        <v>5</v>
      </c>
      <c r="X446" s="121" t="str">
        <f t="shared" si="116"/>
        <v>Biasa</v>
      </c>
      <c r="Y446" s="115" t="s">
        <v>364</v>
      </c>
      <c r="Z446" s="114" t="s">
        <v>119</v>
      </c>
      <c r="AA446" s="119">
        <f>N446+270</f>
        <v>44255</v>
      </c>
      <c r="AB446" s="119">
        <f>+N446+635</f>
        <v>44620</v>
      </c>
      <c r="AC446" s="119"/>
      <c r="AD446" s="26"/>
      <c r="AE446" s="122"/>
      <c r="AF446" s="114" t="s">
        <v>1069</v>
      </c>
      <c r="AG446" s="114"/>
      <c r="AH446" s="26"/>
      <c r="AI446" s="26"/>
      <c r="AJ446" s="26"/>
      <c r="AK446" s="26"/>
      <c r="AL446" s="26"/>
      <c r="AM446" s="26"/>
      <c r="AN446" s="34"/>
      <c r="AO446" s="123">
        <v>43985</v>
      </c>
      <c r="AP446" s="4"/>
      <c r="AQ446" s="4"/>
      <c r="AR446" s="4"/>
      <c r="AS446" s="4"/>
      <c r="AT446" s="4"/>
    </row>
    <row r="447" spans="1:46" s="124" customFormat="1" ht="111.95" customHeight="1" x14ac:dyDescent="0.25">
      <c r="A447" s="113">
        <v>308</v>
      </c>
      <c r="B447" s="113" t="s">
        <v>109</v>
      </c>
      <c r="C447" s="114" t="s">
        <v>441</v>
      </c>
      <c r="D447" s="113">
        <v>2</v>
      </c>
      <c r="E447" s="113" t="s">
        <v>121</v>
      </c>
      <c r="F447" s="115" t="s">
        <v>1189</v>
      </c>
      <c r="G447" s="116" t="s">
        <v>312</v>
      </c>
      <c r="H447" s="116" t="s">
        <v>1190</v>
      </c>
      <c r="I447" s="117" t="s">
        <v>113</v>
      </c>
      <c r="J447" s="116" t="s">
        <v>1191</v>
      </c>
      <c r="K447" s="116" t="s">
        <v>1192</v>
      </c>
      <c r="L447" s="118" t="s">
        <v>359</v>
      </c>
      <c r="M447" s="118"/>
      <c r="N447" s="119">
        <v>43965</v>
      </c>
      <c r="O447" s="119">
        <v>44694</v>
      </c>
      <c r="P447" s="120">
        <f t="shared" si="127"/>
        <v>1.9972602739726026</v>
      </c>
      <c r="Q447" s="114" t="s">
        <v>43</v>
      </c>
      <c r="R447" s="114">
        <f t="shared" ca="1" si="129"/>
        <v>-5.084170075418144</v>
      </c>
      <c r="S447" s="114" t="str">
        <f t="shared" ca="1" si="117"/>
        <v>Y</v>
      </c>
      <c r="T447" s="121">
        <v>1</v>
      </c>
      <c r="U447" s="121">
        <v>2</v>
      </c>
      <c r="V447" s="121">
        <v>2</v>
      </c>
      <c r="W447" s="121">
        <f t="shared" si="115"/>
        <v>5</v>
      </c>
      <c r="X447" s="121" t="str">
        <f t="shared" si="116"/>
        <v>Biasa</v>
      </c>
      <c r="Y447" s="115" t="s">
        <v>364</v>
      </c>
      <c r="Z447" s="114" t="s">
        <v>119</v>
      </c>
      <c r="AA447" s="119">
        <f>N447+270</f>
        <v>44235</v>
      </c>
      <c r="AB447" s="119">
        <f>+N447+635</f>
        <v>44600</v>
      </c>
      <c r="AC447" s="119"/>
      <c r="AD447" s="26"/>
      <c r="AE447" s="122"/>
      <c r="AF447" s="114" t="s">
        <v>1069</v>
      </c>
      <c r="AG447" s="114"/>
      <c r="AH447" s="26"/>
      <c r="AI447" s="26"/>
      <c r="AJ447" s="26"/>
      <c r="AK447" s="26"/>
      <c r="AL447" s="26"/>
      <c r="AM447" s="26"/>
      <c r="AN447" s="34"/>
      <c r="AO447" s="123">
        <v>44040</v>
      </c>
      <c r="AP447" s="4"/>
      <c r="AQ447" s="4"/>
      <c r="AR447" s="4"/>
      <c r="AS447" s="4"/>
      <c r="AT447" s="4"/>
    </row>
    <row r="448" spans="1:46" s="124" customFormat="1" ht="111.95" customHeight="1" x14ac:dyDescent="0.25">
      <c r="A448" s="113">
        <v>309</v>
      </c>
      <c r="B448" s="113" t="s">
        <v>109</v>
      </c>
      <c r="C448" s="114"/>
      <c r="D448" s="113"/>
      <c r="E448" s="113"/>
      <c r="F448" s="115"/>
      <c r="G448" s="116"/>
      <c r="H448" s="116" t="s">
        <v>1193</v>
      </c>
      <c r="I448" s="117"/>
      <c r="J448" s="116"/>
      <c r="K448" s="116"/>
      <c r="L448" s="118"/>
      <c r="M448" s="118"/>
      <c r="N448" s="119"/>
      <c r="O448" s="119"/>
      <c r="P448" s="120"/>
      <c r="Q448" s="114" t="s">
        <v>43</v>
      </c>
      <c r="R448" s="114" t="s">
        <v>18</v>
      </c>
      <c r="S448" s="114" t="str">
        <f t="shared" si="117"/>
        <v>C</v>
      </c>
      <c r="T448" s="121">
        <v>1</v>
      </c>
      <c r="U448" s="121">
        <v>2</v>
      </c>
      <c r="V448" s="121">
        <v>2</v>
      </c>
      <c r="W448" s="121">
        <f t="shared" si="115"/>
        <v>5</v>
      </c>
      <c r="X448" s="121" t="str">
        <f t="shared" si="116"/>
        <v>Biasa</v>
      </c>
      <c r="Y448" s="115"/>
      <c r="Z448" s="115"/>
      <c r="AA448" s="119"/>
      <c r="AB448" s="119"/>
      <c r="AC448" s="119"/>
      <c r="AD448" s="26" t="s">
        <v>18</v>
      </c>
      <c r="AE448" s="122">
        <v>43799</v>
      </c>
      <c r="AF448" s="114" t="s">
        <v>1069</v>
      </c>
      <c r="AG448" s="114"/>
      <c r="AH448" s="26"/>
      <c r="AI448" s="26"/>
      <c r="AJ448" s="26"/>
      <c r="AK448" s="26"/>
      <c r="AL448" s="26"/>
      <c r="AM448" s="26"/>
      <c r="AN448" s="26"/>
      <c r="AO448" s="123"/>
      <c r="AP448" s="4"/>
      <c r="AQ448" s="4"/>
      <c r="AR448" s="4"/>
      <c r="AS448" s="4"/>
      <c r="AT448" s="4"/>
    </row>
    <row r="449" spans="1:46" s="124" customFormat="1" ht="333" customHeight="1" x14ac:dyDescent="0.25">
      <c r="A449" s="113">
        <v>310</v>
      </c>
      <c r="B449" s="113" t="s">
        <v>109</v>
      </c>
      <c r="C449" s="114"/>
      <c r="D449" s="113"/>
      <c r="E449" s="113"/>
      <c r="F449" s="115"/>
      <c r="G449" s="116"/>
      <c r="H449" s="116" t="s">
        <v>1194</v>
      </c>
      <c r="I449" s="117"/>
      <c r="J449" s="116"/>
      <c r="K449" s="116"/>
      <c r="L449" s="118"/>
      <c r="M449" s="118"/>
      <c r="N449" s="119"/>
      <c r="O449" s="119"/>
      <c r="P449" s="120"/>
      <c r="Q449" s="114" t="s">
        <v>43</v>
      </c>
      <c r="R449" s="114" t="s">
        <v>18</v>
      </c>
      <c r="S449" s="114" t="str">
        <f t="shared" si="117"/>
        <v>C</v>
      </c>
      <c r="T449" s="121">
        <v>1</v>
      </c>
      <c r="U449" s="121">
        <v>2</v>
      </c>
      <c r="V449" s="121">
        <v>2</v>
      </c>
      <c r="W449" s="121">
        <f t="shared" si="115"/>
        <v>5</v>
      </c>
      <c r="X449" s="121" t="str">
        <f t="shared" si="116"/>
        <v>Biasa</v>
      </c>
      <c r="Y449" s="115"/>
      <c r="Z449" s="115"/>
      <c r="AA449" s="119"/>
      <c r="AB449" s="119"/>
      <c r="AC449" s="119"/>
      <c r="AD449" s="26" t="s">
        <v>18</v>
      </c>
      <c r="AE449" s="122">
        <v>43965</v>
      </c>
      <c r="AF449" s="114" t="s">
        <v>1069</v>
      </c>
      <c r="AG449" s="114"/>
      <c r="AH449" s="26"/>
      <c r="AI449" s="26"/>
      <c r="AJ449" s="26"/>
      <c r="AK449" s="26"/>
      <c r="AL449" s="26"/>
      <c r="AM449" s="26"/>
      <c r="AN449" s="26"/>
      <c r="AO449" s="123"/>
      <c r="AP449" s="4"/>
      <c r="AQ449" s="4"/>
      <c r="AR449" s="4"/>
      <c r="AS449" s="4"/>
      <c r="AT449" s="4"/>
    </row>
    <row r="450" spans="1:46" s="124" customFormat="1" ht="111.95" customHeight="1" x14ac:dyDescent="0.25">
      <c r="A450" s="113">
        <v>311</v>
      </c>
      <c r="B450" s="113" t="s">
        <v>109</v>
      </c>
      <c r="C450" s="114" t="s">
        <v>441</v>
      </c>
      <c r="D450" s="113">
        <v>3</v>
      </c>
      <c r="E450" s="113" t="s">
        <v>121</v>
      </c>
      <c r="F450" s="115" t="s">
        <v>1195</v>
      </c>
      <c r="G450" s="116" t="s">
        <v>312</v>
      </c>
      <c r="H450" s="116" t="s">
        <v>1196</v>
      </c>
      <c r="I450" s="117" t="s">
        <v>113</v>
      </c>
      <c r="J450" s="116" t="s">
        <v>1197</v>
      </c>
      <c r="K450" s="116" t="s">
        <v>1198</v>
      </c>
      <c r="L450" s="118" t="s">
        <v>359</v>
      </c>
      <c r="M450" s="118"/>
      <c r="N450" s="119">
        <v>43997</v>
      </c>
      <c r="O450" s="119">
        <v>44726</v>
      </c>
      <c r="P450" s="120">
        <f>(O450-N450)/365</f>
        <v>1.9972602739726026</v>
      </c>
      <c r="Q450" s="114" t="s">
        <v>43</v>
      </c>
      <c r="R450" s="114">
        <f t="shared" ref="R450" ca="1" si="130">(O450-NOW()+1)/31</f>
        <v>-4.051912010902015</v>
      </c>
      <c r="S450" s="114" t="str">
        <f t="shared" ca="1" si="117"/>
        <v>Y</v>
      </c>
      <c r="T450" s="121">
        <v>1</v>
      </c>
      <c r="U450" s="121">
        <v>2</v>
      </c>
      <c r="V450" s="121">
        <v>2</v>
      </c>
      <c r="W450" s="121">
        <f t="shared" si="115"/>
        <v>5</v>
      </c>
      <c r="X450" s="121" t="str">
        <f t="shared" si="116"/>
        <v>Biasa</v>
      </c>
      <c r="Y450" s="115" t="s">
        <v>364</v>
      </c>
      <c r="Z450" s="114" t="s">
        <v>119</v>
      </c>
      <c r="AA450" s="119">
        <f>N450+270</f>
        <v>44267</v>
      </c>
      <c r="AB450" s="119">
        <f>+N450+635</f>
        <v>44632</v>
      </c>
      <c r="AC450" s="119"/>
      <c r="AD450" s="26"/>
      <c r="AE450" s="122"/>
      <c r="AF450" s="114" t="s">
        <v>1069</v>
      </c>
      <c r="AG450" s="114"/>
      <c r="AH450" s="26"/>
      <c r="AI450" s="26"/>
      <c r="AJ450" s="26"/>
      <c r="AK450" s="26"/>
      <c r="AL450" s="26"/>
      <c r="AM450" s="26"/>
      <c r="AN450" s="34"/>
      <c r="AO450" s="123">
        <v>44040</v>
      </c>
      <c r="AP450" s="4"/>
      <c r="AQ450" s="4"/>
      <c r="AR450" s="4"/>
      <c r="AS450" s="4"/>
      <c r="AT450" s="4"/>
    </row>
    <row r="451" spans="1:46" s="124" customFormat="1" ht="111.95" customHeight="1" x14ac:dyDescent="0.25">
      <c r="A451" s="113">
        <v>312</v>
      </c>
      <c r="B451" s="113" t="s">
        <v>109</v>
      </c>
      <c r="C451" s="114"/>
      <c r="D451" s="113"/>
      <c r="E451" s="113"/>
      <c r="F451" s="115"/>
      <c r="G451" s="116"/>
      <c r="H451" s="116" t="s">
        <v>1199</v>
      </c>
      <c r="I451" s="117"/>
      <c r="J451" s="116"/>
      <c r="K451" s="116"/>
      <c r="L451" s="118"/>
      <c r="M451" s="118"/>
      <c r="N451" s="119"/>
      <c r="O451" s="119"/>
      <c r="P451" s="120"/>
      <c r="Q451" s="114" t="s">
        <v>43</v>
      </c>
      <c r="R451" s="114" t="s">
        <v>18</v>
      </c>
      <c r="S451" s="114" t="str">
        <f t="shared" si="117"/>
        <v>C</v>
      </c>
      <c r="T451" s="121">
        <v>1</v>
      </c>
      <c r="U451" s="121">
        <v>2</v>
      </c>
      <c r="V451" s="121">
        <v>2</v>
      </c>
      <c r="W451" s="121">
        <f t="shared" si="115"/>
        <v>5</v>
      </c>
      <c r="X451" s="121" t="str">
        <f t="shared" si="116"/>
        <v>Biasa</v>
      </c>
      <c r="Y451" s="115"/>
      <c r="Z451" s="115"/>
      <c r="AA451" s="119"/>
      <c r="AB451" s="119"/>
      <c r="AC451" s="119"/>
      <c r="AD451" s="26" t="s">
        <v>18</v>
      </c>
      <c r="AE451" s="122">
        <v>43799</v>
      </c>
      <c r="AF451" s="114" t="s">
        <v>1069</v>
      </c>
      <c r="AG451" s="114"/>
      <c r="AH451" s="26"/>
      <c r="AI451" s="26"/>
      <c r="AJ451" s="26"/>
      <c r="AK451" s="26"/>
      <c r="AL451" s="26"/>
      <c r="AM451" s="26"/>
      <c r="AN451" s="26"/>
      <c r="AO451" s="123"/>
      <c r="AP451" s="4"/>
      <c r="AQ451" s="4"/>
      <c r="AR451" s="4"/>
      <c r="AS451" s="4"/>
      <c r="AT451" s="4"/>
    </row>
    <row r="452" spans="1:46" s="124" customFormat="1" ht="111.95" customHeight="1" x14ac:dyDescent="0.25">
      <c r="A452" s="113">
        <v>313</v>
      </c>
      <c r="B452" s="113" t="s">
        <v>109</v>
      </c>
      <c r="C452" s="114" t="s">
        <v>441</v>
      </c>
      <c r="D452" s="113">
        <v>31</v>
      </c>
      <c r="E452" s="113" t="s">
        <v>121</v>
      </c>
      <c r="F452" s="115" t="s">
        <v>1200</v>
      </c>
      <c r="G452" s="116" t="s">
        <v>312</v>
      </c>
      <c r="H452" s="116" t="s">
        <v>1201</v>
      </c>
      <c r="I452" s="117" t="s">
        <v>113</v>
      </c>
      <c r="J452" s="116" t="s">
        <v>1179</v>
      </c>
      <c r="K452" s="116" t="s">
        <v>1202</v>
      </c>
      <c r="L452" s="118" t="s">
        <v>359</v>
      </c>
      <c r="M452" s="118"/>
      <c r="N452" s="119">
        <v>43985</v>
      </c>
      <c r="O452" s="119">
        <v>44714</v>
      </c>
      <c r="P452" s="120">
        <f>(O452-N452)/365</f>
        <v>1.9972602739726026</v>
      </c>
      <c r="Q452" s="114" t="s">
        <v>43</v>
      </c>
      <c r="R452" s="114">
        <f t="shared" ref="R452" ca="1" si="131">(O452-NOW()+1)/31</f>
        <v>-4.4390087850955631</v>
      </c>
      <c r="S452" s="114" t="str">
        <f t="shared" ca="1" si="117"/>
        <v>Y</v>
      </c>
      <c r="T452" s="121">
        <v>1</v>
      </c>
      <c r="U452" s="121">
        <v>2</v>
      </c>
      <c r="V452" s="121">
        <v>2</v>
      </c>
      <c r="W452" s="121">
        <f t="shared" si="115"/>
        <v>5</v>
      </c>
      <c r="X452" s="121" t="str">
        <f t="shared" si="116"/>
        <v>Biasa</v>
      </c>
      <c r="Y452" s="115" t="s">
        <v>364</v>
      </c>
      <c r="Z452" s="114" t="s">
        <v>119</v>
      </c>
      <c r="AA452" s="119">
        <f>N452+270</f>
        <v>44255</v>
      </c>
      <c r="AB452" s="119">
        <f>+N452+635</f>
        <v>44620</v>
      </c>
      <c r="AC452" s="119"/>
      <c r="AD452" s="26"/>
      <c r="AE452" s="122"/>
      <c r="AF452" s="114" t="s">
        <v>1069</v>
      </c>
      <c r="AG452" s="114"/>
      <c r="AH452" s="26"/>
      <c r="AI452" s="26"/>
      <c r="AJ452" s="26"/>
      <c r="AK452" s="26"/>
      <c r="AL452" s="26"/>
      <c r="AM452" s="26"/>
      <c r="AN452" s="34"/>
      <c r="AO452" s="123">
        <v>44008</v>
      </c>
      <c r="AP452" s="4"/>
      <c r="AQ452" s="4"/>
      <c r="AR452" s="4"/>
      <c r="AS452" s="4"/>
      <c r="AT452" s="4"/>
    </row>
    <row r="453" spans="1:46" s="124" customFormat="1" ht="111.95" customHeight="1" x14ac:dyDescent="0.25">
      <c r="A453" s="113">
        <v>314</v>
      </c>
      <c r="B453" s="113" t="s">
        <v>109</v>
      </c>
      <c r="C453" s="114"/>
      <c r="D453" s="113"/>
      <c r="E453" s="113"/>
      <c r="F453" s="115"/>
      <c r="G453" s="116"/>
      <c r="H453" s="116" t="s">
        <v>1203</v>
      </c>
      <c r="I453" s="117"/>
      <c r="J453" s="116"/>
      <c r="K453" s="116"/>
      <c r="L453" s="118"/>
      <c r="M453" s="118"/>
      <c r="N453" s="119"/>
      <c r="O453" s="119"/>
      <c r="P453" s="120"/>
      <c r="Q453" s="114" t="s">
        <v>37</v>
      </c>
      <c r="R453" s="114" t="s">
        <v>18</v>
      </c>
      <c r="S453" s="114" t="str">
        <f t="shared" si="117"/>
        <v>C</v>
      </c>
      <c r="T453" s="121"/>
      <c r="U453" s="121"/>
      <c r="V453" s="121"/>
      <c r="W453" s="121">
        <f t="shared" si="115"/>
        <v>0</v>
      </c>
      <c r="X453" s="121" t="str">
        <f t="shared" si="116"/>
        <v>Biasa</v>
      </c>
      <c r="Y453" s="115"/>
      <c r="Z453" s="115"/>
      <c r="AA453" s="119"/>
      <c r="AB453" s="119"/>
      <c r="AC453" s="119"/>
      <c r="AD453" s="26" t="s">
        <v>18</v>
      </c>
      <c r="AE453" s="122">
        <v>43497</v>
      </c>
      <c r="AF453" s="114" t="s">
        <v>626</v>
      </c>
      <c r="AG453" s="114"/>
      <c r="AH453" s="26"/>
      <c r="AI453" s="26"/>
      <c r="AJ453" s="26"/>
      <c r="AK453" s="26"/>
      <c r="AL453" s="26"/>
      <c r="AM453" s="26"/>
      <c r="AN453" s="26"/>
      <c r="AO453" s="123"/>
      <c r="AP453" s="4"/>
      <c r="AQ453" s="4"/>
      <c r="AR453" s="4"/>
    </row>
    <row r="454" spans="1:46" s="124" customFormat="1" ht="111.95" customHeight="1" x14ac:dyDescent="0.25">
      <c r="A454" s="113">
        <v>315</v>
      </c>
      <c r="B454" s="113" t="s">
        <v>109</v>
      </c>
      <c r="C454" s="114"/>
      <c r="D454" s="113"/>
      <c r="E454" s="113"/>
      <c r="F454" s="115"/>
      <c r="G454" s="116"/>
      <c r="H454" s="116" t="s">
        <v>1204</v>
      </c>
      <c r="I454" s="117"/>
      <c r="J454" s="116"/>
      <c r="K454" s="116"/>
      <c r="L454" s="118"/>
      <c r="M454" s="118"/>
      <c r="N454" s="119"/>
      <c r="O454" s="119"/>
      <c r="P454" s="120"/>
      <c r="Q454" s="114" t="s">
        <v>43</v>
      </c>
      <c r="R454" s="114" t="s">
        <v>18</v>
      </c>
      <c r="S454" s="114" t="str">
        <f t="shared" si="117"/>
        <v>C</v>
      </c>
      <c r="T454" s="121"/>
      <c r="U454" s="121"/>
      <c r="V454" s="121"/>
      <c r="W454" s="121">
        <f t="shared" si="115"/>
        <v>0</v>
      </c>
      <c r="X454" s="121" t="str">
        <f t="shared" si="116"/>
        <v>Biasa</v>
      </c>
      <c r="Y454" s="115"/>
      <c r="Z454" s="115"/>
      <c r="AA454" s="119"/>
      <c r="AB454" s="119"/>
      <c r="AC454" s="119"/>
      <c r="AD454" s="26" t="s">
        <v>18</v>
      </c>
      <c r="AE454" s="122">
        <v>43497</v>
      </c>
      <c r="AF454" s="114" t="s">
        <v>1069</v>
      </c>
      <c r="AG454" s="114"/>
      <c r="AH454" s="26"/>
      <c r="AI454" s="26"/>
      <c r="AJ454" s="26"/>
      <c r="AK454" s="26"/>
      <c r="AL454" s="26"/>
      <c r="AM454" s="26"/>
      <c r="AN454" s="26"/>
      <c r="AO454" s="123"/>
      <c r="AP454" s="4"/>
      <c r="AQ454" s="4"/>
      <c r="AR454" s="4"/>
    </row>
    <row r="455" spans="1:46" s="124" customFormat="1" ht="111.95" customHeight="1" x14ac:dyDescent="0.25">
      <c r="A455" s="113">
        <v>316</v>
      </c>
      <c r="B455" s="113" t="s">
        <v>109</v>
      </c>
      <c r="C455" s="114"/>
      <c r="D455" s="113"/>
      <c r="E455" s="113"/>
      <c r="F455" s="115"/>
      <c r="G455" s="116"/>
      <c r="H455" s="116" t="s">
        <v>1205</v>
      </c>
      <c r="I455" s="117"/>
      <c r="J455" s="116"/>
      <c r="K455" s="116"/>
      <c r="L455" s="118"/>
      <c r="M455" s="118"/>
      <c r="N455" s="119"/>
      <c r="O455" s="119"/>
      <c r="P455" s="120"/>
      <c r="Q455" s="114" t="s">
        <v>43</v>
      </c>
      <c r="R455" s="114" t="s">
        <v>18</v>
      </c>
      <c r="S455" s="114" t="str">
        <f t="shared" si="117"/>
        <v>C</v>
      </c>
      <c r="T455" s="121"/>
      <c r="U455" s="121"/>
      <c r="V455" s="121"/>
      <c r="W455" s="121">
        <f t="shared" si="115"/>
        <v>0</v>
      </c>
      <c r="X455" s="121" t="str">
        <f t="shared" si="116"/>
        <v>Biasa</v>
      </c>
      <c r="Y455" s="115"/>
      <c r="Z455" s="115"/>
      <c r="AA455" s="119"/>
      <c r="AB455" s="119"/>
      <c r="AC455" s="119"/>
      <c r="AD455" s="26" t="s">
        <v>18</v>
      </c>
      <c r="AE455" s="122">
        <v>43497</v>
      </c>
      <c r="AF455" s="114" t="s">
        <v>1069</v>
      </c>
      <c r="AG455" s="114"/>
      <c r="AH455" s="26"/>
      <c r="AI455" s="26"/>
      <c r="AJ455" s="26"/>
      <c r="AK455" s="26"/>
      <c r="AL455" s="26"/>
      <c r="AM455" s="26"/>
      <c r="AN455" s="26"/>
      <c r="AO455" s="123"/>
      <c r="AP455" s="4"/>
      <c r="AQ455" s="4"/>
      <c r="AR455" s="4"/>
    </row>
    <row r="456" spans="1:46" s="124" customFormat="1" ht="111.95" customHeight="1" x14ac:dyDescent="0.25">
      <c r="A456" s="113">
        <v>317</v>
      </c>
      <c r="B456" s="113" t="s">
        <v>109</v>
      </c>
      <c r="C456" s="114"/>
      <c r="D456" s="113"/>
      <c r="E456" s="113"/>
      <c r="F456" s="115"/>
      <c r="G456" s="116"/>
      <c r="H456" s="116" t="s">
        <v>1206</v>
      </c>
      <c r="I456" s="117"/>
      <c r="J456" s="116"/>
      <c r="K456" s="116"/>
      <c r="L456" s="118"/>
      <c r="M456" s="118"/>
      <c r="N456" s="119"/>
      <c r="O456" s="119"/>
      <c r="P456" s="120"/>
      <c r="Q456" s="114" t="s">
        <v>43</v>
      </c>
      <c r="R456" s="114" t="s">
        <v>18</v>
      </c>
      <c r="S456" s="114" t="str">
        <f t="shared" si="117"/>
        <v>C</v>
      </c>
      <c r="T456" s="121"/>
      <c r="U456" s="121"/>
      <c r="V456" s="121"/>
      <c r="W456" s="121">
        <f t="shared" si="115"/>
        <v>0</v>
      </c>
      <c r="X456" s="121" t="str">
        <f t="shared" si="116"/>
        <v>Biasa</v>
      </c>
      <c r="Y456" s="115"/>
      <c r="Z456" s="115"/>
      <c r="AA456" s="119"/>
      <c r="AB456" s="119"/>
      <c r="AC456" s="119"/>
      <c r="AD456" s="26" t="s">
        <v>18</v>
      </c>
      <c r="AE456" s="122">
        <v>43497</v>
      </c>
      <c r="AF456" s="114" t="s">
        <v>1069</v>
      </c>
      <c r="AG456" s="114"/>
      <c r="AH456" s="26"/>
      <c r="AI456" s="26"/>
      <c r="AJ456" s="26"/>
      <c r="AK456" s="26"/>
      <c r="AL456" s="26"/>
      <c r="AM456" s="26"/>
      <c r="AN456" s="26"/>
      <c r="AO456" s="123"/>
      <c r="AP456" s="4"/>
      <c r="AQ456" s="4"/>
      <c r="AR456" s="4"/>
    </row>
    <row r="457" spans="1:46" s="124" customFormat="1" ht="111.95" customHeight="1" x14ac:dyDescent="0.25">
      <c r="A457" s="113">
        <v>318</v>
      </c>
      <c r="B457" s="113" t="s">
        <v>109</v>
      </c>
      <c r="C457" s="114"/>
      <c r="D457" s="113"/>
      <c r="E457" s="113"/>
      <c r="F457" s="115"/>
      <c r="G457" s="116"/>
      <c r="H457" s="116" t="s">
        <v>1207</v>
      </c>
      <c r="I457" s="117"/>
      <c r="J457" s="116"/>
      <c r="K457" s="116"/>
      <c r="L457" s="118"/>
      <c r="M457" s="118"/>
      <c r="N457" s="119"/>
      <c r="O457" s="119"/>
      <c r="P457" s="120"/>
      <c r="Q457" s="114" t="s">
        <v>43</v>
      </c>
      <c r="R457" s="114" t="s">
        <v>18</v>
      </c>
      <c r="S457" s="114" t="str">
        <f t="shared" si="117"/>
        <v>C</v>
      </c>
      <c r="T457" s="121"/>
      <c r="U457" s="121"/>
      <c r="V457" s="121"/>
      <c r="W457" s="121">
        <f t="shared" si="115"/>
        <v>0</v>
      </c>
      <c r="X457" s="121" t="str">
        <f t="shared" si="116"/>
        <v>Biasa</v>
      </c>
      <c r="Y457" s="115"/>
      <c r="Z457" s="115"/>
      <c r="AA457" s="119"/>
      <c r="AB457" s="119"/>
      <c r="AC457" s="119"/>
      <c r="AD457" s="26" t="s">
        <v>18</v>
      </c>
      <c r="AE457" s="122">
        <v>43497</v>
      </c>
      <c r="AF457" s="114" t="s">
        <v>1069</v>
      </c>
      <c r="AG457" s="114"/>
      <c r="AH457" s="26"/>
      <c r="AI457" s="26"/>
      <c r="AJ457" s="26"/>
      <c r="AK457" s="26"/>
      <c r="AL457" s="26"/>
      <c r="AM457" s="26"/>
      <c r="AN457" s="26"/>
      <c r="AO457" s="123"/>
      <c r="AP457" s="4"/>
      <c r="AQ457" s="4"/>
      <c r="AR457" s="4"/>
    </row>
    <row r="458" spans="1:46" s="124" customFormat="1" ht="111.95" customHeight="1" x14ac:dyDescent="0.25">
      <c r="A458" s="113">
        <v>319</v>
      </c>
      <c r="B458" s="113" t="s">
        <v>109</v>
      </c>
      <c r="C458" s="114"/>
      <c r="D458" s="113"/>
      <c r="E458" s="113"/>
      <c r="F458" s="115"/>
      <c r="G458" s="116"/>
      <c r="H458" s="116" t="s">
        <v>1208</v>
      </c>
      <c r="I458" s="117"/>
      <c r="J458" s="116"/>
      <c r="K458" s="116"/>
      <c r="L458" s="118"/>
      <c r="M458" s="118"/>
      <c r="N458" s="119"/>
      <c r="O458" s="119"/>
      <c r="P458" s="120"/>
      <c r="Q458" s="114" t="s">
        <v>43</v>
      </c>
      <c r="R458" s="114" t="s">
        <v>18</v>
      </c>
      <c r="S458" s="114" t="str">
        <f t="shared" si="117"/>
        <v>C</v>
      </c>
      <c r="T458" s="121"/>
      <c r="U458" s="121"/>
      <c r="V458" s="121"/>
      <c r="W458" s="121">
        <f t="shared" si="115"/>
        <v>0</v>
      </c>
      <c r="X458" s="121" t="str">
        <f t="shared" si="116"/>
        <v>Biasa</v>
      </c>
      <c r="Y458" s="115"/>
      <c r="Z458" s="115"/>
      <c r="AA458" s="119"/>
      <c r="AB458" s="119"/>
      <c r="AC458" s="119"/>
      <c r="AD458" s="26" t="s">
        <v>18</v>
      </c>
      <c r="AE458" s="122">
        <v>43497</v>
      </c>
      <c r="AF458" s="114" t="s">
        <v>1069</v>
      </c>
      <c r="AG458" s="114"/>
      <c r="AH458" s="26"/>
      <c r="AI458" s="26"/>
      <c r="AJ458" s="26"/>
      <c r="AK458" s="26"/>
      <c r="AL458" s="26"/>
      <c r="AM458" s="26"/>
      <c r="AN458" s="26"/>
      <c r="AO458" s="123"/>
      <c r="AP458" s="4"/>
      <c r="AQ458" s="4"/>
      <c r="AR458" s="4"/>
    </row>
    <row r="459" spans="1:46" s="124" customFormat="1" ht="111.95" customHeight="1" x14ac:dyDescent="0.25">
      <c r="A459" s="113">
        <v>320</v>
      </c>
      <c r="B459" s="113" t="s">
        <v>109</v>
      </c>
      <c r="C459" s="114"/>
      <c r="D459" s="113"/>
      <c r="E459" s="113"/>
      <c r="F459" s="115"/>
      <c r="G459" s="116"/>
      <c r="H459" s="116" t="s">
        <v>1209</v>
      </c>
      <c r="I459" s="117"/>
      <c r="J459" s="116"/>
      <c r="K459" s="116"/>
      <c r="L459" s="118"/>
      <c r="M459" s="118"/>
      <c r="N459" s="119"/>
      <c r="O459" s="119"/>
      <c r="P459" s="120"/>
      <c r="Q459" s="114" t="s">
        <v>43</v>
      </c>
      <c r="R459" s="114" t="s">
        <v>18</v>
      </c>
      <c r="S459" s="114" t="str">
        <f t="shared" si="117"/>
        <v>C</v>
      </c>
      <c r="T459" s="121"/>
      <c r="U459" s="121"/>
      <c r="V459" s="121"/>
      <c r="W459" s="121">
        <f t="shared" si="115"/>
        <v>0</v>
      </c>
      <c r="X459" s="121" t="str">
        <f t="shared" si="116"/>
        <v>Biasa</v>
      </c>
      <c r="Y459" s="115"/>
      <c r="Z459" s="115"/>
      <c r="AA459" s="119"/>
      <c r="AB459" s="119"/>
      <c r="AC459" s="119"/>
      <c r="AD459" s="26" t="s">
        <v>18</v>
      </c>
      <c r="AE459" s="122">
        <v>43497</v>
      </c>
      <c r="AF459" s="114" t="s">
        <v>1069</v>
      </c>
      <c r="AG459" s="114"/>
      <c r="AH459" s="26"/>
      <c r="AI459" s="26"/>
      <c r="AJ459" s="26"/>
      <c r="AK459" s="26"/>
      <c r="AL459" s="26"/>
      <c r="AM459" s="26"/>
      <c r="AN459" s="26"/>
      <c r="AO459" s="123"/>
      <c r="AP459" s="4"/>
      <c r="AQ459" s="4"/>
      <c r="AR459" s="4"/>
    </row>
    <row r="460" spans="1:46" s="124" customFormat="1" ht="111.95" customHeight="1" x14ac:dyDescent="0.25">
      <c r="A460" s="113">
        <v>321</v>
      </c>
      <c r="B460" s="113" t="s">
        <v>109</v>
      </c>
      <c r="C460" s="114"/>
      <c r="D460" s="113"/>
      <c r="E460" s="113"/>
      <c r="F460" s="115" t="s">
        <v>1210</v>
      </c>
      <c r="G460" s="116" t="s">
        <v>1211</v>
      </c>
      <c r="H460" s="116" t="s">
        <v>1212</v>
      </c>
      <c r="I460" s="117" t="s">
        <v>113</v>
      </c>
      <c r="J460" s="116" t="s">
        <v>1213</v>
      </c>
      <c r="K460" s="116"/>
      <c r="L460" s="118">
        <v>55800</v>
      </c>
      <c r="M460" s="118" t="s">
        <v>163</v>
      </c>
      <c r="N460" s="119">
        <v>43419</v>
      </c>
      <c r="O460" s="119">
        <v>43510</v>
      </c>
      <c r="P460" s="120">
        <f>(O460-N460)/365</f>
        <v>0.24931506849315069</v>
      </c>
      <c r="Q460" s="114" t="s">
        <v>43</v>
      </c>
      <c r="R460" s="114" t="s">
        <v>117</v>
      </c>
      <c r="S460" s="114" t="str">
        <f t="shared" si="117"/>
        <v>Z</v>
      </c>
      <c r="T460" s="121">
        <v>2</v>
      </c>
      <c r="U460" s="121">
        <v>3</v>
      </c>
      <c r="V460" s="121">
        <v>1</v>
      </c>
      <c r="W460" s="121">
        <f t="shared" si="115"/>
        <v>6</v>
      </c>
      <c r="X460" s="121" t="str">
        <f t="shared" si="116"/>
        <v>Penting</v>
      </c>
      <c r="Y460" s="115"/>
      <c r="Z460" s="115"/>
      <c r="AA460" s="119"/>
      <c r="AB460" s="119"/>
      <c r="AC460" s="119"/>
      <c r="AD460" s="26" t="s">
        <v>16</v>
      </c>
      <c r="AE460" s="122">
        <v>43497</v>
      </c>
      <c r="AF460" s="114" t="s">
        <v>1069</v>
      </c>
      <c r="AG460" s="114"/>
      <c r="AH460" s="26"/>
      <c r="AI460" s="26"/>
      <c r="AJ460" s="26"/>
      <c r="AK460" s="26"/>
      <c r="AL460" s="26"/>
      <c r="AM460" s="26"/>
      <c r="AN460" s="26"/>
      <c r="AO460" s="123"/>
      <c r="AP460" s="4"/>
      <c r="AQ460" s="4"/>
      <c r="AR460" s="4"/>
    </row>
    <row r="461" spans="1:46" s="124" customFormat="1" ht="111.95" customHeight="1" x14ac:dyDescent="0.25">
      <c r="A461" s="113">
        <v>322</v>
      </c>
      <c r="B461" s="113" t="s">
        <v>109</v>
      </c>
      <c r="C461" s="114"/>
      <c r="D461" s="113"/>
      <c r="E461" s="113"/>
      <c r="F461" s="115" t="s">
        <v>651</v>
      </c>
      <c r="G461" s="116" t="s">
        <v>652</v>
      </c>
      <c r="H461" s="116" t="s">
        <v>653</v>
      </c>
      <c r="I461" s="117" t="s">
        <v>113</v>
      </c>
      <c r="J461" s="116" t="s">
        <v>1214</v>
      </c>
      <c r="K461" s="116" t="s">
        <v>655</v>
      </c>
      <c r="L461" s="118">
        <v>315790000</v>
      </c>
      <c r="M461" s="118"/>
      <c r="N461" s="119">
        <v>42807</v>
      </c>
      <c r="O461" s="119">
        <v>43536</v>
      </c>
      <c r="P461" s="120">
        <f>(O461-N461)/365</f>
        <v>1.9972602739726026</v>
      </c>
      <c r="Q461" s="114" t="s">
        <v>29</v>
      </c>
      <c r="R461" s="114" t="s">
        <v>117</v>
      </c>
      <c r="S461" s="114" t="str">
        <f t="shared" si="117"/>
        <v>Z</v>
      </c>
      <c r="T461" s="121">
        <v>3</v>
      </c>
      <c r="U461" s="121">
        <v>3</v>
      </c>
      <c r="V461" s="121">
        <v>3</v>
      </c>
      <c r="W461" s="121">
        <f t="shared" si="115"/>
        <v>9</v>
      </c>
      <c r="X461" s="121" t="str">
        <f t="shared" si="116"/>
        <v>Penting</v>
      </c>
      <c r="Y461" s="115" t="s">
        <v>656</v>
      </c>
      <c r="Z461" s="115"/>
      <c r="AA461" s="119"/>
      <c r="AB461" s="119"/>
      <c r="AC461" s="119"/>
      <c r="AD461" s="26" t="s">
        <v>16</v>
      </c>
      <c r="AE461" s="122">
        <v>43525</v>
      </c>
      <c r="AF461" s="114" t="s">
        <v>274</v>
      </c>
      <c r="AG461" s="114"/>
      <c r="AH461" s="26"/>
      <c r="AI461" s="26"/>
      <c r="AJ461" s="26"/>
      <c r="AK461" s="26"/>
      <c r="AL461" s="26"/>
      <c r="AM461" s="26"/>
      <c r="AN461" s="26"/>
      <c r="AO461" s="123"/>
      <c r="AP461" s="4"/>
      <c r="AQ461" s="4"/>
      <c r="AR461" s="4"/>
      <c r="AS461" s="4"/>
      <c r="AT461" s="4"/>
    </row>
    <row r="462" spans="1:46" s="124" customFormat="1" ht="111.95" customHeight="1" x14ac:dyDescent="0.25">
      <c r="A462" s="113">
        <v>323</v>
      </c>
      <c r="B462" s="113" t="s">
        <v>109</v>
      </c>
      <c r="C462" s="114"/>
      <c r="D462" s="113"/>
      <c r="E462" s="113"/>
      <c r="F462" s="115" t="s">
        <v>1215</v>
      </c>
      <c r="G462" s="116" t="s">
        <v>1216</v>
      </c>
      <c r="H462" s="116" t="s">
        <v>1217</v>
      </c>
      <c r="I462" s="117" t="s">
        <v>160</v>
      </c>
      <c r="J462" s="116" t="s">
        <v>1218</v>
      </c>
      <c r="K462" s="116"/>
      <c r="L462" s="118">
        <v>2250000</v>
      </c>
      <c r="M462" s="118"/>
      <c r="N462" s="119">
        <v>43165</v>
      </c>
      <c r="O462" s="119">
        <v>43529</v>
      </c>
      <c r="P462" s="120">
        <f>(O462-N462)/365</f>
        <v>0.99726027397260275</v>
      </c>
      <c r="Q462" s="114" t="s">
        <v>36</v>
      </c>
      <c r="R462" s="114" t="s">
        <v>117</v>
      </c>
      <c r="S462" s="114" t="str">
        <f t="shared" si="117"/>
        <v>Z</v>
      </c>
      <c r="T462" s="121"/>
      <c r="U462" s="121"/>
      <c r="V462" s="121"/>
      <c r="W462" s="121">
        <f t="shared" si="115"/>
        <v>0</v>
      </c>
      <c r="X462" s="121" t="str">
        <f t="shared" si="116"/>
        <v>Biasa</v>
      </c>
      <c r="Y462" s="115"/>
      <c r="Z462" s="115"/>
      <c r="AA462" s="119"/>
      <c r="AB462" s="119"/>
      <c r="AC462" s="119"/>
      <c r="AD462" s="26" t="s">
        <v>16</v>
      </c>
      <c r="AE462" s="122">
        <v>43525</v>
      </c>
      <c r="AF462" s="114" t="s">
        <v>719</v>
      </c>
      <c r="AG462" s="114"/>
      <c r="AH462" s="26"/>
      <c r="AI462" s="26"/>
      <c r="AJ462" s="26"/>
      <c r="AK462" s="26"/>
      <c r="AL462" s="26"/>
      <c r="AM462" s="26"/>
      <c r="AN462" s="26"/>
      <c r="AO462" s="123"/>
      <c r="AP462" s="4"/>
      <c r="AQ462" s="4"/>
      <c r="AR462" s="4"/>
      <c r="AS462" s="4"/>
      <c r="AT462" s="4"/>
    </row>
    <row r="463" spans="1:46" s="124" customFormat="1" ht="111.95" customHeight="1" x14ac:dyDescent="0.25">
      <c r="A463" s="113">
        <v>324</v>
      </c>
      <c r="B463" s="113" t="s">
        <v>109</v>
      </c>
      <c r="C463" s="114"/>
      <c r="D463" s="113"/>
      <c r="E463" s="113"/>
      <c r="F463" s="115"/>
      <c r="G463" s="116"/>
      <c r="H463" s="116" t="s">
        <v>1219</v>
      </c>
      <c r="I463" s="117"/>
      <c r="J463" s="116"/>
      <c r="K463" s="116"/>
      <c r="L463" s="118"/>
      <c r="M463" s="118"/>
      <c r="N463" s="119"/>
      <c r="O463" s="119"/>
      <c r="P463" s="120"/>
      <c r="Q463" s="114" t="s">
        <v>43</v>
      </c>
      <c r="R463" s="114" t="s">
        <v>18</v>
      </c>
      <c r="S463" s="114" t="str">
        <f t="shared" si="117"/>
        <v>C</v>
      </c>
      <c r="T463" s="121">
        <v>1</v>
      </c>
      <c r="U463" s="121">
        <v>1</v>
      </c>
      <c r="V463" s="121">
        <v>2</v>
      </c>
      <c r="W463" s="121">
        <f t="shared" si="115"/>
        <v>4</v>
      </c>
      <c r="X463" s="121" t="str">
        <f t="shared" si="116"/>
        <v>Biasa</v>
      </c>
      <c r="Y463" s="115"/>
      <c r="Z463" s="115"/>
      <c r="AA463" s="119"/>
      <c r="AB463" s="119"/>
      <c r="AC463" s="119"/>
      <c r="AD463" s="26" t="s">
        <v>18</v>
      </c>
      <c r="AE463" s="122">
        <v>43525</v>
      </c>
      <c r="AF463" s="114" t="s">
        <v>1069</v>
      </c>
      <c r="AG463" s="114"/>
      <c r="AH463" s="26"/>
      <c r="AI463" s="26"/>
      <c r="AJ463" s="26"/>
      <c r="AK463" s="26"/>
      <c r="AL463" s="26"/>
      <c r="AM463" s="26"/>
      <c r="AN463" s="26"/>
      <c r="AO463" s="123"/>
      <c r="AP463" s="4"/>
      <c r="AQ463" s="4"/>
      <c r="AR463" s="4"/>
      <c r="AS463" s="4"/>
      <c r="AT463" s="4"/>
    </row>
    <row r="464" spans="1:46" s="124" customFormat="1" ht="111.95" customHeight="1" x14ac:dyDescent="0.25">
      <c r="A464" s="113">
        <v>325</v>
      </c>
      <c r="B464" s="113" t="s">
        <v>109</v>
      </c>
      <c r="C464" s="114"/>
      <c r="D464" s="113"/>
      <c r="E464" s="113"/>
      <c r="F464" s="115"/>
      <c r="G464" s="116"/>
      <c r="H464" s="116" t="s">
        <v>1220</v>
      </c>
      <c r="I464" s="117"/>
      <c r="J464" s="116"/>
      <c r="K464" s="116"/>
      <c r="L464" s="118"/>
      <c r="M464" s="118"/>
      <c r="N464" s="119"/>
      <c r="O464" s="119"/>
      <c r="P464" s="120"/>
      <c r="Q464" s="114" t="s">
        <v>43</v>
      </c>
      <c r="R464" s="114" t="s">
        <v>18</v>
      </c>
      <c r="S464" s="114" t="str">
        <f t="shared" si="117"/>
        <v>C</v>
      </c>
      <c r="T464" s="121">
        <v>1</v>
      </c>
      <c r="U464" s="121">
        <v>1</v>
      </c>
      <c r="V464" s="121">
        <v>3</v>
      </c>
      <c r="W464" s="121">
        <f t="shared" si="115"/>
        <v>5</v>
      </c>
      <c r="X464" s="121" t="str">
        <f t="shared" si="116"/>
        <v>Biasa</v>
      </c>
      <c r="Y464" s="115"/>
      <c r="Z464" s="115"/>
      <c r="AA464" s="119"/>
      <c r="AB464" s="119"/>
      <c r="AC464" s="119"/>
      <c r="AD464" s="26" t="s">
        <v>18</v>
      </c>
      <c r="AE464" s="122">
        <v>43525</v>
      </c>
      <c r="AF464" s="114" t="s">
        <v>1069</v>
      </c>
      <c r="AG464" s="114"/>
      <c r="AH464" s="26"/>
      <c r="AI464" s="26"/>
      <c r="AJ464" s="26"/>
      <c r="AK464" s="26"/>
      <c r="AL464" s="26"/>
      <c r="AM464" s="26"/>
      <c r="AN464" s="26"/>
      <c r="AO464" s="123"/>
      <c r="AP464" s="4"/>
      <c r="AQ464" s="4"/>
      <c r="AR464" s="4"/>
      <c r="AS464" s="4"/>
      <c r="AT464" s="4"/>
    </row>
    <row r="465" spans="1:46" s="124" customFormat="1" ht="111.95" customHeight="1" x14ac:dyDescent="0.25">
      <c r="A465" s="113">
        <v>326</v>
      </c>
      <c r="B465" s="113" t="s">
        <v>109</v>
      </c>
      <c r="C465" s="114"/>
      <c r="D465" s="113"/>
      <c r="E465" s="113"/>
      <c r="F465" s="115"/>
      <c r="G465" s="116"/>
      <c r="H465" s="116" t="s">
        <v>1221</v>
      </c>
      <c r="I465" s="117"/>
      <c r="J465" s="116"/>
      <c r="K465" s="116"/>
      <c r="L465" s="118"/>
      <c r="M465" s="118"/>
      <c r="N465" s="119"/>
      <c r="O465" s="119"/>
      <c r="P465" s="120"/>
      <c r="Q465" s="114" t="s">
        <v>43</v>
      </c>
      <c r="R465" s="114" t="s">
        <v>18</v>
      </c>
      <c r="S465" s="114" t="str">
        <f t="shared" si="117"/>
        <v>C</v>
      </c>
      <c r="T465" s="121">
        <v>1</v>
      </c>
      <c r="U465" s="121">
        <v>1</v>
      </c>
      <c r="V465" s="121">
        <v>3</v>
      </c>
      <c r="W465" s="121">
        <f t="shared" si="115"/>
        <v>5</v>
      </c>
      <c r="X465" s="121" t="str">
        <f t="shared" si="116"/>
        <v>Biasa</v>
      </c>
      <c r="Y465" s="115"/>
      <c r="Z465" s="115"/>
      <c r="AA465" s="119"/>
      <c r="AB465" s="119"/>
      <c r="AC465" s="119"/>
      <c r="AD465" s="26" t="s">
        <v>18</v>
      </c>
      <c r="AE465" s="122">
        <v>43525</v>
      </c>
      <c r="AF465" s="114" t="s">
        <v>1069</v>
      </c>
      <c r="AG465" s="114"/>
      <c r="AH465" s="26"/>
      <c r="AI465" s="26"/>
      <c r="AJ465" s="26"/>
      <c r="AK465" s="26"/>
      <c r="AL465" s="26"/>
      <c r="AM465" s="26"/>
      <c r="AN465" s="26"/>
      <c r="AO465" s="123"/>
      <c r="AP465" s="4"/>
      <c r="AQ465" s="4"/>
      <c r="AR465" s="4"/>
      <c r="AS465" s="4"/>
      <c r="AT465" s="4"/>
    </row>
    <row r="466" spans="1:46" s="124" customFormat="1" ht="111.95" customHeight="1" x14ac:dyDescent="0.25">
      <c r="A466" s="113">
        <v>327</v>
      </c>
      <c r="B466" s="113" t="s">
        <v>109</v>
      </c>
      <c r="C466" s="114"/>
      <c r="D466" s="113"/>
      <c r="E466" s="113"/>
      <c r="F466" s="115"/>
      <c r="G466" s="116"/>
      <c r="H466" s="116" t="s">
        <v>419</v>
      </c>
      <c r="I466" s="117"/>
      <c r="J466" s="116"/>
      <c r="K466" s="116"/>
      <c r="L466" s="118"/>
      <c r="M466" s="118"/>
      <c r="N466" s="119"/>
      <c r="O466" s="119"/>
      <c r="P466" s="120"/>
      <c r="Q466" s="114" t="s">
        <v>43</v>
      </c>
      <c r="R466" s="114" t="s">
        <v>18</v>
      </c>
      <c r="S466" s="114" t="str">
        <f t="shared" si="117"/>
        <v>C</v>
      </c>
      <c r="T466" s="121">
        <v>1</v>
      </c>
      <c r="U466" s="121">
        <v>1</v>
      </c>
      <c r="V466" s="121">
        <v>2</v>
      </c>
      <c r="W466" s="121">
        <f t="shared" si="115"/>
        <v>4</v>
      </c>
      <c r="X466" s="121" t="str">
        <f t="shared" si="116"/>
        <v>Biasa</v>
      </c>
      <c r="Y466" s="115"/>
      <c r="Z466" s="115"/>
      <c r="AA466" s="119"/>
      <c r="AB466" s="119"/>
      <c r="AC466" s="119"/>
      <c r="AD466" s="26" t="s">
        <v>18</v>
      </c>
      <c r="AE466" s="122">
        <v>43525</v>
      </c>
      <c r="AF466" s="114" t="s">
        <v>1069</v>
      </c>
      <c r="AG466" s="114"/>
      <c r="AH466" s="26"/>
      <c r="AI466" s="26"/>
      <c r="AJ466" s="26"/>
      <c r="AK466" s="26"/>
      <c r="AL466" s="26"/>
      <c r="AM466" s="26"/>
      <c r="AN466" s="26"/>
      <c r="AO466" s="123"/>
      <c r="AP466" s="4"/>
      <c r="AQ466" s="4"/>
      <c r="AR466" s="4"/>
      <c r="AS466" s="4"/>
      <c r="AT466" s="4"/>
    </row>
    <row r="467" spans="1:46" s="124" customFormat="1" ht="111.95" customHeight="1" x14ac:dyDescent="0.25">
      <c r="A467" s="113">
        <v>328</v>
      </c>
      <c r="B467" s="113" t="s">
        <v>109</v>
      </c>
      <c r="C467" s="114"/>
      <c r="D467" s="113"/>
      <c r="E467" s="113"/>
      <c r="F467" s="115"/>
      <c r="G467" s="116"/>
      <c r="H467" s="116" t="s">
        <v>1222</v>
      </c>
      <c r="I467" s="117"/>
      <c r="J467" s="116"/>
      <c r="K467" s="116"/>
      <c r="L467" s="118"/>
      <c r="M467" s="118"/>
      <c r="N467" s="119"/>
      <c r="O467" s="119"/>
      <c r="P467" s="120"/>
      <c r="Q467" s="114" t="s">
        <v>43</v>
      </c>
      <c r="R467" s="114" t="s">
        <v>18</v>
      </c>
      <c r="S467" s="114" t="str">
        <f t="shared" si="117"/>
        <v>C</v>
      </c>
      <c r="T467" s="121">
        <v>1</v>
      </c>
      <c r="U467" s="121">
        <v>1</v>
      </c>
      <c r="V467" s="121">
        <v>3</v>
      </c>
      <c r="W467" s="121">
        <f t="shared" si="115"/>
        <v>5</v>
      </c>
      <c r="X467" s="121" t="str">
        <f t="shared" si="116"/>
        <v>Biasa</v>
      </c>
      <c r="Y467" s="115"/>
      <c r="Z467" s="115"/>
      <c r="AA467" s="119"/>
      <c r="AB467" s="119"/>
      <c r="AC467" s="119"/>
      <c r="AD467" s="26" t="s">
        <v>18</v>
      </c>
      <c r="AE467" s="122">
        <v>43525</v>
      </c>
      <c r="AF467" s="114" t="s">
        <v>1069</v>
      </c>
      <c r="AG467" s="114"/>
      <c r="AH467" s="26"/>
      <c r="AI467" s="26"/>
      <c r="AJ467" s="26"/>
      <c r="AK467" s="26"/>
      <c r="AL467" s="26"/>
      <c r="AM467" s="26"/>
      <c r="AN467" s="26"/>
      <c r="AO467" s="123"/>
      <c r="AP467" s="4"/>
      <c r="AQ467" s="4"/>
      <c r="AR467" s="4"/>
      <c r="AS467" s="4"/>
      <c r="AT467" s="4"/>
    </row>
    <row r="468" spans="1:46" s="124" customFormat="1" ht="111.95" customHeight="1" x14ac:dyDescent="0.25">
      <c r="A468" s="113">
        <v>329</v>
      </c>
      <c r="B468" s="113" t="s">
        <v>109</v>
      </c>
      <c r="C468" s="114"/>
      <c r="D468" s="113"/>
      <c r="E468" s="113"/>
      <c r="F468" s="115"/>
      <c r="G468" s="116"/>
      <c r="H468" s="116" t="s">
        <v>525</v>
      </c>
      <c r="I468" s="117"/>
      <c r="J468" s="116"/>
      <c r="K468" s="116"/>
      <c r="L468" s="118"/>
      <c r="M468" s="118"/>
      <c r="N468" s="119"/>
      <c r="O468" s="119"/>
      <c r="P468" s="120"/>
      <c r="Q468" s="114" t="s">
        <v>43</v>
      </c>
      <c r="R468" s="114" t="s">
        <v>18</v>
      </c>
      <c r="S468" s="114" t="str">
        <f t="shared" si="117"/>
        <v>C</v>
      </c>
      <c r="T468" s="121">
        <v>1</v>
      </c>
      <c r="U468" s="121">
        <v>1</v>
      </c>
      <c r="V468" s="121">
        <v>3</v>
      </c>
      <c r="W468" s="121">
        <f t="shared" si="115"/>
        <v>5</v>
      </c>
      <c r="X468" s="121" t="str">
        <f t="shared" si="116"/>
        <v>Biasa</v>
      </c>
      <c r="Y468" s="115"/>
      <c r="Z468" s="115"/>
      <c r="AA468" s="119"/>
      <c r="AB468" s="119"/>
      <c r="AC468" s="119"/>
      <c r="AD468" s="26" t="s">
        <v>18</v>
      </c>
      <c r="AE468" s="122">
        <v>43525</v>
      </c>
      <c r="AF468" s="114" t="s">
        <v>1069</v>
      </c>
      <c r="AG468" s="114"/>
      <c r="AH468" s="26"/>
      <c r="AI468" s="26"/>
      <c r="AJ468" s="26"/>
      <c r="AK468" s="26"/>
      <c r="AL468" s="26"/>
      <c r="AM468" s="26"/>
      <c r="AN468" s="26"/>
      <c r="AO468" s="123"/>
      <c r="AP468" s="4"/>
      <c r="AQ468" s="4"/>
      <c r="AR468" s="4"/>
      <c r="AS468" s="4"/>
      <c r="AT468" s="4"/>
    </row>
    <row r="469" spans="1:46" s="124" customFormat="1" ht="111.95" customHeight="1" x14ac:dyDescent="0.25">
      <c r="A469" s="113">
        <v>330</v>
      </c>
      <c r="B469" s="113" t="s">
        <v>109</v>
      </c>
      <c r="C469" s="114"/>
      <c r="D469" s="113"/>
      <c r="E469" s="113"/>
      <c r="F469" s="115"/>
      <c r="G469" s="116"/>
      <c r="H469" s="116" t="s">
        <v>1223</v>
      </c>
      <c r="I469" s="117"/>
      <c r="J469" s="116"/>
      <c r="K469" s="116"/>
      <c r="L469" s="118"/>
      <c r="M469" s="118"/>
      <c r="N469" s="119"/>
      <c r="O469" s="119"/>
      <c r="P469" s="120"/>
      <c r="Q469" s="114" t="s">
        <v>43</v>
      </c>
      <c r="R469" s="114" t="s">
        <v>18</v>
      </c>
      <c r="S469" s="114" t="str">
        <f t="shared" si="117"/>
        <v>C</v>
      </c>
      <c r="T469" s="121">
        <v>1</v>
      </c>
      <c r="U469" s="121">
        <v>1</v>
      </c>
      <c r="V469" s="121">
        <v>3</v>
      </c>
      <c r="W469" s="121">
        <f t="shared" si="115"/>
        <v>5</v>
      </c>
      <c r="X469" s="121" t="str">
        <f t="shared" si="116"/>
        <v>Biasa</v>
      </c>
      <c r="Y469" s="115"/>
      <c r="Z469" s="115"/>
      <c r="AA469" s="119"/>
      <c r="AB469" s="119"/>
      <c r="AC469" s="119"/>
      <c r="AD469" s="26" t="s">
        <v>18</v>
      </c>
      <c r="AE469" s="122">
        <v>43525</v>
      </c>
      <c r="AF469" s="114" t="s">
        <v>1069</v>
      </c>
      <c r="AG469" s="114"/>
      <c r="AH469" s="26"/>
      <c r="AI469" s="26"/>
      <c r="AJ469" s="26"/>
      <c r="AK469" s="26"/>
      <c r="AL469" s="26"/>
      <c r="AM469" s="26"/>
      <c r="AN469" s="26"/>
      <c r="AO469" s="123"/>
      <c r="AP469" s="4"/>
      <c r="AQ469" s="4"/>
      <c r="AR469" s="4"/>
      <c r="AS469" s="4"/>
      <c r="AT469" s="4"/>
    </row>
    <row r="470" spans="1:46" s="124" customFormat="1" ht="111.95" customHeight="1" x14ac:dyDescent="0.25">
      <c r="A470" s="113">
        <v>331</v>
      </c>
      <c r="B470" s="113" t="s">
        <v>109</v>
      </c>
      <c r="C470" s="114"/>
      <c r="D470" s="113"/>
      <c r="E470" s="113"/>
      <c r="F470" s="115"/>
      <c r="G470" s="116"/>
      <c r="H470" s="116" t="s">
        <v>1224</v>
      </c>
      <c r="I470" s="117"/>
      <c r="J470" s="116"/>
      <c r="K470" s="116"/>
      <c r="L470" s="118"/>
      <c r="M470" s="118"/>
      <c r="N470" s="119"/>
      <c r="O470" s="119"/>
      <c r="P470" s="120"/>
      <c r="Q470" s="114" t="s">
        <v>43</v>
      </c>
      <c r="R470" s="114" t="s">
        <v>18</v>
      </c>
      <c r="S470" s="114" t="str">
        <f t="shared" si="117"/>
        <v>C</v>
      </c>
      <c r="T470" s="121">
        <v>1</v>
      </c>
      <c r="U470" s="121">
        <v>1</v>
      </c>
      <c r="V470" s="121">
        <v>3</v>
      </c>
      <c r="W470" s="121">
        <f t="shared" si="115"/>
        <v>5</v>
      </c>
      <c r="X470" s="121" t="str">
        <f t="shared" si="116"/>
        <v>Biasa</v>
      </c>
      <c r="Y470" s="115"/>
      <c r="Z470" s="115"/>
      <c r="AA470" s="119"/>
      <c r="AB470" s="119"/>
      <c r="AC470" s="119"/>
      <c r="AD470" s="26" t="s">
        <v>18</v>
      </c>
      <c r="AE470" s="122">
        <v>43525</v>
      </c>
      <c r="AF470" s="114" t="s">
        <v>1069</v>
      </c>
      <c r="AG470" s="114"/>
      <c r="AH470" s="26"/>
      <c r="AI470" s="26"/>
      <c r="AJ470" s="26"/>
      <c r="AK470" s="26"/>
      <c r="AL470" s="26"/>
      <c r="AM470" s="26"/>
      <c r="AN470" s="26"/>
      <c r="AO470" s="123"/>
      <c r="AP470" s="4"/>
      <c r="AQ470" s="4"/>
      <c r="AR470" s="4"/>
      <c r="AS470" s="4"/>
      <c r="AT470" s="4"/>
    </row>
    <row r="471" spans="1:46" s="124" customFormat="1" ht="111.95" customHeight="1" x14ac:dyDescent="0.25">
      <c r="A471" s="113">
        <v>332</v>
      </c>
      <c r="B471" s="113" t="s">
        <v>109</v>
      </c>
      <c r="C471" s="114"/>
      <c r="D471" s="113"/>
      <c r="E471" s="113"/>
      <c r="F471" s="115"/>
      <c r="G471" s="116"/>
      <c r="H471" s="116" t="s">
        <v>1225</v>
      </c>
      <c r="I471" s="117"/>
      <c r="J471" s="116"/>
      <c r="K471" s="116"/>
      <c r="L471" s="118"/>
      <c r="M471" s="118"/>
      <c r="N471" s="119"/>
      <c r="O471" s="119"/>
      <c r="P471" s="120"/>
      <c r="Q471" s="114" t="s">
        <v>43</v>
      </c>
      <c r="R471" s="114" t="s">
        <v>18</v>
      </c>
      <c r="S471" s="114" t="str">
        <f t="shared" si="117"/>
        <v>C</v>
      </c>
      <c r="T471" s="121">
        <v>1</v>
      </c>
      <c r="U471" s="121">
        <v>1</v>
      </c>
      <c r="V471" s="121">
        <v>3</v>
      </c>
      <c r="W471" s="121">
        <f t="shared" si="115"/>
        <v>5</v>
      </c>
      <c r="X471" s="121" t="str">
        <f t="shared" si="116"/>
        <v>Biasa</v>
      </c>
      <c r="Y471" s="115"/>
      <c r="Z471" s="115"/>
      <c r="AA471" s="119"/>
      <c r="AB471" s="119"/>
      <c r="AC471" s="119"/>
      <c r="AD471" s="26" t="s">
        <v>18</v>
      </c>
      <c r="AE471" s="122">
        <v>43525</v>
      </c>
      <c r="AF471" s="114" t="s">
        <v>1069</v>
      </c>
      <c r="AG471" s="114"/>
      <c r="AH471" s="26"/>
      <c r="AI471" s="26"/>
      <c r="AJ471" s="26"/>
      <c r="AK471" s="26"/>
      <c r="AL471" s="26"/>
      <c r="AM471" s="26"/>
      <c r="AN471" s="26"/>
      <c r="AO471" s="123"/>
      <c r="AP471" s="4"/>
      <c r="AQ471" s="4"/>
      <c r="AR471" s="4"/>
      <c r="AS471" s="4"/>
      <c r="AT471" s="4"/>
    </row>
    <row r="472" spans="1:46" s="124" customFormat="1" ht="111.95" customHeight="1" x14ac:dyDescent="0.25">
      <c r="A472" s="113">
        <v>333</v>
      </c>
      <c r="B472" s="113" t="s">
        <v>109</v>
      </c>
      <c r="C472" s="114"/>
      <c r="D472" s="113"/>
      <c r="E472" s="113"/>
      <c r="F472" s="115"/>
      <c r="G472" s="116"/>
      <c r="H472" s="116" t="s">
        <v>1226</v>
      </c>
      <c r="I472" s="117"/>
      <c r="J472" s="116"/>
      <c r="K472" s="116"/>
      <c r="L472" s="118"/>
      <c r="M472" s="118"/>
      <c r="N472" s="119"/>
      <c r="O472" s="119"/>
      <c r="P472" s="120"/>
      <c r="Q472" s="114" t="s">
        <v>43</v>
      </c>
      <c r="R472" s="114" t="s">
        <v>18</v>
      </c>
      <c r="S472" s="114" t="str">
        <f t="shared" si="117"/>
        <v>C</v>
      </c>
      <c r="T472" s="121">
        <v>1</v>
      </c>
      <c r="U472" s="121">
        <v>1</v>
      </c>
      <c r="V472" s="121">
        <v>3</v>
      </c>
      <c r="W472" s="121">
        <f t="shared" si="115"/>
        <v>5</v>
      </c>
      <c r="X472" s="121" t="str">
        <f t="shared" si="116"/>
        <v>Biasa</v>
      </c>
      <c r="Y472" s="115"/>
      <c r="Z472" s="115"/>
      <c r="AA472" s="119"/>
      <c r="AB472" s="119"/>
      <c r="AC472" s="119"/>
      <c r="AD472" s="26" t="s">
        <v>18</v>
      </c>
      <c r="AE472" s="122">
        <v>43525</v>
      </c>
      <c r="AF472" s="114" t="s">
        <v>1069</v>
      </c>
      <c r="AG472" s="114"/>
      <c r="AH472" s="26"/>
      <c r="AI472" s="26"/>
      <c r="AJ472" s="26"/>
      <c r="AK472" s="26"/>
      <c r="AL472" s="26"/>
      <c r="AM472" s="26"/>
      <c r="AN472" s="26"/>
      <c r="AO472" s="123"/>
      <c r="AP472" s="4"/>
      <c r="AQ472" s="4"/>
      <c r="AR472" s="4"/>
      <c r="AS472" s="4"/>
      <c r="AT472" s="4"/>
    </row>
    <row r="473" spans="1:46" s="124" customFormat="1" ht="111.95" customHeight="1" x14ac:dyDescent="0.25">
      <c r="A473" s="113">
        <v>334</v>
      </c>
      <c r="B473" s="113" t="s">
        <v>109</v>
      </c>
      <c r="C473" s="114"/>
      <c r="D473" s="113"/>
      <c r="E473" s="113"/>
      <c r="F473" s="115"/>
      <c r="G473" s="116"/>
      <c r="H473" s="116" t="s">
        <v>1227</v>
      </c>
      <c r="I473" s="117"/>
      <c r="J473" s="116"/>
      <c r="K473" s="116"/>
      <c r="L473" s="118"/>
      <c r="M473" s="118"/>
      <c r="N473" s="119"/>
      <c r="O473" s="119"/>
      <c r="P473" s="120"/>
      <c r="Q473" s="114" t="s">
        <v>43</v>
      </c>
      <c r="R473" s="114" t="s">
        <v>18</v>
      </c>
      <c r="S473" s="114" t="str">
        <f t="shared" si="117"/>
        <v>C</v>
      </c>
      <c r="T473" s="121">
        <v>1</v>
      </c>
      <c r="U473" s="121">
        <v>1</v>
      </c>
      <c r="V473" s="121">
        <v>3</v>
      </c>
      <c r="W473" s="121">
        <f t="shared" si="115"/>
        <v>5</v>
      </c>
      <c r="X473" s="121" t="str">
        <f t="shared" si="116"/>
        <v>Biasa</v>
      </c>
      <c r="Y473" s="115"/>
      <c r="Z473" s="115"/>
      <c r="AA473" s="119"/>
      <c r="AB473" s="119"/>
      <c r="AC473" s="119"/>
      <c r="AD473" s="26" t="s">
        <v>18</v>
      </c>
      <c r="AE473" s="122">
        <v>43525</v>
      </c>
      <c r="AF473" s="114" t="s">
        <v>1069</v>
      </c>
      <c r="AG473" s="114"/>
      <c r="AH473" s="26"/>
      <c r="AI473" s="26"/>
      <c r="AJ473" s="26"/>
      <c r="AK473" s="26"/>
      <c r="AL473" s="26"/>
      <c r="AM473" s="26"/>
      <c r="AN473" s="26"/>
      <c r="AO473" s="123"/>
      <c r="AP473" s="4"/>
      <c r="AQ473" s="4"/>
      <c r="AR473" s="4"/>
      <c r="AS473" s="4"/>
      <c r="AT473" s="4"/>
    </row>
    <row r="474" spans="1:46" s="124" customFormat="1" ht="111.95" customHeight="1" x14ac:dyDescent="0.25">
      <c r="A474" s="113">
        <v>335</v>
      </c>
      <c r="B474" s="113" t="s">
        <v>109</v>
      </c>
      <c r="C474" s="114"/>
      <c r="D474" s="113"/>
      <c r="E474" s="113"/>
      <c r="F474" s="115"/>
      <c r="G474" s="116"/>
      <c r="H474" s="116" t="s">
        <v>1228</v>
      </c>
      <c r="I474" s="117"/>
      <c r="J474" s="116"/>
      <c r="K474" s="116"/>
      <c r="L474" s="118"/>
      <c r="M474" s="118"/>
      <c r="N474" s="119"/>
      <c r="O474" s="119"/>
      <c r="P474" s="120"/>
      <c r="Q474" s="114" t="s">
        <v>43</v>
      </c>
      <c r="R474" s="114" t="s">
        <v>18</v>
      </c>
      <c r="S474" s="114" t="str">
        <f t="shared" si="117"/>
        <v>C</v>
      </c>
      <c r="T474" s="121">
        <v>1</v>
      </c>
      <c r="U474" s="121">
        <v>1</v>
      </c>
      <c r="V474" s="121">
        <v>3</v>
      </c>
      <c r="W474" s="121">
        <f t="shared" si="115"/>
        <v>5</v>
      </c>
      <c r="X474" s="121" t="str">
        <f t="shared" si="116"/>
        <v>Biasa</v>
      </c>
      <c r="Y474" s="115"/>
      <c r="Z474" s="115"/>
      <c r="AA474" s="119"/>
      <c r="AB474" s="119"/>
      <c r="AC474" s="119"/>
      <c r="AD474" s="26" t="s">
        <v>18</v>
      </c>
      <c r="AE474" s="122">
        <v>43525</v>
      </c>
      <c r="AF474" s="114" t="s">
        <v>1069</v>
      </c>
      <c r="AG474" s="114"/>
      <c r="AH474" s="26"/>
      <c r="AI474" s="26"/>
      <c r="AJ474" s="26"/>
      <c r="AK474" s="26"/>
      <c r="AL474" s="26"/>
      <c r="AM474" s="26"/>
      <c r="AN474" s="26"/>
      <c r="AO474" s="123"/>
      <c r="AP474" s="4"/>
      <c r="AQ474" s="4"/>
      <c r="AR474" s="4"/>
      <c r="AS474" s="4"/>
      <c r="AT474" s="4"/>
    </row>
    <row r="475" spans="1:46" s="124" customFormat="1" ht="111.95" customHeight="1" x14ac:dyDescent="0.25">
      <c r="A475" s="113">
        <v>336</v>
      </c>
      <c r="B475" s="113" t="s">
        <v>109</v>
      </c>
      <c r="C475" s="114"/>
      <c r="D475" s="113"/>
      <c r="E475" s="113"/>
      <c r="F475" s="115"/>
      <c r="G475" s="116"/>
      <c r="H475" s="116" t="s">
        <v>1229</v>
      </c>
      <c r="I475" s="117"/>
      <c r="J475" s="116"/>
      <c r="K475" s="116"/>
      <c r="L475" s="118"/>
      <c r="M475" s="118"/>
      <c r="N475" s="119"/>
      <c r="O475" s="119"/>
      <c r="P475" s="120"/>
      <c r="Q475" s="114" t="s">
        <v>43</v>
      </c>
      <c r="R475" s="114" t="s">
        <v>18</v>
      </c>
      <c r="S475" s="114" t="str">
        <f t="shared" si="117"/>
        <v>C</v>
      </c>
      <c r="T475" s="121">
        <v>1</v>
      </c>
      <c r="U475" s="121">
        <v>1</v>
      </c>
      <c r="V475" s="121">
        <v>3</v>
      </c>
      <c r="W475" s="121">
        <f t="shared" si="115"/>
        <v>5</v>
      </c>
      <c r="X475" s="121" t="str">
        <f t="shared" si="116"/>
        <v>Biasa</v>
      </c>
      <c r="Y475" s="115"/>
      <c r="Z475" s="115"/>
      <c r="AA475" s="119"/>
      <c r="AB475" s="119"/>
      <c r="AC475" s="119"/>
      <c r="AD475" s="26" t="s">
        <v>18</v>
      </c>
      <c r="AE475" s="122">
        <v>43525</v>
      </c>
      <c r="AF475" s="114" t="s">
        <v>1069</v>
      </c>
      <c r="AG475" s="114"/>
      <c r="AH475" s="26"/>
      <c r="AI475" s="26"/>
      <c r="AJ475" s="26"/>
      <c r="AK475" s="26"/>
      <c r="AL475" s="26"/>
      <c r="AM475" s="26"/>
      <c r="AN475" s="26"/>
      <c r="AO475" s="123"/>
      <c r="AP475" s="4"/>
      <c r="AQ475" s="4"/>
      <c r="AR475" s="4"/>
      <c r="AS475" s="4"/>
      <c r="AT475" s="4"/>
    </row>
    <row r="476" spans="1:46" s="124" customFormat="1" ht="111.95" customHeight="1" x14ac:dyDescent="0.25">
      <c r="A476" s="113">
        <v>337</v>
      </c>
      <c r="B476" s="113" t="s">
        <v>109</v>
      </c>
      <c r="C476" s="114"/>
      <c r="D476" s="113"/>
      <c r="E476" s="113"/>
      <c r="F476" s="115"/>
      <c r="G476" s="116"/>
      <c r="H476" s="116" t="s">
        <v>1230</v>
      </c>
      <c r="I476" s="117"/>
      <c r="J476" s="116"/>
      <c r="K476" s="116"/>
      <c r="L476" s="118"/>
      <c r="M476" s="118"/>
      <c r="N476" s="119"/>
      <c r="O476" s="119"/>
      <c r="P476" s="120"/>
      <c r="Q476" s="114" t="s">
        <v>43</v>
      </c>
      <c r="R476" s="114" t="s">
        <v>18</v>
      </c>
      <c r="S476" s="114" t="str">
        <f t="shared" si="117"/>
        <v>C</v>
      </c>
      <c r="T476" s="121">
        <v>1</v>
      </c>
      <c r="U476" s="121">
        <v>1</v>
      </c>
      <c r="V476" s="121">
        <v>2</v>
      </c>
      <c r="W476" s="121">
        <f t="shared" si="115"/>
        <v>4</v>
      </c>
      <c r="X476" s="121" t="str">
        <f t="shared" si="116"/>
        <v>Biasa</v>
      </c>
      <c r="Y476" s="115"/>
      <c r="Z476" s="115"/>
      <c r="AA476" s="119"/>
      <c r="AB476" s="119"/>
      <c r="AC476" s="119"/>
      <c r="AD476" s="26" t="s">
        <v>18</v>
      </c>
      <c r="AE476" s="122">
        <v>43525</v>
      </c>
      <c r="AF476" s="114" t="s">
        <v>1069</v>
      </c>
      <c r="AG476" s="114"/>
      <c r="AH476" s="26"/>
      <c r="AI476" s="26"/>
      <c r="AJ476" s="26"/>
      <c r="AK476" s="26"/>
      <c r="AL476" s="26"/>
      <c r="AM476" s="26"/>
      <c r="AN476" s="26"/>
      <c r="AO476" s="123"/>
      <c r="AP476" s="4"/>
      <c r="AQ476" s="4"/>
      <c r="AR476" s="4"/>
      <c r="AS476" s="4"/>
      <c r="AT476" s="4"/>
    </row>
    <row r="477" spans="1:46" s="124" customFormat="1" ht="111.95" customHeight="1" x14ac:dyDescent="0.25">
      <c r="A477" s="113">
        <v>338</v>
      </c>
      <c r="B477" s="113" t="s">
        <v>109</v>
      </c>
      <c r="C477" s="114"/>
      <c r="D477" s="113"/>
      <c r="E477" s="113"/>
      <c r="F477" s="115"/>
      <c r="G477" s="116"/>
      <c r="H477" s="116" t="s">
        <v>1231</v>
      </c>
      <c r="I477" s="117"/>
      <c r="J477" s="116"/>
      <c r="K477" s="116"/>
      <c r="L477" s="118"/>
      <c r="M477" s="118"/>
      <c r="N477" s="119"/>
      <c r="O477" s="119"/>
      <c r="P477" s="120"/>
      <c r="Q477" s="114" t="s">
        <v>43</v>
      </c>
      <c r="R477" s="114" t="s">
        <v>18</v>
      </c>
      <c r="S477" s="114" t="str">
        <f t="shared" si="117"/>
        <v>C</v>
      </c>
      <c r="T477" s="121">
        <v>1</v>
      </c>
      <c r="U477" s="121">
        <v>1</v>
      </c>
      <c r="V477" s="121">
        <v>2</v>
      </c>
      <c r="W477" s="121">
        <f t="shared" si="115"/>
        <v>4</v>
      </c>
      <c r="X477" s="121" t="str">
        <f t="shared" si="116"/>
        <v>Biasa</v>
      </c>
      <c r="Y477" s="115"/>
      <c r="Z477" s="115"/>
      <c r="AA477" s="119"/>
      <c r="AB477" s="119"/>
      <c r="AC477" s="119"/>
      <c r="AD477" s="26" t="s">
        <v>18</v>
      </c>
      <c r="AE477" s="122">
        <v>43525</v>
      </c>
      <c r="AF477" s="114" t="s">
        <v>1069</v>
      </c>
      <c r="AG477" s="114"/>
      <c r="AH477" s="26"/>
      <c r="AI477" s="26"/>
      <c r="AJ477" s="26"/>
      <c r="AK477" s="26"/>
      <c r="AL477" s="26"/>
      <c r="AM477" s="26"/>
      <c r="AN477" s="26"/>
      <c r="AO477" s="123"/>
      <c r="AP477" s="4"/>
      <c r="AQ477" s="4"/>
      <c r="AR477" s="4"/>
      <c r="AS477" s="4"/>
      <c r="AT477" s="4"/>
    </row>
    <row r="478" spans="1:46" s="124" customFormat="1" ht="111.95" customHeight="1" x14ac:dyDescent="0.25">
      <c r="A478" s="113">
        <v>339</v>
      </c>
      <c r="B478" s="113" t="s">
        <v>109</v>
      </c>
      <c r="C478" s="114"/>
      <c r="D478" s="113"/>
      <c r="E478" s="113"/>
      <c r="F478" s="115"/>
      <c r="G478" s="116"/>
      <c r="H478" s="116" t="s">
        <v>1232</v>
      </c>
      <c r="I478" s="117"/>
      <c r="J478" s="116"/>
      <c r="K478" s="116"/>
      <c r="L478" s="118"/>
      <c r="M478" s="118"/>
      <c r="N478" s="119"/>
      <c r="O478" s="119"/>
      <c r="P478" s="120"/>
      <c r="Q478" s="114" t="s">
        <v>43</v>
      </c>
      <c r="R478" s="114" t="s">
        <v>18</v>
      </c>
      <c r="S478" s="114" t="str">
        <f t="shared" si="117"/>
        <v>C</v>
      </c>
      <c r="T478" s="121">
        <v>1</v>
      </c>
      <c r="U478" s="121">
        <v>1</v>
      </c>
      <c r="V478" s="121">
        <v>3</v>
      </c>
      <c r="W478" s="121">
        <f t="shared" si="115"/>
        <v>5</v>
      </c>
      <c r="X478" s="121" t="str">
        <f t="shared" si="116"/>
        <v>Biasa</v>
      </c>
      <c r="Y478" s="115"/>
      <c r="Z478" s="115"/>
      <c r="AA478" s="119"/>
      <c r="AB478" s="119"/>
      <c r="AC478" s="119"/>
      <c r="AD478" s="26" t="s">
        <v>18</v>
      </c>
      <c r="AE478" s="122">
        <v>43525</v>
      </c>
      <c r="AF478" s="114" t="s">
        <v>1069</v>
      </c>
      <c r="AG478" s="114"/>
      <c r="AH478" s="26"/>
      <c r="AI478" s="26"/>
      <c r="AJ478" s="26"/>
      <c r="AK478" s="26"/>
      <c r="AL478" s="26"/>
      <c r="AM478" s="26"/>
      <c r="AN478" s="26"/>
      <c r="AO478" s="123"/>
      <c r="AP478" s="4"/>
      <c r="AQ478" s="4"/>
      <c r="AR478" s="4"/>
      <c r="AS478" s="4"/>
      <c r="AT478" s="4"/>
    </row>
    <row r="479" spans="1:46" s="124" customFormat="1" ht="111.95" customHeight="1" x14ac:dyDescent="0.25">
      <c r="A479" s="113">
        <v>340</v>
      </c>
      <c r="B479" s="113" t="s">
        <v>109</v>
      </c>
      <c r="C479" s="114"/>
      <c r="D479" s="113"/>
      <c r="E479" s="113"/>
      <c r="F479" s="115"/>
      <c r="G479" s="116"/>
      <c r="H479" s="116" t="s">
        <v>1233</v>
      </c>
      <c r="I479" s="117"/>
      <c r="J479" s="116"/>
      <c r="K479" s="116"/>
      <c r="L479" s="118"/>
      <c r="M479" s="118"/>
      <c r="N479" s="119"/>
      <c r="O479" s="119"/>
      <c r="P479" s="120"/>
      <c r="Q479" s="114" t="s">
        <v>43</v>
      </c>
      <c r="R479" s="114" t="s">
        <v>18</v>
      </c>
      <c r="S479" s="114" t="str">
        <f t="shared" si="117"/>
        <v>C</v>
      </c>
      <c r="T479" s="121">
        <v>1</v>
      </c>
      <c r="U479" s="121">
        <v>1</v>
      </c>
      <c r="V479" s="121">
        <v>3</v>
      </c>
      <c r="W479" s="121">
        <f t="shared" si="115"/>
        <v>5</v>
      </c>
      <c r="X479" s="121" t="str">
        <f t="shared" si="116"/>
        <v>Biasa</v>
      </c>
      <c r="Y479" s="115"/>
      <c r="Z479" s="115"/>
      <c r="AA479" s="119"/>
      <c r="AB479" s="119"/>
      <c r="AC479" s="119"/>
      <c r="AD479" s="26" t="s">
        <v>18</v>
      </c>
      <c r="AE479" s="122">
        <v>43525</v>
      </c>
      <c r="AF479" s="114" t="s">
        <v>1069</v>
      </c>
      <c r="AG479" s="114"/>
      <c r="AH479" s="26"/>
      <c r="AI479" s="26"/>
      <c r="AJ479" s="26"/>
      <c r="AK479" s="26"/>
      <c r="AL479" s="26"/>
      <c r="AM479" s="26"/>
      <c r="AN479" s="26"/>
      <c r="AO479" s="123"/>
      <c r="AP479" s="4"/>
      <c r="AQ479" s="4"/>
      <c r="AR479" s="4"/>
      <c r="AS479" s="4"/>
      <c r="AT479" s="4"/>
    </row>
    <row r="480" spans="1:46" s="124" customFormat="1" ht="111.95" customHeight="1" x14ac:dyDescent="0.25">
      <c r="A480" s="113">
        <v>341</v>
      </c>
      <c r="B480" s="113" t="s">
        <v>109</v>
      </c>
      <c r="C480" s="114"/>
      <c r="D480" s="113"/>
      <c r="E480" s="113"/>
      <c r="F480" s="115"/>
      <c r="G480" s="116"/>
      <c r="H480" s="116" t="s">
        <v>1234</v>
      </c>
      <c r="I480" s="117"/>
      <c r="J480" s="116"/>
      <c r="K480" s="116"/>
      <c r="L480" s="118"/>
      <c r="M480" s="118"/>
      <c r="N480" s="119"/>
      <c r="O480" s="119"/>
      <c r="P480" s="120"/>
      <c r="Q480" s="114" t="s">
        <v>43</v>
      </c>
      <c r="R480" s="114" t="s">
        <v>18</v>
      </c>
      <c r="S480" s="114" t="str">
        <f t="shared" si="117"/>
        <v>C</v>
      </c>
      <c r="T480" s="121">
        <v>1</v>
      </c>
      <c r="U480" s="121">
        <v>1</v>
      </c>
      <c r="V480" s="121">
        <v>3</v>
      </c>
      <c r="W480" s="121">
        <f t="shared" si="115"/>
        <v>5</v>
      </c>
      <c r="X480" s="121" t="str">
        <f t="shared" si="116"/>
        <v>Biasa</v>
      </c>
      <c r="Y480" s="115"/>
      <c r="Z480" s="115"/>
      <c r="AA480" s="119"/>
      <c r="AB480" s="119"/>
      <c r="AC480" s="119"/>
      <c r="AD480" s="26" t="s">
        <v>18</v>
      </c>
      <c r="AE480" s="122">
        <v>43525</v>
      </c>
      <c r="AF480" s="114" t="s">
        <v>1069</v>
      </c>
      <c r="AG480" s="114"/>
      <c r="AH480" s="26"/>
      <c r="AI480" s="26"/>
      <c r="AJ480" s="26"/>
      <c r="AK480" s="26"/>
      <c r="AL480" s="26"/>
      <c r="AM480" s="26"/>
      <c r="AN480" s="26"/>
      <c r="AO480" s="123"/>
      <c r="AP480" s="4"/>
      <c r="AQ480" s="4"/>
      <c r="AR480" s="4"/>
      <c r="AS480" s="4"/>
      <c r="AT480" s="4"/>
    </row>
    <row r="481" spans="1:46" s="124" customFormat="1" ht="111.95" customHeight="1" x14ac:dyDescent="0.25">
      <c r="A481" s="113">
        <v>342</v>
      </c>
      <c r="B481" s="113" t="s">
        <v>109</v>
      </c>
      <c r="C481" s="114"/>
      <c r="D481" s="113"/>
      <c r="E481" s="113"/>
      <c r="F481" s="115"/>
      <c r="G481" s="116"/>
      <c r="H481" s="116" t="s">
        <v>1235</v>
      </c>
      <c r="I481" s="117"/>
      <c r="J481" s="116"/>
      <c r="K481" s="116"/>
      <c r="L481" s="118"/>
      <c r="M481" s="118"/>
      <c r="N481" s="119"/>
      <c r="O481" s="119"/>
      <c r="P481" s="120"/>
      <c r="Q481" s="114" t="s">
        <v>43</v>
      </c>
      <c r="R481" s="114" t="s">
        <v>18</v>
      </c>
      <c r="S481" s="114" t="str">
        <f t="shared" si="117"/>
        <v>C</v>
      </c>
      <c r="T481" s="121">
        <v>1</v>
      </c>
      <c r="U481" s="121">
        <v>1</v>
      </c>
      <c r="V481" s="121">
        <v>3</v>
      </c>
      <c r="W481" s="121">
        <f t="shared" ref="W481:W522" si="132">T481+U481+V481</f>
        <v>5</v>
      </c>
      <c r="X481" s="121" t="str">
        <f t="shared" ref="X481:X522" si="133">IF(W481&gt;5,"Penting",IF(ISBLANK(W481),"","Biasa"))</f>
        <v>Biasa</v>
      </c>
      <c r="Y481" s="115"/>
      <c r="Z481" s="115"/>
      <c r="AA481" s="119"/>
      <c r="AB481" s="119"/>
      <c r="AC481" s="119"/>
      <c r="AD481" s="26" t="s">
        <v>18</v>
      </c>
      <c r="AE481" s="122">
        <v>43525</v>
      </c>
      <c r="AF481" s="114" t="s">
        <v>1069</v>
      </c>
      <c r="AG481" s="114"/>
      <c r="AH481" s="26"/>
      <c r="AI481" s="26"/>
      <c r="AJ481" s="26"/>
      <c r="AK481" s="26"/>
      <c r="AL481" s="26"/>
      <c r="AM481" s="26"/>
      <c r="AN481" s="26"/>
      <c r="AO481" s="123"/>
      <c r="AP481" s="4"/>
      <c r="AQ481" s="4"/>
      <c r="AR481" s="4"/>
      <c r="AS481" s="4"/>
      <c r="AT481" s="4"/>
    </row>
    <row r="482" spans="1:46" s="124" customFormat="1" ht="111.95" customHeight="1" x14ac:dyDescent="0.25">
      <c r="A482" s="113">
        <v>343</v>
      </c>
      <c r="B482" s="113" t="s">
        <v>109</v>
      </c>
      <c r="C482" s="114"/>
      <c r="D482" s="113"/>
      <c r="E482" s="113"/>
      <c r="F482" s="115"/>
      <c r="G482" s="116"/>
      <c r="H482" s="116" t="s">
        <v>1236</v>
      </c>
      <c r="I482" s="117"/>
      <c r="J482" s="116"/>
      <c r="K482" s="116"/>
      <c r="L482" s="118"/>
      <c r="M482" s="118"/>
      <c r="N482" s="119"/>
      <c r="O482" s="119"/>
      <c r="P482" s="120"/>
      <c r="Q482" s="114" t="s">
        <v>43</v>
      </c>
      <c r="R482" s="114" t="s">
        <v>18</v>
      </c>
      <c r="S482" s="114" t="str">
        <f t="shared" ref="S482:S522" si="134">IF(R482="End","Z",IF(R482="Cancel","C",IF(SUM(R482)&gt;0,"O",IF(ISBLANK(R482),"X",IF(SUM(R482)&lt;0,"Y",IF(SUM(R482),"-","O"))))))</f>
        <v>C</v>
      </c>
      <c r="T482" s="121">
        <v>1</v>
      </c>
      <c r="U482" s="121">
        <v>1</v>
      </c>
      <c r="V482" s="121">
        <v>3</v>
      </c>
      <c r="W482" s="121">
        <f t="shared" si="132"/>
        <v>5</v>
      </c>
      <c r="X482" s="121" t="str">
        <f t="shared" si="133"/>
        <v>Biasa</v>
      </c>
      <c r="Y482" s="115"/>
      <c r="Z482" s="115"/>
      <c r="AA482" s="119"/>
      <c r="AB482" s="119"/>
      <c r="AC482" s="119"/>
      <c r="AD482" s="26" t="s">
        <v>18</v>
      </c>
      <c r="AE482" s="122">
        <v>43525</v>
      </c>
      <c r="AF482" s="114" t="s">
        <v>1069</v>
      </c>
      <c r="AG482" s="114"/>
      <c r="AH482" s="26"/>
      <c r="AI482" s="26"/>
      <c r="AJ482" s="26"/>
      <c r="AK482" s="26"/>
      <c r="AL482" s="26"/>
      <c r="AM482" s="26"/>
      <c r="AN482" s="26"/>
      <c r="AO482" s="123"/>
      <c r="AP482" s="4"/>
      <c r="AQ482" s="4"/>
      <c r="AR482" s="4"/>
      <c r="AS482" s="4"/>
      <c r="AT482" s="4"/>
    </row>
    <row r="483" spans="1:46" s="124" customFormat="1" ht="111.95" customHeight="1" x14ac:dyDescent="0.25">
      <c r="A483" s="113">
        <v>344</v>
      </c>
      <c r="B483" s="113" t="s">
        <v>109</v>
      </c>
      <c r="C483" s="114"/>
      <c r="D483" s="113"/>
      <c r="E483" s="113"/>
      <c r="F483" s="115"/>
      <c r="G483" s="116"/>
      <c r="H483" s="116" t="s">
        <v>465</v>
      </c>
      <c r="I483" s="117"/>
      <c r="J483" s="116"/>
      <c r="K483" s="116"/>
      <c r="L483" s="118"/>
      <c r="M483" s="118"/>
      <c r="N483" s="119"/>
      <c r="O483" s="119"/>
      <c r="P483" s="120"/>
      <c r="Q483" s="114" t="s">
        <v>43</v>
      </c>
      <c r="R483" s="114" t="s">
        <v>18</v>
      </c>
      <c r="S483" s="114" t="str">
        <f t="shared" si="134"/>
        <v>C</v>
      </c>
      <c r="T483" s="121">
        <v>1</v>
      </c>
      <c r="U483" s="121">
        <v>1</v>
      </c>
      <c r="V483" s="121">
        <v>3</v>
      </c>
      <c r="W483" s="121">
        <f t="shared" si="132"/>
        <v>5</v>
      </c>
      <c r="X483" s="121" t="str">
        <f t="shared" si="133"/>
        <v>Biasa</v>
      </c>
      <c r="Y483" s="115"/>
      <c r="Z483" s="115"/>
      <c r="AA483" s="119"/>
      <c r="AB483" s="119"/>
      <c r="AC483" s="119"/>
      <c r="AD483" s="26" t="s">
        <v>18</v>
      </c>
      <c r="AE483" s="122">
        <v>43525</v>
      </c>
      <c r="AF483" s="114" t="s">
        <v>1069</v>
      </c>
      <c r="AG483" s="114"/>
      <c r="AH483" s="26"/>
      <c r="AI483" s="26"/>
      <c r="AJ483" s="26"/>
      <c r="AK483" s="26"/>
      <c r="AL483" s="26"/>
      <c r="AM483" s="26"/>
      <c r="AN483" s="26"/>
      <c r="AO483" s="123"/>
      <c r="AP483" s="4"/>
      <c r="AQ483" s="4"/>
      <c r="AR483" s="4"/>
      <c r="AS483" s="4"/>
      <c r="AT483" s="4"/>
    </row>
    <row r="484" spans="1:46" s="124" customFormat="1" ht="111.95" customHeight="1" x14ac:dyDescent="0.25">
      <c r="A484" s="113">
        <v>345</v>
      </c>
      <c r="B484" s="113" t="s">
        <v>109</v>
      </c>
      <c r="C484" s="114"/>
      <c r="D484" s="113"/>
      <c r="E484" s="113"/>
      <c r="F484" s="115"/>
      <c r="G484" s="116"/>
      <c r="H484" s="116" t="s">
        <v>1237</v>
      </c>
      <c r="I484" s="117"/>
      <c r="J484" s="116"/>
      <c r="K484" s="116"/>
      <c r="L484" s="118"/>
      <c r="M484" s="118"/>
      <c r="N484" s="119"/>
      <c r="O484" s="119"/>
      <c r="P484" s="120"/>
      <c r="Q484" s="114" t="s">
        <v>43</v>
      </c>
      <c r="R484" s="114" t="s">
        <v>18</v>
      </c>
      <c r="S484" s="114" t="str">
        <f t="shared" si="134"/>
        <v>C</v>
      </c>
      <c r="T484" s="121">
        <v>1</v>
      </c>
      <c r="U484" s="121">
        <v>1</v>
      </c>
      <c r="V484" s="121">
        <v>3</v>
      </c>
      <c r="W484" s="121">
        <f t="shared" si="132"/>
        <v>5</v>
      </c>
      <c r="X484" s="121" t="str">
        <f t="shared" si="133"/>
        <v>Biasa</v>
      </c>
      <c r="Y484" s="115"/>
      <c r="Z484" s="115"/>
      <c r="AA484" s="119"/>
      <c r="AB484" s="119"/>
      <c r="AC484" s="119"/>
      <c r="AD484" s="26" t="s">
        <v>18</v>
      </c>
      <c r="AE484" s="122">
        <v>43525</v>
      </c>
      <c r="AF484" s="114" t="s">
        <v>1069</v>
      </c>
      <c r="AG484" s="114"/>
      <c r="AH484" s="26"/>
      <c r="AI484" s="26"/>
      <c r="AJ484" s="26"/>
      <c r="AK484" s="26"/>
      <c r="AL484" s="26"/>
      <c r="AM484" s="26"/>
      <c r="AN484" s="26"/>
      <c r="AO484" s="123"/>
      <c r="AP484" s="4"/>
      <c r="AQ484" s="4"/>
      <c r="AR484" s="4"/>
      <c r="AS484" s="4"/>
      <c r="AT484" s="4"/>
    </row>
    <row r="485" spans="1:46" s="124" customFormat="1" ht="111.95" customHeight="1" x14ac:dyDescent="0.25">
      <c r="A485" s="113">
        <v>346</v>
      </c>
      <c r="B485" s="113" t="s">
        <v>109</v>
      </c>
      <c r="C485" s="114"/>
      <c r="D485" s="113"/>
      <c r="E485" s="113"/>
      <c r="F485" s="115"/>
      <c r="G485" s="116"/>
      <c r="H485" s="116" t="s">
        <v>1238</v>
      </c>
      <c r="I485" s="117"/>
      <c r="J485" s="116"/>
      <c r="K485" s="116"/>
      <c r="L485" s="118"/>
      <c r="M485" s="118"/>
      <c r="N485" s="119"/>
      <c r="O485" s="119"/>
      <c r="P485" s="120"/>
      <c r="Q485" s="114" t="s">
        <v>43</v>
      </c>
      <c r="R485" s="114" t="s">
        <v>18</v>
      </c>
      <c r="S485" s="114" t="str">
        <f t="shared" si="134"/>
        <v>C</v>
      </c>
      <c r="T485" s="121">
        <v>1</v>
      </c>
      <c r="U485" s="121">
        <v>1</v>
      </c>
      <c r="V485" s="121">
        <v>3</v>
      </c>
      <c r="W485" s="121">
        <f t="shared" si="132"/>
        <v>5</v>
      </c>
      <c r="X485" s="121" t="str">
        <f t="shared" si="133"/>
        <v>Biasa</v>
      </c>
      <c r="Y485" s="115"/>
      <c r="Z485" s="115"/>
      <c r="AA485" s="119"/>
      <c r="AB485" s="119"/>
      <c r="AC485" s="119"/>
      <c r="AD485" s="26" t="s">
        <v>18</v>
      </c>
      <c r="AE485" s="122">
        <v>43525</v>
      </c>
      <c r="AF485" s="114" t="s">
        <v>1069</v>
      </c>
      <c r="AG485" s="114"/>
      <c r="AH485" s="26"/>
      <c r="AI485" s="26"/>
      <c r="AJ485" s="26"/>
      <c r="AK485" s="26"/>
      <c r="AL485" s="26"/>
      <c r="AM485" s="26"/>
      <c r="AN485" s="26"/>
      <c r="AO485" s="123"/>
      <c r="AP485" s="4"/>
      <c r="AQ485" s="4"/>
      <c r="AR485" s="4"/>
      <c r="AS485" s="4"/>
      <c r="AT485" s="4"/>
    </row>
    <row r="486" spans="1:46" s="124" customFormat="1" ht="111.95" customHeight="1" x14ac:dyDescent="0.25">
      <c r="A486" s="113">
        <v>347</v>
      </c>
      <c r="B486" s="113" t="s">
        <v>109</v>
      </c>
      <c r="C486" s="114"/>
      <c r="D486" s="113"/>
      <c r="E486" s="113"/>
      <c r="F486" s="115"/>
      <c r="G486" s="116"/>
      <c r="H486" s="116" t="s">
        <v>1239</v>
      </c>
      <c r="I486" s="117"/>
      <c r="J486" s="116"/>
      <c r="K486" s="116"/>
      <c r="L486" s="118"/>
      <c r="M486" s="118"/>
      <c r="N486" s="119"/>
      <c r="O486" s="119"/>
      <c r="P486" s="120"/>
      <c r="Q486" s="114" t="s">
        <v>43</v>
      </c>
      <c r="R486" s="114" t="s">
        <v>18</v>
      </c>
      <c r="S486" s="114" t="str">
        <f t="shared" si="134"/>
        <v>C</v>
      </c>
      <c r="T486" s="121">
        <v>1</v>
      </c>
      <c r="U486" s="121">
        <v>1</v>
      </c>
      <c r="V486" s="121">
        <v>3</v>
      </c>
      <c r="W486" s="121">
        <f t="shared" si="132"/>
        <v>5</v>
      </c>
      <c r="X486" s="121" t="str">
        <f t="shared" si="133"/>
        <v>Biasa</v>
      </c>
      <c r="Y486" s="115"/>
      <c r="Z486" s="115"/>
      <c r="AA486" s="119"/>
      <c r="AB486" s="119"/>
      <c r="AC486" s="119"/>
      <c r="AD486" s="26" t="s">
        <v>18</v>
      </c>
      <c r="AE486" s="122">
        <v>43525</v>
      </c>
      <c r="AF486" s="114" t="s">
        <v>1069</v>
      </c>
      <c r="AG486" s="114"/>
      <c r="AH486" s="26"/>
      <c r="AI486" s="26"/>
      <c r="AJ486" s="26"/>
      <c r="AK486" s="26"/>
      <c r="AL486" s="26"/>
      <c r="AM486" s="26"/>
      <c r="AN486" s="26"/>
      <c r="AO486" s="123"/>
      <c r="AP486" s="4"/>
      <c r="AQ486" s="4"/>
      <c r="AR486" s="4"/>
      <c r="AS486" s="4"/>
      <c r="AT486" s="4"/>
    </row>
    <row r="487" spans="1:46" s="124" customFormat="1" ht="111.95" customHeight="1" x14ac:dyDescent="0.25">
      <c r="A487" s="113">
        <v>348</v>
      </c>
      <c r="B487" s="113" t="s">
        <v>109</v>
      </c>
      <c r="C487" s="114"/>
      <c r="D487" s="113"/>
      <c r="E487" s="113"/>
      <c r="F487" s="115"/>
      <c r="G487" s="116"/>
      <c r="H487" s="116" t="s">
        <v>1240</v>
      </c>
      <c r="I487" s="117"/>
      <c r="J487" s="116"/>
      <c r="K487" s="116"/>
      <c r="L487" s="118"/>
      <c r="M487" s="118"/>
      <c r="N487" s="119"/>
      <c r="O487" s="119"/>
      <c r="P487" s="120"/>
      <c r="Q487" s="114" t="s">
        <v>43</v>
      </c>
      <c r="R487" s="114" t="s">
        <v>18</v>
      </c>
      <c r="S487" s="114" t="str">
        <f t="shared" si="134"/>
        <v>C</v>
      </c>
      <c r="T487" s="121">
        <v>1</v>
      </c>
      <c r="U487" s="121">
        <v>1</v>
      </c>
      <c r="V487" s="121">
        <v>3</v>
      </c>
      <c r="W487" s="121">
        <f t="shared" si="132"/>
        <v>5</v>
      </c>
      <c r="X487" s="121" t="str">
        <f t="shared" si="133"/>
        <v>Biasa</v>
      </c>
      <c r="Y487" s="115"/>
      <c r="Z487" s="115"/>
      <c r="AA487" s="119"/>
      <c r="AB487" s="119"/>
      <c r="AC487" s="119"/>
      <c r="AD487" s="26" t="s">
        <v>18</v>
      </c>
      <c r="AE487" s="122">
        <v>43525</v>
      </c>
      <c r="AF487" s="114" t="s">
        <v>1069</v>
      </c>
      <c r="AG487" s="114"/>
      <c r="AH487" s="26"/>
      <c r="AI487" s="26"/>
      <c r="AJ487" s="26"/>
      <c r="AK487" s="26"/>
      <c r="AL487" s="26"/>
      <c r="AM487" s="26"/>
      <c r="AN487" s="26"/>
      <c r="AO487" s="123"/>
      <c r="AP487" s="4"/>
      <c r="AQ487" s="4"/>
      <c r="AR487" s="4"/>
      <c r="AS487" s="4"/>
      <c r="AT487" s="4"/>
    </row>
    <row r="488" spans="1:46" s="124" customFormat="1" ht="111.95" customHeight="1" x14ac:dyDescent="0.25">
      <c r="A488" s="113">
        <v>349</v>
      </c>
      <c r="B488" s="113" t="s">
        <v>109</v>
      </c>
      <c r="C488" s="114"/>
      <c r="D488" s="113"/>
      <c r="E488" s="113"/>
      <c r="F488" s="115"/>
      <c r="G488" s="116"/>
      <c r="H488" s="116" t="s">
        <v>1241</v>
      </c>
      <c r="I488" s="117"/>
      <c r="J488" s="116"/>
      <c r="K488" s="116"/>
      <c r="L488" s="118"/>
      <c r="M488" s="118"/>
      <c r="N488" s="119"/>
      <c r="O488" s="119"/>
      <c r="P488" s="120"/>
      <c r="Q488" s="114" t="s">
        <v>43</v>
      </c>
      <c r="R488" s="114" t="s">
        <v>18</v>
      </c>
      <c r="S488" s="114" t="str">
        <f t="shared" si="134"/>
        <v>C</v>
      </c>
      <c r="T488" s="121">
        <v>1</v>
      </c>
      <c r="U488" s="121">
        <v>1</v>
      </c>
      <c r="V488" s="121">
        <v>3</v>
      </c>
      <c r="W488" s="121">
        <f t="shared" si="132"/>
        <v>5</v>
      </c>
      <c r="X488" s="121" t="str">
        <f t="shared" si="133"/>
        <v>Biasa</v>
      </c>
      <c r="Y488" s="115"/>
      <c r="Z488" s="115"/>
      <c r="AA488" s="119"/>
      <c r="AB488" s="119"/>
      <c r="AC488" s="119"/>
      <c r="AD488" s="26" t="s">
        <v>18</v>
      </c>
      <c r="AE488" s="122">
        <v>43525</v>
      </c>
      <c r="AF488" s="114" t="s">
        <v>1069</v>
      </c>
      <c r="AG488" s="114"/>
      <c r="AH488" s="26"/>
      <c r="AI488" s="26"/>
      <c r="AJ488" s="26"/>
      <c r="AK488" s="26"/>
      <c r="AL488" s="26"/>
      <c r="AM488" s="26"/>
      <c r="AN488" s="26"/>
      <c r="AO488" s="123"/>
      <c r="AP488" s="4"/>
      <c r="AQ488" s="4"/>
      <c r="AR488" s="4"/>
      <c r="AS488" s="4"/>
      <c r="AT488" s="4"/>
    </row>
    <row r="489" spans="1:46" s="124" customFormat="1" ht="111.95" customHeight="1" x14ac:dyDescent="0.25">
      <c r="A489" s="113">
        <v>350</v>
      </c>
      <c r="B489" s="113" t="s">
        <v>109</v>
      </c>
      <c r="C489" s="114"/>
      <c r="D489" s="113"/>
      <c r="E489" s="113"/>
      <c r="F489" s="115"/>
      <c r="G489" s="116"/>
      <c r="H489" s="116" t="s">
        <v>1242</v>
      </c>
      <c r="I489" s="117"/>
      <c r="J489" s="116"/>
      <c r="K489" s="116"/>
      <c r="L489" s="118"/>
      <c r="M489" s="118"/>
      <c r="N489" s="119"/>
      <c r="O489" s="119"/>
      <c r="P489" s="120"/>
      <c r="Q489" s="114" t="s">
        <v>43</v>
      </c>
      <c r="R489" s="114" t="s">
        <v>18</v>
      </c>
      <c r="S489" s="114" t="str">
        <f t="shared" si="134"/>
        <v>C</v>
      </c>
      <c r="T489" s="121">
        <v>1</v>
      </c>
      <c r="U489" s="121">
        <v>1</v>
      </c>
      <c r="V489" s="121">
        <v>3</v>
      </c>
      <c r="W489" s="121">
        <f t="shared" si="132"/>
        <v>5</v>
      </c>
      <c r="X489" s="121" t="str">
        <f t="shared" si="133"/>
        <v>Biasa</v>
      </c>
      <c r="Y489" s="115"/>
      <c r="Z489" s="115"/>
      <c r="AA489" s="119"/>
      <c r="AB489" s="119"/>
      <c r="AC489" s="119"/>
      <c r="AD489" s="26" t="s">
        <v>18</v>
      </c>
      <c r="AE489" s="122">
        <v>43525</v>
      </c>
      <c r="AF489" s="114" t="s">
        <v>1069</v>
      </c>
      <c r="AG489" s="114"/>
      <c r="AH489" s="26"/>
      <c r="AI489" s="26"/>
      <c r="AJ489" s="26"/>
      <c r="AK489" s="26"/>
      <c r="AL489" s="26"/>
      <c r="AM489" s="26"/>
      <c r="AN489" s="26"/>
      <c r="AO489" s="123"/>
      <c r="AP489" s="4"/>
      <c r="AQ489" s="4"/>
      <c r="AR489" s="4"/>
      <c r="AS489" s="4"/>
      <c r="AT489" s="4"/>
    </row>
    <row r="490" spans="1:46" s="124" customFormat="1" ht="111.95" customHeight="1" x14ac:dyDescent="0.25">
      <c r="A490" s="113">
        <v>351</v>
      </c>
      <c r="B490" s="113" t="s">
        <v>109</v>
      </c>
      <c r="C490" s="114"/>
      <c r="D490" s="113"/>
      <c r="E490" s="113"/>
      <c r="F490" s="115"/>
      <c r="G490" s="116"/>
      <c r="H490" s="116" t="s">
        <v>1243</v>
      </c>
      <c r="I490" s="117"/>
      <c r="J490" s="116"/>
      <c r="K490" s="116"/>
      <c r="L490" s="118"/>
      <c r="M490" s="118"/>
      <c r="N490" s="119"/>
      <c r="O490" s="119"/>
      <c r="P490" s="120"/>
      <c r="Q490" s="114" t="s">
        <v>43</v>
      </c>
      <c r="R490" s="114" t="s">
        <v>18</v>
      </c>
      <c r="S490" s="114" t="str">
        <f t="shared" si="134"/>
        <v>C</v>
      </c>
      <c r="T490" s="121">
        <v>1</v>
      </c>
      <c r="U490" s="121">
        <v>1</v>
      </c>
      <c r="V490" s="121">
        <v>3</v>
      </c>
      <c r="W490" s="121">
        <f t="shared" si="132"/>
        <v>5</v>
      </c>
      <c r="X490" s="121" t="str">
        <f t="shared" si="133"/>
        <v>Biasa</v>
      </c>
      <c r="Y490" s="115"/>
      <c r="Z490" s="115"/>
      <c r="AA490" s="119"/>
      <c r="AB490" s="119"/>
      <c r="AC490" s="119"/>
      <c r="AD490" s="26" t="s">
        <v>18</v>
      </c>
      <c r="AE490" s="122">
        <v>43525</v>
      </c>
      <c r="AF490" s="114" t="s">
        <v>1069</v>
      </c>
      <c r="AG490" s="114"/>
      <c r="AH490" s="26"/>
      <c r="AI490" s="26"/>
      <c r="AJ490" s="26"/>
      <c r="AK490" s="26"/>
      <c r="AL490" s="26"/>
      <c r="AM490" s="26"/>
      <c r="AN490" s="26"/>
      <c r="AO490" s="123"/>
      <c r="AP490" s="4"/>
      <c r="AQ490" s="4"/>
      <c r="AR490" s="4"/>
      <c r="AS490" s="4"/>
      <c r="AT490" s="4"/>
    </row>
    <row r="491" spans="1:46" s="124" customFormat="1" ht="111.95" customHeight="1" x14ac:dyDescent="0.25">
      <c r="A491" s="113">
        <v>352</v>
      </c>
      <c r="B491" s="113" t="s">
        <v>109</v>
      </c>
      <c r="C491" s="114"/>
      <c r="D491" s="113"/>
      <c r="E491" s="113"/>
      <c r="F491" s="115"/>
      <c r="G491" s="116"/>
      <c r="H491" s="116" t="s">
        <v>1244</v>
      </c>
      <c r="I491" s="117"/>
      <c r="J491" s="116"/>
      <c r="K491" s="116"/>
      <c r="L491" s="118"/>
      <c r="M491" s="118"/>
      <c r="N491" s="119"/>
      <c r="O491" s="119"/>
      <c r="P491" s="120"/>
      <c r="Q491" s="114" t="s">
        <v>43</v>
      </c>
      <c r="R491" s="114" t="s">
        <v>18</v>
      </c>
      <c r="S491" s="114" t="str">
        <f t="shared" si="134"/>
        <v>C</v>
      </c>
      <c r="T491" s="121">
        <v>1</v>
      </c>
      <c r="U491" s="121">
        <v>1</v>
      </c>
      <c r="V491" s="121">
        <v>3</v>
      </c>
      <c r="W491" s="121">
        <f t="shared" si="132"/>
        <v>5</v>
      </c>
      <c r="X491" s="121" t="str">
        <f t="shared" si="133"/>
        <v>Biasa</v>
      </c>
      <c r="Y491" s="115"/>
      <c r="Z491" s="115"/>
      <c r="AA491" s="119"/>
      <c r="AB491" s="119"/>
      <c r="AC491" s="119"/>
      <c r="AD491" s="26" t="s">
        <v>18</v>
      </c>
      <c r="AE491" s="122">
        <v>43525</v>
      </c>
      <c r="AF491" s="114" t="s">
        <v>1069</v>
      </c>
      <c r="AG491" s="114"/>
      <c r="AH491" s="26"/>
      <c r="AI491" s="26"/>
      <c r="AJ491" s="26"/>
      <c r="AK491" s="26"/>
      <c r="AL491" s="26"/>
      <c r="AM491" s="26"/>
      <c r="AN491" s="26"/>
      <c r="AO491" s="123"/>
      <c r="AP491" s="134"/>
      <c r="AQ491" s="4"/>
      <c r="AR491" s="4"/>
      <c r="AS491" s="4"/>
      <c r="AT491" s="4"/>
    </row>
    <row r="492" spans="1:46" s="124" customFormat="1" ht="111.95" customHeight="1" x14ac:dyDescent="0.25">
      <c r="A492" s="113">
        <v>353</v>
      </c>
      <c r="B492" s="113" t="s">
        <v>109</v>
      </c>
      <c r="C492" s="114"/>
      <c r="D492" s="113"/>
      <c r="E492" s="113"/>
      <c r="F492" s="115"/>
      <c r="G492" s="116"/>
      <c r="H492" s="116" t="s">
        <v>1245</v>
      </c>
      <c r="I492" s="117"/>
      <c r="J492" s="116"/>
      <c r="K492" s="116"/>
      <c r="L492" s="118"/>
      <c r="M492" s="118"/>
      <c r="N492" s="119"/>
      <c r="O492" s="119"/>
      <c r="P492" s="120"/>
      <c r="Q492" s="114" t="s">
        <v>43</v>
      </c>
      <c r="R492" s="114" t="s">
        <v>18</v>
      </c>
      <c r="S492" s="114" t="str">
        <f t="shared" si="134"/>
        <v>C</v>
      </c>
      <c r="T492" s="121">
        <v>1</v>
      </c>
      <c r="U492" s="121">
        <v>1</v>
      </c>
      <c r="V492" s="121">
        <v>3</v>
      </c>
      <c r="W492" s="121">
        <f t="shared" si="132"/>
        <v>5</v>
      </c>
      <c r="X492" s="121" t="str">
        <f t="shared" si="133"/>
        <v>Biasa</v>
      </c>
      <c r="Y492" s="115"/>
      <c r="Z492" s="115"/>
      <c r="AA492" s="119"/>
      <c r="AB492" s="119"/>
      <c r="AC492" s="119"/>
      <c r="AD492" s="26" t="s">
        <v>18</v>
      </c>
      <c r="AE492" s="122">
        <v>43525</v>
      </c>
      <c r="AF492" s="114" t="s">
        <v>1069</v>
      </c>
      <c r="AG492" s="114"/>
      <c r="AH492" s="26"/>
      <c r="AI492" s="26"/>
      <c r="AJ492" s="26"/>
      <c r="AK492" s="26"/>
      <c r="AL492" s="26"/>
      <c r="AM492" s="26"/>
      <c r="AN492" s="26"/>
      <c r="AO492" s="123"/>
      <c r="AP492" s="134"/>
      <c r="AQ492" s="4"/>
      <c r="AR492" s="4"/>
      <c r="AS492" s="4"/>
      <c r="AT492" s="4"/>
    </row>
    <row r="493" spans="1:46" s="124" customFormat="1" ht="111.95" customHeight="1" x14ac:dyDescent="0.25">
      <c r="A493" s="113">
        <v>354</v>
      </c>
      <c r="B493" s="113" t="s">
        <v>109</v>
      </c>
      <c r="C493" s="114"/>
      <c r="D493" s="113"/>
      <c r="E493" s="113"/>
      <c r="F493" s="115"/>
      <c r="G493" s="116"/>
      <c r="H493" s="116" t="s">
        <v>1246</v>
      </c>
      <c r="I493" s="117"/>
      <c r="J493" s="116"/>
      <c r="K493" s="116"/>
      <c r="L493" s="118"/>
      <c r="M493" s="118"/>
      <c r="N493" s="119"/>
      <c r="O493" s="119"/>
      <c r="P493" s="120"/>
      <c r="Q493" s="114" t="s">
        <v>43</v>
      </c>
      <c r="R493" s="114" t="s">
        <v>18</v>
      </c>
      <c r="S493" s="114" t="str">
        <f t="shared" si="134"/>
        <v>C</v>
      </c>
      <c r="T493" s="121">
        <v>1</v>
      </c>
      <c r="U493" s="121">
        <v>1</v>
      </c>
      <c r="V493" s="121">
        <v>3</v>
      </c>
      <c r="W493" s="121">
        <f t="shared" si="132"/>
        <v>5</v>
      </c>
      <c r="X493" s="121" t="str">
        <f t="shared" si="133"/>
        <v>Biasa</v>
      </c>
      <c r="Y493" s="115"/>
      <c r="Z493" s="115"/>
      <c r="AA493" s="119"/>
      <c r="AB493" s="119"/>
      <c r="AC493" s="119"/>
      <c r="AD493" s="26" t="s">
        <v>18</v>
      </c>
      <c r="AE493" s="122">
        <v>43525</v>
      </c>
      <c r="AF493" s="114" t="s">
        <v>1069</v>
      </c>
      <c r="AG493" s="114"/>
      <c r="AH493" s="26"/>
      <c r="AI493" s="26"/>
      <c r="AJ493" s="26"/>
      <c r="AK493" s="26"/>
      <c r="AL493" s="26"/>
      <c r="AM493" s="26"/>
      <c r="AN493" s="26"/>
      <c r="AO493" s="123"/>
      <c r="AP493" s="134"/>
      <c r="AQ493" s="4"/>
      <c r="AR493" s="4"/>
      <c r="AS493" s="4"/>
      <c r="AT493" s="4"/>
    </row>
    <row r="494" spans="1:46" s="124" customFormat="1" ht="111.95" customHeight="1" x14ac:dyDescent="0.25">
      <c r="A494" s="113">
        <v>355</v>
      </c>
      <c r="B494" s="113" t="s">
        <v>109</v>
      </c>
      <c r="C494" s="114"/>
      <c r="D494" s="113"/>
      <c r="E494" s="113"/>
      <c r="F494" s="115"/>
      <c r="G494" s="116"/>
      <c r="H494" s="116" t="s">
        <v>1247</v>
      </c>
      <c r="I494" s="117"/>
      <c r="J494" s="116"/>
      <c r="K494" s="116"/>
      <c r="L494" s="118"/>
      <c r="M494" s="118"/>
      <c r="N494" s="119"/>
      <c r="O494" s="119"/>
      <c r="P494" s="120"/>
      <c r="Q494" s="114" t="s">
        <v>43</v>
      </c>
      <c r="R494" s="114" t="s">
        <v>18</v>
      </c>
      <c r="S494" s="114" t="str">
        <f t="shared" si="134"/>
        <v>C</v>
      </c>
      <c r="T494" s="121">
        <v>1</v>
      </c>
      <c r="U494" s="121">
        <v>1</v>
      </c>
      <c r="V494" s="121">
        <v>3</v>
      </c>
      <c r="W494" s="121">
        <f t="shared" si="132"/>
        <v>5</v>
      </c>
      <c r="X494" s="121" t="str">
        <f t="shared" si="133"/>
        <v>Biasa</v>
      </c>
      <c r="Y494" s="115"/>
      <c r="Z494" s="115"/>
      <c r="AA494" s="119"/>
      <c r="AB494" s="119"/>
      <c r="AC494" s="119"/>
      <c r="AD494" s="26" t="s">
        <v>18</v>
      </c>
      <c r="AE494" s="122">
        <v>43525</v>
      </c>
      <c r="AF494" s="114" t="s">
        <v>1069</v>
      </c>
      <c r="AG494" s="114"/>
      <c r="AH494" s="26"/>
      <c r="AI494" s="26"/>
      <c r="AJ494" s="26"/>
      <c r="AK494" s="26"/>
      <c r="AL494" s="26"/>
      <c r="AM494" s="26"/>
      <c r="AN494" s="26"/>
      <c r="AO494" s="123"/>
      <c r="AP494" s="134"/>
      <c r="AQ494" s="4"/>
      <c r="AR494" s="4"/>
      <c r="AS494" s="4"/>
      <c r="AT494" s="4"/>
    </row>
    <row r="495" spans="1:46" s="124" customFormat="1" ht="111.95" customHeight="1" x14ac:dyDescent="0.25">
      <c r="A495" s="113">
        <v>356</v>
      </c>
      <c r="B495" s="113" t="s">
        <v>109</v>
      </c>
      <c r="C495" s="114"/>
      <c r="D495" s="113"/>
      <c r="E495" s="113"/>
      <c r="F495" s="115"/>
      <c r="G495" s="116"/>
      <c r="H495" s="116" t="s">
        <v>1248</v>
      </c>
      <c r="I495" s="117"/>
      <c r="J495" s="116"/>
      <c r="K495" s="116"/>
      <c r="L495" s="118"/>
      <c r="M495" s="118"/>
      <c r="N495" s="119"/>
      <c r="O495" s="119"/>
      <c r="P495" s="120"/>
      <c r="Q495" s="114" t="s">
        <v>29</v>
      </c>
      <c r="R495" s="114" t="s">
        <v>18</v>
      </c>
      <c r="S495" s="114" t="str">
        <f t="shared" si="134"/>
        <v>C</v>
      </c>
      <c r="T495" s="121">
        <v>1</v>
      </c>
      <c r="U495" s="121">
        <v>1</v>
      </c>
      <c r="V495" s="121">
        <v>1</v>
      </c>
      <c r="W495" s="121">
        <f t="shared" si="132"/>
        <v>3</v>
      </c>
      <c r="X495" s="121" t="str">
        <f t="shared" si="133"/>
        <v>Biasa</v>
      </c>
      <c r="Y495" s="115"/>
      <c r="Z495" s="115"/>
      <c r="AA495" s="119"/>
      <c r="AB495" s="119"/>
      <c r="AC495" s="119"/>
      <c r="AD495" s="26" t="s">
        <v>18</v>
      </c>
      <c r="AE495" s="122">
        <v>43525</v>
      </c>
      <c r="AF495" s="114" t="s">
        <v>274</v>
      </c>
      <c r="AG495" s="114"/>
      <c r="AH495" s="26"/>
      <c r="AI495" s="26"/>
      <c r="AJ495" s="26"/>
      <c r="AK495" s="26"/>
      <c r="AL495" s="26"/>
      <c r="AM495" s="26"/>
      <c r="AN495" s="26"/>
      <c r="AO495" s="123"/>
      <c r="AP495" s="134"/>
      <c r="AQ495" s="4"/>
      <c r="AR495" s="4"/>
      <c r="AS495" s="4"/>
      <c r="AT495" s="4"/>
    </row>
    <row r="496" spans="1:46" s="124" customFormat="1" ht="111.95" customHeight="1" x14ac:dyDescent="0.25">
      <c r="A496" s="113">
        <v>357</v>
      </c>
      <c r="B496" s="113" t="s">
        <v>109</v>
      </c>
      <c r="C496" s="114"/>
      <c r="D496" s="113"/>
      <c r="E496" s="113"/>
      <c r="F496" s="115"/>
      <c r="G496" s="116"/>
      <c r="H496" s="116" t="s">
        <v>1249</v>
      </c>
      <c r="I496" s="117"/>
      <c r="J496" s="116"/>
      <c r="K496" s="116"/>
      <c r="L496" s="118"/>
      <c r="M496" s="118"/>
      <c r="N496" s="119"/>
      <c r="O496" s="119"/>
      <c r="P496" s="120"/>
      <c r="Q496" s="114" t="s">
        <v>29</v>
      </c>
      <c r="R496" s="114" t="s">
        <v>18</v>
      </c>
      <c r="S496" s="114" t="str">
        <f t="shared" si="134"/>
        <v>C</v>
      </c>
      <c r="T496" s="121">
        <v>1</v>
      </c>
      <c r="U496" s="121">
        <v>1</v>
      </c>
      <c r="V496" s="121">
        <v>1</v>
      </c>
      <c r="W496" s="121">
        <f t="shared" si="132"/>
        <v>3</v>
      </c>
      <c r="X496" s="121" t="str">
        <f t="shared" si="133"/>
        <v>Biasa</v>
      </c>
      <c r="Y496" s="115"/>
      <c r="Z496" s="115"/>
      <c r="AA496" s="119"/>
      <c r="AB496" s="119"/>
      <c r="AC496" s="119"/>
      <c r="AD496" s="26" t="s">
        <v>18</v>
      </c>
      <c r="AE496" s="122">
        <v>43525</v>
      </c>
      <c r="AF496" s="114" t="s">
        <v>274</v>
      </c>
      <c r="AG496" s="114"/>
      <c r="AH496" s="26"/>
      <c r="AI496" s="26"/>
      <c r="AJ496" s="26"/>
      <c r="AK496" s="26"/>
      <c r="AL496" s="26"/>
      <c r="AM496" s="26"/>
      <c r="AN496" s="26"/>
      <c r="AO496" s="123"/>
      <c r="AP496" s="134"/>
      <c r="AQ496" s="4"/>
      <c r="AR496" s="4"/>
      <c r="AS496" s="4"/>
      <c r="AT496" s="4"/>
    </row>
    <row r="497" spans="1:47" s="124" customFormat="1" ht="111.95" customHeight="1" x14ac:dyDescent="0.25">
      <c r="A497" s="113">
        <v>358</v>
      </c>
      <c r="B497" s="113" t="s">
        <v>109</v>
      </c>
      <c r="C497" s="114"/>
      <c r="D497" s="113"/>
      <c r="E497" s="113"/>
      <c r="F497" s="115"/>
      <c r="G497" s="116"/>
      <c r="H497" s="116" t="s">
        <v>1250</v>
      </c>
      <c r="I497" s="117"/>
      <c r="J497" s="116"/>
      <c r="K497" s="116"/>
      <c r="L497" s="118"/>
      <c r="M497" s="118"/>
      <c r="N497" s="119"/>
      <c r="O497" s="119"/>
      <c r="P497" s="120"/>
      <c r="Q497" s="114" t="s">
        <v>29</v>
      </c>
      <c r="R497" s="114" t="s">
        <v>18</v>
      </c>
      <c r="S497" s="114" t="str">
        <f t="shared" si="134"/>
        <v>C</v>
      </c>
      <c r="T497" s="121">
        <v>1</v>
      </c>
      <c r="U497" s="121">
        <v>1</v>
      </c>
      <c r="V497" s="121">
        <v>1</v>
      </c>
      <c r="W497" s="121">
        <f t="shared" si="132"/>
        <v>3</v>
      </c>
      <c r="X497" s="121" t="str">
        <f t="shared" si="133"/>
        <v>Biasa</v>
      </c>
      <c r="Y497" s="115"/>
      <c r="Z497" s="115"/>
      <c r="AA497" s="119"/>
      <c r="AB497" s="119"/>
      <c r="AC497" s="119"/>
      <c r="AD497" s="26" t="s">
        <v>18</v>
      </c>
      <c r="AE497" s="122">
        <v>43525</v>
      </c>
      <c r="AF497" s="114" t="s">
        <v>274</v>
      </c>
      <c r="AG497" s="114"/>
      <c r="AH497" s="26"/>
      <c r="AI497" s="26"/>
      <c r="AJ497" s="26"/>
      <c r="AK497" s="26"/>
      <c r="AL497" s="26"/>
      <c r="AM497" s="26"/>
      <c r="AN497" s="26"/>
      <c r="AO497" s="123"/>
      <c r="AP497" s="134"/>
      <c r="AQ497" s="4"/>
      <c r="AR497" s="4"/>
      <c r="AS497" s="4"/>
      <c r="AT497" s="4"/>
    </row>
    <row r="498" spans="1:47" s="124" customFormat="1" ht="111.95" customHeight="1" x14ac:dyDescent="0.25">
      <c r="A498" s="113">
        <v>359</v>
      </c>
      <c r="B498" s="113" t="s">
        <v>109</v>
      </c>
      <c r="C498" s="114"/>
      <c r="D498" s="113"/>
      <c r="E498" s="113"/>
      <c r="F498" s="115"/>
      <c r="G498" s="116"/>
      <c r="H498" s="116" t="s">
        <v>1251</v>
      </c>
      <c r="I498" s="117"/>
      <c r="J498" s="116"/>
      <c r="K498" s="116"/>
      <c r="L498" s="118"/>
      <c r="M498" s="118"/>
      <c r="N498" s="119"/>
      <c r="O498" s="119"/>
      <c r="P498" s="120"/>
      <c r="Q498" s="114" t="s">
        <v>29</v>
      </c>
      <c r="R498" s="114" t="s">
        <v>18</v>
      </c>
      <c r="S498" s="114" t="str">
        <f t="shared" si="134"/>
        <v>C</v>
      </c>
      <c r="T498" s="121">
        <v>1</v>
      </c>
      <c r="U498" s="121">
        <v>1</v>
      </c>
      <c r="V498" s="121">
        <v>1</v>
      </c>
      <c r="W498" s="121">
        <f t="shared" si="132"/>
        <v>3</v>
      </c>
      <c r="X498" s="121" t="str">
        <f t="shared" si="133"/>
        <v>Biasa</v>
      </c>
      <c r="Y498" s="115"/>
      <c r="Z498" s="115"/>
      <c r="AA498" s="119"/>
      <c r="AB498" s="119"/>
      <c r="AC498" s="119"/>
      <c r="AD498" s="26" t="s">
        <v>18</v>
      </c>
      <c r="AE498" s="122">
        <v>43525</v>
      </c>
      <c r="AF498" s="114" t="s">
        <v>274</v>
      </c>
      <c r="AG498" s="114"/>
      <c r="AH498" s="26"/>
      <c r="AI498" s="26"/>
      <c r="AJ498" s="26"/>
      <c r="AK498" s="26"/>
      <c r="AL498" s="26"/>
      <c r="AM498" s="26"/>
      <c r="AN498" s="26"/>
      <c r="AO498" s="123"/>
      <c r="AP498" s="134"/>
      <c r="AQ498" s="4"/>
      <c r="AR498" s="4"/>
      <c r="AS498" s="4"/>
      <c r="AT498" s="4"/>
    </row>
    <row r="499" spans="1:47" s="124" customFormat="1" ht="111.95" customHeight="1" x14ac:dyDescent="0.25">
      <c r="A499" s="113">
        <v>360</v>
      </c>
      <c r="B499" s="113" t="s">
        <v>109</v>
      </c>
      <c r="C499" s="114"/>
      <c r="D499" s="113"/>
      <c r="E499" s="113"/>
      <c r="F499" s="115"/>
      <c r="G499" s="116"/>
      <c r="H499" s="116" t="s">
        <v>1252</v>
      </c>
      <c r="I499" s="117"/>
      <c r="J499" s="116"/>
      <c r="K499" s="116"/>
      <c r="L499" s="118"/>
      <c r="M499" s="118"/>
      <c r="N499" s="119"/>
      <c r="O499" s="119"/>
      <c r="P499" s="120"/>
      <c r="Q499" s="114" t="s">
        <v>29</v>
      </c>
      <c r="R499" s="114" t="s">
        <v>18</v>
      </c>
      <c r="S499" s="114" t="str">
        <f t="shared" si="134"/>
        <v>C</v>
      </c>
      <c r="T499" s="121">
        <v>1</v>
      </c>
      <c r="U499" s="121">
        <v>1</v>
      </c>
      <c r="V499" s="121">
        <v>1</v>
      </c>
      <c r="W499" s="121">
        <f t="shared" si="132"/>
        <v>3</v>
      </c>
      <c r="X499" s="121" t="str">
        <f t="shared" si="133"/>
        <v>Biasa</v>
      </c>
      <c r="Y499" s="115"/>
      <c r="Z499" s="115"/>
      <c r="AA499" s="119"/>
      <c r="AB499" s="119"/>
      <c r="AC499" s="119"/>
      <c r="AD499" s="26" t="s">
        <v>18</v>
      </c>
      <c r="AE499" s="122">
        <v>43525</v>
      </c>
      <c r="AF499" s="114" t="s">
        <v>274</v>
      </c>
      <c r="AG499" s="114"/>
      <c r="AH499" s="26"/>
      <c r="AI499" s="26"/>
      <c r="AJ499" s="26"/>
      <c r="AK499" s="26"/>
      <c r="AL499" s="26"/>
      <c r="AM499" s="26"/>
      <c r="AN499" s="26"/>
      <c r="AO499" s="123"/>
      <c r="AP499" s="134"/>
      <c r="AQ499" s="4"/>
      <c r="AR499" s="4"/>
      <c r="AS499" s="4"/>
      <c r="AT499" s="4"/>
    </row>
    <row r="500" spans="1:47" s="124" customFormat="1" ht="111.95" customHeight="1" x14ac:dyDescent="0.25">
      <c r="A500" s="113">
        <v>361</v>
      </c>
      <c r="B500" s="113" t="s">
        <v>1253</v>
      </c>
      <c r="C500" s="114"/>
      <c r="D500" s="113"/>
      <c r="E500" s="113"/>
      <c r="F500" s="115"/>
      <c r="G500" s="116" t="s">
        <v>1254</v>
      </c>
      <c r="H500" s="116" t="s">
        <v>1255</v>
      </c>
      <c r="I500" s="117" t="s">
        <v>113</v>
      </c>
      <c r="J500" s="116" t="s">
        <v>1256</v>
      </c>
      <c r="K500" s="116"/>
      <c r="L500" s="118">
        <v>11998718</v>
      </c>
      <c r="M500" s="118" t="s">
        <v>143</v>
      </c>
      <c r="N500" s="119">
        <v>43466</v>
      </c>
      <c r="O500" s="119">
        <v>43555</v>
      </c>
      <c r="P500" s="120">
        <f>(O500-N500)/365</f>
        <v>0.24383561643835616</v>
      </c>
      <c r="Q500" s="114" t="s">
        <v>29</v>
      </c>
      <c r="R500" s="114" t="s">
        <v>117</v>
      </c>
      <c r="S500" s="114" t="str">
        <f t="shared" si="134"/>
        <v>Z</v>
      </c>
      <c r="T500" s="121">
        <v>1</v>
      </c>
      <c r="U500" s="121">
        <v>2</v>
      </c>
      <c r="V500" s="121">
        <v>2</v>
      </c>
      <c r="W500" s="121">
        <f t="shared" si="132"/>
        <v>5</v>
      </c>
      <c r="X500" s="121" t="str">
        <f t="shared" si="133"/>
        <v>Biasa</v>
      </c>
      <c r="Y500" s="115"/>
      <c r="Z500" s="115"/>
      <c r="AA500" s="119"/>
      <c r="AB500" s="119"/>
      <c r="AC500" s="119"/>
      <c r="AD500" s="26" t="s">
        <v>16</v>
      </c>
      <c r="AE500" s="122">
        <v>43556</v>
      </c>
      <c r="AF500" s="114" t="s">
        <v>230</v>
      </c>
      <c r="AG500" s="114"/>
      <c r="AH500" s="26"/>
      <c r="AI500" s="26"/>
      <c r="AJ500" s="26"/>
      <c r="AK500" s="26"/>
      <c r="AL500" s="26"/>
      <c r="AM500" s="26"/>
      <c r="AN500" s="26"/>
      <c r="AO500" s="123"/>
      <c r="AP500" s="134"/>
      <c r="AQ500" s="4"/>
      <c r="AR500" s="4"/>
      <c r="AS500" s="4"/>
      <c r="AT500" s="4"/>
    </row>
    <row r="501" spans="1:47" s="124" customFormat="1" ht="111.95" customHeight="1" x14ac:dyDescent="0.25">
      <c r="A501" s="113">
        <v>362</v>
      </c>
      <c r="B501" s="113" t="s">
        <v>109</v>
      </c>
      <c r="C501" s="114"/>
      <c r="D501" s="113"/>
      <c r="E501" s="113"/>
      <c r="F501" s="115" t="s">
        <v>110</v>
      </c>
      <c r="G501" s="116" t="s">
        <v>854</v>
      </c>
      <c r="H501" s="116" t="s">
        <v>1257</v>
      </c>
      <c r="I501" s="117" t="s">
        <v>113</v>
      </c>
      <c r="J501" s="116" t="s">
        <v>862</v>
      </c>
      <c r="K501" s="116"/>
      <c r="L501" s="118"/>
      <c r="M501" s="118"/>
      <c r="N501" s="119">
        <v>43497</v>
      </c>
      <c r="O501" s="119">
        <v>43861</v>
      </c>
      <c r="P501" s="120">
        <f>(O501-N501)/365</f>
        <v>0.99726027397260275</v>
      </c>
      <c r="Q501" s="114" t="s">
        <v>33</v>
      </c>
      <c r="R501" s="114" t="s">
        <v>117</v>
      </c>
      <c r="S501" s="114" t="str">
        <f t="shared" si="134"/>
        <v>Z</v>
      </c>
      <c r="T501" s="121">
        <v>3</v>
      </c>
      <c r="U501" s="121">
        <v>3</v>
      </c>
      <c r="V501" s="121">
        <v>3</v>
      </c>
      <c r="W501" s="121">
        <f t="shared" si="132"/>
        <v>9</v>
      </c>
      <c r="X501" s="121" t="str">
        <f t="shared" si="133"/>
        <v>Penting</v>
      </c>
      <c r="Y501" s="115"/>
      <c r="Z501" s="115"/>
      <c r="AA501" s="119"/>
      <c r="AB501" s="119"/>
      <c r="AC501" s="119"/>
      <c r="AD501" s="26" t="s">
        <v>16</v>
      </c>
      <c r="AE501" s="122">
        <v>43497</v>
      </c>
      <c r="AF501" s="114" t="s">
        <v>857</v>
      </c>
      <c r="AG501" s="114"/>
      <c r="AH501" s="26"/>
      <c r="AI501" s="26"/>
      <c r="AJ501" s="26"/>
      <c r="AK501" s="26"/>
      <c r="AL501" s="26"/>
      <c r="AM501" s="26"/>
      <c r="AN501" s="26"/>
      <c r="AO501" s="123"/>
      <c r="AP501" s="134"/>
      <c r="AQ501" s="4"/>
      <c r="AR501" s="4"/>
    </row>
    <row r="502" spans="1:47" s="124" customFormat="1" ht="111.95" customHeight="1" x14ac:dyDescent="0.25">
      <c r="A502" s="113">
        <v>363</v>
      </c>
      <c r="B502" s="113" t="s">
        <v>109</v>
      </c>
      <c r="C502" s="114"/>
      <c r="D502" s="113"/>
      <c r="E502" s="113"/>
      <c r="F502" s="115" t="s">
        <v>110</v>
      </c>
      <c r="G502" s="116" t="s">
        <v>854</v>
      </c>
      <c r="H502" s="116" t="s">
        <v>1258</v>
      </c>
      <c r="I502" s="117" t="s">
        <v>113</v>
      </c>
      <c r="J502" s="116" t="s">
        <v>862</v>
      </c>
      <c r="K502" s="116"/>
      <c r="L502" s="118"/>
      <c r="M502" s="118"/>
      <c r="N502" s="119">
        <v>43244</v>
      </c>
      <c r="O502" s="119">
        <v>43608</v>
      </c>
      <c r="P502" s="120">
        <f>(O502-N502)/365</f>
        <v>0.99726027397260275</v>
      </c>
      <c r="Q502" s="114" t="s">
        <v>33</v>
      </c>
      <c r="R502" s="114" t="s">
        <v>117</v>
      </c>
      <c r="S502" s="114" t="str">
        <f t="shared" si="134"/>
        <v>Z</v>
      </c>
      <c r="T502" s="121">
        <v>3</v>
      </c>
      <c r="U502" s="121">
        <v>3</v>
      </c>
      <c r="V502" s="121">
        <v>3</v>
      </c>
      <c r="W502" s="121">
        <f t="shared" si="132"/>
        <v>9</v>
      </c>
      <c r="X502" s="121" t="str">
        <f t="shared" si="133"/>
        <v>Penting</v>
      </c>
      <c r="Y502" s="115"/>
      <c r="Z502" s="115"/>
      <c r="AA502" s="119"/>
      <c r="AB502" s="119"/>
      <c r="AC502" s="119"/>
      <c r="AD502" s="26" t="s">
        <v>16</v>
      </c>
      <c r="AE502" s="122">
        <v>43497</v>
      </c>
      <c r="AF502" s="114" t="s">
        <v>857</v>
      </c>
      <c r="AG502" s="114"/>
      <c r="AH502" s="26"/>
      <c r="AI502" s="26"/>
      <c r="AJ502" s="26"/>
      <c r="AK502" s="26"/>
      <c r="AL502" s="26"/>
      <c r="AM502" s="26"/>
      <c r="AN502" s="26"/>
      <c r="AO502" s="123"/>
      <c r="AP502" s="134"/>
      <c r="AQ502" s="4"/>
      <c r="AR502" s="4"/>
      <c r="AS502" s="132"/>
      <c r="AT502" s="132"/>
      <c r="AU502" s="132"/>
    </row>
    <row r="503" spans="1:47" s="124" customFormat="1" ht="111.95" customHeight="1" x14ac:dyDescent="0.25">
      <c r="A503" s="113">
        <v>364</v>
      </c>
      <c r="B503" s="113" t="s">
        <v>109</v>
      </c>
      <c r="C503" s="114"/>
      <c r="D503" s="113"/>
      <c r="E503" s="113"/>
      <c r="F503" s="115" t="s">
        <v>110</v>
      </c>
      <c r="G503" s="116" t="s">
        <v>854</v>
      </c>
      <c r="H503" s="116" t="s">
        <v>1259</v>
      </c>
      <c r="I503" s="117" t="s">
        <v>113</v>
      </c>
      <c r="J503" s="116" t="s">
        <v>862</v>
      </c>
      <c r="K503" s="116"/>
      <c r="L503" s="118"/>
      <c r="M503" s="118"/>
      <c r="N503" s="119">
        <v>43296</v>
      </c>
      <c r="O503" s="119">
        <v>43660</v>
      </c>
      <c r="P503" s="120">
        <f>(O503-N503)/365</f>
        <v>0.99726027397260275</v>
      </c>
      <c r="Q503" s="114" t="s">
        <v>33</v>
      </c>
      <c r="R503" s="114" t="s">
        <v>117</v>
      </c>
      <c r="S503" s="114" t="str">
        <f t="shared" si="134"/>
        <v>Z</v>
      </c>
      <c r="T503" s="121">
        <v>3</v>
      </c>
      <c r="U503" s="121">
        <v>3</v>
      </c>
      <c r="V503" s="121">
        <v>3</v>
      </c>
      <c r="W503" s="121">
        <f t="shared" si="132"/>
        <v>9</v>
      </c>
      <c r="X503" s="121" t="str">
        <f t="shared" si="133"/>
        <v>Penting</v>
      </c>
      <c r="Y503" s="115"/>
      <c r="Z503" s="115"/>
      <c r="AA503" s="119"/>
      <c r="AB503" s="119"/>
      <c r="AC503" s="119"/>
      <c r="AD503" s="26" t="s">
        <v>16</v>
      </c>
      <c r="AE503" s="122">
        <v>43497</v>
      </c>
      <c r="AF503" s="114" t="s">
        <v>857</v>
      </c>
      <c r="AG503" s="114"/>
      <c r="AH503" s="26"/>
      <c r="AI503" s="26"/>
      <c r="AJ503" s="26"/>
      <c r="AK503" s="26"/>
      <c r="AL503" s="26"/>
      <c r="AM503" s="26"/>
      <c r="AN503" s="26"/>
      <c r="AO503" s="123"/>
      <c r="AP503" s="134"/>
      <c r="AQ503" s="4"/>
      <c r="AR503" s="4"/>
      <c r="AS503" s="132"/>
      <c r="AT503" s="132"/>
      <c r="AU503" s="132"/>
    </row>
    <row r="504" spans="1:47" s="124" customFormat="1" ht="111.95" customHeight="1" x14ac:dyDescent="0.25">
      <c r="A504" s="113">
        <v>365</v>
      </c>
      <c r="B504" s="113" t="s">
        <v>109</v>
      </c>
      <c r="C504" s="114"/>
      <c r="D504" s="113"/>
      <c r="E504" s="113"/>
      <c r="F504" s="115" t="s">
        <v>110</v>
      </c>
      <c r="G504" s="116" t="s">
        <v>854</v>
      </c>
      <c r="H504" s="116" t="s">
        <v>1260</v>
      </c>
      <c r="I504" s="117" t="s">
        <v>113</v>
      </c>
      <c r="J504" s="116" t="s">
        <v>862</v>
      </c>
      <c r="K504" s="116"/>
      <c r="L504" s="118"/>
      <c r="M504" s="118"/>
      <c r="N504" s="119">
        <v>43189</v>
      </c>
      <c r="O504" s="119">
        <v>43553</v>
      </c>
      <c r="P504" s="120">
        <f>(O504-N504)/365</f>
        <v>0.99726027397260275</v>
      </c>
      <c r="Q504" s="114" t="s">
        <v>33</v>
      </c>
      <c r="R504" s="114" t="s">
        <v>117</v>
      </c>
      <c r="S504" s="114" t="str">
        <f t="shared" si="134"/>
        <v>Z</v>
      </c>
      <c r="T504" s="121">
        <v>3</v>
      </c>
      <c r="U504" s="121">
        <v>3</v>
      </c>
      <c r="V504" s="121">
        <v>3</v>
      </c>
      <c r="W504" s="121">
        <f t="shared" si="132"/>
        <v>9</v>
      </c>
      <c r="X504" s="121" t="str">
        <f t="shared" si="133"/>
        <v>Penting</v>
      </c>
      <c r="Y504" s="115"/>
      <c r="Z504" s="115"/>
      <c r="AA504" s="119"/>
      <c r="AB504" s="119"/>
      <c r="AC504" s="119"/>
      <c r="AD504" s="26" t="s">
        <v>16</v>
      </c>
      <c r="AE504" s="122">
        <v>43497</v>
      </c>
      <c r="AF504" s="114" t="s">
        <v>857</v>
      </c>
      <c r="AG504" s="114"/>
      <c r="AH504" s="26"/>
      <c r="AI504" s="26"/>
      <c r="AJ504" s="26"/>
      <c r="AK504" s="26"/>
      <c r="AL504" s="26"/>
      <c r="AM504" s="26"/>
      <c r="AN504" s="26"/>
      <c r="AO504" s="123"/>
      <c r="AP504" s="134"/>
      <c r="AQ504" s="4"/>
      <c r="AR504" s="4"/>
      <c r="AS504" s="132"/>
      <c r="AT504" s="132"/>
      <c r="AU504" s="132"/>
    </row>
    <row r="505" spans="1:47" s="124" customFormat="1" ht="111.95" customHeight="1" x14ac:dyDescent="0.25">
      <c r="A505" s="113">
        <v>366</v>
      </c>
      <c r="B505" s="113" t="s">
        <v>109</v>
      </c>
      <c r="C505" s="114"/>
      <c r="D505" s="113"/>
      <c r="E505" s="113"/>
      <c r="F505" s="115"/>
      <c r="G505" s="116" t="s">
        <v>1261</v>
      </c>
      <c r="H505" s="116" t="s">
        <v>1262</v>
      </c>
      <c r="I505" s="117" t="s">
        <v>113</v>
      </c>
      <c r="J505" s="116"/>
      <c r="K505" s="116"/>
      <c r="L505" s="118"/>
      <c r="M505" s="118"/>
      <c r="N505" s="119"/>
      <c r="O505" s="119"/>
      <c r="P505" s="120"/>
      <c r="Q505" s="114" t="s">
        <v>40</v>
      </c>
      <c r="R505" s="114" t="s">
        <v>117</v>
      </c>
      <c r="S505" s="114" t="str">
        <f t="shared" si="134"/>
        <v>Z</v>
      </c>
      <c r="T505" s="121"/>
      <c r="U505" s="121"/>
      <c r="V505" s="121"/>
      <c r="W505" s="121">
        <f t="shared" si="132"/>
        <v>0</v>
      </c>
      <c r="X505" s="121" t="str">
        <f t="shared" si="133"/>
        <v>Biasa</v>
      </c>
      <c r="Y505" s="115"/>
      <c r="Z505" s="115"/>
      <c r="AA505" s="119"/>
      <c r="AB505" s="119"/>
      <c r="AC505" s="119"/>
      <c r="AD505" s="26" t="s">
        <v>237</v>
      </c>
      <c r="AE505" s="122">
        <v>43497</v>
      </c>
      <c r="AF505" s="114" t="s">
        <v>910</v>
      </c>
      <c r="AG505" s="114"/>
      <c r="AH505" s="26"/>
      <c r="AI505" s="26"/>
      <c r="AJ505" s="26"/>
      <c r="AK505" s="26"/>
      <c r="AL505" s="26"/>
      <c r="AM505" s="26"/>
      <c r="AN505" s="26"/>
      <c r="AO505" s="123"/>
      <c r="AP505" s="134"/>
      <c r="AQ505" s="4"/>
      <c r="AR505" s="4"/>
      <c r="AS505" s="132"/>
      <c r="AT505" s="132"/>
      <c r="AU505" s="132"/>
    </row>
    <row r="506" spans="1:47" s="124" customFormat="1" ht="111.95" customHeight="1" x14ac:dyDescent="0.25">
      <c r="A506" s="113">
        <v>367</v>
      </c>
      <c r="B506" s="113" t="s">
        <v>109</v>
      </c>
      <c r="C506" s="114"/>
      <c r="D506" s="113"/>
      <c r="E506" s="113"/>
      <c r="F506" s="115"/>
      <c r="G506" s="116" t="s">
        <v>1261</v>
      </c>
      <c r="H506" s="116" t="s">
        <v>1263</v>
      </c>
      <c r="I506" s="117" t="s">
        <v>113</v>
      </c>
      <c r="J506" s="116"/>
      <c r="K506" s="116"/>
      <c r="L506" s="118"/>
      <c r="M506" s="118"/>
      <c r="N506" s="119"/>
      <c r="O506" s="119"/>
      <c r="P506" s="120"/>
      <c r="Q506" s="114" t="s">
        <v>40</v>
      </c>
      <c r="R506" s="114" t="s">
        <v>117</v>
      </c>
      <c r="S506" s="114" t="str">
        <f t="shared" si="134"/>
        <v>Z</v>
      </c>
      <c r="T506" s="121"/>
      <c r="U506" s="121"/>
      <c r="V506" s="121"/>
      <c r="W506" s="121">
        <f t="shared" si="132"/>
        <v>0</v>
      </c>
      <c r="X506" s="121" t="str">
        <f t="shared" si="133"/>
        <v>Biasa</v>
      </c>
      <c r="Y506" s="115"/>
      <c r="Z506" s="115"/>
      <c r="AA506" s="119"/>
      <c r="AB506" s="119"/>
      <c r="AC506" s="119"/>
      <c r="AD506" s="26" t="s">
        <v>237</v>
      </c>
      <c r="AE506" s="122">
        <v>43497</v>
      </c>
      <c r="AF506" s="114" t="s">
        <v>910</v>
      </c>
      <c r="AG506" s="114"/>
      <c r="AH506" s="26"/>
      <c r="AI506" s="26"/>
      <c r="AJ506" s="26"/>
      <c r="AK506" s="26"/>
      <c r="AL506" s="26"/>
      <c r="AM506" s="26"/>
      <c r="AN506" s="26"/>
      <c r="AO506" s="123"/>
      <c r="AP506" s="134"/>
      <c r="AQ506" s="4"/>
      <c r="AR506" s="4"/>
      <c r="AS506" s="132"/>
      <c r="AT506" s="132"/>
      <c r="AU506" s="132"/>
    </row>
    <row r="507" spans="1:47" s="124" customFormat="1" ht="111.95" customHeight="1" x14ac:dyDescent="0.25">
      <c r="A507" s="113">
        <v>368</v>
      </c>
      <c r="B507" s="113" t="s">
        <v>109</v>
      </c>
      <c r="C507" s="114"/>
      <c r="D507" s="113"/>
      <c r="E507" s="113"/>
      <c r="F507" s="115"/>
      <c r="G507" s="116" t="s">
        <v>1261</v>
      </c>
      <c r="H507" s="116" t="s">
        <v>1264</v>
      </c>
      <c r="I507" s="117" t="s">
        <v>113</v>
      </c>
      <c r="J507" s="116"/>
      <c r="K507" s="116"/>
      <c r="L507" s="118"/>
      <c r="M507" s="118"/>
      <c r="N507" s="119"/>
      <c r="O507" s="119"/>
      <c r="P507" s="120"/>
      <c r="Q507" s="114" t="s">
        <v>40</v>
      </c>
      <c r="R507" s="114" t="s">
        <v>117</v>
      </c>
      <c r="S507" s="114" t="str">
        <f t="shared" si="134"/>
        <v>Z</v>
      </c>
      <c r="T507" s="121"/>
      <c r="U507" s="121"/>
      <c r="V507" s="121"/>
      <c r="W507" s="121">
        <f t="shared" si="132"/>
        <v>0</v>
      </c>
      <c r="X507" s="121" t="str">
        <f t="shared" si="133"/>
        <v>Biasa</v>
      </c>
      <c r="Y507" s="115"/>
      <c r="Z507" s="115"/>
      <c r="AA507" s="119"/>
      <c r="AB507" s="119"/>
      <c r="AC507" s="119"/>
      <c r="AD507" s="26" t="s">
        <v>237</v>
      </c>
      <c r="AE507" s="122">
        <v>43497</v>
      </c>
      <c r="AF507" s="114" t="s">
        <v>910</v>
      </c>
      <c r="AG507" s="114"/>
      <c r="AH507" s="26"/>
      <c r="AI507" s="26"/>
      <c r="AJ507" s="26"/>
      <c r="AK507" s="26"/>
      <c r="AL507" s="26"/>
      <c r="AM507" s="26"/>
      <c r="AN507" s="26"/>
      <c r="AO507" s="123"/>
      <c r="AP507" s="134"/>
      <c r="AQ507" s="4"/>
      <c r="AR507" s="4"/>
      <c r="AS507" s="132"/>
      <c r="AT507" s="132"/>
      <c r="AU507" s="132"/>
    </row>
    <row r="508" spans="1:47" s="124" customFormat="1" ht="111.95" customHeight="1" x14ac:dyDescent="0.25">
      <c r="A508" s="113">
        <v>369</v>
      </c>
      <c r="B508" s="113" t="s">
        <v>109</v>
      </c>
      <c r="C508" s="114"/>
      <c r="D508" s="113"/>
      <c r="E508" s="113"/>
      <c r="F508" s="115"/>
      <c r="G508" s="116" t="s">
        <v>1265</v>
      </c>
      <c r="H508" s="116" t="s">
        <v>1266</v>
      </c>
      <c r="I508" s="117" t="s">
        <v>113</v>
      </c>
      <c r="J508" s="116"/>
      <c r="K508" s="116"/>
      <c r="L508" s="118">
        <v>363609000</v>
      </c>
      <c r="M508" s="118" t="s">
        <v>1267</v>
      </c>
      <c r="N508" s="119">
        <v>42712</v>
      </c>
      <c r="O508" s="119" t="s">
        <v>110</v>
      </c>
      <c r="P508" s="120" t="s">
        <v>110</v>
      </c>
      <c r="Q508" s="114" t="s">
        <v>48</v>
      </c>
      <c r="R508" s="114" t="s">
        <v>117</v>
      </c>
      <c r="S508" s="114" t="str">
        <f t="shared" si="134"/>
        <v>Z</v>
      </c>
      <c r="T508" s="121"/>
      <c r="U508" s="121"/>
      <c r="V508" s="121"/>
      <c r="W508" s="121">
        <f t="shared" si="132"/>
        <v>0</v>
      </c>
      <c r="X508" s="121" t="str">
        <f t="shared" si="133"/>
        <v>Biasa</v>
      </c>
      <c r="Y508" s="115"/>
      <c r="Z508" s="115"/>
      <c r="AA508" s="119"/>
      <c r="AB508" s="119"/>
      <c r="AC508" s="119"/>
      <c r="AD508" s="26" t="s">
        <v>16</v>
      </c>
      <c r="AE508" s="122">
        <v>43678</v>
      </c>
      <c r="AF508" s="114" t="s">
        <v>1268</v>
      </c>
      <c r="AG508" s="114"/>
      <c r="AH508" s="26"/>
      <c r="AI508" s="26"/>
      <c r="AJ508" s="26"/>
      <c r="AK508" s="26"/>
      <c r="AL508" s="26"/>
      <c r="AM508" s="26"/>
      <c r="AN508" s="26"/>
      <c r="AO508" s="123"/>
      <c r="AP508" s="134"/>
      <c r="AQ508" s="4"/>
      <c r="AR508" s="4"/>
      <c r="AS508" s="132"/>
      <c r="AT508" s="132"/>
      <c r="AU508" s="132"/>
    </row>
    <row r="509" spans="1:47" s="124" customFormat="1" ht="111.95" customHeight="1" x14ac:dyDescent="0.25">
      <c r="A509" s="113">
        <v>370</v>
      </c>
      <c r="B509" s="113" t="s">
        <v>109</v>
      </c>
      <c r="C509" s="114"/>
      <c r="D509" s="113"/>
      <c r="E509" s="113"/>
      <c r="F509" s="115"/>
      <c r="G509" s="116" t="s">
        <v>1265</v>
      </c>
      <c r="H509" s="116" t="s">
        <v>1269</v>
      </c>
      <c r="I509" s="117" t="s">
        <v>113</v>
      </c>
      <c r="J509" s="116" t="s">
        <v>1270</v>
      </c>
      <c r="K509" s="116"/>
      <c r="L509" s="118">
        <v>163586500</v>
      </c>
      <c r="M509" s="118" t="s">
        <v>1267</v>
      </c>
      <c r="N509" s="119">
        <v>42991</v>
      </c>
      <c r="O509" s="119" t="s">
        <v>110</v>
      </c>
      <c r="P509" s="120" t="s">
        <v>110</v>
      </c>
      <c r="Q509" s="114" t="s">
        <v>48</v>
      </c>
      <c r="R509" s="114" t="s">
        <v>117</v>
      </c>
      <c r="S509" s="114" t="str">
        <f t="shared" si="134"/>
        <v>Z</v>
      </c>
      <c r="T509" s="121"/>
      <c r="U509" s="121"/>
      <c r="V509" s="121"/>
      <c r="W509" s="121">
        <f t="shared" si="132"/>
        <v>0</v>
      </c>
      <c r="X509" s="121" t="str">
        <f t="shared" si="133"/>
        <v>Biasa</v>
      </c>
      <c r="Y509" s="115"/>
      <c r="Z509" s="115"/>
      <c r="AA509" s="119"/>
      <c r="AB509" s="119"/>
      <c r="AC509" s="119"/>
      <c r="AD509" s="26" t="s">
        <v>16</v>
      </c>
      <c r="AE509" s="122">
        <v>43679</v>
      </c>
      <c r="AF509" s="114" t="s">
        <v>1268</v>
      </c>
      <c r="AG509" s="114"/>
      <c r="AH509" s="26"/>
      <c r="AI509" s="26"/>
      <c r="AJ509" s="26"/>
      <c r="AK509" s="26"/>
      <c r="AL509" s="26"/>
      <c r="AM509" s="26"/>
      <c r="AN509" s="26"/>
      <c r="AO509" s="123"/>
      <c r="AP509" s="134"/>
      <c r="AQ509" s="4"/>
      <c r="AR509" s="4"/>
      <c r="AS509" s="132"/>
      <c r="AT509" s="132"/>
      <c r="AU509" s="132"/>
    </row>
    <row r="510" spans="1:47" s="124" customFormat="1" ht="111.95" customHeight="1" x14ac:dyDescent="0.25">
      <c r="A510" s="113">
        <v>371</v>
      </c>
      <c r="B510" s="113" t="s">
        <v>109</v>
      </c>
      <c r="C510" s="114"/>
      <c r="D510" s="113"/>
      <c r="E510" s="113"/>
      <c r="F510" s="115"/>
      <c r="G510" s="116" t="s">
        <v>1265</v>
      </c>
      <c r="H510" s="116" t="s">
        <v>1269</v>
      </c>
      <c r="I510" s="117" t="s">
        <v>113</v>
      </c>
      <c r="J510" s="116" t="s">
        <v>1271</v>
      </c>
      <c r="K510" s="116"/>
      <c r="L510" s="118">
        <v>373912000</v>
      </c>
      <c r="M510" s="118" t="s">
        <v>1267</v>
      </c>
      <c r="N510" s="119">
        <v>43166</v>
      </c>
      <c r="O510" s="119" t="s">
        <v>110</v>
      </c>
      <c r="P510" s="120" t="s">
        <v>110</v>
      </c>
      <c r="Q510" s="114" t="s">
        <v>48</v>
      </c>
      <c r="R510" s="114" t="s">
        <v>117</v>
      </c>
      <c r="S510" s="114" t="str">
        <f t="shared" si="134"/>
        <v>Z</v>
      </c>
      <c r="T510" s="121"/>
      <c r="U510" s="121"/>
      <c r="V510" s="121"/>
      <c r="W510" s="121">
        <f t="shared" si="132"/>
        <v>0</v>
      </c>
      <c r="X510" s="121" t="str">
        <f t="shared" si="133"/>
        <v>Biasa</v>
      </c>
      <c r="Y510" s="115"/>
      <c r="Z510" s="115"/>
      <c r="AA510" s="119"/>
      <c r="AB510" s="119"/>
      <c r="AC510" s="119"/>
      <c r="AD510" s="26" t="s">
        <v>16</v>
      </c>
      <c r="AE510" s="122">
        <v>43680</v>
      </c>
      <c r="AF510" s="114" t="s">
        <v>1268</v>
      </c>
      <c r="AG510" s="114"/>
      <c r="AH510" s="26"/>
      <c r="AI510" s="26"/>
      <c r="AJ510" s="26"/>
      <c r="AK510" s="26"/>
      <c r="AL510" s="26"/>
      <c r="AM510" s="26"/>
      <c r="AN510" s="26"/>
      <c r="AO510" s="123"/>
      <c r="AP510" s="134"/>
      <c r="AQ510" s="4"/>
      <c r="AR510" s="4"/>
      <c r="AS510" s="132"/>
      <c r="AT510" s="132"/>
      <c r="AU510" s="132"/>
    </row>
    <row r="511" spans="1:47" s="124" customFormat="1" ht="111.95" customHeight="1" x14ac:dyDescent="0.25">
      <c r="A511" s="113">
        <v>372</v>
      </c>
      <c r="B511" s="113" t="s">
        <v>109</v>
      </c>
      <c r="C511" s="114"/>
      <c r="D511" s="113"/>
      <c r="E511" s="113"/>
      <c r="F511" s="115"/>
      <c r="G511" s="116" t="s">
        <v>1265</v>
      </c>
      <c r="H511" s="116" t="s">
        <v>1269</v>
      </c>
      <c r="I511" s="117" t="s">
        <v>113</v>
      </c>
      <c r="J511" s="116" t="s">
        <v>1271</v>
      </c>
      <c r="K511" s="116"/>
      <c r="L511" s="118">
        <v>424647000</v>
      </c>
      <c r="M511" s="118" t="s">
        <v>1267</v>
      </c>
      <c r="N511" s="119">
        <v>43432</v>
      </c>
      <c r="O511" s="119" t="s">
        <v>110</v>
      </c>
      <c r="P511" s="120" t="s">
        <v>110</v>
      </c>
      <c r="Q511" s="114" t="s">
        <v>48</v>
      </c>
      <c r="R511" s="114" t="s">
        <v>117</v>
      </c>
      <c r="S511" s="114" t="str">
        <f>IF(R511="End","Z",IF(R511="Cancel","C",IF(SUM(R511)&gt;0,"O",IF(ISBLANK(R511),"X",IF(SUM(R511)&lt;0,"Y",IF(SUM(R511),"-","O"))))))</f>
        <v>Z</v>
      </c>
      <c r="T511" s="121"/>
      <c r="U511" s="121"/>
      <c r="V511" s="121"/>
      <c r="W511" s="121">
        <f>T511+U511+V511</f>
        <v>0</v>
      </c>
      <c r="X511" s="121" t="str">
        <f>IF(W511&gt;5,"Penting",IF(ISBLANK(W511),"","Biasa"))</f>
        <v>Biasa</v>
      </c>
      <c r="Y511" s="115"/>
      <c r="Z511" s="115"/>
      <c r="AA511" s="119"/>
      <c r="AB511" s="119"/>
      <c r="AC511" s="119"/>
      <c r="AD511" s="34" t="s">
        <v>16</v>
      </c>
      <c r="AE511" s="122">
        <v>43681</v>
      </c>
      <c r="AF511" s="114" t="s">
        <v>1268</v>
      </c>
      <c r="AG511" s="114"/>
      <c r="AH511" s="26"/>
      <c r="AI511" s="26"/>
      <c r="AJ511" s="26"/>
      <c r="AK511" s="26"/>
      <c r="AL511" s="26"/>
      <c r="AM511" s="26"/>
      <c r="AN511" s="26"/>
      <c r="AO511" s="123"/>
      <c r="AP511" s="134"/>
      <c r="AQ511" s="4"/>
      <c r="AR511" s="4"/>
      <c r="AS511" s="132"/>
      <c r="AT511" s="132"/>
      <c r="AU511" s="132"/>
    </row>
    <row r="512" spans="1:47" s="124" customFormat="1" ht="111.95" customHeight="1" x14ac:dyDescent="0.25">
      <c r="A512" s="113">
        <v>373</v>
      </c>
      <c r="B512" s="113" t="s">
        <v>109</v>
      </c>
      <c r="C512" s="114"/>
      <c r="D512" s="113"/>
      <c r="E512" s="113"/>
      <c r="F512" s="115"/>
      <c r="G512" s="116" t="s">
        <v>1272</v>
      </c>
      <c r="H512" s="116" t="s">
        <v>1273</v>
      </c>
      <c r="I512" s="117" t="s">
        <v>113</v>
      </c>
      <c r="J512" s="116"/>
      <c r="K512" s="116"/>
      <c r="L512" s="118">
        <v>17500000</v>
      </c>
      <c r="M512" s="118"/>
      <c r="N512" s="119">
        <v>43008</v>
      </c>
      <c r="O512" s="119" t="s">
        <v>110</v>
      </c>
      <c r="P512" s="120" t="s">
        <v>110</v>
      </c>
      <c r="Q512" s="114" t="s">
        <v>48</v>
      </c>
      <c r="R512" s="114" t="s">
        <v>117</v>
      </c>
      <c r="S512" s="114" t="str">
        <f t="shared" si="134"/>
        <v>Z</v>
      </c>
      <c r="T512" s="121"/>
      <c r="U512" s="121"/>
      <c r="V512" s="121"/>
      <c r="W512" s="121">
        <f t="shared" si="132"/>
        <v>0</v>
      </c>
      <c r="X512" s="121" t="str">
        <f t="shared" si="133"/>
        <v>Biasa</v>
      </c>
      <c r="Y512" s="115"/>
      <c r="Z512" s="115"/>
      <c r="AA512" s="119"/>
      <c r="AB512" s="119"/>
      <c r="AC512" s="119"/>
      <c r="AD512" s="26" t="s">
        <v>16</v>
      </c>
      <c r="AE512" s="122">
        <v>43682</v>
      </c>
      <c r="AF512" s="114" t="s">
        <v>1268</v>
      </c>
      <c r="AG512" s="114"/>
      <c r="AH512" s="26"/>
      <c r="AI512" s="26"/>
      <c r="AJ512" s="26"/>
      <c r="AK512" s="26"/>
      <c r="AL512" s="26"/>
      <c r="AM512" s="26"/>
      <c r="AN512" s="26"/>
      <c r="AO512" s="123"/>
      <c r="AP512" s="134"/>
      <c r="AQ512" s="4"/>
      <c r="AR512" s="4"/>
      <c r="AS512" s="132"/>
      <c r="AT512" s="132"/>
      <c r="AU512" s="132"/>
    </row>
    <row r="513" spans="1:48" s="124" customFormat="1" ht="111.95" customHeight="1" x14ac:dyDescent="0.25">
      <c r="A513" s="113">
        <v>374</v>
      </c>
      <c r="B513" s="113" t="s">
        <v>109</v>
      </c>
      <c r="C513" s="114"/>
      <c r="D513" s="113"/>
      <c r="E513" s="113"/>
      <c r="F513" s="115"/>
      <c r="G513" s="116" t="s">
        <v>1272</v>
      </c>
      <c r="H513" s="116" t="s">
        <v>1273</v>
      </c>
      <c r="I513" s="117" t="s">
        <v>113</v>
      </c>
      <c r="J513" s="116"/>
      <c r="K513" s="116"/>
      <c r="L513" s="118">
        <v>20750000</v>
      </c>
      <c r="M513" s="118" t="s">
        <v>1274</v>
      </c>
      <c r="N513" s="119">
        <v>43189</v>
      </c>
      <c r="O513" s="119" t="s">
        <v>110</v>
      </c>
      <c r="P513" s="120" t="s">
        <v>110</v>
      </c>
      <c r="Q513" s="114" t="s">
        <v>48</v>
      </c>
      <c r="R513" s="114" t="s">
        <v>117</v>
      </c>
      <c r="S513" s="114" t="str">
        <f t="shared" si="134"/>
        <v>Z</v>
      </c>
      <c r="T513" s="121"/>
      <c r="U513" s="121"/>
      <c r="V513" s="121"/>
      <c r="W513" s="121">
        <f t="shared" si="132"/>
        <v>0</v>
      </c>
      <c r="X513" s="121" t="str">
        <f t="shared" si="133"/>
        <v>Biasa</v>
      </c>
      <c r="Y513" s="115"/>
      <c r="Z513" s="115"/>
      <c r="AA513" s="119"/>
      <c r="AB513" s="119"/>
      <c r="AC513" s="119"/>
      <c r="AD513" s="26" t="s">
        <v>16</v>
      </c>
      <c r="AE513" s="122">
        <v>43683</v>
      </c>
      <c r="AF513" s="114" t="s">
        <v>1268</v>
      </c>
      <c r="AG513" s="114"/>
      <c r="AH513" s="26"/>
      <c r="AI513" s="26"/>
      <c r="AJ513" s="26"/>
      <c r="AK513" s="26"/>
      <c r="AL513" s="26"/>
      <c r="AM513" s="26"/>
      <c r="AN513" s="26"/>
      <c r="AO513" s="123"/>
      <c r="AP513" s="134"/>
      <c r="AQ513" s="4"/>
      <c r="AR513" s="4"/>
      <c r="AS513" s="132"/>
      <c r="AT513" s="132"/>
      <c r="AU513" s="132"/>
    </row>
    <row r="514" spans="1:48" s="124" customFormat="1" ht="111.95" customHeight="1" x14ac:dyDescent="0.25">
      <c r="A514" s="113">
        <v>375</v>
      </c>
      <c r="B514" s="113" t="s">
        <v>109</v>
      </c>
      <c r="C514" s="114"/>
      <c r="D514" s="113"/>
      <c r="E514" s="113"/>
      <c r="F514" s="115"/>
      <c r="G514" s="116" t="s">
        <v>1272</v>
      </c>
      <c r="H514" s="116" t="s">
        <v>1273</v>
      </c>
      <c r="I514" s="117" t="s">
        <v>113</v>
      </c>
      <c r="J514" s="116"/>
      <c r="K514" s="116"/>
      <c r="L514" s="118">
        <v>22400000</v>
      </c>
      <c r="M514" s="118" t="s">
        <v>1274</v>
      </c>
      <c r="N514" s="119">
        <v>43524</v>
      </c>
      <c r="O514" s="119" t="s">
        <v>110</v>
      </c>
      <c r="P514" s="120" t="s">
        <v>110</v>
      </c>
      <c r="Q514" s="114" t="s">
        <v>48</v>
      </c>
      <c r="R514" s="114" t="s">
        <v>117</v>
      </c>
      <c r="S514" s="114" t="str">
        <f t="shared" si="134"/>
        <v>Z</v>
      </c>
      <c r="T514" s="121"/>
      <c r="U514" s="121"/>
      <c r="V514" s="121"/>
      <c r="W514" s="121">
        <f t="shared" si="132"/>
        <v>0</v>
      </c>
      <c r="X514" s="121" t="str">
        <f t="shared" si="133"/>
        <v>Biasa</v>
      </c>
      <c r="Y514" s="115"/>
      <c r="Z514" s="115"/>
      <c r="AA514" s="119"/>
      <c r="AB514" s="119"/>
      <c r="AC514" s="119"/>
      <c r="AD514" s="34" t="s">
        <v>16</v>
      </c>
      <c r="AE514" s="122">
        <v>43684</v>
      </c>
      <c r="AF514" s="114" t="s">
        <v>1268</v>
      </c>
      <c r="AG514" s="114"/>
      <c r="AH514" s="26"/>
      <c r="AI514" s="26"/>
      <c r="AJ514" s="26"/>
      <c r="AK514" s="26"/>
      <c r="AL514" s="26"/>
      <c r="AM514" s="26"/>
      <c r="AN514" s="26"/>
      <c r="AO514" s="123"/>
      <c r="AP514" s="134"/>
      <c r="AQ514" s="4"/>
      <c r="AR514" s="4"/>
      <c r="AS514" s="132"/>
      <c r="AT514" s="132"/>
      <c r="AU514" s="132"/>
    </row>
    <row r="515" spans="1:48" s="124" customFormat="1" ht="111.95" customHeight="1" x14ac:dyDescent="0.25">
      <c r="A515" s="113">
        <v>376</v>
      </c>
      <c r="B515" s="113" t="s">
        <v>109</v>
      </c>
      <c r="C515" s="114"/>
      <c r="D515" s="113"/>
      <c r="E515" s="113"/>
      <c r="F515" s="115"/>
      <c r="G515" s="116" t="s">
        <v>1275</v>
      </c>
      <c r="H515" s="116" t="s">
        <v>1276</v>
      </c>
      <c r="I515" s="117" t="s">
        <v>113</v>
      </c>
      <c r="J515" s="116" t="s">
        <v>1275</v>
      </c>
      <c r="K515" s="116"/>
      <c r="L515" s="118">
        <v>30000000</v>
      </c>
      <c r="M515" s="118" t="s">
        <v>1274</v>
      </c>
      <c r="N515" s="119">
        <v>43432</v>
      </c>
      <c r="O515" s="119" t="s">
        <v>110</v>
      </c>
      <c r="P515" s="120" t="s">
        <v>110</v>
      </c>
      <c r="Q515" s="114" t="s">
        <v>48</v>
      </c>
      <c r="R515" s="114" t="s">
        <v>117</v>
      </c>
      <c r="S515" s="114" t="str">
        <f t="shared" si="134"/>
        <v>Z</v>
      </c>
      <c r="T515" s="121"/>
      <c r="U515" s="121"/>
      <c r="V515" s="121"/>
      <c r="W515" s="121">
        <f t="shared" si="132"/>
        <v>0</v>
      </c>
      <c r="X515" s="121" t="str">
        <f t="shared" si="133"/>
        <v>Biasa</v>
      </c>
      <c r="Y515" s="115"/>
      <c r="Z515" s="115"/>
      <c r="AA515" s="119"/>
      <c r="AB515" s="119"/>
      <c r="AC515" s="119"/>
      <c r="AD515" s="34" t="s">
        <v>16</v>
      </c>
      <c r="AE515" s="122">
        <v>43685</v>
      </c>
      <c r="AF515" s="114" t="s">
        <v>1277</v>
      </c>
      <c r="AG515" s="114"/>
      <c r="AH515" s="26"/>
      <c r="AI515" s="26"/>
      <c r="AJ515" s="26"/>
      <c r="AK515" s="26"/>
      <c r="AL515" s="26"/>
      <c r="AM515" s="26"/>
      <c r="AN515" s="26"/>
      <c r="AO515" s="123"/>
      <c r="AP515" s="134"/>
      <c r="AQ515" s="4"/>
      <c r="AR515" s="4"/>
      <c r="AS515" s="132"/>
      <c r="AT515" s="132"/>
      <c r="AU515" s="132"/>
    </row>
    <row r="516" spans="1:48" s="124" customFormat="1" ht="111.95" customHeight="1" x14ac:dyDescent="0.25">
      <c r="A516" s="113">
        <v>377</v>
      </c>
      <c r="B516" s="113" t="s">
        <v>109</v>
      </c>
      <c r="C516" s="114"/>
      <c r="D516" s="113"/>
      <c r="E516" s="113"/>
      <c r="F516" s="115"/>
      <c r="G516" s="116" t="s">
        <v>1275</v>
      </c>
      <c r="H516" s="116" t="s">
        <v>1276</v>
      </c>
      <c r="I516" s="117" t="s">
        <v>113</v>
      </c>
      <c r="J516" s="116" t="s">
        <v>1275</v>
      </c>
      <c r="K516" s="116"/>
      <c r="L516" s="118">
        <v>50000000</v>
      </c>
      <c r="M516" s="118" t="s">
        <v>1274</v>
      </c>
      <c r="N516" s="119">
        <v>43514</v>
      </c>
      <c r="O516" s="119" t="s">
        <v>110</v>
      </c>
      <c r="P516" s="120" t="s">
        <v>110</v>
      </c>
      <c r="Q516" s="114" t="s">
        <v>48</v>
      </c>
      <c r="R516" s="114" t="s">
        <v>117</v>
      </c>
      <c r="S516" s="114" t="str">
        <f t="shared" si="134"/>
        <v>Z</v>
      </c>
      <c r="T516" s="121"/>
      <c r="U516" s="121"/>
      <c r="V516" s="121"/>
      <c r="W516" s="121">
        <f t="shared" si="132"/>
        <v>0</v>
      </c>
      <c r="X516" s="121" t="str">
        <f t="shared" si="133"/>
        <v>Biasa</v>
      </c>
      <c r="Y516" s="115"/>
      <c r="Z516" s="115"/>
      <c r="AA516" s="119"/>
      <c r="AB516" s="119"/>
      <c r="AC516" s="119"/>
      <c r="AD516" s="34" t="s">
        <v>16</v>
      </c>
      <c r="AE516" s="122">
        <v>43686</v>
      </c>
      <c r="AF516" s="114" t="s">
        <v>1277</v>
      </c>
      <c r="AG516" s="114"/>
      <c r="AH516" s="26"/>
      <c r="AI516" s="26"/>
      <c r="AJ516" s="26"/>
      <c r="AK516" s="26"/>
      <c r="AL516" s="26"/>
      <c r="AM516" s="26"/>
      <c r="AN516" s="26"/>
      <c r="AO516" s="123"/>
      <c r="AP516" s="134"/>
      <c r="AQ516" s="4"/>
      <c r="AR516" s="4"/>
      <c r="AS516" s="132"/>
      <c r="AT516" s="132"/>
      <c r="AU516" s="132"/>
    </row>
    <row r="517" spans="1:48" s="124" customFormat="1" ht="111.95" customHeight="1" x14ac:dyDescent="0.25">
      <c r="A517" s="113">
        <v>378</v>
      </c>
      <c r="B517" s="113" t="s">
        <v>109</v>
      </c>
      <c r="C517" s="114"/>
      <c r="D517" s="113"/>
      <c r="E517" s="113"/>
      <c r="F517" s="115"/>
      <c r="G517" s="116" t="s">
        <v>1275</v>
      </c>
      <c r="H517" s="116" t="s">
        <v>1276</v>
      </c>
      <c r="I517" s="117" t="s">
        <v>113</v>
      </c>
      <c r="J517" s="116" t="s">
        <v>1275</v>
      </c>
      <c r="K517" s="116"/>
      <c r="L517" s="118">
        <v>25000000</v>
      </c>
      <c r="M517" s="118" t="s">
        <v>1274</v>
      </c>
      <c r="N517" s="119">
        <v>43565</v>
      </c>
      <c r="O517" s="119" t="s">
        <v>110</v>
      </c>
      <c r="P517" s="120" t="s">
        <v>110</v>
      </c>
      <c r="Q517" s="114" t="s">
        <v>48</v>
      </c>
      <c r="R517" s="114" t="s">
        <v>117</v>
      </c>
      <c r="S517" s="114" t="str">
        <f t="shared" si="134"/>
        <v>Z</v>
      </c>
      <c r="T517" s="121"/>
      <c r="U517" s="121"/>
      <c r="V517" s="121"/>
      <c r="W517" s="121">
        <f t="shared" si="132"/>
        <v>0</v>
      </c>
      <c r="X517" s="121" t="str">
        <f t="shared" si="133"/>
        <v>Biasa</v>
      </c>
      <c r="Y517" s="115"/>
      <c r="Z517" s="115"/>
      <c r="AA517" s="119"/>
      <c r="AB517" s="119"/>
      <c r="AC517" s="119"/>
      <c r="AD517" s="34" t="s">
        <v>16</v>
      </c>
      <c r="AE517" s="122">
        <v>43687</v>
      </c>
      <c r="AF517" s="114" t="s">
        <v>1277</v>
      </c>
      <c r="AG517" s="114"/>
      <c r="AH517" s="26"/>
      <c r="AI517" s="26"/>
      <c r="AJ517" s="26"/>
      <c r="AK517" s="26"/>
      <c r="AL517" s="26"/>
      <c r="AM517" s="26"/>
      <c r="AN517" s="26"/>
      <c r="AO517" s="123"/>
      <c r="AP517" s="134"/>
      <c r="AQ517" s="4"/>
      <c r="AR517" s="4"/>
      <c r="AS517" s="132"/>
      <c r="AT517" s="132"/>
      <c r="AU517" s="132"/>
    </row>
    <row r="518" spans="1:48" s="124" customFormat="1" ht="111.95" customHeight="1" x14ac:dyDescent="0.25">
      <c r="A518" s="113">
        <v>379</v>
      </c>
      <c r="B518" s="113" t="s">
        <v>109</v>
      </c>
      <c r="C518" s="114"/>
      <c r="D518" s="113"/>
      <c r="E518" s="113"/>
      <c r="F518" s="115"/>
      <c r="G518" s="116" t="s">
        <v>1058</v>
      </c>
      <c r="H518" s="116" t="s">
        <v>1278</v>
      </c>
      <c r="I518" s="117" t="s">
        <v>113</v>
      </c>
      <c r="J518" s="116" t="s">
        <v>1279</v>
      </c>
      <c r="K518" s="116"/>
      <c r="L518" s="118">
        <v>100000000</v>
      </c>
      <c r="M518" s="118" t="s">
        <v>1274</v>
      </c>
      <c r="N518" s="119">
        <v>43504</v>
      </c>
      <c r="O518" s="119" t="s">
        <v>110</v>
      </c>
      <c r="P518" s="120" t="s">
        <v>110</v>
      </c>
      <c r="Q518" s="114" t="s">
        <v>48</v>
      </c>
      <c r="R518" s="114" t="s">
        <v>117</v>
      </c>
      <c r="S518" s="114" t="str">
        <f t="shared" si="134"/>
        <v>Z</v>
      </c>
      <c r="T518" s="121"/>
      <c r="U518" s="121"/>
      <c r="V518" s="121"/>
      <c r="W518" s="121">
        <f t="shared" si="132"/>
        <v>0</v>
      </c>
      <c r="X518" s="121" t="str">
        <f t="shared" si="133"/>
        <v>Biasa</v>
      </c>
      <c r="Y518" s="115"/>
      <c r="Z518" s="114"/>
      <c r="AA518" s="119"/>
      <c r="AB518" s="119"/>
      <c r="AC518" s="119"/>
      <c r="AD518" s="34" t="s">
        <v>125</v>
      </c>
      <c r="AE518" s="122">
        <v>43556</v>
      </c>
      <c r="AF518" s="114" t="s">
        <v>1268</v>
      </c>
      <c r="AG518" s="114" t="s">
        <v>119</v>
      </c>
      <c r="AH518" s="26"/>
      <c r="AI518" s="26"/>
      <c r="AJ518" s="26"/>
      <c r="AK518" s="26"/>
      <c r="AL518" s="26"/>
      <c r="AM518" s="26"/>
      <c r="AN518" s="26"/>
      <c r="AO518" s="123"/>
      <c r="AP518" s="134"/>
      <c r="AQ518" s="4"/>
      <c r="AR518" s="4"/>
      <c r="AS518" s="132"/>
      <c r="AT518" s="132"/>
      <c r="AU518" s="132"/>
    </row>
    <row r="519" spans="1:48" s="124" customFormat="1" ht="111.95" customHeight="1" x14ac:dyDescent="0.25">
      <c r="A519" s="113">
        <v>380</v>
      </c>
      <c r="B519" s="113" t="s">
        <v>109</v>
      </c>
      <c r="C519" s="114"/>
      <c r="D519" s="113"/>
      <c r="E519" s="113"/>
      <c r="F519" s="115"/>
      <c r="G519" s="116" t="s">
        <v>1272</v>
      </c>
      <c r="H519" s="116" t="s">
        <v>1273</v>
      </c>
      <c r="I519" s="117" t="s">
        <v>113</v>
      </c>
      <c r="J519" s="116" t="s">
        <v>1280</v>
      </c>
      <c r="K519" s="116"/>
      <c r="L519" s="118">
        <v>9400000</v>
      </c>
      <c r="M519" s="118" t="s">
        <v>1274</v>
      </c>
      <c r="N519" s="119">
        <v>43738</v>
      </c>
      <c r="O519" s="119" t="s">
        <v>110</v>
      </c>
      <c r="P519" s="120" t="s">
        <v>110</v>
      </c>
      <c r="Q519" s="114" t="s">
        <v>48</v>
      </c>
      <c r="R519" s="114" t="s">
        <v>117</v>
      </c>
      <c r="S519" s="114" t="str">
        <f t="shared" si="134"/>
        <v>Z</v>
      </c>
      <c r="T519" s="121"/>
      <c r="U519" s="121"/>
      <c r="V519" s="121"/>
      <c r="W519" s="121">
        <f t="shared" si="132"/>
        <v>0</v>
      </c>
      <c r="X519" s="121" t="str">
        <f t="shared" si="133"/>
        <v>Biasa</v>
      </c>
      <c r="Y519" s="115"/>
      <c r="Z519" s="114"/>
      <c r="AA519" s="119"/>
      <c r="AB519" s="119"/>
      <c r="AC519" s="119"/>
      <c r="AD519" s="34" t="s">
        <v>125</v>
      </c>
      <c r="AE519" s="122">
        <v>43760</v>
      </c>
      <c r="AF519" s="114" t="s">
        <v>1041</v>
      </c>
      <c r="AG519" s="114" t="s">
        <v>119</v>
      </c>
      <c r="AH519" s="26"/>
      <c r="AI519" s="26"/>
      <c r="AJ519" s="26"/>
      <c r="AK519" s="26"/>
      <c r="AL519" s="26"/>
      <c r="AM519" s="26"/>
      <c r="AN519" s="26"/>
      <c r="AO519" s="123">
        <v>43760</v>
      </c>
      <c r="AP519" s="134"/>
      <c r="AQ519" s="4"/>
      <c r="AR519" s="4"/>
      <c r="AS519" s="132"/>
      <c r="AT519" s="132"/>
      <c r="AU519" s="132"/>
    </row>
    <row r="520" spans="1:48" s="124" customFormat="1" ht="111.95" customHeight="1" x14ac:dyDescent="0.25">
      <c r="A520" s="113">
        <v>381</v>
      </c>
      <c r="B520" s="113" t="s">
        <v>109</v>
      </c>
      <c r="C520" s="114"/>
      <c r="D520" s="113"/>
      <c r="E520" s="113"/>
      <c r="F520" s="115"/>
      <c r="G520" s="116" t="s">
        <v>1265</v>
      </c>
      <c r="H520" s="116" t="s">
        <v>1269</v>
      </c>
      <c r="I520" s="117" t="s">
        <v>113</v>
      </c>
      <c r="J520" s="116" t="s">
        <v>1271</v>
      </c>
      <c r="K520" s="116"/>
      <c r="L520" s="118">
        <v>183105000</v>
      </c>
      <c r="M520" s="118" t="s">
        <v>1267</v>
      </c>
      <c r="N520" s="119">
        <v>43739</v>
      </c>
      <c r="O520" s="119" t="s">
        <v>110</v>
      </c>
      <c r="P520" s="120" t="s">
        <v>110</v>
      </c>
      <c r="Q520" s="114" t="s">
        <v>48</v>
      </c>
      <c r="R520" s="114" t="s">
        <v>117</v>
      </c>
      <c r="S520" s="114" t="str">
        <f t="shared" si="134"/>
        <v>Z</v>
      </c>
      <c r="T520" s="121"/>
      <c r="U520" s="121"/>
      <c r="V520" s="121"/>
      <c r="W520" s="121">
        <f t="shared" si="132"/>
        <v>0</v>
      </c>
      <c r="X520" s="121" t="str">
        <f t="shared" si="133"/>
        <v>Biasa</v>
      </c>
      <c r="Y520" s="115"/>
      <c r="Z520" s="114"/>
      <c r="AA520" s="119"/>
      <c r="AB520" s="119"/>
      <c r="AC520" s="119"/>
      <c r="AD520" s="34" t="s">
        <v>125</v>
      </c>
      <c r="AE520" s="122">
        <v>43760</v>
      </c>
      <c r="AF520" s="114" t="s">
        <v>1041</v>
      </c>
      <c r="AG520" s="114" t="s">
        <v>119</v>
      </c>
      <c r="AH520" s="26"/>
      <c r="AI520" s="26"/>
      <c r="AJ520" s="26"/>
      <c r="AK520" s="26"/>
      <c r="AL520" s="26"/>
      <c r="AM520" s="26"/>
      <c r="AN520" s="26"/>
      <c r="AO520" s="123">
        <v>43760</v>
      </c>
      <c r="AP520" s="134"/>
      <c r="AQ520" s="4"/>
      <c r="AR520" s="4"/>
      <c r="AS520" s="132"/>
      <c r="AT520" s="132"/>
      <c r="AU520" s="132"/>
    </row>
    <row r="521" spans="1:48" s="124" customFormat="1" ht="111.95" customHeight="1" x14ac:dyDescent="0.25">
      <c r="A521" s="113">
        <v>382</v>
      </c>
      <c r="B521" s="113" t="s">
        <v>109</v>
      </c>
      <c r="C521" s="114"/>
      <c r="D521" s="113"/>
      <c r="E521" s="113"/>
      <c r="F521" s="115" t="s">
        <v>1281</v>
      </c>
      <c r="G521" s="116" t="s">
        <v>158</v>
      </c>
      <c r="H521" s="116" t="s">
        <v>159</v>
      </c>
      <c r="I521" s="117" t="s">
        <v>160</v>
      </c>
      <c r="J521" s="116" t="s">
        <v>1282</v>
      </c>
      <c r="K521" s="116" t="s">
        <v>162</v>
      </c>
      <c r="L521" s="118">
        <v>3740000</v>
      </c>
      <c r="M521" s="118" t="s">
        <v>143</v>
      </c>
      <c r="N521" s="119">
        <v>42430</v>
      </c>
      <c r="O521" s="119">
        <v>43524</v>
      </c>
      <c r="P521" s="120">
        <f>(O521-N521)/365</f>
        <v>2.9972602739726026</v>
      </c>
      <c r="Q521" s="114" t="s">
        <v>29</v>
      </c>
      <c r="R521" s="114" t="s">
        <v>117</v>
      </c>
      <c r="S521" s="114" t="str">
        <f t="shared" si="134"/>
        <v>Z</v>
      </c>
      <c r="T521" s="121">
        <v>1</v>
      </c>
      <c r="U521" s="121">
        <v>1</v>
      </c>
      <c r="V521" s="121">
        <v>1</v>
      </c>
      <c r="W521" s="121">
        <f t="shared" si="132"/>
        <v>3</v>
      </c>
      <c r="X521" s="121" t="str">
        <f t="shared" si="133"/>
        <v>Biasa</v>
      </c>
      <c r="Y521" s="115"/>
      <c r="Z521" s="115"/>
      <c r="AA521" s="119"/>
      <c r="AB521" s="119"/>
      <c r="AC521" s="119"/>
      <c r="AD521" s="26" t="s">
        <v>237</v>
      </c>
      <c r="AE521" s="122">
        <v>43525</v>
      </c>
      <c r="AF521" s="114" t="s">
        <v>274</v>
      </c>
      <c r="AG521" s="114"/>
      <c r="AH521" s="26"/>
      <c r="AI521" s="26"/>
      <c r="AJ521" s="26"/>
      <c r="AK521" s="26"/>
      <c r="AL521" s="26"/>
      <c r="AM521" s="26"/>
      <c r="AN521" s="26"/>
      <c r="AO521" s="123"/>
      <c r="AP521" s="134"/>
      <c r="AQ521" s="4"/>
      <c r="AR521" s="4"/>
      <c r="AV521" s="135"/>
    </row>
    <row r="522" spans="1:48" s="124" customFormat="1" ht="111.95" customHeight="1" x14ac:dyDescent="0.25">
      <c r="A522" s="113">
        <v>383</v>
      </c>
      <c r="B522" s="113" t="s">
        <v>109</v>
      </c>
      <c r="C522" s="114"/>
      <c r="D522" s="113"/>
      <c r="E522" s="113"/>
      <c r="F522" s="115" t="s">
        <v>1283</v>
      </c>
      <c r="G522" s="116" t="s">
        <v>158</v>
      </c>
      <c r="H522" s="116" t="s">
        <v>159</v>
      </c>
      <c r="I522" s="117" t="s">
        <v>160</v>
      </c>
      <c r="J522" s="116" t="s">
        <v>1284</v>
      </c>
      <c r="K522" s="116" t="s">
        <v>162</v>
      </c>
      <c r="L522" s="118">
        <v>3685000</v>
      </c>
      <c r="M522" s="118" t="s">
        <v>143</v>
      </c>
      <c r="N522" s="119">
        <v>43160</v>
      </c>
      <c r="O522" s="119">
        <v>43524</v>
      </c>
      <c r="P522" s="120">
        <f>(O522-N522)/365</f>
        <v>0.99726027397260275</v>
      </c>
      <c r="Q522" s="114" t="s">
        <v>29</v>
      </c>
      <c r="R522" s="114" t="s">
        <v>117</v>
      </c>
      <c r="S522" s="114" t="str">
        <f t="shared" si="134"/>
        <v>Z</v>
      </c>
      <c r="T522" s="121">
        <v>1</v>
      </c>
      <c r="U522" s="121">
        <v>1</v>
      </c>
      <c r="V522" s="121">
        <v>1</v>
      </c>
      <c r="W522" s="121">
        <f t="shared" si="132"/>
        <v>3</v>
      </c>
      <c r="X522" s="121" t="str">
        <f t="shared" si="133"/>
        <v>Biasa</v>
      </c>
      <c r="Y522" s="115"/>
      <c r="Z522" s="115"/>
      <c r="AA522" s="119"/>
      <c r="AB522" s="119"/>
      <c r="AC522" s="119"/>
      <c r="AD522" s="26" t="s">
        <v>237</v>
      </c>
      <c r="AE522" s="122">
        <v>43525</v>
      </c>
      <c r="AF522" s="114" t="s">
        <v>274</v>
      </c>
      <c r="AG522" s="114"/>
      <c r="AH522" s="26"/>
      <c r="AI522" s="26"/>
      <c r="AJ522" s="26"/>
      <c r="AK522" s="26"/>
      <c r="AL522" s="26"/>
      <c r="AM522" s="26"/>
      <c r="AN522" s="26"/>
      <c r="AO522" s="123"/>
      <c r="AP522" s="134"/>
      <c r="AQ522" s="4"/>
      <c r="AR522" s="4"/>
      <c r="AV522" s="135"/>
    </row>
    <row r="523" spans="1:48" x14ac:dyDescent="0.25">
      <c r="A523" s="136"/>
      <c r="B523" s="136"/>
      <c r="C523" s="136"/>
      <c r="D523" s="136"/>
      <c r="E523" s="136"/>
      <c r="F523" s="136"/>
      <c r="G523" s="137"/>
      <c r="H523" s="137"/>
      <c r="I523" s="137"/>
      <c r="J523" s="137"/>
      <c r="K523" s="137"/>
      <c r="L523" s="137"/>
      <c r="M523" s="137"/>
      <c r="N523" s="138"/>
      <c r="O523" s="138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  <c r="AD523" s="137"/>
      <c r="AE523" s="137"/>
      <c r="AF523" s="136"/>
      <c r="AG523" s="136"/>
      <c r="AH523" s="136"/>
      <c r="AI523" s="136"/>
      <c r="AJ523" s="136"/>
      <c r="AK523" s="136"/>
      <c r="AL523" s="136"/>
      <c r="AM523" s="136"/>
      <c r="AN523" s="136"/>
      <c r="AO523" s="136"/>
    </row>
    <row r="524" spans="1:48" ht="27.75" x14ac:dyDescent="0.35">
      <c r="A524" s="139"/>
      <c r="B524" s="139"/>
      <c r="C524" s="139"/>
      <c r="D524" s="139"/>
      <c r="E524" s="139"/>
      <c r="F524" s="139"/>
      <c r="G524" s="140"/>
      <c r="H524" s="140"/>
      <c r="I524" s="140"/>
      <c r="J524" s="141"/>
      <c r="K524" s="142"/>
      <c r="L524" s="143"/>
      <c r="M524" s="143"/>
      <c r="N524" s="144"/>
      <c r="O524" s="144"/>
      <c r="P524" s="145"/>
      <c r="Q524" s="146"/>
      <c r="R524" s="147"/>
      <c r="S524" s="148"/>
      <c r="T524" s="148"/>
      <c r="U524" s="148"/>
      <c r="V524" s="148"/>
      <c r="W524" s="149"/>
      <c r="X524" s="149"/>
      <c r="Y524" s="146"/>
      <c r="Z524" s="146"/>
      <c r="AA524" s="146"/>
      <c r="AB524" s="146"/>
      <c r="AC524" s="146"/>
      <c r="AD524" s="146"/>
      <c r="AE524" s="146"/>
      <c r="AF524" s="150"/>
      <c r="AG524" s="150"/>
    </row>
    <row r="525" spans="1:48" ht="27.75" x14ac:dyDescent="0.35">
      <c r="A525" s="139"/>
      <c r="B525" s="139"/>
      <c r="C525" s="139"/>
      <c r="D525" s="139"/>
      <c r="E525" s="139"/>
      <c r="F525" s="139"/>
      <c r="G525" s="140"/>
      <c r="H525" s="140"/>
      <c r="I525" s="140"/>
      <c r="J525" s="141"/>
      <c r="K525" s="142"/>
      <c r="L525" s="143"/>
      <c r="M525" s="143"/>
      <c r="N525" s="144"/>
      <c r="O525" s="144"/>
      <c r="P525" s="145"/>
      <c r="Q525" s="146"/>
      <c r="R525" s="147"/>
      <c r="S525" s="148"/>
      <c r="T525" s="148"/>
      <c r="U525" s="148"/>
      <c r="V525" s="148"/>
      <c r="W525" s="149"/>
      <c r="X525" s="149"/>
      <c r="Y525" s="146"/>
      <c r="Z525" s="146"/>
      <c r="AA525" s="146"/>
      <c r="AB525" s="146"/>
      <c r="AC525" s="146"/>
      <c r="AD525" s="146"/>
      <c r="AE525" s="146"/>
      <c r="AF525" s="150"/>
      <c r="AG525" s="150"/>
    </row>
    <row r="526" spans="1:48" ht="27.75" x14ac:dyDescent="0.35">
      <c r="A526" s="139"/>
      <c r="B526" s="139"/>
      <c r="C526" s="139"/>
      <c r="D526" s="139"/>
      <c r="E526" s="139"/>
      <c r="F526" s="139"/>
      <c r="G526" s="140"/>
      <c r="H526" s="140"/>
      <c r="I526" s="140"/>
      <c r="J526" s="141"/>
      <c r="K526" s="142"/>
      <c r="L526" s="143"/>
      <c r="M526" s="143"/>
      <c r="N526" s="144"/>
      <c r="O526" s="144"/>
      <c r="P526" s="145"/>
      <c r="Q526" s="146"/>
      <c r="R526" s="147"/>
      <c r="S526" s="148"/>
      <c r="T526" s="148"/>
      <c r="U526" s="148"/>
      <c r="V526" s="148"/>
      <c r="W526" s="149"/>
      <c r="X526" s="149"/>
      <c r="Y526" s="146"/>
      <c r="Z526" s="146"/>
      <c r="AA526" s="146"/>
      <c r="AB526" s="146"/>
      <c r="AC526" s="146"/>
      <c r="AD526" s="146"/>
      <c r="AE526" s="146"/>
      <c r="AF526" s="150"/>
      <c r="AG526" s="150"/>
    </row>
    <row r="527" spans="1:48" ht="23.25" x14ac:dyDescent="0.35">
      <c r="A527" s="139"/>
      <c r="B527" s="139"/>
      <c r="C527" s="139"/>
      <c r="D527" s="139"/>
      <c r="E527" s="139"/>
      <c r="F527" s="139"/>
      <c r="G527" s="140"/>
      <c r="H527" s="140"/>
      <c r="I527" s="140"/>
      <c r="J527" s="141"/>
      <c r="K527" s="142"/>
      <c r="L527" s="143"/>
      <c r="M527" s="143"/>
      <c r="N527" s="144"/>
      <c r="O527" s="144"/>
      <c r="P527" s="145"/>
      <c r="Q527" s="146"/>
      <c r="R527" s="146"/>
      <c r="S527" s="148"/>
      <c r="T527" s="148"/>
      <c r="U527" s="148"/>
      <c r="V527" s="148"/>
      <c r="W527" s="148"/>
      <c r="X527" s="148"/>
      <c r="Y527" s="146"/>
      <c r="Z527" s="146"/>
      <c r="AA527" s="146"/>
      <c r="AB527" s="146"/>
      <c r="AC527" s="146"/>
      <c r="AD527" s="146"/>
      <c r="AE527" s="146"/>
      <c r="AF527" s="150"/>
      <c r="AG527" s="150"/>
    </row>
    <row r="528" spans="1:48" ht="23.25" x14ac:dyDescent="0.35">
      <c r="A528" s="139"/>
      <c r="B528" s="139"/>
      <c r="C528" s="139"/>
      <c r="D528" s="139"/>
      <c r="E528" s="139"/>
      <c r="F528" s="139"/>
      <c r="G528" s="140"/>
      <c r="H528" s="140"/>
      <c r="I528" s="140"/>
      <c r="J528" s="141"/>
      <c r="K528" s="142"/>
      <c r="L528" s="143"/>
      <c r="M528" s="143"/>
      <c r="N528" s="144"/>
      <c r="O528" s="144"/>
      <c r="P528" s="145"/>
      <c r="Q528" s="146"/>
      <c r="R528" s="146"/>
      <c r="S528" s="148"/>
      <c r="T528" s="148"/>
      <c r="U528" s="148"/>
      <c r="V528" s="148"/>
      <c r="W528" s="148"/>
      <c r="X528" s="148"/>
      <c r="Y528" s="146"/>
      <c r="Z528" s="146"/>
      <c r="AA528" s="146"/>
      <c r="AB528" s="146"/>
      <c r="AC528" s="146"/>
      <c r="AD528" s="146"/>
      <c r="AE528" s="146"/>
      <c r="AF528" s="150"/>
      <c r="AG528" s="150"/>
    </row>
    <row r="529" spans="1:33" ht="23.25" x14ac:dyDescent="0.35">
      <c r="A529" s="139"/>
      <c r="B529" s="139"/>
      <c r="C529" s="139"/>
      <c r="D529" s="139"/>
      <c r="E529" s="139"/>
      <c r="F529" s="139"/>
      <c r="G529" s="140"/>
      <c r="H529" s="140"/>
      <c r="I529" s="140"/>
      <c r="J529" s="141"/>
      <c r="K529" s="142"/>
      <c r="L529" s="143"/>
      <c r="M529" s="143"/>
      <c r="N529" s="144"/>
      <c r="O529" s="144"/>
      <c r="P529" s="145"/>
      <c r="Q529" s="146"/>
      <c r="R529" s="146"/>
      <c r="S529" s="148"/>
      <c r="T529" s="148"/>
      <c r="U529" s="148"/>
      <c r="V529" s="148"/>
      <c r="W529" s="148"/>
      <c r="X529" s="148"/>
      <c r="Y529" s="146"/>
      <c r="Z529" s="146"/>
      <c r="AA529" s="146"/>
      <c r="AB529" s="146"/>
      <c r="AC529" s="146"/>
      <c r="AD529" s="146"/>
      <c r="AE529" s="146"/>
      <c r="AF529" s="150"/>
      <c r="AG529" s="150"/>
    </row>
    <row r="530" spans="1:33" ht="23.25" x14ac:dyDescent="0.35">
      <c r="A530" s="139"/>
      <c r="B530" s="139"/>
      <c r="C530" s="139"/>
      <c r="D530" s="139"/>
      <c r="E530" s="139"/>
      <c r="F530" s="139"/>
      <c r="G530" s="140"/>
      <c r="H530" s="140"/>
      <c r="I530" s="140"/>
      <c r="J530" s="141"/>
      <c r="K530" s="142"/>
      <c r="L530" s="143"/>
      <c r="M530" s="143"/>
      <c r="N530" s="144"/>
      <c r="O530" s="144"/>
      <c r="P530" s="145"/>
      <c r="Q530" s="146"/>
      <c r="R530" s="146"/>
      <c r="S530" s="148"/>
      <c r="T530" s="148"/>
      <c r="U530" s="148"/>
      <c r="V530" s="148"/>
      <c r="W530" s="148"/>
      <c r="X530" s="148"/>
      <c r="Y530" s="146"/>
      <c r="Z530" s="146"/>
      <c r="AA530" s="146"/>
      <c r="AB530" s="146"/>
      <c r="AC530" s="146"/>
      <c r="AD530" s="146"/>
      <c r="AE530" s="146"/>
      <c r="AF530" s="150"/>
      <c r="AG530" s="150"/>
    </row>
    <row r="531" spans="1:33" ht="23.25" x14ac:dyDescent="0.35">
      <c r="A531" s="139"/>
      <c r="B531" s="139"/>
      <c r="C531" s="139"/>
      <c r="D531" s="139"/>
      <c r="E531" s="139"/>
      <c r="F531" s="139"/>
      <c r="G531" s="140"/>
      <c r="H531" s="140"/>
      <c r="I531" s="140"/>
      <c r="J531" s="141"/>
      <c r="K531" s="142"/>
      <c r="L531" s="143"/>
      <c r="M531" s="143"/>
      <c r="N531" s="144"/>
      <c r="O531" s="144"/>
      <c r="P531" s="145"/>
      <c r="Q531" s="146"/>
      <c r="R531" s="146"/>
      <c r="S531" s="148"/>
      <c r="T531" s="148"/>
      <c r="U531" s="148"/>
      <c r="V531" s="148"/>
      <c r="W531" s="148"/>
      <c r="X531" s="148"/>
      <c r="Y531" s="146"/>
      <c r="Z531" s="146"/>
      <c r="AA531" s="146"/>
      <c r="AB531" s="146"/>
      <c r="AC531" s="146"/>
      <c r="AD531" s="146"/>
      <c r="AE531" s="146"/>
      <c r="AF531" s="150"/>
      <c r="AG531" s="150"/>
    </row>
    <row r="532" spans="1:33" ht="23.25" x14ac:dyDescent="0.35">
      <c r="A532" s="139"/>
      <c r="B532" s="139"/>
      <c r="C532" s="139"/>
      <c r="D532" s="139"/>
      <c r="E532" s="139"/>
      <c r="F532" s="139"/>
      <c r="G532" s="140"/>
      <c r="H532" s="140"/>
      <c r="I532" s="140"/>
      <c r="J532" s="141"/>
      <c r="K532" s="142"/>
      <c r="L532" s="143"/>
      <c r="M532" s="143"/>
      <c r="N532" s="144"/>
      <c r="O532" s="144"/>
      <c r="P532" s="145"/>
      <c r="Q532" s="146"/>
      <c r="R532" s="146"/>
      <c r="S532" s="148"/>
      <c r="T532" s="148"/>
      <c r="U532" s="148"/>
      <c r="V532" s="148"/>
      <c r="W532" s="148"/>
      <c r="X532" s="148"/>
      <c r="Y532" s="146"/>
      <c r="Z532" s="146"/>
      <c r="AA532" s="146"/>
      <c r="AB532" s="146"/>
      <c r="AC532" s="146"/>
      <c r="AD532" s="146"/>
      <c r="AE532" s="146"/>
      <c r="AF532" s="150"/>
      <c r="AG532" s="150"/>
    </row>
    <row r="533" spans="1:33" ht="35.25" x14ac:dyDescent="0.5">
      <c r="J533" s="151"/>
    </row>
    <row r="534" spans="1:33" ht="35.25" x14ac:dyDescent="0.5">
      <c r="J534" s="151"/>
    </row>
    <row r="535" spans="1:33" ht="35.25" x14ac:dyDescent="0.5">
      <c r="J535" s="151"/>
    </row>
    <row r="536" spans="1:33" ht="35.25" x14ac:dyDescent="0.5">
      <c r="J536" s="151"/>
    </row>
    <row r="537" spans="1:33" ht="35.25" x14ac:dyDescent="0.5">
      <c r="J537" s="151"/>
    </row>
    <row r="538" spans="1:33" ht="35.25" x14ac:dyDescent="0.5">
      <c r="J538" s="151"/>
    </row>
    <row r="539" spans="1:33" ht="35.25" x14ac:dyDescent="0.5">
      <c r="J539" s="151"/>
    </row>
    <row r="540" spans="1:33" ht="35.25" x14ac:dyDescent="0.5">
      <c r="J540" s="151"/>
    </row>
    <row r="541" spans="1:33" ht="35.25" x14ac:dyDescent="0.5">
      <c r="J541" s="151"/>
    </row>
    <row r="542" spans="1:33" ht="35.25" x14ac:dyDescent="0.5">
      <c r="J542" s="151"/>
    </row>
    <row r="543" spans="1:33" ht="35.25" x14ac:dyDescent="0.5">
      <c r="J543" s="151"/>
    </row>
    <row r="544" spans="1:33" ht="35.25" x14ac:dyDescent="0.5">
      <c r="J544" s="151"/>
    </row>
    <row r="545" spans="10:10" ht="35.25" x14ac:dyDescent="0.5">
      <c r="J545" s="151"/>
    </row>
    <row r="546" spans="10:10" ht="35.25" x14ac:dyDescent="0.5">
      <c r="J546" s="151"/>
    </row>
    <row r="547" spans="10:10" ht="35.25" x14ac:dyDescent="0.5">
      <c r="J547" s="151"/>
    </row>
    <row r="548" spans="10:10" ht="35.25" x14ac:dyDescent="0.5">
      <c r="J548" s="151"/>
    </row>
    <row r="549" spans="10:10" ht="35.25" x14ac:dyDescent="0.5">
      <c r="J549" s="151"/>
    </row>
    <row r="550" spans="10:10" ht="35.25" x14ac:dyDescent="0.5">
      <c r="J550" s="151"/>
    </row>
    <row r="551" spans="10:10" ht="35.25" x14ac:dyDescent="0.5">
      <c r="J551" s="151"/>
    </row>
    <row r="552" spans="10:10" ht="35.25" x14ac:dyDescent="0.5">
      <c r="J552" s="151"/>
    </row>
    <row r="553" spans="10:10" ht="35.25" x14ac:dyDescent="0.5">
      <c r="J553" s="151"/>
    </row>
    <row r="554" spans="10:10" ht="35.25" x14ac:dyDescent="0.5">
      <c r="J554" s="151"/>
    </row>
    <row r="555" spans="10:10" ht="35.25" x14ac:dyDescent="0.5">
      <c r="J555" s="151"/>
    </row>
    <row r="556" spans="10:10" ht="35.25" x14ac:dyDescent="0.5">
      <c r="J556" s="151"/>
    </row>
    <row r="557" spans="10:10" ht="35.25" x14ac:dyDescent="0.5">
      <c r="J557" s="151"/>
    </row>
    <row r="558" spans="10:10" ht="35.25" x14ac:dyDescent="0.5">
      <c r="J558" s="151"/>
    </row>
    <row r="559" spans="10:10" ht="35.25" x14ac:dyDescent="0.5">
      <c r="J559" s="151"/>
    </row>
    <row r="560" spans="10:10" ht="35.25" x14ac:dyDescent="0.5">
      <c r="J560" s="151"/>
    </row>
    <row r="561" spans="10:10" ht="35.25" x14ac:dyDescent="0.5">
      <c r="J561" s="151"/>
    </row>
    <row r="562" spans="10:10" ht="35.25" x14ac:dyDescent="0.5">
      <c r="J562" s="151"/>
    </row>
  </sheetData>
  <autoFilter ref="A133:AO522"/>
  <mergeCells count="115">
    <mergeCell ref="C2:R11"/>
    <mergeCell ref="C15:C17"/>
    <mergeCell ref="D15:D17"/>
    <mergeCell ref="E15:E17"/>
    <mergeCell ref="F15:H15"/>
    <mergeCell ref="I15:N15"/>
    <mergeCell ref="O15:T15"/>
    <mergeCell ref="T16:T17"/>
    <mergeCell ref="U15:W15"/>
    <mergeCell ref="X15:Y15"/>
    <mergeCell ref="F16:F17"/>
    <mergeCell ref="G16:G17"/>
    <mergeCell ref="H16:H17"/>
    <mergeCell ref="I16:K16"/>
    <mergeCell ref="L16:M16"/>
    <mergeCell ref="N16:N17"/>
    <mergeCell ref="O16:Q16"/>
    <mergeCell ref="R16:S16"/>
    <mergeCell ref="CB16:CE16"/>
    <mergeCell ref="CG16:CJ16"/>
    <mergeCell ref="CL16:CO16"/>
    <mergeCell ref="CQ16:CT16"/>
    <mergeCell ref="D18:D21"/>
    <mergeCell ref="D22:D26"/>
    <mergeCell ref="U16:U17"/>
    <mergeCell ref="V16:V17"/>
    <mergeCell ref="W16:W17"/>
    <mergeCell ref="X16:X17"/>
    <mergeCell ref="Y16:Y17"/>
    <mergeCell ref="AP16:AS16"/>
    <mergeCell ref="U32:Y32"/>
    <mergeCell ref="U33:Y33"/>
    <mergeCell ref="CB35:CE35"/>
    <mergeCell ref="CG35:CJ35"/>
    <mergeCell ref="CL35:CO35"/>
    <mergeCell ref="CQ35:CT35"/>
    <mergeCell ref="C30:E31"/>
    <mergeCell ref="F31:G31"/>
    <mergeCell ref="I31:M31"/>
    <mergeCell ref="O31:S31"/>
    <mergeCell ref="U31:W31"/>
    <mergeCell ref="X31:Y31"/>
    <mergeCell ref="AU36:BA36"/>
    <mergeCell ref="F37:F38"/>
    <mergeCell ref="G37:K37"/>
    <mergeCell ref="L37:L38"/>
    <mergeCell ref="M37:M38"/>
    <mergeCell ref="N37:R37"/>
    <mergeCell ref="S37:S38"/>
    <mergeCell ref="T37:T38"/>
    <mergeCell ref="U37:Y37"/>
    <mergeCell ref="F36:L36"/>
    <mergeCell ref="M36:S36"/>
    <mergeCell ref="T36:Z36"/>
    <mergeCell ref="BA37:BA38"/>
    <mergeCell ref="AT37:AT38"/>
    <mergeCell ref="AU37:AU38"/>
    <mergeCell ref="AV37:AZ37"/>
    <mergeCell ref="D39:D42"/>
    <mergeCell ref="D43:D47"/>
    <mergeCell ref="C51:E52"/>
    <mergeCell ref="F52:K52"/>
    <mergeCell ref="M52:R52"/>
    <mergeCell ref="T52:Y52"/>
    <mergeCell ref="AA52:AG52"/>
    <mergeCell ref="AA37:AA38"/>
    <mergeCell ref="AB37:AF37"/>
    <mergeCell ref="AG37:AG38"/>
    <mergeCell ref="C36:C38"/>
    <mergeCell ref="D36:D38"/>
    <mergeCell ref="E36:E38"/>
    <mergeCell ref="AA36:AG36"/>
    <mergeCell ref="DD54:DF54"/>
    <mergeCell ref="DG54:DI54"/>
    <mergeCell ref="DJ54:DL54"/>
    <mergeCell ref="CC54:CE54"/>
    <mergeCell ref="CF54:CH54"/>
    <mergeCell ref="CI54:CK54"/>
    <mergeCell ref="CL54:CN54"/>
    <mergeCell ref="CO54:CQ54"/>
    <mergeCell ref="CR54:CT54"/>
    <mergeCell ref="FU54:FW54"/>
    <mergeCell ref="FX54:FZ54"/>
    <mergeCell ref="GA54:GC54"/>
    <mergeCell ref="GD54:GF54"/>
    <mergeCell ref="EW54:EY54"/>
    <mergeCell ref="EZ54:FB54"/>
    <mergeCell ref="FC54:FE54"/>
    <mergeCell ref="FF54:FH54"/>
    <mergeCell ref="FI54:FK54"/>
    <mergeCell ref="FL54:FN54"/>
    <mergeCell ref="AI132:AM132"/>
    <mergeCell ref="C132:D132"/>
    <mergeCell ref="L132:M132"/>
    <mergeCell ref="N132:O132"/>
    <mergeCell ref="T132:X132"/>
    <mergeCell ref="AA132:AC132"/>
    <mergeCell ref="AD132:AE132"/>
    <mergeCell ref="FO54:FQ54"/>
    <mergeCell ref="FR54:FT54"/>
    <mergeCell ref="EE54:EG54"/>
    <mergeCell ref="EH54:EJ54"/>
    <mergeCell ref="EK54:EM54"/>
    <mergeCell ref="EN54:EP54"/>
    <mergeCell ref="EQ54:ES54"/>
    <mergeCell ref="ET54:EV54"/>
    <mergeCell ref="DM54:DO54"/>
    <mergeCell ref="DP54:DR54"/>
    <mergeCell ref="DS54:DU54"/>
    <mergeCell ref="DV54:DX54"/>
    <mergeCell ref="DY54:EA54"/>
    <mergeCell ref="EB54:ED54"/>
    <mergeCell ref="CU54:CW54"/>
    <mergeCell ref="CX54:CZ54"/>
    <mergeCell ref="DA54:DC54"/>
  </mergeCells>
  <conditionalFormatting sqref="A524:AG532">
    <cfRule type="expression" dxfId="3453" priority="3454" stopIfTrue="1">
      <formula>$R524&lt;0</formula>
    </cfRule>
    <cfRule type="expression" dxfId="3452" priority="3455" stopIfTrue="1">
      <formula>$R524&lt;4</formula>
    </cfRule>
  </conditionalFormatting>
  <conditionalFormatting sqref="A524:AG532">
    <cfRule type="expression" priority="3453" stopIfTrue="1">
      <formula>$R524&gt;4</formula>
    </cfRule>
  </conditionalFormatting>
  <conditionalFormatting sqref="S383 S373:S376 S385:S387 S378:S381 T253:V253">
    <cfRule type="expression" dxfId="3451" priority="3449">
      <formula>$X253:$X599="Penting"</formula>
    </cfRule>
    <cfRule type="expression" dxfId="3450" priority="3450">
      <formula>$R253:$R599=""</formula>
    </cfRule>
    <cfRule type="expression" dxfId="3449" priority="3451">
      <formula>$R253:$R599&lt;=0</formula>
    </cfRule>
    <cfRule type="expression" dxfId="3448" priority="3452">
      <formula>$R253:$R599&lt;4</formula>
    </cfRule>
  </conditionalFormatting>
  <conditionalFormatting sqref="AS442:AT442 S408:S452">
    <cfRule type="expression" dxfId="3447" priority="3445">
      <formula>$X408:$X748="Penting"</formula>
    </cfRule>
    <cfRule type="expression" dxfId="3446" priority="3446">
      <formula>$R408:$R748=""</formula>
    </cfRule>
    <cfRule type="expression" dxfId="3445" priority="3447">
      <formula>$R408:$R748&lt;=0</formula>
    </cfRule>
    <cfRule type="expression" dxfId="3444" priority="3448">
      <formula>$R408:$R748&lt;4</formula>
    </cfRule>
  </conditionalFormatting>
  <conditionalFormatting sqref="AS412:AT412 S157 AD157:AM157 Q157 W157:Z157 B157:F157 AO157:AR157">
    <cfRule type="expression" dxfId="3443" priority="3441">
      <formula>$X157:$X468="Penting"</formula>
    </cfRule>
    <cfRule type="expression" dxfId="3442" priority="3442">
      <formula>$R157:$R468=""</formula>
    </cfRule>
    <cfRule type="expression" dxfId="3441" priority="3443">
      <formula>$R157:$R468&lt;=0</formula>
    </cfRule>
    <cfRule type="expression" dxfId="3440" priority="3444">
      <formula>$R157:$R468&lt;4</formula>
    </cfRule>
  </conditionalFormatting>
  <conditionalFormatting sqref="AS409:AT409 AS393:AT397 A255:A372 D167:O168 Q167:Q168 R150:R152 B167:B168 R154:R156 AA191:AC192 AO168:AR168 R147:R148 AD167:AR167 Y167:Z167 AD168:AM168">
    <cfRule type="expression" dxfId="3439" priority="3437">
      <formula>$X147:$X453="Penting"</formula>
    </cfRule>
    <cfRule type="expression" dxfId="3438" priority="3438">
      <formula>$R147:$R453=""</formula>
    </cfRule>
    <cfRule type="expression" dxfId="3437" priority="3439">
      <formula>$R147:$R453&lt;=0</formula>
    </cfRule>
    <cfRule type="expression" dxfId="3436" priority="3440">
      <formula>$R147:$R453&lt;4</formula>
    </cfRule>
  </conditionalFormatting>
  <conditionalFormatting sqref="AS437:AT437 AS271:AT282">
    <cfRule type="expression" dxfId="3435" priority="3433">
      <formula>$X271:$X605="Penting"</formula>
    </cfRule>
    <cfRule type="expression" dxfId="3434" priority="3434">
      <formula>$R271:$R605=""</formula>
    </cfRule>
    <cfRule type="expression" dxfId="3433" priority="3435">
      <formula>$R271:$R605&lt;=0</formula>
    </cfRule>
    <cfRule type="expression" dxfId="3432" priority="3436">
      <formula>$R271:$R605&lt;4</formula>
    </cfRule>
  </conditionalFormatting>
  <conditionalFormatting sqref="S521:S522 AS428:AT430">
    <cfRule type="expression" dxfId="3431" priority="3429">
      <formula>$X428:$X751="Penting"</formula>
    </cfRule>
    <cfRule type="expression" dxfId="3430" priority="3430">
      <formula>$R428:$R751=""</formula>
    </cfRule>
    <cfRule type="expression" dxfId="3429" priority="3431">
      <formula>$R428:$R751&lt;=0</formula>
    </cfRule>
    <cfRule type="expression" dxfId="3428" priority="3432">
      <formula>$R428:$R751&lt;4</formula>
    </cfRule>
  </conditionalFormatting>
  <conditionalFormatting sqref="AS433:AT433 AS304:AT313">
    <cfRule type="expression" dxfId="3427" priority="3425">
      <formula>$X304:$X632="Penting"</formula>
    </cfRule>
    <cfRule type="expression" dxfId="3426" priority="3426">
      <formula>$R304:$R632=""</formula>
    </cfRule>
    <cfRule type="expression" dxfId="3425" priority="3427">
      <formula>$R304:$R632&lt;=0</formula>
    </cfRule>
    <cfRule type="expression" dxfId="3424" priority="3428">
      <formula>$R304:$R632&lt;4</formula>
    </cfRule>
  </conditionalFormatting>
  <conditionalFormatting sqref="B453:S459 AE509:AE517 W453:Z510 AE505:AR507 B509:Q511 AF509:AR511 S509:S511 R509:R517 B463:S499 B460:O462 Q460:S462 B505:S508 B500:O504 Q500:S504 AD509:AD510 AD453:AR504 AD508:AR508">
    <cfRule type="expression" dxfId="3423" priority="3421">
      <formula>$X453:$X678="Penting"</formula>
    </cfRule>
    <cfRule type="expression" dxfId="3422" priority="3422">
      <formula>$R453:$R678=""</formula>
    </cfRule>
    <cfRule type="expression" dxfId="3421" priority="3423">
      <formula>$R453:$R678&lt;=0</formula>
    </cfRule>
    <cfRule type="expression" dxfId="3420" priority="3424">
      <formula>$R453:$R678&lt;4</formula>
    </cfRule>
  </conditionalFormatting>
  <conditionalFormatting sqref="P370:X370 J370 B368:I369 K365:O366 B365:B367 D365:I366 S364:Y364 AD364:AR369 Y365:Y366 D364:O364 B371:E372 G371:G372 K368:O369 K367:M367 D367:E367 G367:I367 Y368:Y369">
    <cfRule type="expression" dxfId="3419" priority="3420">
      <formula>$R364:$R677="End"</formula>
    </cfRule>
  </conditionalFormatting>
  <conditionalFormatting sqref="T521:V522 Z296:Z299 Z289:Z293 AA289:AA290 AA298:AA299 Q251:Q252 S251:S252 AD251:AR252 B251:O252 W251:Z252 P196:P200 H199:H200 Y178:Z178 AD201:AE201">
    <cfRule type="expression" dxfId="3418" priority="3416">
      <formula>$X178:$X460="Penting"</formula>
    </cfRule>
    <cfRule type="expression" dxfId="3417" priority="3417">
      <formula>$R178:$R460=""</formula>
    </cfRule>
    <cfRule type="expression" dxfId="3416" priority="3418">
      <formula>$R178:$R460&lt;=0</formula>
    </cfRule>
    <cfRule type="expression" dxfId="3415" priority="3419">
      <formula>$R178:$R460&lt;4</formula>
    </cfRule>
  </conditionalFormatting>
  <conditionalFormatting sqref="B370:I370 Y370:Z371 K370:O372 F371:F372 H371:I371 H372 AD370:AR372">
    <cfRule type="expression" dxfId="3414" priority="3415">
      <formula>$R370:$R682="End"</formula>
    </cfRule>
  </conditionalFormatting>
  <conditionalFormatting sqref="O399:O400 P357:P366 P351:P353 P368:P369">
    <cfRule type="expression" dxfId="3413" priority="3411">
      <formula>$X351:$X594="Penting"</formula>
    </cfRule>
    <cfRule type="expression" dxfId="3412" priority="3412">
      <formula>$R351:$R594=""</formula>
    </cfRule>
    <cfRule type="expression" dxfId="3411" priority="3413">
      <formula>$R351:$R594&lt;=0</formula>
    </cfRule>
    <cfRule type="expression" dxfId="3410" priority="3414">
      <formula>$R351:$R594&lt;4</formula>
    </cfRule>
  </conditionalFormatting>
  <conditionalFormatting sqref="P370:X370 J370 B368:I369 K365:O366 B365:B367 D365:I366 S364:Y364 AD364:AR369 Y365:Y366 D364:O364 B371:E372 G371:G372 K368:O369 K367:M367 D367:E367 G367:I367 Y368:Y369">
    <cfRule type="expression" dxfId="3409" priority="3410" stopIfTrue="1">
      <formula>$R364:$R677="Cancel"</formula>
    </cfRule>
  </conditionalFormatting>
  <conditionalFormatting sqref="O390">
    <cfRule type="expression" dxfId="3408" priority="3406">
      <formula>$X390:$X636="Penting"</formula>
    </cfRule>
    <cfRule type="expression" dxfId="3407" priority="3407">
      <formula>$R390:$R636=""</formula>
    </cfRule>
    <cfRule type="expression" dxfId="3406" priority="3408">
      <formula>$R390:$R636&lt;=0</formula>
    </cfRule>
    <cfRule type="expression" dxfId="3405" priority="3409">
      <formula>$R390:$R636&lt;4</formula>
    </cfRule>
  </conditionalFormatting>
  <conditionalFormatting sqref="B370:I370 Y370:Z371 K370:O372 F371:F372 H371:I371 H372 AD370:AR372">
    <cfRule type="expression" dxfId="3404" priority="3405" stopIfTrue="1">
      <formula>$R370:$R682="Cancel"</formula>
    </cfRule>
  </conditionalFormatting>
  <conditionalFormatting sqref="B389:E389 S389:Y389 AG389:AR389 G389:M389 AD389:AE389">
    <cfRule type="expression" dxfId="3403" priority="3404">
      <formula>$R389:$R717="End"</formula>
    </cfRule>
  </conditionalFormatting>
  <conditionalFormatting sqref="Q389 S389:Y389 AG389:AR389 G389:M389 AD389:AE389">
    <cfRule type="expression" dxfId="3402" priority="3403" stopIfTrue="1">
      <formula>$R389:$R717="Cancel"</formula>
    </cfRule>
  </conditionalFormatting>
  <conditionalFormatting sqref="P325 P331:P334 P323 P339 P341:P348 Q289:Q294 B289:O293 G294:O294 N296:O299 S294:Z294 S290:X293 AD289:AR294 S289:Y289 B294:E294">
    <cfRule type="expression" dxfId="3401" priority="3402">
      <formula>$R289:$R616="End"</formula>
    </cfRule>
  </conditionalFormatting>
  <conditionalFormatting sqref="P325 P331:P334 P323 P339 P341:P348 Q289:Q294 B289:O293 G294:O294 N296:O299 S294:Z294 S290:X293 AD289:AR294 S289:Y289 B294:E294">
    <cfRule type="expression" dxfId="3400" priority="3401" stopIfTrue="1">
      <formula>$R289:$R616="Cancel"</formula>
    </cfRule>
  </conditionalFormatting>
  <conditionalFormatting sqref="B453:Z459 B509:Q510 AE509:AE517 B505:Z508 AE505:AR507 AF509:AR511 S509:Z511 R509:R517 B463:Z499 B460:O462 Q460:Z462 B500:O504 Q500:Z504 AD509:AD510 AD453:AR504 AD508:AR508">
    <cfRule type="expression" dxfId="3399" priority="3400">
      <formula>$R453:$R743="End"</formula>
    </cfRule>
  </conditionalFormatting>
  <conditionalFormatting sqref="B453:Z459 B509:Q510 AE509:AE517 B505:Z508 AE505:AR507 AF509:AR511 S509:Z511 R509:R517 B463:Z499 B460:O462 Q460:Z462 B500:O504 Q500:Z504 AD509:AD510 AD453:AR504 AD508:AR508">
    <cfRule type="expression" dxfId="3398" priority="3399" stopIfTrue="1">
      <formula>$R453:$R743="Cancel"</formula>
    </cfRule>
  </conditionalFormatting>
  <conditionalFormatting sqref="S411 Q411 B411 B412:S412 B438:B439 Q438:Q439 S438:S439 E439:M439 B420 B421:S421 Q413:Q414 S413:S414 B434:S434 B413:O414 B410:S410 B422:O422 Q422 B429:O433 B428:S428 B437:S437 B423:Q423 B415:S415 B408:O409 B435:O436 Q435:Q436 S435:S436 B416:O419 Q416:Q420 S416:S420 Q429:Q433 S429:S433 Q424:Q427 S422:S427 B424:O427 W421:Z421 AD420:AN420 W410:Z410 AP420:AR420 B440:S441 B443:S443 B442:Q442 S442 B448:S449 B445:Q447 S444:S447 B451:S451 B450:Q450 S450 B452:Q452 S452 B444:N444 P444:Q444 W415:Z415 W414:X414 W416:X420 W426:Y426 W422:X425 W428:Z428 W427:X427 W434:Z434 W429:X433 W437:Z437 W435:X436 W440:Z441 W438:X439 W443:Z443 W442:X442 W448:Z449 W444:X447 W451:Z451 W450:X450 W452:X452 AD408:AR419 AD421:AR452 W412:Z413 W411:Y411 Q408:Q409 S408:S409 W408:X409">
    <cfRule type="expression" dxfId="3397" priority="3395">
      <formula>$X408:$X642="Penting"</formula>
    </cfRule>
    <cfRule type="expression" dxfId="3396" priority="3396">
      <formula>$R408:$R642=""</formula>
    </cfRule>
    <cfRule type="expression" dxfId="3395" priority="3397">
      <formula>$R408:$R642&lt;=0</formula>
    </cfRule>
    <cfRule type="expression" dxfId="3394" priority="3398">
      <formula>$R408:$R642&lt;4</formula>
    </cfRule>
  </conditionalFormatting>
  <conditionalFormatting sqref="T516:V520">
    <cfRule type="expression" dxfId="3393" priority="3391">
      <formula>$X516:$X804="Penting"</formula>
    </cfRule>
    <cfRule type="expression" dxfId="3392" priority="3392">
      <formula>$R516:$R804=""</formula>
    </cfRule>
    <cfRule type="expression" dxfId="3391" priority="3393">
      <formula>$R516:$R804&lt;=0</formula>
    </cfRule>
    <cfRule type="expression" dxfId="3390" priority="3394">
      <formula>$R516:$R804&lt;4</formula>
    </cfRule>
  </conditionalFormatting>
  <conditionalFormatting sqref="T357:Z357 B356:N357 B354:Z354 B355:O355 Q355 S353:Z353 S355:Z356 S351:Y352 B351:O353 Q351:Q353 AD351:AR357">
    <cfRule type="expression" dxfId="3389" priority="3390">
      <formula>$R351:$R667="End"</formula>
    </cfRule>
  </conditionalFormatting>
  <conditionalFormatting sqref="T357:Z357 B356:N357 B354:Z354 B355:O355 Q355 S353:Z353 S355:Z356 S351:Y352 B351:O353 Q351:Q353 AD351:AR357">
    <cfRule type="expression" dxfId="3388" priority="3389" stopIfTrue="1">
      <formula>$R351:$R667="Cancel"</formula>
    </cfRule>
  </conditionalFormatting>
  <conditionalFormatting sqref="A398:A522 R168:R169 R175:R176">
    <cfRule type="expression" dxfId="3387" priority="3385">
      <formula>$X168:$X471="Penting"</formula>
    </cfRule>
    <cfRule type="expression" dxfId="3386" priority="3386">
      <formula>$R168:$R471=""</formula>
    </cfRule>
    <cfRule type="expression" dxfId="3385" priority="3387">
      <formula>$R168:$R471&lt;=0</formula>
    </cfRule>
    <cfRule type="expression" dxfId="3384" priority="3388">
      <formula>$R168:$R471&lt;4</formula>
    </cfRule>
  </conditionalFormatting>
  <conditionalFormatting sqref="S362:X362 AO363:AR363 J366:J369 P367:Q367 E358:O358 D363:G363 O356:R356 D359:O362 O357 Q359:Z359 Q368:Q369 Q357:Q358 S358:Y358 S363:Y363 Q360:Q366 S361:Z361 AD363:AL363 AD358:AR362 S360:Y360 B358:B363 S365:X369 S371:X371 S372">
    <cfRule type="expression" dxfId="3383" priority="3384">
      <formula>$R356:$R670="End"</formula>
    </cfRule>
  </conditionalFormatting>
  <conditionalFormatting sqref="S362:X362 AO363:AR363 J366:J369 P367:Q367 E358:O358 D363:G363 O356:R356 D359:O362 O357 Q359:Z359 Q368:Q369 Q357:Q358 S358:Y358 S363:Y363 Q360:Q366 S361:Z361 AD363:AL363 AD358:AR362 S360:Y360 B358:B363 S365:X369 S371:X371 S372">
    <cfRule type="expression" dxfId="3382" priority="3383" stopIfTrue="1">
      <formula>$R356:$R670="Cancel"</formula>
    </cfRule>
  </conditionalFormatting>
  <conditionalFormatting sqref="H363:O363">
    <cfRule type="expression" dxfId="3381" priority="3382">
      <formula>$R363:$R677="End"</formula>
    </cfRule>
  </conditionalFormatting>
  <conditionalFormatting sqref="H363:O363">
    <cfRule type="expression" dxfId="3380" priority="3381" stopIfTrue="1">
      <formula>$R363:$R677="Cancel"</formula>
    </cfRule>
  </conditionalFormatting>
  <conditionalFormatting sqref="B294:E294 Q289:Q294 S289:S294 B289:O293 G294:O294 N296:O299 W294:Z294 W290:X293 W289:Y289 AD289:AR294 P235 C235:D235">
    <cfRule type="expression" dxfId="3379" priority="3377">
      <formula>$X235:$X497="Penting"</formula>
    </cfRule>
    <cfRule type="expression" dxfId="3378" priority="3378">
      <formula>$R235:$R497=""</formula>
    </cfRule>
    <cfRule type="expression" dxfId="3377" priority="3379">
      <formula>$R235:$R497&lt;=0</formula>
    </cfRule>
    <cfRule type="expression" dxfId="3376" priority="3380">
      <formula>$R235:$R497&lt;4</formula>
    </cfRule>
  </conditionalFormatting>
  <conditionalFormatting sqref="B364">
    <cfRule type="expression" dxfId="3375" priority="3376">
      <formula>$R364:$R677="End"</formula>
    </cfRule>
  </conditionalFormatting>
  <conditionalFormatting sqref="B364">
    <cfRule type="expression" dxfId="3374" priority="3375" stopIfTrue="1">
      <formula>$R364:$R677="Cancel"</formula>
    </cfRule>
  </conditionalFormatting>
  <conditionalFormatting sqref="AM363:AN363">
    <cfRule type="expression" dxfId="3373" priority="3374">
      <formula>$R363:$R677="End"</formula>
    </cfRule>
  </conditionalFormatting>
  <conditionalFormatting sqref="AM363:AN363">
    <cfRule type="expression" dxfId="3372" priority="3373" stopIfTrue="1">
      <formula>$R363:$R677="Cancel"</formula>
    </cfRule>
  </conditionalFormatting>
  <conditionalFormatting sqref="B521:O522 W521:Z522 Q521:S522 AD521:AR522">
    <cfRule type="expression" dxfId="3371" priority="3369">
      <formula>$X521:$X738="Penting"</formula>
    </cfRule>
    <cfRule type="expression" dxfId="3370" priority="3370">
      <formula>$R521:$R738=""</formula>
    </cfRule>
    <cfRule type="expression" dxfId="3369" priority="3371">
      <formula>$R521:$R738&lt;=0</formula>
    </cfRule>
    <cfRule type="expression" dxfId="3368" priority="3372">
      <formula>$R521:$R738&lt;4</formula>
    </cfRule>
  </conditionalFormatting>
  <conditionalFormatting sqref="B521:O522 Q521:Z522 AD521:AR522">
    <cfRule type="expression" dxfId="3367" priority="3368">
      <formula>$R521:$R803="End"</formula>
    </cfRule>
  </conditionalFormatting>
  <conditionalFormatting sqref="B521:O522 Q521:Z522 AD521:AR522">
    <cfRule type="expression" dxfId="3366" priority="3367" stopIfTrue="1">
      <formula>$R521:$R803="Cancel"</formula>
    </cfRule>
  </conditionalFormatting>
  <conditionalFormatting sqref="T515:V515">
    <cfRule type="expression" dxfId="3365" priority="3363">
      <formula>$X515:$X803="Penting"</formula>
    </cfRule>
    <cfRule type="expression" dxfId="3364" priority="3364">
      <formula>$R515:$R803=""</formula>
    </cfRule>
    <cfRule type="expression" dxfId="3363" priority="3365">
      <formula>$R515:$R803&lt;=0</formula>
    </cfRule>
    <cfRule type="expression" dxfId="3362" priority="3366">
      <formula>$R515:$R803&lt;4</formula>
    </cfRule>
  </conditionalFormatting>
  <conditionalFormatting sqref="AS410:AT411 B158:O159 Q158:S159 W158:Z159 C161:C166 S162:S166 AD158:AR159 W162:X166 G157">
    <cfRule type="expression" dxfId="3361" priority="3359">
      <formula>$X157:$X467="Penting"</formula>
    </cfRule>
    <cfRule type="expression" dxfId="3360" priority="3360">
      <formula>$R157:$R467=""</formula>
    </cfRule>
    <cfRule type="expression" dxfId="3359" priority="3361">
      <formula>$R157:$R467&lt;=0</formula>
    </cfRule>
    <cfRule type="expression" dxfId="3358" priority="3362">
      <formula>$R157:$R467&lt;4</formula>
    </cfRule>
  </conditionalFormatting>
  <conditionalFormatting sqref="AS403:AT406 T373:V387 A373:A397 R161:R166 P147:P154">
    <cfRule type="expression" dxfId="3357" priority="3355">
      <formula>$X147:$X452="Penting"</formula>
    </cfRule>
    <cfRule type="expression" dxfId="3356" priority="3356">
      <formula>$R147:$R452=""</formula>
    </cfRule>
    <cfRule type="expression" dxfId="3355" priority="3357">
      <formula>$R147:$R452&lt;=0</formula>
    </cfRule>
    <cfRule type="expression" dxfId="3354" priority="3358">
      <formula>$R147:$R452&lt;4</formula>
    </cfRule>
  </conditionalFormatting>
  <conditionalFormatting sqref="AS434:AT436 S515:S520 AS300:AT303">
    <cfRule type="expression" dxfId="3353" priority="3351">
      <formula>$X300:$X629="Penting"</formula>
    </cfRule>
    <cfRule type="expression" dxfId="3352" priority="3352">
      <formula>$R300:$R629=""</formula>
    </cfRule>
    <cfRule type="expression" dxfId="3351" priority="3353">
      <formula>$R300:$R629&lt;=0</formula>
    </cfRule>
    <cfRule type="expression" dxfId="3350" priority="3354">
      <formula>$R300:$R629&lt;4</formula>
    </cfRule>
  </conditionalFormatting>
  <conditionalFormatting sqref="W511:Z511">
    <cfRule type="expression" dxfId="3349" priority="3347">
      <formula>$X511:$X736="Penting"</formula>
    </cfRule>
    <cfRule type="expression" dxfId="3348" priority="3348">
      <formula>$R511:$R736=""</formula>
    </cfRule>
    <cfRule type="expression" dxfId="3347" priority="3349">
      <formula>$R511:$R736&lt;=0</formula>
    </cfRule>
    <cfRule type="expression" dxfId="3346" priority="3350">
      <formula>$R511:$R736&lt;4</formula>
    </cfRule>
  </conditionalFormatting>
  <conditionalFormatting sqref="B511:Q511">
    <cfRule type="expression" dxfId="3345" priority="3346">
      <formula>$R511:$R801="End"</formula>
    </cfRule>
  </conditionalFormatting>
  <conditionalFormatting sqref="B511:Q511">
    <cfRule type="expression" dxfId="3344" priority="3345" stopIfTrue="1">
      <formula>$R511:$R801="Cancel"</formula>
    </cfRule>
  </conditionalFormatting>
  <conditionalFormatting sqref="T512:V514 AA256:AC263">
    <cfRule type="expression" dxfId="3343" priority="3341">
      <formula>$X256:$X545="Penting"</formula>
    </cfRule>
    <cfRule type="expression" dxfId="3342" priority="3342">
      <formula>$R256:$R545=""</formula>
    </cfRule>
    <cfRule type="expression" dxfId="3341" priority="3343">
      <formula>$R256:$R545&lt;=0</formula>
    </cfRule>
    <cfRule type="expression" dxfId="3340" priority="3344">
      <formula>$R256:$R545&lt;4</formula>
    </cfRule>
  </conditionalFormatting>
  <conditionalFormatting sqref="W512:Z514 B512:Q514 S512:S514 AF512:AR514 AD511:AD514">
    <cfRule type="expression" dxfId="3339" priority="3337">
      <formula>$X511:$X735="Penting"</formula>
    </cfRule>
    <cfRule type="expression" dxfId="3338" priority="3338">
      <formula>$R511:$R735=""</formula>
    </cfRule>
    <cfRule type="expression" dxfId="3337" priority="3339">
      <formula>$R511:$R735&lt;=0</formula>
    </cfRule>
    <cfRule type="expression" dxfId="3336" priority="3340">
      <formula>$R511:$R735&lt;4</formula>
    </cfRule>
  </conditionalFormatting>
  <conditionalFormatting sqref="B512:Q514 S512:Z514 AF512:AR514 AD511:AD514">
    <cfRule type="expression" dxfId="3335" priority="3336">
      <formula>$R511:$R800="End"</formula>
    </cfRule>
  </conditionalFormatting>
  <conditionalFormatting sqref="B512:Q514 S512:Z514 AF512:AR514 AD511:AD514">
    <cfRule type="expression" dxfId="3334" priority="3335" stopIfTrue="1">
      <formula>$R511:$R800="Cancel"</formula>
    </cfRule>
  </conditionalFormatting>
  <conditionalFormatting sqref="B354:S354 B356:N357 B355:O355 Q355 S355:S356 W353:Z357 W351:Y352 B351:O353 Q351:Q353 S351:S353 AD351:AR357 P300:P303 W350:X350">
    <cfRule type="expression" dxfId="3333" priority="3331">
      <formula>$X300:$X551="Penting"</formula>
    </cfRule>
    <cfRule type="expression" dxfId="3332" priority="3332">
      <formula>$R300:$R551=""</formula>
    </cfRule>
    <cfRule type="expression" dxfId="3331" priority="3333">
      <formula>$R300:$R551&lt;=0</formula>
    </cfRule>
    <cfRule type="expression" dxfId="3330" priority="3334">
      <formula>$R300:$R551&lt;4</formula>
    </cfRule>
  </conditionalFormatting>
  <conditionalFormatting sqref="P388">
    <cfRule type="expression" dxfId="3329" priority="3330">
      <formula>$R388:$R709="End"</formula>
    </cfRule>
  </conditionalFormatting>
  <conditionalFormatting sqref="P388">
    <cfRule type="expression" dxfId="3328" priority="3329" stopIfTrue="1">
      <formula>$R388:$R709="Cancel"</formula>
    </cfRule>
  </conditionalFormatting>
  <conditionalFormatting sqref="J365">
    <cfRule type="expression" dxfId="3327" priority="3328">
      <formula>$R365:$R679="End"</formula>
    </cfRule>
  </conditionalFormatting>
  <conditionalFormatting sqref="J365">
    <cfRule type="expression" dxfId="3326" priority="3327" stopIfTrue="1">
      <formula>$R365:$R679="Cancel"</formula>
    </cfRule>
  </conditionalFormatting>
  <conditionalFormatting sqref="AS441:AT441 AS264:AT265">
    <cfRule type="expression" dxfId="3325" priority="3323">
      <formula>$X264:$X603="Penting"</formula>
    </cfRule>
    <cfRule type="expression" dxfId="3324" priority="3324">
      <formula>$R264:$R603=""</formula>
    </cfRule>
    <cfRule type="expression" dxfId="3323" priority="3325">
      <formula>$R264:$R603&lt;=0</formula>
    </cfRule>
    <cfRule type="expression" dxfId="3322" priority="3326">
      <formula>$R264:$R603&lt;4</formula>
    </cfRule>
  </conditionalFormatting>
  <conditionalFormatting sqref="Q411 B411 S411:Y411 B438:B439 Q438:Q439 E439:M439 B420 B412:Z412 B421:Z421 Q413:Q414 S413:Z413 B434:Z434 B413:O414 B410:Z410 B422:O422 Q422 B429:O433 B428:Z428 B437:Z437 B423:Q423 B415:Z415 B408:O409 B435:O436 Q435:Q436 B416:O419 Q416:Q420 Q429:Q433 Q424:Q427 S426:Y426 B424:O427 AD420:AN420 AP420:AR420 B440:Z441 B443:Z443 B442:Q442 S442:X442 B448:Z449 B445:Q447 B451:Z451 B450:Q450 S450:X450 B452:Q452 S452:X452 B444:N444 P444:Q444 S414:X414 S416:X420 S422:X425 S427:X427 S429:X433 S435:X436 S438:X439 S444:X447 AD421:AR452 AD408:AR419 Q408:Q409 S408:X409">
    <cfRule type="expression" dxfId="3321" priority="3322">
      <formula>$R408:$R707="End"</formula>
    </cfRule>
  </conditionalFormatting>
  <conditionalFormatting sqref="Q411 B411 S411:Y411 B438:B439 Q438:Q439 E439:M439 B420 B412:Z412 B421:Z421 Q413:Q414 S413:Z413 B434:Z434 B413:O414 B410:Z410 B422:O422 Q422 B429:O433 B428:Z428 B437:Z437 B423:Q423 B415:Z415 B408:O409 B435:O436 Q435:Q436 B416:O419 Q416:Q420 Q429:Q433 Q424:Q427 S426:Y426 B424:O427 AD420:AN420 AP420:AR420 B440:Z441 B443:Z443 B442:Q442 S442:X442 B448:Z449 B445:Q447 B451:Z451 B450:Q450 S450:X450 B452:Q452 S452:X452 B444:N444 P444:Q444 S414:X414 S416:X420 S422:X425 S427:X427 S429:X433 S435:X436 S438:X439 S444:X447 AD421:AR452 AD408:AR419 Q408:Q409 S408:X409">
    <cfRule type="expression" dxfId="3320" priority="3321" stopIfTrue="1">
      <formula>$R408:$R707="Cancel"</formula>
    </cfRule>
  </conditionalFormatting>
  <conditionalFormatting sqref="I212:M212 R331:R334 R336:R338 R341:R343 R345:R347 P212 H209 P201 C209:D209 C212:G212 M209 P209">
    <cfRule type="expression" dxfId="3319" priority="3317">
      <formula>$X201:$X468="Penting"</formula>
    </cfRule>
    <cfRule type="expression" dxfId="3318" priority="3318">
      <formula>$R201:$R468=""</formula>
    </cfRule>
    <cfRule type="expression" dxfId="3317" priority="3319">
      <formula>$R201:$R468&lt;=0</formula>
    </cfRule>
    <cfRule type="expression" dxfId="3316" priority="3320">
      <formula>$R201:$R468&lt;4</formula>
    </cfRule>
  </conditionalFormatting>
  <conditionalFormatting sqref="AS422:AT423 T314:V320 AS349:AT350">
    <cfRule type="expression" dxfId="3315" priority="3313">
      <formula>$X314:$X634="Penting"</formula>
    </cfRule>
    <cfRule type="expression" dxfId="3314" priority="3314">
      <formula>$R314:$R634=""</formula>
    </cfRule>
    <cfRule type="expression" dxfId="3313" priority="3315">
      <formula>$R314:$R634&lt;=0</formula>
    </cfRule>
    <cfRule type="expression" dxfId="3312" priority="3316">
      <formula>$R314:$R634&lt;4</formula>
    </cfRule>
  </conditionalFormatting>
  <conditionalFormatting sqref="AS424:AT425 AS351:AT354 AS321:AT348">
    <cfRule type="expression" dxfId="3311" priority="3309">
      <formula>$X321:$X642="Penting"</formula>
    </cfRule>
    <cfRule type="expression" dxfId="3310" priority="3310">
      <formula>$R321:$R642=""</formula>
    </cfRule>
    <cfRule type="expression" dxfId="3309" priority="3311">
      <formula>$R321:$R642&lt;=0</formula>
    </cfRule>
    <cfRule type="expression" dxfId="3308" priority="3312">
      <formula>$R321:$R642&lt;4</formula>
    </cfRule>
  </conditionalFormatting>
  <conditionalFormatting sqref="P337 P331:P334 P323 P339 P341:P348 L259:L263 P325">
    <cfRule type="expression" dxfId="3307" priority="3305">
      <formula>$X259:$X504="Penting"</formula>
    </cfRule>
    <cfRule type="expression" dxfId="3306" priority="3306">
      <formula>$R259:$R504=""</formula>
    </cfRule>
    <cfRule type="expression" dxfId="3305" priority="3307">
      <formula>$R259:$R504&lt;=0</formula>
    </cfRule>
    <cfRule type="expression" dxfId="3304" priority="3308">
      <formula>$R259:$R504&lt;4</formula>
    </cfRule>
  </conditionalFormatting>
  <conditionalFormatting sqref="B314 B318:O320 D314:O314 B315:M317 Q314:Q319 S318:Z318 AD314:AR320 S314:Y317 S319:Y320 P390">
    <cfRule type="expression" dxfId="3303" priority="3304">
      <formula>$R314:$R634="End"</formula>
    </cfRule>
  </conditionalFormatting>
  <conditionalFormatting sqref="D314:O314 B318:O320 B315:M317 B314 Q314:Q319 W318:Z318 AD314:AR320 W314:Y317 S314:S320 W319:Y320">
    <cfRule type="expression" dxfId="3302" priority="3300">
      <formula>$X314:$X569="Penting"</formula>
    </cfRule>
    <cfRule type="expression" dxfId="3301" priority="3301">
      <formula>$R314:$R569=""</formula>
    </cfRule>
    <cfRule type="expression" dxfId="3300" priority="3302">
      <formula>$R314:$R569&lt;=0</formula>
    </cfRule>
    <cfRule type="expression" dxfId="3299" priority="3303">
      <formula>$R314:$R569&lt;4</formula>
    </cfRule>
  </conditionalFormatting>
  <conditionalFormatting sqref="B314 B318:O320 D314:O314 B315:M317 Q314:Q319 S318:Z318 AD314:AR320 S314:Y317 S319:Y320 P390">
    <cfRule type="expression" dxfId="3298" priority="3299" stopIfTrue="1">
      <formula>$R314:$R634="Cancel"</formula>
    </cfRule>
  </conditionalFormatting>
  <conditionalFormatting sqref="B383:D383 S373:S376 B385:E385 B384 B377:G377 H383 M383 S383 AG383:AR383 AG378:AR378 B386:D386 AH386:AR386 B373:B376 B378:B382 D384:M384 B387:B388 D387:E387 S378:S381 Q375:Q384 D380:N380 I377:M377 D373:M376 Q373 P373:P384 AP388:AR388 S385:S387 W382:Z382 P385:Q387 Y388 D379:M379 D381:M382 G385:M385 G387:M387 AD379:AR382 AD386:AE386 AD373:AR377 AD384:AR385 AD378:AE378 AD387:AR387 AD383:AE383 W373:Y381 W383:Y387">
    <cfRule type="expression" dxfId="3297" priority="3295">
      <formula>$X373:$X613="Penting"</formula>
    </cfRule>
    <cfRule type="expression" dxfId="3296" priority="3296">
      <formula>$R373:$R613=""</formula>
    </cfRule>
    <cfRule type="expression" dxfId="3295" priority="3297">
      <formula>$R373:$R613&lt;=0</formula>
    </cfRule>
    <cfRule type="expression" dxfId="3294" priority="3298">
      <formula>$R373:$R613&lt;4</formula>
    </cfRule>
  </conditionalFormatting>
  <conditionalFormatting sqref="B383:D383 T382:Z382 B385:E385 B384 B377:G377 H383 M383 S383:Y383 AG383:AR383 AG378:AR378 B386:D386 AH386:AR386 B373:B376 B378:B382 D384:M384 B387:B388 D387:E387 Q375:Q384 Q386:Q387 D380:N380 I377:M377 D373:M376 Q373 AP388:AR388 T377:Y377 T384:Y384 S373:Y376 S385:Y387 S378:Y381 P385:Q385 Y388 D379:M379 D381:M382 G385:M385 G387:M387 AD386:AE386 AD378:AE378 AD373:AR377 AD384:AR385 AD387:AR387 AD383:AE383 AD379:AR382">
    <cfRule type="expression" dxfId="3293" priority="3294">
      <formula>$R373:$R678="End"</formula>
    </cfRule>
  </conditionalFormatting>
  <conditionalFormatting sqref="B383:D383 T382:Z382 B385:E385 B384 B377:G377 H383 M383 S383:Y383 AG383:AR383 AG378:AR378 B386:D386 AH386:AR386 B373:B376 B378:B382 D384:M384 B387:B388 D387:E387 Q375:Q384 Q386:Q387 D380:N380 I377:M377 D373:M376 Q373 AP388:AR388 T377:Y377 T384:Y384 S373:Y376 S385:Y387 S378:Y381 P385:Q385 Y388 D379:M379 D381:M382 G385:M385 G387:M387 AD386:AE386 AD378:AE378 AD373:AR377 AD384:AR385 AD387:AR387 AD383:AE383 AD379:AR382">
    <cfRule type="expression" dxfId="3292" priority="3293" stopIfTrue="1">
      <formula>$R373:$R678="Cancel"</formula>
    </cfRule>
  </conditionalFormatting>
  <conditionalFormatting sqref="P288 P295:P299 AF298:AF299 C264">
    <cfRule type="expression" dxfId="3291" priority="3292">
      <formula>$R264:$R598="End"</formula>
    </cfRule>
  </conditionalFormatting>
  <conditionalFormatting sqref="P288 P295:P299 AF298:AF299 C264">
    <cfRule type="expression" dxfId="3290" priority="3291" stopIfTrue="1">
      <formula>$R264:$R598="Cancel"</formula>
    </cfRule>
  </conditionalFormatting>
  <conditionalFormatting sqref="S364 S370">
    <cfRule type="expression" dxfId="3289" priority="3287">
      <formula>$X364:$X718="Penting"</formula>
    </cfRule>
    <cfRule type="expression" dxfId="3288" priority="3288">
      <formula>$R364:$R718=""</formula>
    </cfRule>
    <cfRule type="expression" dxfId="3287" priority="3289">
      <formula>$R364:$R718&lt;=0</formula>
    </cfRule>
    <cfRule type="expression" dxfId="3286" priority="3290">
      <formula>$R364:$R718&lt;4</formula>
    </cfRule>
  </conditionalFormatting>
  <conditionalFormatting sqref="B321:S321 B326:S328 B325:O325 Q325 B335:S335 B331:O334 B323:O323 Q322:S322 B329:O329 Q329 Q344:S344 B322:N322 B330:S330 B336:O339 B324:S324 B340:S340 Q323 S323 S325 S329 Q331:Q334 S331:S334 Q336:Q339 S336:S339 Q341:Q343 S341:S343 Q345:Q348 S345:S348 B341:O348 AD321:AR348 P289:P294 Y349:Z350 W321:Z348">
    <cfRule type="expression" dxfId="3285" priority="3283">
      <formula>$X289:$X542="Penting"</formula>
    </cfRule>
    <cfRule type="expression" dxfId="3284" priority="3284">
      <formula>$R289:$R542=""</formula>
    </cfRule>
    <cfRule type="expression" dxfId="3283" priority="3285">
      <formula>$R289:$R542&lt;=0</formula>
    </cfRule>
    <cfRule type="expression" dxfId="3282" priority="3286">
      <formula>$R289:$R542&lt;4</formula>
    </cfRule>
  </conditionalFormatting>
  <conditionalFormatting sqref="Q374">
    <cfRule type="expression" dxfId="3281" priority="3279">
      <formula>$X374:$X614="Penting"</formula>
    </cfRule>
    <cfRule type="expression" dxfId="3280" priority="3280">
      <formula>$R374:$R614=""</formula>
    </cfRule>
    <cfRule type="expression" dxfId="3279" priority="3281">
      <formula>$R374:$R614&lt;=0</formula>
    </cfRule>
    <cfRule type="expression" dxfId="3278" priority="3282">
      <formula>$R374:$R614&lt;4</formula>
    </cfRule>
  </conditionalFormatting>
  <conditionalFormatting sqref="Q374">
    <cfRule type="expression" dxfId="3277" priority="3278">
      <formula>$R374:$R679="End"</formula>
    </cfRule>
  </conditionalFormatting>
  <conditionalFormatting sqref="Q374">
    <cfRule type="expression" dxfId="3276" priority="3277" stopIfTrue="1">
      <formula>$R374:$R679="Cancel"</formula>
    </cfRule>
  </conditionalFormatting>
  <conditionalFormatting sqref="W307:Y307 W304:Z306 W308:Z311 S304:S312 B304:O311 AD304:AR313 Q304:Q313 W312:Y313 P268:P270 B313:O313 B312:E312 G312:M312">
    <cfRule type="expression" dxfId="3275" priority="3273">
      <formula>$X268:$X527="Penting"</formula>
    </cfRule>
    <cfRule type="expression" dxfId="3274" priority="3274">
      <formula>$R268:$R527=""</formula>
    </cfRule>
    <cfRule type="expression" dxfId="3273" priority="3275">
      <formula>$R268:$R527&lt;=0</formula>
    </cfRule>
    <cfRule type="expression" dxfId="3272" priority="3276">
      <formula>$R268:$R527&lt;4</formula>
    </cfRule>
  </conditionalFormatting>
  <conditionalFormatting sqref="R404:R405 R398:R402">
    <cfRule type="expression" dxfId="3271" priority="3269">
      <formula>$X398:$X657="Penting"</formula>
    </cfRule>
    <cfRule type="expression" dxfId="3270" priority="3270">
      <formula>$R398:$R657=""</formula>
    </cfRule>
    <cfRule type="expression" dxfId="3269" priority="3271">
      <formula>$R398:$R657&lt;=0</formula>
    </cfRule>
    <cfRule type="expression" dxfId="3268" priority="3272">
      <formula>$R398:$R657&lt;4</formula>
    </cfRule>
  </conditionalFormatting>
  <conditionalFormatting sqref="S382">
    <cfRule type="expression" dxfId="3267" priority="3265">
      <formula>$X382:$X728="Penting"</formula>
    </cfRule>
    <cfRule type="expression" dxfId="3266" priority="3266">
      <formula>$R382:$R728=""</formula>
    </cfRule>
    <cfRule type="expression" dxfId="3265" priority="3267">
      <formula>$R382:$R728&lt;=0</formula>
    </cfRule>
    <cfRule type="expression" dxfId="3264" priority="3268">
      <formula>$R382:$R728&lt;4</formula>
    </cfRule>
  </conditionalFormatting>
  <conditionalFormatting sqref="S382">
    <cfRule type="expression" dxfId="3263" priority="3261">
      <formula>$X382:$X622="Penting"</formula>
    </cfRule>
    <cfRule type="expression" dxfId="3262" priority="3262">
      <formula>$R382:$R622=""</formula>
    </cfRule>
    <cfRule type="expression" dxfId="3261" priority="3263">
      <formula>$R382:$R622&lt;=0</formula>
    </cfRule>
    <cfRule type="expression" dxfId="3260" priority="3264">
      <formula>$R382:$R622&lt;4</formula>
    </cfRule>
  </conditionalFormatting>
  <conditionalFormatting sqref="S382">
    <cfRule type="expression" dxfId="3259" priority="3260">
      <formula>$R382:$R687="End"</formula>
    </cfRule>
  </conditionalFormatting>
  <conditionalFormatting sqref="S382">
    <cfRule type="expression" dxfId="3258" priority="3259" stopIfTrue="1">
      <formula>$R382:$R687="Cancel"</formula>
    </cfRule>
  </conditionalFormatting>
  <conditionalFormatting sqref="S384">
    <cfRule type="expression" dxfId="3257" priority="3255">
      <formula>$X384:$X730="Penting"</formula>
    </cfRule>
    <cfRule type="expression" dxfId="3256" priority="3256">
      <formula>$R384:$R730=""</formula>
    </cfRule>
    <cfRule type="expression" dxfId="3255" priority="3257">
      <formula>$R384:$R730&lt;=0</formula>
    </cfRule>
    <cfRule type="expression" dxfId="3254" priority="3258">
      <formula>$R384:$R730&lt;4</formula>
    </cfRule>
  </conditionalFormatting>
  <conditionalFormatting sqref="S384">
    <cfRule type="expression" dxfId="3253" priority="3251">
      <formula>$X384:$X624="Penting"</formula>
    </cfRule>
    <cfRule type="expression" dxfId="3252" priority="3252">
      <formula>$R384:$R624=""</formula>
    </cfRule>
    <cfRule type="expression" dxfId="3251" priority="3253">
      <formula>$R384:$R624&lt;=0</formula>
    </cfRule>
    <cfRule type="expression" dxfId="3250" priority="3254">
      <formula>$R384:$R624&lt;4</formula>
    </cfRule>
  </conditionalFormatting>
  <conditionalFormatting sqref="S384">
    <cfRule type="expression" dxfId="3249" priority="3250">
      <formula>$R384:$R689="End"</formula>
    </cfRule>
  </conditionalFormatting>
  <conditionalFormatting sqref="S384">
    <cfRule type="expression" dxfId="3248" priority="3249" stopIfTrue="1">
      <formula>$R384:$R689="Cancel"</formula>
    </cfRule>
  </conditionalFormatting>
  <conditionalFormatting sqref="S377">
    <cfRule type="expression" dxfId="3247" priority="3245">
      <formula>$X377:$X723="Penting"</formula>
    </cfRule>
    <cfRule type="expression" dxfId="3246" priority="3246">
      <formula>$R377:$R723=""</formula>
    </cfRule>
    <cfRule type="expression" dxfId="3245" priority="3247">
      <formula>$R377:$R723&lt;=0</formula>
    </cfRule>
    <cfRule type="expression" dxfId="3244" priority="3248">
      <formula>$R377:$R723&lt;4</formula>
    </cfRule>
  </conditionalFormatting>
  <conditionalFormatting sqref="S377">
    <cfRule type="expression" dxfId="3243" priority="3241">
      <formula>$X377:$X617="Penting"</formula>
    </cfRule>
    <cfRule type="expression" dxfId="3242" priority="3242">
      <formula>$R377:$R617=""</formula>
    </cfRule>
    <cfRule type="expression" dxfId="3241" priority="3243">
      <formula>$R377:$R617&lt;=0</formula>
    </cfRule>
    <cfRule type="expression" dxfId="3240" priority="3244">
      <formula>$R377:$R617&lt;4</formula>
    </cfRule>
  </conditionalFormatting>
  <conditionalFormatting sqref="S377">
    <cfRule type="expression" dxfId="3239" priority="3240">
      <formula>$R377:$R682="End"</formula>
    </cfRule>
  </conditionalFormatting>
  <conditionalFormatting sqref="S377">
    <cfRule type="expression" dxfId="3238" priority="3239" stopIfTrue="1">
      <formula>$R377:$R682="Cancel"</formula>
    </cfRule>
  </conditionalFormatting>
  <conditionalFormatting sqref="P398 P400:P401 P405 AD349:AR350 B350:I350 K350:N350 B349:O349 S349:X349">
    <cfRule type="expression" dxfId="3237" priority="3238">
      <formula>$R349:$R666="End"</formula>
    </cfRule>
  </conditionalFormatting>
  <conditionalFormatting sqref="P398 P400:P401 P405 AD349:AR350 B350:I350 K350:N350 B349:O349 S349:X349">
    <cfRule type="expression" dxfId="3236" priority="3237" stopIfTrue="1">
      <formula>$R349:$R666="Cancel"</formula>
    </cfRule>
  </conditionalFormatting>
  <conditionalFormatting sqref="O380">
    <cfRule type="expression" dxfId="3235" priority="3236">
      <formula>$R380:$R700="End"</formula>
    </cfRule>
  </conditionalFormatting>
  <conditionalFormatting sqref="O380">
    <cfRule type="expression" dxfId="3234" priority="3235" stopIfTrue="1">
      <formula>$R380:$R700="Cancel"</formula>
    </cfRule>
  </conditionalFormatting>
  <conditionalFormatting sqref="D264:O264 R289:R294 W264:Z264 AD264:AR265 B264 Q264:S264 F265:O265 Y265:Z265 P248:P250 AB373:AC381 AA390:AC391 AB383:AC389 AA394:AC396 AB392:AC393 AA382:AC382">
    <cfRule type="expression" dxfId="3233" priority="3231">
      <formula>$X248:$X520="Penting"</formula>
    </cfRule>
    <cfRule type="expression" dxfId="3232" priority="3232">
      <formula>$R248:$R520=""</formula>
    </cfRule>
    <cfRule type="expression" dxfId="3231" priority="3233">
      <formula>$R248:$R520&lt;=0</formula>
    </cfRule>
    <cfRule type="expression" dxfId="3230" priority="3234">
      <formula>$R248:$R520&lt;4</formula>
    </cfRule>
  </conditionalFormatting>
  <conditionalFormatting sqref="E383:G383">
    <cfRule type="expression" dxfId="3229" priority="3230">
      <formula>$R383:$R697="End"</formula>
    </cfRule>
  </conditionalFormatting>
  <conditionalFormatting sqref="E383:G383">
    <cfRule type="expression" dxfId="3228" priority="3229" stopIfTrue="1">
      <formula>$R383:$R697="Cancel"</formula>
    </cfRule>
  </conditionalFormatting>
  <conditionalFormatting sqref="E383:G383">
    <cfRule type="expression" dxfId="3227" priority="3225">
      <formula>$X383:$X626="Penting"</formula>
    </cfRule>
    <cfRule type="expression" dxfId="3226" priority="3226">
      <formula>$R383:$R626=""</formula>
    </cfRule>
    <cfRule type="expression" dxfId="3225" priority="3227">
      <formula>$R383:$R626&lt;=0</formula>
    </cfRule>
    <cfRule type="expression" dxfId="3224" priority="3228">
      <formula>$R383:$R626&lt;4</formula>
    </cfRule>
  </conditionalFormatting>
  <conditionalFormatting sqref="I383:L383">
    <cfRule type="expression" dxfId="3223" priority="3224">
      <formula>$R383:$R697="End"</formula>
    </cfRule>
  </conditionalFormatting>
  <conditionalFormatting sqref="I383:L383">
    <cfRule type="expression" dxfId="3222" priority="3223" stopIfTrue="1">
      <formula>$R383:$R697="Cancel"</formula>
    </cfRule>
  </conditionalFormatting>
  <conditionalFormatting sqref="I383:L383">
    <cfRule type="expression" dxfId="3221" priority="3219">
      <formula>$X383:$X626="Penting"</formula>
    </cfRule>
    <cfRule type="expression" dxfId="3220" priority="3220">
      <formula>$R383:$R626=""</formula>
    </cfRule>
    <cfRule type="expression" dxfId="3219" priority="3221">
      <formula>$R383:$R626&lt;=0</formula>
    </cfRule>
    <cfRule type="expression" dxfId="3218" priority="3222">
      <formula>$R383:$R626&lt;4</formula>
    </cfRule>
  </conditionalFormatting>
  <conditionalFormatting sqref="B273:S273 R351:R353 R360:R369 B271:O272 Q271:S272 Q275:S276 W271:Z282 B274:O282 Q277:Q279 S277:S279 Q281:Q282 S281:S282 AD271:AR282 Q284:Q285 AD284:AR287 B284:B287 D286:N286 D287:O287 D284:O285 Q274 W285:Z286 S284:S287 S274 Q280:S280 P255:P256 P258 G240 E235:M235 R371:R372">
    <cfRule type="expression" dxfId="3217" priority="3215">
      <formula>$X235:$X501="Penting"</formula>
    </cfRule>
    <cfRule type="expression" dxfId="3216" priority="3216">
      <formula>$R235:$R501=""</formula>
    </cfRule>
    <cfRule type="expression" dxfId="3215" priority="3217">
      <formula>$R235:$R501&lt;=0</formula>
    </cfRule>
    <cfRule type="expression" dxfId="3214" priority="3218">
      <formula>$R235:$R501&lt;4</formula>
    </cfRule>
  </conditionalFormatting>
  <conditionalFormatting sqref="AF383">
    <cfRule type="expression" dxfId="3213" priority="3214">
      <formula>$R383:$R697="End"</formula>
    </cfRule>
  </conditionalFormatting>
  <conditionalFormatting sqref="AF383">
    <cfRule type="expression" dxfId="3212" priority="3213" stopIfTrue="1">
      <formula>$R383:$R697="Cancel"</formula>
    </cfRule>
  </conditionalFormatting>
  <conditionalFormatting sqref="AF383">
    <cfRule type="expression" dxfId="3211" priority="3209">
      <formula>$X383:$X626="Penting"</formula>
    </cfRule>
    <cfRule type="expression" dxfId="3210" priority="3210">
      <formula>$R383:$R626=""</formula>
    </cfRule>
    <cfRule type="expression" dxfId="3209" priority="3211">
      <formula>$R383:$R626&lt;=0</formula>
    </cfRule>
    <cfRule type="expression" dxfId="3208" priority="3212">
      <formula>$R383:$R626&lt;4</formula>
    </cfRule>
  </conditionalFormatting>
  <conditionalFormatting sqref="H378">
    <cfRule type="expression" dxfId="3207" priority="3208">
      <formula>$R378:$R692="End"</formula>
    </cfRule>
  </conditionalFormatting>
  <conditionalFormatting sqref="H378">
    <cfRule type="expression" dxfId="3206" priority="3207" stopIfTrue="1">
      <formula>$R378:$R692="Cancel"</formula>
    </cfRule>
  </conditionalFormatting>
  <conditionalFormatting sqref="H378">
    <cfRule type="expression" dxfId="3205" priority="3203">
      <formula>$X378:$X621="Penting"</formula>
    </cfRule>
    <cfRule type="expression" dxfId="3204" priority="3204">
      <formula>$R378:$R621=""</formula>
    </cfRule>
    <cfRule type="expression" dxfId="3203" priority="3205">
      <formula>$R378:$R621&lt;=0</formula>
    </cfRule>
    <cfRule type="expression" dxfId="3202" priority="3206">
      <formula>$R378:$R621&lt;4</formula>
    </cfRule>
  </conditionalFormatting>
  <conditionalFormatting sqref="C378:G378">
    <cfRule type="expression" dxfId="3201" priority="3202">
      <formula>$R378:$R692="End"</formula>
    </cfRule>
  </conditionalFormatting>
  <conditionalFormatting sqref="C378:G378">
    <cfRule type="expression" dxfId="3200" priority="3201" stopIfTrue="1">
      <formula>$R378:$R692="Cancel"</formula>
    </cfRule>
  </conditionalFormatting>
  <conditionalFormatting sqref="C378:G378">
    <cfRule type="expression" dxfId="3199" priority="3197">
      <formula>$X378:$X621="Penting"</formula>
    </cfRule>
    <cfRule type="expression" dxfId="3198" priority="3198">
      <formula>$R378:$R621=""</formula>
    </cfRule>
    <cfRule type="expression" dxfId="3197" priority="3199">
      <formula>$R378:$R621&lt;=0</formula>
    </cfRule>
    <cfRule type="expression" dxfId="3196" priority="3200">
      <formula>$R378:$R621&lt;4</formula>
    </cfRule>
  </conditionalFormatting>
  <conditionalFormatting sqref="I378:M378">
    <cfRule type="expression" dxfId="3195" priority="3196">
      <formula>$R378:$R692="End"</formula>
    </cfRule>
  </conditionalFormatting>
  <conditionalFormatting sqref="I378:M378">
    <cfRule type="expression" dxfId="3194" priority="3195" stopIfTrue="1">
      <formula>$R378:$R692="Cancel"</formula>
    </cfRule>
  </conditionalFormatting>
  <conditionalFormatting sqref="I378:M378">
    <cfRule type="expression" dxfId="3193" priority="3191">
      <formula>$X378:$X621="Penting"</formula>
    </cfRule>
    <cfRule type="expression" dxfId="3192" priority="3192">
      <formula>$R378:$R621=""</formula>
    </cfRule>
    <cfRule type="expression" dxfId="3191" priority="3193">
      <formula>$R378:$R621&lt;=0</formula>
    </cfRule>
    <cfRule type="expression" dxfId="3190" priority="3194">
      <formula>$R378:$R621&lt;4</formula>
    </cfRule>
  </conditionalFormatting>
  <conditionalFormatting sqref="AF378">
    <cfRule type="expression" dxfId="3189" priority="3190">
      <formula>$R378:$R692="End"</formula>
    </cfRule>
  </conditionalFormatting>
  <conditionalFormatting sqref="AF378">
    <cfRule type="expression" dxfId="3188" priority="3189" stopIfTrue="1">
      <formula>$R378:$R692="Cancel"</formula>
    </cfRule>
  </conditionalFormatting>
  <conditionalFormatting sqref="AF378">
    <cfRule type="expression" dxfId="3187" priority="3185">
      <formula>$X378:$X621="Penting"</formula>
    </cfRule>
    <cfRule type="expression" dxfId="3186" priority="3186">
      <formula>$R378:$R621=""</formula>
    </cfRule>
    <cfRule type="expression" dxfId="3185" priority="3187">
      <formula>$R378:$R621&lt;=0</formula>
    </cfRule>
    <cfRule type="expression" dxfId="3184" priority="3188">
      <formula>$R378:$R621&lt;4</formula>
    </cfRule>
  </conditionalFormatting>
  <conditionalFormatting sqref="E386:G386">
    <cfRule type="expression" dxfId="3183" priority="3184">
      <formula>$R386:$R700="End"</formula>
    </cfRule>
  </conditionalFormatting>
  <conditionalFormatting sqref="E386:G386">
    <cfRule type="expression" dxfId="3182" priority="3183" stopIfTrue="1">
      <formula>$R386:$R700="Cancel"</formula>
    </cfRule>
  </conditionalFormatting>
  <conditionalFormatting sqref="E386:G386 P349">
    <cfRule type="expression" dxfId="3181" priority="3179">
      <formula>$X349:$X593="Penting"</formula>
    </cfRule>
    <cfRule type="expression" dxfId="3180" priority="3180">
      <formula>$R349:$R593=""</formula>
    </cfRule>
    <cfRule type="expression" dxfId="3179" priority="3181">
      <formula>$R349:$R593&lt;=0</formula>
    </cfRule>
    <cfRule type="expression" dxfId="3178" priority="3182">
      <formula>$R349:$R593&lt;4</formula>
    </cfRule>
  </conditionalFormatting>
  <conditionalFormatting sqref="I386:M386">
    <cfRule type="expression" dxfId="3177" priority="3178">
      <formula>$R386:$R700="End"</formula>
    </cfRule>
  </conditionalFormatting>
  <conditionalFormatting sqref="I386:M386">
    <cfRule type="expression" dxfId="3176" priority="3177" stopIfTrue="1">
      <formula>$R386:$R700="Cancel"</formula>
    </cfRule>
  </conditionalFormatting>
  <conditionalFormatting sqref="I386:M386">
    <cfRule type="expression" dxfId="3175" priority="3173">
      <formula>$X386:$X630="Penting"</formula>
    </cfRule>
    <cfRule type="expression" dxfId="3174" priority="3174">
      <formula>$R386:$R630=""</formula>
    </cfRule>
    <cfRule type="expression" dxfId="3173" priority="3175">
      <formula>$R386:$R630&lt;=0</formula>
    </cfRule>
    <cfRule type="expression" dxfId="3172" priority="3176">
      <formula>$R386:$R630&lt;4</formula>
    </cfRule>
  </conditionalFormatting>
  <conditionalFormatting sqref="AF386:AG386">
    <cfRule type="expression" dxfId="3171" priority="3172">
      <formula>$R386:$R700="End"</formula>
    </cfRule>
  </conditionalFormatting>
  <conditionalFormatting sqref="AF386:AG386">
    <cfRule type="expression" dxfId="3170" priority="3171" stopIfTrue="1">
      <formula>$R386:$R700="Cancel"</formula>
    </cfRule>
  </conditionalFormatting>
  <conditionalFormatting sqref="AF386:AG386">
    <cfRule type="expression" dxfId="3169" priority="3167">
      <formula>$X386:$X630="Penting"</formula>
    </cfRule>
    <cfRule type="expression" dxfId="3168" priority="3168">
      <formula>$R386:$R630=""</formula>
    </cfRule>
    <cfRule type="expression" dxfId="3167" priority="3169">
      <formula>$R386:$R630&lt;=0</formula>
    </cfRule>
    <cfRule type="expression" dxfId="3166" priority="3170">
      <formula>$R386:$R630&lt;4</formula>
    </cfRule>
  </conditionalFormatting>
  <conditionalFormatting sqref="I209:L209 R301:R302 Q268:Q270 B268:O270 S268:S270 AD268:AR270 W268:Z270 P251:P252 C201:M201">
    <cfRule type="expression" dxfId="3165" priority="3163">
      <formula>$X201:$X471="Penting"</formula>
    </cfRule>
    <cfRule type="expression" dxfId="3164" priority="3164">
      <formula>$R201:$R471=""</formula>
    </cfRule>
    <cfRule type="expression" dxfId="3163" priority="3165">
      <formula>$R201:$R471&lt;=0</formula>
    </cfRule>
    <cfRule type="expression" dxfId="3162" priority="3166">
      <formula>$R201:$R471&lt;4</formula>
    </cfRule>
  </conditionalFormatting>
  <conditionalFormatting sqref="O390 P391:P396">
    <cfRule type="expression" dxfId="3161" priority="3162">
      <formula>$R390:$R709="End"</formula>
    </cfRule>
  </conditionalFormatting>
  <conditionalFormatting sqref="O390 P391:P396">
    <cfRule type="expression" dxfId="3160" priority="3161" stopIfTrue="1">
      <formula>$R390:$R709="Cancel"</formula>
    </cfRule>
  </conditionalFormatting>
  <conditionalFormatting sqref="H386">
    <cfRule type="expression" dxfId="3159" priority="3160">
      <formula>$R386:$R700="End"</formula>
    </cfRule>
  </conditionalFormatting>
  <conditionalFormatting sqref="H386">
    <cfRule type="expression" dxfId="3158" priority="3159" stopIfTrue="1">
      <formula>$R386:$R700="Cancel"</formula>
    </cfRule>
  </conditionalFormatting>
  <conditionalFormatting sqref="H386">
    <cfRule type="expression" dxfId="3157" priority="3155">
      <formula>$X386:$X630="Penting"</formula>
    </cfRule>
    <cfRule type="expression" dxfId="3156" priority="3156">
      <formula>$R386:$R630=""</formula>
    </cfRule>
    <cfRule type="expression" dxfId="3155" priority="3157">
      <formula>$R386:$R630&lt;=0</formula>
    </cfRule>
    <cfRule type="expression" dxfId="3154" priority="3158">
      <formula>$R386:$R630&lt;4</formula>
    </cfRule>
  </conditionalFormatting>
  <conditionalFormatting sqref="B389:E389 R373:R388 Q389 S389 AG389:AR389 G389:M389 AD389:AE389">
    <cfRule type="expression" dxfId="3153" priority="3151">
      <formula>$X373:$X636="Penting"</formula>
    </cfRule>
    <cfRule type="expression" dxfId="3152" priority="3152">
      <formula>$R373:$R636=""</formula>
    </cfRule>
    <cfRule type="expression" dxfId="3151" priority="3153">
      <formula>$R373:$R636&lt;=0</formula>
    </cfRule>
    <cfRule type="expression" dxfId="3150" priority="3154">
      <formula>$R373:$R636&lt;4</formula>
    </cfRule>
  </conditionalFormatting>
  <conditionalFormatting sqref="P253 R304:R313">
    <cfRule type="expression" dxfId="3149" priority="3150">
      <formula>$R253:$R604="End"</formula>
    </cfRule>
  </conditionalFormatting>
  <conditionalFormatting sqref="P253 R304:R313">
    <cfRule type="expression" dxfId="3148" priority="3149" stopIfTrue="1">
      <formula>$R253:$R604="Cancel"</formula>
    </cfRule>
  </conditionalFormatting>
  <conditionalFormatting sqref="E438:M438">
    <cfRule type="expression" dxfId="3147" priority="3148">
      <formula>$R438:$R746="End"</formula>
    </cfRule>
  </conditionalFormatting>
  <conditionalFormatting sqref="E438:M438">
    <cfRule type="expression" dxfId="3146" priority="3147" stopIfTrue="1">
      <formula>$R438:$R746="Cancel"</formula>
    </cfRule>
  </conditionalFormatting>
  <conditionalFormatting sqref="E438:M438">
    <cfRule type="expression" dxfId="3145" priority="3143">
      <formula>$X438:$X681="Penting"</formula>
    </cfRule>
    <cfRule type="expression" dxfId="3144" priority="3144">
      <formula>$R438:$R681=""</formula>
    </cfRule>
    <cfRule type="expression" dxfId="3143" priority="3145">
      <formula>$R438:$R681&lt;=0</formula>
    </cfRule>
    <cfRule type="expression" dxfId="3142" priority="3146">
      <formula>$R438:$R681&lt;4</formula>
    </cfRule>
  </conditionalFormatting>
  <conditionalFormatting sqref="W138:Z138 AS358:AT362 Q136:S140 B136:O140 W137:Y137 R135 W140:Z140 W139:Y139 W141:Y141 B141:G141 AD138:AR138 AD137:AM137 AO137:AR137 AD140:AR140 AD139:AM139 AO139:AR139 AD141:AM141 AO141:AR141 AD136:AR136 I141:O141 W136:Z136 S141">
    <cfRule type="expression" dxfId="3141" priority="3139">
      <formula>$X135:$X452="Penting"</formula>
    </cfRule>
    <cfRule type="expression" dxfId="3140" priority="3140">
      <formula>$R135:$R452=""</formula>
    </cfRule>
    <cfRule type="expression" dxfId="3139" priority="3141">
      <formula>$R135:$R452&lt;=0</formula>
    </cfRule>
    <cfRule type="expression" dxfId="3138" priority="3142">
      <formula>$R135:$R452&lt;4</formula>
    </cfRule>
  </conditionalFormatting>
  <conditionalFormatting sqref="R408:R409">
    <cfRule type="expression" dxfId="3137" priority="3135">
      <formula>$X408:$X666="Penting"</formula>
    </cfRule>
    <cfRule type="expression" dxfId="3136" priority="3136">
      <formula>$R408:$R666=""</formula>
    </cfRule>
    <cfRule type="expression" dxfId="3135" priority="3137">
      <formula>$R408:$R666&lt;=0</formula>
    </cfRule>
    <cfRule type="expression" dxfId="3134" priority="3138">
      <formula>$R408:$R666&lt;4</formula>
    </cfRule>
  </conditionalFormatting>
  <conditionalFormatting sqref="AA398:AC401">
    <cfRule type="expression" dxfId="3133" priority="3131">
      <formula>$X398:$X668="Penting"</formula>
    </cfRule>
    <cfRule type="expression" dxfId="3132" priority="3132">
      <formula>$R398:$R668=""</formula>
    </cfRule>
    <cfRule type="expression" dxfId="3131" priority="3133">
      <formula>$R398:$R668&lt;=0</formula>
    </cfRule>
    <cfRule type="expression" dxfId="3130" priority="3134">
      <formula>$R398:$R668&lt;4</formula>
    </cfRule>
  </conditionalFormatting>
  <conditionalFormatting sqref="C264 N245:O245 N235:O235 R304:R313">
    <cfRule type="expression" dxfId="3129" priority="3127">
      <formula>$X235:$X504="Penting"</formula>
    </cfRule>
    <cfRule type="expression" dxfId="3128" priority="3128">
      <formula>$R235:$R504=""</formula>
    </cfRule>
    <cfRule type="expression" dxfId="3127" priority="3129">
      <formula>$R235:$R504&lt;=0</formula>
    </cfRule>
    <cfRule type="expression" dxfId="3126" priority="3130">
      <formula>$R235:$R504&lt;4</formula>
    </cfRule>
  </conditionalFormatting>
  <conditionalFormatting sqref="AC318 Z362:Z369 Z351:Z352 AB314:AC317 AA313:AB313 AC320 AB319:AC319 Z360 AA368:AA369 B226:O227 W232:X233 AD226:AR233 C249:D252 B228:N229 B231:N233 W226:X229 W231:Y231 Y209 AF193:AO194 O194:O195 X193:Z193 O193:S193 Y194:Z194 AO195 Z226 C240:D240 S226:S233 Q226:Q233 B230:O230 C234 Y245 F178:O178 W230:Z230">
    <cfRule type="expression" dxfId="3125" priority="3123">
      <formula>$X178:$X455="Penting"</formula>
    </cfRule>
    <cfRule type="expression" dxfId="3124" priority="3124">
      <formula>$R178:$R455=""</formula>
    </cfRule>
    <cfRule type="expression" dxfId="3123" priority="3125">
      <formula>$R178:$R455&lt;=0</formula>
    </cfRule>
    <cfRule type="expression" dxfId="3122" priority="3126">
      <formula>$R178:$R455&lt;4</formula>
    </cfRule>
  </conditionalFormatting>
  <conditionalFormatting sqref="AC350 AA321:AC349 R266:R270 C251:D254">
    <cfRule type="expression" dxfId="3121" priority="3119">
      <formula>$X251:$X527="Penting"</formula>
    </cfRule>
    <cfRule type="expression" dxfId="3120" priority="3120">
      <formula>$R251:$R527=""</formula>
    </cfRule>
    <cfRule type="expression" dxfId="3119" priority="3121">
      <formula>$R251:$R527&lt;=0</formula>
    </cfRule>
    <cfRule type="expression" dxfId="3118" priority="3122">
      <formula>$R251:$R527&lt;4</formula>
    </cfRule>
  </conditionalFormatting>
  <conditionalFormatting sqref="C314">
    <cfRule type="expression" dxfId="3117" priority="3115">
      <formula>$X314:$X570="Penting"</formula>
    </cfRule>
    <cfRule type="expression" dxfId="3116" priority="3116">
      <formula>$R314:$R570=""</formula>
    </cfRule>
    <cfRule type="expression" dxfId="3115" priority="3117">
      <formula>$R314:$R570&lt;=0</formula>
    </cfRule>
    <cfRule type="expression" dxfId="3114" priority="3118">
      <formula>$R314:$R570&lt;4</formula>
    </cfRule>
  </conditionalFormatting>
  <conditionalFormatting sqref="C314">
    <cfRule type="expression" dxfId="3113" priority="3114">
      <formula>$R314:$R635="End"</formula>
    </cfRule>
  </conditionalFormatting>
  <conditionalFormatting sqref="C314">
    <cfRule type="expression" dxfId="3112" priority="3113" stopIfTrue="1">
      <formula>$R314:$R635="Cancel"</formula>
    </cfRule>
  </conditionalFormatting>
  <conditionalFormatting sqref="S357">
    <cfRule type="expression" dxfId="3111" priority="3112">
      <formula>$R357:$R671="End"</formula>
    </cfRule>
  </conditionalFormatting>
  <conditionalFormatting sqref="S357">
    <cfRule type="expression" dxfId="3110" priority="3111" stopIfTrue="1">
      <formula>$R357:$R671="Cancel"</formula>
    </cfRule>
  </conditionalFormatting>
  <conditionalFormatting sqref="W359:Z359 J365:J369 O356:R356 B358:B363 E358:O358 D359:O363 Q359:S359 O357 Q368:Q369 S365:S369 W363:Y363 W362:X362 Q357:Q358 S357:S358 Q360:Q366 S360:S363 AD358:AR363 W358:Y358 W361:Z361 W360:Y360 P367:Q367 W365:X369 S371:S372 W371:X371">
    <cfRule type="expression" dxfId="3109" priority="3107">
      <formula>$X356:$X605="Penting"</formula>
    </cfRule>
    <cfRule type="expression" dxfId="3108" priority="3108">
      <formula>$R356:$R605=""</formula>
    </cfRule>
    <cfRule type="expression" dxfId="3107" priority="3109">
      <formula>$R356:$R605&lt;=0</formula>
    </cfRule>
    <cfRule type="expression" dxfId="3106" priority="3110">
      <formula>$R356:$R605&lt;4</formula>
    </cfRule>
  </conditionalFormatting>
  <conditionalFormatting sqref="C358:D358">
    <cfRule type="expression" dxfId="3105" priority="3103">
      <formula>$X358:$X609="Penting"</formula>
    </cfRule>
    <cfRule type="expression" dxfId="3104" priority="3104">
      <formula>$R358:$R609=""</formula>
    </cfRule>
    <cfRule type="expression" dxfId="3103" priority="3105">
      <formula>$R358:$R609&lt;=0</formula>
    </cfRule>
    <cfRule type="expression" dxfId="3102" priority="3106">
      <formula>$R358:$R609&lt;4</formula>
    </cfRule>
  </conditionalFormatting>
  <conditionalFormatting sqref="C358:D358">
    <cfRule type="expression" dxfId="3101" priority="3102">
      <formula>$R358:$R674="End"</formula>
    </cfRule>
  </conditionalFormatting>
  <conditionalFormatting sqref="C358:D358">
    <cfRule type="expression" dxfId="3100" priority="3101" stopIfTrue="1">
      <formula>$R358:$R674="Cancel"</formula>
    </cfRule>
  </conditionalFormatting>
  <conditionalFormatting sqref="C359">
    <cfRule type="expression" dxfId="3099" priority="3097">
      <formula>$X359:$X610="Penting"</formula>
    </cfRule>
    <cfRule type="expression" dxfId="3098" priority="3098">
      <formula>$R359:$R610=""</formula>
    </cfRule>
    <cfRule type="expression" dxfId="3097" priority="3099">
      <formula>$R359:$R610&lt;=0</formula>
    </cfRule>
    <cfRule type="expression" dxfId="3096" priority="3100">
      <formula>$R359:$R610&lt;4</formula>
    </cfRule>
  </conditionalFormatting>
  <conditionalFormatting sqref="C359">
    <cfRule type="expression" dxfId="3095" priority="3096">
      <formula>$R359:$R675="End"</formula>
    </cfRule>
  </conditionalFormatting>
  <conditionalFormatting sqref="C359">
    <cfRule type="expression" dxfId="3094" priority="3095" stopIfTrue="1">
      <formula>$R359:$R675="Cancel"</formula>
    </cfRule>
  </conditionalFormatting>
  <conditionalFormatting sqref="C360">
    <cfRule type="expression" dxfId="3093" priority="3091">
      <formula>$X360:$X611="Penting"</formula>
    </cfRule>
    <cfRule type="expression" dxfId="3092" priority="3092">
      <formula>$R360:$R611=""</formula>
    </cfRule>
    <cfRule type="expression" dxfId="3091" priority="3093">
      <formula>$R360:$R611&lt;=0</formula>
    </cfRule>
    <cfRule type="expression" dxfId="3090" priority="3094">
      <formula>$R360:$R611&lt;4</formula>
    </cfRule>
  </conditionalFormatting>
  <conditionalFormatting sqref="C360">
    <cfRule type="expression" dxfId="3089" priority="3090">
      <formula>$R360:$R676="End"</formula>
    </cfRule>
  </conditionalFormatting>
  <conditionalFormatting sqref="C360">
    <cfRule type="expression" dxfId="3088" priority="3089" stopIfTrue="1">
      <formula>$R360:$R676="Cancel"</formula>
    </cfRule>
  </conditionalFormatting>
  <conditionalFormatting sqref="C361">
    <cfRule type="expression" dxfId="3087" priority="3085">
      <formula>$X361:$X612="Penting"</formula>
    </cfRule>
    <cfRule type="expression" dxfId="3086" priority="3086">
      <formula>$R361:$R612=""</formula>
    </cfRule>
    <cfRule type="expression" dxfId="3085" priority="3087">
      <formula>$R361:$R612&lt;=0</formula>
    </cfRule>
    <cfRule type="expression" dxfId="3084" priority="3088">
      <formula>$R361:$R612&lt;4</formula>
    </cfRule>
  </conditionalFormatting>
  <conditionalFormatting sqref="C361">
    <cfRule type="expression" dxfId="3083" priority="3084">
      <formula>$R361:$R677="End"</formula>
    </cfRule>
  </conditionalFormatting>
  <conditionalFormatting sqref="C361">
    <cfRule type="expression" dxfId="3082" priority="3083" stopIfTrue="1">
      <formula>$R361:$R677="Cancel"</formula>
    </cfRule>
  </conditionalFormatting>
  <conditionalFormatting sqref="C362">
    <cfRule type="expression" dxfId="3081" priority="3079">
      <formula>$X362:$X613="Penting"</formula>
    </cfRule>
    <cfRule type="expression" dxfId="3080" priority="3080">
      <formula>$R362:$R613=""</formula>
    </cfRule>
    <cfRule type="expression" dxfId="3079" priority="3081">
      <formula>$R362:$R613&lt;=0</formula>
    </cfRule>
    <cfRule type="expression" dxfId="3078" priority="3082">
      <formula>$R362:$R613&lt;4</formula>
    </cfRule>
  </conditionalFormatting>
  <conditionalFormatting sqref="C362">
    <cfRule type="expression" dxfId="3077" priority="3078">
      <formula>$R362:$R678="End"</formula>
    </cfRule>
  </conditionalFormatting>
  <conditionalFormatting sqref="C362">
    <cfRule type="expression" dxfId="3076" priority="3077" stopIfTrue="1">
      <formula>$R362:$R678="Cancel"</formula>
    </cfRule>
  </conditionalFormatting>
  <conditionalFormatting sqref="C363">
    <cfRule type="expression" dxfId="3075" priority="3073">
      <formula>$X363:$X614="Penting"</formula>
    </cfRule>
    <cfRule type="expression" dxfId="3074" priority="3074">
      <formula>$R363:$R614=""</formula>
    </cfRule>
    <cfRule type="expression" dxfId="3073" priority="3075">
      <formula>$R363:$R614&lt;=0</formula>
    </cfRule>
    <cfRule type="expression" dxfId="3072" priority="3076">
      <formula>$R363:$R614&lt;4</formula>
    </cfRule>
  </conditionalFormatting>
  <conditionalFormatting sqref="C363">
    <cfRule type="expression" dxfId="3071" priority="3072">
      <formula>$R363:$R679="End"</formula>
    </cfRule>
  </conditionalFormatting>
  <conditionalFormatting sqref="C363">
    <cfRule type="expression" dxfId="3070" priority="3071" stopIfTrue="1">
      <formula>$R363:$R679="Cancel"</formula>
    </cfRule>
  </conditionalFormatting>
  <conditionalFormatting sqref="C364">
    <cfRule type="expression" dxfId="3069" priority="3067">
      <formula>$X364:$X615="Penting"</formula>
    </cfRule>
    <cfRule type="expression" dxfId="3068" priority="3068">
      <formula>$R364:$R615=""</formula>
    </cfRule>
    <cfRule type="expression" dxfId="3067" priority="3069">
      <formula>$R364:$R615&lt;=0</formula>
    </cfRule>
    <cfRule type="expression" dxfId="3066" priority="3070">
      <formula>$R364:$R615&lt;4</formula>
    </cfRule>
  </conditionalFormatting>
  <conditionalFormatting sqref="C364">
    <cfRule type="expression" dxfId="3065" priority="3066">
      <formula>$R364:$R680="End"</formula>
    </cfRule>
  </conditionalFormatting>
  <conditionalFormatting sqref="C364">
    <cfRule type="expression" dxfId="3064" priority="3065" stopIfTrue="1">
      <formula>$R364:$R680="Cancel"</formula>
    </cfRule>
  </conditionalFormatting>
  <conditionalFormatting sqref="C365">
    <cfRule type="expression" dxfId="3063" priority="3061">
      <formula>$X365:$X616="Penting"</formula>
    </cfRule>
    <cfRule type="expression" dxfId="3062" priority="3062">
      <formula>$R365:$R616=""</formula>
    </cfRule>
    <cfRule type="expression" dxfId="3061" priority="3063">
      <formula>$R365:$R616&lt;=0</formula>
    </cfRule>
    <cfRule type="expression" dxfId="3060" priority="3064">
      <formula>$R365:$R616&lt;4</formula>
    </cfRule>
  </conditionalFormatting>
  <conditionalFormatting sqref="C365">
    <cfRule type="expression" dxfId="3059" priority="3060">
      <formula>$R365:$R681="End"</formula>
    </cfRule>
  </conditionalFormatting>
  <conditionalFormatting sqref="C365">
    <cfRule type="expression" dxfId="3058" priority="3059" stopIfTrue="1">
      <formula>$R365:$R681="Cancel"</formula>
    </cfRule>
  </conditionalFormatting>
  <conditionalFormatting sqref="C366">
    <cfRule type="expression" dxfId="3057" priority="3055">
      <formula>$X366:$X617="Penting"</formula>
    </cfRule>
    <cfRule type="expression" dxfId="3056" priority="3056">
      <formula>$R366:$R617=""</formula>
    </cfRule>
    <cfRule type="expression" dxfId="3055" priority="3057">
      <formula>$R366:$R617&lt;=0</formula>
    </cfRule>
    <cfRule type="expression" dxfId="3054" priority="3058">
      <formula>$R366:$R617&lt;4</formula>
    </cfRule>
  </conditionalFormatting>
  <conditionalFormatting sqref="C366">
    <cfRule type="expression" dxfId="3053" priority="3054">
      <formula>$R366:$R682="End"</formula>
    </cfRule>
  </conditionalFormatting>
  <conditionalFormatting sqref="C366">
    <cfRule type="expression" dxfId="3052" priority="3053" stopIfTrue="1">
      <formula>$R366:$R682="Cancel"</formula>
    </cfRule>
  </conditionalFormatting>
  <conditionalFormatting sqref="C367">
    <cfRule type="expression" dxfId="3051" priority="3049">
      <formula>$X367:$X618="Penting"</formula>
    </cfRule>
    <cfRule type="expression" dxfId="3050" priority="3050">
      <formula>$R367:$R618=""</formula>
    </cfRule>
    <cfRule type="expression" dxfId="3049" priority="3051">
      <formula>$R367:$R618&lt;=0</formula>
    </cfRule>
    <cfRule type="expression" dxfId="3048" priority="3052">
      <formula>$R367:$R618&lt;4</formula>
    </cfRule>
  </conditionalFormatting>
  <conditionalFormatting sqref="C367">
    <cfRule type="expression" dxfId="3047" priority="3048">
      <formula>$R367:$R683="End"</formula>
    </cfRule>
  </conditionalFormatting>
  <conditionalFormatting sqref="C367">
    <cfRule type="expression" dxfId="3046" priority="3047" stopIfTrue="1">
      <formula>$R367:$R683="Cancel"</formula>
    </cfRule>
  </conditionalFormatting>
  <conditionalFormatting sqref="D286:N286 B271:O272 Q271:Z272 Q275:Z276 B274:O282 Q277:Q279 S277:Z279 Q281:Q282 S281:Z282 AD271:AR282 Q284:Q285 AD284:AR287 B284:B287 D287:O287 D284:O285 Q274 S284:Z286 S274:Z274 B273:Z273 Q280:Z280">
    <cfRule type="expression" dxfId="3045" priority="3046">
      <formula>$R271:$R602="End"</formula>
    </cfRule>
  </conditionalFormatting>
  <conditionalFormatting sqref="D286:N286 B271:O272 Q271:Z272 Q275:Z276 B274:O282 Q277:Q279 S277:Z279 Q281:Q282 S281:Z282 AD271:AR282 Q284:Q285 AD284:AR287 B284:B287 D287:O287 D284:O285 Q274 S284:Z286 S274:Z274 B273:Z273 Q280:Z280">
    <cfRule type="expression" dxfId="3044" priority="3045" stopIfTrue="1">
      <formula>$R271:$R602="Cancel"</formula>
    </cfRule>
  </conditionalFormatting>
  <conditionalFormatting sqref="C373 B368:I369 K365:O366 B364:B367 D365:I366 W364:Y364 AD364:AR369 Y365:Y366 D364:O364 W370:X370 J370 P370:S370 S364 B371:E372 G371:G372 K368:O369 K367:M367 D367:E367 G367:I367 Y368:Y369">
    <cfRule type="expression" dxfId="3043" priority="3041">
      <formula>$X364:$X612="Penting"</formula>
    </cfRule>
    <cfRule type="expression" dxfId="3042" priority="3042">
      <formula>$R364:$R612=""</formula>
    </cfRule>
    <cfRule type="expression" dxfId="3041" priority="3043">
      <formula>$R364:$R612&lt;=0</formula>
    </cfRule>
    <cfRule type="expression" dxfId="3040" priority="3044">
      <formula>$R364:$R612&lt;4</formula>
    </cfRule>
  </conditionalFormatting>
  <conditionalFormatting sqref="C373">
    <cfRule type="expression" dxfId="3039" priority="3040">
      <formula>$R373:$R686="End"</formula>
    </cfRule>
  </conditionalFormatting>
  <conditionalFormatting sqref="C373">
    <cfRule type="expression" dxfId="3038" priority="3039" stopIfTrue="1">
      <formula>$R373:$R686="Cancel"</formula>
    </cfRule>
  </conditionalFormatting>
  <conditionalFormatting sqref="C374">
    <cfRule type="expression" dxfId="3037" priority="3035">
      <formula>$X374:$X622="Penting"</formula>
    </cfRule>
    <cfRule type="expression" dxfId="3036" priority="3036">
      <formula>$R374:$R622=""</formula>
    </cfRule>
    <cfRule type="expression" dxfId="3035" priority="3037">
      <formula>$R374:$R622&lt;=0</formula>
    </cfRule>
    <cfRule type="expression" dxfId="3034" priority="3038">
      <formula>$R374:$R622&lt;4</formula>
    </cfRule>
  </conditionalFormatting>
  <conditionalFormatting sqref="C374">
    <cfRule type="expression" dxfId="3033" priority="3034">
      <formula>$R374:$R687="End"</formula>
    </cfRule>
  </conditionalFormatting>
  <conditionalFormatting sqref="C374">
    <cfRule type="expression" dxfId="3032" priority="3033" stopIfTrue="1">
      <formula>$R374:$R687="Cancel"</formula>
    </cfRule>
  </conditionalFormatting>
  <conditionalFormatting sqref="C375">
    <cfRule type="expression" dxfId="3031" priority="3029">
      <formula>$X375:$X623="Penting"</formula>
    </cfRule>
    <cfRule type="expression" dxfId="3030" priority="3030">
      <formula>$R375:$R623=""</formula>
    </cfRule>
    <cfRule type="expression" dxfId="3029" priority="3031">
      <formula>$R375:$R623&lt;=0</formula>
    </cfRule>
    <cfRule type="expression" dxfId="3028" priority="3032">
      <formula>$R375:$R623&lt;4</formula>
    </cfRule>
  </conditionalFormatting>
  <conditionalFormatting sqref="C375">
    <cfRule type="expression" dxfId="3027" priority="3028">
      <formula>$R375:$R688="End"</formula>
    </cfRule>
  </conditionalFormatting>
  <conditionalFormatting sqref="C375">
    <cfRule type="expression" dxfId="3026" priority="3027" stopIfTrue="1">
      <formula>$R375:$R688="Cancel"</formula>
    </cfRule>
  </conditionalFormatting>
  <conditionalFormatting sqref="C376">
    <cfRule type="expression" dxfId="3025" priority="3023">
      <formula>$X376:$X624="Penting"</formula>
    </cfRule>
    <cfRule type="expression" dxfId="3024" priority="3024">
      <formula>$R376:$R624=""</formula>
    </cfRule>
    <cfRule type="expression" dxfId="3023" priority="3025">
      <formula>$R376:$R624&lt;=0</formula>
    </cfRule>
    <cfRule type="expression" dxfId="3022" priority="3026">
      <formula>$R376:$R624&lt;4</formula>
    </cfRule>
  </conditionalFormatting>
  <conditionalFormatting sqref="C376">
    <cfRule type="expression" dxfId="3021" priority="3022">
      <formula>$R376:$R689="End"</formula>
    </cfRule>
  </conditionalFormatting>
  <conditionalFormatting sqref="C376">
    <cfRule type="expression" dxfId="3020" priority="3021" stopIfTrue="1">
      <formula>$R376:$R689="Cancel"</formula>
    </cfRule>
  </conditionalFormatting>
  <conditionalFormatting sqref="C379">
    <cfRule type="expression" dxfId="3019" priority="3017">
      <formula>$X379:$X627="Penting"</formula>
    </cfRule>
    <cfRule type="expression" dxfId="3018" priority="3018">
      <formula>$R379:$R627=""</formula>
    </cfRule>
    <cfRule type="expression" dxfId="3017" priority="3019">
      <formula>$R379:$R627&lt;=0</formula>
    </cfRule>
    <cfRule type="expression" dxfId="3016" priority="3020">
      <formula>$R379:$R627&lt;4</formula>
    </cfRule>
  </conditionalFormatting>
  <conditionalFormatting sqref="C379">
    <cfRule type="expression" dxfId="3015" priority="3016">
      <formula>$R379:$R692="End"</formula>
    </cfRule>
  </conditionalFormatting>
  <conditionalFormatting sqref="C379">
    <cfRule type="expression" dxfId="3014" priority="3015" stopIfTrue="1">
      <formula>$R379:$R692="Cancel"</formula>
    </cfRule>
  </conditionalFormatting>
  <conditionalFormatting sqref="C380">
    <cfRule type="expression" dxfId="3013" priority="3011">
      <formula>$X380:$X628="Penting"</formula>
    </cfRule>
    <cfRule type="expression" dxfId="3012" priority="3012">
      <formula>$R380:$R628=""</formula>
    </cfRule>
    <cfRule type="expression" dxfId="3011" priority="3013">
      <formula>$R380:$R628&lt;=0</formula>
    </cfRule>
    <cfRule type="expression" dxfId="3010" priority="3014">
      <formula>$R380:$R628&lt;4</formula>
    </cfRule>
  </conditionalFormatting>
  <conditionalFormatting sqref="C380">
    <cfRule type="expression" dxfId="3009" priority="3010">
      <formula>$R380:$R693="End"</formula>
    </cfRule>
  </conditionalFormatting>
  <conditionalFormatting sqref="C380">
    <cfRule type="expression" dxfId="3008" priority="3009" stopIfTrue="1">
      <formula>$R380:$R693="Cancel"</formula>
    </cfRule>
  </conditionalFormatting>
  <conditionalFormatting sqref="C381">
    <cfRule type="expression" dxfId="3007" priority="3005">
      <formula>$X381:$X629="Penting"</formula>
    </cfRule>
    <cfRule type="expression" dxfId="3006" priority="3006">
      <formula>$R381:$R629=""</formula>
    </cfRule>
    <cfRule type="expression" dxfId="3005" priority="3007">
      <formula>$R381:$R629&lt;=0</formula>
    </cfRule>
    <cfRule type="expression" dxfId="3004" priority="3008">
      <formula>$R381:$R629&lt;4</formula>
    </cfRule>
  </conditionalFormatting>
  <conditionalFormatting sqref="C381">
    <cfRule type="expression" dxfId="3003" priority="3004">
      <formula>$R381:$R694="End"</formula>
    </cfRule>
  </conditionalFormatting>
  <conditionalFormatting sqref="C381">
    <cfRule type="expression" dxfId="3002" priority="3003" stopIfTrue="1">
      <formula>$R381:$R694="Cancel"</formula>
    </cfRule>
  </conditionalFormatting>
  <conditionalFormatting sqref="C382">
    <cfRule type="expression" dxfId="3001" priority="2999">
      <formula>$X382:$X630="Penting"</formula>
    </cfRule>
    <cfRule type="expression" dxfId="3000" priority="3000">
      <formula>$R382:$R630=""</formula>
    </cfRule>
    <cfRule type="expression" dxfId="2999" priority="3001">
      <formula>$R382:$R630&lt;=0</formula>
    </cfRule>
    <cfRule type="expression" dxfId="2998" priority="3002">
      <formula>$R382:$R630&lt;4</formula>
    </cfRule>
  </conditionalFormatting>
  <conditionalFormatting sqref="C382">
    <cfRule type="expression" dxfId="2997" priority="2998">
      <formula>$R382:$R695="End"</formula>
    </cfRule>
  </conditionalFormatting>
  <conditionalFormatting sqref="C382">
    <cfRule type="expression" dxfId="2996" priority="2997" stopIfTrue="1">
      <formula>$R382:$R695="Cancel"</formula>
    </cfRule>
  </conditionalFormatting>
  <conditionalFormatting sqref="C384">
    <cfRule type="expression" dxfId="2995" priority="2993">
      <formula>$X384:$X632="Penting"</formula>
    </cfRule>
    <cfRule type="expression" dxfId="2994" priority="2994">
      <formula>$R384:$R632=""</formula>
    </cfRule>
    <cfRule type="expression" dxfId="2993" priority="2995">
      <formula>$R384:$R632&lt;=0</formula>
    </cfRule>
    <cfRule type="expression" dxfId="2992" priority="2996">
      <formula>$R384:$R632&lt;4</formula>
    </cfRule>
  </conditionalFormatting>
  <conditionalFormatting sqref="C384">
    <cfRule type="expression" dxfId="2991" priority="2992">
      <formula>$R384:$R697="End"</formula>
    </cfRule>
  </conditionalFormatting>
  <conditionalFormatting sqref="C384">
    <cfRule type="expression" dxfId="2990" priority="2991" stopIfTrue="1">
      <formula>$R384:$R697="Cancel"</formula>
    </cfRule>
  </conditionalFormatting>
  <conditionalFormatting sqref="C387">
    <cfRule type="expression" dxfId="2989" priority="2987">
      <formula>$X387:$X635="Penting"</formula>
    </cfRule>
    <cfRule type="expression" dxfId="2988" priority="2988">
      <formula>$R387:$R635=""</formula>
    </cfRule>
    <cfRule type="expression" dxfId="2987" priority="2989">
      <formula>$R387:$R635&lt;=0</formula>
    </cfRule>
    <cfRule type="expression" dxfId="2986" priority="2990">
      <formula>$R387:$R635&lt;4</formula>
    </cfRule>
  </conditionalFormatting>
  <conditionalFormatting sqref="C387">
    <cfRule type="expression" dxfId="2985" priority="2986">
      <formula>$R387:$R700="End"</formula>
    </cfRule>
  </conditionalFormatting>
  <conditionalFormatting sqref="C387">
    <cfRule type="expression" dxfId="2984" priority="2985" stopIfTrue="1">
      <formula>$R387:$R700="Cancel"</formula>
    </cfRule>
  </conditionalFormatting>
  <conditionalFormatting sqref="C438:D438 L259:L263">
    <cfRule type="expression" dxfId="2983" priority="2984">
      <formula>$R259:$R569="End"</formula>
    </cfRule>
  </conditionalFormatting>
  <conditionalFormatting sqref="C438:D438 L259:L263">
    <cfRule type="expression" dxfId="2982" priority="2983" stopIfTrue="1">
      <formula>$R259:$R569="Cancel"</formula>
    </cfRule>
  </conditionalFormatting>
  <conditionalFormatting sqref="C438:D438">
    <cfRule type="expression" dxfId="2981" priority="2979">
      <formula>$X438:$X683="Penting"</formula>
    </cfRule>
    <cfRule type="expression" dxfId="2980" priority="2980">
      <formula>$R438:$R683=""</formula>
    </cfRule>
    <cfRule type="expression" dxfId="2979" priority="2981">
      <formula>$R438:$R683&lt;=0</formula>
    </cfRule>
    <cfRule type="expression" dxfId="2978" priority="2982">
      <formula>$R438:$R683&lt;4</formula>
    </cfRule>
  </conditionalFormatting>
  <conditionalFormatting sqref="C438:D438">
    <cfRule type="expression" dxfId="2977" priority="2975">
      <formula>$X438:$X678="Penting"</formula>
    </cfRule>
    <cfRule type="expression" dxfId="2976" priority="2976">
      <formula>$R438:$R678=""</formula>
    </cfRule>
    <cfRule type="expression" dxfId="2975" priority="2977">
      <formula>$R438:$R678&lt;=0</formula>
    </cfRule>
    <cfRule type="expression" dxfId="2974" priority="2978">
      <formula>$R438:$R678&lt;4</formula>
    </cfRule>
  </conditionalFormatting>
  <conditionalFormatting sqref="C438:D438 S388 AD388:AO388 P388:Q388 H388:M388 W388:X388 C388:F388 Y390:Z390 B390 AP390:AR390">
    <cfRule type="expression" dxfId="2973" priority="2971">
      <formula>$X388:$X627="Penting"</formula>
    </cfRule>
    <cfRule type="expression" dxfId="2972" priority="2972">
      <formula>$R388:$R627=""</formula>
    </cfRule>
    <cfRule type="expression" dxfId="2971" priority="2973">
      <formula>$R388:$R627&lt;=0</formula>
    </cfRule>
    <cfRule type="expression" dxfId="2970" priority="2974">
      <formula>$R388:$R627&lt;4</formula>
    </cfRule>
  </conditionalFormatting>
  <conditionalFormatting sqref="D439">
    <cfRule type="expression" dxfId="2969" priority="2967">
      <formula>$X439:$X673="Penting"</formula>
    </cfRule>
    <cfRule type="expression" dxfId="2968" priority="2968">
      <formula>$R439:$R673=""</formula>
    </cfRule>
    <cfRule type="expression" dxfId="2967" priority="2969">
      <formula>$R439:$R673&lt;=0</formula>
    </cfRule>
    <cfRule type="expression" dxfId="2966" priority="2970">
      <formula>$R439:$R673&lt;4</formula>
    </cfRule>
  </conditionalFormatting>
  <conditionalFormatting sqref="D439">
    <cfRule type="expression" dxfId="2965" priority="2966">
      <formula>$R439:$R738="End"</formula>
    </cfRule>
  </conditionalFormatting>
  <conditionalFormatting sqref="D439">
    <cfRule type="expression" dxfId="2964" priority="2965" stopIfTrue="1">
      <formula>$R439:$R738="Cancel"</formula>
    </cfRule>
  </conditionalFormatting>
  <conditionalFormatting sqref="C439">
    <cfRule type="expression" dxfId="2963" priority="2961">
      <formula>$X439:$X681="Penting"</formula>
    </cfRule>
    <cfRule type="expression" dxfId="2962" priority="2962">
      <formula>$R439:$R681=""</formula>
    </cfRule>
    <cfRule type="expression" dxfId="2961" priority="2963">
      <formula>$R439:$R681&lt;=0</formula>
    </cfRule>
    <cfRule type="expression" dxfId="2960" priority="2964">
      <formula>$R439:$R681&lt;4</formula>
    </cfRule>
  </conditionalFormatting>
  <conditionalFormatting sqref="C439">
    <cfRule type="expression" dxfId="2959" priority="2960">
      <formula>$R439:$R746="End"</formula>
    </cfRule>
  </conditionalFormatting>
  <conditionalFormatting sqref="C439">
    <cfRule type="expression" dxfId="2958" priority="2959" stopIfTrue="1">
      <formula>$R439:$R746="Cancel"</formula>
    </cfRule>
  </conditionalFormatting>
  <conditionalFormatting sqref="AD505">
    <cfRule type="expression" dxfId="2957" priority="2955">
      <formula>$X505:$X724="Penting"</formula>
    </cfRule>
    <cfRule type="expression" dxfId="2956" priority="2956">
      <formula>$R505:$R724=""</formula>
    </cfRule>
    <cfRule type="expression" dxfId="2955" priority="2957">
      <formula>$R505:$R724&lt;=0</formula>
    </cfRule>
    <cfRule type="expression" dxfId="2954" priority="2958">
      <formula>$R505:$R724&lt;4</formula>
    </cfRule>
  </conditionalFormatting>
  <conditionalFormatting sqref="AD505">
    <cfRule type="expression" dxfId="2953" priority="2954">
      <formula>$R505:$R789="End"</formula>
    </cfRule>
  </conditionalFormatting>
  <conditionalFormatting sqref="AD505">
    <cfRule type="expression" dxfId="2952" priority="2953" stopIfTrue="1">
      <formula>$R505:$R789="Cancel"</formula>
    </cfRule>
  </conditionalFormatting>
  <conditionalFormatting sqref="AD506">
    <cfRule type="expression" dxfId="2951" priority="2949">
      <formula>$X506:$X725="Penting"</formula>
    </cfRule>
    <cfRule type="expression" dxfId="2950" priority="2950">
      <formula>$R506:$R725=""</formula>
    </cfRule>
    <cfRule type="expression" dxfId="2949" priority="2951">
      <formula>$R506:$R725&lt;=0</formula>
    </cfRule>
    <cfRule type="expression" dxfId="2948" priority="2952">
      <formula>$R506:$R725&lt;4</formula>
    </cfRule>
  </conditionalFormatting>
  <conditionalFormatting sqref="AD506">
    <cfRule type="expression" dxfId="2947" priority="2948">
      <formula>$R506:$R790="End"</formula>
    </cfRule>
  </conditionalFormatting>
  <conditionalFormatting sqref="AD506">
    <cfRule type="expression" dxfId="2946" priority="2947" stopIfTrue="1">
      <formula>$R506:$R790="Cancel"</formula>
    </cfRule>
  </conditionalFormatting>
  <conditionalFormatting sqref="AD507">
    <cfRule type="expression" dxfId="2945" priority="2943">
      <formula>$X507:$X726="Penting"</formula>
    </cfRule>
    <cfRule type="expression" dxfId="2944" priority="2944">
      <formula>$R507:$R726=""</formula>
    </cfRule>
    <cfRule type="expression" dxfId="2943" priority="2945">
      <formula>$R507:$R726&lt;=0</formula>
    </cfRule>
    <cfRule type="expression" dxfId="2942" priority="2946">
      <formula>$R507:$R726&lt;4</formula>
    </cfRule>
  </conditionalFormatting>
  <conditionalFormatting sqref="AD507">
    <cfRule type="expression" dxfId="2941" priority="2942">
      <formula>$R507:$R791="End"</formula>
    </cfRule>
  </conditionalFormatting>
  <conditionalFormatting sqref="AD507">
    <cfRule type="expression" dxfId="2940" priority="2941" stopIfTrue="1">
      <formula>$R507:$R791="Cancel"</formula>
    </cfRule>
  </conditionalFormatting>
  <conditionalFormatting sqref="S512:S514 AS295:AT299">
    <cfRule type="expression" dxfId="2939" priority="2937">
      <formula>$X295:$X625="Penting"</formula>
    </cfRule>
    <cfRule type="expression" dxfId="2938" priority="2938">
      <formula>$R295:$R625=""</formula>
    </cfRule>
    <cfRule type="expression" dxfId="2937" priority="2939">
      <formula>$R295:$R625&lt;=0</formula>
    </cfRule>
    <cfRule type="expression" dxfId="2936" priority="2940">
      <formula>$R295:$R625&lt;4</formula>
    </cfRule>
  </conditionalFormatting>
  <conditionalFormatting sqref="AS417:AT418">
    <cfRule type="expression" dxfId="2935" priority="2933">
      <formula>$X417:$X734="Penting"</formula>
    </cfRule>
    <cfRule type="expression" dxfId="2934" priority="2934">
      <formula>$R417:$R734=""</formula>
    </cfRule>
    <cfRule type="expression" dxfId="2933" priority="2935">
      <formula>$R417:$R734&lt;=0</formula>
    </cfRule>
    <cfRule type="expression" dxfId="2932" priority="2936">
      <formula>$R417:$R734&lt;4</formula>
    </cfRule>
  </conditionalFormatting>
  <conditionalFormatting sqref="AS426:AT427">
    <cfRule type="expression" dxfId="2931" priority="2929">
      <formula>$X426:$X748="Penting"</formula>
    </cfRule>
    <cfRule type="expression" dxfId="2930" priority="2930">
      <formula>$R426:$R748=""</formula>
    </cfRule>
    <cfRule type="expression" dxfId="2929" priority="2931">
      <formula>$R426:$R748&lt;=0</formula>
    </cfRule>
    <cfRule type="expression" dxfId="2928" priority="2932">
      <formula>$R426:$R748&lt;4</formula>
    </cfRule>
  </conditionalFormatting>
  <conditionalFormatting sqref="AF515:AR517 B520:I520 K520:Q520 W515:Z520 AD518:AR520 AD515:AD517 B515:Q519 S515:S520">
    <cfRule type="expression" dxfId="2927" priority="2925">
      <formula>$X515:$X738="Penting"</formula>
    </cfRule>
    <cfRule type="expression" dxfId="2926" priority="2926">
      <formula>$R515:$R738=""</formula>
    </cfRule>
    <cfRule type="expression" dxfId="2925" priority="2927">
      <formula>$R515:$R738&lt;=0</formula>
    </cfRule>
    <cfRule type="expression" dxfId="2924" priority="2928">
      <formula>$R515:$R738&lt;4</formula>
    </cfRule>
  </conditionalFormatting>
  <conditionalFormatting sqref="AF515:AR517 B520:I520 K520:Q520 AD518:AR520 AD515:AD517 B515:Q519 S515:Z520">
    <cfRule type="expression" dxfId="2923" priority="2924">
      <formula>$R515:$R803="End"</formula>
    </cfRule>
  </conditionalFormatting>
  <conditionalFormatting sqref="AF515:AR517 B520:I520 K520:Q520 AD518:AR520 AD515:AD517 B515:Q519 S515:Z520">
    <cfRule type="expression" dxfId="2922" priority="2923" stopIfTrue="1">
      <formula>$R515:$R803="Cancel"</formula>
    </cfRule>
  </conditionalFormatting>
  <conditionalFormatting sqref="T453:V511">
    <cfRule type="expression" dxfId="2921" priority="2919">
      <formula>$X453:$X743="Penting"</formula>
    </cfRule>
    <cfRule type="expression" dxfId="2920" priority="2920">
      <formula>$R453:$R743=""</formula>
    </cfRule>
    <cfRule type="expression" dxfId="2919" priority="2921">
      <formula>$R453:$R743&lt;=0</formula>
    </cfRule>
    <cfRule type="expression" dxfId="2918" priority="2922">
      <formula>$R453:$R743&lt;4</formula>
    </cfRule>
  </conditionalFormatting>
  <conditionalFormatting sqref="AS443:AT452 S398:S405">
    <cfRule type="expression" dxfId="2917" priority="2915">
      <formula>$X398:$X739="Penting"</formula>
    </cfRule>
    <cfRule type="expression" dxfId="2916" priority="2916">
      <formula>$R398:$R739=""</formula>
    </cfRule>
    <cfRule type="expression" dxfId="2915" priority="2917">
      <formula>$R398:$R739&lt;=0</formula>
    </cfRule>
    <cfRule type="expression" dxfId="2914" priority="2918">
      <formula>$R398:$R739&lt;4</formula>
    </cfRule>
  </conditionalFormatting>
  <conditionalFormatting sqref="T364:V364 B147:O153 W147:Z150 Q147:Q148 S147:S148 Q150:Q152 S150:S152 W152:Z154 Q153:S153 Q154 S154 W151:Y151 AD149:AR150 AD148:AM148 AO148:AR148 AD153:AR153 AD151:AM152 AO151:AR152 AD154:AM154 AO154:AR154 AD147:AR147 Q149:S149 T370:V370 B154:J154">
    <cfRule type="expression" dxfId="2913" priority="2911">
      <formula>$X147:$X460="Penting"</formula>
    </cfRule>
    <cfRule type="expression" dxfId="2912" priority="2912">
      <formula>$R147:$R460=""</formula>
    </cfRule>
    <cfRule type="expression" dxfId="2911" priority="2913">
      <formula>$R147:$R460&lt;=0</formula>
    </cfRule>
    <cfRule type="expression" dxfId="2910" priority="2914">
      <formula>$R147:$R460&lt;4</formula>
    </cfRule>
  </conditionalFormatting>
  <conditionalFormatting sqref="AS413:AT416">
    <cfRule type="expression" dxfId="2909" priority="2907">
      <formula>$X413:$X726="Penting"</formula>
    </cfRule>
    <cfRule type="expression" dxfId="2908" priority="2908">
      <formula>$R413:$R726=""</formula>
    </cfRule>
    <cfRule type="expression" dxfId="2907" priority="2909">
      <formula>$R413:$R726&lt;=0</formula>
    </cfRule>
    <cfRule type="expression" dxfId="2906" priority="2910">
      <formula>$R413:$R726&lt;4</formula>
    </cfRule>
  </conditionalFormatting>
  <conditionalFormatting sqref="S453:S511 AS289:AT294 T271:V282 T284:V287">
    <cfRule type="expression" dxfId="2905" priority="2903">
      <formula>$X271:$X602="Penting"</formula>
    </cfRule>
    <cfRule type="expression" dxfId="2904" priority="2904">
      <formula>$R271:$R602=""</formula>
    </cfRule>
    <cfRule type="expression" dxfId="2903" priority="2905">
      <formula>$R271:$R602&lt;=0</formula>
    </cfRule>
    <cfRule type="expression" dxfId="2902" priority="2906">
      <formula>$R271:$R602&lt;4</formula>
    </cfRule>
  </conditionalFormatting>
  <conditionalFormatting sqref="T408:V452 AA201:AC219 Z203 Z201 P167:P168 AE170:AR174 Q170:S174 W170:Z174 Q175:Q176 B170:O176 S175:S176 W175:Y176 AO176:AR176 K169">
    <cfRule type="expression" dxfId="2901" priority="2899">
      <formula>$X167:$X466="Penting"</formula>
    </cfRule>
    <cfRule type="expression" dxfId="2900" priority="2900">
      <formula>$R167:$R466=""</formula>
    </cfRule>
    <cfRule type="expression" dxfId="2899" priority="2901">
      <formula>$R167:$R466&lt;=0</formula>
    </cfRule>
    <cfRule type="expression" dxfId="2898" priority="2902">
      <formula>$R167:$R466&lt;4</formula>
    </cfRule>
  </conditionalFormatting>
  <conditionalFormatting sqref="AS438:AT440 AS268:AT270">
    <cfRule type="expression" dxfId="2897" priority="2895">
      <formula>$X268:$X605="Penting"</formula>
    </cfRule>
    <cfRule type="expression" dxfId="2896" priority="2896">
      <formula>$R268:$R605=""</formula>
    </cfRule>
    <cfRule type="expression" dxfId="2895" priority="2897">
      <formula>$R268:$R605&lt;=0</formula>
    </cfRule>
    <cfRule type="expression" dxfId="2894" priority="2898">
      <formula>$R268:$R605&lt;4</formula>
    </cfRule>
  </conditionalFormatting>
  <conditionalFormatting sqref="AS419:AT421 T321:V348">
    <cfRule type="expression" dxfId="2893" priority="2891">
      <formula>$X321:$X639="Penting"</formula>
    </cfRule>
    <cfRule type="expression" dxfId="2892" priority="2892">
      <formula>$R321:$R639=""</formula>
    </cfRule>
    <cfRule type="expression" dxfId="2891" priority="2893">
      <formula>$R321:$R639&lt;=0</formula>
    </cfRule>
    <cfRule type="expression" dxfId="2890" priority="2894">
      <formula>$R321:$R639&lt;4</formula>
    </cfRule>
  </conditionalFormatting>
  <conditionalFormatting sqref="AS431:AT432 T295:V298">
    <cfRule type="expression" dxfId="2889" priority="2887">
      <formula>$X295:$X621="Penting"</formula>
    </cfRule>
    <cfRule type="expression" dxfId="2888" priority="2888">
      <formula>$R295:$R621=""</formula>
    </cfRule>
    <cfRule type="expression" dxfId="2887" priority="2889">
      <formula>$R295:$R621&lt;=0</formula>
    </cfRule>
    <cfRule type="expression" dxfId="2886" priority="2890">
      <formula>$R295:$R621&lt;4</formula>
    </cfRule>
  </conditionalFormatting>
  <conditionalFormatting sqref="J520">
    <cfRule type="expression" dxfId="2885" priority="2883">
      <formula>$X520:$X745="Penting"</formula>
    </cfRule>
    <cfRule type="expression" dxfId="2884" priority="2884">
      <formula>$R520:$R745=""</formula>
    </cfRule>
    <cfRule type="expression" dxfId="2883" priority="2885">
      <formula>$R520:$R745&lt;=0</formula>
    </cfRule>
    <cfRule type="expression" dxfId="2882" priority="2886">
      <formula>$R520:$R745&lt;4</formula>
    </cfRule>
  </conditionalFormatting>
  <conditionalFormatting sqref="J520">
    <cfRule type="expression" dxfId="2881" priority="2882">
      <formula>$R520:$R810="End"</formula>
    </cfRule>
  </conditionalFormatting>
  <conditionalFormatting sqref="J520">
    <cfRule type="expression" dxfId="2880" priority="2881" stopIfTrue="1">
      <formula>$R520:$R810="Cancel"</formula>
    </cfRule>
  </conditionalFormatting>
  <conditionalFormatting sqref="AS288:AT288">
    <cfRule type="expression" dxfId="2879" priority="2877">
      <formula>$X288:$X618="Penting"</formula>
    </cfRule>
    <cfRule type="expression" dxfId="2878" priority="2878">
      <formula>$R288:$R618=""</formula>
    </cfRule>
    <cfRule type="expression" dxfId="2877" priority="2879">
      <formula>$R288:$R618&lt;=0</formula>
    </cfRule>
    <cfRule type="expression" dxfId="2876" priority="2880">
      <formula>$R288:$R618&lt;4</formula>
    </cfRule>
  </conditionalFormatting>
  <conditionalFormatting sqref="P337">
    <cfRule type="expression" dxfId="2875" priority="2876">
      <formula>$R337:$R664="End"</formula>
    </cfRule>
  </conditionalFormatting>
  <conditionalFormatting sqref="P337">
    <cfRule type="expression" dxfId="2874" priority="2875" stopIfTrue="1">
      <formula>$R337:$R664="Cancel"</formula>
    </cfRule>
  </conditionalFormatting>
  <conditionalFormatting sqref="S288 S295:S298 AS191:AT195">
    <cfRule type="expression" dxfId="2873" priority="2871">
      <formula>$X191:$X558="Penting"</formula>
    </cfRule>
    <cfRule type="expression" dxfId="2872" priority="2872">
      <formula>$R191:$R558=""</formula>
    </cfRule>
    <cfRule type="expression" dxfId="2871" priority="2873">
      <formula>$R191:$R558&lt;=0</formula>
    </cfRule>
    <cfRule type="expression" dxfId="2870" priority="2874">
      <formula>$R191:$R558&lt;4</formula>
    </cfRule>
  </conditionalFormatting>
  <conditionalFormatting sqref="H377">
    <cfRule type="expression" dxfId="2869" priority="2870">
      <formula>$R377:$R694="End"</formula>
    </cfRule>
  </conditionalFormatting>
  <conditionalFormatting sqref="H377">
    <cfRule type="expression" dxfId="2868" priority="2869" stopIfTrue="1">
      <formula>$R377:$R694="Cancel"</formula>
    </cfRule>
  </conditionalFormatting>
  <conditionalFormatting sqref="H377">
    <cfRule type="expression" dxfId="2867" priority="2865">
      <formula>$X377:$X621="Penting"</formula>
    </cfRule>
    <cfRule type="expression" dxfId="2866" priority="2866">
      <formula>$R377:$R621=""</formula>
    </cfRule>
    <cfRule type="expression" dxfId="2865" priority="2867">
      <formula>$R377:$R621&lt;=0</formula>
    </cfRule>
    <cfRule type="expression" dxfId="2864" priority="2868">
      <formula>$R377:$R621&lt;4</formula>
    </cfRule>
  </conditionalFormatting>
  <conditionalFormatting sqref="B255:O255 R373:R388 C259:D262 AD255:AR255 Y255:Z255 AD254:AO254">
    <cfRule type="expression" dxfId="2863" priority="2864">
      <formula>$R254:$R599="End"</formula>
    </cfRule>
  </conditionalFormatting>
  <conditionalFormatting sqref="AD255:AR255 R373:R388 C259:D262 B255:O255 Y255:Z255 AD254:AO254">
    <cfRule type="expression" dxfId="2862" priority="2863" stopIfTrue="1">
      <formula>$R254:$R599="Cancel"</formula>
    </cfRule>
  </conditionalFormatting>
  <conditionalFormatting sqref="P521:P522 P500:P504 P460:P462 P438:P439 P433 P429 P417:P419 P413:P414 P409">
    <cfRule type="expression" dxfId="2861" priority="2859">
      <formula>$X409:$X643="Penting"</formula>
    </cfRule>
    <cfRule type="expression" dxfId="2860" priority="2860">
      <formula>$R409:$R643=""</formula>
    </cfRule>
    <cfRule type="expression" dxfId="2859" priority="2861">
      <formula>$R409:$R643&lt;=0</formula>
    </cfRule>
    <cfRule type="expression" dxfId="2858" priority="2862">
      <formula>$R409:$R643&lt;4</formula>
    </cfRule>
  </conditionalFormatting>
  <conditionalFormatting sqref="P521:P522 P500:P504 P460:P462 P442:P443 P438:P439 P433 P429 P417:P419 P413:P414 P409 O399:O400">
    <cfRule type="expression" dxfId="2857" priority="2858">
      <formula>$R399:$R715="End"</formula>
    </cfRule>
  </conditionalFormatting>
  <conditionalFormatting sqref="P521:P522 P500:P504 P460:P462 P442:P443 P438:P439 P433 P429 P417:P419 P413:P414 P409 O399:O400">
    <cfRule type="expression" dxfId="2856" priority="2857" stopIfTrue="1">
      <formula>$R399:$R715="Cancel"</formula>
    </cfRule>
  </conditionalFormatting>
  <conditionalFormatting sqref="P422">
    <cfRule type="expression" dxfId="2855" priority="2853">
      <formula>$X422:$X656="Penting"</formula>
    </cfRule>
    <cfRule type="expression" dxfId="2854" priority="2854">
      <formula>$R422:$R656=""</formula>
    </cfRule>
    <cfRule type="expression" dxfId="2853" priority="2855">
      <formula>$R422:$R656&lt;=0</formula>
    </cfRule>
    <cfRule type="expression" dxfId="2852" priority="2856">
      <formula>$R422:$R656&lt;4</formula>
    </cfRule>
  </conditionalFormatting>
  <conditionalFormatting sqref="P422">
    <cfRule type="expression" dxfId="2851" priority="2852">
      <formula>$R422:$R738="End"</formula>
    </cfRule>
  </conditionalFormatting>
  <conditionalFormatting sqref="P422">
    <cfRule type="expression" dxfId="2850" priority="2851" stopIfTrue="1">
      <formula>$R422:$R738="Cancel"</formula>
    </cfRule>
  </conditionalFormatting>
  <conditionalFormatting sqref="P424">
    <cfRule type="expression" dxfId="2849" priority="2847">
      <formula>$X424:$X658="Penting"</formula>
    </cfRule>
    <cfRule type="expression" dxfId="2848" priority="2848">
      <formula>$R424:$R658=""</formula>
    </cfRule>
    <cfRule type="expression" dxfId="2847" priority="2849">
      <formula>$R424:$R658&lt;=0</formula>
    </cfRule>
    <cfRule type="expression" dxfId="2846" priority="2850">
      <formula>$R424:$R658&lt;4</formula>
    </cfRule>
  </conditionalFormatting>
  <conditionalFormatting sqref="P424">
    <cfRule type="expression" dxfId="2845" priority="2846">
      <formula>$R424:$R740="End"</formula>
    </cfRule>
  </conditionalFormatting>
  <conditionalFormatting sqref="P424">
    <cfRule type="expression" dxfId="2844" priority="2845" stopIfTrue="1">
      <formula>$R424:$R740="Cancel"</formula>
    </cfRule>
  </conditionalFormatting>
  <conditionalFormatting sqref="R404:R405 R398:R402 P268:P270 I209:L209 C201:M201">
    <cfRule type="expression" dxfId="2843" priority="2844">
      <formula>$R201:$R542="End"</formula>
    </cfRule>
  </conditionalFormatting>
  <conditionalFormatting sqref="R404:R405 R398:R402 P268:P270 I209:L209 C201:M201">
    <cfRule type="expression" dxfId="2842" priority="2843" stopIfTrue="1">
      <formula>$R201:$R542="Cancel"</formula>
    </cfRule>
  </conditionalFormatting>
  <conditionalFormatting sqref="R390 AD170:AD174 H212 AF178">
    <cfRule type="expression" dxfId="2841" priority="2842">
      <formula>$R170:$R514="End"</formula>
    </cfRule>
  </conditionalFormatting>
  <conditionalFormatting sqref="R390 AD170:AD174 H212 AF178">
    <cfRule type="expression" dxfId="2840" priority="2841" stopIfTrue="1">
      <formula>$R170:$R514="Cancel"</formula>
    </cfRule>
  </conditionalFormatting>
  <conditionalFormatting sqref="AA300:AC300 AB301:AC302 Z314:Z317 Z319 AA288:AC288">
    <cfRule type="expression" dxfId="2839" priority="2840">
      <formula>$R288:$R649="End"</formula>
    </cfRule>
  </conditionalFormatting>
  <conditionalFormatting sqref="AA300:AC300 AB301:AC302 Z314:Z317 Z319 AA288:AC288">
    <cfRule type="expression" dxfId="2838" priority="2839" stopIfTrue="1">
      <formula>$R288:$R649="Cancel"</formula>
    </cfRule>
  </conditionalFormatting>
  <conditionalFormatting sqref="B405:Q405 B404 E404 B403:S403 G399 Q399 W401:Z401 B399:B400 E400 AG404:AR404 AP406:AR406 P400:Q400 AG399:AR400 P404:Q404 B401:Q401 S404:S405 B402 Q402 W399:X400 AD399:AE400 AD404:AE404 AD405:AR405 W404:X405 AD401:AR403 W403:Z403 W402:Y402 L400:M400 S398:S402 AD398:AR398 B398:Q398 W398:Z398">
    <cfRule type="expression" dxfId="2837" priority="2835">
      <formula>$X398:$X633="Penting"</formula>
    </cfRule>
    <cfRule type="expression" dxfId="2836" priority="2836">
      <formula>$R398:$R633=""</formula>
    </cfRule>
    <cfRule type="expression" dxfId="2835" priority="2837">
      <formula>$R398:$R633&lt;=0</formula>
    </cfRule>
    <cfRule type="expression" dxfId="2834" priority="2838">
      <formula>$R398:$R633&lt;4</formula>
    </cfRule>
  </conditionalFormatting>
  <conditionalFormatting sqref="S300:Z300 P368:P369 P357:P366 B300:O303 S301:Y302 P351:P353 Q300:Q303 AD300:AR303">
    <cfRule type="expression" dxfId="2833" priority="2834">
      <formula>$R300:$R625="End"</formula>
    </cfRule>
  </conditionalFormatting>
  <conditionalFormatting sqref="S300:Z300 P368:P369 P357:P366 B300:O303 S301:Y302 P351:P353 Q300:Q303 AD300:AR303">
    <cfRule type="expression" dxfId="2832" priority="2833" stopIfTrue="1">
      <formula>$R300:$R625="Cancel"</formula>
    </cfRule>
  </conditionalFormatting>
  <conditionalFormatting sqref="C404:D404">
    <cfRule type="expression" dxfId="2831" priority="2832">
      <formula>$R404:$R716="End"</formula>
    </cfRule>
  </conditionalFormatting>
  <conditionalFormatting sqref="C404:D404">
    <cfRule type="expression" dxfId="2830" priority="2831" stopIfTrue="1">
      <formula>$R404:$R716="Cancel"</formula>
    </cfRule>
  </conditionalFormatting>
  <conditionalFormatting sqref="C404:D404">
    <cfRule type="expression" dxfId="2829" priority="2827">
      <formula>$X404:$X643="Penting"</formula>
    </cfRule>
    <cfRule type="expression" dxfId="2828" priority="2828">
      <formula>$R404:$R643=""</formula>
    </cfRule>
    <cfRule type="expression" dxfId="2827" priority="2829">
      <formula>$R404:$R643&lt;=0</formula>
    </cfRule>
    <cfRule type="expression" dxfId="2826" priority="2830">
      <formula>$R404:$R643&lt;4</formula>
    </cfRule>
  </conditionalFormatting>
  <conditionalFormatting sqref="P404">
    <cfRule type="expression" dxfId="2825" priority="2826">
      <formula>$R404:$R721="End"</formula>
    </cfRule>
  </conditionalFormatting>
  <conditionalFormatting sqref="P404">
    <cfRule type="expression" dxfId="2824" priority="2825" stopIfTrue="1">
      <formula>$R404:$R721="Cancel"</formula>
    </cfRule>
  </conditionalFormatting>
  <conditionalFormatting sqref="P431">
    <cfRule type="expression" dxfId="2823" priority="2821">
      <formula>$X431:$X665="Penting"</formula>
    </cfRule>
    <cfRule type="expression" dxfId="2822" priority="2822">
      <formula>$R431:$R665=""</formula>
    </cfRule>
    <cfRule type="expression" dxfId="2821" priority="2823">
      <formula>$R431:$R665&lt;=0</formula>
    </cfRule>
    <cfRule type="expression" dxfId="2820" priority="2824">
      <formula>$R431:$R665&lt;4</formula>
    </cfRule>
  </conditionalFormatting>
  <conditionalFormatting sqref="P431">
    <cfRule type="expression" dxfId="2819" priority="2820">
      <formula>$R431:$R747="End"</formula>
    </cfRule>
  </conditionalFormatting>
  <conditionalFormatting sqref="P431">
    <cfRule type="expression" dxfId="2818" priority="2819" stopIfTrue="1">
      <formula>$R431:$R747="Cancel"</formula>
    </cfRule>
  </conditionalFormatting>
  <conditionalFormatting sqref="P336">
    <cfRule type="expression" dxfId="2817" priority="2815">
      <formula>$X336:$X581="Penting"</formula>
    </cfRule>
    <cfRule type="expression" dxfId="2816" priority="2816">
      <formula>$R336:$R581=""</formula>
    </cfRule>
    <cfRule type="expression" dxfId="2815" priority="2817">
      <formula>$R336:$R581&lt;=0</formula>
    </cfRule>
    <cfRule type="expression" dxfId="2814" priority="2818">
      <formula>$R336:$R581&lt;4</formula>
    </cfRule>
  </conditionalFormatting>
  <conditionalFormatting sqref="P336">
    <cfRule type="expression" dxfId="2813" priority="2814">
      <formula>$R336:$R663="End"</formula>
    </cfRule>
  </conditionalFormatting>
  <conditionalFormatting sqref="P336">
    <cfRule type="expression" dxfId="2812" priority="2813" stopIfTrue="1">
      <formula>$R336:$R663="Cancel"</formula>
    </cfRule>
  </conditionalFormatting>
  <conditionalFormatting sqref="P432">
    <cfRule type="expression" dxfId="2811" priority="2809">
      <formula>$X432:$X666="Penting"</formula>
    </cfRule>
    <cfRule type="expression" dxfId="2810" priority="2810">
      <formula>$R432:$R666=""</formula>
    </cfRule>
    <cfRule type="expression" dxfId="2809" priority="2811">
      <formula>$R432:$R666&lt;=0</formula>
    </cfRule>
    <cfRule type="expression" dxfId="2808" priority="2812">
      <formula>$R432:$R666&lt;4</formula>
    </cfRule>
  </conditionalFormatting>
  <conditionalFormatting sqref="P432">
    <cfRule type="expression" dxfId="2807" priority="2808">
      <formula>$R432:$R748="End"</formula>
    </cfRule>
  </conditionalFormatting>
  <conditionalFormatting sqref="P432">
    <cfRule type="expression" dxfId="2806" priority="2807" stopIfTrue="1">
      <formula>$R432:$R748="Cancel"</formula>
    </cfRule>
  </conditionalFormatting>
  <conditionalFormatting sqref="P426">
    <cfRule type="expression" dxfId="2805" priority="2803">
      <formula>$X426:$X660="Penting"</formula>
    </cfRule>
    <cfRule type="expression" dxfId="2804" priority="2804">
      <formula>$R426:$R660=""</formula>
    </cfRule>
    <cfRule type="expression" dxfId="2803" priority="2805">
      <formula>$R426:$R660&lt;=0</formula>
    </cfRule>
    <cfRule type="expression" dxfId="2802" priority="2806">
      <formula>$R426:$R660&lt;4</formula>
    </cfRule>
  </conditionalFormatting>
  <conditionalFormatting sqref="P426">
    <cfRule type="expression" dxfId="2801" priority="2802">
      <formula>$R426:$R742="End"</formula>
    </cfRule>
  </conditionalFormatting>
  <conditionalFormatting sqref="P426">
    <cfRule type="expression" dxfId="2800" priority="2801" stopIfTrue="1">
      <formula>$R426:$R742="Cancel"</formula>
    </cfRule>
  </conditionalFormatting>
  <conditionalFormatting sqref="R300">
    <cfRule type="expression" dxfId="2799" priority="2800">
      <formula>$R300:$R628="End"</formula>
    </cfRule>
  </conditionalFormatting>
  <conditionalFormatting sqref="R300">
    <cfRule type="expression" dxfId="2798" priority="2799" stopIfTrue="1">
      <formula>$R300:$R628="Cancel"</formula>
    </cfRule>
  </conditionalFormatting>
  <conditionalFormatting sqref="R300">
    <cfRule type="expression" dxfId="2797" priority="2795">
      <formula>$X300:$X555="Penting"</formula>
    </cfRule>
    <cfRule type="expression" dxfId="2796" priority="2796">
      <formula>$R300:$R555=""</formula>
    </cfRule>
    <cfRule type="expression" dxfId="2795" priority="2797">
      <formula>$R300:$R555&lt;=0</formula>
    </cfRule>
    <cfRule type="expression" dxfId="2794" priority="2798">
      <formula>$R300:$R555&lt;4</formula>
    </cfRule>
  </conditionalFormatting>
  <conditionalFormatting sqref="P435">
    <cfRule type="expression" dxfId="2793" priority="2791">
      <formula>$X435:$X669="Penting"</formula>
    </cfRule>
    <cfRule type="expression" dxfId="2792" priority="2792">
      <formula>$R435:$R669=""</formula>
    </cfRule>
    <cfRule type="expression" dxfId="2791" priority="2793">
      <formula>$R435:$R669&lt;=0</formula>
    </cfRule>
    <cfRule type="expression" dxfId="2790" priority="2794">
      <formula>$R435:$R669&lt;4</formula>
    </cfRule>
  </conditionalFormatting>
  <conditionalFormatting sqref="P435">
    <cfRule type="expression" dxfId="2789" priority="2790">
      <formula>$R435:$R751="End"</formula>
    </cfRule>
  </conditionalFormatting>
  <conditionalFormatting sqref="P435">
    <cfRule type="expression" dxfId="2788" priority="2789" stopIfTrue="1">
      <formula>$R435:$R751="Cancel"</formula>
    </cfRule>
  </conditionalFormatting>
  <conditionalFormatting sqref="P436">
    <cfRule type="expression" dxfId="2787" priority="2785">
      <formula>$X436:$X670="Penting"</formula>
    </cfRule>
    <cfRule type="expression" dxfId="2786" priority="2786">
      <formula>$R436:$R670=""</formula>
    </cfRule>
    <cfRule type="expression" dxfId="2785" priority="2787">
      <formula>$R436:$R670&lt;=0</formula>
    </cfRule>
    <cfRule type="expression" dxfId="2784" priority="2788">
      <formula>$R436:$R670&lt;4</formula>
    </cfRule>
  </conditionalFormatting>
  <conditionalFormatting sqref="P436">
    <cfRule type="expression" dxfId="2783" priority="2784">
      <formula>$R436:$R752="End"</formula>
    </cfRule>
  </conditionalFormatting>
  <conditionalFormatting sqref="P436">
    <cfRule type="expression" dxfId="2782" priority="2783" stopIfTrue="1">
      <formula>$R436:$R752="Cancel"</formula>
    </cfRule>
  </conditionalFormatting>
  <conditionalFormatting sqref="B324:Z324 B326:Z328 B331:O334 B340:Z340 B336:O339 B323:O323 B321:Z322 B330:Z330 B329:O329 Q329 Q323 S323:Z323 S325:Z325 Q331:Q334 Q336:Q339 Q341:Q343 S341:Z343 Q345:Q348 B341:O348 S345:Z348 S329:Z329 AD321:AR348 Y349:Z350 S331:Z334 S336:Z339 Q344:Z344 B325:O325 Q325 B335:Z335">
    <cfRule type="expression" dxfId="2781" priority="2782">
      <formula>$R321:$R639="End"</formula>
    </cfRule>
  </conditionalFormatting>
  <conditionalFormatting sqref="B324:Z324 B326:Z328 B331:O334 B340:Z340 B336:O339 B323:O323 B321:Z322 B330:Z330 B329:O329 Q329 Q323 S323:Z323 S325:Z325 Q331:Q334 Q336:Q339 Q341:Q343 S341:Z343 Q345:Q348 B341:O348 S345:Z348 S329:Z329 AD321:AR348 Y349:Z350 S331:Z334 S336:Z339 Q344:Z344 B325:O325 Q325 B335:Z335">
    <cfRule type="expression" dxfId="2780" priority="2781" stopIfTrue="1">
      <formula>$R321:$R639="Cancel"</formula>
    </cfRule>
  </conditionalFormatting>
  <conditionalFormatting sqref="O322:P322">
    <cfRule type="expression" dxfId="2779" priority="2777">
      <formula>$X322:$X575="Penting"</formula>
    </cfRule>
    <cfRule type="expression" dxfId="2778" priority="2778">
      <formula>$R322:$R575=""</formula>
    </cfRule>
    <cfRule type="expression" dxfId="2777" priority="2779">
      <formula>$R322:$R575&lt;=0</formula>
    </cfRule>
    <cfRule type="expression" dxfId="2776" priority="2780">
      <formula>$R322:$R575&lt;4</formula>
    </cfRule>
  </conditionalFormatting>
  <conditionalFormatting sqref="P416">
    <cfRule type="expression" dxfId="2775" priority="2773">
      <formula>$X416:$X650="Penting"</formula>
    </cfRule>
    <cfRule type="expression" dxfId="2774" priority="2774">
      <formula>$R416:$R650=""</formula>
    </cfRule>
    <cfRule type="expression" dxfId="2773" priority="2775">
      <formula>$R416:$R650&lt;=0</formula>
    </cfRule>
    <cfRule type="expression" dxfId="2772" priority="2776">
      <formula>$R416:$R650&lt;4</formula>
    </cfRule>
  </conditionalFormatting>
  <conditionalFormatting sqref="P416">
    <cfRule type="expression" dxfId="2771" priority="2772">
      <formula>$R416:$R732="End"</formula>
    </cfRule>
  </conditionalFormatting>
  <conditionalFormatting sqref="P416">
    <cfRule type="expression" dxfId="2770" priority="2771" stopIfTrue="1">
      <formula>$R416:$R732="Cancel"</formula>
    </cfRule>
  </conditionalFormatting>
  <conditionalFormatting sqref="P430">
    <cfRule type="expression" dxfId="2769" priority="2767">
      <formula>$X430:$X664="Penting"</formula>
    </cfRule>
    <cfRule type="expression" dxfId="2768" priority="2768">
      <formula>$R430:$R664=""</formula>
    </cfRule>
    <cfRule type="expression" dxfId="2767" priority="2769">
      <formula>$R430:$R664&lt;=0</formula>
    </cfRule>
    <cfRule type="expression" dxfId="2766" priority="2770">
      <formula>$R430:$R664&lt;4</formula>
    </cfRule>
  </conditionalFormatting>
  <conditionalFormatting sqref="P430">
    <cfRule type="expression" dxfId="2765" priority="2766">
      <formula>$R430:$R746="End"</formula>
    </cfRule>
  </conditionalFormatting>
  <conditionalFormatting sqref="P430">
    <cfRule type="expression" dxfId="2764" priority="2765" stopIfTrue="1">
      <formula>$R430:$R746="Cancel"</formula>
    </cfRule>
  </conditionalFormatting>
  <conditionalFormatting sqref="P329">
    <cfRule type="expression" dxfId="2763" priority="2761">
      <formula>$X329:$X574="Penting"</formula>
    </cfRule>
    <cfRule type="expression" dxfId="2762" priority="2762">
      <formula>$R329:$R574=""</formula>
    </cfRule>
    <cfRule type="expression" dxfId="2761" priority="2763">
      <formula>$R329:$R574&lt;=0</formula>
    </cfRule>
    <cfRule type="expression" dxfId="2760" priority="2764">
      <formula>$R329:$R574&lt;4</formula>
    </cfRule>
  </conditionalFormatting>
  <conditionalFormatting sqref="P329">
    <cfRule type="expression" dxfId="2759" priority="2760">
      <formula>$R329:$R656="End"</formula>
    </cfRule>
  </conditionalFormatting>
  <conditionalFormatting sqref="P329">
    <cfRule type="expression" dxfId="2758" priority="2759" stopIfTrue="1">
      <formula>$R329:$R656="Cancel"</formula>
    </cfRule>
  </conditionalFormatting>
  <conditionalFormatting sqref="P408">
    <cfRule type="expression" dxfId="2757" priority="2755">
      <formula>$X408:$X642="Penting"</formula>
    </cfRule>
    <cfRule type="expression" dxfId="2756" priority="2756">
      <formula>$R408:$R642=""</formula>
    </cfRule>
    <cfRule type="expression" dxfId="2755" priority="2757">
      <formula>$R408:$R642&lt;=0</formula>
    </cfRule>
    <cfRule type="expression" dxfId="2754" priority="2758">
      <formula>$R408:$R642&lt;4</formula>
    </cfRule>
  </conditionalFormatting>
  <conditionalFormatting sqref="P408">
    <cfRule type="expression" dxfId="2753" priority="2754">
      <formula>$R408:$R724="End"</formula>
    </cfRule>
  </conditionalFormatting>
  <conditionalFormatting sqref="P408">
    <cfRule type="expression" dxfId="2752" priority="2753" stopIfTrue="1">
      <formula>$R408:$R724="Cancel"</formula>
    </cfRule>
  </conditionalFormatting>
  <conditionalFormatting sqref="T169:V169">
    <cfRule type="expression" dxfId="2751" priority="2749">
      <formula>$X169:$X542="Penting"</formula>
    </cfRule>
    <cfRule type="expression" dxfId="2750" priority="2750">
      <formula>$R169:$R542=""</formula>
    </cfRule>
    <cfRule type="expression" dxfId="2749" priority="2751">
      <formula>$R169:$R542&lt;=0</formula>
    </cfRule>
    <cfRule type="expression" dxfId="2748" priority="2752">
      <formula>$R169:$R542&lt;4</formula>
    </cfRule>
  </conditionalFormatting>
  <conditionalFormatting sqref="P427">
    <cfRule type="expression" dxfId="2747" priority="2745">
      <formula>$X427:$X661="Penting"</formula>
    </cfRule>
    <cfRule type="expression" dxfId="2746" priority="2746">
      <formula>$R427:$R661=""</formula>
    </cfRule>
    <cfRule type="expression" dxfId="2745" priority="2747">
      <formula>$R427:$R661&lt;=0</formula>
    </cfRule>
    <cfRule type="expression" dxfId="2744" priority="2748">
      <formula>$R427:$R661&lt;4</formula>
    </cfRule>
  </conditionalFormatting>
  <conditionalFormatting sqref="P427">
    <cfRule type="expression" dxfId="2743" priority="2744">
      <formula>$R427:$R743="End"</formula>
    </cfRule>
  </conditionalFormatting>
  <conditionalFormatting sqref="P427">
    <cfRule type="expression" dxfId="2742" priority="2743" stopIfTrue="1">
      <formula>$R427:$R743="Cancel"</formula>
    </cfRule>
  </conditionalFormatting>
  <conditionalFormatting sqref="P425">
    <cfRule type="expression" dxfId="2741" priority="2739">
      <formula>$X425:$X659="Penting"</formula>
    </cfRule>
    <cfRule type="expression" dxfId="2740" priority="2740">
      <formula>$R425:$R659=""</formula>
    </cfRule>
    <cfRule type="expression" dxfId="2739" priority="2741">
      <formula>$R425:$R659&lt;=0</formula>
    </cfRule>
    <cfRule type="expression" dxfId="2738" priority="2742">
      <formula>$R425:$R659&lt;4</formula>
    </cfRule>
  </conditionalFormatting>
  <conditionalFormatting sqref="P425">
    <cfRule type="expression" dxfId="2737" priority="2738">
      <formula>$R425:$R741="End"</formula>
    </cfRule>
  </conditionalFormatting>
  <conditionalFormatting sqref="P425">
    <cfRule type="expression" dxfId="2736" priority="2737" stopIfTrue="1">
      <formula>$R425:$R741="Cancel"</formula>
    </cfRule>
  </conditionalFormatting>
  <conditionalFormatting sqref="P446">
    <cfRule type="expression" dxfId="2735" priority="2736">
      <formula>$R446:$R762="End"</formula>
    </cfRule>
  </conditionalFormatting>
  <conditionalFormatting sqref="P446">
    <cfRule type="expression" dxfId="2734" priority="2735" stopIfTrue="1">
      <formula>$R446:$R762="Cancel"</formula>
    </cfRule>
  </conditionalFormatting>
  <conditionalFormatting sqref="P444">
    <cfRule type="expression" dxfId="2733" priority="2734">
      <formula>$R444:$R760="End"</formula>
    </cfRule>
  </conditionalFormatting>
  <conditionalFormatting sqref="P444">
    <cfRule type="expression" dxfId="2732" priority="2733" stopIfTrue="1">
      <formula>$R444:$R760="Cancel"</formula>
    </cfRule>
  </conditionalFormatting>
  <conditionalFormatting sqref="P452">
    <cfRule type="expression" dxfId="2731" priority="2732">
      <formula>$R452:$R768="End"</formula>
    </cfRule>
  </conditionalFormatting>
  <conditionalFormatting sqref="P452">
    <cfRule type="expression" dxfId="2730" priority="2731" stopIfTrue="1">
      <formula>$R452:$R768="Cancel"</formula>
    </cfRule>
  </conditionalFormatting>
  <conditionalFormatting sqref="AB312:AC312 AA304:AC306 AA308:AC311">
    <cfRule type="expression" dxfId="2729" priority="2730">
      <formula>$R304:$R664="End"</formula>
    </cfRule>
  </conditionalFormatting>
  <conditionalFormatting sqref="AB312:AC312 AA304:AC306 AA308:AC311">
    <cfRule type="expression" dxfId="2728" priority="2729" stopIfTrue="1">
      <formula>$R304:$R664="Cancel"</formula>
    </cfRule>
  </conditionalFormatting>
  <conditionalFormatting sqref="N315:O315">
    <cfRule type="expression" dxfId="2727" priority="2728">
      <formula>$R315:$R640="End"</formula>
    </cfRule>
  </conditionalFormatting>
  <conditionalFormatting sqref="N315:O315">
    <cfRule type="expression" dxfId="2726" priority="2727" stopIfTrue="1">
      <formula>$R315:$R640="Cancel"</formula>
    </cfRule>
  </conditionalFormatting>
  <conditionalFormatting sqref="N315:O315 B349:O349 Q349 S349 AD349:AR350 W349:X349 B350:I350 K350:N350 P295:P299 P288">
    <cfRule type="expression" dxfId="2725" priority="2723">
      <formula>$X288:$X540="Penting"</formula>
    </cfRule>
    <cfRule type="expression" dxfId="2724" priority="2724">
      <formula>$R288:$R540=""</formula>
    </cfRule>
    <cfRule type="expression" dxfId="2723" priority="2725">
      <formula>$R288:$R540&lt;=0</formula>
    </cfRule>
    <cfRule type="expression" dxfId="2722" priority="2726">
      <formula>$R288:$R540&lt;4</formula>
    </cfRule>
  </conditionalFormatting>
  <conditionalFormatting sqref="N316:O316">
    <cfRule type="expression" dxfId="2721" priority="2722">
      <formula>$R316:$R641="End"</formula>
    </cfRule>
  </conditionalFormatting>
  <conditionalFormatting sqref="N316:O316">
    <cfRule type="expression" dxfId="2720" priority="2721" stopIfTrue="1">
      <formula>$R316:$R641="Cancel"</formula>
    </cfRule>
  </conditionalFormatting>
  <conditionalFormatting sqref="N316:O316">
    <cfRule type="expression" dxfId="2719" priority="2717">
      <formula>$X316:$X568="Penting"</formula>
    </cfRule>
    <cfRule type="expression" dxfId="2718" priority="2718">
      <formula>$R316:$R568=""</formula>
    </cfRule>
    <cfRule type="expression" dxfId="2717" priority="2719">
      <formula>$R316:$R568&lt;=0</formula>
    </cfRule>
    <cfRule type="expression" dxfId="2716" priority="2720">
      <formula>$R316:$R568&lt;4</formula>
    </cfRule>
  </conditionalFormatting>
  <conditionalFormatting sqref="N373:O373">
    <cfRule type="expression" dxfId="2715" priority="2716">
      <formula>$R373:$R693="End"</formula>
    </cfRule>
  </conditionalFormatting>
  <conditionalFormatting sqref="N373:O373">
    <cfRule type="expression" dxfId="2714" priority="2715" stopIfTrue="1">
      <formula>$R373:$R693="Cancel"</formula>
    </cfRule>
  </conditionalFormatting>
  <conditionalFormatting sqref="N373:O373 K370:O372 AD370:AR371 P314:P319 F371:F372 H371:I371 B370:I370 H372 AP372:AR372 O380 Y370:Z372">
    <cfRule type="expression" dxfId="2713" priority="2711">
      <formula>$X314:$X561="Penting"</formula>
    </cfRule>
    <cfRule type="expression" dxfId="2712" priority="2712">
      <formula>$R314:$R561=""</formula>
    </cfRule>
    <cfRule type="expression" dxfId="2711" priority="2713">
      <formula>$R314:$R561&lt;=0</formula>
    </cfRule>
    <cfRule type="expression" dxfId="2710" priority="2714">
      <formula>$R314:$R561&lt;4</formula>
    </cfRule>
  </conditionalFormatting>
  <conditionalFormatting sqref="N382">
    <cfRule type="expression" dxfId="2709" priority="2710">
      <formula>$R382:$R702="End"</formula>
    </cfRule>
  </conditionalFormatting>
  <conditionalFormatting sqref="N382">
    <cfRule type="expression" dxfId="2708" priority="2709" stopIfTrue="1">
      <formula>$R382:$R702="Cancel"</formula>
    </cfRule>
  </conditionalFormatting>
  <conditionalFormatting sqref="N382">
    <cfRule type="expression" dxfId="2707" priority="2705">
      <formula>$X382:$X629="Penting"</formula>
    </cfRule>
    <cfRule type="expression" dxfId="2706" priority="2706">
      <formula>$R382:$R629=""</formula>
    </cfRule>
    <cfRule type="expression" dxfId="2705" priority="2707">
      <formula>$R382:$R629&lt;=0</formula>
    </cfRule>
    <cfRule type="expression" dxfId="2704" priority="2708">
      <formula>$R382:$R629&lt;4</formula>
    </cfRule>
  </conditionalFormatting>
  <conditionalFormatting sqref="N392:O392">
    <cfRule type="expression" dxfId="2703" priority="2704">
      <formula>$R392:$R709="End"</formula>
    </cfRule>
  </conditionalFormatting>
  <conditionalFormatting sqref="N392:O392">
    <cfRule type="expression" dxfId="2702" priority="2703" stopIfTrue="1">
      <formula>$R392:$R709="Cancel"</formula>
    </cfRule>
  </conditionalFormatting>
  <conditionalFormatting sqref="N392:O392">
    <cfRule type="expression" dxfId="2701" priority="2699">
      <formula>$X392:$X636="Penting"</formula>
    </cfRule>
    <cfRule type="expression" dxfId="2700" priority="2700">
      <formula>$R392:$R636=""</formula>
    </cfRule>
    <cfRule type="expression" dxfId="2699" priority="2701">
      <formula>$R392:$R636&lt;=0</formula>
    </cfRule>
    <cfRule type="expression" dxfId="2698" priority="2702">
      <formula>$R392:$R636&lt;4</formula>
    </cfRule>
  </conditionalFormatting>
  <conditionalFormatting sqref="N439">
    <cfRule type="expression" dxfId="2697" priority="2698">
      <formula>$R439:$R753="End"</formula>
    </cfRule>
  </conditionalFormatting>
  <conditionalFormatting sqref="N439">
    <cfRule type="expression" dxfId="2696" priority="2697" stopIfTrue="1">
      <formula>$R439:$R753="Cancel"</formula>
    </cfRule>
  </conditionalFormatting>
  <conditionalFormatting sqref="N439">
    <cfRule type="expression" dxfId="2695" priority="2693">
      <formula>$X439:$X680="Penting"</formula>
    </cfRule>
    <cfRule type="expression" dxfId="2694" priority="2694">
      <formula>$R439:$R680=""</formula>
    </cfRule>
    <cfRule type="expression" dxfId="2693" priority="2695">
      <formula>$R439:$R680&lt;=0</formula>
    </cfRule>
    <cfRule type="expression" dxfId="2692" priority="2696">
      <formula>$R439:$R680&lt;4</formula>
    </cfRule>
  </conditionalFormatting>
  <conditionalFormatting sqref="N438">
    <cfRule type="expression" dxfId="2691" priority="2692">
      <formula>$R438:$R752="End"</formula>
    </cfRule>
  </conditionalFormatting>
  <conditionalFormatting sqref="N438">
    <cfRule type="expression" dxfId="2690" priority="2691" stopIfTrue="1">
      <formula>$R438:$R752="Cancel"</formula>
    </cfRule>
  </conditionalFormatting>
  <conditionalFormatting sqref="N438">
    <cfRule type="expression" dxfId="2689" priority="2687">
      <formula>$X438:$X687="Penting"</formula>
    </cfRule>
    <cfRule type="expression" dxfId="2688" priority="2688">
      <formula>$R438:$R687=""</formula>
    </cfRule>
    <cfRule type="expression" dxfId="2687" priority="2689">
      <formula>$R438:$R687&lt;=0</formula>
    </cfRule>
    <cfRule type="expression" dxfId="2686" priority="2690">
      <formula>$R438:$R687&lt;4</formula>
    </cfRule>
  </conditionalFormatting>
  <conditionalFormatting sqref="H399:N399">
    <cfRule type="expression" dxfId="2685" priority="2686">
      <formula>$R399:$R714="End"</formula>
    </cfRule>
  </conditionalFormatting>
  <conditionalFormatting sqref="H399:N399">
    <cfRule type="expression" dxfId="2684" priority="2685" stopIfTrue="1">
      <formula>$R399:$R714="Cancel"</formula>
    </cfRule>
  </conditionalFormatting>
  <conditionalFormatting sqref="H399:N399">
    <cfRule type="expression" dxfId="2683" priority="2681">
      <formula>$X399:$X641="Penting"</formula>
    </cfRule>
    <cfRule type="expression" dxfId="2682" priority="2682">
      <formula>$R399:$R641=""</formula>
    </cfRule>
    <cfRule type="expression" dxfId="2681" priority="2683">
      <formula>$R399:$R641&lt;=0</formula>
    </cfRule>
    <cfRule type="expression" dxfId="2680" priority="2684">
      <formula>$R399:$R641&lt;4</formula>
    </cfRule>
  </conditionalFormatting>
  <conditionalFormatting sqref="Y420">
    <cfRule type="expression" dxfId="2679" priority="2680">
      <formula>$R420:$R734="End"</formula>
    </cfRule>
  </conditionalFormatting>
  <conditionalFormatting sqref="Y420">
    <cfRule type="expression" dxfId="2678" priority="2679" stopIfTrue="1">
      <formula>$R420:$R734="Cancel"</formula>
    </cfRule>
  </conditionalFormatting>
  <conditionalFormatting sqref="Y420">
    <cfRule type="expression" dxfId="2677" priority="2675">
      <formula>$X420:$X661="Penting"</formula>
    </cfRule>
    <cfRule type="expression" dxfId="2676" priority="2676">
      <formula>$R420:$R661=""</formula>
    </cfRule>
    <cfRule type="expression" dxfId="2675" priority="2677">
      <formula>$R420:$R661&lt;=0</formula>
    </cfRule>
    <cfRule type="expression" dxfId="2674" priority="2678">
      <formula>$R420:$R661&lt;4</formula>
    </cfRule>
  </conditionalFormatting>
  <conditionalFormatting sqref="C399:F399">
    <cfRule type="expression" dxfId="2673" priority="2674">
      <formula>$R399:$R714="End"</formula>
    </cfRule>
  </conditionalFormatting>
  <conditionalFormatting sqref="C399:F399">
    <cfRule type="expression" dxfId="2672" priority="2673" stopIfTrue="1">
      <formula>$R399:$R714="Cancel"</formula>
    </cfRule>
  </conditionalFormatting>
  <conditionalFormatting sqref="C399:F399">
    <cfRule type="expression" dxfId="2671" priority="2669">
      <formula>$X399:$X641="Penting"</formula>
    </cfRule>
    <cfRule type="expression" dxfId="2670" priority="2670">
      <formula>$R399:$R641=""</formula>
    </cfRule>
    <cfRule type="expression" dxfId="2669" priority="2671">
      <formula>$R399:$R641&lt;=0</formula>
    </cfRule>
    <cfRule type="expression" dxfId="2668" priority="2672">
      <formula>$R399:$R641&lt;4</formula>
    </cfRule>
  </conditionalFormatting>
  <conditionalFormatting sqref="P399">
    <cfRule type="expression" dxfId="2667" priority="2668">
      <formula>$R399:$R719="End"</formula>
    </cfRule>
  </conditionalFormatting>
  <conditionalFormatting sqref="P399">
    <cfRule type="expression" dxfId="2666" priority="2667" stopIfTrue="1">
      <formula>$R399:$R719="Cancel"</formula>
    </cfRule>
  </conditionalFormatting>
  <conditionalFormatting sqref="P399 S390 AD390:AO390 P390:Q390 W390:X390">
    <cfRule type="expression" dxfId="2665" priority="2663">
      <formula>$X390:$X628="Penting"</formula>
    </cfRule>
    <cfRule type="expression" dxfId="2664" priority="2664">
      <formula>$R390:$R628=""</formula>
    </cfRule>
    <cfRule type="expression" dxfId="2663" priority="2665">
      <formula>$R390:$R628&lt;=0</formula>
    </cfRule>
    <cfRule type="expression" dxfId="2662" priority="2666">
      <formula>$R390:$R628&lt;4</formula>
    </cfRule>
  </conditionalFormatting>
  <conditionalFormatting sqref="AF399">
    <cfRule type="expression" dxfId="2661" priority="2662">
      <formula>$R399:$R714="End"</formula>
    </cfRule>
  </conditionalFormatting>
  <conditionalFormatting sqref="AF399">
    <cfRule type="expression" dxfId="2660" priority="2661" stopIfTrue="1">
      <formula>$R399:$R714="Cancel"</formula>
    </cfRule>
  </conditionalFormatting>
  <conditionalFormatting sqref="AF399">
    <cfRule type="expression" dxfId="2659" priority="2657">
      <formula>$X399:$X641="Penting"</formula>
    </cfRule>
    <cfRule type="expression" dxfId="2658" priority="2658">
      <formula>$R399:$R641=""</formula>
    </cfRule>
    <cfRule type="expression" dxfId="2657" priority="2659">
      <formula>$R399:$R641&lt;=0</formula>
    </cfRule>
    <cfRule type="expression" dxfId="2656" priority="2660">
      <formula>$R399:$R641&lt;4</formula>
    </cfRule>
  </conditionalFormatting>
  <conditionalFormatting sqref="C400:D400">
    <cfRule type="expression" dxfId="2655" priority="2656">
      <formula>$R400:$R715="End"</formula>
    </cfRule>
  </conditionalFormatting>
  <conditionalFormatting sqref="C400:D400">
    <cfRule type="expression" dxfId="2654" priority="2655" stopIfTrue="1">
      <formula>$R400:$R715="Cancel"</formula>
    </cfRule>
  </conditionalFormatting>
  <conditionalFormatting sqref="C400:D400">
    <cfRule type="expression" dxfId="2653" priority="2651">
      <formula>$X400:$X642="Penting"</formula>
    </cfRule>
    <cfRule type="expression" dxfId="2652" priority="2652">
      <formula>$R400:$R642=""</formula>
    </cfRule>
    <cfRule type="expression" dxfId="2651" priority="2653">
      <formula>$R400:$R642&lt;=0</formula>
    </cfRule>
    <cfRule type="expression" dxfId="2650" priority="2654">
      <formula>$R400:$R642&lt;4</formula>
    </cfRule>
  </conditionalFormatting>
  <conditionalFormatting sqref="C390:N390">
    <cfRule type="expression" dxfId="2649" priority="2647">
      <formula>$X390:$X628="Penting"</formula>
    </cfRule>
    <cfRule type="expression" dxfId="2648" priority="2648">
      <formula>$R390:$R628=""</formula>
    </cfRule>
    <cfRule type="expression" dxfId="2647" priority="2649">
      <formula>$R390:$R628&lt;=0</formula>
    </cfRule>
    <cfRule type="expression" dxfId="2646" priority="2650">
      <formula>$R390:$R628&lt;4</formula>
    </cfRule>
  </conditionalFormatting>
  <conditionalFormatting sqref="C390:N390 AD390:AO390 P390:Q390 S390:X390">
    <cfRule type="expression" dxfId="2645" priority="2646">
      <formula>$R390:$R693="End"</formula>
    </cfRule>
  </conditionalFormatting>
  <conditionalFormatting sqref="C390:N390 AD390:AO390 P390:Q390 S390:X390">
    <cfRule type="expression" dxfId="2644" priority="2645" stopIfTrue="1">
      <formula>$R390:$R693="Cancel"</formula>
    </cfRule>
  </conditionalFormatting>
  <conditionalFormatting sqref="T390:V390">
    <cfRule type="expression" dxfId="2643" priority="2641">
      <formula>$X390:$X693="Penting"</formula>
    </cfRule>
    <cfRule type="expression" dxfId="2642" priority="2642">
      <formula>$R390:$R693=""</formula>
    </cfRule>
    <cfRule type="expression" dxfId="2641" priority="2643">
      <formula>$R390:$R693&lt;=0</formula>
    </cfRule>
    <cfRule type="expression" dxfId="2640" priority="2644">
      <formula>$R390:$R693&lt;4</formula>
    </cfRule>
  </conditionalFormatting>
  <conditionalFormatting sqref="P450">
    <cfRule type="expression" dxfId="2639" priority="2640">
      <formula>$R450:$R766="End"</formula>
    </cfRule>
  </conditionalFormatting>
  <conditionalFormatting sqref="P450">
    <cfRule type="expression" dxfId="2638" priority="2639" stopIfTrue="1">
      <formula>$R450:$R766="Cancel"</formula>
    </cfRule>
  </conditionalFormatting>
  <conditionalFormatting sqref="AF404">
    <cfRule type="expression" dxfId="2637" priority="2638">
      <formula>$R404:$R722="End"</formula>
    </cfRule>
  </conditionalFormatting>
  <conditionalFormatting sqref="AF404">
    <cfRule type="expression" dxfId="2636" priority="2637" stopIfTrue="1">
      <formula>$R404:$R722="Cancel"</formula>
    </cfRule>
  </conditionalFormatting>
  <conditionalFormatting sqref="AF404">
    <cfRule type="expression" dxfId="2635" priority="2633">
      <formula>$X404:$X649="Penting"</formula>
    </cfRule>
    <cfRule type="expression" dxfId="2634" priority="2634">
      <formula>$R404:$R649=""</formula>
    </cfRule>
    <cfRule type="expression" dxfId="2633" priority="2635">
      <formula>$R404:$R649&lt;=0</formula>
    </cfRule>
    <cfRule type="expression" dxfId="2632" priority="2636">
      <formula>$R404:$R649&lt;4</formula>
    </cfRule>
  </conditionalFormatting>
  <conditionalFormatting sqref="AD235:AE235">
    <cfRule type="expression" dxfId="2631" priority="2632">
      <formula>$R235:$R576="End"</formula>
    </cfRule>
  </conditionalFormatting>
  <conditionalFormatting sqref="AD235:AE235">
    <cfRule type="expression" dxfId="2630" priority="2631" stopIfTrue="1">
      <formula>$R235:$R576="Cancel"</formula>
    </cfRule>
  </conditionalFormatting>
  <conditionalFormatting sqref="Z358">
    <cfRule type="expression" dxfId="2629" priority="2627">
      <formula>$X358:$X635="Penting"</formula>
    </cfRule>
    <cfRule type="expression" dxfId="2628" priority="2628">
      <formula>$R358:$R635=""</formula>
    </cfRule>
    <cfRule type="expression" dxfId="2627" priority="2629">
      <formula>$R358:$R635&lt;=0</formula>
    </cfRule>
    <cfRule type="expression" dxfId="2626" priority="2630">
      <formula>$R358:$R635&lt;4</formula>
    </cfRule>
  </conditionalFormatting>
  <conditionalFormatting sqref="B222:O222 B223:Q225 S222:S225 O228:O229 O231:O233 O243:O244 O247:O250 T222:Y223 AD221:AR225 P251:P252 Q222 B221:Z221 T224:Z224 T225:Y225 R301:R303">
    <cfRule type="expression" dxfId="2625" priority="2626">
      <formula>$R221:$R573="End"</formula>
    </cfRule>
  </conditionalFormatting>
  <conditionalFormatting sqref="B222:O222 B223:Q225 O228:O229 O231:O233 O243:O244 O247:O250 S222:Y223 AD221:AR225 P251:P252 Q222 S224:Z224 B221:Z221 S225:Y225 R301:R303">
    <cfRule type="expression" dxfId="2624" priority="2625" stopIfTrue="1">
      <formula>$R221:$R573="Cancel"</formula>
    </cfRule>
  </conditionalFormatting>
  <conditionalFormatting sqref="P212 R331:R334 R336:R338 R341:R343 R345:R347 K248:K250 B249:B250 F249:G250 S248:X250 Q248:Q250 AD201:AE201 P201 P209 B248:G248">
    <cfRule type="expression" dxfId="2623" priority="2624">
      <formula>$R201:$R550="End"</formula>
    </cfRule>
  </conditionalFormatting>
  <conditionalFormatting sqref="P212 R331:R334 R336:R338 R341:R343 R345:R347 K248:K250 B249:B250 F249:G250 S248:X250 Q248:Q250 AD201:AE201 P201 P209 B248:G248">
    <cfRule type="expression" dxfId="2622" priority="2623" stopIfTrue="1">
      <formula>$R201:$R550="Cancel"</formula>
    </cfRule>
  </conditionalFormatting>
  <conditionalFormatting sqref="AO420">
    <cfRule type="expression" dxfId="2621" priority="2622">
      <formula>$R420:$R735="End"</formula>
    </cfRule>
  </conditionalFormatting>
  <conditionalFormatting sqref="AO420">
    <cfRule type="expression" dxfId="2620" priority="2621" stopIfTrue="1">
      <formula>$R420:$R735="Cancel"</formula>
    </cfRule>
  </conditionalFormatting>
  <conditionalFormatting sqref="AO420">
    <cfRule type="expression" dxfId="2619" priority="2617">
      <formula>$X420:$X662="Penting"</formula>
    </cfRule>
    <cfRule type="expression" dxfId="2618" priority="2618">
      <formula>$R420:$R662=""</formula>
    </cfRule>
    <cfRule type="expression" dxfId="2617" priority="2619">
      <formula>$R420:$R662&lt;=0</formula>
    </cfRule>
    <cfRule type="expression" dxfId="2616" priority="2620">
      <formula>$R420:$R662&lt;4</formula>
    </cfRule>
  </conditionalFormatting>
  <conditionalFormatting sqref="P258 P255:P256 R351:R353 R360:R369 C249:E250 AD209:AE209 R371:R372">
    <cfRule type="expression" dxfId="2615" priority="2616">
      <formula>$R209:$R557="End"</formula>
    </cfRule>
  </conditionalFormatting>
  <conditionalFormatting sqref="P258 P255:P256 R351:R353 R360:R369 C249:E250 AD209:AE209 R371:R372">
    <cfRule type="expression" dxfId="2614" priority="2615" stopIfTrue="1">
      <formula>$R209:$R557="Cancel"</formula>
    </cfRule>
  </conditionalFormatting>
  <conditionalFormatting sqref="Z301:Z302 P202:P203">
    <cfRule type="expression" dxfId="2613" priority="2614">
      <formula>$R202:$R565="End"</formula>
    </cfRule>
  </conditionalFormatting>
  <conditionalFormatting sqref="Z301:Z302 P202:P203">
    <cfRule type="expression" dxfId="2612" priority="2613" stopIfTrue="1">
      <formula>$R202:$R565="Cancel"</formula>
    </cfRule>
  </conditionalFormatting>
  <conditionalFormatting sqref="AF290 P289:P294 AF293:AF294 B268:O270 Q268:Q270 S268:Z270 AD268:AR270">
    <cfRule type="expression" dxfId="2611" priority="2612">
      <formula>$R268:$R603="End"</formula>
    </cfRule>
  </conditionalFormatting>
  <conditionalFormatting sqref="AF290 P289:P294 AF293:AF294 B268:O270 Q268:Q270 S268:Z270 AD268:AR270">
    <cfRule type="expression" dxfId="2610" priority="2611" stopIfTrue="1">
      <formula>$R268:$R603="Cancel"</formula>
    </cfRule>
  </conditionalFormatting>
  <conditionalFormatting sqref="AF291">
    <cfRule type="expression" dxfId="2609" priority="2610">
      <formula>$R291:$R626="End"</formula>
    </cfRule>
  </conditionalFormatting>
  <conditionalFormatting sqref="AF291">
    <cfRule type="expression" dxfId="2608" priority="2609" stopIfTrue="1">
      <formula>$R291:$R626="Cancel"</formula>
    </cfRule>
  </conditionalFormatting>
  <conditionalFormatting sqref="AF292">
    <cfRule type="expression" dxfId="2607" priority="2608">
      <formula>$R292:$R627="End"</formula>
    </cfRule>
  </conditionalFormatting>
  <conditionalFormatting sqref="AF292">
    <cfRule type="expression" dxfId="2606" priority="2607" stopIfTrue="1">
      <formula>$R292:$R627="Cancel"</formula>
    </cfRule>
  </conditionalFormatting>
  <conditionalFormatting sqref="AF296">
    <cfRule type="expression" dxfId="2605" priority="2606">
      <formula>$R296:$R630="End"</formula>
    </cfRule>
  </conditionalFormatting>
  <conditionalFormatting sqref="AF296">
    <cfRule type="expression" dxfId="2604" priority="2605" stopIfTrue="1">
      <formula>$R296:$R630="Cancel"</formula>
    </cfRule>
  </conditionalFormatting>
  <conditionalFormatting sqref="AF297">
    <cfRule type="expression" dxfId="2603" priority="2604">
      <formula>$R297:$R631="End"</formula>
    </cfRule>
  </conditionalFormatting>
  <conditionalFormatting sqref="AF297">
    <cfRule type="expression" dxfId="2602" priority="2603" stopIfTrue="1">
      <formula>$R297:$R631="Cancel"</formula>
    </cfRule>
  </conditionalFormatting>
  <conditionalFormatting sqref="C212:G212 P304:P312 H209 I212:M212 C209:D209">
    <cfRule type="expression" dxfId="2601" priority="2602">
      <formula>$R209:$R541="End"</formula>
    </cfRule>
  </conditionalFormatting>
  <conditionalFormatting sqref="C212:G212 P304:P312 H209 I212:M212 C209:D209">
    <cfRule type="expression" dxfId="2600" priority="2601" stopIfTrue="1">
      <formula>$R209:$R541="Cancel"</formula>
    </cfRule>
  </conditionalFormatting>
  <conditionalFormatting sqref="AF300 P300:P303 C266:C267">
    <cfRule type="expression" dxfId="2599" priority="2600">
      <formula>$R266:$R599="End"</formula>
    </cfRule>
  </conditionalFormatting>
  <conditionalFormatting sqref="AF300 P300:P303 C266:C267">
    <cfRule type="expression" dxfId="2598" priority="2599" stopIfTrue="1">
      <formula>$R266:$R599="Cancel"</formula>
    </cfRule>
  </conditionalFormatting>
  <conditionalFormatting sqref="AF295">
    <cfRule type="expression" dxfId="2597" priority="2598">
      <formula>$R295:$R629="End"</formula>
    </cfRule>
  </conditionalFormatting>
  <conditionalFormatting sqref="AF295">
    <cfRule type="expression" dxfId="2596" priority="2597" stopIfTrue="1">
      <formula>$R295:$R629="Cancel"</formula>
    </cfRule>
  </conditionalFormatting>
  <conditionalFormatting sqref="W300:Z300 B300:O303 W301:Y303 S300:S302 Q300:Q303 AD300:AR303 P266:P267">
    <cfRule type="expression" dxfId="2595" priority="2593">
      <formula>$X266:$X526="Penting"</formula>
    </cfRule>
    <cfRule type="expression" dxfId="2594" priority="2594">
      <formula>$R266:$R526=""</formula>
    </cfRule>
    <cfRule type="expression" dxfId="2593" priority="2595">
      <formula>$R266:$R526&lt;=0</formula>
    </cfRule>
    <cfRule type="expression" dxfId="2592" priority="2596">
      <formula>$R266:$R526&lt;4</formula>
    </cfRule>
  </conditionalFormatting>
  <conditionalFormatting sqref="N400">
    <cfRule type="expression" dxfId="2591" priority="2589">
      <formula>$X400:$X649="Penting"</formula>
    </cfRule>
    <cfRule type="expression" dxfId="2590" priority="2590">
      <formula>$R400:$R649=""</formula>
    </cfRule>
    <cfRule type="expression" dxfId="2589" priority="2591">
      <formula>$R400:$R649&lt;=0</formula>
    </cfRule>
    <cfRule type="expression" dxfId="2588" priority="2592">
      <formula>$R400:$R649&lt;4</formula>
    </cfRule>
  </conditionalFormatting>
  <conditionalFormatting sqref="N400 P386:P387 P373:P384">
    <cfRule type="expression" dxfId="2587" priority="2588">
      <formula>$R373:$R695="End"</formula>
    </cfRule>
  </conditionalFormatting>
  <conditionalFormatting sqref="N400 P386:P387 P373:P384">
    <cfRule type="expression" dxfId="2586" priority="2587" stopIfTrue="1">
      <formula>$R373:$R695="Cancel"</formula>
    </cfRule>
  </conditionalFormatting>
  <conditionalFormatting sqref="AF400">
    <cfRule type="expression" dxfId="2585" priority="2586">
      <formula>$R400:$R715="End"</formula>
    </cfRule>
  </conditionalFormatting>
  <conditionalFormatting sqref="AF400">
    <cfRule type="expression" dxfId="2584" priority="2585" stopIfTrue="1">
      <formula>$R400:$R715="Cancel"</formula>
    </cfRule>
  </conditionalFormatting>
  <conditionalFormatting sqref="AF400">
    <cfRule type="expression" dxfId="2583" priority="2581">
      <formula>$X400:$X642="Penting"</formula>
    </cfRule>
    <cfRule type="expression" dxfId="2582" priority="2582">
      <formula>$R400:$R642=""</formula>
    </cfRule>
    <cfRule type="expression" dxfId="2581" priority="2583">
      <formula>$R400:$R642&lt;=0</formula>
    </cfRule>
    <cfRule type="expression" dxfId="2580" priority="2584">
      <formula>$R400:$R642&lt;4</formula>
    </cfRule>
  </conditionalFormatting>
  <conditionalFormatting sqref="P338">
    <cfRule type="expression" dxfId="2579" priority="2577">
      <formula>$X338:$X583="Penting"</formula>
    </cfRule>
    <cfRule type="expression" dxfId="2578" priority="2578">
      <formula>$R338:$R583=""</formula>
    </cfRule>
    <cfRule type="expression" dxfId="2577" priority="2579">
      <formula>$R338:$R583&lt;=0</formula>
    </cfRule>
    <cfRule type="expression" dxfId="2576" priority="2580">
      <formula>$R338:$R583&lt;4</formula>
    </cfRule>
  </conditionalFormatting>
  <conditionalFormatting sqref="P338">
    <cfRule type="expression" dxfId="2575" priority="2576">
      <formula>$R338:$R665="End"</formula>
    </cfRule>
  </conditionalFormatting>
  <conditionalFormatting sqref="P338">
    <cfRule type="expression" dxfId="2574" priority="2575" stopIfTrue="1">
      <formula>$R338:$R665="Cancel"</formula>
    </cfRule>
  </conditionalFormatting>
  <conditionalFormatting sqref="P445">
    <cfRule type="expression" dxfId="2573" priority="2574">
      <formula>$R445:$R761="End"</formula>
    </cfRule>
  </conditionalFormatting>
  <conditionalFormatting sqref="P445">
    <cfRule type="expression" dxfId="2572" priority="2573" stopIfTrue="1">
      <formula>$R445:$R761="Cancel"</formula>
    </cfRule>
  </conditionalFormatting>
  <conditionalFormatting sqref="P355">
    <cfRule type="expression" dxfId="2571" priority="2572">
      <formula>$R355:$R680="End"</formula>
    </cfRule>
  </conditionalFormatting>
  <conditionalFormatting sqref="P355">
    <cfRule type="expression" dxfId="2570" priority="2571" stopIfTrue="1">
      <formula>$R355:$R680="Cancel"</formula>
    </cfRule>
  </conditionalFormatting>
  <conditionalFormatting sqref="P355">
    <cfRule type="expression" dxfId="2569" priority="2567">
      <formula>$X355:$X598="Penting"</formula>
    </cfRule>
    <cfRule type="expression" dxfId="2568" priority="2568">
      <formula>$R355:$R598=""</formula>
    </cfRule>
    <cfRule type="expression" dxfId="2567" priority="2569">
      <formula>$R355:$R598&lt;=0</formula>
    </cfRule>
    <cfRule type="expression" dxfId="2566" priority="2570">
      <formula>$R355:$R598&lt;4</formula>
    </cfRule>
  </conditionalFormatting>
  <conditionalFormatting sqref="Y362">
    <cfRule type="expression" dxfId="2565" priority="2566">
      <formula>$R362:$R675="End"</formula>
    </cfRule>
  </conditionalFormatting>
  <conditionalFormatting sqref="Y362">
    <cfRule type="expression" dxfId="2564" priority="2562">
      <formula>$X362:$X610="Penting"</formula>
    </cfRule>
    <cfRule type="expression" dxfId="2563" priority="2563">
      <formula>$R362:$R610=""</formula>
    </cfRule>
    <cfRule type="expression" dxfId="2562" priority="2564">
      <formula>$R362:$R610&lt;=0</formula>
    </cfRule>
    <cfRule type="expression" dxfId="2561" priority="2565">
      <formula>$R362:$R610&lt;4</formula>
    </cfRule>
  </conditionalFormatting>
  <conditionalFormatting sqref="Y362">
    <cfRule type="expression" dxfId="2560" priority="2561" stopIfTrue="1">
      <formula>$R362:$R675="Cancel"</formula>
    </cfRule>
  </conditionalFormatting>
  <conditionalFormatting sqref="Z203 Z201 Z212 AA201:AC219 P167:P168">
    <cfRule type="expression" dxfId="2559" priority="2560">
      <formula>$R167:$R548="End"</formula>
    </cfRule>
  </conditionalFormatting>
  <conditionalFormatting sqref="Z203 Z201 Z212 AA201:AC219 P167:P168">
    <cfRule type="expression" dxfId="2558" priority="2559" stopIfTrue="1">
      <formula>$R167:$R548="Cancel"</formula>
    </cfRule>
  </conditionalFormatting>
  <conditionalFormatting sqref="F404:O404">
    <cfRule type="expression" dxfId="2557" priority="2555">
      <formula>$X404:$X655="Penting"</formula>
    </cfRule>
    <cfRule type="expression" dxfId="2556" priority="2556">
      <formula>$R404:$R655=""</formula>
    </cfRule>
    <cfRule type="expression" dxfId="2555" priority="2557">
      <formula>$R404:$R655&lt;=0</formula>
    </cfRule>
    <cfRule type="expression" dxfId="2554" priority="2558">
      <formula>$R404:$R655&lt;4</formula>
    </cfRule>
  </conditionalFormatting>
  <conditionalFormatting sqref="F404:O404 S304:Z306 S308:Z311 Q304:Q313 B304:O311 AD304:AR313 S312:Y313 B313:O313 B312:E312 G312:M312">
    <cfRule type="expression" dxfId="2553" priority="2554">
      <formula>$R304:$R628="End"</formula>
    </cfRule>
  </conditionalFormatting>
  <conditionalFormatting sqref="F404:O404 S304:Z306 S308:Z311 Q304:Q313 B304:O311 AD304:AR313 S312:Y313 B313:O313 B312:E312 G312:M312">
    <cfRule type="expression" dxfId="2552" priority="2553" stopIfTrue="1">
      <formula>$R304:$R628="Cancel"</formula>
    </cfRule>
  </conditionalFormatting>
  <conditionalFormatting sqref="L154:O154">
    <cfRule type="expression" dxfId="2551" priority="2549">
      <formula>$X154:$X467="Penting"</formula>
    </cfRule>
    <cfRule type="expression" dxfId="2550" priority="2550">
      <formula>$R154:$R467=""</formula>
    </cfRule>
    <cfRule type="expression" dxfId="2549" priority="2551">
      <formula>$R154:$R467&lt;=0</formula>
    </cfRule>
    <cfRule type="expression" dxfId="2548" priority="2552">
      <formula>$R154:$R467&lt;4</formula>
    </cfRule>
  </conditionalFormatting>
  <conditionalFormatting sqref="R390">
    <cfRule type="expression" dxfId="2547" priority="2545">
      <formula>$X390:$X652="Penting"</formula>
    </cfRule>
    <cfRule type="expression" dxfId="2546" priority="2546">
      <formula>$R390:$R652=""</formula>
    </cfRule>
    <cfRule type="expression" dxfId="2545" priority="2547">
      <formula>$R390:$R652&lt;=0</formula>
    </cfRule>
    <cfRule type="expression" dxfId="2544" priority="2548">
      <formula>$R390:$R652&lt;4</formula>
    </cfRule>
  </conditionalFormatting>
  <conditionalFormatting sqref="Q234:Z234 R314:R319 Q240:Q241 Q243:Q245 B226:O227 B243:N244 B236:Z239 S231:S233 S240:S241 S243:S245 B228:N229 B231:N233 S226:X229 T232:X233 T240:X240 T245:Y245 T243:X244 S247:X247 B240:F240 H240:O240 AD226:AE234 AD236:AE250 B242:Z242 L248:N250 H248:J250 AF226:AR250 T231:Y231 T241:Y241 B246:Z246 Q247 B245:M245 Z226 Q235 S235:Y235 S230:Z230 Q226:Q233 B235 B247:N247 B234:O234 B230:O230">
    <cfRule type="expression" dxfId="2543" priority="2544">
      <formula>$R226:$R576="End"</formula>
    </cfRule>
  </conditionalFormatting>
  <conditionalFormatting sqref="S245:Y245 R314:R319 B236:Z239 Q240:Q241 B226:O227 B243:N244 Q243:Q245 B228:N229 B231:N233 B235 B247:N247 B234:O234 S226:X229 S232:X233 S240:X240 S243:X244 S247:X247 B240:F240 H240:O240 AD226:AE234 AD236:AE250 B246:Z246 L248:N250 H248:J250 AF226:AR250 Q247 Q234:Z234 B245:M245 Z226 B230:O230 Q235 S230:Z230 Q226:Q233 B242:Z242 S231:Y231 S235:Y235 S241:Y241">
    <cfRule type="expression" dxfId="2542" priority="2543" stopIfTrue="1">
      <formula>$R226:$R576="Cancel"</formula>
    </cfRule>
  </conditionalFormatting>
  <conditionalFormatting sqref="S183">
    <cfRule type="expression" dxfId="2541" priority="2539">
      <formula>$X183:$X594="Penting"</formula>
    </cfRule>
    <cfRule type="expression" dxfId="2540" priority="2540">
      <formula>$R183:$R594=""</formula>
    </cfRule>
    <cfRule type="expression" dxfId="2539" priority="2541">
      <formula>$R183:$R594&lt;=0</formula>
    </cfRule>
    <cfRule type="expression" dxfId="2538" priority="2542">
      <formula>$R183:$R594&lt;4</formula>
    </cfRule>
  </conditionalFormatting>
  <conditionalFormatting sqref="B288:O288 R391:R396 S296:S298 Q295:Q299 B295:O295 W295:Z295 R295:S295 AD295:AR299 Q288:S288 B296:M299 P264 W296:X299 W178:X178 E178 AO178 AG178:AM178 P178:Q178 S178 AD178:AE178 B178 W288:Z288 AD288:AR288">
    <cfRule type="expression" dxfId="2537" priority="2535">
      <formula>$X178:$X439="Penting"</formula>
    </cfRule>
    <cfRule type="expression" dxfId="2536" priority="2536">
      <formula>$R178:$R439=""</formula>
    </cfRule>
    <cfRule type="expression" dxfId="2535" priority="2537">
      <formula>$R178:$R439&lt;=0</formula>
    </cfRule>
    <cfRule type="expression" dxfId="2534" priority="2538">
      <formula>$R178:$R439&lt;4</formula>
    </cfRule>
  </conditionalFormatting>
  <conditionalFormatting sqref="AC350 AA321:AC349 R266:R270 B202:O203 Y204:Z208 Y213:Z219 B201 T203:Y203 Q202:Z202 S201:Y201 Q201 Q203 AO201:AR201 AD203:AM203 AO203:AR203 AD202:AR202 Y210:Z210 S200:X200 AF201:AM201">
    <cfRule type="expression" dxfId="2533" priority="2534">
      <formula>$R200:$R558="End"</formula>
    </cfRule>
  </conditionalFormatting>
  <conditionalFormatting sqref="AC350 AA321:AC349 R266:R270 B202:O203 Y204:Z208 Y213:Z219 B201 T203:Y203 Q202:Z202 S201:Y201 Q201 Q203 AO201:AR201 AD203:AM203 AO203:AR203 AD202:AR202 Y210:Z210 S200:X200 AF201:AM201">
    <cfRule type="expression" dxfId="2532" priority="2533" stopIfTrue="1">
      <formula>$R200:$R558="Cancel"</formula>
    </cfRule>
  </conditionalFormatting>
  <conditionalFormatting sqref="Z307 AA294:AC295 AB296:AC299 AB289:AC293 C259:D262 AD255:AR255 B255:O255 Y247:Z248 Y249:Y250 C243:D245 Y227:Z229 Y232:Z233 Y243:Z244 P204:P208 P213:P220 C247:D247 P210">
    <cfRule type="expression" dxfId="2531" priority="2529">
      <formula>$X204:$X484="Penting"</formula>
    </cfRule>
    <cfRule type="expression" dxfId="2530" priority="2530">
      <formula>$R204:$R484=""</formula>
    </cfRule>
    <cfRule type="expression" dxfId="2529" priority="2531">
      <formula>$R204:$R484&lt;=0</formula>
    </cfRule>
    <cfRule type="expression" dxfId="2528" priority="2532">
      <formula>$R204:$R484&lt;4</formula>
    </cfRule>
  </conditionalFormatting>
  <conditionalFormatting sqref="AA412:AC419 AB411:AC411 AA421:AC425 AB420:AC420 AA427:AC522 AC426 AA408:AC410">
    <cfRule type="expression" dxfId="2527" priority="2525">
      <formula>$X408:$X677="Penting"</formula>
    </cfRule>
    <cfRule type="expression" dxfId="2526" priority="2526">
      <formula>$R408:$R677=""</formula>
    </cfRule>
    <cfRule type="expression" dxfId="2525" priority="2527">
      <formula>$R408:$R677&lt;=0</formula>
    </cfRule>
    <cfRule type="expression" dxfId="2524" priority="2528">
      <formula>$R408:$R677&lt;4</formula>
    </cfRule>
  </conditionalFormatting>
  <conditionalFormatting sqref="Z402">
    <cfRule type="expression" dxfId="2523" priority="2521">
      <formula>$X402:$X674="Penting"</formula>
    </cfRule>
    <cfRule type="expression" dxfId="2522" priority="2522">
      <formula>$R402:$R674=""</formula>
    </cfRule>
    <cfRule type="expression" dxfId="2521" priority="2523">
      <formula>$R402:$R674&lt;=0</formula>
    </cfRule>
    <cfRule type="expression" dxfId="2520" priority="2524">
      <formula>$R402:$R674&lt;4</formula>
    </cfRule>
  </conditionalFormatting>
  <conditionalFormatting sqref="Z312">
    <cfRule type="expression" dxfId="2519" priority="2517">
      <formula>$X312:$X592="Penting"</formula>
    </cfRule>
    <cfRule type="expression" dxfId="2518" priority="2518">
      <formula>$R312:$R592=""</formula>
    </cfRule>
    <cfRule type="expression" dxfId="2517" priority="2519">
      <formula>$R312:$R592&lt;=0</formula>
    </cfRule>
    <cfRule type="expression" dxfId="2516" priority="2520">
      <formula>$R312:$R592&lt;4</formula>
    </cfRule>
  </conditionalFormatting>
  <conditionalFormatting sqref="Z235 AA221:AC250 Z222:Z223 Z249:Z250 Z231 AB193:AC194 Q194 S194:S195 Z225 Z245 P180:P182 K191:K194 Q191:Q192 S191:S192 Z241">
    <cfRule type="expression" dxfId="2515" priority="2513">
      <formula>$X180:$X474="Penting"</formula>
    </cfRule>
    <cfRule type="expression" dxfId="2514" priority="2514">
      <formula>$R180:$R474=""</formula>
    </cfRule>
    <cfRule type="expression" dxfId="2513" priority="2515">
      <formula>$R180:$R474&lt;=0</formula>
    </cfRule>
    <cfRule type="expression" dxfId="2512" priority="2516">
      <formula>$R180:$R474&lt;4</formula>
    </cfRule>
  </conditionalFormatting>
  <conditionalFormatting sqref="R177 R182:R183 P158:P166 T391:V396">
    <cfRule type="expression" dxfId="2511" priority="2509">
      <formula>$X158:$X460="Penting"</formula>
    </cfRule>
    <cfRule type="expression" dxfId="2510" priority="2510">
      <formula>$R158:$R460=""</formula>
    </cfRule>
    <cfRule type="expression" dxfId="2509" priority="2511">
      <formula>$R158:$R460&lt;=0</formula>
    </cfRule>
    <cfRule type="expression" dxfId="2508" priority="2512">
      <formula>$R158:$R460&lt;4</formula>
    </cfRule>
  </conditionalFormatting>
  <conditionalFormatting sqref="AB307:AC307 AA304:AC306 AA308:AC311 AB312:AC312 S258 B257:S257 W256:Z258 B256:O256 Q256:S256 Q255 B258:O258 B259:B263 M259:O263 Q258:Q259 E259:K262 Y259:Z263 F263:K263 AD256:AR263 AD234:AR234 C240:D240 W235:Y235 Q234:S234 C233:D233 C228:D228 C231:D231 B234:O234 C248:D250 AF235:AR235 W234:Z234 S235 B235 Q235 S254:S255 W254:X255">
    <cfRule type="expression" dxfId="2507" priority="2505">
      <formula>$X228:$X506="Penting"</formula>
    </cfRule>
    <cfRule type="expression" dxfId="2506" priority="2506">
      <formula>$R228:$R506=""</formula>
    </cfRule>
    <cfRule type="expression" dxfId="2505" priority="2507">
      <formula>$R228:$R506&lt;=0</formula>
    </cfRule>
    <cfRule type="expression" dxfId="2504" priority="2508">
      <formula>$R228:$R506&lt;4</formula>
    </cfRule>
  </conditionalFormatting>
  <conditionalFormatting sqref="R180">
    <cfRule type="expression" dxfId="2503" priority="2501">
      <formula>$X180:$X482="Penting"</formula>
    </cfRule>
    <cfRule type="expression" dxfId="2502" priority="2502">
      <formula>$R180:$R482=""</formula>
    </cfRule>
    <cfRule type="expression" dxfId="2501" priority="2503">
      <formula>$R180:$R482&lt;=0</formula>
    </cfRule>
    <cfRule type="expression" dxfId="2500" priority="2504">
      <formula>$R180:$R482&lt;4</formula>
    </cfRule>
  </conditionalFormatting>
  <conditionalFormatting sqref="AB307:AC307">
    <cfRule type="expression" dxfId="2499" priority="2500">
      <formula>$R307:$R667="End"</formula>
    </cfRule>
  </conditionalFormatting>
  <conditionalFormatting sqref="AB307:AC307">
    <cfRule type="expression" dxfId="2498" priority="2499" stopIfTrue="1">
      <formula>$R307:$R667="Cancel"</formula>
    </cfRule>
  </conditionalFormatting>
  <conditionalFormatting sqref="Z402 AB373:AC381 AA390:AC391 AB383:AC389 AA394:AC396 AB392:AC393 R289:R294 P248:P250 AA382:AC382">
    <cfRule type="expression" dxfId="2497" priority="2498">
      <formula>$R248:$R602="End"</formula>
    </cfRule>
  </conditionalFormatting>
  <conditionalFormatting sqref="Z402 AB373:AC381 AA390:AC391 AB383:AC389 AA394:AC396 AB392:AC393 R289:R294 P248:P250 AA382:AC382">
    <cfRule type="expression" dxfId="2496" priority="2497" stopIfTrue="1">
      <formula>$R248:$R602="Cancel"</formula>
    </cfRule>
  </conditionalFormatting>
  <conditionalFormatting sqref="Z209">
    <cfRule type="expression" dxfId="2495" priority="2496">
      <formula>$R209:$R590="End"</formula>
    </cfRule>
  </conditionalFormatting>
  <conditionalFormatting sqref="Z209">
    <cfRule type="expression" dxfId="2494" priority="2495" stopIfTrue="1">
      <formula>$R209:$R590="Cancel"</formula>
    </cfRule>
  </conditionalFormatting>
  <conditionalFormatting sqref="R194 AA196:AC200 B161:B166 Y162:Z163 D161:O166 Q160:Q166 Y165:Z166 T161:Z161 B160:O160 Y164 AD161:AM166 AO161:AR166 AD160:AR160 R191:R192">
    <cfRule type="expression" dxfId="2493" priority="2494">
      <formula>$R160:$R542="End"</formula>
    </cfRule>
  </conditionalFormatting>
  <conditionalFormatting sqref="R194 AA196:AC200 B161:B166 Y162:Z163 D161:O166 Q160:Q166 Y165:Z166 T161:Z161 B160:O160 Y164 AD161:AM166 AO161:AR166 AD160:AR160 R191:R192">
    <cfRule type="expression" dxfId="2492" priority="2493" stopIfTrue="1">
      <formula>$R160:$R542="Cancel"</formula>
    </cfRule>
  </conditionalFormatting>
  <conditionalFormatting sqref="R274 R277:R279 R281:R282 R284:R285 AA353:AC357 AB351:AC352 AA361:AC361 AB360:AC360 AB362:AC369 AA359:AC359 AF209:AR211 Q204:Q210 S212:S216 B204:O208 AD204:AR208 S204:X210 T213:X216 AF213:AR219 AD210:AE219 Q212:Q220 B213:O218 B220:O220 B219:K219 M219:O219 AP220:AR220 P222 S217:X220 B212 B210:O210 B209 T212:Y212 S203 AG212:AR212 B211:Z211 AB358:AC358">
    <cfRule type="expression" dxfId="2491" priority="2492">
      <formula>$R203:$R560="End"</formula>
    </cfRule>
  </conditionalFormatting>
  <conditionalFormatting sqref="R274 R277:R279 R281:R282 R284:R285 AA353:AC357 AB351:AC352 AA361:AC361 AB360:AC360 AB362:AC369 AA359:AC359 Q204:Q210 B204:O208 S204:X210 AD204:AR208 AD210:AR211 AF213:AR219 AD212:AE219 Q212:Q220 AF209:AR209 B213:O218 B220:O220 B219:K219 M219:O219 AP220:AR220 P222 S213:X220 B211:Z211 B212 S212:Y212 B210:O210 B209 S203 AG212:AR212 AB358:AC358">
    <cfRule type="expression" dxfId="2490" priority="2491" stopIfTrue="1">
      <formula>$R203:$R560="Cancel"</formula>
    </cfRule>
  </conditionalFormatting>
  <conditionalFormatting sqref="R323">
    <cfRule type="expression" dxfId="2489" priority="2487">
      <formula>$X323:$X590="Penting"</formula>
    </cfRule>
    <cfRule type="expression" dxfId="2488" priority="2488">
      <formula>$R323:$R590=""</formula>
    </cfRule>
    <cfRule type="expression" dxfId="2487" priority="2489">
      <formula>$R323:$R590&lt;=0</formula>
    </cfRule>
    <cfRule type="expression" dxfId="2486" priority="2490">
      <formula>$R323:$R590&lt;4</formula>
    </cfRule>
  </conditionalFormatting>
  <conditionalFormatting sqref="R323">
    <cfRule type="expression" dxfId="2485" priority="2486">
      <formula>$R323:$R672="End"</formula>
    </cfRule>
  </conditionalFormatting>
  <conditionalFormatting sqref="R323">
    <cfRule type="expression" dxfId="2484" priority="2485" stopIfTrue="1">
      <formula>$R323:$R672="Cancel"</formula>
    </cfRule>
  </conditionalFormatting>
  <conditionalFormatting sqref="R325">
    <cfRule type="expression" dxfId="2483" priority="2481">
      <formula>$X325:$X592="Penting"</formula>
    </cfRule>
    <cfRule type="expression" dxfId="2482" priority="2482">
      <formula>$R325:$R592=""</formula>
    </cfRule>
    <cfRule type="expression" dxfId="2481" priority="2483">
      <formula>$R325:$R592&lt;=0</formula>
    </cfRule>
    <cfRule type="expression" dxfId="2480" priority="2484">
      <formula>$R325:$R592&lt;4</formula>
    </cfRule>
  </conditionalFormatting>
  <conditionalFormatting sqref="R325">
    <cfRule type="expression" dxfId="2479" priority="2480">
      <formula>$R325:$R674="End"</formula>
    </cfRule>
  </conditionalFormatting>
  <conditionalFormatting sqref="R325">
    <cfRule type="expression" dxfId="2478" priority="2479" stopIfTrue="1">
      <formula>$R325:$R674="Cancel"</formula>
    </cfRule>
  </conditionalFormatting>
  <conditionalFormatting sqref="R329">
    <cfRule type="expression" dxfId="2477" priority="2475">
      <formula>$X329:$X596="Penting"</formula>
    </cfRule>
    <cfRule type="expression" dxfId="2476" priority="2476">
      <formula>$R329:$R596=""</formula>
    </cfRule>
    <cfRule type="expression" dxfId="2475" priority="2477">
      <formula>$R329:$R596&lt;=0</formula>
    </cfRule>
    <cfRule type="expression" dxfId="2474" priority="2478">
      <formula>$R329:$R596&lt;4</formula>
    </cfRule>
  </conditionalFormatting>
  <conditionalFormatting sqref="R329">
    <cfRule type="expression" dxfId="2473" priority="2474">
      <formula>$R329:$R678="End"</formula>
    </cfRule>
  </conditionalFormatting>
  <conditionalFormatting sqref="R329">
    <cfRule type="expression" dxfId="2472" priority="2473" stopIfTrue="1">
      <formula>$R329:$R678="Cancel"</formula>
    </cfRule>
  </conditionalFormatting>
  <conditionalFormatting sqref="R339">
    <cfRule type="expression" dxfId="2471" priority="2469">
      <formula>$X339:$X606="Penting"</formula>
    </cfRule>
    <cfRule type="expression" dxfId="2470" priority="2470">
      <formula>$R339:$R606=""</formula>
    </cfRule>
    <cfRule type="expression" dxfId="2469" priority="2471">
      <formula>$R339:$R606&lt;=0</formula>
    </cfRule>
    <cfRule type="expression" dxfId="2468" priority="2472">
      <formula>$R339:$R606&lt;4</formula>
    </cfRule>
  </conditionalFormatting>
  <conditionalFormatting sqref="R339">
    <cfRule type="expression" dxfId="2467" priority="2468">
      <formula>$R339:$R688="End"</formula>
    </cfRule>
  </conditionalFormatting>
  <conditionalFormatting sqref="R339">
    <cfRule type="expression" dxfId="2466" priority="2467" stopIfTrue="1">
      <formula>$R339:$R688="Cancel"</formula>
    </cfRule>
  </conditionalFormatting>
  <conditionalFormatting sqref="R349">
    <cfRule type="expression" dxfId="2465" priority="2463">
      <formula>$X349:$X616="Penting"</formula>
    </cfRule>
    <cfRule type="expression" dxfId="2464" priority="2464">
      <formula>$R349:$R616=""</formula>
    </cfRule>
    <cfRule type="expression" dxfId="2463" priority="2465">
      <formula>$R349:$R616&lt;=0</formula>
    </cfRule>
    <cfRule type="expression" dxfId="2462" priority="2466">
      <formula>$R349:$R616&lt;4</formula>
    </cfRule>
  </conditionalFormatting>
  <conditionalFormatting sqref="R349">
    <cfRule type="expression" dxfId="2461" priority="2462">
      <formula>$R349:$R698="End"</formula>
    </cfRule>
  </conditionalFormatting>
  <conditionalFormatting sqref="R349">
    <cfRule type="expression" dxfId="2460" priority="2461" stopIfTrue="1">
      <formula>$R349:$R698="Cancel"</formula>
    </cfRule>
  </conditionalFormatting>
  <conditionalFormatting sqref="R348">
    <cfRule type="expression" dxfId="2459" priority="2457">
      <formula>$X348:$X615="Penting"</formula>
    </cfRule>
    <cfRule type="expression" dxfId="2458" priority="2458">
      <formula>$R348:$R615=""</formula>
    </cfRule>
    <cfRule type="expression" dxfId="2457" priority="2459">
      <formula>$R348:$R615&lt;=0</formula>
    </cfRule>
    <cfRule type="expression" dxfId="2456" priority="2460">
      <formula>$R348:$R615&lt;4</formula>
    </cfRule>
  </conditionalFormatting>
  <conditionalFormatting sqref="R348">
    <cfRule type="expression" dxfId="2455" priority="2456">
      <formula>$R348:$R697="End"</formula>
    </cfRule>
  </conditionalFormatting>
  <conditionalFormatting sqref="R348">
    <cfRule type="expression" dxfId="2454" priority="2455" stopIfTrue="1">
      <formula>$R348:$R697="Cancel"</formula>
    </cfRule>
  </conditionalFormatting>
  <conditionalFormatting sqref="R355">
    <cfRule type="expression" dxfId="2453" priority="2451">
      <formula>$X355:$X621="Penting"</formula>
    </cfRule>
    <cfRule type="expression" dxfId="2452" priority="2452">
      <formula>$R355:$R621=""</formula>
    </cfRule>
    <cfRule type="expression" dxfId="2451" priority="2453">
      <formula>$R355:$R621&lt;=0</formula>
    </cfRule>
    <cfRule type="expression" dxfId="2450" priority="2454">
      <formula>$R355:$R621&lt;4</formula>
    </cfRule>
  </conditionalFormatting>
  <conditionalFormatting sqref="R355">
    <cfRule type="expression" dxfId="2449" priority="2450">
      <formula>$R355:$R703="End"</formula>
    </cfRule>
  </conditionalFormatting>
  <conditionalFormatting sqref="R355">
    <cfRule type="expression" dxfId="2448" priority="2449" stopIfTrue="1">
      <formula>$R355:$R703="Cancel"</formula>
    </cfRule>
  </conditionalFormatting>
  <conditionalFormatting sqref="R357">
    <cfRule type="expression" dxfId="2447" priority="2445">
      <formula>$X357:$X623="Penting"</formula>
    </cfRule>
    <cfRule type="expression" dxfId="2446" priority="2446">
      <formula>$R357:$R623=""</formula>
    </cfRule>
    <cfRule type="expression" dxfId="2445" priority="2447">
      <formula>$R357:$R623&lt;=0</formula>
    </cfRule>
    <cfRule type="expression" dxfId="2444" priority="2448">
      <formula>$R357:$R623&lt;4</formula>
    </cfRule>
  </conditionalFormatting>
  <conditionalFormatting sqref="R357">
    <cfRule type="expression" dxfId="2443" priority="2444">
      <formula>$R357:$R705="End"</formula>
    </cfRule>
  </conditionalFormatting>
  <conditionalFormatting sqref="R357">
    <cfRule type="expression" dxfId="2442" priority="2443" stopIfTrue="1">
      <formula>$R357:$R705="Cancel"</formula>
    </cfRule>
  </conditionalFormatting>
  <conditionalFormatting sqref="R358">
    <cfRule type="expression" dxfId="2441" priority="2439">
      <formula>$X358:$X624="Penting"</formula>
    </cfRule>
    <cfRule type="expression" dxfId="2440" priority="2440">
      <formula>$R358:$R624=""</formula>
    </cfRule>
    <cfRule type="expression" dxfId="2439" priority="2441">
      <formula>$R358:$R624&lt;=0</formula>
    </cfRule>
    <cfRule type="expression" dxfId="2438" priority="2442">
      <formula>$R358:$R624&lt;4</formula>
    </cfRule>
  </conditionalFormatting>
  <conditionalFormatting sqref="R358">
    <cfRule type="expression" dxfId="2437" priority="2438">
      <formula>$R358:$R706="End"</formula>
    </cfRule>
  </conditionalFormatting>
  <conditionalFormatting sqref="R358">
    <cfRule type="expression" dxfId="2436" priority="2437" stopIfTrue="1">
      <formula>$R358:$R706="Cancel"</formula>
    </cfRule>
  </conditionalFormatting>
  <conditionalFormatting sqref="R408:R409">
    <cfRule type="expression" dxfId="2435" priority="2436">
      <formula>$R408:$R748="End"</formula>
    </cfRule>
  </conditionalFormatting>
  <conditionalFormatting sqref="R408:R409">
    <cfRule type="expression" dxfId="2434" priority="2435" stopIfTrue="1">
      <formula>$R408:$R748="Cancel"</formula>
    </cfRule>
  </conditionalFormatting>
  <conditionalFormatting sqref="R411">
    <cfRule type="expression" dxfId="2433" priority="2431">
      <formula>$X411:$X669="Penting"</formula>
    </cfRule>
    <cfRule type="expression" dxfId="2432" priority="2432">
      <formula>$R411:$R669=""</formula>
    </cfRule>
    <cfRule type="expression" dxfId="2431" priority="2433">
      <formula>$R411:$R669&lt;=0</formula>
    </cfRule>
    <cfRule type="expression" dxfId="2430" priority="2434">
      <formula>$R411:$R669&lt;4</formula>
    </cfRule>
  </conditionalFormatting>
  <conditionalFormatting sqref="R411">
    <cfRule type="expression" dxfId="2429" priority="2430">
      <formula>$R411:$R751="End"</formula>
    </cfRule>
  </conditionalFormatting>
  <conditionalFormatting sqref="R411">
    <cfRule type="expression" dxfId="2428" priority="2429" stopIfTrue="1">
      <formula>$R411:$R751="Cancel"</formula>
    </cfRule>
  </conditionalFormatting>
  <conditionalFormatting sqref="R413:R414">
    <cfRule type="expression" dxfId="2427" priority="2425">
      <formula>$X413:$X671="Penting"</formula>
    </cfRule>
    <cfRule type="expression" dxfId="2426" priority="2426">
      <formula>$R413:$R671=""</formula>
    </cfRule>
    <cfRule type="expression" dxfId="2425" priority="2427">
      <formula>$R413:$R671&lt;=0</formula>
    </cfRule>
    <cfRule type="expression" dxfId="2424" priority="2428">
      <formula>$R413:$R671&lt;4</formula>
    </cfRule>
  </conditionalFormatting>
  <conditionalFormatting sqref="R413:R414">
    <cfRule type="expression" dxfId="2423" priority="2424">
      <formula>$R413:$R753="End"</formula>
    </cfRule>
  </conditionalFormatting>
  <conditionalFormatting sqref="R413:R414">
    <cfRule type="expression" dxfId="2422" priority="2423" stopIfTrue="1">
      <formula>$R413:$R753="Cancel"</formula>
    </cfRule>
  </conditionalFormatting>
  <conditionalFormatting sqref="R416:R420">
    <cfRule type="expression" dxfId="2421" priority="2419">
      <formula>$X416:$X674="Penting"</formula>
    </cfRule>
    <cfRule type="expression" dxfId="2420" priority="2420">
      <formula>$R416:$R674=""</formula>
    </cfRule>
    <cfRule type="expression" dxfId="2419" priority="2421">
      <formula>$R416:$R674&lt;=0</formula>
    </cfRule>
    <cfRule type="expression" dxfId="2418" priority="2422">
      <formula>$R416:$R674&lt;4</formula>
    </cfRule>
  </conditionalFormatting>
  <conditionalFormatting sqref="R416:R420">
    <cfRule type="expression" dxfId="2417" priority="2418">
      <formula>$R416:$R756="End"</formula>
    </cfRule>
  </conditionalFormatting>
  <conditionalFormatting sqref="R416:R420">
    <cfRule type="expression" dxfId="2416" priority="2417" stopIfTrue="1">
      <formula>$R416:$R756="Cancel"</formula>
    </cfRule>
  </conditionalFormatting>
  <conditionalFormatting sqref="R422:R427">
    <cfRule type="expression" dxfId="2415" priority="2413">
      <formula>$X422:$X680="Penting"</formula>
    </cfRule>
    <cfRule type="expression" dxfId="2414" priority="2414">
      <formula>$R422:$R680=""</formula>
    </cfRule>
    <cfRule type="expression" dxfId="2413" priority="2415">
      <formula>$R422:$R680&lt;=0</formula>
    </cfRule>
    <cfRule type="expression" dxfId="2412" priority="2416">
      <formula>$R422:$R680&lt;4</formula>
    </cfRule>
  </conditionalFormatting>
  <conditionalFormatting sqref="R422:R427">
    <cfRule type="expression" dxfId="2411" priority="2412">
      <formula>$R422:$R762="End"</formula>
    </cfRule>
  </conditionalFormatting>
  <conditionalFormatting sqref="R422:R427">
    <cfRule type="expression" dxfId="2410" priority="2411" stopIfTrue="1">
      <formula>$R422:$R762="Cancel"</formula>
    </cfRule>
  </conditionalFormatting>
  <conditionalFormatting sqref="R429:R433">
    <cfRule type="expression" dxfId="2409" priority="2407">
      <formula>$X429:$X687="Penting"</formula>
    </cfRule>
    <cfRule type="expression" dxfId="2408" priority="2408">
      <formula>$R429:$R687=""</formula>
    </cfRule>
    <cfRule type="expression" dxfId="2407" priority="2409">
      <formula>$R429:$R687&lt;=0</formula>
    </cfRule>
    <cfRule type="expression" dxfId="2406" priority="2410">
      <formula>$R429:$R687&lt;4</formula>
    </cfRule>
  </conditionalFormatting>
  <conditionalFormatting sqref="R429:R433">
    <cfRule type="expression" dxfId="2405" priority="2406">
      <formula>$R429:$R769="End"</formula>
    </cfRule>
  </conditionalFormatting>
  <conditionalFormatting sqref="R429:R433">
    <cfRule type="expression" dxfId="2404" priority="2405" stopIfTrue="1">
      <formula>$R429:$R769="Cancel"</formula>
    </cfRule>
  </conditionalFormatting>
  <conditionalFormatting sqref="R435:R436">
    <cfRule type="expression" dxfId="2403" priority="2401">
      <formula>$X435:$X693="Penting"</formula>
    </cfRule>
    <cfRule type="expression" dxfId="2402" priority="2402">
      <formula>$R435:$R693=""</formula>
    </cfRule>
    <cfRule type="expression" dxfId="2401" priority="2403">
      <formula>$R435:$R693&lt;=0</formula>
    </cfRule>
    <cfRule type="expression" dxfId="2400" priority="2404">
      <formula>$R435:$R693&lt;4</formula>
    </cfRule>
  </conditionalFormatting>
  <conditionalFormatting sqref="R435:R436">
    <cfRule type="expression" dxfId="2399" priority="2400">
      <formula>$R435:$R775="End"</formula>
    </cfRule>
  </conditionalFormatting>
  <conditionalFormatting sqref="R435:R436">
    <cfRule type="expression" dxfId="2398" priority="2399" stopIfTrue="1">
      <formula>$R435:$R775="Cancel"</formula>
    </cfRule>
  </conditionalFormatting>
  <conditionalFormatting sqref="R438:R439">
    <cfRule type="expression" dxfId="2397" priority="2395">
      <formula>$X438:$X696="Penting"</formula>
    </cfRule>
    <cfRule type="expression" dxfId="2396" priority="2396">
      <formula>$R438:$R696=""</formula>
    </cfRule>
    <cfRule type="expression" dxfId="2395" priority="2397">
      <formula>$R438:$R696&lt;=0</formula>
    </cfRule>
    <cfRule type="expression" dxfId="2394" priority="2398">
      <formula>$R438:$R696&lt;4</formula>
    </cfRule>
  </conditionalFormatting>
  <conditionalFormatting sqref="R438:R439">
    <cfRule type="expression" dxfId="2393" priority="2394">
      <formula>$R438:$R778="End"</formula>
    </cfRule>
  </conditionalFormatting>
  <conditionalFormatting sqref="R438:R439">
    <cfRule type="expression" dxfId="2392" priority="2393" stopIfTrue="1">
      <formula>$R438:$R778="Cancel"</formula>
    </cfRule>
  </conditionalFormatting>
  <conditionalFormatting sqref="R442">
    <cfRule type="expression" dxfId="2391" priority="2389">
      <formula>$X442:$X700="Penting"</formula>
    </cfRule>
    <cfRule type="expression" dxfId="2390" priority="2390">
      <formula>$R442:$R700=""</formula>
    </cfRule>
    <cfRule type="expression" dxfId="2389" priority="2391">
      <formula>$R442:$R700&lt;=0</formula>
    </cfRule>
    <cfRule type="expression" dxfId="2388" priority="2392">
      <formula>$R442:$R700&lt;4</formula>
    </cfRule>
  </conditionalFormatting>
  <conditionalFormatting sqref="R442">
    <cfRule type="expression" dxfId="2387" priority="2388">
      <formula>$R442:$R782="End"</formula>
    </cfRule>
  </conditionalFormatting>
  <conditionalFormatting sqref="R442">
    <cfRule type="expression" dxfId="2386" priority="2387" stopIfTrue="1">
      <formula>$R442:$R782="Cancel"</formula>
    </cfRule>
  </conditionalFormatting>
  <conditionalFormatting sqref="R444:R447">
    <cfRule type="expression" dxfId="2385" priority="2383">
      <formula>$X444:$X702="Penting"</formula>
    </cfRule>
    <cfRule type="expression" dxfId="2384" priority="2384">
      <formula>$R444:$R702=""</formula>
    </cfRule>
    <cfRule type="expression" dxfId="2383" priority="2385">
      <formula>$R444:$R702&lt;=0</formula>
    </cfRule>
    <cfRule type="expression" dxfId="2382" priority="2386">
      <formula>$R444:$R702&lt;4</formula>
    </cfRule>
  </conditionalFormatting>
  <conditionalFormatting sqref="R444:R447">
    <cfRule type="expression" dxfId="2381" priority="2382">
      <formula>$R444:$R784="End"</formula>
    </cfRule>
  </conditionalFormatting>
  <conditionalFormatting sqref="R444:R447">
    <cfRule type="expression" dxfId="2380" priority="2381" stopIfTrue="1">
      <formula>$R444:$R784="Cancel"</formula>
    </cfRule>
  </conditionalFormatting>
  <conditionalFormatting sqref="R450">
    <cfRule type="expression" dxfId="2379" priority="2377">
      <formula>$X450:$X708="Penting"</formula>
    </cfRule>
    <cfRule type="expression" dxfId="2378" priority="2378">
      <formula>$R450:$R708=""</formula>
    </cfRule>
    <cfRule type="expression" dxfId="2377" priority="2379">
      <formula>$R450:$R708&lt;=0</formula>
    </cfRule>
    <cfRule type="expression" dxfId="2376" priority="2380">
      <formula>$R450:$R708&lt;4</formula>
    </cfRule>
  </conditionalFormatting>
  <conditionalFormatting sqref="R450">
    <cfRule type="expression" dxfId="2375" priority="2376">
      <formula>$R450:$R790="End"</formula>
    </cfRule>
  </conditionalFormatting>
  <conditionalFormatting sqref="R450">
    <cfRule type="expression" dxfId="2374" priority="2375" stopIfTrue="1">
      <formula>$R450:$R790="Cancel"</formula>
    </cfRule>
  </conditionalFormatting>
  <conditionalFormatting sqref="R452">
    <cfRule type="expression" dxfId="2373" priority="2371">
      <formula>$X452:$X710="Penting"</formula>
    </cfRule>
    <cfRule type="expression" dxfId="2372" priority="2372">
      <formula>$R452:$R710=""</formula>
    </cfRule>
    <cfRule type="expression" dxfId="2371" priority="2373">
      <formula>$R452:$R710&lt;=0</formula>
    </cfRule>
    <cfRule type="expression" dxfId="2370" priority="2374">
      <formula>$R452:$R710&lt;4</formula>
    </cfRule>
  </conditionalFormatting>
  <conditionalFormatting sqref="R452">
    <cfRule type="expression" dxfId="2369" priority="2370">
      <formula>$R452:$R792="End"</formula>
    </cfRule>
  </conditionalFormatting>
  <conditionalFormatting sqref="R452">
    <cfRule type="expression" dxfId="2368" priority="2369" stopIfTrue="1">
      <formula>$R452:$R792="Cancel"</formula>
    </cfRule>
  </conditionalFormatting>
  <conditionalFormatting sqref="AA288:AC288 Z314:Z317 AA300:AC300 AB301:AC302 Z319 AD221:AR225 B223:Q225 S222:S225 O228:O229 O231:O233 O243:O244 O247:O250 W222:Y223 C243:D245 C247:D248 Q222 W221:Z221 W224:Z224 W225:Y225 B221:S221 AD170:AD174 B222:O222">
    <cfRule type="expression" dxfId="2367" priority="2365">
      <formula>$X170:$X449="Penting"</formula>
    </cfRule>
    <cfRule type="expression" dxfId="2366" priority="2366">
      <formula>$R170:$R449=""</formula>
    </cfRule>
    <cfRule type="expression" dxfId="2365" priority="2367">
      <formula>$R170:$R449&lt;=0</formula>
    </cfRule>
    <cfRule type="expression" dxfId="2364" priority="2368">
      <formula>$R170:$R449&lt;4</formula>
    </cfRule>
  </conditionalFormatting>
  <conditionalFormatting sqref="R255 AA271:AC272 AB268:AC270 AA275:AC277 AB273:AC274 AA280:AC281 AB278:AC279 AB282:AC283 AA266:AC267 C249:E250 C228:D228 C233:D233 C231:D231 C234">
    <cfRule type="expression" dxfId="2363" priority="2361">
      <formula>$X228:$X511="Penting"</formula>
    </cfRule>
    <cfRule type="expression" dxfId="2362" priority="2362">
      <formula>$R228:$R511=""</formula>
    </cfRule>
    <cfRule type="expression" dxfId="2361" priority="2363">
      <formula>$R228:$R511&lt;=0</formula>
    </cfRule>
    <cfRule type="expression" dxfId="2360" priority="2364">
      <formula>$R228:$R511&lt;4</formula>
    </cfRule>
  </conditionalFormatting>
  <conditionalFormatting sqref="Z241 AA221:AC250 Z235 Z231 Z225 Z222:Z223 Z249:Z250 Z245 AB193:AC194 P180:P182 P177">
    <cfRule type="expression" dxfId="2359" priority="2360">
      <formula>$R177:$R553="End"</formula>
    </cfRule>
  </conditionalFormatting>
  <conditionalFormatting sqref="Z241 AA221:AC250 Z235 Z231 Z225 Z222:Z223 Z249:Z250 Z245 AB193:AC194 P180:P182 P177">
    <cfRule type="expression" dxfId="2358" priority="2359" stopIfTrue="1">
      <formula>$R177:$R553="Cancel"</formula>
    </cfRule>
  </conditionalFormatting>
  <conditionalFormatting sqref="H402:M402 C402:F402 B393:O394 P391:Q394 S391:S396 AD391:AR396 W392:Y393 B391:O391 B392:M392 W394:Z396 B395:Q396 B397:O397 AP397:AR397">
    <cfRule type="expression" dxfId="2357" priority="2355">
      <formula>$X391:$X628="Penting"</formula>
    </cfRule>
    <cfRule type="expression" dxfId="2356" priority="2356">
      <formula>$R391:$R628=""</formula>
    </cfRule>
    <cfRule type="expression" dxfId="2355" priority="2357">
      <formula>$R391:$R628&lt;=0</formula>
    </cfRule>
    <cfRule type="expression" dxfId="2354" priority="2358">
      <formula>$R391:$R628&lt;4</formula>
    </cfRule>
  </conditionalFormatting>
  <conditionalFormatting sqref="H402:M402 C402:F402 Q391:Q394 B393:O394 AD391:AR396 S392:Y393 B391:O391 B392:M392 S394:Z396 B395:Q396 B397:O397 AP397:AR397">
    <cfRule type="expression" dxfId="2353" priority="2354">
      <formula>$R391:$R693="End"</formula>
    </cfRule>
  </conditionalFormatting>
  <conditionalFormatting sqref="H402:M402 C402:F402 Q391:Q394 B393:O394 AD391:AR396 S392:Y393 B391:O391 B392:M392 S394:Z396 B395:Q396 B397:O397 AP397:AR397">
    <cfRule type="expression" dxfId="2352" priority="2353" stopIfTrue="1">
      <formula>$R391:$R693="Cancel"</formula>
    </cfRule>
  </conditionalFormatting>
  <conditionalFormatting sqref="Q141">
    <cfRule type="expression" dxfId="2351" priority="2349">
      <formula>$X141:$X458="Penting"</formula>
    </cfRule>
    <cfRule type="expression" dxfId="2350" priority="2350">
      <formula>$R141:$R458=""</formula>
    </cfRule>
    <cfRule type="expression" dxfId="2349" priority="2351">
      <formula>$R141:$R458&lt;=0</formula>
    </cfRule>
    <cfRule type="expression" dxfId="2348" priority="2352">
      <formula>$R141:$R458&lt;4</formula>
    </cfRule>
  </conditionalFormatting>
  <conditionalFormatting sqref="F294">
    <cfRule type="expression" dxfId="2347" priority="2345">
      <formula>$X294:$X555="Penting"</formula>
    </cfRule>
    <cfRule type="expression" dxfId="2346" priority="2346">
      <formula>$R294:$R555=""</formula>
    </cfRule>
    <cfRule type="expression" dxfId="2345" priority="2347">
      <formula>$R294:$R555&lt;=0</formula>
    </cfRule>
    <cfRule type="expression" dxfId="2344" priority="2348">
      <formula>$R294:$R555&lt;4</formula>
    </cfRule>
  </conditionalFormatting>
  <conditionalFormatting sqref="F294 Q295:Q299 AD295:AR299 B288:O288 Q288:Z288 R295:Z295 B296:M299 B295:O295 S296:X298 AO178 E178 AG178:AM178 P178:Q178 AD178:AE178 S178:X178 AD288:AR288">
    <cfRule type="expression" dxfId="2343" priority="2344">
      <formula>$R178:$R504="End"</formula>
    </cfRule>
  </conditionalFormatting>
  <conditionalFormatting sqref="F294 Q295:Q299 AD295:AR299 B288:O288 Q288:Z288 R295:Z295 B296:M299 B295:O295 S296:X298 AO178 E178 AG178:AM178 P178:Q178 AD178:AE178 S178:X178 AD288:AR288">
    <cfRule type="expression" dxfId="2342" priority="2343" stopIfTrue="1">
      <formula>$R178:$R504="Cancel"</formula>
    </cfRule>
  </conditionalFormatting>
  <conditionalFormatting sqref="O382">
    <cfRule type="expression" dxfId="2341" priority="2342">
      <formula>$R382:$R702="End"</formula>
    </cfRule>
  </conditionalFormatting>
  <conditionalFormatting sqref="O382">
    <cfRule type="expression" dxfId="2340" priority="2341" stopIfTrue="1">
      <formula>$R382:$R702="Cancel"</formula>
    </cfRule>
  </conditionalFormatting>
  <conditionalFormatting sqref="O382">
    <cfRule type="expression" dxfId="2339" priority="2337">
      <formula>$X382:$X629="Penting"</formula>
    </cfRule>
    <cfRule type="expression" dxfId="2338" priority="2338">
      <formula>$R382:$R629=""</formula>
    </cfRule>
    <cfRule type="expression" dxfId="2337" priority="2339">
      <formula>$R382:$R629&lt;=0</formula>
    </cfRule>
    <cfRule type="expression" dxfId="2336" priority="2340">
      <formula>$R382:$R629&lt;4</formula>
    </cfRule>
  </conditionalFormatting>
  <conditionalFormatting sqref="O438">
    <cfRule type="expression" dxfId="2335" priority="2336">
      <formula>$R438:$R753="End"</formula>
    </cfRule>
  </conditionalFormatting>
  <conditionalFormatting sqref="O438">
    <cfRule type="expression" dxfId="2334" priority="2335" stopIfTrue="1">
      <formula>$R438:$R753="Cancel"</formula>
    </cfRule>
  </conditionalFormatting>
  <conditionalFormatting sqref="O438">
    <cfRule type="expression" dxfId="2333" priority="2331">
      <formula>$X438:$X680="Penting"</formula>
    </cfRule>
    <cfRule type="expression" dxfId="2332" priority="2332">
      <formula>$R438:$R680=""</formula>
    </cfRule>
    <cfRule type="expression" dxfId="2331" priority="2333">
      <formula>$R438:$R680&lt;=0</formula>
    </cfRule>
    <cfRule type="expression" dxfId="2330" priority="2334">
      <formula>$R438:$R680&lt;4</formula>
    </cfRule>
  </conditionalFormatting>
  <conditionalFormatting sqref="O439">
    <cfRule type="expression" dxfId="2329" priority="2330">
      <formula>$R439:$R754="End"</formula>
    </cfRule>
  </conditionalFormatting>
  <conditionalFormatting sqref="O439">
    <cfRule type="expression" dxfId="2328" priority="2329" stopIfTrue="1">
      <formula>$R439:$R754="Cancel"</formula>
    </cfRule>
  </conditionalFormatting>
  <conditionalFormatting sqref="O439">
    <cfRule type="expression" dxfId="2327" priority="2325">
      <formula>$X439:$X681="Penting"</formula>
    </cfRule>
    <cfRule type="expression" dxfId="2326" priority="2326">
      <formula>$R439:$R681=""</formula>
    </cfRule>
    <cfRule type="expression" dxfId="2325" priority="2327">
      <formula>$R439:$R681&lt;=0</formula>
    </cfRule>
    <cfRule type="expression" dxfId="2324" priority="2328">
      <formula>$R439:$R681&lt;4</formula>
    </cfRule>
  </conditionalFormatting>
  <conditionalFormatting sqref="O444">
    <cfRule type="expression" dxfId="2323" priority="2324">
      <formula>$R444:$R759="End"</formula>
    </cfRule>
  </conditionalFormatting>
  <conditionalFormatting sqref="O444">
    <cfRule type="expression" dxfId="2322" priority="2323" stopIfTrue="1">
      <formula>$R444:$R759="Cancel"</formula>
    </cfRule>
  </conditionalFormatting>
  <conditionalFormatting sqref="O444">
    <cfRule type="expression" dxfId="2321" priority="2319">
      <formula>$X444:$X686="Penting"</formula>
    </cfRule>
    <cfRule type="expression" dxfId="2320" priority="2320">
      <formula>$R444:$R686=""</formula>
    </cfRule>
    <cfRule type="expression" dxfId="2319" priority="2321">
      <formula>$R444:$R686&lt;=0</formula>
    </cfRule>
    <cfRule type="expression" dxfId="2318" priority="2322">
      <formula>$R444:$R686&lt;4</formula>
    </cfRule>
  </conditionalFormatting>
  <conditionalFormatting sqref="AA412:AC419 AB411:AC411 AA421:AC425 AB420:AC420 AA427:AC522 AC426 AA408:AC410">
    <cfRule type="expression" dxfId="2317" priority="2318">
      <formula>$R408:$R759="End"</formula>
    </cfRule>
  </conditionalFormatting>
  <conditionalFormatting sqref="AA412:AC419 AB411:AC411 AA421:AC425 AB420:AC420 AA427:AC522 AC426 AA408:AC410">
    <cfRule type="expression" dxfId="2316" priority="2317" stopIfTrue="1">
      <formula>$R408:$R759="Cancel"</formula>
    </cfRule>
  </conditionalFormatting>
  <conditionalFormatting sqref="C167 AS373:AT381 A191:A254 Z182:Z183 AA179:AC189 W167:X168 R167:S167 Z186 Z177:AC177 R141:R146 P142:P146 AS390:AT390 S161">
    <cfRule type="expression" dxfId="2315" priority="2313">
      <formula>$X141:$X448="Penting"</formula>
    </cfRule>
    <cfRule type="expression" dxfId="2314" priority="2314">
      <formula>$R141:$R448=""</formula>
    </cfRule>
    <cfRule type="expression" dxfId="2313" priority="2315">
      <formula>$R141:$R448&lt;=0</formula>
    </cfRule>
    <cfRule type="expression" dxfId="2312" priority="2316">
      <formula>$R141:$R448&lt;4</formula>
    </cfRule>
  </conditionalFormatting>
  <conditionalFormatting sqref="S388 AS256:AT263">
    <cfRule type="expression" dxfId="2311" priority="2309">
      <formula>$X256:$X601="Penting"</formula>
    </cfRule>
    <cfRule type="expression" dxfId="2310" priority="2310">
      <formula>$R256:$R601=""</formula>
    </cfRule>
    <cfRule type="expression" dxfId="2309" priority="2311">
      <formula>$R256:$R601&lt;=0</formula>
    </cfRule>
    <cfRule type="expression" dxfId="2308" priority="2312">
      <formula>$R256:$R601&lt;4</formula>
    </cfRule>
  </conditionalFormatting>
  <conditionalFormatting sqref="Z307 AA294:AC295 AB296:AC299 AB289:AC293 P204:P208 P213:P220">
    <cfRule type="expression" dxfId="2307" priority="2308">
      <formula>$R204:$R566="End"</formula>
    </cfRule>
  </conditionalFormatting>
  <conditionalFormatting sqref="Z307 AA294:AC295 AB296:AC299 AB289:AC293 P204:P208 P213:P220">
    <cfRule type="expression" dxfId="2306" priority="2307" stopIfTrue="1">
      <formula>$R204:$R566="Cancel"</formula>
    </cfRule>
  </conditionalFormatting>
  <conditionalFormatting sqref="N317:O317">
    <cfRule type="expression" dxfId="2305" priority="2306">
      <formula>$R317:$R642="End"</formula>
    </cfRule>
  </conditionalFormatting>
  <conditionalFormatting sqref="N317:O317">
    <cfRule type="expression" dxfId="2304" priority="2305" stopIfTrue="1">
      <formula>$R317:$R642="Cancel"</formula>
    </cfRule>
  </conditionalFormatting>
  <conditionalFormatting sqref="N317:O317">
    <cfRule type="expression" dxfId="2303" priority="2301">
      <formula>$X317:$X569="Penting"</formula>
    </cfRule>
    <cfRule type="expression" dxfId="2302" priority="2302">
      <formula>$R317:$R569=""</formula>
    </cfRule>
    <cfRule type="expression" dxfId="2301" priority="2303">
      <formula>$R317:$R569&lt;=0</formula>
    </cfRule>
    <cfRule type="expression" dxfId="2300" priority="2304">
      <formula>$R317:$R569&lt;4</formula>
    </cfRule>
  </conditionalFormatting>
  <conditionalFormatting sqref="T388:V388 P155:P156">
    <cfRule type="expression" dxfId="2299" priority="2297">
      <formula>$X155:$X459="Penting"</formula>
    </cfRule>
    <cfRule type="expression" dxfId="2298" priority="2298">
      <formula>$R155:$R459=""</formula>
    </cfRule>
    <cfRule type="expression" dxfId="2297" priority="2299">
      <formula>$R155:$R459&lt;=0</formula>
    </cfRule>
    <cfRule type="expression" dxfId="2296" priority="2300">
      <formula>$R155:$R459&lt;4</formula>
    </cfRule>
  </conditionalFormatting>
  <conditionalFormatting sqref="S349 AS205:AT220 AS196:AT203 T200:V203">
    <cfRule type="expression" dxfId="2295" priority="2293">
      <formula>$X196:$X554="Penting"</formula>
    </cfRule>
    <cfRule type="expression" dxfId="2294" priority="2294">
      <formula>$R196:$R554=""</formula>
    </cfRule>
    <cfRule type="expression" dxfId="2293" priority="2295">
      <formula>$R196:$R554&lt;=0</formula>
    </cfRule>
    <cfRule type="expression" dxfId="2292" priority="2296">
      <formula>$R196:$R554&lt;4</formula>
    </cfRule>
  </conditionalFormatting>
  <conditionalFormatting sqref="G388">
    <cfRule type="expression" dxfId="2291" priority="2289">
      <formula>$X388:$X628="Penting"</formula>
    </cfRule>
    <cfRule type="expression" dxfId="2290" priority="2290">
      <formula>$R388:$R628=""</formula>
    </cfRule>
    <cfRule type="expression" dxfId="2289" priority="2291">
      <formula>$R388:$R628&lt;=0</formula>
    </cfRule>
    <cfRule type="expression" dxfId="2288" priority="2292">
      <formula>$R388:$R628&lt;4</formula>
    </cfRule>
  </conditionalFormatting>
  <conditionalFormatting sqref="G388">
    <cfRule type="expression" dxfId="2287" priority="2288">
      <formula>$R388:$R693="End"</formula>
    </cfRule>
  </conditionalFormatting>
  <conditionalFormatting sqref="G388">
    <cfRule type="expression" dxfId="2286" priority="2287" stopIfTrue="1">
      <formula>$R388:$R693="Cancel"</formula>
    </cfRule>
  </conditionalFormatting>
  <conditionalFormatting sqref="T349:V349">
    <cfRule type="expression" dxfId="2285" priority="2283">
      <formula>$X349:$X666="Penting"</formula>
    </cfRule>
    <cfRule type="expression" dxfId="2284" priority="2284">
      <formula>$R349:$R666=""</formula>
    </cfRule>
    <cfRule type="expression" dxfId="2283" priority="2285">
      <formula>$R349:$R666&lt;=0</formula>
    </cfRule>
    <cfRule type="expression" dxfId="2282" priority="2286">
      <formula>$R349:$R666&lt;4</formula>
    </cfRule>
  </conditionalFormatting>
  <conditionalFormatting sqref="C389:D389">
    <cfRule type="expression" dxfId="2281" priority="2279">
      <formula>$X389:$X647="Penting"</formula>
    </cfRule>
    <cfRule type="expression" dxfId="2280" priority="2280">
      <formula>$R389:$R647=""</formula>
    </cfRule>
    <cfRule type="expression" dxfId="2279" priority="2281">
      <formula>$R389:$R647&lt;=0</formula>
    </cfRule>
    <cfRule type="expression" dxfId="2278" priority="2282">
      <formula>$R389:$R647&lt;4</formula>
    </cfRule>
  </conditionalFormatting>
  <conditionalFormatting sqref="C389:D389 P274:P282 P271:P272 P284:P285">
    <cfRule type="expression" dxfId="2277" priority="2275">
      <formula>$X271:$X528="Penting"</formula>
    </cfRule>
    <cfRule type="expression" dxfId="2276" priority="2276">
      <formula>$R271:$R528=""</formula>
    </cfRule>
    <cfRule type="expression" dxfId="2275" priority="2277">
      <formula>$R271:$R528&lt;=0</formula>
    </cfRule>
    <cfRule type="expression" dxfId="2274" priority="2278">
      <formula>$R271:$R528&lt;4</formula>
    </cfRule>
  </conditionalFormatting>
  <conditionalFormatting sqref="P389">
    <cfRule type="expression" dxfId="2273" priority="2271">
      <formula>$X389:$X640="Penting"</formula>
    </cfRule>
    <cfRule type="expression" dxfId="2272" priority="2272">
      <formula>$R389:$R640=""</formula>
    </cfRule>
    <cfRule type="expression" dxfId="2271" priority="2273">
      <formula>$R389:$R640&lt;=0</formula>
    </cfRule>
    <cfRule type="expression" dxfId="2270" priority="2274">
      <formula>$R389:$R640&lt;4</formula>
    </cfRule>
  </conditionalFormatting>
  <conditionalFormatting sqref="Y389">
    <cfRule type="expression" dxfId="2269" priority="2267">
      <formula>$X389:$X644="Penting"</formula>
    </cfRule>
    <cfRule type="expression" dxfId="2268" priority="2268">
      <formula>$R389:$R644=""</formula>
    </cfRule>
    <cfRule type="expression" dxfId="2267" priority="2269">
      <formula>$R389:$R644&lt;=0</formula>
    </cfRule>
    <cfRule type="expression" dxfId="2266" priority="2270">
      <formula>$R389:$R644&lt;4</formula>
    </cfRule>
  </conditionalFormatting>
  <conditionalFormatting sqref="AS389:AT389">
    <cfRule type="expression" dxfId="2265" priority="2263">
      <formula>$X389:$X719="Penting"</formula>
    </cfRule>
    <cfRule type="expression" dxfId="2264" priority="2264">
      <formula>$R389:$R719=""</formula>
    </cfRule>
    <cfRule type="expression" dxfId="2263" priority="2265">
      <formula>$R389:$R719&lt;=0</formula>
    </cfRule>
    <cfRule type="expression" dxfId="2262" priority="2266">
      <formula>$R389:$R719&lt;4</formula>
    </cfRule>
  </conditionalFormatting>
  <conditionalFormatting sqref="Q389">
    <cfRule type="expression" dxfId="2261" priority="2262">
      <formula>$R389:$R717="End"</formula>
    </cfRule>
  </conditionalFormatting>
  <conditionalFormatting sqref="B389:E389">
    <cfRule type="expression" dxfId="2260" priority="2261" stopIfTrue="1">
      <formula>$R389:$R717="Cancel"</formula>
    </cfRule>
  </conditionalFormatting>
  <conditionalFormatting sqref="R389 AD251:AR252 B251:O252 S251:Z252 Q251:Q252 N209:O209 N201:O201 N212:O212">
    <cfRule type="expression" dxfId="2259" priority="2260">
      <formula>$R201:$R548="End"</formula>
    </cfRule>
  </conditionalFormatting>
  <conditionalFormatting sqref="R389 B251:O252 S251:Z252 AD251:AR252 Q251:Q252 N209:O209 N201:O201 N212:O212">
    <cfRule type="expression" dxfId="2258" priority="2259" stopIfTrue="1">
      <formula>$R201:$R548="Cancel"</formula>
    </cfRule>
  </conditionalFormatting>
  <conditionalFormatting sqref="P389">
    <cfRule type="expression" dxfId="2257" priority="2258">
      <formula>$R389:$R722="End"</formula>
    </cfRule>
  </conditionalFormatting>
  <conditionalFormatting sqref="P389">
    <cfRule type="expression" dxfId="2256" priority="2257" stopIfTrue="1">
      <formula>$R389:$R722="Cancel"</formula>
    </cfRule>
  </conditionalFormatting>
  <conditionalFormatting sqref="W389:Y389">
    <cfRule type="expression" dxfId="2255" priority="2253">
      <formula>$X389:$X652="Penting"</formula>
    </cfRule>
    <cfRule type="expression" dxfId="2254" priority="2254">
      <formula>$R389:$R652=""</formula>
    </cfRule>
    <cfRule type="expression" dxfId="2253" priority="2255">
      <formula>$R389:$R652&lt;=0</formula>
    </cfRule>
    <cfRule type="expression" dxfId="2252" priority="2256">
      <formula>$R389:$R652&lt;4</formula>
    </cfRule>
  </conditionalFormatting>
  <conditionalFormatting sqref="R389 C284:C287 AD283:AR283 B283:S283 C178:D178">
    <cfRule type="expression" dxfId="2251" priority="2249">
      <formula>$X178:$X443="Penting"</formula>
    </cfRule>
    <cfRule type="expression" dxfId="2250" priority="2250">
      <formula>$R178:$R443=""</formula>
    </cfRule>
    <cfRule type="expression" dxfId="2249" priority="2251">
      <formula>$R178:$R443&lt;=0</formula>
    </cfRule>
    <cfRule type="expression" dxfId="2248" priority="2252">
      <formula>$R178:$R443&lt;4</formula>
    </cfRule>
  </conditionalFormatting>
  <conditionalFormatting sqref="T389:V389">
    <cfRule type="expression" dxfId="2247" priority="2245">
      <formula>$X389:$X717="Penting"</formula>
    </cfRule>
    <cfRule type="expression" dxfId="2246" priority="2246">
      <formula>$R389:$R717=""</formula>
    </cfRule>
    <cfRule type="expression" dxfId="2245" priority="2247">
      <formula>$R389:$R717&lt;=0</formula>
    </cfRule>
    <cfRule type="expression" dxfId="2244" priority="2248">
      <formula>$R389:$R717&lt;4</formula>
    </cfRule>
  </conditionalFormatting>
  <conditionalFormatting sqref="S389 AS183:AT184 T184:V190">
    <cfRule type="expression" dxfId="2243" priority="2241">
      <formula>$X183:$X552="Penting"</formula>
    </cfRule>
    <cfRule type="expression" dxfId="2242" priority="2242">
      <formula>$R183:$R552=""</formula>
    </cfRule>
    <cfRule type="expression" dxfId="2241" priority="2243">
      <formula>$R183:$R552&lt;=0</formula>
    </cfRule>
    <cfRule type="expression" dxfId="2240" priority="2244">
      <formula>$R183:$R552&lt;4</formula>
    </cfRule>
  </conditionalFormatting>
  <conditionalFormatting sqref="AF389">
    <cfRule type="expression" dxfId="2239" priority="2240">
      <formula>$R389:$R703="End"</formula>
    </cfRule>
  </conditionalFormatting>
  <conditionalFormatting sqref="AF389">
    <cfRule type="expression" dxfId="2238" priority="2239" stopIfTrue="1">
      <formula>$R389:$R703="Cancel"</formula>
    </cfRule>
  </conditionalFormatting>
  <conditionalFormatting sqref="AF389">
    <cfRule type="expression" dxfId="2237" priority="2235">
      <formula>$X389:$X633="Penting"</formula>
    </cfRule>
    <cfRule type="expression" dxfId="2236" priority="2236">
      <formula>$R389:$R633=""</formula>
    </cfRule>
    <cfRule type="expression" dxfId="2235" priority="2237">
      <formula>$R389:$R633&lt;=0</formula>
    </cfRule>
    <cfRule type="expression" dxfId="2234" priority="2238">
      <formula>$R389:$R633&lt;4</formula>
    </cfRule>
  </conditionalFormatting>
  <conditionalFormatting sqref="F389">
    <cfRule type="expression" dxfId="2233" priority="2234">
      <formula>$R389:$R717="End"</formula>
    </cfRule>
  </conditionalFormatting>
  <conditionalFormatting sqref="F389">
    <cfRule type="expression" dxfId="2232" priority="2233" stopIfTrue="1">
      <formula>$R389:$R717="Cancel"</formula>
    </cfRule>
  </conditionalFormatting>
  <conditionalFormatting sqref="F389">
    <cfRule type="expression" dxfId="2231" priority="2229">
      <formula>$X389:$X652="Penting"</formula>
    </cfRule>
    <cfRule type="expression" dxfId="2230" priority="2230">
      <formula>$R389:$R652=""</formula>
    </cfRule>
    <cfRule type="expression" dxfId="2229" priority="2231">
      <formula>$R389:$R652&lt;=0</formula>
    </cfRule>
    <cfRule type="expression" dxfId="2228" priority="2232">
      <formula>$R389:$R652&lt;4</formula>
    </cfRule>
  </conditionalFormatting>
  <conditionalFormatting sqref="N374:O374">
    <cfRule type="expression" dxfId="2227" priority="2228">
      <formula>$R374:$R694="End"</formula>
    </cfRule>
  </conditionalFormatting>
  <conditionalFormatting sqref="N374:O374">
    <cfRule type="expression" dxfId="2226" priority="2227" stopIfTrue="1">
      <formula>$R374:$R694="Cancel"</formula>
    </cfRule>
  </conditionalFormatting>
  <conditionalFormatting sqref="N374:O374">
    <cfRule type="expression" dxfId="2225" priority="2223">
      <formula>$X374:$X621="Penting"</formula>
    </cfRule>
    <cfRule type="expression" dxfId="2224" priority="2224">
      <formula>$R374:$R621=""</formula>
    </cfRule>
    <cfRule type="expression" dxfId="2223" priority="2225">
      <formula>$R374:$R621&lt;=0</formula>
    </cfRule>
    <cfRule type="expression" dxfId="2222" priority="2226">
      <formula>$R374:$R621&lt;4</formula>
    </cfRule>
  </conditionalFormatting>
  <conditionalFormatting sqref="N375:O375">
    <cfRule type="expression" dxfId="2221" priority="2222">
      <formula>$R375:$R695="End"</formula>
    </cfRule>
  </conditionalFormatting>
  <conditionalFormatting sqref="N375:O375">
    <cfRule type="expression" dxfId="2220" priority="2221" stopIfTrue="1">
      <formula>$R375:$R695="Cancel"</formula>
    </cfRule>
  </conditionalFormatting>
  <conditionalFormatting sqref="N375:O375">
    <cfRule type="expression" dxfId="2219" priority="2217">
      <formula>$X375:$X622="Penting"</formula>
    </cfRule>
    <cfRule type="expression" dxfId="2218" priority="2218">
      <formula>$R375:$R622=""</formula>
    </cfRule>
    <cfRule type="expression" dxfId="2217" priority="2219">
      <formula>$R375:$R622&lt;=0</formula>
    </cfRule>
    <cfRule type="expression" dxfId="2216" priority="2220">
      <formula>$R375:$R622&lt;4</formula>
    </cfRule>
  </conditionalFormatting>
  <conditionalFormatting sqref="N376:O376">
    <cfRule type="expression" dxfId="2215" priority="2216">
      <formula>$R376:$R696="End"</formula>
    </cfRule>
  </conditionalFormatting>
  <conditionalFormatting sqref="N376:O376">
    <cfRule type="expression" dxfId="2214" priority="2215" stopIfTrue="1">
      <formula>$R376:$R696="Cancel"</formula>
    </cfRule>
  </conditionalFormatting>
  <conditionalFormatting sqref="N376:O376">
    <cfRule type="expression" dxfId="2213" priority="2211">
      <formula>$X376:$X623="Penting"</formula>
    </cfRule>
    <cfRule type="expression" dxfId="2212" priority="2212">
      <formula>$R376:$R623=""</formula>
    </cfRule>
    <cfRule type="expression" dxfId="2211" priority="2213">
      <formula>$R376:$R623&lt;=0</formula>
    </cfRule>
    <cfRule type="expression" dxfId="2210" priority="2214">
      <formula>$R376:$R623&lt;4</formula>
    </cfRule>
  </conditionalFormatting>
  <conditionalFormatting sqref="N377:O377">
    <cfRule type="expression" dxfId="2209" priority="2210">
      <formula>$R377:$R697="End"</formula>
    </cfRule>
  </conditionalFormatting>
  <conditionalFormatting sqref="N377:O377">
    <cfRule type="expression" dxfId="2208" priority="2209" stopIfTrue="1">
      <formula>$R377:$R697="Cancel"</formula>
    </cfRule>
  </conditionalFormatting>
  <conditionalFormatting sqref="N377:O377">
    <cfRule type="expression" dxfId="2207" priority="2205">
      <formula>$X377:$X624="Penting"</formula>
    </cfRule>
    <cfRule type="expression" dxfId="2206" priority="2206">
      <formula>$R377:$R624=""</formula>
    </cfRule>
    <cfRule type="expression" dxfId="2205" priority="2207">
      <formula>$R377:$R624&lt;=0</formula>
    </cfRule>
    <cfRule type="expression" dxfId="2204" priority="2208">
      <formula>$R377:$R624&lt;4</formula>
    </cfRule>
  </conditionalFormatting>
  <conditionalFormatting sqref="N378:O378">
    <cfRule type="expression" dxfId="2203" priority="2204">
      <formula>$R378:$R698="End"</formula>
    </cfRule>
  </conditionalFormatting>
  <conditionalFormatting sqref="N378:O378">
    <cfRule type="expression" dxfId="2202" priority="2203" stopIfTrue="1">
      <formula>$R378:$R698="Cancel"</formula>
    </cfRule>
  </conditionalFormatting>
  <conditionalFormatting sqref="N378:O378">
    <cfRule type="expression" dxfId="2201" priority="2199">
      <formula>$X378:$X625="Penting"</formula>
    </cfRule>
    <cfRule type="expression" dxfId="2200" priority="2200">
      <formula>$R378:$R625=""</formula>
    </cfRule>
    <cfRule type="expression" dxfId="2199" priority="2201">
      <formula>$R378:$R625&lt;=0</formula>
    </cfRule>
    <cfRule type="expression" dxfId="2198" priority="2202">
      <formula>$R378:$R625&lt;4</formula>
    </cfRule>
  </conditionalFormatting>
  <conditionalFormatting sqref="N379:O379">
    <cfRule type="expression" dxfId="2197" priority="2198">
      <formula>$R379:$R699="End"</formula>
    </cfRule>
  </conditionalFormatting>
  <conditionalFormatting sqref="N379:O379">
    <cfRule type="expression" dxfId="2196" priority="2197" stopIfTrue="1">
      <formula>$R379:$R699="Cancel"</formula>
    </cfRule>
  </conditionalFormatting>
  <conditionalFormatting sqref="N379:O379">
    <cfRule type="expression" dxfId="2195" priority="2193">
      <formula>$X379:$X626="Penting"</formula>
    </cfRule>
    <cfRule type="expression" dxfId="2194" priority="2194">
      <formula>$R379:$R626=""</formula>
    </cfRule>
    <cfRule type="expression" dxfId="2193" priority="2195">
      <formula>$R379:$R626&lt;=0</formula>
    </cfRule>
    <cfRule type="expression" dxfId="2192" priority="2196">
      <formula>$R379:$R626&lt;4</formula>
    </cfRule>
  </conditionalFormatting>
  <conditionalFormatting sqref="N381:O381">
    <cfRule type="expression" dxfId="2191" priority="2192">
      <formula>$R381:$R701="End"</formula>
    </cfRule>
  </conditionalFormatting>
  <conditionalFormatting sqref="N381:O381">
    <cfRule type="expression" dxfId="2190" priority="2191" stopIfTrue="1">
      <formula>$R381:$R701="Cancel"</formula>
    </cfRule>
  </conditionalFormatting>
  <conditionalFormatting sqref="N381:O381">
    <cfRule type="expression" dxfId="2189" priority="2187">
      <formula>$X381:$X628="Penting"</formula>
    </cfRule>
    <cfRule type="expression" dxfId="2188" priority="2188">
      <formula>$R381:$R628=""</formula>
    </cfRule>
    <cfRule type="expression" dxfId="2187" priority="2189">
      <formula>$R381:$R628&lt;=0</formula>
    </cfRule>
    <cfRule type="expression" dxfId="2186" priority="2190">
      <formula>$R381:$R628&lt;4</formula>
    </cfRule>
  </conditionalFormatting>
  <conditionalFormatting sqref="N383:O383">
    <cfRule type="expression" dxfId="2185" priority="2186">
      <formula>$R383:$R703="End"</formula>
    </cfRule>
  </conditionalFormatting>
  <conditionalFormatting sqref="N383:O383">
    <cfRule type="expression" dxfId="2184" priority="2185" stopIfTrue="1">
      <formula>$R383:$R703="Cancel"</formula>
    </cfRule>
  </conditionalFormatting>
  <conditionalFormatting sqref="N383:O383">
    <cfRule type="expression" dxfId="2183" priority="2181">
      <formula>$X383:$X630="Penting"</formula>
    </cfRule>
    <cfRule type="expression" dxfId="2182" priority="2182">
      <formula>$R383:$R630=""</formula>
    </cfRule>
    <cfRule type="expression" dxfId="2181" priority="2183">
      <formula>$R383:$R630&lt;=0</formula>
    </cfRule>
    <cfRule type="expression" dxfId="2180" priority="2184">
      <formula>$R383:$R630&lt;4</formula>
    </cfRule>
  </conditionalFormatting>
  <conditionalFormatting sqref="N384:O384">
    <cfRule type="expression" dxfId="2179" priority="2180">
      <formula>$R384:$R704="End"</formula>
    </cfRule>
  </conditionalFormatting>
  <conditionalFormatting sqref="N384:O384">
    <cfRule type="expression" dxfId="2178" priority="2179" stopIfTrue="1">
      <formula>$R384:$R704="Cancel"</formula>
    </cfRule>
  </conditionalFormatting>
  <conditionalFormatting sqref="N384:O384">
    <cfRule type="expression" dxfId="2177" priority="2175">
      <formula>$X384:$X631="Penting"</formula>
    </cfRule>
    <cfRule type="expression" dxfId="2176" priority="2176">
      <formula>$R384:$R631=""</formula>
    </cfRule>
    <cfRule type="expression" dxfId="2175" priority="2177">
      <formula>$R384:$R631&lt;=0</formula>
    </cfRule>
    <cfRule type="expression" dxfId="2174" priority="2178">
      <formula>$R384:$R631&lt;4</formula>
    </cfRule>
  </conditionalFormatting>
  <conditionalFormatting sqref="N385:O385">
    <cfRule type="expression" dxfId="2173" priority="2174">
      <formula>$R385:$R705="End"</formula>
    </cfRule>
  </conditionalFormatting>
  <conditionalFormatting sqref="N385:O385">
    <cfRule type="expression" dxfId="2172" priority="2173" stopIfTrue="1">
      <formula>$R385:$R705="Cancel"</formula>
    </cfRule>
  </conditionalFormatting>
  <conditionalFormatting sqref="N385:O385">
    <cfRule type="expression" dxfId="2171" priority="2169">
      <formula>$X385:$X632="Penting"</formula>
    </cfRule>
    <cfRule type="expression" dxfId="2170" priority="2170">
      <formula>$R385:$R632=""</formula>
    </cfRule>
    <cfRule type="expression" dxfId="2169" priority="2171">
      <formula>$R385:$R632&lt;=0</formula>
    </cfRule>
    <cfRule type="expression" dxfId="2168" priority="2172">
      <formula>$R385:$R632&lt;4</formula>
    </cfRule>
  </conditionalFormatting>
  <conditionalFormatting sqref="N386:O386">
    <cfRule type="expression" dxfId="2167" priority="2168">
      <formula>$R386:$R706="End"</formula>
    </cfRule>
  </conditionalFormatting>
  <conditionalFormatting sqref="N386:O386">
    <cfRule type="expression" dxfId="2166" priority="2167" stopIfTrue="1">
      <formula>$R386:$R706="Cancel"</formula>
    </cfRule>
  </conditionalFormatting>
  <conditionalFormatting sqref="N386:O386">
    <cfRule type="expression" dxfId="2165" priority="2163">
      <formula>$X386:$X633="Penting"</formula>
    </cfRule>
    <cfRule type="expression" dxfId="2164" priority="2164">
      <formula>$R386:$R633=""</formula>
    </cfRule>
    <cfRule type="expression" dxfId="2163" priority="2165">
      <formula>$R386:$R633&lt;=0</formula>
    </cfRule>
    <cfRule type="expression" dxfId="2162" priority="2166">
      <formula>$R386:$R633&lt;4</formula>
    </cfRule>
  </conditionalFormatting>
  <conditionalFormatting sqref="N387:O387">
    <cfRule type="expression" dxfId="2161" priority="2162">
      <formula>$R387:$R707="End"</formula>
    </cfRule>
  </conditionalFormatting>
  <conditionalFormatting sqref="N387:O387">
    <cfRule type="expression" dxfId="2160" priority="2161" stopIfTrue="1">
      <formula>$R387:$R707="Cancel"</formula>
    </cfRule>
  </conditionalFormatting>
  <conditionalFormatting sqref="N387:O387">
    <cfRule type="expression" dxfId="2159" priority="2157">
      <formula>$X387:$X634="Penting"</formula>
    </cfRule>
    <cfRule type="expression" dxfId="2158" priority="2158">
      <formula>$R387:$R634=""</formula>
    </cfRule>
    <cfRule type="expression" dxfId="2157" priority="2159">
      <formula>$R387:$R634&lt;=0</formula>
    </cfRule>
    <cfRule type="expression" dxfId="2156" priority="2160">
      <formula>$R387:$R634&lt;4</formula>
    </cfRule>
  </conditionalFormatting>
  <conditionalFormatting sqref="N388:O388">
    <cfRule type="expression" dxfId="2155" priority="2156">
      <formula>$R388:$R708="End"</formula>
    </cfRule>
  </conditionalFormatting>
  <conditionalFormatting sqref="N388:O388">
    <cfRule type="expression" dxfId="2154" priority="2155" stopIfTrue="1">
      <formula>$R388:$R708="Cancel"</formula>
    </cfRule>
  </conditionalFormatting>
  <conditionalFormatting sqref="N388:O388">
    <cfRule type="expression" dxfId="2153" priority="2151">
      <formula>$X388:$X635="Penting"</formula>
    </cfRule>
    <cfRule type="expression" dxfId="2152" priority="2152">
      <formula>$R388:$R635=""</formula>
    </cfRule>
    <cfRule type="expression" dxfId="2151" priority="2153">
      <formula>$R388:$R635&lt;=0</formula>
    </cfRule>
    <cfRule type="expression" dxfId="2150" priority="2154">
      <formula>$R388:$R635&lt;4</formula>
    </cfRule>
  </conditionalFormatting>
  <conditionalFormatting sqref="N389:O389">
    <cfRule type="expression" dxfId="2149" priority="2150">
      <formula>$R389:$R709="End"</formula>
    </cfRule>
  </conditionalFormatting>
  <conditionalFormatting sqref="N389:O389">
    <cfRule type="expression" dxfId="2148" priority="2149" stopIfTrue="1">
      <formula>$R389:$R709="Cancel"</formula>
    </cfRule>
  </conditionalFormatting>
  <conditionalFormatting sqref="N389:O389">
    <cfRule type="expression" dxfId="2147" priority="2145">
      <formula>$X389:$X636="Penting"</formula>
    </cfRule>
    <cfRule type="expression" dxfId="2146" priority="2146">
      <formula>$R389:$R636=""</formula>
    </cfRule>
    <cfRule type="expression" dxfId="2145" priority="2147">
      <formula>$R389:$R636&lt;=0</formula>
    </cfRule>
    <cfRule type="expression" dxfId="2144" priority="2148">
      <formula>$R389:$R636&lt;4</formula>
    </cfRule>
  </conditionalFormatting>
  <conditionalFormatting sqref="Y290">
    <cfRule type="expression" dxfId="2143" priority="2141">
      <formula>$X290:$X551="Penting"</formula>
    </cfRule>
    <cfRule type="expression" dxfId="2142" priority="2142">
      <formula>$R290:$R551=""</formula>
    </cfRule>
    <cfRule type="expression" dxfId="2141" priority="2143">
      <formula>$R290:$R551&lt;=0</formula>
    </cfRule>
    <cfRule type="expression" dxfId="2140" priority="2144">
      <formula>$R290:$R551&lt;4</formula>
    </cfRule>
  </conditionalFormatting>
  <conditionalFormatting sqref="Y290">
    <cfRule type="expression" dxfId="2139" priority="2140">
      <formula>$R290:$R616="End"</formula>
    </cfRule>
  </conditionalFormatting>
  <conditionalFormatting sqref="Y290">
    <cfRule type="expression" dxfId="2138" priority="2139" stopIfTrue="1">
      <formula>$R290:$R616="Cancel"</formula>
    </cfRule>
  </conditionalFormatting>
  <conditionalFormatting sqref="F385">
    <cfRule type="expression" dxfId="2137" priority="2138">
      <formula>$R385:$R699="End"</formula>
    </cfRule>
  </conditionalFormatting>
  <conditionalFormatting sqref="F385">
    <cfRule type="expression" dxfId="2136" priority="2137" stopIfTrue="1">
      <formula>$R385:$R699="Cancel"</formula>
    </cfRule>
  </conditionalFormatting>
  <conditionalFormatting sqref="F385">
    <cfRule type="expression" dxfId="2135" priority="2133">
      <formula>$X385:$X628="Penting"</formula>
    </cfRule>
    <cfRule type="expression" dxfId="2134" priority="2134">
      <formula>$R385:$R628=""</formula>
    </cfRule>
    <cfRule type="expression" dxfId="2133" priority="2135">
      <formula>$R385:$R628&lt;=0</formula>
    </cfRule>
    <cfRule type="expression" dxfId="2132" priority="2136">
      <formula>$R385:$R628&lt;4</formula>
    </cfRule>
  </conditionalFormatting>
  <conditionalFormatting sqref="P253">
    <cfRule type="expression" dxfId="2131" priority="2129">
      <formula>$X253:$X522="Penting"</formula>
    </cfRule>
    <cfRule type="expression" dxfId="2130" priority="2130">
      <formula>$R253:$R522=""</formula>
    </cfRule>
    <cfRule type="expression" dxfId="2129" priority="2131">
      <formula>$R253:$R522&lt;=0</formula>
    </cfRule>
    <cfRule type="expression" dxfId="2128" priority="2132">
      <formula>$R253:$R522&lt;4</formula>
    </cfRule>
  </conditionalFormatting>
  <conditionalFormatting sqref="P235">
    <cfRule type="expression" dxfId="2127" priority="2128">
      <formula>$R235:$R579="End"</formula>
    </cfRule>
  </conditionalFormatting>
  <conditionalFormatting sqref="P235">
    <cfRule type="expression" dxfId="2126" priority="2127" stopIfTrue="1">
      <formula>$R235:$R579="Cancel"</formula>
    </cfRule>
  </conditionalFormatting>
  <conditionalFormatting sqref="P402">
    <cfRule type="expression" dxfId="2125" priority="2126">
      <formula>$R402:$R721="End"</formula>
    </cfRule>
  </conditionalFormatting>
  <conditionalFormatting sqref="P402">
    <cfRule type="expression" dxfId="2124" priority="2125" stopIfTrue="1">
      <formula>$R402:$R721="Cancel"</formula>
    </cfRule>
  </conditionalFormatting>
  <conditionalFormatting sqref="P402">
    <cfRule type="expression" dxfId="2123" priority="2121">
      <formula>$X402:$X639="Penting"</formula>
    </cfRule>
    <cfRule type="expression" dxfId="2122" priority="2122">
      <formula>$R402:$R639=""</formula>
    </cfRule>
    <cfRule type="expression" dxfId="2121" priority="2123">
      <formula>$R402:$R639&lt;=0</formula>
    </cfRule>
    <cfRule type="expression" dxfId="2120" priority="2124">
      <formula>$R402:$R639&lt;4</formula>
    </cfRule>
  </conditionalFormatting>
  <conditionalFormatting sqref="P402">
    <cfRule type="expression" dxfId="2119" priority="2120">
      <formula>$R402:$R704="End"</formula>
    </cfRule>
  </conditionalFormatting>
  <conditionalFormatting sqref="P402">
    <cfRule type="expression" dxfId="2118" priority="2119" stopIfTrue="1">
      <formula>$R402:$R704="Cancel"</formula>
    </cfRule>
  </conditionalFormatting>
  <conditionalFormatting sqref="G402">
    <cfRule type="expression" dxfId="2117" priority="2115">
      <formula>$X402:$X640="Penting"</formula>
    </cfRule>
    <cfRule type="expression" dxfId="2116" priority="2116">
      <formula>$R402:$R640=""</formula>
    </cfRule>
    <cfRule type="expression" dxfId="2115" priority="2117">
      <formula>$R402:$R640&lt;=0</formula>
    </cfRule>
    <cfRule type="expression" dxfId="2114" priority="2118">
      <formula>$R402:$R640&lt;4</formula>
    </cfRule>
  </conditionalFormatting>
  <conditionalFormatting sqref="G402">
    <cfRule type="expression" dxfId="2113" priority="2114">
      <formula>$R402:$R705="End"</formula>
    </cfRule>
  </conditionalFormatting>
  <conditionalFormatting sqref="G402">
    <cfRule type="expression" dxfId="2112" priority="2113" stopIfTrue="1">
      <formula>$R402:$R705="Cancel"</formula>
    </cfRule>
  </conditionalFormatting>
  <conditionalFormatting sqref="N402:O402">
    <cfRule type="expression" dxfId="2111" priority="2112">
      <formula>$R402:$R720="End"</formula>
    </cfRule>
  </conditionalFormatting>
  <conditionalFormatting sqref="N402:O402">
    <cfRule type="expression" dxfId="2110" priority="2111" stopIfTrue="1">
      <formula>$R402:$R720="Cancel"</formula>
    </cfRule>
  </conditionalFormatting>
  <conditionalFormatting sqref="N402:O402">
    <cfRule type="expression" dxfId="2109" priority="2107">
      <formula>$X402:$X647="Penting"</formula>
    </cfRule>
    <cfRule type="expression" dxfId="2108" priority="2108">
      <formula>$R402:$R647=""</formula>
    </cfRule>
    <cfRule type="expression" dxfId="2107" priority="2109">
      <formula>$R402:$R647&lt;=0</formula>
    </cfRule>
    <cfRule type="expression" dxfId="2106" priority="2110">
      <formula>$R402:$R647&lt;4</formula>
    </cfRule>
  </conditionalFormatting>
  <conditionalFormatting sqref="B241:O241">
    <cfRule type="expression" dxfId="2105" priority="2106">
      <formula>$R241:$R591="End"</formula>
    </cfRule>
  </conditionalFormatting>
  <conditionalFormatting sqref="B241:O241">
    <cfRule type="expression" dxfId="2104" priority="2105" stopIfTrue="1">
      <formula>$R241:$R591="Cancel"</formula>
    </cfRule>
  </conditionalFormatting>
  <conditionalFormatting sqref="C411:G411 I411:M411 P411">
    <cfRule type="expression" dxfId="2103" priority="2101">
      <formula>$X411:$X648="Penting"</formula>
    </cfRule>
    <cfRule type="expression" dxfId="2102" priority="2102">
      <formula>$R411:$R648=""</formula>
    </cfRule>
    <cfRule type="expression" dxfId="2101" priority="2103">
      <formula>$R411:$R648&lt;=0</formula>
    </cfRule>
    <cfRule type="expression" dxfId="2100" priority="2104">
      <formula>$R411:$R648&lt;4</formula>
    </cfRule>
  </conditionalFormatting>
  <conditionalFormatting sqref="C411:G411 I411:M411">
    <cfRule type="expression" dxfId="2099" priority="2100">
      <formula>$R411:$R713="End"</formula>
    </cfRule>
  </conditionalFormatting>
  <conditionalFormatting sqref="C411:G411 I411:M411">
    <cfRule type="expression" dxfId="2098" priority="2099" stopIfTrue="1">
      <formula>$R411:$R713="Cancel"</formula>
    </cfRule>
  </conditionalFormatting>
  <conditionalFormatting sqref="P411">
    <cfRule type="expression" dxfId="2097" priority="2098">
      <formula>$R411:$R730="End"</formula>
    </cfRule>
  </conditionalFormatting>
  <conditionalFormatting sqref="P411">
    <cfRule type="expression" dxfId="2096" priority="2097" stopIfTrue="1">
      <formula>$R411:$R730="Cancel"</formula>
    </cfRule>
  </conditionalFormatting>
  <conditionalFormatting sqref="H411">
    <cfRule type="expression" dxfId="2095" priority="2096">
      <formula>$R411:$R725="End"</formula>
    </cfRule>
  </conditionalFormatting>
  <conditionalFormatting sqref="H411">
    <cfRule type="expression" dxfId="2094" priority="2095" stopIfTrue="1">
      <formula>$R411:$R725="Cancel"</formula>
    </cfRule>
  </conditionalFormatting>
  <conditionalFormatting sqref="H411">
    <cfRule type="expression" dxfId="2093" priority="2091">
      <formula>$X411:$X652="Penting"</formula>
    </cfRule>
    <cfRule type="expression" dxfId="2092" priority="2092">
      <formula>$R411:$R652=""</formula>
    </cfRule>
    <cfRule type="expression" dxfId="2091" priority="2093">
      <formula>$R411:$R652&lt;=0</formula>
    </cfRule>
    <cfRule type="expression" dxfId="2090" priority="2094">
      <formula>$R411:$R652&lt;4</formula>
    </cfRule>
  </conditionalFormatting>
  <conditionalFormatting sqref="N411:O411">
    <cfRule type="expression" dxfId="2089" priority="2090">
      <formula>$R411:$R728="End"</formula>
    </cfRule>
  </conditionalFormatting>
  <conditionalFormatting sqref="N411:O411">
    <cfRule type="expression" dxfId="2088" priority="2089" stopIfTrue="1">
      <formula>$R411:$R728="Cancel"</formula>
    </cfRule>
  </conditionalFormatting>
  <conditionalFormatting sqref="N411:O411">
    <cfRule type="expression" dxfId="2087" priority="2085">
      <formula>$X411:$X655="Penting"</formula>
    </cfRule>
    <cfRule type="expression" dxfId="2086" priority="2086">
      <formula>$R411:$R655=""</formula>
    </cfRule>
    <cfRule type="expression" dxfId="2085" priority="2087">
      <formula>$R411:$R655&lt;=0</formula>
    </cfRule>
    <cfRule type="expression" dxfId="2084" priority="2088">
      <formula>$R411:$R655&lt;4</formula>
    </cfRule>
  </conditionalFormatting>
  <conditionalFormatting sqref="C420:N420">
    <cfRule type="expression" dxfId="2083" priority="2081">
      <formula>$X420:$X672="Penting"</formula>
    </cfRule>
    <cfRule type="expression" dxfId="2082" priority="2082">
      <formula>$R420:$R672=""</formula>
    </cfRule>
    <cfRule type="expression" dxfId="2081" priority="2083">
      <formula>$R420:$R672&lt;=0</formula>
    </cfRule>
    <cfRule type="expression" dxfId="2080" priority="2084">
      <formula>$R420:$R672&lt;4</formula>
    </cfRule>
  </conditionalFormatting>
  <conditionalFormatting sqref="O420">
    <cfRule type="expression" dxfId="2079" priority="2077">
      <formula>$X420:$X674="Penting"</formula>
    </cfRule>
    <cfRule type="expression" dxfId="2078" priority="2078">
      <formula>$R420:$R674=""</formula>
    </cfRule>
    <cfRule type="expression" dxfId="2077" priority="2079">
      <formula>$R420:$R674&lt;=0</formula>
    </cfRule>
    <cfRule type="expression" dxfId="2076" priority="2080">
      <formula>$R420:$R674&lt;4</formula>
    </cfRule>
  </conditionalFormatting>
  <conditionalFormatting sqref="C420:D420">
    <cfRule type="expression" dxfId="2075" priority="2073">
      <formula>$X420:$X678="Penting"</formula>
    </cfRule>
    <cfRule type="expression" dxfId="2074" priority="2074">
      <formula>$R420:$R678=""</formula>
    </cfRule>
    <cfRule type="expression" dxfId="2073" priority="2075">
      <formula>$R420:$R678&lt;=0</formula>
    </cfRule>
    <cfRule type="expression" dxfId="2072" priority="2076">
      <formula>$R420:$R678&lt;4</formula>
    </cfRule>
  </conditionalFormatting>
  <conditionalFormatting sqref="C420:D420">
    <cfRule type="expression" dxfId="2071" priority="2069">
      <formula>$X420:$X673="Penting"</formula>
    </cfRule>
    <cfRule type="expression" dxfId="2070" priority="2070">
      <formula>$R420:$R673=""</formula>
    </cfRule>
    <cfRule type="expression" dxfId="2069" priority="2071">
      <formula>$R420:$R673&lt;=0</formula>
    </cfRule>
    <cfRule type="expression" dxfId="2068" priority="2072">
      <formula>$R420:$R673&lt;4</formula>
    </cfRule>
  </conditionalFormatting>
  <conditionalFormatting sqref="C420:D420">
    <cfRule type="expression" dxfId="2067" priority="2065">
      <formula>$X420:$X672="Penting"</formula>
    </cfRule>
    <cfRule type="expression" dxfId="2066" priority="2066">
      <formula>$R420:$R672=""</formula>
    </cfRule>
    <cfRule type="expression" dxfId="2065" priority="2067">
      <formula>$R420:$R672&lt;=0</formula>
    </cfRule>
    <cfRule type="expression" dxfId="2064" priority="2068">
      <formula>$R420:$R672&lt;4</formula>
    </cfRule>
  </conditionalFormatting>
  <conditionalFormatting sqref="P420">
    <cfRule type="expression" dxfId="2063" priority="2061">
      <formula>$X420:$X668="Penting"</formula>
    </cfRule>
    <cfRule type="expression" dxfId="2062" priority="2062">
      <formula>$R420:$R668=""</formula>
    </cfRule>
    <cfRule type="expression" dxfId="2061" priority="2063">
      <formula>$R420:$R668&lt;=0</formula>
    </cfRule>
    <cfRule type="expression" dxfId="2060" priority="2064">
      <formula>$R420:$R668&lt;4</formula>
    </cfRule>
  </conditionalFormatting>
  <conditionalFormatting sqref="O420">
    <cfRule type="expression" dxfId="2059" priority="2060">
      <formula>$R420:$R747="End"</formula>
    </cfRule>
  </conditionalFormatting>
  <conditionalFormatting sqref="O420">
    <cfRule type="expression" dxfId="2058" priority="2059" stopIfTrue="1">
      <formula>$R420:$R747="Cancel"</formula>
    </cfRule>
  </conditionalFormatting>
  <conditionalFormatting sqref="C420:N420">
    <cfRule type="expression" dxfId="2057" priority="2058">
      <formula>$R420:$R745="End"</formula>
    </cfRule>
  </conditionalFormatting>
  <conditionalFormatting sqref="C420:N420">
    <cfRule type="expression" dxfId="2056" priority="2057" stopIfTrue="1">
      <formula>$R420:$R745="Cancel"</formula>
    </cfRule>
  </conditionalFormatting>
  <conditionalFormatting sqref="P420 C284:C287 B283:Z283 AD283:AR283">
    <cfRule type="expression" dxfId="2055" priority="2056">
      <formula>$R283:$R613="End"</formula>
    </cfRule>
  </conditionalFormatting>
  <conditionalFormatting sqref="P420 C284:C287 B283:Z283 AD283:AR283">
    <cfRule type="expression" dxfId="2054" priority="2055" stopIfTrue="1">
      <formula>$R283:$R613="Cancel"</formula>
    </cfRule>
  </conditionalFormatting>
  <conditionalFormatting sqref="Q349">
    <cfRule type="expression" dxfId="2053" priority="2054">
      <formula>$R349:$R666="End"</formula>
    </cfRule>
  </conditionalFormatting>
  <conditionalFormatting sqref="Q349">
    <cfRule type="expression" dxfId="2052" priority="2053" stopIfTrue="1">
      <formula>$R349:$R666="Cancel"</formula>
    </cfRule>
  </conditionalFormatting>
  <conditionalFormatting sqref="Y399:Z399">
    <cfRule type="expression" dxfId="2051" priority="2049">
      <formula>$X399:$X655="Penting"</formula>
    </cfRule>
    <cfRule type="expression" dxfId="2050" priority="2050">
      <formula>$R399:$R655=""</formula>
    </cfRule>
    <cfRule type="expression" dxfId="2049" priority="2051">
      <formula>$R399:$R655&lt;=0</formula>
    </cfRule>
    <cfRule type="expression" dxfId="2048" priority="2052">
      <formula>$R399:$R655&lt;4</formula>
    </cfRule>
  </conditionalFormatting>
  <conditionalFormatting sqref="Y399:Z399 P314:P319">
    <cfRule type="expression" dxfId="2047" priority="2048">
      <formula>$R314:$R643="End"</formula>
    </cfRule>
  </conditionalFormatting>
  <conditionalFormatting sqref="Y399:Z399 P314:P319">
    <cfRule type="expression" dxfId="2046" priority="2047" stopIfTrue="1">
      <formula>$R314:$R643="Cancel"</formula>
    </cfRule>
  </conditionalFormatting>
  <conditionalFormatting sqref="Y400:Z400">
    <cfRule type="expression" dxfId="2045" priority="2043">
      <formula>$X400:$X656="Penting"</formula>
    </cfRule>
    <cfRule type="expression" dxfId="2044" priority="2044">
      <formula>$R400:$R656=""</formula>
    </cfRule>
    <cfRule type="expression" dxfId="2043" priority="2045">
      <formula>$R400:$R656&lt;=0</formula>
    </cfRule>
    <cfRule type="expression" dxfId="2042" priority="2046">
      <formula>$R400:$R656&lt;4</formula>
    </cfRule>
  </conditionalFormatting>
  <conditionalFormatting sqref="Y400:Z400">
    <cfRule type="expression" dxfId="2041" priority="2042">
      <formula>$R400:$R729="End"</formula>
    </cfRule>
  </conditionalFormatting>
  <conditionalFormatting sqref="Y400:Z400">
    <cfRule type="expression" dxfId="2040" priority="2041" stopIfTrue="1">
      <formula>$R400:$R729="Cancel"</formula>
    </cfRule>
  </conditionalFormatting>
  <conditionalFormatting sqref="Y404:Z404">
    <cfRule type="expression" dxfId="2039" priority="2037">
      <formula>$X404:$X660="Penting"</formula>
    </cfRule>
    <cfRule type="expression" dxfId="2038" priority="2038">
      <formula>$R404:$R660=""</formula>
    </cfRule>
    <cfRule type="expression" dxfId="2037" priority="2039">
      <formula>$R404:$R660&lt;=0</formula>
    </cfRule>
    <cfRule type="expression" dxfId="2036" priority="2040">
      <formula>$R404:$R660&lt;4</formula>
    </cfRule>
  </conditionalFormatting>
  <conditionalFormatting sqref="Y404:Z404">
    <cfRule type="expression" dxfId="2035" priority="2036">
      <formula>$R404:$R733="End"</formula>
    </cfRule>
  </conditionalFormatting>
  <conditionalFormatting sqref="Y404:Z404">
    <cfRule type="expression" dxfId="2034" priority="2035" stopIfTrue="1">
      <formula>$R404:$R733="Cancel"</formula>
    </cfRule>
  </conditionalFormatting>
  <conditionalFormatting sqref="Y405:Z405">
    <cfRule type="expression" dxfId="2033" priority="2031">
      <formula>$X405:$X661="Penting"</formula>
    </cfRule>
    <cfRule type="expression" dxfId="2032" priority="2032">
      <formula>$R405:$R661=""</formula>
    </cfRule>
    <cfRule type="expression" dxfId="2031" priority="2033">
      <formula>$R405:$R661&lt;=0</formula>
    </cfRule>
    <cfRule type="expression" dxfId="2030" priority="2034">
      <formula>$R405:$R661&lt;4</formula>
    </cfRule>
  </conditionalFormatting>
  <conditionalFormatting sqref="Y405:Z405">
    <cfRule type="expression" dxfId="2029" priority="2030">
      <formula>$R405:$R734="End"</formula>
    </cfRule>
  </conditionalFormatting>
  <conditionalFormatting sqref="Y405:Z405">
    <cfRule type="expression" dxfId="2028" priority="2029" stopIfTrue="1">
      <formula>$R405:$R734="Cancel"</formula>
    </cfRule>
  </conditionalFormatting>
  <conditionalFormatting sqref="Y408:Z408">
    <cfRule type="expression" dxfId="2027" priority="2025">
      <formula>$X408:$X663="Penting"</formula>
    </cfRule>
    <cfRule type="expression" dxfId="2026" priority="2026">
      <formula>$R408:$R663=""</formula>
    </cfRule>
    <cfRule type="expression" dxfId="2025" priority="2027">
      <formula>$R408:$R663&lt;=0</formula>
    </cfRule>
    <cfRule type="expression" dxfId="2024" priority="2028">
      <formula>$R408:$R663&lt;4</formula>
    </cfRule>
  </conditionalFormatting>
  <conditionalFormatting sqref="Y408:Z408">
    <cfRule type="expression" dxfId="2023" priority="2024">
      <formula>$R408:$R736="End"</formula>
    </cfRule>
  </conditionalFormatting>
  <conditionalFormatting sqref="Y408:Z408">
    <cfRule type="expression" dxfId="2022" priority="2023" stopIfTrue="1">
      <formula>$R408:$R736="Cancel"</formula>
    </cfRule>
  </conditionalFormatting>
  <conditionalFormatting sqref="Y409:Z409">
    <cfRule type="expression" dxfId="2021" priority="2019">
      <formula>$X409:$X664="Penting"</formula>
    </cfRule>
    <cfRule type="expression" dxfId="2020" priority="2020">
      <formula>$R409:$R664=""</formula>
    </cfRule>
    <cfRule type="expression" dxfId="2019" priority="2021">
      <formula>$R409:$R664&lt;=0</formula>
    </cfRule>
    <cfRule type="expression" dxfId="2018" priority="2022">
      <formula>$R409:$R664&lt;4</formula>
    </cfRule>
  </conditionalFormatting>
  <conditionalFormatting sqref="Y409:Z409">
    <cfRule type="expression" dxfId="2017" priority="2018">
      <formula>$R409:$R737="End"</formula>
    </cfRule>
  </conditionalFormatting>
  <conditionalFormatting sqref="Y409:Z409">
    <cfRule type="expression" dxfId="2016" priority="2017" stopIfTrue="1">
      <formula>$R409:$R737="Cancel"</formula>
    </cfRule>
  </conditionalFormatting>
  <conditionalFormatting sqref="Y414:Z414">
    <cfRule type="expression" dxfId="2015" priority="2013">
      <formula>$X414:$X669="Penting"</formula>
    </cfRule>
    <cfRule type="expression" dxfId="2014" priority="2014">
      <formula>$R414:$R669=""</formula>
    </cfRule>
    <cfRule type="expression" dxfId="2013" priority="2015">
      <formula>$R414:$R669&lt;=0</formula>
    </cfRule>
    <cfRule type="expression" dxfId="2012" priority="2016">
      <formula>$R414:$R669&lt;4</formula>
    </cfRule>
  </conditionalFormatting>
  <conditionalFormatting sqref="Y414:Z414">
    <cfRule type="expression" dxfId="2011" priority="2012">
      <formula>$R414:$R742="End"</formula>
    </cfRule>
  </conditionalFormatting>
  <conditionalFormatting sqref="Y414:Z414">
    <cfRule type="expression" dxfId="2010" priority="2011" stopIfTrue="1">
      <formula>$R414:$R742="Cancel"</formula>
    </cfRule>
  </conditionalFormatting>
  <conditionalFormatting sqref="Y416:Z416">
    <cfRule type="expression" dxfId="2009" priority="2007">
      <formula>$X416:$X671="Penting"</formula>
    </cfRule>
    <cfRule type="expression" dxfId="2008" priority="2008">
      <formula>$R416:$R671=""</formula>
    </cfRule>
    <cfRule type="expression" dxfId="2007" priority="2009">
      <formula>$R416:$R671&lt;=0</formula>
    </cfRule>
    <cfRule type="expression" dxfId="2006" priority="2010">
      <formula>$R416:$R671&lt;4</formula>
    </cfRule>
  </conditionalFormatting>
  <conditionalFormatting sqref="Y416:Z416">
    <cfRule type="expression" dxfId="2005" priority="2006">
      <formula>$R416:$R744="End"</formula>
    </cfRule>
  </conditionalFormatting>
  <conditionalFormatting sqref="Y416:Z416">
    <cfRule type="expression" dxfId="2004" priority="2005" stopIfTrue="1">
      <formula>$R416:$R744="Cancel"</formula>
    </cfRule>
  </conditionalFormatting>
  <conditionalFormatting sqref="Y417:Z417">
    <cfRule type="expression" dxfId="2003" priority="2001">
      <formula>$X417:$X672="Penting"</formula>
    </cfRule>
    <cfRule type="expression" dxfId="2002" priority="2002">
      <formula>$R417:$R672=""</formula>
    </cfRule>
    <cfRule type="expression" dxfId="2001" priority="2003">
      <formula>$R417:$R672&lt;=0</formula>
    </cfRule>
    <cfRule type="expression" dxfId="2000" priority="2004">
      <formula>$R417:$R672&lt;4</formula>
    </cfRule>
  </conditionalFormatting>
  <conditionalFormatting sqref="Y417:Z417">
    <cfRule type="expression" dxfId="1999" priority="2000">
      <formula>$R417:$R745="End"</formula>
    </cfRule>
  </conditionalFormatting>
  <conditionalFormatting sqref="Y417:Z417">
    <cfRule type="expression" dxfId="1998" priority="1999" stopIfTrue="1">
      <formula>$R417:$R745="Cancel"</formula>
    </cfRule>
  </conditionalFormatting>
  <conditionalFormatting sqref="Y418:Z418">
    <cfRule type="expression" dxfId="1997" priority="1995">
      <formula>$X418:$X673="Penting"</formula>
    </cfRule>
    <cfRule type="expression" dxfId="1996" priority="1996">
      <formula>$R418:$R673=""</formula>
    </cfRule>
    <cfRule type="expression" dxfId="1995" priority="1997">
      <formula>$R418:$R673&lt;=0</formula>
    </cfRule>
    <cfRule type="expression" dxfId="1994" priority="1998">
      <formula>$R418:$R673&lt;4</formula>
    </cfRule>
  </conditionalFormatting>
  <conditionalFormatting sqref="Y418:Z418">
    <cfRule type="expression" dxfId="1993" priority="1994">
      <formula>$R418:$R746="End"</formula>
    </cfRule>
  </conditionalFormatting>
  <conditionalFormatting sqref="Y418:Z418">
    <cfRule type="expression" dxfId="1992" priority="1993" stopIfTrue="1">
      <formula>$R418:$R746="Cancel"</formula>
    </cfRule>
  </conditionalFormatting>
  <conditionalFormatting sqref="Y419:Z419">
    <cfRule type="expression" dxfId="1991" priority="1989">
      <formula>$X419:$X674="Penting"</formula>
    </cfRule>
    <cfRule type="expression" dxfId="1990" priority="1990">
      <formula>$R419:$R674=""</formula>
    </cfRule>
    <cfRule type="expression" dxfId="1989" priority="1991">
      <formula>$R419:$R674&lt;=0</formula>
    </cfRule>
    <cfRule type="expression" dxfId="1988" priority="1992">
      <formula>$R419:$R674&lt;4</formula>
    </cfRule>
  </conditionalFormatting>
  <conditionalFormatting sqref="Y419:Z419">
    <cfRule type="expression" dxfId="1987" priority="1988">
      <formula>$R419:$R747="End"</formula>
    </cfRule>
  </conditionalFormatting>
  <conditionalFormatting sqref="Y419:Z419">
    <cfRule type="expression" dxfId="1986" priority="1987" stopIfTrue="1">
      <formula>$R419:$R747="Cancel"</formula>
    </cfRule>
  </conditionalFormatting>
  <conditionalFormatting sqref="Y422:Z422">
    <cfRule type="expression" dxfId="1985" priority="1983">
      <formula>$X422:$X677="Penting"</formula>
    </cfRule>
    <cfRule type="expression" dxfId="1984" priority="1984">
      <formula>$R422:$R677=""</formula>
    </cfRule>
    <cfRule type="expression" dxfId="1983" priority="1985">
      <formula>$R422:$R677&lt;=0</formula>
    </cfRule>
    <cfRule type="expression" dxfId="1982" priority="1986">
      <formula>$R422:$R677&lt;4</formula>
    </cfRule>
  </conditionalFormatting>
  <conditionalFormatting sqref="Y422:Z422">
    <cfRule type="expression" dxfId="1981" priority="1982">
      <formula>$R422:$R750="End"</formula>
    </cfRule>
  </conditionalFormatting>
  <conditionalFormatting sqref="Y422:Z422">
    <cfRule type="expression" dxfId="1980" priority="1981" stopIfTrue="1">
      <formula>$R422:$R750="Cancel"</formula>
    </cfRule>
  </conditionalFormatting>
  <conditionalFormatting sqref="Y423:Z423">
    <cfRule type="expression" dxfId="1979" priority="1977">
      <formula>$X423:$X678="Penting"</formula>
    </cfRule>
    <cfRule type="expression" dxfId="1978" priority="1978">
      <formula>$R423:$R678=""</formula>
    </cfRule>
    <cfRule type="expression" dxfId="1977" priority="1979">
      <formula>$R423:$R678&lt;=0</formula>
    </cfRule>
    <cfRule type="expression" dxfId="1976" priority="1980">
      <formula>$R423:$R678&lt;4</formula>
    </cfRule>
  </conditionalFormatting>
  <conditionalFormatting sqref="Y423:Z423">
    <cfRule type="expression" dxfId="1975" priority="1976">
      <formula>$R423:$R751="End"</formula>
    </cfRule>
  </conditionalFormatting>
  <conditionalFormatting sqref="Y423:Z423">
    <cfRule type="expression" dxfId="1974" priority="1975" stopIfTrue="1">
      <formula>$R423:$R751="Cancel"</formula>
    </cfRule>
  </conditionalFormatting>
  <conditionalFormatting sqref="Y424:Z424">
    <cfRule type="expression" dxfId="1973" priority="1971">
      <formula>$X424:$X679="Penting"</formula>
    </cfRule>
    <cfRule type="expression" dxfId="1972" priority="1972">
      <formula>$R424:$R679=""</formula>
    </cfRule>
    <cfRule type="expression" dxfId="1971" priority="1973">
      <formula>$R424:$R679&lt;=0</formula>
    </cfRule>
    <cfRule type="expression" dxfId="1970" priority="1974">
      <formula>$R424:$R679&lt;4</formula>
    </cfRule>
  </conditionalFormatting>
  <conditionalFormatting sqref="Y424:Z424">
    <cfRule type="expression" dxfId="1969" priority="1970">
      <formula>$R424:$R752="End"</formula>
    </cfRule>
  </conditionalFormatting>
  <conditionalFormatting sqref="Y424:Z424">
    <cfRule type="expression" dxfId="1968" priority="1969" stopIfTrue="1">
      <formula>$R424:$R752="Cancel"</formula>
    </cfRule>
  </conditionalFormatting>
  <conditionalFormatting sqref="Y425:Z425">
    <cfRule type="expression" dxfId="1967" priority="1965">
      <formula>$X425:$X680="Penting"</formula>
    </cfRule>
    <cfRule type="expression" dxfId="1966" priority="1966">
      <formula>$R425:$R680=""</formula>
    </cfRule>
    <cfRule type="expression" dxfId="1965" priority="1967">
      <formula>$R425:$R680&lt;=0</formula>
    </cfRule>
    <cfRule type="expression" dxfId="1964" priority="1968">
      <formula>$R425:$R680&lt;4</formula>
    </cfRule>
  </conditionalFormatting>
  <conditionalFormatting sqref="Y425:Z425">
    <cfRule type="expression" dxfId="1963" priority="1964">
      <formula>$R425:$R753="End"</formula>
    </cfRule>
  </conditionalFormatting>
  <conditionalFormatting sqref="Y425:Z425">
    <cfRule type="expression" dxfId="1962" priority="1963" stopIfTrue="1">
      <formula>$R425:$R753="Cancel"</formula>
    </cfRule>
  </conditionalFormatting>
  <conditionalFormatting sqref="Y427:Z427">
    <cfRule type="expression" dxfId="1961" priority="1959">
      <formula>$X427:$X682="Penting"</formula>
    </cfRule>
    <cfRule type="expression" dxfId="1960" priority="1960">
      <formula>$R427:$R682=""</formula>
    </cfRule>
    <cfRule type="expression" dxfId="1959" priority="1961">
      <formula>$R427:$R682&lt;=0</formula>
    </cfRule>
    <cfRule type="expression" dxfId="1958" priority="1962">
      <formula>$R427:$R682&lt;4</formula>
    </cfRule>
  </conditionalFormatting>
  <conditionalFormatting sqref="Y427:Z427">
    <cfRule type="expression" dxfId="1957" priority="1958">
      <formula>$R427:$R755="End"</formula>
    </cfRule>
  </conditionalFormatting>
  <conditionalFormatting sqref="Y427:Z427">
    <cfRule type="expression" dxfId="1956" priority="1957" stopIfTrue="1">
      <formula>$R427:$R755="Cancel"</formula>
    </cfRule>
  </conditionalFormatting>
  <conditionalFormatting sqref="Y429:Z429">
    <cfRule type="expression" dxfId="1955" priority="1953">
      <formula>$X429:$X684="Penting"</formula>
    </cfRule>
    <cfRule type="expression" dxfId="1954" priority="1954">
      <formula>$R429:$R684=""</formula>
    </cfRule>
    <cfRule type="expression" dxfId="1953" priority="1955">
      <formula>$R429:$R684&lt;=0</formula>
    </cfRule>
    <cfRule type="expression" dxfId="1952" priority="1956">
      <formula>$R429:$R684&lt;4</formula>
    </cfRule>
  </conditionalFormatting>
  <conditionalFormatting sqref="Y429:Z429">
    <cfRule type="expression" dxfId="1951" priority="1952">
      <formula>$R429:$R757="End"</formula>
    </cfRule>
  </conditionalFormatting>
  <conditionalFormatting sqref="Y429:Z429">
    <cfRule type="expression" dxfId="1950" priority="1951" stopIfTrue="1">
      <formula>$R429:$R757="Cancel"</formula>
    </cfRule>
  </conditionalFormatting>
  <conditionalFormatting sqref="Y430:Z430">
    <cfRule type="expression" dxfId="1949" priority="1947">
      <formula>$X430:$X685="Penting"</formula>
    </cfRule>
    <cfRule type="expression" dxfId="1948" priority="1948">
      <formula>$R430:$R685=""</formula>
    </cfRule>
    <cfRule type="expression" dxfId="1947" priority="1949">
      <formula>$R430:$R685&lt;=0</formula>
    </cfRule>
    <cfRule type="expression" dxfId="1946" priority="1950">
      <formula>$R430:$R685&lt;4</formula>
    </cfRule>
  </conditionalFormatting>
  <conditionalFormatting sqref="Y430:Z430">
    <cfRule type="expression" dxfId="1945" priority="1946">
      <formula>$R430:$R758="End"</formula>
    </cfRule>
  </conditionalFormatting>
  <conditionalFormatting sqref="Y430:Z430">
    <cfRule type="expression" dxfId="1944" priority="1945" stopIfTrue="1">
      <formula>$R430:$R758="Cancel"</formula>
    </cfRule>
  </conditionalFormatting>
  <conditionalFormatting sqref="Y431:Z431">
    <cfRule type="expression" dxfId="1943" priority="1941">
      <formula>$X431:$X686="Penting"</formula>
    </cfRule>
    <cfRule type="expression" dxfId="1942" priority="1942">
      <formula>$R431:$R686=""</formula>
    </cfRule>
    <cfRule type="expression" dxfId="1941" priority="1943">
      <formula>$R431:$R686&lt;=0</formula>
    </cfRule>
    <cfRule type="expression" dxfId="1940" priority="1944">
      <formula>$R431:$R686&lt;4</formula>
    </cfRule>
  </conditionalFormatting>
  <conditionalFormatting sqref="Y431:Z431">
    <cfRule type="expression" dxfId="1939" priority="1940">
      <formula>$R431:$R759="End"</formula>
    </cfRule>
  </conditionalFormatting>
  <conditionalFormatting sqref="Y431:Z431">
    <cfRule type="expression" dxfId="1938" priority="1939" stopIfTrue="1">
      <formula>$R431:$R759="Cancel"</formula>
    </cfRule>
  </conditionalFormatting>
  <conditionalFormatting sqref="Y432:Z432">
    <cfRule type="expression" dxfId="1937" priority="1935">
      <formula>$X432:$X687="Penting"</formula>
    </cfRule>
    <cfRule type="expression" dxfId="1936" priority="1936">
      <formula>$R432:$R687=""</formula>
    </cfRule>
    <cfRule type="expression" dxfId="1935" priority="1937">
      <formula>$R432:$R687&lt;=0</formula>
    </cfRule>
    <cfRule type="expression" dxfId="1934" priority="1938">
      <formula>$R432:$R687&lt;4</formula>
    </cfRule>
  </conditionalFormatting>
  <conditionalFormatting sqref="Y432:Z432">
    <cfRule type="expression" dxfId="1933" priority="1934">
      <formula>$R432:$R760="End"</formula>
    </cfRule>
  </conditionalFormatting>
  <conditionalFormatting sqref="Y432:Z432">
    <cfRule type="expression" dxfId="1932" priority="1933" stopIfTrue="1">
      <formula>$R432:$R760="Cancel"</formula>
    </cfRule>
  </conditionalFormatting>
  <conditionalFormatting sqref="Y433:Z433">
    <cfRule type="expression" dxfId="1931" priority="1929">
      <formula>$X433:$X688="Penting"</formula>
    </cfRule>
    <cfRule type="expression" dxfId="1930" priority="1930">
      <formula>$R433:$R688=""</formula>
    </cfRule>
    <cfRule type="expression" dxfId="1929" priority="1931">
      <formula>$R433:$R688&lt;=0</formula>
    </cfRule>
    <cfRule type="expression" dxfId="1928" priority="1932">
      <formula>$R433:$R688&lt;4</formula>
    </cfRule>
  </conditionalFormatting>
  <conditionalFormatting sqref="Y433:Z433">
    <cfRule type="expression" dxfId="1927" priority="1928">
      <formula>$R433:$R761="End"</formula>
    </cfRule>
  </conditionalFormatting>
  <conditionalFormatting sqref="Y433:Z433">
    <cfRule type="expression" dxfId="1926" priority="1927" stopIfTrue="1">
      <formula>$R433:$R761="Cancel"</formula>
    </cfRule>
  </conditionalFormatting>
  <conditionalFormatting sqref="Y435:Z435">
    <cfRule type="expression" dxfId="1925" priority="1923">
      <formula>$X435:$X690="Penting"</formula>
    </cfRule>
    <cfRule type="expression" dxfId="1924" priority="1924">
      <formula>$R435:$R690=""</formula>
    </cfRule>
    <cfRule type="expression" dxfId="1923" priority="1925">
      <formula>$R435:$R690&lt;=0</formula>
    </cfRule>
    <cfRule type="expression" dxfId="1922" priority="1926">
      <formula>$R435:$R690&lt;4</formula>
    </cfRule>
  </conditionalFormatting>
  <conditionalFormatting sqref="Y435:Z435">
    <cfRule type="expression" dxfId="1921" priority="1922">
      <formula>$R435:$R763="End"</formula>
    </cfRule>
  </conditionalFormatting>
  <conditionalFormatting sqref="Y435:Z435">
    <cfRule type="expression" dxfId="1920" priority="1921" stopIfTrue="1">
      <formula>$R435:$R763="Cancel"</formula>
    </cfRule>
  </conditionalFormatting>
  <conditionalFormatting sqref="Y436:Z436">
    <cfRule type="expression" dxfId="1919" priority="1917">
      <formula>$X436:$X691="Penting"</formula>
    </cfRule>
    <cfRule type="expression" dxfId="1918" priority="1918">
      <formula>$R436:$R691=""</formula>
    </cfRule>
    <cfRule type="expression" dxfId="1917" priority="1919">
      <formula>$R436:$R691&lt;=0</formula>
    </cfRule>
    <cfRule type="expression" dxfId="1916" priority="1920">
      <formula>$R436:$R691&lt;4</formula>
    </cfRule>
  </conditionalFormatting>
  <conditionalFormatting sqref="Y436:Z436">
    <cfRule type="expression" dxfId="1915" priority="1916">
      <formula>$R436:$R764="End"</formula>
    </cfRule>
  </conditionalFormatting>
  <conditionalFormatting sqref="Y436:Z436">
    <cfRule type="expression" dxfId="1914" priority="1915" stopIfTrue="1">
      <formula>$R436:$R764="Cancel"</formula>
    </cfRule>
  </conditionalFormatting>
  <conditionalFormatting sqref="Y438:Z438">
    <cfRule type="expression" dxfId="1913" priority="1911">
      <formula>$X438:$X693="Penting"</formula>
    </cfRule>
    <cfRule type="expression" dxfId="1912" priority="1912">
      <formula>$R438:$R693=""</formula>
    </cfRule>
    <cfRule type="expression" dxfId="1911" priority="1913">
      <formula>$R438:$R693&lt;=0</formula>
    </cfRule>
    <cfRule type="expression" dxfId="1910" priority="1914">
      <formula>$R438:$R693&lt;4</formula>
    </cfRule>
  </conditionalFormatting>
  <conditionalFormatting sqref="Y438:Z438">
    <cfRule type="expression" dxfId="1909" priority="1910">
      <formula>$R438:$R766="End"</formula>
    </cfRule>
  </conditionalFormatting>
  <conditionalFormatting sqref="Y438:Z438">
    <cfRule type="expression" dxfId="1908" priority="1909" stopIfTrue="1">
      <formula>$R438:$R766="Cancel"</formula>
    </cfRule>
  </conditionalFormatting>
  <conditionalFormatting sqref="Y439:Z439">
    <cfRule type="expression" dxfId="1907" priority="1905">
      <formula>$X439:$X694="Penting"</formula>
    </cfRule>
    <cfRule type="expression" dxfId="1906" priority="1906">
      <formula>$R439:$R694=""</formula>
    </cfRule>
    <cfRule type="expression" dxfId="1905" priority="1907">
      <formula>$R439:$R694&lt;=0</formula>
    </cfRule>
    <cfRule type="expression" dxfId="1904" priority="1908">
      <formula>$R439:$R694&lt;4</formula>
    </cfRule>
  </conditionalFormatting>
  <conditionalFormatting sqref="Y439:Z439">
    <cfRule type="expression" dxfId="1903" priority="1904">
      <formula>$R439:$R767="End"</formula>
    </cfRule>
  </conditionalFormatting>
  <conditionalFormatting sqref="Y439:Z439">
    <cfRule type="expression" dxfId="1902" priority="1903" stopIfTrue="1">
      <formula>$R439:$R767="Cancel"</formula>
    </cfRule>
  </conditionalFormatting>
  <conditionalFormatting sqref="Y442:Z442">
    <cfRule type="expression" dxfId="1901" priority="1899">
      <formula>$X442:$X697="Penting"</formula>
    </cfRule>
    <cfRule type="expression" dxfId="1900" priority="1900">
      <formula>$R442:$R697=""</formula>
    </cfRule>
    <cfRule type="expression" dxfId="1899" priority="1901">
      <formula>$R442:$R697&lt;=0</formula>
    </cfRule>
    <cfRule type="expression" dxfId="1898" priority="1902">
      <formula>$R442:$R697&lt;4</formula>
    </cfRule>
  </conditionalFormatting>
  <conditionalFormatting sqref="Y442:Z442">
    <cfRule type="expression" dxfId="1897" priority="1898">
      <formula>$R442:$R770="End"</formula>
    </cfRule>
  </conditionalFormatting>
  <conditionalFormatting sqref="Y442:Z442">
    <cfRule type="expression" dxfId="1896" priority="1897" stopIfTrue="1">
      <formula>$R442:$R770="Cancel"</formula>
    </cfRule>
  </conditionalFormatting>
  <conditionalFormatting sqref="Y444:Z444">
    <cfRule type="expression" dxfId="1895" priority="1893">
      <formula>$X444:$X699="Penting"</formula>
    </cfRule>
    <cfRule type="expression" dxfId="1894" priority="1894">
      <formula>$R444:$R699=""</formula>
    </cfRule>
    <cfRule type="expression" dxfId="1893" priority="1895">
      <formula>$R444:$R699&lt;=0</formula>
    </cfRule>
    <cfRule type="expression" dxfId="1892" priority="1896">
      <formula>$R444:$R699&lt;4</formula>
    </cfRule>
  </conditionalFormatting>
  <conditionalFormatting sqref="Y444:Z444">
    <cfRule type="expression" dxfId="1891" priority="1892">
      <formula>$R444:$R772="End"</formula>
    </cfRule>
  </conditionalFormatting>
  <conditionalFormatting sqref="Y444:Z444">
    <cfRule type="expression" dxfId="1890" priority="1891" stopIfTrue="1">
      <formula>$R444:$R772="Cancel"</formula>
    </cfRule>
  </conditionalFormatting>
  <conditionalFormatting sqref="Y445:Z445">
    <cfRule type="expression" dxfId="1889" priority="1887">
      <formula>$X445:$X700="Penting"</formula>
    </cfRule>
    <cfRule type="expression" dxfId="1888" priority="1888">
      <formula>$R445:$R700=""</formula>
    </cfRule>
    <cfRule type="expression" dxfId="1887" priority="1889">
      <formula>$R445:$R700&lt;=0</formula>
    </cfRule>
    <cfRule type="expression" dxfId="1886" priority="1890">
      <formula>$R445:$R700&lt;4</formula>
    </cfRule>
  </conditionalFormatting>
  <conditionalFormatting sqref="Y445:Z445">
    <cfRule type="expression" dxfId="1885" priority="1886">
      <formula>$R445:$R773="End"</formula>
    </cfRule>
  </conditionalFormatting>
  <conditionalFormatting sqref="Y445:Z445">
    <cfRule type="expression" dxfId="1884" priority="1885" stopIfTrue="1">
      <formula>$R445:$R773="Cancel"</formula>
    </cfRule>
  </conditionalFormatting>
  <conditionalFormatting sqref="Y446:Z446">
    <cfRule type="expression" dxfId="1883" priority="1881">
      <formula>$X446:$X701="Penting"</formula>
    </cfRule>
    <cfRule type="expression" dxfId="1882" priority="1882">
      <formula>$R446:$R701=""</formula>
    </cfRule>
    <cfRule type="expression" dxfId="1881" priority="1883">
      <formula>$R446:$R701&lt;=0</formula>
    </cfRule>
    <cfRule type="expression" dxfId="1880" priority="1884">
      <formula>$R446:$R701&lt;4</formula>
    </cfRule>
  </conditionalFormatting>
  <conditionalFormatting sqref="Y446:Z446">
    <cfRule type="expression" dxfId="1879" priority="1880">
      <formula>$R446:$R774="End"</formula>
    </cfRule>
  </conditionalFormatting>
  <conditionalFormatting sqref="Y446:Z446">
    <cfRule type="expression" dxfId="1878" priority="1879" stopIfTrue="1">
      <formula>$R446:$R774="Cancel"</formula>
    </cfRule>
  </conditionalFormatting>
  <conditionalFormatting sqref="Y447:Z447">
    <cfRule type="expression" dxfId="1877" priority="1875">
      <formula>$X447:$X702="Penting"</formula>
    </cfRule>
    <cfRule type="expression" dxfId="1876" priority="1876">
      <formula>$R447:$R702=""</formula>
    </cfRule>
    <cfRule type="expression" dxfId="1875" priority="1877">
      <formula>$R447:$R702&lt;=0</formula>
    </cfRule>
    <cfRule type="expression" dxfId="1874" priority="1878">
      <formula>$R447:$R702&lt;4</formula>
    </cfRule>
  </conditionalFormatting>
  <conditionalFormatting sqref="Y447:Z447">
    <cfRule type="expression" dxfId="1873" priority="1874">
      <formula>$R447:$R775="End"</formula>
    </cfRule>
  </conditionalFormatting>
  <conditionalFormatting sqref="Y447:Z447">
    <cfRule type="expression" dxfId="1872" priority="1873" stopIfTrue="1">
      <formula>$R447:$R775="Cancel"</formula>
    </cfRule>
  </conditionalFormatting>
  <conditionalFormatting sqref="Y450:Z450">
    <cfRule type="expression" dxfId="1871" priority="1869">
      <formula>$X450:$X705="Penting"</formula>
    </cfRule>
    <cfRule type="expression" dxfId="1870" priority="1870">
      <formula>$R450:$R705=""</formula>
    </cfRule>
    <cfRule type="expression" dxfId="1869" priority="1871">
      <formula>$R450:$R705&lt;=0</formula>
    </cfRule>
    <cfRule type="expression" dxfId="1868" priority="1872">
      <formula>$R450:$R705&lt;4</formula>
    </cfRule>
  </conditionalFormatting>
  <conditionalFormatting sqref="Y450:Z450">
    <cfRule type="expression" dxfId="1867" priority="1868">
      <formula>$R450:$R778="End"</formula>
    </cfRule>
  </conditionalFormatting>
  <conditionalFormatting sqref="Y450:Z450">
    <cfRule type="expression" dxfId="1866" priority="1867" stopIfTrue="1">
      <formula>$R450:$R778="Cancel"</formula>
    </cfRule>
  </conditionalFormatting>
  <conditionalFormatting sqref="Y452:Z452">
    <cfRule type="expression" dxfId="1865" priority="1863">
      <formula>$X452:$X707="Penting"</formula>
    </cfRule>
    <cfRule type="expression" dxfId="1864" priority="1864">
      <formula>$R452:$R707=""</formula>
    </cfRule>
    <cfRule type="expression" dxfId="1863" priority="1865">
      <formula>$R452:$R707&lt;=0</formula>
    </cfRule>
    <cfRule type="expression" dxfId="1862" priority="1866">
      <formula>$R452:$R707&lt;4</formula>
    </cfRule>
  </conditionalFormatting>
  <conditionalFormatting sqref="Y452:Z452">
    <cfRule type="expression" dxfId="1861" priority="1862">
      <formula>$R452:$R780="End"</formula>
    </cfRule>
  </conditionalFormatting>
  <conditionalFormatting sqref="Y452:Z452">
    <cfRule type="expression" dxfId="1860" priority="1861" stopIfTrue="1">
      <formula>$R452:$R780="Cancel"</formula>
    </cfRule>
  </conditionalFormatting>
  <conditionalFormatting sqref="Z312">
    <cfRule type="expression" dxfId="1859" priority="1860">
      <formula>$R312:$R674="End"</formula>
    </cfRule>
  </conditionalFormatting>
  <conditionalFormatting sqref="Z312">
    <cfRule type="expression" dxfId="1858" priority="1859" stopIfTrue="1">
      <formula>$R312:$R674="Cancel"</formula>
    </cfRule>
  </conditionalFormatting>
  <conditionalFormatting sqref="Z209">
    <cfRule type="expression" dxfId="1857" priority="1855">
      <formula>$X209:$X508="Penting"</formula>
    </cfRule>
    <cfRule type="expression" dxfId="1856" priority="1856">
      <formula>$R209:$R508=""</formula>
    </cfRule>
    <cfRule type="expression" dxfId="1855" priority="1857">
      <formula>$R209:$R508&lt;=0</formula>
    </cfRule>
    <cfRule type="expression" dxfId="1854" priority="1858">
      <formula>$R209:$R508&lt;4</formula>
    </cfRule>
  </conditionalFormatting>
  <conditionalFormatting sqref="S193 T158:V159 T162:V166">
    <cfRule type="expression" dxfId="1853" priority="1851">
      <formula>$X158:$X541="Penting"</formula>
    </cfRule>
    <cfRule type="expression" dxfId="1852" priority="1852">
      <formula>$R158:$R541=""</formula>
    </cfRule>
    <cfRule type="expression" dxfId="1851" priority="1853">
      <formula>$R158:$R541&lt;=0</formula>
    </cfRule>
    <cfRule type="expression" dxfId="1850" priority="1854">
      <formula>$R158:$R541&lt;4</formula>
    </cfRule>
  </conditionalFormatting>
  <conditionalFormatting sqref="S160:Z160">
    <cfRule type="expression" dxfId="1849" priority="1850">
      <formula>$R160:$R542="End"</formula>
    </cfRule>
  </conditionalFormatting>
  <conditionalFormatting sqref="S160:Z160">
    <cfRule type="expression" dxfId="1848" priority="1849" stopIfTrue="1">
      <formula>$R160:$R542="Cancel"</formula>
    </cfRule>
  </conditionalFormatting>
  <conditionalFormatting sqref="F387">
    <cfRule type="expression" dxfId="1847" priority="1848">
      <formula>$R387:$R701="End"</formula>
    </cfRule>
  </conditionalFormatting>
  <conditionalFormatting sqref="F387">
    <cfRule type="expression" dxfId="1846" priority="1847" stopIfTrue="1">
      <formula>$R387:$R701="Cancel"</formula>
    </cfRule>
  </conditionalFormatting>
  <conditionalFormatting sqref="F387">
    <cfRule type="expression" dxfId="1845" priority="1843">
      <formula>$X387:$X630="Penting"</formula>
    </cfRule>
    <cfRule type="expression" dxfId="1844" priority="1844">
      <formula>$R387:$R630=""</formula>
    </cfRule>
    <cfRule type="expression" dxfId="1843" priority="1845">
      <formula>$R387:$R630&lt;=0</formula>
    </cfRule>
    <cfRule type="expression" dxfId="1842" priority="1846">
      <formula>$R387:$R630&lt;4</formula>
    </cfRule>
  </conditionalFormatting>
  <conditionalFormatting sqref="Y164 W160:Z161 B161:B166 Y162:Z163 D161:O166 Q160:Q166 Y165:Z166 AD161:AM166 AO161:AR166 B160:O160 AD160:AR160 Z141:Z146 H144 W135:Z135 AD135:AT135 A134:S134 AA135:AC146 Z139 Z137 A135:Q135 A136:A146 S135 W134:AT134 H141 S160">
    <cfRule type="expression" dxfId="1841" priority="1839">
      <formula>$X134:$X443="Penting"</formula>
    </cfRule>
    <cfRule type="expression" dxfId="1840" priority="1840">
      <formula>$R134:$R443=""</formula>
    </cfRule>
    <cfRule type="expression" dxfId="1839" priority="1841">
      <formula>$R134:$R443&lt;=0</formula>
    </cfRule>
    <cfRule type="expression" dxfId="1838" priority="1842">
      <formula>$R134:$R443&lt;4</formula>
    </cfRule>
  </conditionalFormatting>
  <conditionalFormatting sqref="R518">
    <cfRule type="expression" dxfId="1837" priority="1835">
      <formula>$X518:$X743="Penting"</formula>
    </cfRule>
    <cfRule type="expression" dxfId="1836" priority="1836">
      <formula>$R518:$R743=""</formula>
    </cfRule>
    <cfRule type="expression" dxfId="1835" priority="1837">
      <formula>$R518:$R743&lt;=0</formula>
    </cfRule>
    <cfRule type="expression" dxfId="1834" priority="1838">
      <formula>$R518:$R743&lt;4</formula>
    </cfRule>
  </conditionalFormatting>
  <conditionalFormatting sqref="R518">
    <cfRule type="expression" dxfId="1833" priority="1834">
      <formula>$R518:$R808="End"</formula>
    </cfRule>
  </conditionalFormatting>
  <conditionalFormatting sqref="R518">
    <cfRule type="expression" dxfId="1832" priority="1833" stopIfTrue="1">
      <formula>$R518:$R808="Cancel"</formula>
    </cfRule>
  </conditionalFormatting>
  <conditionalFormatting sqref="R519">
    <cfRule type="expression" dxfId="1831" priority="1829">
      <formula>$X519:$X744="Penting"</formula>
    </cfRule>
    <cfRule type="expression" dxfId="1830" priority="1830">
      <formula>$R519:$R744=""</formula>
    </cfRule>
    <cfRule type="expression" dxfId="1829" priority="1831">
      <formula>$R519:$R744&lt;=0</formula>
    </cfRule>
    <cfRule type="expression" dxfId="1828" priority="1832">
      <formula>$R519:$R744&lt;4</formula>
    </cfRule>
  </conditionalFormatting>
  <conditionalFormatting sqref="R519">
    <cfRule type="expression" dxfId="1827" priority="1828">
      <formula>$R519:$R809="End"</formula>
    </cfRule>
  </conditionalFormatting>
  <conditionalFormatting sqref="R519">
    <cfRule type="expression" dxfId="1826" priority="1827" stopIfTrue="1">
      <formula>$R519:$R809="Cancel"</formula>
    </cfRule>
  </conditionalFormatting>
  <conditionalFormatting sqref="R520">
    <cfRule type="expression" dxfId="1825" priority="1823">
      <formula>$X520:$X745="Penting"</formula>
    </cfRule>
    <cfRule type="expression" dxfId="1824" priority="1824">
      <formula>$R520:$R745=""</formula>
    </cfRule>
    <cfRule type="expression" dxfId="1823" priority="1825">
      <formula>$R520:$R745&lt;=0</formula>
    </cfRule>
    <cfRule type="expression" dxfId="1822" priority="1826">
      <formula>$R520:$R745&lt;4</formula>
    </cfRule>
  </conditionalFormatting>
  <conditionalFormatting sqref="R520">
    <cfRule type="expression" dxfId="1821" priority="1822">
      <formula>$R520:$R810="End"</formula>
    </cfRule>
  </conditionalFormatting>
  <conditionalFormatting sqref="R520">
    <cfRule type="expression" dxfId="1820" priority="1821" stopIfTrue="1">
      <formula>$R520:$R810="Cancel"</formula>
    </cfRule>
  </conditionalFormatting>
  <conditionalFormatting sqref="Y200:Z200 B196:O198 Q196:Q200 S196:S199 W196:Z199 AD196:AR199 I199:O200 B199:G200 AO200:AR200 AD200:AM200 AA284:AA287">
    <cfRule type="expression" dxfId="1819" priority="1817">
      <formula>$X196:$X482="Penting"</formula>
    </cfRule>
    <cfRule type="expression" dxfId="1818" priority="1818">
      <formula>$R196:$R482=""</formula>
    </cfRule>
    <cfRule type="expression" dxfId="1817" priority="1819">
      <formula>$R196:$R482&lt;=0</formula>
    </cfRule>
    <cfRule type="expression" dxfId="1816" priority="1820">
      <formula>$R196:$R482&lt;4</formula>
    </cfRule>
  </conditionalFormatting>
  <conditionalFormatting sqref="AD253:AR253 Z301:Z302 P202:P203 S253 W253:Z253 AD209:AE209 AF212 Q253 B253:O254 AP254:AR254">
    <cfRule type="expression" dxfId="1815" priority="1813">
      <formula>$X202:$X483="Penting"</formula>
    </cfRule>
    <cfRule type="expression" dxfId="1814" priority="1814">
      <formula>$R202:$R483=""</formula>
    </cfRule>
    <cfRule type="expression" dxfId="1813" priority="1815">
      <formula>$R202:$R483&lt;=0</formula>
    </cfRule>
    <cfRule type="expression" dxfId="1812" priority="1816">
      <formula>$R202:$R483&lt;4</formula>
    </cfRule>
  </conditionalFormatting>
  <conditionalFormatting sqref="R258">
    <cfRule type="expression" dxfId="1811" priority="1809">
      <formula>$X258:$X540="Penting"</formula>
    </cfRule>
    <cfRule type="expression" dxfId="1810" priority="1810">
      <formula>$R258:$R540=""</formula>
    </cfRule>
    <cfRule type="expression" dxfId="1809" priority="1811">
      <formula>$R258:$R540&lt;=0</formula>
    </cfRule>
    <cfRule type="expression" dxfId="1808" priority="1812">
      <formula>$R258:$R540&lt;4</formula>
    </cfRule>
  </conditionalFormatting>
  <conditionalFormatting sqref="R258 Z296:Z299 Z289:Z293 AA289:AA290 AA298:AA299 P196:P200">
    <cfRule type="expression" dxfId="1807" priority="1808">
      <formula>$R196:$R560="End"</formula>
    </cfRule>
  </conditionalFormatting>
  <conditionalFormatting sqref="R258 Z296:Z299 Z289:Z293 AA289:AA290 AA298:AA299 P196:P200">
    <cfRule type="expression" dxfId="1806" priority="1807" stopIfTrue="1">
      <formula>$R196:$R560="Cancel"</formula>
    </cfRule>
  </conditionalFormatting>
  <conditionalFormatting sqref="AA291">
    <cfRule type="expression" dxfId="1805" priority="1803">
      <formula>$X291:$X573="Penting"</formula>
    </cfRule>
    <cfRule type="expression" dxfId="1804" priority="1804">
      <formula>$R291:$R573=""</formula>
    </cfRule>
    <cfRule type="expression" dxfId="1803" priority="1805">
      <formula>$R291:$R573&lt;=0</formula>
    </cfRule>
    <cfRule type="expression" dxfId="1802" priority="1806">
      <formula>$R291:$R573&lt;4</formula>
    </cfRule>
  </conditionalFormatting>
  <conditionalFormatting sqref="AA291">
    <cfRule type="expression" dxfId="1801" priority="1802">
      <formula>$R291:$R655="End"</formula>
    </cfRule>
  </conditionalFormatting>
  <conditionalFormatting sqref="AA291">
    <cfRule type="expression" dxfId="1800" priority="1801" stopIfTrue="1">
      <formula>$R291:$R655="Cancel"</formula>
    </cfRule>
  </conditionalFormatting>
  <conditionalFormatting sqref="AA292">
    <cfRule type="expression" dxfId="1799" priority="1797">
      <formula>$X292:$X574="Penting"</formula>
    </cfRule>
    <cfRule type="expression" dxfId="1798" priority="1798">
      <formula>$R292:$R574=""</formula>
    </cfRule>
    <cfRule type="expression" dxfId="1797" priority="1799">
      <formula>$R292:$R574&lt;=0</formula>
    </cfRule>
    <cfRule type="expression" dxfId="1796" priority="1800">
      <formula>$R292:$R574&lt;4</formula>
    </cfRule>
  </conditionalFormatting>
  <conditionalFormatting sqref="AA292">
    <cfRule type="expression" dxfId="1795" priority="1796">
      <formula>$R292:$R656="End"</formula>
    </cfRule>
  </conditionalFormatting>
  <conditionalFormatting sqref="AA292">
    <cfRule type="expression" dxfId="1794" priority="1795" stopIfTrue="1">
      <formula>$R292:$R656="Cancel"</formula>
    </cfRule>
  </conditionalFormatting>
  <conditionalFormatting sqref="AA293">
    <cfRule type="expression" dxfId="1793" priority="1791">
      <formula>$X293:$X575="Penting"</formula>
    </cfRule>
    <cfRule type="expression" dxfId="1792" priority="1792">
      <formula>$R293:$R575=""</formula>
    </cfRule>
    <cfRule type="expression" dxfId="1791" priority="1793">
      <formula>$R293:$R575&lt;=0</formula>
    </cfRule>
    <cfRule type="expression" dxfId="1790" priority="1794">
      <formula>$R293:$R575&lt;4</formula>
    </cfRule>
  </conditionalFormatting>
  <conditionalFormatting sqref="AA293">
    <cfRule type="expression" dxfId="1789" priority="1790">
      <formula>$R293:$R657="End"</formula>
    </cfRule>
  </conditionalFormatting>
  <conditionalFormatting sqref="AA293">
    <cfRule type="expression" dxfId="1788" priority="1789" stopIfTrue="1">
      <formula>$R293:$R657="Cancel"</formula>
    </cfRule>
  </conditionalFormatting>
  <conditionalFormatting sqref="AA296">
    <cfRule type="expression" dxfId="1787" priority="1785">
      <formula>$X296:$X578="Penting"</formula>
    </cfRule>
    <cfRule type="expression" dxfId="1786" priority="1786">
      <formula>$R296:$R578=""</formula>
    </cfRule>
    <cfRule type="expression" dxfId="1785" priority="1787">
      <formula>$R296:$R578&lt;=0</formula>
    </cfRule>
    <cfRule type="expression" dxfId="1784" priority="1788">
      <formula>$R296:$R578&lt;4</formula>
    </cfRule>
  </conditionalFormatting>
  <conditionalFormatting sqref="AA296">
    <cfRule type="expression" dxfId="1783" priority="1784">
      <formula>$R296:$R660="End"</formula>
    </cfRule>
  </conditionalFormatting>
  <conditionalFormatting sqref="AA296">
    <cfRule type="expression" dxfId="1782" priority="1783" stopIfTrue="1">
      <formula>$R296:$R660="Cancel"</formula>
    </cfRule>
  </conditionalFormatting>
  <conditionalFormatting sqref="AA297">
    <cfRule type="expression" dxfId="1781" priority="1779">
      <formula>$X297:$X579="Penting"</formula>
    </cfRule>
    <cfRule type="expression" dxfId="1780" priority="1780">
      <formula>$R297:$R579=""</formula>
    </cfRule>
    <cfRule type="expression" dxfId="1779" priority="1781">
      <formula>$R297:$R579&lt;=0</formula>
    </cfRule>
    <cfRule type="expression" dxfId="1778" priority="1782">
      <formula>$R297:$R579&lt;4</formula>
    </cfRule>
  </conditionalFormatting>
  <conditionalFormatting sqref="AA297">
    <cfRule type="expression" dxfId="1777" priority="1778">
      <formula>$R297:$R661="End"</formula>
    </cfRule>
  </conditionalFormatting>
  <conditionalFormatting sqref="AA297">
    <cfRule type="expression" dxfId="1776" priority="1777" stopIfTrue="1">
      <formula>$R297:$R661="Cancel"</formula>
    </cfRule>
  </conditionalFormatting>
  <conditionalFormatting sqref="AA301">
    <cfRule type="expression" dxfId="1775" priority="1773">
      <formula>$X301:$X582="Penting"</formula>
    </cfRule>
    <cfRule type="expression" dxfId="1774" priority="1774">
      <formula>$R301:$R582=""</formula>
    </cfRule>
    <cfRule type="expression" dxfId="1773" priority="1775">
      <formula>$R301:$R582&lt;=0</formula>
    </cfRule>
    <cfRule type="expression" dxfId="1772" priority="1776">
      <formula>$R301:$R582&lt;4</formula>
    </cfRule>
  </conditionalFormatting>
  <conditionalFormatting sqref="AA301">
    <cfRule type="expression" dxfId="1771" priority="1772">
      <formula>$R301:$R664="End"</formula>
    </cfRule>
  </conditionalFormatting>
  <conditionalFormatting sqref="AA301">
    <cfRule type="expression" dxfId="1770" priority="1771" stopIfTrue="1">
      <formula>$R301:$R664="Cancel"</formula>
    </cfRule>
  </conditionalFormatting>
  <conditionalFormatting sqref="AA302">
    <cfRule type="expression" dxfId="1769" priority="1767">
      <formula>$X302:$X583="Penting"</formula>
    </cfRule>
    <cfRule type="expression" dxfId="1768" priority="1768">
      <formula>$R302:$R583=""</formula>
    </cfRule>
    <cfRule type="expression" dxfId="1767" priority="1769">
      <formula>$R302:$R583&lt;=0</formula>
    </cfRule>
    <cfRule type="expression" dxfId="1766" priority="1770">
      <formula>$R302:$R583&lt;4</formula>
    </cfRule>
  </conditionalFormatting>
  <conditionalFormatting sqref="AA302">
    <cfRule type="expression" dxfId="1765" priority="1766">
      <formula>$R302:$R665="End"</formula>
    </cfRule>
  </conditionalFormatting>
  <conditionalFormatting sqref="AA302">
    <cfRule type="expression" dxfId="1764" priority="1765" stopIfTrue="1">
      <formula>$R302:$R665="Cancel"</formula>
    </cfRule>
  </conditionalFormatting>
  <conditionalFormatting sqref="AA307">
    <cfRule type="expression" dxfId="1763" priority="1761">
      <formula>$X307:$X587="Penting"</formula>
    </cfRule>
    <cfRule type="expression" dxfId="1762" priority="1762">
      <formula>$R307:$R587=""</formula>
    </cfRule>
    <cfRule type="expression" dxfId="1761" priority="1763">
      <formula>$R307:$R587&lt;=0</formula>
    </cfRule>
    <cfRule type="expression" dxfId="1760" priority="1764">
      <formula>$R307:$R587&lt;4</formula>
    </cfRule>
  </conditionalFormatting>
  <conditionalFormatting sqref="AA307">
    <cfRule type="expression" dxfId="1759" priority="1760">
      <formula>$R307:$R669="End"</formula>
    </cfRule>
  </conditionalFormatting>
  <conditionalFormatting sqref="AA307">
    <cfRule type="expression" dxfId="1758" priority="1759" stopIfTrue="1">
      <formula>$R307:$R669="Cancel"</formula>
    </cfRule>
  </conditionalFormatting>
  <conditionalFormatting sqref="AA312">
    <cfRule type="expression" dxfId="1757" priority="1755">
      <formula>$X312:$X592="Penting"</formula>
    </cfRule>
    <cfRule type="expression" dxfId="1756" priority="1756">
      <formula>$R312:$R592=""</formula>
    </cfRule>
    <cfRule type="expression" dxfId="1755" priority="1757">
      <formula>$R312:$R592&lt;=0</formula>
    </cfRule>
    <cfRule type="expression" dxfId="1754" priority="1758">
      <formula>$R312:$R592&lt;4</formula>
    </cfRule>
  </conditionalFormatting>
  <conditionalFormatting sqref="AA312">
    <cfRule type="expression" dxfId="1753" priority="1754">
      <formula>$R312:$R674="End"</formula>
    </cfRule>
  </conditionalFormatting>
  <conditionalFormatting sqref="AA312">
    <cfRule type="expression" dxfId="1752" priority="1753" stopIfTrue="1">
      <formula>$R312:$R674="Cancel"</formula>
    </cfRule>
  </conditionalFormatting>
  <conditionalFormatting sqref="AA314">
    <cfRule type="expression" dxfId="1751" priority="1749">
      <formula>$X314:$X593="Penting"</formula>
    </cfRule>
    <cfRule type="expression" dxfId="1750" priority="1750">
      <formula>$R314:$R593=""</formula>
    </cfRule>
    <cfRule type="expression" dxfId="1749" priority="1751">
      <formula>$R314:$R593&lt;=0</formula>
    </cfRule>
    <cfRule type="expression" dxfId="1748" priority="1752">
      <formula>$R314:$R593&lt;4</formula>
    </cfRule>
  </conditionalFormatting>
  <conditionalFormatting sqref="AA314">
    <cfRule type="expression" dxfId="1747" priority="1748">
      <formula>$R314:$R675="End"</formula>
    </cfRule>
  </conditionalFormatting>
  <conditionalFormatting sqref="AA314">
    <cfRule type="expression" dxfId="1746" priority="1747" stopIfTrue="1">
      <formula>$R314:$R675="Cancel"</formula>
    </cfRule>
  </conditionalFormatting>
  <conditionalFormatting sqref="AA315">
    <cfRule type="expression" dxfId="1745" priority="1743">
      <formula>$X315:$X594="Penting"</formula>
    </cfRule>
    <cfRule type="expression" dxfId="1744" priority="1744">
      <formula>$R315:$R594=""</formula>
    </cfRule>
    <cfRule type="expression" dxfId="1743" priority="1745">
      <formula>$R315:$R594&lt;=0</formula>
    </cfRule>
    <cfRule type="expression" dxfId="1742" priority="1746">
      <formula>$R315:$R594&lt;4</formula>
    </cfRule>
  </conditionalFormatting>
  <conditionalFormatting sqref="AA315">
    <cfRule type="expression" dxfId="1741" priority="1742">
      <formula>$R315:$R676="End"</formula>
    </cfRule>
  </conditionalFormatting>
  <conditionalFormatting sqref="AA315">
    <cfRule type="expression" dxfId="1740" priority="1741" stopIfTrue="1">
      <formula>$R315:$R676="Cancel"</formula>
    </cfRule>
  </conditionalFormatting>
  <conditionalFormatting sqref="AA316">
    <cfRule type="expression" dxfId="1739" priority="1737">
      <formula>$X316:$X595="Penting"</formula>
    </cfRule>
    <cfRule type="expression" dxfId="1738" priority="1738">
      <formula>$R316:$R595=""</formula>
    </cfRule>
    <cfRule type="expression" dxfId="1737" priority="1739">
      <formula>$R316:$R595&lt;=0</formula>
    </cfRule>
    <cfRule type="expression" dxfId="1736" priority="1740">
      <formula>$R316:$R595&lt;4</formula>
    </cfRule>
  </conditionalFormatting>
  <conditionalFormatting sqref="AA316">
    <cfRule type="expression" dxfId="1735" priority="1736">
      <formula>$R316:$R677="End"</formula>
    </cfRule>
  </conditionalFormatting>
  <conditionalFormatting sqref="AA316">
    <cfRule type="expression" dxfId="1734" priority="1735" stopIfTrue="1">
      <formula>$R316:$R677="Cancel"</formula>
    </cfRule>
  </conditionalFormatting>
  <conditionalFormatting sqref="AA317">
    <cfRule type="expression" dxfId="1733" priority="1731">
      <formula>$X317:$X596="Penting"</formula>
    </cfRule>
    <cfRule type="expression" dxfId="1732" priority="1732">
      <formula>$R317:$R596=""</formula>
    </cfRule>
    <cfRule type="expression" dxfId="1731" priority="1733">
      <formula>$R317:$R596&lt;=0</formula>
    </cfRule>
    <cfRule type="expression" dxfId="1730" priority="1734">
      <formula>$R317:$R596&lt;4</formula>
    </cfRule>
  </conditionalFormatting>
  <conditionalFormatting sqref="AA317">
    <cfRule type="expression" dxfId="1729" priority="1730">
      <formula>$R317:$R678="End"</formula>
    </cfRule>
  </conditionalFormatting>
  <conditionalFormatting sqref="AA317">
    <cfRule type="expression" dxfId="1728" priority="1729" stopIfTrue="1">
      <formula>$R317:$R678="Cancel"</formula>
    </cfRule>
  </conditionalFormatting>
  <conditionalFormatting sqref="AA319">
    <cfRule type="expression" dxfId="1727" priority="1725">
      <formula>$X319:$X598="Penting"</formula>
    </cfRule>
    <cfRule type="expression" dxfId="1726" priority="1726">
      <formula>$R319:$R598=""</formula>
    </cfRule>
    <cfRule type="expression" dxfId="1725" priority="1727">
      <formula>$R319:$R598&lt;=0</formula>
    </cfRule>
    <cfRule type="expression" dxfId="1724" priority="1728">
      <formula>$R319:$R598&lt;4</formula>
    </cfRule>
  </conditionalFormatting>
  <conditionalFormatting sqref="AA319">
    <cfRule type="expression" dxfId="1723" priority="1724">
      <formula>$R319:$R680="End"</formula>
    </cfRule>
  </conditionalFormatting>
  <conditionalFormatting sqref="AA319">
    <cfRule type="expression" dxfId="1722" priority="1723" stopIfTrue="1">
      <formula>$R319:$R680="Cancel"</formula>
    </cfRule>
  </conditionalFormatting>
  <conditionalFormatting sqref="AA351">
    <cfRule type="expression" dxfId="1721" priority="1719">
      <formula>$X351:$X628="Penting"</formula>
    </cfRule>
    <cfRule type="expression" dxfId="1720" priority="1720">
      <formula>$R351:$R628=""</formula>
    </cfRule>
    <cfRule type="expression" dxfId="1719" priority="1721">
      <formula>$R351:$R628&lt;=0</formula>
    </cfRule>
    <cfRule type="expression" dxfId="1718" priority="1722">
      <formula>$R351:$R628&lt;4</formula>
    </cfRule>
  </conditionalFormatting>
  <conditionalFormatting sqref="AA351 Z362:Z369 Z358 Z351:Z352 AB314:AC317 AC318 AA313:AB313 AC320 AB319:AC319 Z360 AA368:AA369 B196:O198 Q196:Q200 S196:Z199 AD196:AR199 I199:O200 B199:G200 AD200:AM200 AO200:AR200 Y200:Z200">
    <cfRule type="expression" dxfId="1717" priority="1718">
      <formula>$R196:$R555="End"</formula>
    </cfRule>
  </conditionalFormatting>
  <conditionalFormatting sqref="AA351 Z362:Z369 Z358 Z351:Z352 AB314:AC317 AC318 AA313:AB313 AC320 AB319:AC319 Z360 AA368:AA369 B196:O198 Q196:Q200 S196:Z199 AD196:AR199 I199:O200 B199:G200 AD200:AM200 AO200:AR200 Y200:Z200">
    <cfRule type="expression" dxfId="1716" priority="1717" stopIfTrue="1">
      <formula>$R196:$R555="Cancel"</formula>
    </cfRule>
  </conditionalFormatting>
  <conditionalFormatting sqref="AA352">
    <cfRule type="expression" dxfId="1715" priority="1713">
      <formula>$X352:$X629="Penting"</formula>
    </cfRule>
    <cfRule type="expression" dxfId="1714" priority="1714">
      <formula>$R352:$R629=""</formula>
    </cfRule>
    <cfRule type="expression" dxfId="1713" priority="1715">
      <formula>$R352:$R629&lt;=0</formula>
    </cfRule>
    <cfRule type="expression" dxfId="1712" priority="1716">
      <formula>$R352:$R629&lt;4</formula>
    </cfRule>
  </conditionalFormatting>
  <conditionalFormatting sqref="AA352">
    <cfRule type="expression" dxfId="1711" priority="1712">
      <formula>$R352:$R711="End"</formula>
    </cfRule>
  </conditionalFormatting>
  <conditionalFormatting sqref="AA352">
    <cfRule type="expression" dxfId="1710" priority="1711" stopIfTrue="1">
      <formula>$R352:$R711="Cancel"</formula>
    </cfRule>
  </conditionalFormatting>
  <conditionalFormatting sqref="AA358">
    <cfRule type="expression" dxfId="1709" priority="1707">
      <formula>$X358:$X635="Penting"</formula>
    </cfRule>
    <cfRule type="expression" dxfId="1708" priority="1708">
      <formula>$R358:$R635=""</formula>
    </cfRule>
    <cfRule type="expression" dxfId="1707" priority="1709">
      <formula>$R358:$R635&lt;=0</formula>
    </cfRule>
    <cfRule type="expression" dxfId="1706" priority="1710">
      <formula>$R358:$R635&lt;4</formula>
    </cfRule>
  </conditionalFormatting>
  <conditionalFormatting sqref="AA358">
    <cfRule type="expression" dxfId="1705" priority="1706">
      <formula>$R358:$R717="End"</formula>
    </cfRule>
  </conditionalFormatting>
  <conditionalFormatting sqref="AA358">
    <cfRule type="expression" dxfId="1704" priority="1705" stopIfTrue="1">
      <formula>$R358:$R717="Cancel"</formula>
    </cfRule>
  </conditionalFormatting>
  <conditionalFormatting sqref="AA360">
    <cfRule type="expression" dxfId="1703" priority="1701">
      <formula>$X360:$X637="Penting"</formula>
    </cfRule>
    <cfRule type="expression" dxfId="1702" priority="1702">
      <formula>$R360:$R637=""</formula>
    </cfRule>
    <cfRule type="expression" dxfId="1701" priority="1703">
      <formula>$R360:$R637&lt;=0</formula>
    </cfRule>
    <cfRule type="expression" dxfId="1700" priority="1704">
      <formula>$R360:$R637&lt;4</formula>
    </cfRule>
  </conditionalFormatting>
  <conditionalFormatting sqref="AA360">
    <cfRule type="expression" dxfId="1699" priority="1700">
      <formula>$R360:$R719="End"</formula>
    </cfRule>
  </conditionalFormatting>
  <conditionalFormatting sqref="AA360">
    <cfRule type="expression" dxfId="1698" priority="1699" stopIfTrue="1">
      <formula>$R360:$R719="Cancel"</formula>
    </cfRule>
  </conditionalFormatting>
  <conditionalFormatting sqref="AA362">
    <cfRule type="expression" dxfId="1697" priority="1695">
      <formula>$X362:$X639="Penting"</formula>
    </cfRule>
    <cfRule type="expression" dxfId="1696" priority="1696">
      <formula>$R362:$R639=""</formula>
    </cfRule>
    <cfRule type="expression" dxfId="1695" priority="1697">
      <formula>$R362:$R639&lt;=0</formula>
    </cfRule>
    <cfRule type="expression" dxfId="1694" priority="1698">
      <formula>$R362:$R639&lt;4</formula>
    </cfRule>
  </conditionalFormatting>
  <conditionalFormatting sqref="AA362">
    <cfRule type="expression" dxfId="1693" priority="1694">
      <formula>$R362:$R721="End"</formula>
    </cfRule>
  </conditionalFormatting>
  <conditionalFormatting sqref="AA362">
    <cfRule type="expression" dxfId="1692" priority="1693" stopIfTrue="1">
      <formula>$R362:$R721="Cancel"</formula>
    </cfRule>
  </conditionalFormatting>
  <conditionalFormatting sqref="AA363">
    <cfRule type="expression" dxfId="1691" priority="1689">
      <formula>$X363:$X640="Penting"</formula>
    </cfRule>
    <cfRule type="expression" dxfId="1690" priority="1690">
      <formula>$R363:$R640=""</formula>
    </cfRule>
    <cfRule type="expression" dxfId="1689" priority="1691">
      <formula>$R363:$R640&lt;=0</formula>
    </cfRule>
    <cfRule type="expression" dxfId="1688" priority="1692">
      <formula>$R363:$R640&lt;4</formula>
    </cfRule>
  </conditionalFormatting>
  <conditionalFormatting sqref="AA363">
    <cfRule type="expression" dxfId="1687" priority="1688">
      <formula>$R363:$R722="End"</formula>
    </cfRule>
  </conditionalFormatting>
  <conditionalFormatting sqref="AA363">
    <cfRule type="expression" dxfId="1686" priority="1687" stopIfTrue="1">
      <formula>$R363:$R722="Cancel"</formula>
    </cfRule>
  </conditionalFormatting>
  <conditionalFormatting sqref="AA364">
    <cfRule type="expression" dxfId="1685" priority="1683">
      <formula>$X364:$X641="Penting"</formula>
    </cfRule>
    <cfRule type="expression" dxfId="1684" priority="1684">
      <formula>$R364:$R641=""</formula>
    </cfRule>
    <cfRule type="expression" dxfId="1683" priority="1685">
      <formula>$R364:$R641&lt;=0</formula>
    </cfRule>
    <cfRule type="expression" dxfId="1682" priority="1686">
      <formula>$R364:$R641&lt;4</formula>
    </cfRule>
  </conditionalFormatting>
  <conditionalFormatting sqref="AA364">
    <cfRule type="expression" dxfId="1681" priority="1682">
      <formula>$R364:$R723="End"</formula>
    </cfRule>
  </conditionalFormatting>
  <conditionalFormatting sqref="AA364">
    <cfRule type="expression" dxfId="1680" priority="1681" stopIfTrue="1">
      <formula>$R364:$R723="Cancel"</formula>
    </cfRule>
  </conditionalFormatting>
  <conditionalFormatting sqref="AA365">
    <cfRule type="expression" dxfId="1679" priority="1677">
      <formula>$X365:$X642="Penting"</formula>
    </cfRule>
    <cfRule type="expression" dxfId="1678" priority="1678">
      <formula>$R365:$R642=""</formula>
    </cfRule>
    <cfRule type="expression" dxfId="1677" priority="1679">
      <formula>$R365:$R642&lt;=0</formula>
    </cfRule>
    <cfRule type="expression" dxfId="1676" priority="1680">
      <formula>$R365:$R642&lt;4</formula>
    </cfRule>
  </conditionalFormatting>
  <conditionalFormatting sqref="AA365">
    <cfRule type="expression" dxfId="1675" priority="1676">
      <formula>$R365:$R724="End"</formula>
    </cfRule>
  </conditionalFormatting>
  <conditionalFormatting sqref="AA365">
    <cfRule type="expression" dxfId="1674" priority="1675" stopIfTrue="1">
      <formula>$R365:$R724="Cancel"</formula>
    </cfRule>
  </conditionalFormatting>
  <conditionalFormatting sqref="AA366">
    <cfRule type="expression" dxfId="1673" priority="1671">
      <formula>$X366:$X643="Penting"</formula>
    </cfRule>
    <cfRule type="expression" dxfId="1672" priority="1672">
      <formula>$R366:$R643=""</formula>
    </cfRule>
    <cfRule type="expression" dxfId="1671" priority="1673">
      <formula>$R366:$R643&lt;=0</formula>
    </cfRule>
    <cfRule type="expression" dxfId="1670" priority="1674">
      <formula>$R366:$R643&lt;4</formula>
    </cfRule>
  </conditionalFormatting>
  <conditionalFormatting sqref="AA366">
    <cfRule type="expression" dxfId="1669" priority="1670">
      <formula>$R366:$R725="End"</formula>
    </cfRule>
  </conditionalFormatting>
  <conditionalFormatting sqref="AA366">
    <cfRule type="expression" dxfId="1668" priority="1669" stopIfTrue="1">
      <formula>$R366:$R725="Cancel"</formula>
    </cfRule>
  </conditionalFormatting>
  <conditionalFormatting sqref="AA367">
    <cfRule type="expression" dxfId="1667" priority="1665">
      <formula>$X367:$X644="Penting"</formula>
    </cfRule>
    <cfRule type="expression" dxfId="1666" priority="1666">
      <formula>$R367:$R644=""</formula>
    </cfRule>
    <cfRule type="expression" dxfId="1665" priority="1667">
      <formula>$R367:$R644&lt;=0</formula>
    </cfRule>
    <cfRule type="expression" dxfId="1664" priority="1668">
      <formula>$R367:$R644&lt;4</formula>
    </cfRule>
  </conditionalFormatting>
  <conditionalFormatting sqref="AA367">
    <cfRule type="expression" dxfId="1663" priority="1664">
      <formula>$R367:$R726="End"</formula>
    </cfRule>
  </conditionalFormatting>
  <conditionalFormatting sqref="AA367">
    <cfRule type="expression" dxfId="1662" priority="1663" stopIfTrue="1">
      <formula>$R367:$R726="Cancel"</formula>
    </cfRule>
  </conditionalFormatting>
  <conditionalFormatting sqref="AA373 Z392:Z393 Z383:Z389 Z373:Z381 C259:D262 AA370:AC371 AD235:AE235 N209:O209 N212:O212 C255:D255 N201:O201">
    <cfRule type="expression" dxfId="1661" priority="1659">
      <formula>$X201:$X475="Penting"</formula>
    </cfRule>
    <cfRule type="expression" dxfId="1660" priority="1660">
      <formula>$R201:$R475=""</formula>
    </cfRule>
    <cfRule type="expression" dxfId="1659" priority="1661">
      <formula>$R201:$R475&lt;=0</formula>
    </cfRule>
    <cfRule type="expression" dxfId="1658" priority="1662">
      <formula>$R201:$R475&lt;4</formula>
    </cfRule>
  </conditionalFormatting>
  <conditionalFormatting sqref="AA373 Z392:Z393 Z383:Z389 Z373:Z381 AA370:AC371">
    <cfRule type="expression" dxfId="1657" priority="1658">
      <formula>$R370:$R726="End"</formula>
    </cfRule>
  </conditionalFormatting>
  <conditionalFormatting sqref="AA373 Z392:Z393 Z383:Z389 Z373:Z381 AA370:AC371">
    <cfRule type="expression" dxfId="1656" priority="1657" stopIfTrue="1">
      <formula>$R370:$R726="Cancel"</formula>
    </cfRule>
  </conditionalFormatting>
  <conditionalFormatting sqref="AA374">
    <cfRule type="expression" dxfId="1655" priority="1653">
      <formula>$X374:$X648="Penting"</formula>
    </cfRule>
    <cfRule type="expression" dxfId="1654" priority="1654">
      <formula>$R374:$R648=""</formula>
    </cfRule>
    <cfRule type="expression" dxfId="1653" priority="1655">
      <formula>$R374:$R648&lt;=0</formula>
    </cfRule>
    <cfRule type="expression" dxfId="1652" priority="1656">
      <formula>$R374:$R648&lt;4</formula>
    </cfRule>
  </conditionalFormatting>
  <conditionalFormatting sqref="AA374">
    <cfRule type="expression" dxfId="1651" priority="1652">
      <formula>$R374:$R730="End"</formula>
    </cfRule>
  </conditionalFormatting>
  <conditionalFormatting sqref="AA374">
    <cfRule type="expression" dxfId="1650" priority="1651" stopIfTrue="1">
      <formula>$R374:$R730="Cancel"</formula>
    </cfRule>
  </conditionalFormatting>
  <conditionalFormatting sqref="AA375">
    <cfRule type="expression" dxfId="1649" priority="1647">
      <formula>$X375:$X649="Penting"</formula>
    </cfRule>
    <cfRule type="expression" dxfId="1648" priority="1648">
      <formula>$R375:$R649=""</formula>
    </cfRule>
    <cfRule type="expression" dxfId="1647" priority="1649">
      <formula>$R375:$R649&lt;=0</formula>
    </cfRule>
    <cfRule type="expression" dxfId="1646" priority="1650">
      <formula>$R375:$R649&lt;4</formula>
    </cfRule>
  </conditionalFormatting>
  <conditionalFormatting sqref="AA375">
    <cfRule type="expression" dxfId="1645" priority="1646">
      <formula>$R375:$R731="End"</formula>
    </cfRule>
  </conditionalFormatting>
  <conditionalFormatting sqref="AA375">
    <cfRule type="expression" dxfId="1644" priority="1645" stopIfTrue="1">
      <formula>$R375:$R731="Cancel"</formula>
    </cfRule>
  </conditionalFormatting>
  <conditionalFormatting sqref="AA376">
    <cfRule type="expression" dxfId="1643" priority="1641">
      <formula>$X376:$X650="Penting"</formula>
    </cfRule>
    <cfRule type="expression" dxfId="1642" priority="1642">
      <formula>$R376:$R650=""</formula>
    </cfRule>
    <cfRule type="expression" dxfId="1641" priority="1643">
      <formula>$R376:$R650&lt;=0</formula>
    </cfRule>
    <cfRule type="expression" dxfId="1640" priority="1644">
      <formula>$R376:$R650&lt;4</formula>
    </cfRule>
  </conditionalFormatting>
  <conditionalFormatting sqref="AA376">
    <cfRule type="expression" dxfId="1639" priority="1640">
      <formula>$R376:$R732="End"</formula>
    </cfRule>
  </conditionalFormatting>
  <conditionalFormatting sqref="AA376">
    <cfRule type="expression" dxfId="1638" priority="1639" stopIfTrue="1">
      <formula>$R376:$R732="Cancel"</formula>
    </cfRule>
  </conditionalFormatting>
  <conditionalFormatting sqref="AA377">
    <cfRule type="expression" dxfId="1637" priority="1635">
      <formula>$X377:$X651="Penting"</formula>
    </cfRule>
    <cfRule type="expression" dxfId="1636" priority="1636">
      <formula>$R377:$R651=""</formula>
    </cfRule>
    <cfRule type="expression" dxfId="1635" priority="1637">
      <formula>$R377:$R651&lt;=0</formula>
    </cfRule>
    <cfRule type="expression" dxfId="1634" priority="1638">
      <formula>$R377:$R651&lt;4</formula>
    </cfRule>
  </conditionalFormatting>
  <conditionalFormatting sqref="AA377">
    <cfRule type="expression" dxfId="1633" priority="1634">
      <formula>$R377:$R733="End"</formula>
    </cfRule>
  </conditionalFormatting>
  <conditionalFormatting sqref="AA377">
    <cfRule type="expression" dxfId="1632" priority="1633" stopIfTrue="1">
      <formula>$R377:$R733="Cancel"</formula>
    </cfRule>
  </conditionalFormatting>
  <conditionalFormatting sqref="AA378">
    <cfRule type="expression" dxfId="1631" priority="1629">
      <formula>$X378:$X652="Penting"</formula>
    </cfRule>
    <cfRule type="expression" dxfId="1630" priority="1630">
      <formula>$R378:$R652=""</formula>
    </cfRule>
    <cfRule type="expression" dxfId="1629" priority="1631">
      <formula>$R378:$R652&lt;=0</formula>
    </cfRule>
    <cfRule type="expression" dxfId="1628" priority="1632">
      <formula>$R378:$R652&lt;4</formula>
    </cfRule>
  </conditionalFormatting>
  <conditionalFormatting sqref="AA378">
    <cfRule type="expression" dxfId="1627" priority="1628">
      <formula>$R378:$R734="End"</formula>
    </cfRule>
  </conditionalFormatting>
  <conditionalFormatting sqref="AA378">
    <cfRule type="expression" dxfId="1626" priority="1627" stopIfTrue="1">
      <formula>$R378:$R734="Cancel"</formula>
    </cfRule>
  </conditionalFormatting>
  <conditionalFormatting sqref="AA379">
    <cfRule type="expression" dxfId="1625" priority="1623">
      <formula>$X379:$X653="Penting"</formula>
    </cfRule>
    <cfRule type="expression" dxfId="1624" priority="1624">
      <formula>$R379:$R653=""</formula>
    </cfRule>
    <cfRule type="expression" dxfId="1623" priority="1625">
      <formula>$R379:$R653&lt;=0</formula>
    </cfRule>
    <cfRule type="expression" dxfId="1622" priority="1626">
      <formula>$R379:$R653&lt;4</formula>
    </cfRule>
  </conditionalFormatting>
  <conditionalFormatting sqref="AA379">
    <cfRule type="expression" dxfId="1621" priority="1622">
      <formula>$R379:$R735="End"</formula>
    </cfRule>
  </conditionalFormatting>
  <conditionalFormatting sqref="AA379">
    <cfRule type="expression" dxfId="1620" priority="1621" stopIfTrue="1">
      <formula>$R379:$R735="Cancel"</formula>
    </cfRule>
  </conditionalFormatting>
  <conditionalFormatting sqref="AA380">
    <cfRule type="expression" dxfId="1619" priority="1617">
      <formula>$X380:$X654="Penting"</formula>
    </cfRule>
    <cfRule type="expression" dxfId="1618" priority="1618">
      <formula>$R380:$R654=""</formula>
    </cfRule>
    <cfRule type="expression" dxfId="1617" priority="1619">
      <formula>$R380:$R654&lt;=0</formula>
    </cfRule>
    <cfRule type="expression" dxfId="1616" priority="1620">
      <formula>$R380:$R654&lt;4</formula>
    </cfRule>
  </conditionalFormatting>
  <conditionalFormatting sqref="AA380">
    <cfRule type="expression" dxfId="1615" priority="1616">
      <formula>$R380:$R736="End"</formula>
    </cfRule>
  </conditionalFormatting>
  <conditionalFormatting sqref="AA380">
    <cfRule type="expression" dxfId="1614" priority="1615" stopIfTrue="1">
      <formula>$R380:$R736="Cancel"</formula>
    </cfRule>
  </conditionalFormatting>
  <conditionalFormatting sqref="AA381">
    <cfRule type="expression" dxfId="1613" priority="1611">
      <formula>$X381:$X655="Penting"</formula>
    </cfRule>
    <cfRule type="expression" dxfId="1612" priority="1612">
      <formula>$R381:$R655=""</formula>
    </cfRule>
    <cfRule type="expression" dxfId="1611" priority="1613">
      <formula>$R381:$R655&lt;=0</formula>
    </cfRule>
    <cfRule type="expression" dxfId="1610" priority="1614">
      <formula>$R381:$R655&lt;4</formula>
    </cfRule>
  </conditionalFormatting>
  <conditionalFormatting sqref="AA381">
    <cfRule type="expression" dxfId="1609" priority="1610">
      <formula>$R381:$R737="End"</formula>
    </cfRule>
  </conditionalFormatting>
  <conditionalFormatting sqref="AA381">
    <cfRule type="expression" dxfId="1608" priority="1609" stopIfTrue="1">
      <formula>$R381:$R737="Cancel"</formula>
    </cfRule>
  </conditionalFormatting>
  <conditionalFormatting sqref="AA383">
    <cfRule type="expression" dxfId="1607" priority="1605">
      <formula>$X383:$X657="Penting"</formula>
    </cfRule>
    <cfRule type="expression" dxfId="1606" priority="1606">
      <formula>$R383:$R657=""</formula>
    </cfRule>
    <cfRule type="expression" dxfId="1605" priority="1607">
      <formula>$R383:$R657&lt;=0</formula>
    </cfRule>
    <cfRule type="expression" dxfId="1604" priority="1608">
      <formula>$R383:$R657&lt;4</formula>
    </cfRule>
  </conditionalFormatting>
  <conditionalFormatting sqref="AA383">
    <cfRule type="expression" dxfId="1603" priority="1604">
      <formula>$R383:$R739="End"</formula>
    </cfRule>
  </conditionalFormatting>
  <conditionalFormatting sqref="AA383">
    <cfRule type="expression" dxfId="1602" priority="1603" stopIfTrue="1">
      <formula>$R383:$R739="Cancel"</formula>
    </cfRule>
  </conditionalFormatting>
  <conditionalFormatting sqref="AA384">
    <cfRule type="expression" dxfId="1601" priority="1599">
      <formula>$X384:$X658="Penting"</formula>
    </cfRule>
    <cfRule type="expression" dxfId="1600" priority="1600">
      <formula>$R384:$R658=""</formula>
    </cfRule>
    <cfRule type="expression" dxfId="1599" priority="1601">
      <formula>$R384:$R658&lt;=0</formula>
    </cfRule>
    <cfRule type="expression" dxfId="1598" priority="1602">
      <formula>$R384:$R658&lt;4</formula>
    </cfRule>
  </conditionalFormatting>
  <conditionalFormatting sqref="AA384">
    <cfRule type="expression" dxfId="1597" priority="1598">
      <formula>$R384:$R740="End"</formula>
    </cfRule>
  </conditionalFormatting>
  <conditionalFormatting sqref="AA384">
    <cfRule type="expression" dxfId="1596" priority="1597" stopIfTrue="1">
      <formula>$R384:$R740="Cancel"</formula>
    </cfRule>
  </conditionalFormatting>
  <conditionalFormatting sqref="AA385">
    <cfRule type="expression" dxfId="1595" priority="1593">
      <formula>$X385:$X659="Penting"</formula>
    </cfRule>
    <cfRule type="expression" dxfId="1594" priority="1594">
      <formula>$R385:$R659=""</formula>
    </cfRule>
    <cfRule type="expression" dxfId="1593" priority="1595">
      <formula>$R385:$R659&lt;=0</formula>
    </cfRule>
    <cfRule type="expression" dxfId="1592" priority="1596">
      <formula>$R385:$R659&lt;4</formula>
    </cfRule>
  </conditionalFormatting>
  <conditionalFormatting sqref="AA385">
    <cfRule type="expression" dxfId="1591" priority="1592">
      <formula>$R385:$R741="End"</formula>
    </cfRule>
  </conditionalFormatting>
  <conditionalFormatting sqref="AA385">
    <cfRule type="expression" dxfId="1590" priority="1591" stopIfTrue="1">
      <formula>$R385:$R741="Cancel"</formula>
    </cfRule>
  </conditionalFormatting>
  <conditionalFormatting sqref="AA386">
    <cfRule type="expression" dxfId="1589" priority="1587">
      <formula>$X386:$X660="Penting"</formula>
    </cfRule>
    <cfRule type="expression" dxfId="1588" priority="1588">
      <formula>$R386:$R660=""</formula>
    </cfRule>
    <cfRule type="expression" dxfId="1587" priority="1589">
      <formula>$R386:$R660&lt;=0</formula>
    </cfRule>
    <cfRule type="expression" dxfId="1586" priority="1590">
      <formula>$R386:$R660&lt;4</formula>
    </cfRule>
  </conditionalFormatting>
  <conditionalFormatting sqref="AA386">
    <cfRule type="expression" dxfId="1585" priority="1586">
      <formula>$R386:$R742="End"</formula>
    </cfRule>
  </conditionalFormatting>
  <conditionalFormatting sqref="AA386">
    <cfRule type="expression" dxfId="1584" priority="1585" stopIfTrue="1">
      <formula>$R386:$R742="Cancel"</formula>
    </cfRule>
  </conditionalFormatting>
  <conditionalFormatting sqref="AA387">
    <cfRule type="expression" dxfId="1583" priority="1581">
      <formula>$X387:$X661="Penting"</formula>
    </cfRule>
    <cfRule type="expression" dxfId="1582" priority="1582">
      <formula>$R387:$R661=""</formula>
    </cfRule>
    <cfRule type="expression" dxfId="1581" priority="1583">
      <formula>$R387:$R661&lt;=0</formula>
    </cfRule>
    <cfRule type="expression" dxfId="1580" priority="1584">
      <formula>$R387:$R661&lt;4</formula>
    </cfRule>
  </conditionalFormatting>
  <conditionalFormatting sqref="AA387">
    <cfRule type="expression" dxfId="1579" priority="1580">
      <formula>$R387:$R743="End"</formula>
    </cfRule>
  </conditionalFormatting>
  <conditionalFormatting sqref="AA387">
    <cfRule type="expression" dxfId="1578" priority="1579" stopIfTrue="1">
      <formula>$R387:$R743="Cancel"</formula>
    </cfRule>
  </conditionalFormatting>
  <conditionalFormatting sqref="AA388">
    <cfRule type="expression" dxfId="1577" priority="1575">
      <formula>$X388:$X662="Penting"</formula>
    </cfRule>
    <cfRule type="expression" dxfId="1576" priority="1576">
      <formula>$R388:$R662=""</formula>
    </cfRule>
    <cfRule type="expression" dxfId="1575" priority="1577">
      <formula>$R388:$R662&lt;=0</formula>
    </cfRule>
    <cfRule type="expression" dxfId="1574" priority="1578">
      <formula>$R388:$R662&lt;4</formula>
    </cfRule>
  </conditionalFormatting>
  <conditionalFormatting sqref="AA388">
    <cfRule type="expression" dxfId="1573" priority="1574">
      <formula>$R388:$R744="End"</formula>
    </cfRule>
  </conditionalFormatting>
  <conditionalFormatting sqref="AA388">
    <cfRule type="expression" dxfId="1572" priority="1573" stopIfTrue="1">
      <formula>$R388:$R744="Cancel"</formula>
    </cfRule>
  </conditionalFormatting>
  <conditionalFormatting sqref="AA389">
    <cfRule type="expression" dxfId="1571" priority="1569">
      <formula>$X389:$X663="Penting"</formula>
    </cfRule>
    <cfRule type="expression" dxfId="1570" priority="1570">
      <formula>$R389:$R663=""</formula>
    </cfRule>
    <cfRule type="expression" dxfId="1569" priority="1571">
      <formula>$R389:$R663&lt;=0</formula>
    </cfRule>
    <cfRule type="expression" dxfId="1568" priority="1572">
      <formula>$R389:$R663&lt;4</formula>
    </cfRule>
  </conditionalFormatting>
  <conditionalFormatting sqref="AA389">
    <cfRule type="expression" dxfId="1567" priority="1568">
      <formula>$R389:$R745="End"</formula>
    </cfRule>
  </conditionalFormatting>
  <conditionalFormatting sqref="AA389">
    <cfRule type="expression" dxfId="1566" priority="1567" stopIfTrue="1">
      <formula>$R389:$R745="Cancel"</formula>
    </cfRule>
  </conditionalFormatting>
  <conditionalFormatting sqref="AA392">
    <cfRule type="expression" dxfId="1565" priority="1563">
      <formula>$X392:$X666="Penting"</formula>
    </cfRule>
    <cfRule type="expression" dxfId="1564" priority="1564">
      <formula>$R392:$R666=""</formula>
    </cfRule>
    <cfRule type="expression" dxfId="1563" priority="1565">
      <formula>$R392:$R666&lt;=0</formula>
    </cfRule>
    <cfRule type="expression" dxfId="1562" priority="1566">
      <formula>$R392:$R666&lt;4</formula>
    </cfRule>
  </conditionalFormatting>
  <conditionalFormatting sqref="AA392">
    <cfRule type="expression" dxfId="1561" priority="1562">
      <formula>$R392:$R748="End"</formula>
    </cfRule>
  </conditionalFormatting>
  <conditionalFormatting sqref="AA392">
    <cfRule type="expression" dxfId="1560" priority="1561" stopIfTrue="1">
      <formula>$R392:$R748="Cancel"</formula>
    </cfRule>
  </conditionalFormatting>
  <conditionalFormatting sqref="AA393">
    <cfRule type="expression" dxfId="1559" priority="1557">
      <formula>$X393:$X667="Penting"</formula>
    </cfRule>
    <cfRule type="expression" dxfId="1558" priority="1558">
      <formula>$R393:$R667=""</formula>
    </cfRule>
    <cfRule type="expression" dxfId="1557" priority="1559">
      <formula>$R393:$R667&lt;=0</formula>
    </cfRule>
    <cfRule type="expression" dxfId="1556" priority="1560">
      <formula>$R393:$R667&lt;4</formula>
    </cfRule>
  </conditionalFormatting>
  <conditionalFormatting sqref="AA393">
    <cfRule type="expression" dxfId="1555" priority="1556">
      <formula>$R393:$R749="End"</formula>
    </cfRule>
  </conditionalFormatting>
  <conditionalFormatting sqref="AA393">
    <cfRule type="expression" dxfId="1554" priority="1555" stopIfTrue="1">
      <formula>$R393:$R749="Cancel"</formula>
    </cfRule>
  </conditionalFormatting>
  <conditionalFormatting sqref="AA402">
    <cfRule type="expression" dxfId="1553" priority="1551">
      <formula>$X402:$X674="Penting"</formula>
    </cfRule>
    <cfRule type="expression" dxfId="1552" priority="1552">
      <formula>$R402:$R674=""</formula>
    </cfRule>
    <cfRule type="expression" dxfId="1551" priority="1553">
      <formula>$R402:$R674&lt;=0</formula>
    </cfRule>
    <cfRule type="expression" dxfId="1550" priority="1554">
      <formula>$R402:$R674&lt;4</formula>
    </cfRule>
  </conditionalFormatting>
  <conditionalFormatting sqref="AA402">
    <cfRule type="expression" dxfId="1549" priority="1550">
      <formula>$R402:$R756="End"</formula>
    </cfRule>
  </conditionalFormatting>
  <conditionalFormatting sqref="AA402">
    <cfRule type="expression" dxfId="1548" priority="1549" stopIfTrue="1">
      <formula>$R402:$R756="Cancel"</formula>
    </cfRule>
  </conditionalFormatting>
  <conditionalFormatting sqref="AA411 AF178 Q266:Q267 S266:S267 R296:R299 D266:O267 W266:Z267 AD266:AR267 B266:B267 H212">
    <cfRule type="expression" dxfId="1547" priority="1545">
      <formula>$X178:$X449="Penting"</formula>
    </cfRule>
    <cfRule type="expression" dxfId="1546" priority="1546">
      <formula>$R178:$R449=""</formula>
    </cfRule>
    <cfRule type="expression" dxfId="1545" priority="1547">
      <formula>$R178:$R449&lt;=0</formula>
    </cfRule>
    <cfRule type="expression" dxfId="1544" priority="1548">
      <formula>$R178:$R449&lt;4</formula>
    </cfRule>
  </conditionalFormatting>
  <conditionalFormatting sqref="AA411 R296:R298 Y247:Z248 Y249:Y250 Y227:Z229 Y232:Z233 Y243:Z244">
    <cfRule type="expression" dxfId="1543" priority="1544">
      <formula>$R227:$R580="End"</formula>
    </cfRule>
  </conditionalFormatting>
  <conditionalFormatting sqref="AA411 R296:R298 Y247:Z248 Y249:Y250 Y227:Z229 Y232:Z233 Y243:Z244">
    <cfRule type="expression" dxfId="1542" priority="1543" stopIfTrue="1">
      <formula>$R227:$R580="Cancel"</formula>
    </cfRule>
  </conditionalFormatting>
  <conditionalFormatting sqref="AA420">
    <cfRule type="expression" dxfId="1541" priority="1539">
      <formula>$X420:$X691="Penting"</formula>
    </cfRule>
    <cfRule type="expression" dxfId="1540" priority="1540">
      <formula>$R420:$R691=""</formula>
    </cfRule>
    <cfRule type="expression" dxfId="1539" priority="1541">
      <formula>$R420:$R691&lt;=0</formula>
    </cfRule>
    <cfRule type="expression" dxfId="1538" priority="1542">
      <formula>$R420:$R691&lt;4</formula>
    </cfRule>
  </conditionalFormatting>
  <conditionalFormatting sqref="AA420">
    <cfRule type="expression" dxfId="1537" priority="1538">
      <formula>$R420:$R773="End"</formula>
    </cfRule>
  </conditionalFormatting>
  <conditionalFormatting sqref="AA420">
    <cfRule type="expression" dxfId="1536" priority="1537" stopIfTrue="1">
      <formula>$R420:$R773="Cancel"</formula>
    </cfRule>
  </conditionalFormatting>
  <conditionalFormatting sqref="Z420 Z411">
    <cfRule type="expression" dxfId="1535" priority="1533">
      <formula>$X411:$X682="Penting"</formula>
    </cfRule>
    <cfRule type="expression" dxfId="1534" priority="1534">
      <formula>$R411:$R682=""</formula>
    </cfRule>
    <cfRule type="expression" dxfId="1533" priority="1535">
      <formula>$R411:$R682&lt;=0</formula>
    </cfRule>
    <cfRule type="expression" dxfId="1532" priority="1536">
      <formula>$R411:$R682&lt;4</formula>
    </cfRule>
  </conditionalFormatting>
  <conditionalFormatting sqref="Z420 Z411">
    <cfRule type="expression" dxfId="1531" priority="1532">
      <formula>$R411:$R764="End"</formula>
    </cfRule>
  </conditionalFormatting>
  <conditionalFormatting sqref="Z420 Z411">
    <cfRule type="expression" dxfId="1530" priority="1531" stopIfTrue="1">
      <formula>$R411:$R764="Cancel"</formula>
    </cfRule>
  </conditionalFormatting>
  <conditionalFormatting sqref="A398:A522 S155:Z156 B155:O156 AD155:AR155 Q155:Q156 R168:R169 P157 R175:R176 AD156:AM156 AO156:AR156">
    <cfRule type="expression" dxfId="1529" priority="1530">
      <formula>$R155:$R540="End"</formula>
    </cfRule>
  </conditionalFormatting>
  <conditionalFormatting sqref="A398:A522 S155:Z156 B155:O156 AD155:AR155 Q155:Q156 R168:R169 P157 R175:R176 AD156:AM156 AO156:AR156">
    <cfRule type="expression" dxfId="1528" priority="1529" stopIfTrue="1">
      <formula>$R155:$R540="Cancel"</formula>
    </cfRule>
  </conditionalFormatting>
  <conditionalFormatting sqref="AA426:AB426">
    <cfRule type="expression" dxfId="1527" priority="1525">
      <formula>$X426:$X695="Penting"</formula>
    </cfRule>
    <cfRule type="expression" dxfId="1526" priority="1526">
      <formula>$R426:$R695=""</formula>
    </cfRule>
    <cfRule type="expression" dxfId="1525" priority="1527">
      <formula>$R426:$R695&lt;=0</formula>
    </cfRule>
    <cfRule type="expression" dxfId="1524" priority="1528">
      <formula>$R426:$R695&lt;4</formula>
    </cfRule>
  </conditionalFormatting>
  <conditionalFormatting sqref="AA426:AB426">
    <cfRule type="expression" dxfId="1523" priority="1524">
      <formula>$R426:$R777="End"</formula>
    </cfRule>
  </conditionalFormatting>
  <conditionalFormatting sqref="AA426:AB426">
    <cfRule type="expression" dxfId="1522" priority="1523" stopIfTrue="1">
      <formula>$R426:$R777="Cancel"</formula>
    </cfRule>
  </conditionalFormatting>
  <conditionalFormatting sqref="Z426">
    <cfRule type="expression" dxfId="1521" priority="1519">
      <formula>$X426:$X681="Penting"</formula>
    </cfRule>
    <cfRule type="expression" dxfId="1520" priority="1520">
      <formula>$R426:$R681=""</formula>
    </cfRule>
    <cfRule type="expression" dxfId="1519" priority="1521">
      <formula>$R426:$R681&lt;=0</formula>
    </cfRule>
    <cfRule type="expression" dxfId="1518" priority="1522">
      <formula>$R426:$R681&lt;4</formula>
    </cfRule>
  </conditionalFormatting>
  <conditionalFormatting sqref="Z426">
    <cfRule type="expression" dxfId="1517" priority="1518">
      <formula>$R426:$R754="End"</formula>
    </cfRule>
  </conditionalFormatting>
  <conditionalFormatting sqref="Z426">
    <cfRule type="expression" dxfId="1516" priority="1517" stopIfTrue="1">
      <formula>$R426:$R754="Cancel"</formula>
    </cfRule>
  </conditionalFormatting>
  <conditionalFormatting sqref="P313">
    <cfRule type="expression" dxfId="1515" priority="1516">
      <formula>$R313:$R645="End"</formula>
    </cfRule>
  </conditionalFormatting>
  <conditionalFormatting sqref="P313">
    <cfRule type="expression" dxfId="1514" priority="1515" stopIfTrue="1">
      <formula>$R313:$R645="Cancel"</formula>
    </cfRule>
  </conditionalFormatting>
  <conditionalFormatting sqref="S313">
    <cfRule type="expression" dxfId="1513" priority="1511">
      <formula>$X313:$X572="Penting"</formula>
    </cfRule>
    <cfRule type="expression" dxfId="1512" priority="1512">
      <formula>$R313:$R572=""</formula>
    </cfRule>
    <cfRule type="expression" dxfId="1511" priority="1513">
      <formula>$R313:$R572&lt;=0</formula>
    </cfRule>
    <cfRule type="expression" dxfId="1510" priority="1514">
      <formula>$R313:$R572&lt;4</formula>
    </cfRule>
  </conditionalFormatting>
  <conditionalFormatting sqref="S307:Y307">
    <cfRule type="expression" dxfId="1509" priority="1510">
      <formula>$R307:$R631="End"</formula>
    </cfRule>
  </conditionalFormatting>
  <conditionalFormatting sqref="S307:Y307">
    <cfRule type="expression" dxfId="1508" priority="1509" stopIfTrue="1">
      <formula>$R307:$R631="Cancel"</formula>
    </cfRule>
  </conditionalFormatting>
  <conditionalFormatting sqref="Z313">
    <cfRule type="expression" dxfId="1507" priority="1505">
      <formula>$X313:$X572="Penting"</formula>
    </cfRule>
    <cfRule type="expression" dxfId="1506" priority="1506">
      <formula>$R313:$R572=""</formula>
    </cfRule>
    <cfRule type="expression" dxfId="1505" priority="1507">
      <formula>$R313:$R572&lt;=0</formula>
    </cfRule>
    <cfRule type="expression" dxfId="1504" priority="1508">
      <formula>$R313:$R572&lt;4</formula>
    </cfRule>
  </conditionalFormatting>
  <conditionalFormatting sqref="Z313">
    <cfRule type="expression" dxfId="1503" priority="1504">
      <formula>$R313:$R637="End"</formula>
    </cfRule>
  </conditionalFormatting>
  <conditionalFormatting sqref="Z313">
    <cfRule type="expression" dxfId="1502" priority="1503" stopIfTrue="1">
      <formula>$R313:$R637="Cancel"</formula>
    </cfRule>
  </conditionalFormatting>
  <conditionalFormatting sqref="AC313">
    <cfRule type="expression" dxfId="1501" priority="1499">
      <formula>$X313:$X591="Penting"</formula>
    </cfRule>
    <cfRule type="expression" dxfId="1500" priority="1500">
      <formula>$R313:$R591=""</formula>
    </cfRule>
    <cfRule type="expression" dxfId="1499" priority="1501">
      <formula>$R313:$R591&lt;=0</formula>
    </cfRule>
    <cfRule type="expression" dxfId="1498" priority="1502">
      <formula>$R313:$R591&lt;4</formula>
    </cfRule>
  </conditionalFormatting>
  <conditionalFormatting sqref="AC313">
    <cfRule type="expression" dxfId="1497" priority="1498">
      <formula>$R313:$R673="End"</formula>
    </cfRule>
  </conditionalFormatting>
  <conditionalFormatting sqref="AC313">
    <cfRule type="expression" dxfId="1496" priority="1497" stopIfTrue="1">
      <formula>$R313:$R673="Cancel"</formula>
    </cfRule>
  </conditionalFormatting>
  <conditionalFormatting sqref="AA403:AC405 AB402:AC402">
    <cfRule type="expression" dxfId="1495" priority="1493">
      <formula>$X402:$X672="Penting"</formula>
    </cfRule>
    <cfRule type="expression" dxfId="1494" priority="1494">
      <formula>$R402:$R672=""</formula>
    </cfRule>
    <cfRule type="expression" dxfId="1493" priority="1495">
      <formula>$R402:$R672&lt;=0</formula>
    </cfRule>
    <cfRule type="expression" dxfId="1492" priority="1496">
      <formula>$R402:$R672&lt;4</formula>
    </cfRule>
  </conditionalFormatting>
  <conditionalFormatting sqref="AA403:AC405 AB402:AC402 AA398:AC401">
    <cfRule type="expression" dxfId="1491" priority="1492">
      <formula>$R398:$R750="End"</formula>
    </cfRule>
  </conditionalFormatting>
  <conditionalFormatting sqref="AA403:AC405 AB402:AC402 AA398:AC401">
    <cfRule type="expression" dxfId="1490" priority="1491" stopIfTrue="1">
      <formula>$R398:$R750="Cancel"</formula>
    </cfRule>
  </conditionalFormatting>
  <conditionalFormatting sqref="T288:V288">
    <cfRule type="expression" dxfId="1489" priority="1487">
      <formula>$X288:$X614="Penting"</formula>
    </cfRule>
    <cfRule type="expression" dxfId="1488" priority="1488">
      <formula>$R288:$R614=""</formula>
    </cfRule>
    <cfRule type="expression" dxfId="1487" priority="1489">
      <formula>$R288:$R614&lt;=0</formula>
    </cfRule>
    <cfRule type="expression" dxfId="1486" priority="1490">
      <formula>$R288:$R614&lt;4</formula>
    </cfRule>
  </conditionalFormatting>
  <conditionalFormatting sqref="S303:Y303">
    <cfRule type="expression" dxfId="1485" priority="1486">
      <formula>$R303:$R628="End"</formula>
    </cfRule>
  </conditionalFormatting>
  <conditionalFormatting sqref="S303:Y303">
    <cfRule type="expression" dxfId="1484" priority="1485" stopIfTrue="1">
      <formula>$R303:$R628="Cancel"</formula>
    </cfRule>
  </conditionalFormatting>
  <conditionalFormatting sqref="R303">
    <cfRule type="expression" dxfId="1483" priority="1481">
      <formula>$X303:$X573="Penting"</formula>
    </cfRule>
    <cfRule type="expression" dxfId="1482" priority="1482">
      <formula>$R303:$R573=""</formula>
    </cfRule>
    <cfRule type="expression" dxfId="1481" priority="1483">
      <formula>$R303:$R573&lt;=0</formula>
    </cfRule>
    <cfRule type="expression" dxfId="1480" priority="1484">
      <formula>$R303:$R573&lt;4</formula>
    </cfRule>
  </conditionalFormatting>
  <conditionalFormatting sqref="AS314:AT320 T304:V313">
    <cfRule type="expression" dxfId="1479" priority="1477">
      <formula>$X304:$X628="Penting"</formula>
    </cfRule>
    <cfRule type="expression" dxfId="1478" priority="1478">
      <formula>$R304:$R628=""</formula>
    </cfRule>
    <cfRule type="expression" dxfId="1477" priority="1479">
      <formula>$R304:$R628&lt;=0</formula>
    </cfRule>
    <cfRule type="expression" dxfId="1476" priority="1480">
      <formula>$R304:$R628&lt;4</formula>
    </cfRule>
  </conditionalFormatting>
  <conditionalFormatting sqref="AB303:AC303">
    <cfRule type="expression" dxfId="1475" priority="1473">
      <formula>$X303:$X582="Penting"</formula>
    </cfRule>
    <cfRule type="expression" dxfId="1474" priority="1474">
      <formula>$R303:$R582=""</formula>
    </cfRule>
    <cfRule type="expression" dxfId="1473" priority="1475">
      <formula>$R303:$R582&lt;=0</formula>
    </cfRule>
    <cfRule type="expression" dxfId="1472" priority="1476">
      <formula>$R303:$R582&lt;4</formula>
    </cfRule>
  </conditionalFormatting>
  <conditionalFormatting sqref="AB303:AC303">
    <cfRule type="expression" dxfId="1471" priority="1472">
      <formula>$R303:$R664="End"</formula>
    </cfRule>
  </conditionalFormatting>
  <conditionalFormatting sqref="AB303:AC303">
    <cfRule type="expression" dxfId="1470" priority="1471" stopIfTrue="1">
      <formula>$R303:$R664="Cancel"</formula>
    </cfRule>
  </conditionalFormatting>
  <conditionalFormatting sqref="S303">
    <cfRule type="expression" dxfId="1469" priority="1467">
      <formula>$X303:$X563="Penting"</formula>
    </cfRule>
    <cfRule type="expression" dxfId="1468" priority="1468">
      <formula>$R303:$R563=""</formula>
    </cfRule>
    <cfRule type="expression" dxfId="1467" priority="1469">
      <formula>$R303:$R563&lt;=0</formula>
    </cfRule>
    <cfRule type="expression" dxfId="1466" priority="1470">
      <formula>$R303:$R563&lt;4</formula>
    </cfRule>
  </conditionalFormatting>
  <conditionalFormatting sqref="P210">
    <cfRule type="expression" dxfId="1465" priority="1466">
      <formula>$R210:$R572="End"</formula>
    </cfRule>
  </conditionalFormatting>
  <conditionalFormatting sqref="P210">
    <cfRule type="expression" dxfId="1464" priority="1465" stopIfTrue="1">
      <formula>$R210:$R572="Cancel"</formula>
    </cfRule>
  </conditionalFormatting>
  <conditionalFormatting sqref="Z303">
    <cfRule type="expression" dxfId="1463" priority="1461">
      <formula>$X303:$X584="Penting"</formula>
    </cfRule>
    <cfRule type="expression" dxfId="1462" priority="1462">
      <formula>$R303:$R584=""</formula>
    </cfRule>
    <cfRule type="expression" dxfId="1461" priority="1463">
      <formula>$R303:$R584&lt;=0</formula>
    </cfRule>
    <cfRule type="expression" dxfId="1460" priority="1464">
      <formula>$R303:$R584&lt;4</formula>
    </cfRule>
  </conditionalFormatting>
  <conditionalFormatting sqref="Z303">
    <cfRule type="expression" dxfId="1459" priority="1460">
      <formula>$R303:$R666="End"</formula>
    </cfRule>
  </conditionalFormatting>
  <conditionalFormatting sqref="Z303">
    <cfRule type="expression" dxfId="1458" priority="1459" stopIfTrue="1">
      <formula>$R303:$R666="Cancel"</formula>
    </cfRule>
  </conditionalFormatting>
  <conditionalFormatting sqref="AA303">
    <cfRule type="expression" dxfId="1457" priority="1455">
      <formula>$X303:$X584="Penting"</formula>
    </cfRule>
    <cfRule type="expression" dxfId="1456" priority="1456">
      <formula>$R303:$R584=""</formula>
    </cfRule>
    <cfRule type="expression" dxfId="1455" priority="1457">
      <formula>$R303:$R584&lt;=0</formula>
    </cfRule>
    <cfRule type="expression" dxfId="1454" priority="1458">
      <formula>$R303:$R584&lt;4</formula>
    </cfRule>
  </conditionalFormatting>
  <conditionalFormatting sqref="AA303">
    <cfRule type="expression" dxfId="1453" priority="1454">
      <formula>$R303:$R666="End"</formula>
    </cfRule>
  </conditionalFormatting>
  <conditionalFormatting sqref="AA303">
    <cfRule type="expression" dxfId="1452" priority="1453" stopIfTrue="1">
      <formula>$R303:$R666="Cancel"</formula>
    </cfRule>
  </conditionalFormatting>
  <conditionalFormatting sqref="B154:J154 B147:O153 Q147:Q148 S147:Z148 Q150:Q152 P155:P156 AD147:AR147 S151:Y151 L154:O154 Q153:Z153 Q149:Z149 Q154 S150:Z150 AD149:AR150 AD148:AM148 AO148:AR148 AD153:AR153 AD151:AM152 AO151:AR152 AD154:AM154 AO154:AR154 S152:Z152">
    <cfRule type="expression" dxfId="1451" priority="1452">
      <formula>$R147:$R533="End"</formula>
    </cfRule>
  </conditionalFormatting>
  <conditionalFormatting sqref="B154:J154 B147:O153 Q147:Q148 S147:Z148 Q150:Q152 P155:P156 AD147:AR147 S151:Y151 L154:O154 Q153:Z153 Q149:Z149 Q154 S150:Z150 AD149:AR150 AD148:AM148 AO148:AR148 AD153:AR153 AD151:AM152 AO151:AR152 AD154:AM154 AO154:AR154 S152:Z152">
    <cfRule type="expression" dxfId="1450" priority="1451" stopIfTrue="1">
      <formula>$R147:$R533="Cancel"</formula>
    </cfRule>
  </conditionalFormatting>
  <conditionalFormatting sqref="AS283:AT283">
    <cfRule type="expression" dxfId="1449" priority="1447">
      <formula>$X283:$X616="Penting"</formula>
    </cfRule>
    <cfRule type="expression" dxfId="1448" priority="1448">
      <formula>$R283:$R616=""</formula>
    </cfRule>
    <cfRule type="expression" dxfId="1447" priority="1449">
      <formula>$R283:$R616&lt;=0</formula>
    </cfRule>
    <cfRule type="expression" dxfId="1446" priority="1450">
      <formula>$R283:$R616&lt;4</formula>
    </cfRule>
  </conditionalFormatting>
  <conditionalFormatting sqref="R157 A373:A397 R161:R166 P147:P154">
    <cfRule type="expression" dxfId="1445" priority="1446">
      <formula>$R147:$R534="End"</formula>
    </cfRule>
  </conditionalFormatting>
  <conditionalFormatting sqref="R157 A373:A397 R161:R166 P147:P154">
    <cfRule type="expression" dxfId="1444" priority="1445" stopIfTrue="1">
      <formula>$R147:$R534="Cancel"</formula>
    </cfRule>
  </conditionalFormatting>
  <conditionalFormatting sqref="AS408:AT408 AS398:AT402">
    <cfRule type="expression" dxfId="1443" priority="1441">
      <formula>$X398:$X702="Penting"</formula>
    </cfRule>
    <cfRule type="expression" dxfId="1442" priority="1442">
      <formula>$R398:$R702=""</formula>
    </cfRule>
    <cfRule type="expression" dxfId="1441" priority="1443">
      <formula>$R398:$R702&lt;=0</formula>
    </cfRule>
    <cfRule type="expression" dxfId="1440" priority="1444">
      <formula>$R398:$R702&lt;4</formula>
    </cfRule>
  </conditionalFormatting>
  <conditionalFormatting sqref="B405:Q405 B404 E404 B403:Z403 G399 Q399 B399:B400 E400 AG404:AR404 AP406:AR406 P400:Q400 AG399:AR400 P404:Q404 B401:Q401 S401:Z401 B402 Q402 S399:X400 AD399:AE400 AD404:AE404 AD405:AR405 S404:X405 AD401:AR403 S402:Y402 L400:M400 AD398:AR398 B398:Q398 S398:Z398">
    <cfRule type="expression" dxfId="1439" priority="1440">
      <formula>$R398:$R698="End"</formula>
    </cfRule>
  </conditionalFormatting>
  <conditionalFormatting sqref="B405:Q405 B404 E404 B403:Z403 G399 Q399 B399:B400 E400 AG404:AR404 AP406:AR406 P400:Q400 AG399:AR400 P404:Q404 B401:Q401 S401:Z401 B402 Q402 S399:X400 AD399:AE400 AD404:AE404 AD405:AR405 S404:X405 AD401:AR403 S402:Y402 L400:M400 AD398:AR398 B398:Q398 S398:Z398">
    <cfRule type="expression" dxfId="1438" priority="1439" stopIfTrue="1">
      <formula>$R398:$R698="Cancel"</formula>
    </cfRule>
  </conditionalFormatting>
  <conditionalFormatting sqref="S390">
    <cfRule type="expression" dxfId="1437" priority="1435">
      <formula>$X390:$X734="Penting"</formula>
    </cfRule>
    <cfRule type="expression" dxfId="1436" priority="1436">
      <formula>$R390:$R734=""</formula>
    </cfRule>
    <cfRule type="expression" dxfId="1435" priority="1437">
      <formula>$R390:$R734&lt;=0</formula>
    </cfRule>
    <cfRule type="expression" dxfId="1434" priority="1438">
      <formula>$R390:$R734&lt;4</formula>
    </cfRule>
  </conditionalFormatting>
  <conditionalFormatting sqref="T398:V405 AA196:AC200 R194:R195 S168:S169 C168 L169:O169 B169:J169 AO169:AR169 W169:Y169 R191:R192 AD169:AM169">
    <cfRule type="expression" dxfId="1433" priority="1431">
      <formula>$X168:$X468="Penting"</formula>
    </cfRule>
    <cfRule type="expression" dxfId="1432" priority="1432">
      <formula>$R168:$R468=""</formula>
    </cfRule>
    <cfRule type="expression" dxfId="1431" priority="1433">
      <formula>$R168:$R468&lt;=0</formula>
    </cfRule>
    <cfRule type="expression" dxfId="1430" priority="1434">
      <formula>$R168:$R468&lt;4</formula>
    </cfRule>
  </conditionalFormatting>
  <conditionalFormatting sqref="P407 H407">
    <cfRule type="expression" dxfId="1429" priority="1427">
      <formula>$X407:$X668="Penting"</formula>
    </cfRule>
    <cfRule type="expression" dxfId="1428" priority="1428">
      <formula>$R407:$R668=""</formula>
    </cfRule>
    <cfRule type="expression" dxfId="1427" priority="1429">
      <formula>$R407:$R668&lt;=0</formula>
    </cfRule>
    <cfRule type="expression" dxfId="1426" priority="1430">
      <formula>$R407:$R668&lt;4</formula>
    </cfRule>
  </conditionalFormatting>
  <conditionalFormatting sqref="S407">
    <cfRule type="expression" dxfId="1425" priority="1423">
      <formula>$X407:$X671="Penting"</formula>
    </cfRule>
    <cfRule type="expression" dxfId="1424" priority="1424">
      <formula>$R407:$R671=""</formula>
    </cfRule>
    <cfRule type="expression" dxfId="1423" priority="1425">
      <formula>$R407:$R671&lt;=0</formula>
    </cfRule>
    <cfRule type="expression" dxfId="1422" priority="1426">
      <formula>$R407:$R671&lt;4</formula>
    </cfRule>
  </conditionalFormatting>
  <conditionalFormatting sqref="AS407:AT407">
    <cfRule type="expression" dxfId="1421" priority="1419">
      <formula>$X407:$X744="Penting"</formula>
    </cfRule>
    <cfRule type="expression" dxfId="1420" priority="1420">
      <formula>$R407:$R744=""</formula>
    </cfRule>
    <cfRule type="expression" dxfId="1419" priority="1421">
      <formula>$R407:$R744&lt;=0</formula>
    </cfRule>
    <cfRule type="expression" dxfId="1418" priority="1422">
      <formula>$R407:$R744&lt;4</formula>
    </cfRule>
  </conditionalFormatting>
  <conditionalFormatting sqref="P407 R391:R396 T256:Z258 B257:S257 Q256:S256 B256:O256 B259:B263 M259:O263 S258:S259 B258:O258 E259:K262 Q258 Y259:Z263 F263:K263 AD256:AR263 P178 P264 Q255">
    <cfRule type="expression" dxfId="1417" priority="1418">
      <formula>$R178:$R521="End"</formula>
    </cfRule>
  </conditionalFormatting>
  <conditionalFormatting sqref="P407 R391:R396 S258:Z258 B257:Z257 B256:O256 Q256:Z256 B259:B263 M259:O263 S259 B258:O258 E259:K262 Q258 Y259:Z263 F263:K263 AD256:AR263 P178 P264 Q255">
    <cfRule type="expression" dxfId="1416" priority="1417" stopIfTrue="1">
      <formula>$R178:$R521="Cancel"</formula>
    </cfRule>
  </conditionalFormatting>
  <conditionalFormatting sqref="Q407 AD407:AR407 I407:O407 B407:G407 Y407:Z407">
    <cfRule type="expression" dxfId="1415" priority="1416">
      <formula>$R407:$R745="End"</formula>
    </cfRule>
  </conditionalFormatting>
  <conditionalFormatting sqref="Q407 AD407:AR407 I407:O407 B407:G407 Y407:Z407">
    <cfRule type="expression" dxfId="1414" priority="1415" stopIfTrue="1">
      <formula>$R407:$R745="Cancel"</formula>
    </cfRule>
  </conditionalFormatting>
  <conditionalFormatting sqref="H407">
    <cfRule type="expression" dxfId="1413" priority="1414">
      <formula>$R407:$R741="End"</formula>
    </cfRule>
  </conditionalFormatting>
  <conditionalFormatting sqref="H407">
    <cfRule type="expression" dxfId="1412" priority="1413" stopIfTrue="1">
      <formula>$R407:$R741="Cancel"</formula>
    </cfRule>
  </conditionalFormatting>
  <conditionalFormatting sqref="Q407 AD407:AR407 I407:O407 B407:G407 Y407:Z407">
    <cfRule type="expression" dxfId="1411" priority="1409">
      <formula>$X407:$X672="Penting"</formula>
    </cfRule>
    <cfRule type="expression" dxfId="1410" priority="1410">
      <formula>$R407:$R672=""</formula>
    </cfRule>
    <cfRule type="expression" dxfId="1409" priority="1411">
      <formula>$R407:$R672&lt;=0</formula>
    </cfRule>
    <cfRule type="expression" dxfId="1408" priority="1412">
      <formula>$R407:$R672&lt;4</formula>
    </cfRule>
  </conditionalFormatting>
  <conditionalFormatting sqref="AA407:AC407">
    <cfRule type="expression" dxfId="1407" priority="1405">
      <formula>$X407:$X686="Penting"</formula>
    </cfRule>
    <cfRule type="expression" dxfId="1406" priority="1406">
      <formula>$R407:$R686=""</formula>
    </cfRule>
    <cfRule type="expression" dxfId="1405" priority="1407">
      <formula>$R407:$R686&lt;=0</formula>
    </cfRule>
    <cfRule type="expression" dxfId="1404" priority="1408">
      <formula>$R407:$R686&lt;4</formula>
    </cfRule>
  </conditionalFormatting>
  <conditionalFormatting sqref="AA407:AC407">
    <cfRule type="expression" dxfId="1403" priority="1404">
      <formula>$R407:$R768="End"</formula>
    </cfRule>
  </conditionalFormatting>
  <conditionalFormatting sqref="AA407:AC407">
    <cfRule type="expression" dxfId="1402" priority="1403" stopIfTrue="1">
      <formula>$R407:$R768="Cancel"</formula>
    </cfRule>
  </conditionalFormatting>
  <conditionalFormatting sqref="W407:X407">
    <cfRule type="expression" dxfId="1401" priority="1399">
      <formula>$X407:$X671="Penting"</formula>
    </cfRule>
    <cfRule type="expression" dxfId="1400" priority="1400">
      <formula>$R407:$R671=""</formula>
    </cfRule>
    <cfRule type="expression" dxfId="1399" priority="1401">
      <formula>$R407:$R671&lt;=0</formula>
    </cfRule>
    <cfRule type="expression" dxfId="1398" priority="1402">
      <formula>$R407:$R671&lt;4</formula>
    </cfRule>
  </conditionalFormatting>
  <conditionalFormatting sqref="R407">
    <cfRule type="expression" dxfId="1397" priority="1398">
      <formula>$R407:$R760="End"</formula>
    </cfRule>
  </conditionalFormatting>
  <conditionalFormatting sqref="R407">
    <cfRule type="expression" dxfId="1396" priority="1397" stopIfTrue="1">
      <formula>$R407:$R760="Cancel"</formula>
    </cfRule>
  </conditionalFormatting>
  <conditionalFormatting sqref="R407">
    <cfRule type="expression" dxfId="1395" priority="1393">
      <formula>$X407:$X678="Penting"</formula>
    </cfRule>
    <cfRule type="expression" dxfId="1394" priority="1394">
      <formula>$R407:$R678=""</formula>
    </cfRule>
    <cfRule type="expression" dxfId="1393" priority="1395">
      <formula>$R407:$R678&lt;=0</formula>
    </cfRule>
    <cfRule type="expression" dxfId="1392" priority="1396">
      <formula>$R407:$R678&lt;4</formula>
    </cfRule>
  </conditionalFormatting>
  <conditionalFormatting sqref="S407:X407 AD264:AR265 Q264:Z264 F265:O265 Y265:Z265 D264:O264">
    <cfRule type="expression" dxfId="1391" priority="1392">
      <formula>$R264:$R601="End"</formula>
    </cfRule>
  </conditionalFormatting>
  <conditionalFormatting sqref="S407:X407 AD264:AR265 Q264:Z264 F265:O265 Y265:Z265 D264:O264">
    <cfRule type="expression" dxfId="1390" priority="1391" stopIfTrue="1">
      <formula>$R264:$R601="Cancel"</formula>
    </cfRule>
  </conditionalFormatting>
  <conditionalFormatting sqref="T407:V407">
    <cfRule type="expression" dxfId="1389" priority="1387">
      <formula>$X407:$X744="Penting"</formula>
    </cfRule>
    <cfRule type="expression" dxfId="1388" priority="1388">
      <formula>$R407:$R744=""</formula>
    </cfRule>
    <cfRule type="expression" dxfId="1387" priority="1389">
      <formula>$R407:$R744&lt;=0</formula>
    </cfRule>
    <cfRule type="expression" dxfId="1386" priority="1390">
      <formula>$R407:$R744&lt;4</formula>
    </cfRule>
  </conditionalFormatting>
  <conditionalFormatting sqref="S407 AS167:AT168">
    <cfRule type="expression" dxfId="1385" priority="1383">
      <formula>$X167:$X545="Penting"</formula>
    </cfRule>
    <cfRule type="expression" dxfId="1384" priority="1384">
      <formula>$R167:$R545=""</formula>
    </cfRule>
    <cfRule type="expression" dxfId="1383" priority="1385">
      <formula>$R167:$R545&lt;=0</formula>
    </cfRule>
    <cfRule type="expression" dxfId="1382" priority="1386">
      <formula>$R167:$R545&lt;4</formula>
    </cfRule>
  </conditionalFormatting>
  <conditionalFormatting sqref="P406 H406">
    <cfRule type="expression" dxfId="1381" priority="1379">
      <formula>$X406:$X667="Penting"</formula>
    </cfRule>
    <cfRule type="expression" dxfId="1380" priority="1380">
      <formula>$R406:$R667=""</formula>
    </cfRule>
    <cfRule type="expression" dxfId="1379" priority="1381">
      <formula>$R406:$R667&lt;=0</formula>
    </cfRule>
    <cfRule type="expression" dxfId="1378" priority="1382">
      <formula>$R406:$R667&lt;4</formula>
    </cfRule>
  </conditionalFormatting>
  <conditionalFormatting sqref="P406">
    <cfRule type="expression" dxfId="1377" priority="1378">
      <formula>$R406:$R749="End"</formula>
    </cfRule>
  </conditionalFormatting>
  <conditionalFormatting sqref="P406">
    <cfRule type="expression" dxfId="1376" priority="1377" stopIfTrue="1">
      <formula>$R406:$R749="Cancel"</formula>
    </cfRule>
  </conditionalFormatting>
  <conditionalFormatting sqref="Q406 S406:Z406 AD406:AO406 I406:O406 B406:G406">
    <cfRule type="expression" dxfId="1375" priority="1376">
      <formula>$R406:$R744="End"</formula>
    </cfRule>
  </conditionalFormatting>
  <conditionalFormatting sqref="Q406 S406:Z406 AD406:AO406 I406:O406 B406:G406">
    <cfRule type="expression" dxfId="1374" priority="1375" stopIfTrue="1">
      <formula>$R406:$R744="Cancel"</formula>
    </cfRule>
  </conditionalFormatting>
  <conditionalFormatting sqref="H406">
    <cfRule type="expression" dxfId="1373" priority="1374">
      <formula>$R406:$R740="End"</formula>
    </cfRule>
  </conditionalFormatting>
  <conditionalFormatting sqref="H406">
    <cfRule type="expression" dxfId="1372" priority="1373" stopIfTrue="1">
      <formula>$R406:$R740="Cancel"</formula>
    </cfRule>
  </conditionalFormatting>
  <conditionalFormatting sqref="Q406 S406 W406:Z406 AD406:AO406 I406:O406 B406:G406">
    <cfRule type="expression" dxfId="1371" priority="1369">
      <formula>$X406:$X671="Penting"</formula>
    </cfRule>
    <cfRule type="expression" dxfId="1370" priority="1370">
      <formula>$R406:$R671=""</formula>
    </cfRule>
    <cfRule type="expression" dxfId="1369" priority="1371">
      <formula>$R406:$R671&lt;=0</formula>
    </cfRule>
    <cfRule type="expression" dxfId="1368" priority="1372">
      <formula>$R406:$R671&lt;4</formula>
    </cfRule>
  </conditionalFormatting>
  <conditionalFormatting sqref="R406">
    <cfRule type="expression" dxfId="1367" priority="1365">
      <formula>$X406:$X678="Penting"</formula>
    </cfRule>
    <cfRule type="expression" dxfId="1366" priority="1366">
      <formula>$R406:$R678=""</formula>
    </cfRule>
    <cfRule type="expression" dxfId="1365" priority="1367">
      <formula>$R406:$R678&lt;=0</formula>
    </cfRule>
    <cfRule type="expression" dxfId="1364" priority="1368">
      <formula>$R406:$R678&lt;4</formula>
    </cfRule>
  </conditionalFormatting>
  <conditionalFormatting sqref="AA406:AC406">
    <cfRule type="expression" dxfId="1363" priority="1361">
      <formula>$X406:$X685="Penting"</formula>
    </cfRule>
    <cfRule type="expression" dxfId="1362" priority="1362">
      <formula>$R406:$R685=""</formula>
    </cfRule>
    <cfRule type="expression" dxfId="1361" priority="1363">
      <formula>$R406:$R685&lt;=0</formula>
    </cfRule>
    <cfRule type="expression" dxfId="1360" priority="1364">
      <formula>$R406:$R685&lt;4</formula>
    </cfRule>
  </conditionalFormatting>
  <conditionalFormatting sqref="R406">
    <cfRule type="expression" dxfId="1359" priority="1360">
      <formula>$R406:$R760="End"</formula>
    </cfRule>
  </conditionalFormatting>
  <conditionalFormatting sqref="R406">
    <cfRule type="expression" dxfId="1358" priority="1359" stopIfTrue="1">
      <formula>$R406:$R760="Cancel"</formula>
    </cfRule>
  </conditionalFormatting>
  <conditionalFormatting sqref="AA406:AC406">
    <cfRule type="expression" dxfId="1357" priority="1358">
      <formula>$R406:$R767="End"</formula>
    </cfRule>
  </conditionalFormatting>
  <conditionalFormatting sqref="AA406:AC406">
    <cfRule type="expression" dxfId="1356" priority="1357" stopIfTrue="1">
      <formula>$R406:$R767="Cancel"</formula>
    </cfRule>
  </conditionalFormatting>
  <conditionalFormatting sqref="T406:V406 AS266:AT267">
    <cfRule type="expression" dxfId="1355" priority="1353">
      <formula>$X266:$X604="Penting"</formula>
    </cfRule>
    <cfRule type="expression" dxfId="1354" priority="1354">
      <formula>$R266:$R604=""</formula>
    </cfRule>
    <cfRule type="expression" dxfId="1353" priority="1355">
      <formula>$R266:$R604&lt;=0</formula>
    </cfRule>
    <cfRule type="expression" dxfId="1352" priority="1356">
      <formula>$R266:$R604&lt;4</formula>
    </cfRule>
  </conditionalFormatting>
  <conditionalFormatting sqref="S406">
    <cfRule type="expression" dxfId="1351" priority="1349">
      <formula>$X406:$X785="Penting"</formula>
    </cfRule>
    <cfRule type="expression" dxfId="1350" priority="1350">
      <formula>$R406:$R785=""</formula>
    </cfRule>
    <cfRule type="expression" dxfId="1349" priority="1351">
      <formula>$R406:$R785&lt;=0</formula>
    </cfRule>
    <cfRule type="expression" dxfId="1348" priority="1352">
      <formula>$R406:$R785&lt;4</formula>
    </cfRule>
  </conditionalFormatting>
  <conditionalFormatting sqref="B178">
    <cfRule type="expression" dxfId="1347" priority="1348">
      <formula>$R178:$R504="End"</formula>
    </cfRule>
  </conditionalFormatting>
  <conditionalFormatting sqref="B178">
    <cfRule type="expression" dxfId="1346" priority="1347" stopIfTrue="1">
      <formula>$R178:$R504="Cancel"</formula>
    </cfRule>
  </conditionalFormatting>
  <conditionalFormatting sqref="F400:K400">
    <cfRule type="expression" dxfId="1345" priority="1346">
      <formula>$R400:$R738="End"</formula>
    </cfRule>
  </conditionalFormatting>
  <conditionalFormatting sqref="F400:K400">
    <cfRule type="expression" dxfId="1344" priority="1345" stopIfTrue="1">
      <formula>$R400:$R738="Cancel"</formula>
    </cfRule>
  </conditionalFormatting>
  <conditionalFormatting sqref="F400:K400">
    <cfRule type="expression" dxfId="1343" priority="1341">
      <formula>$X400:$X665="Penting"</formula>
    </cfRule>
    <cfRule type="expression" dxfId="1342" priority="1342">
      <formula>$R400:$R665=""</formula>
    </cfRule>
    <cfRule type="expression" dxfId="1341" priority="1343">
      <formula>$R400:$R665&lt;=0</formula>
    </cfRule>
    <cfRule type="expression" dxfId="1340" priority="1344">
      <formula>$R400:$R665&lt;4</formula>
    </cfRule>
  </conditionalFormatting>
  <conditionalFormatting sqref="R178 AA268:AA270 AA273:AA274 AA278:AA279 AA282:AA283 S194:S195 K191:K194 Q191:Q192 S191:S192 Q194">
    <cfRule type="expression" dxfId="1339" priority="1340">
      <formula>$R178:$R545="End"</formula>
    </cfRule>
  </conditionalFormatting>
  <conditionalFormatting sqref="R178 AA268:AA270 AA273:AA274 AA278:AA279 AA282:AA283 S194:S195 K191:K194 Q191:Q192 S191:S192 Q194">
    <cfRule type="expression" dxfId="1338" priority="1339" stopIfTrue="1">
      <formula>$R178:$R545="Cancel"</formula>
    </cfRule>
  </conditionalFormatting>
  <conditionalFormatting sqref="Q320">
    <cfRule type="expression" dxfId="1337" priority="1338">
      <formula>$R320:$R640="End"</formula>
    </cfRule>
  </conditionalFormatting>
  <conditionalFormatting sqref="Q320">
    <cfRule type="expression" dxfId="1336" priority="1334">
      <formula>$X320:$X575="Penting"</formula>
    </cfRule>
    <cfRule type="expression" dxfId="1335" priority="1335">
      <formula>$R320:$R575=""</formula>
    </cfRule>
    <cfRule type="expression" dxfId="1334" priority="1336">
      <formula>$R320:$R575&lt;=0</formula>
    </cfRule>
    <cfRule type="expression" dxfId="1333" priority="1337">
      <formula>$R320:$R575&lt;4</formula>
    </cfRule>
  </conditionalFormatting>
  <conditionalFormatting sqref="Q320">
    <cfRule type="expression" dxfId="1332" priority="1333" stopIfTrue="1">
      <formula>$R320:$R640="Cancel"</formula>
    </cfRule>
  </conditionalFormatting>
  <conditionalFormatting sqref="P320">
    <cfRule type="expression" dxfId="1331" priority="1329">
      <formula>$X320:$X567="Penting"</formula>
    </cfRule>
    <cfRule type="expression" dxfId="1330" priority="1330">
      <formula>$R320:$R567=""</formula>
    </cfRule>
    <cfRule type="expression" dxfId="1329" priority="1331">
      <formula>$R320:$R567&lt;=0</formula>
    </cfRule>
    <cfRule type="expression" dxfId="1328" priority="1332">
      <formula>$R320:$R567&lt;4</formula>
    </cfRule>
  </conditionalFormatting>
  <conditionalFormatting sqref="AS355:AT357">
    <cfRule type="expression" dxfId="1327" priority="1325">
      <formula>$X355:$X674="Penting"</formula>
    </cfRule>
    <cfRule type="expression" dxfId="1326" priority="1326">
      <formula>$R355:$R674=""</formula>
    </cfRule>
    <cfRule type="expression" dxfId="1325" priority="1327">
      <formula>$R355:$R674&lt;=0</formula>
    </cfRule>
    <cfRule type="expression" dxfId="1324" priority="1328">
      <formula>$R355:$R674&lt;4</formula>
    </cfRule>
  </conditionalFormatting>
  <conditionalFormatting sqref="P320">
    <cfRule type="expression" dxfId="1323" priority="1324">
      <formula>$R320:$R649="End"</formula>
    </cfRule>
  </conditionalFormatting>
  <conditionalFormatting sqref="P320">
    <cfRule type="expression" dxfId="1322" priority="1323" stopIfTrue="1">
      <formula>$R320:$R649="Cancel"</formula>
    </cfRule>
  </conditionalFormatting>
  <conditionalFormatting sqref="R320">
    <cfRule type="expression" dxfId="1321" priority="1322">
      <formula>$R320:$R670="End"</formula>
    </cfRule>
  </conditionalFormatting>
  <conditionalFormatting sqref="R320">
    <cfRule type="expression" dxfId="1320" priority="1321" stopIfTrue="1">
      <formula>$R320:$R670="Cancel"</formula>
    </cfRule>
  </conditionalFormatting>
  <conditionalFormatting sqref="Z320">
    <cfRule type="expression" dxfId="1319" priority="1320">
      <formula>$R320:$R640="End"</formula>
    </cfRule>
  </conditionalFormatting>
  <conditionalFormatting sqref="Z320">
    <cfRule type="expression" dxfId="1318" priority="1316">
      <formula>$X320:$X575="Penting"</formula>
    </cfRule>
    <cfRule type="expression" dxfId="1317" priority="1317">
      <formula>$R320:$R575=""</formula>
    </cfRule>
    <cfRule type="expression" dxfId="1316" priority="1318">
      <formula>$R320:$R575&lt;=0</formula>
    </cfRule>
    <cfRule type="expression" dxfId="1315" priority="1319">
      <formula>$R320:$R575&lt;4</formula>
    </cfRule>
  </conditionalFormatting>
  <conditionalFormatting sqref="Z320">
    <cfRule type="expression" dxfId="1314" priority="1315" stopIfTrue="1">
      <formula>$R320:$R640="Cancel"</formula>
    </cfRule>
  </conditionalFormatting>
  <conditionalFormatting sqref="AA320:AB320">
    <cfRule type="expression" dxfId="1313" priority="1311">
      <formula>$X320:$X596="Penting"</formula>
    </cfRule>
    <cfRule type="expression" dxfId="1312" priority="1312">
      <formula>$R320:$R596=""</formula>
    </cfRule>
    <cfRule type="expression" dxfId="1311" priority="1313">
      <formula>$R320:$R596&lt;=0</formula>
    </cfRule>
    <cfRule type="expression" dxfId="1310" priority="1314">
      <formula>$R320:$R596&lt;4</formula>
    </cfRule>
  </conditionalFormatting>
  <conditionalFormatting sqref="AA320:AB320">
    <cfRule type="expression" dxfId="1309" priority="1310">
      <formula>$R320:$R678="End"</formula>
    </cfRule>
  </conditionalFormatting>
  <conditionalFormatting sqref="AA320:AB320">
    <cfRule type="expression" dxfId="1308" priority="1309" stopIfTrue="1">
      <formula>$R320:$R678="Cancel"</formula>
    </cfRule>
  </conditionalFormatting>
  <conditionalFormatting sqref="AA318:AB318">
    <cfRule type="expression" dxfId="1307" priority="1308">
      <formula>$R318:$R678="End"</formula>
    </cfRule>
  </conditionalFormatting>
  <conditionalFormatting sqref="AA318:AB318">
    <cfRule type="expression" dxfId="1306" priority="1307" stopIfTrue="1">
      <formula>$R318:$R678="Cancel"</formula>
    </cfRule>
  </conditionalFormatting>
  <conditionalFormatting sqref="AA318:AB318">
    <cfRule type="expression" dxfId="1305" priority="1303">
      <formula>$X318:$X596="Penting"</formula>
    </cfRule>
    <cfRule type="expression" dxfId="1304" priority="1304">
      <formula>$R318:$R596=""</formula>
    </cfRule>
    <cfRule type="expression" dxfId="1303" priority="1305">
      <formula>$R318:$R596&lt;=0</formula>
    </cfRule>
    <cfRule type="expression" dxfId="1302" priority="1306">
      <formula>$R318:$R596&lt;4</formula>
    </cfRule>
  </conditionalFormatting>
  <conditionalFormatting sqref="S154:Z154">
    <cfRule type="expression" dxfId="1301" priority="1302">
      <formula>$R154:$R540="End"</formula>
    </cfRule>
  </conditionalFormatting>
  <conditionalFormatting sqref="S154:Z154">
    <cfRule type="expression" dxfId="1300" priority="1301" stopIfTrue="1">
      <formula>$R154:$R540="Cancel"</formula>
    </cfRule>
  </conditionalFormatting>
  <conditionalFormatting sqref="R157">
    <cfRule type="expression" dxfId="1299" priority="1297">
      <formula>$X157:$X462="Penting"</formula>
    </cfRule>
    <cfRule type="expression" dxfId="1298" priority="1298">
      <formula>$R157:$R462=""</formula>
    </cfRule>
    <cfRule type="expression" dxfId="1297" priority="1299">
      <formula>$R157:$R462&lt;=0</formula>
    </cfRule>
    <cfRule type="expression" dxfId="1296" priority="1300">
      <formula>$R157:$R462&lt;4</formula>
    </cfRule>
  </conditionalFormatting>
  <conditionalFormatting sqref="AS221:AT221 AS226:AT227">
    <cfRule type="expression" dxfId="1295" priority="1293">
      <formula>$X221:$X574="Penting"</formula>
    </cfRule>
    <cfRule type="expression" dxfId="1294" priority="1294">
      <formula>$R221:$R574=""</formula>
    </cfRule>
    <cfRule type="expression" dxfId="1293" priority="1295">
      <formula>$R221:$R574&lt;=0</formula>
    </cfRule>
    <cfRule type="expression" dxfId="1292" priority="1296">
      <formula>$R221:$R574&lt;4</formula>
    </cfRule>
  </conditionalFormatting>
  <conditionalFormatting sqref="S157">
    <cfRule type="expression" dxfId="1291" priority="1289">
      <formula>$X157:$X582="Penting"</formula>
    </cfRule>
    <cfRule type="expression" dxfId="1290" priority="1290">
      <formula>$R157:$R582=""</formula>
    </cfRule>
    <cfRule type="expression" dxfId="1289" priority="1291">
      <formula>$R157:$R582&lt;=0</formula>
    </cfRule>
    <cfRule type="expression" dxfId="1288" priority="1292">
      <formula>$R157:$R582&lt;4</formula>
    </cfRule>
  </conditionalFormatting>
  <conditionalFormatting sqref="M209">
    <cfRule type="expression" dxfId="1287" priority="1288">
      <formula>$R209:$R541="End"</formula>
    </cfRule>
  </conditionalFormatting>
  <conditionalFormatting sqref="M209">
    <cfRule type="expression" dxfId="1286" priority="1287" stopIfTrue="1">
      <formula>$R209:$R541="Cancel"</formula>
    </cfRule>
  </conditionalFormatting>
  <conditionalFormatting sqref="S161 S167">
    <cfRule type="expression" dxfId="1285" priority="1283">
      <formula>$X161:$X582="Penting"</formula>
    </cfRule>
    <cfRule type="expression" dxfId="1284" priority="1284">
      <formula>$R161:$R582=""</formula>
    </cfRule>
    <cfRule type="expression" dxfId="1283" priority="1285">
      <formula>$R161:$R582&lt;=0</formula>
    </cfRule>
    <cfRule type="expression" dxfId="1282" priority="1286">
      <formula>$R161:$R582&lt;4</formula>
    </cfRule>
  </conditionalFormatting>
  <conditionalFormatting sqref="S253 AS142:AT146">
    <cfRule type="expression" dxfId="1281" priority="1279">
      <formula>$X142:$X529="Penting"</formula>
    </cfRule>
    <cfRule type="expression" dxfId="1280" priority="1280">
      <formula>$R142:$R529=""</formula>
    </cfRule>
    <cfRule type="expression" dxfId="1279" priority="1281">
      <formula>$R142:$R529&lt;=0</formula>
    </cfRule>
    <cfRule type="expression" dxfId="1278" priority="1282">
      <formula>$R142:$R529&lt;4</formula>
    </cfRule>
  </conditionalFormatting>
  <conditionalFormatting sqref="S160">
    <cfRule type="expression" dxfId="1277" priority="1275">
      <formula>$X160:$X583="Penting"</formula>
    </cfRule>
    <cfRule type="expression" dxfId="1276" priority="1276">
      <formula>$R160:$R583=""</formula>
    </cfRule>
    <cfRule type="expression" dxfId="1275" priority="1277">
      <formula>$R160:$R583&lt;=0</formula>
    </cfRule>
    <cfRule type="expression" dxfId="1274" priority="1278">
      <formula>$R160:$R583&lt;4</formula>
    </cfRule>
  </conditionalFormatting>
  <conditionalFormatting sqref="Z212">
    <cfRule type="expression" dxfId="1273" priority="1271">
      <formula>$X212:$X511="Penting"</formula>
    </cfRule>
    <cfRule type="expression" dxfId="1272" priority="1272">
      <formula>$R212:$R511=""</formula>
    </cfRule>
    <cfRule type="expression" dxfId="1271" priority="1273">
      <formula>$R212:$R511&lt;=0</formula>
    </cfRule>
    <cfRule type="expression" dxfId="1270" priority="1274">
      <formula>$R212:$R511&lt;4</formula>
    </cfRule>
  </conditionalFormatting>
  <conditionalFormatting sqref="Z240">
    <cfRule type="expression" dxfId="1269" priority="1270">
      <formula>$R240:$R593="End"</formula>
    </cfRule>
  </conditionalFormatting>
  <conditionalFormatting sqref="Z240">
    <cfRule type="expression" dxfId="1268" priority="1269" stopIfTrue="1">
      <formula>$R240:$R593="Cancel"</formula>
    </cfRule>
  </conditionalFormatting>
  <conditionalFormatting sqref="Q142:S142 AS364:AT369 T350:V357 Q143:Q146 S143:S146 B142:O143 AD142:AM145 AO142:AR146 B144:G144 I144:O144 B145:O146 W142:Y146 AD146:AE146 R141">
    <cfRule type="expression" dxfId="1267" priority="1265">
      <formula>$X141:$X457="Penting"</formula>
    </cfRule>
    <cfRule type="expression" dxfId="1266" priority="1266">
      <formula>$R141:$R457=""</formula>
    </cfRule>
    <cfRule type="expression" dxfId="1265" priority="1267">
      <formula>$R141:$R457&lt;=0</formula>
    </cfRule>
    <cfRule type="expression" dxfId="1264" priority="1268">
      <formula>$R141:$R457&lt;4</formula>
    </cfRule>
  </conditionalFormatting>
  <conditionalFormatting sqref="B179:Z179 B180:O182 AD179:AR182 B177:O177 Q177 S177:Y177 AD177:AM177 Q181:Z181 Q180 Q182 S180:Z180 AO177:AR177 S182:Y182 AP178:AR178 AA256:AC263">
    <cfRule type="expression" dxfId="1263" priority="1264">
      <formula>$R177:$R548="End"</formula>
    </cfRule>
  </conditionalFormatting>
  <conditionalFormatting sqref="B179:Z179 B180:O182 AD179:AR182 B177:O177 Q177 S177:Y177 AD177:AM177 Q181:Z181 Q180 Q182 S180:Z180 AO177:AR177 S182:Y182 AP178:AR178 AA256:AC263">
    <cfRule type="expression" dxfId="1262" priority="1263" stopIfTrue="1">
      <formula>$R177:$R548="Cancel"</formula>
    </cfRule>
  </conditionalFormatting>
  <conditionalFormatting sqref="S194 S191:S192">
    <cfRule type="expression" dxfId="1261" priority="1259">
      <formula>$X191:$X599="Penting"</formula>
    </cfRule>
    <cfRule type="expression" dxfId="1260" priority="1260">
      <formula>$R191:$R599=""</formula>
    </cfRule>
    <cfRule type="expression" dxfId="1259" priority="1261">
      <formula>$R191:$R599&lt;=0</formula>
    </cfRule>
    <cfRule type="expression" dxfId="1258" priority="1262">
      <formula>$R191:$R599&lt;4</formula>
    </cfRule>
  </conditionalFormatting>
  <conditionalFormatting sqref="B210:O210 K248:K250 B249:B250 F249:G250 S248:S250 W248:X250 R251:R253 Q248:Q250 Q204:Q210 S203:S210 B204:O208 AD204:AR208 W204:X210 AD210:AR211 S212:S220 AD213:AR219 Q212:Q220 B213:O218 B220:O220 B219:K219 M219:O219 AP220:AR220 B248:G248 W213:X220 AD212:AE212 AF209:AR209 B212 W212:Y212 B211:S211 W211:Z211 AG212:AR212 AA264:AC265 AB284:AC287 B209">
    <cfRule type="expression" dxfId="1257" priority="1255">
      <formula>$X203:$X487="Penting"</formula>
    </cfRule>
    <cfRule type="expression" dxfId="1256" priority="1256">
      <formula>$R203:$R487=""</formula>
    </cfRule>
    <cfRule type="expression" dxfId="1255" priority="1257">
      <formula>$R203:$R487&lt;=0</formula>
    </cfRule>
    <cfRule type="expression" dxfId="1254" priority="1258">
      <formula>$R203:$R487&lt;4</formula>
    </cfRule>
  </conditionalFormatting>
  <conditionalFormatting sqref="K154 W155:Z156 S155:S156 B155:O156 Q155:Q156 AD155:AR155 AD156:AM156 AO156:AR156">
    <cfRule type="expression" dxfId="1253" priority="1251">
      <formula>$X154:$X466="Penting"</formula>
    </cfRule>
    <cfRule type="expression" dxfId="1252" priority="1252">
      <formula>$R154:$R466=""</formula>
    </cfRule>
    <cfRule type="expression" dxfId="1251" priority="1253">
      <formula>$R154:$R466&lt;=0</formula>
    </cfRule>
    <cfRule type="expression" dxfId="1250" priority="1254">
      <formula>$R154:$R466&lt;4</formula>
    </cfRule>
  </conditionalFormatting>
  <conditionalFormatting sqref="W194:X194 AP193:AR195 L193:N195 AD193:AE194 B195:F195 AD195:AN195 W193 K186:K190 Q186:Q189 P169:P176 L191:O192 W191:Z192 AD191:AR192 B191:J194 S186:S190">
    <cfRule type="expression" dxfId="1249" priority="1247">
      <formula>$X169:$X464="Penting"</formula>
    </cfRule>
    <cfRule type="expression" dxfId="1248" priority="1248">
      <formula>$R169:$R464=""</formula>
    </cfRule>
    <cfRule type="expression" dxfId="1247" priority="1249">
      <formula>$R169:$R464&lt;=0</formula>
    </cfRule>
    <cfRule type="expression" dxfId="1246" priority="1250">
      <formula>$R169:$R464&lt;4</formula>
    </cfRule>
  </conditionalFormatting>
  <conditionalFormatting sqref="S283 T179:V182 AS170:AT176">
    <cfRule type="expression" dxfId="1245" priority="1243">
      <formula>$X170:$X541="Penting"</formula>
    </cfRule>
    <cfRule type="expression" dxfId="1244" priority="1244">
      <formula>$R170:$R541=""</formula>
    </cfRule>
    <cfRule type="expression" dxfId="1243" priority="1245">
      <formula>$R170:$R541&lt;=0</formula>
    </cfRule>
    <cfRule type="expression" dxfId="1242" priority="1246">
      <formula>$R170:$R541&lt;4</formula>
    </cfRule>
  </conditionalFormatting>
  <conditionalFormatting sqref="W284:Z284">
    <cfRule type="expression" dxfId="1241" priority="1239">
      <formula>$X284:$X550="Penting"</formula>
    </cfRule>
    <cfRule type="expression" dxfId="1240" priority="1240">
      <formula>$R284:$R550=""</formula>
    </cfRule>
    <cfRule type="expression" dxfId="1239" priority="1241">
      <formula>$R284:$R550&lt;=0</formula>
    </cfRule>
    <cfRule type="expression" dxfId="1238" priority="1242">
      <formula>$R284:$R550&lt;4</formula>
    </cfRule>
  </conditionalFormatting>
  <conditionalFormatting sqref="T283:V283">
    <cfRule type="expression" dxfId="1237" priority="1235">
      <formula>$X283:$X613="Penting"</formula>
    </cfRule>
    <cfRule type="expression" dxfId="1236" priority="1236">
      <formula>$R283:$R613=""</formula>
    </cfRule>
    <cfRule type="expression" dxfId="1235" priority="1237">
      <formula>$R283:$R613&lt;=0</formula>
    </cfRule>
    <cfRule type="expression" dxfId="1234" priority="1238">
      <formula>$R283:$R613&lt;4</formula>
    </cfRule>
  </conditionalFormatting>
  <conditionalFormatting sqref="Y287:Z287">
    <cfRule type="expression" dxfId="1233" priority="1234">
      <formula>$R287:$R618="End"</formula>
    </cfRule>
  </conditionalFormatting>
  <conditionalFormatting sqref="Y287:Z287">
    <cfRule type="expression" dxfId="1232" priority="1233" stopIfTrue="1">
      <formula>$R287:$R618="Cancel"</formula>
    </cfRule>
  </conditionalFormatting>
  <conditionalFormatting sqref="Y287:Z287">
    <cfRule type="expression" dxfId="1231" priority="1229">
      <formula>$X287:$X553="Penting"</formula>
    </cfRule>
    <cfRule type="expression" dxfId="1230" priority="1230">
      <formula>$R287:$R553=""</formula>
    </cfRule>
    <cfRule type="expression" dxfId="1229" priority="1231">
      <formula>$R287:$R553&lt;=0</formula>
    </cfRule>
    <cfRule type="expression" dxfId="1228" priority="1232">
      <formula>$R287:$R553&lt;4</formula>
    </cfRule>
  </conditionalFormatting>
  <conditionalFormatting sqref="C235:D235">
    <cfRule type="expression" dxfId="1227" priority="1228">
      <formula>$R235:$R562="End"</formula>
    </cfRule>
  </conditionalFormatting>
  <conditionalFormatting sqref="C235:D235">
    <cfRule type="expression" dxfId="1226" priority="1227" stopIfTrue="1">
      <formula>$R235:$R562="Cancel"</formula>
    </cfRule>
  </conditionalFormatting>
  <conditionalFormatting sqref="R160">
    <cfRule type="expression" dxfId="1225" priority="1223">
      <formula>$X160:$X470="Penting"</formula>
    </cfRule>
    <cfRule type="expression" dxfId="1224" priority="1224">
      <formula>$R160:$R470=""</formula>
    </cfRule>
    <cfRule type="expression" dxfId="1223" priority="1225">
      <formula>$R160:$R470&lt;=0</formula>
    </cfRule>
    <cfRule type="expression" dxfId="1222" priority="1226">
      <formula>$R160:$R470&lt;4</formula>
    </cfRule>
  </conditionalFormatting>
  <conditionalFormatting sqref="R255 AA271:AC272 AB268:AC270 AA275:AC277 AB273:AC274 AA280:AC281 AB278:AC279 AB282:AC283 AA266:AC267">
    <cfRule type="expression" dxfId="1221" priority="1222">
      <formula>$R255:$R620="End"</formula>
    </cfRule>
  </conditionalFormatting>
  <conditionalFormatting sqref="R255 AA271:AC272 AB268:AC270 AA275:AC277 AB273:AC274 AA280:AC281 AB278:AC279 AB282:AC283 AA266:AC267">
    <cfRule type="expression" dxfId="1220" priority="1221" stopIfTrue="1">
      <formula>$R255:$R620="Cancel"</formula>
    </cfRule>
  </conditionalFormatting>
  <conditionalFormatting sqref="Y255:Z255">
    <cfRule type="expression" dxfId="1219" priority="1217">
      <formula>$X255:$X535="Penting"</formula>
    </cfRule>
    <cfRule type="expression" dxfId="1218" priority="1218">
      <formula>$R255:$R535=""</formula>
    </cfRule>
    <cfRule type="expression" dxfId="1217" priority="1219">
      <formula>$R255:$R535&lt;=0</formula>
    </cfRule>
    <cfRule type="expression" dxfId="1216" priority="1220">
      <formula>$R255:$R535&lt;4</formula>
    </cfRule>
  </conditionalFormatting>
  <conditionalFormatting sqref="Z240">
    <cfRule type="expression" dxfId="1215" priority="1213">
      <formula>$X240:$X520="Penting"</formula>
    </cfRule>
    <cfRule type="expression" dxfId="1214" priority="1214">
      <formula>$R240:$R520=""</formula>
    </cfRule>
    <cfRule type="expression" dxfId="1213" priority="1215">
      <formula>$R240:$R520&lt;=0</formula>
    </cfRule>
    <cfRule type="expression" dxfId="1212" priority="1216">
      <formula>$R240:$R520&lt;4</formula>
    </cfRule>
  </conditionalFormatting>
  <conditionalFormatting sqref="H157:O157">
    <cfRule type="expression" dxfId="1211" priority="1209">
      <formula>$X157:$X468="Penting"</formula>
    </cfRule>
    <cfRule type="expression" dxfId="1210" priority="1210">
      <formula>$R157:$R468=""</formula>
    </cfRule>
    <cfRule type="expression" dxfId="1209" priority="1211">
      <formula>$R157:$R468&lt;=0</formula>
    </cfRule>
    <cfRule type="expression" dxfId="1208" priority="1212">
      <formula>$R157:$R468&lt;4</formula>
    </cfRule>
  </conditionalFormatting>
  <conditionalFormatting sqref="O286:R286">
    <cfRule type="expression" dxfId="1207" priority="1205">
      <formula>$X286:$X540="Penting"</formula>
    </cfRule>
    <cfRule type="expression" dxfId="1206" priority="1206">
      <formula>$R286:$R540=""</formula>
    </cfRule>
    <cfRule type="expression" dxfId="1205" priority="1207">
      <formula>$R286:$R540&lt;=0</formula>
    </cfRule>
    <cfRule type="expression" dxfId="1204" priority="1208">
      <formula>$R286:$R540&lt;4</formula>
    </cfRule>
  </conditionalFormatting>
  <conditionalFormatting sqref="O286:R286">
    <cfRule type="expression" dxfId="1203" priority="1204">
      <formula>$R286:$R605="End"</formula>
    </cfRule>
  </conditionalFormatting>
  <conditionalFormatting sqref="O286:R286">
    <cfRule type="expression" dxfId="1202" priority="1203" stopIfTrue="1">
      <formula>$R286:$R605="Cancel"</formula>
    </cfRule>
  </conditionalFormatting>
  <conditionalFormatting sqref="Q287">
    <cfRule type="expression" dxfId="1201" priority="1199">
      <formula>$X287:$X553="Penting"</formula>
    </cfRule>
    <cfRule type="expression" dxfId="1200" priority="1200">
      <formula>$R287:$R553=""</formula>
    </cfRule>
    <cfRule type="expression" dxfId="1199" priority="1201">
      <formula>$R287:$R553&lt;=0</formula>
    </cfRule>
    <cfRule type="expression" dxfId="1198" priority="1202">
      <formula>$R287:$R553&lt;4</formula>
    </cfRule>
  </conditionalFormatting>
  <conditionalFormatting sqref="P287 P274:P282 P271:P272 P284:P285">
    <cfRule type="expression" dxfId="1197" priority="1198">
      <formula>$R271:$R610="End"</formula>
    </cfRule>
  </conditionalFormatting>
  <conditionalFormatting sqref="P287 P274:P282 P271:P272 P284:P285">
    <cfRule type="expression" dxfId="1196" priority="1197" stopIfTrue="1">
      <formula>$R271:$R610="Cancel"</formula>
    </cfRule>
  </conditionalFormatting>
  <conditionalFormatting sqref="P287">
    <cfRule type="expression" dxfId="1195" priority="1193">
      <formula>$X287:$X544="Penting"</formula>
    </cfRule>
    <cfRule type="expression" dxfId="1194" priority="1194">
      <formula>$R287:$R544=""</formula>
    </cfRule>
    <cfRule type="expression" dxfId="1193" priority="1195">
      <formula>$R287:$R544&lt;=0</formula>
    </cfRule>
    <cfRule type="expression" dxfId="1192" priority="1196">
      <formula>$R287:$R544&lt;4</formula>
    </cfRule>
  </conditionalFormatting>
  <conditionalFormatting sqref="Q287">
    <cfRule type="expression" dxfId="1191" priority="1192">
      <formula>$R287:$R618="End"</formula>
    </cfRule>
  </conditionalFormatting>
  <conditionalFormatting sqref="Q287">
    <cfRule type="expression" dxfId="1190" priority="1191" stopIfTrue="1">
      <formula>$R287:$R618="Cancel"</formula>
    </cfRule>
  </conditionalFormatting>
  <conditionalFormatting sqref="S287:X287">
    <cfRule type="expression" dxfId="1189" priority="1190">
      <formula>$R287:$R618="End"</formula>
    </cfRule>
  </conditionalFormatting>
  <conditionalFormatting sqref="S287:X287">
    <cfRule type="expression" dxfId="1188" priority="1189" stopIfTrue="1">
      <formula>$R287:$R618="Cancel"</formula>
    </cfRule>
  </conditionalFormatting>
  <conditionalFormatting sqref="W287:X287">
    <cfRule type="expression" dxfId="1187" priority="1185">
      <formula>$X287:$X553="Penting"</formula>
    </cfRule>
    <cfRule type="expression" dxfId="1186" priority="1186">
      <formula>$R287:$R553=""</formula>
    </cfRule>
    <cfRule type="expression" dxfId="1185" priority="1187">
      <formula>$R287:$R553&lt;=0</formula>
    </cfRule>
    <cfRule type="expression" dxfId="1184" priority="1188">
      <formula>$R287:$R553&lt;4</formula>
    </cfRule>
  </conditionalFormatting>
  <conditionalFormatting sqref="R287">
    <cfRule type="expression" dxfId="1183" priority="1184">
      <formula>$R287:$R641="End"</formula>
    </cfRule>
  </conditionalFormatting>
  <conditionalFormatting sqref="R287">
    <cfRule type="expression" dxfId="1182" priority="1183" stopIfTrue="1">
      <formula>$R287:$R641="Cancel"</formula>
    </cfRule>
  </conditionalFormatting>
  <conditionalFormatting sqref="R287">
    <cfRule type="expression" dxfId="1181" priority="1179">
      <formula>$X287:$X559="Penting"</formula>
    </cfRule>
    <cfRule type="expression" dxfId="1180" priority="1180">
      <formula>$R287:$R559=""</formula>
    </cfRule>
    <cfRule type="expression" dxfId="1179" priority="1181">
      <formula>$R287:$R559&lt;=0</formula>
    </cfRule>
    <cfRule type="expression" dxfId="1178" priority="1182">
      <formula>$R287:$R559&lt;4</formula>
    </cfRule>
  </conditionalFormatting>
  <conditionalFormatting sqref="P349">
    <cfRule type="expression" dxfId="1177" priority="1178">
      <formula>$R349:$R675="End"</formula>
    </cfRule>
  </conditionalFormatting>
  <conditionalFormatting sqref="P349">
    <cfRule type="expression" dxfId="1176" priority="1177" stopIfTrue="1">
      <formula>$R349:$R675="Cancel"</formula>
    </cfRule>
  </conditionalFormatting>
  <conditionalFormatting sqref="E209:G209">
    <cfRule type="expression" dxfId="1175" priority="1173">
      <formula>$X209:$X479="Penting"</formula>
    </cfRule>
    <cfRule type="expression" dxfId="1174" priority="1174">
      <formula>$R209:$R479=""</formula>
    </cfRule>
    <cfRule type="expression" dxfId="1173" priority="1175">
      <formula>$R209:$R479&lt;=0</formula>
    </cfRule>
    <cfRule type="expression" dxfId="1172" priority="1176">
      <formula>$R209:$R479&lt;4</formula>
    </cfRule>
  </conditionalFormatting>
  <conditionalFormatting sqref="Q253 S253:Z253 B253:O254 AP254:AR254 AD253:AR253">
    <cfRule type="expression" dxfId="1171" priority="1172">
      <formula>$R253:$R599="End"</formula>
    </cfRule>
  </conditionalFormatting>
  <conditionalFormatting sqref="Q253 S253:Z253 B253:O254 AP254:AR254 AD253:AR253">
    <cfRule type="expression" dxfId="1170" priority="1171" stopIfTrue="1">
      <formula>$R253:$R599="Cancel"</formula>
    </cfRule>
  </conditionalFormatting>
  <conditionalFormatting sqref="J350">
    <cfRule type="expression" dxfId="1169" priority="1170">
      <formula>$R350:$R666="End"</formula>
    </cfRule>
  </conditionalFormatting>
  <conditionalFormatting sqref="J350">
    <cfRule type="expression" dxfId="1168" priority="1169" stopIfTrue="1">
      <formula>$R350:$R666="Cancel"</formula>
    </cfRule>
  </conditionalFormatting>
  <conditionalFormatting sqref="J350">
    <cfRule type="expression" dxfId="1167" priority="1165">
      <formula>$X350:$X601="Penting"</formula>
    </cfRule>
    <cfRule type="expression" dxfId="1166" priority="1166">
      <formula>$R350:$R601=""</formula>
    </cfRule>
    <cfRule type="expression" dxfId="1165" priority="1167">
      <formula>$R350:$R601&lt;=0</formula>
    </cfRule>
    <cfRule type="expression" dxfId="1164" priority="1168">
      <formula>$R350:$R601&lt;4</formula>
    </cfRule>
  </conditionalFormatting>
  <conditionalFormatting sqref="O350:R350">
    <cfRule type="expression" dxfId="1163" priority="1164">
      <formula>$R350:$R664="End"</formula>
    </cfRule>
  </conditionalFormatting>
  <conditionalFormatting sqref="O350:R350">
    <cfRule type="expression" dxfId="1162" priority="1163" stopIfTrue="1">
      <formula>$R350:$R664="Cancel"</formula>
    </cfRule>
  </conditionalFormatting>
  <conditionalFormatting sqref="O350:R350">
    <cfRule type="expression" dxfId="1161" priority="1159">
      <formula>$X350:$X599="Penting"</formula>
    </cfRule>
    <cfRule type="expression" dxfId="1160" priority="1160">
      <formula>$R350:$R599=""</formula>
    </cfRule>
    <cfRule type="expression" dxfId="1159" priority="1161">
      <formula>$R350:$R599&lt;=0</formula>
    </cfRule>
    <cfRule type="expression" dxfId="1158" priority="1162">
      <formula>$R350:$R599&lt;4</formula>
    </cfRule>
  </conditionalFormatting>
  <conditionalFormatting sqref="S350:X350">
    <cfRule type="expression" dxfId="1157" priority="1158">
      <formula>$R350:$R666="End"</formula>
    </cfRule>
  </conditionalFormatting>
  <conditionalFormatting sqref="S350:X350">
    <cfRule type="expression" dxfId="1156" priority="1157" stopIfTrue="1">
      <formula>$R350:$R666="Cancel"</formula>
    </cfRule>
  </conditionalFormatting>
  <conditionalFormatting sqref="S350">
    <cfRule type="expression" dxfId="1155" priority="1153">
      <formula>$X350:$X601="Penting"</formula>
    </cfRule>
    <cfRule type="expression" dxfId="1154" priority="1154">
      <formula>$R350:$R601=""</formula>
    </cfRule>
    <cfRule type="expression" dxfId="1153" priority="1155">
      <formula>$R350:$R601&lt;=0</formula>
    </cfRule>
    <cfRule type="expression" dxfId="1152" priority="1156">
      <formula>$R350:$R601&lt;4</formula>
    </cfRule>
  </conditionalFormatting>
  <conditionalFormatting sqref="AA350 AA353:AC357 AB351:AC352 AB360:AC360 AB362:AC369 R277:R279 R281:R282 R284:R285 R274 AA359:AC359 C259:D262 AB358:AC358 P222 C253:D255 AA361:AC361">
    <cfRule type="expression" dxfId="1151" priority="1149">
      <formula>$X222:$X497="Penting"</formula>
    </cfRule>
    <cfRule type="expression" dxfId="1150" priority="1150">
      <formula>$R222:$R497=""</formula>
    </cfRule>
    <cfRule type="expression" dxfId="1149" priority="1151">
      <formula>$R222:$R497&lt;=0</formula>
    </cfRule>
    <cfRule type="expression" dxfId="1148" priority="1152">
      <formula>$R222:$R497&lt;4</formula>
    </cfRule>
  </conditionalFormatting>
  <conditionalFormatting sqref="AA350">
    <cfRule type="expression" dxfId="1147" priority="1148">
      <formula>$R350:$R707="End"</formula>
    </cfRule>
  </conditionalFormatting>
  <conditionalFormatting sqref="AA350">
    <cfRule type="expression" dxfId="1146" priority="1147" stopIfTrue="1">
      <formula>$R350:$R707="Cancel"</formula>
    </cfRule>
  </conditionalFormatting>
  <conditionalFormatting sqref="AB350">
    <cfRule type="expression" dxfId="1145" priority="1143">
      <formula>$X350:$X625="Penting"</formula>
    </cfRule>
    <cfRule type="expression" dxfId="1144" priority="1144">
      <formula>$R350:$R625=""</formula>
    </cfRule>
    <cfRule type="expression" dxfId="1143" priority="1145">
      <formula>$R350:$R625&lt;=0</formula>
    </cfRule>
    <cfRule type="expression" dxfId="1142" priority="1146">
      <formula>$R350:$R625&lt;4</formula>
    </cfRule>
  </conditionalFormatting>
  <conditionalFormatting sqref="AB350">
    <cfRule type="expression" dxfId="1141" priority="1142">
      <formula>$R350:$R707="End"</formula>
    </cfRule>
  </conditionalFormatting>
  <conditionalFormatting sqref="AB350">
    <cfRule type="expression" dxfId="1140" priority="1141" stopIfTrue="1">
      <formula>$R350:$R707="Cancel"</formula>
    </cfRule>
  </conditionalFormatting>
  <conditionalFormatting sqref="Q182 B180:O182 W179:Z181 AD179:AR182 S180 Q181:S181 S182 W182:Y182 B177:O177 Q177 S177 AD177:AM177 W177:Y177 B179:S179 AO177:AR177 AP178:AR178 Q180">
    <cfRule type="expression" dxfId="1139" priority="1137">
      <formula>$X177:$X475="Penting"</formula>
    </cfRule>
    <cfRule type="expression" dxfId="1138" priority="1138">
      <formula>$R177:$R475=""</formula>
    </cfRule>
    <cfRule type="expression" dxfId="1137" priority="1139">
      <formula>$R177:$R475&lt;=0</formula>
    </cfRule>
    <cfRule type="expression" dxfId="1136" priority="1140">
      <formula>$R177:$R475&lt;4</formula>
    </cfRule>
  </conditionalFormatting>
  <conditionalFormatting sqref="T168:X168 C167 S161 R167:X167">
    <cfRule type="expression" dxfId="1135" priority="1136">
      <formula>$R161:$R541="End"</formula>
    </cfRule>
  </conditionalFormatting>
  <conditionalFormatting sqref="T168:X168 C167 S161 R167:X167">
    <cfRule type="expression" dxfId="1134" priority="1135" stopIfTrue="1">
      <formula>$R161:$R541="Cancel"</formula>
    </cfRule>
  </conditionalFormatting>
  <conditionalFormatting sqref="AS204:AT204 T204:V219 S350:S356">
    <cfRule type="expression" dxfId="1133" priority="1131">
      <formula>$X204:$X561="Penting"</formula>
    </cfRule>
    <cfRule type="expression" dxfId="1132" priority="1132">
      <formula>$R204:$R561=""</formula>
    </cfRule>
    <cfRule type="expression" dxfId="1131" priority="1133">
      <formula>$R204:$R561&lt;=0</formula>
    </cfRule>
    <cfRule type="expression" dxfId="1130" priority="1134">
      <formula>$R204:$R561&lt;4</formula>
    </cfRule>
  </conditionalFormatting>
  <conditionalFormatting sqref="S177 S179:S182">
    <cfRule type="expression" dxfId="1129" priority="1127">
      <formula>$X177:$X589="Penting"</formula>
    </cfRule>
    <cfRule type="expression" dxfId="1128" priority="1128">
      <formula>$R177:$R589=""</formula>
    </cfRule>
    <cfRule type="expression" dxfId="1127" priority="1129">
      <formula>$R177:$R589&lt;=0</formula>
    </cfRule>
    <cfRule type="expression" dxfId="1126" priority="1130">
      <formula>$R177:$R589&lt;4</formula>
    </cfRule>
  </conditionalFormatting>
  <conditionalFormatting sqref="L219">
    <cfRule type="expression" dxfId="1125" priority="1123">
      <formula>$X219:$X498="Penting"</formula>
    </cfRule>
    <cfRule type="expression" dxfId="1124" priority="1124">
      <formula>$R219:$R498=""</formula>
    </cfRule>
    <cfRule type="expression" dxfId="1123" priority="1125">
      <formula>$R219:$R498&lt;=0</formula>
    </cfRule>
    <cfRule type="expression" dxfId="1122" priority="1126">
      <formula>$R219:$R498&lt;4</formula>
    </cfRule>
  </conditionalFormatting>
  <conditionalFormatting sqref="L219">
    <cfRule type="expression" dxfId="1121" priority="1122">
      <formula>$R219:$R571="End"</formula>
    </cfRule>
  </conditionalFormatting>
  <conditionalFormatting sqref="L219">
    <cfRule type="expression" dxfId="1120" priority="1121" stopIfTrue="1">
      <formula>$R219:$R571="Cancel"</formula>
    </cfRule>
  </conditionalFormatting>
  <conditionalFormatting sqref="T220:V220">
    <cfRule type="expression" dxfId="1119" priority="1117">
      <formula>$X220:$X577="Penting"</formula>
    </cfRule>
    <cfRule type="expression" dxfId="1118" priority="1118">
      <formula>$R220:$R577=""</formula>
    </cfRule>
    <cfRule type="expression" dxfId="1117" priority="1119">
      <formula>$R220:$R577&lt;=0</formula>
    </cfRule>
    <cfRule type="expression" dxfId="1116" priority="1120">
      <formula>$R220:$R577&lt;4</formula>
    </cfRule>
  </conditionalFormatting>
  <conditionalFormatting sqref="AD220:AO220">
    <cfRule type="expression" dxfId="1115" priority="1113">
      <formula>$X220:$X504="Penting"</formula>
    </cfRule>
    <cfRule type="expression" dxfId="1114" priority="1114">
      <formula>$R220:$R504=""</formula>
    </cfRule>
    <cfRule type="expression" dxfId="1113" priority="1115">
      <formula>$R220:$R504&lt;=0</formula>
    </cfRule>
    <cfRule type="expression" dxfId="1112" priority="1116">
      <formula>$R220:$R504&lt;4</formula>
    </cfRule>
  </conditionalFormatting>
  <conditionalFormatting sqref="AD220:AO220">
    <cfRule type="expression" dxfId="1111" priority="1112">
      <formula>$R220:$R577="End"</formula>
    </cfRule>
  </conditionalFormatting>
  <conditionalFormatting sqref="AD220:AO220">
    <cfRule type="expression" dxfId="1110" priority="1111" stopIfTrue="1">
      <formula>$R220:$R577="Cancel"</formula>
    </cfRule>
  </conditionalFormatting>
  <conditionalFormatting sqref="Y220:Z220">
    <cfRule type="expression" dxfId="1109" priority="1110">
      <formula>$R220:$R578="End"</formula>
    </cfRule>
  </conditionalFormatting>
  <conditionalFormatting sqref="Y220:Z220">
    <cfRule type="expression" dxfId="1108" priority="1109" stopIfTrue="1">
      <formula>$R220:$R578="Cancel"</formula>
    </cfRule>
  </conditionalFormatting>
  <conditionalFormatting sqref="AA220:AC220">
    <cfRule type="expression" dxfId="1107" priority="1108">
      <formula>$R220:$R601="End"</formula>
    </cfRule>
  </conditionalFormatting>
  <conditionalFormatting sqref="AA220:AC220">
    <cfRule type="expression" dxfId="1106" priority="1107" stopIfTrue="1">
      <formula>$R220:$R601="Cancel"</formula>
    </cfRule>
  </conditionalFormatting>
  <conditionalFormatting sqref="AA220:AC220">
    <cfRule type="expression" dxfId="1105" priority="1103">
      <formula>$X220:$X519="Penting"</formula>
    </cfRule>
    <cfRule type="expression" dxfId="1104" priority="1104">
      <formula>$R220:$R519=""</formula>
    </cfRule>
    <cfRule type="expression" dxfId="1103" priority="1105">
      <formula>$R220:$R519&lt;=0</formula>
    </cfRule>
    <cfRule type="expression" dxfId="1102" priority="1106">
      <formula>$R220:$R519&lt;4</formula>
    </cfRule>
  </conditionalFormatting>
  <conditionalFormatting sqref="Z175 AS382:AT388 Z168:Z169 AA147:AC175 A147:A190 P136:P141 R139:R140 R135 H136 Y139 Y141 Y137 Y140:Z140 Z164 R137">
    <cfRule type="expression" dxfId="1101" priority="1099">
      <formula>$X135:$X443="Penting"</formula>
    </cfRule>
    <cfRule type="expression" dxfId="1100" priority="1100">
      <formula>$R135:$R443=""</formula>
    </cfRule>
    <cfRule type="expression" dxfId="1099" priority="1101">
      <formula>$R135:$R443&lt;=0</formula>
    </cfRule>
    <cfRule type="expression" dxfId="1098" priority="1102">
      <formula>$R135:$R443&lt;4</formula>
    </cfRule>
  </conditionalFormatting>
  <conditionalFormatting sqref="K154">
    <cfRule type="expression" dxfId="1097" priority="1098">
      <formula>$R154:$R539="End"</formula>
    </cfRule>
  </conditionalFormatting>
  <conditionalFormatting sqref="K154">
    <cfRule type="expression" dxfId="1096" priority="1097" stopIfTrue="1">
      <formula>$R154:$R539="Cancel"</formula>
    </cfRule>
  </conditionalFormatting>
  <conditionalFormatting sqref="AD175:AR175">
    <cfRule type="expression" dxfId="1095" priority="1093">
      <formula>$X175:$X474="Penting"</formula>
    </cfRule>
    <cfRule type="expression" dxfId="1094" priority="1094">
      <formula>$R175:$R474=""</formula>
    </cfRule>
    <cfRule type="expression" dxfId="1093" priority="1095">
      <formula>$R175:$R474&lt;=0</formula>
    </cfRule>
    <cfRule type="expression" dxfId="1092" priority="1096">
      <formula>$R175:$R474&lt;4</formula>
    </cfRule>
  </conditionalFormatting>
  <conditionalFormatting sqref="Z175 Z168:Z169 Z164 AA147:AC175 A147:A190 I141:Q141 R135 B141:G141 B136:Z136 S141:Y141 B138:Z138 B140:Z140 B137:Y137 AD138:AR138 AD137:AM137 AO137:AR137 AD140:AR140 AD139:AM139 AO139:AR139 AD141:AM141 AO141:AR141 AD136:AR136 B139:Y139">
    <cfRule type="expression" dxfId="1091" priority="1092">
      <formula>$R135:$R525="End"</formula>
    </cfRule>
  </conditionalFormatting>
  <conditionalFormatting sqref="Z175 Z168:Z169 Z164 AA147:AC175 A147:A190 I141:Q141 R135 B141:G141 B136:Z136 S141:Y141 B138:Z138 B140:Z140 B137:Y137 AD138:AR138 AD137:AM137 AO137:AR137 AD140:AR140 AD139:AM139 AO139:AR139 AD141:AM141 AO141:AR141 AD136:AR136 B139:Y139">
    <cfRule type="expression" dxfId="1090" priority="1091" stopIfTrue="1">
      <formula>$R135:$R525="Cancel"</formula>
    </cfRule>
  </conditionalFormatting>
  <conditionalFormatting sqref="AD176:AM176 AE170:AR174 Q170:Z174 Q175:Q176 B170:O176 S175:Y176 AO176:AR176 AD175:AR175 K169 AB255:AC255">
    <cfRule type="expression" dxfId="1089" priority="1090">
      <formula>$R169:$R541="End"</formula>
    </cfRule>
  </conditionalFormatting>
  <conditionalFormatting sqref="AD176:AM176 AE170:AR174 Q170:Z174 Q175:Q176 B170:O176 S175:Y176 AO176:AR176 AD175:AR175 K169 AB255:AC255">
    <cfRule type="expression" dxfId="1088" priority="1089" stopIfTrue="1">
      <formula>$R169:$R541="Cancel"</formula>
    </cfRule>
  </conditionalFormatting>
  <conditionalFormatting sqref="Z176:AC176">
    <cfRule type="expression" dxfId="1087" priority="1085">
      <formula>$X176:$X484="Penting"</formula>
    </cfRule>
    <cfRule type="expression" dxfId="1086" priority="1086">
      <formula>$R176:$R484=""</formula>
    </cfRule>
    <cfRule type="expression" dxfId="1085" priority="1087">
      <formula>$R176:$R484&lt;=0</formula>
    </cfRule>
    <cfRule type="expression" dxfId="1084" priority="1088">
      <formula>$R176:$R484&lt;4</formula>
    </cfRule>
  </conditionalFormatting>
  <conditionalFormatting sqref="AS169:AT169 T170:V176 S271:S282 S284:S287">
    <cfRule type="expression" dxfId="1083" priority="1081">
      <formula>$X169:$X541="Penting"</formula>
    </cfRule>
    <cfRule type="expression" dxfId="1082" priority="1082">
      <formula>$R169:$R541=""</formula>
    </cfRule>
    <cfRule type="expression" dxfId="1081" priority="1083">
      <formula>$R169:$R541&lt;=0</formula>
    </cfRule>
    <cfRule type="expression" dxfId="1080" priority="1084">
      <formula>$R169:$R541&lt;4</formula>
    </cfRule>
  </conditionalFormatting>
  <conditionalFormatting sqref="AD176:AM176">
    <cfRule type="expression" dxfId="1079" priority="1077">
      <formula>$X176:$X475="Penting"</formula>
    </cfRule>
    <cfRule type="expression" dxfId="1078" priority="1078">
      <formula>$R176:$R475=""</formula>
    </cfRule>
    <cfRule type="expression" dxfId="1077" priority="1079">
      <formula>$R176:$R475&lt;=0</formula>
    </cfRule>
    <cfRule type="expression" dxfId="1076" priority="1080">
      <formula>$R176:$R475&lt;4</formula>
    </cfRule>
  </conditionalFormatting>
  <conditionalFormatting sqref="Z176:AC176">
    <cfRule type="expression" dxfId="1075" priority="1076">
      <formula>$R176:$R566="End"</formula>
    </cfRule>
  </conditionalFormatting>
  <conditionalFormatting sqref="Z176:AC176">
    <cfRule type="expression" dxfId="1074" priority="1075" stopIfTrue="1">
      <formula>$R176:$R566="Cancel"</formula>
    </cfRule>
  </conditionalFormatting>
  <conditionalFormatting sqref="B185:O185 AA193:AA194 L186:O190 S184:S185 W187:Z189 W184:X184 W186:Y186 AD185:AM186 AO185:AR186 Q185 AA178:AC178 W185:Z185 B186:J190 AD187:AR189 AE190:AR190">
    <cfRule type="expression" dxfId="1073" priority="1071">
      <formula>$X178:$X474="Penting"</formula>
    </cfRule>
    <cfRule type="expression" dxfId="1072" priority="1072">
      <formula>$R178:$R474=""</formula>
    </cfRule>
    <cfRule type="expression" dxfId="1071" priority="1073">
      <formula>$R178:$R474&lt;=0</formula>
    </cfRule>
    <cfRule type="expression" dxfId="1070" priority="1074">
      <formula>$R178:$R474&lt;4</formula>
    </cfRule>
  </conditionalFormatting>
  <conditionalFormatting sqref="F178:O178">
    <cfRule type="expression" dxfId="1069" priority="1070">
      <formula>$R178:$R528="End"</formula>
    </cfRule>
  </conditionalFormatting>
  <conditionalFormatting sqref="F178:O178">
    <cfRule type="expression" dxfId="1068" priority="1069" stopIfTrue="1">
      <formula>$R178:$R528="Cancel"</formula>
    </cfRule>
  </conditionalFormatting>
  <conditionalFormatting sqref="S255:X255">
    <cfRule type="expression" dxfId="1067" priority="1068">
      <formula>$R255:$R598="End"</formula>
    </cfRule>
  </conditionalFormatting>
  <conditionalFormatting sqref="S255:X255">
    <cfRule type="expression" dxfId="1066" priority="1067" stopIfTrue="1">
      <formula>$R255:$R598="Cancel"</formula>
    </cfRule>
  </conditionalFormatting>
  <conditionalFormatting sqref="P177">
    <cfRule type="expression" dxfId="1065" priority="1063">
      <formula>$X177:$X471="Penting"</formula>
    </cfRule>
    <cfRule type="expression" dxfId="1064" priority="1064">
      <formula>$R177:$R471=""</formula>
    </cfRule>
    <cfRule type="expression" dxfId="1063" priority="1065">
      <formula>$R177:$R471&lt;=0</formula>
    </cfRule>
    <cfRule type="expression" dxfId="1062" priority="1066">
      <formula>$R177:$R471&lt;4</formula>
    </cfRule>
  </conditionalFormatting>
  <conditionalFormatting sqref="T177:V177">
    <cfRule type="expression" dxfId="1061" priority="1059">
      <formula>$X177:$X548="Penting"</formula>
    </cfRule>
    <cfRule type="expression" dxfId="1060" priority="1060">
      <formula>$R177:$R548=""</formula>
    </cfRule>
    <cfRule type="expression" dxfId="1059" priority="1061">
      <formula>$R177:$R548&lt;=0</formula>
    </cfRule>
    <cfRule type="expression" dxfId="1058" priority="1062">
      <formula>$R177:$R548&lt;4</formula>
    </cfRule>
  </conditionalFormatting>
  <conditionalFormatting sqref="T264:V264">
    <cfRule type="expression" dxfId="1057" priority="1055">
      <formula>$X264:$X601="Penting"</formula>
    </cfRule>
    <cfRule type="expression" dxfId="1056" priority="1056">
      <formula>$R264:$R601=""</formula>
    </cfRule>
    <cfRule type="expression" dxfId="1055" priority="1057">
      <formula>$R264:$R601&lt;=0</formula>
    </cfRule>
    <cfRule type="expression" dxfId="1054" priority="1058">
      <formula>$R264:$R601&lt;4</formula>
    </cfRule>
  </conditionalFormatting>
  <conditionalFormatting sqref="W259:X259">
    <cfRule type="expression" dxfId="1053" priority="1051">
      <formula>$X259:$X537="Penting"</formula>
    </cfRule>
    <cfRule type="expression" dxfId="1052" priority="1052">
      <formula>$R259:$R537=""</formula>
    </cfRule>
    <cfRule type="expression" dxfId="1051" priority="1053">
      <formula>$R259:$R537&lt;=0</formula>
    </cfRule>
    <cfRule type="expression" dxfId="1050" priority="1054">
      <formula>$R259:$R537&lt;4</formula>
    </cfRule>
  </conditionalFormatting>
  <conditionalFormatting sqref="T259:X259">
    <cfRule type="expression" dxfId="1049" priority="1050">
      <formula>$R259:$R602="End"</formula>
    </cfRule>
  </conditionalFormatting>
  <conditionalFormatting sqref="T259:X259">
    <cfRule type="expression" dxfId="1048" priority="1049" stopIfTrue="1">
      <formula>$R259:$R602="Cancel"</formula>
    </cfRule>
  </conditionalFormatting>
  <conditionalFormatting sqref="R259">
    <cfRule type="expression" dxfId="1047" priority="1045">
      <formula>$X259:$X541="Penting"</formula>
    </cfRule>
    <cfRule type="expression" dxfId="1046" priority="1046">
      <formula>$R259:$R541=""</formula>
    </cfRule>
    <cfRule type="expression" dxfId="1045" priority="1047">
      <formula>$R259:$R541&lt;=0</formula>
    </cfRule>
    <cfRule type="expression" dxfId="1044" priority="1048">
      <formula>$R259:$R541&lt;4</formula>
    </cfRule>
  </conditionalFormatting>
  <conditionalFormatting sqref="P259">
    <cfRule type="expression" dxfId="1043" priority="1044">
      <formula>$R259:$R607="End"</formula>
    </cfRule>
  </conditionalFormatting>
  <conditionalFormatting sqref="P259">
    <cfRule type="expression" dxfId="1042" priority="1043" stopIfTrue="1">
      <formula>$R259:$R607="Cancel"</formula>
    </cfRule>
  </conditionalFormatting>
  <conditionalFormatting sqref="P259">
    <cfRule type="expression" dxfId="1041" priority="1039">
      <formula>$X259:$X525="Penting"</formula>
    </cfRule>
    <cfRule type="expression" dxfId="1040" priority="1040">
      <formula>$R259:$R525=""</formula>
    </cfRule>
    <cfRule type="expression" dxfId="1039" priority="1041">
      <formula>$R259:$R525&lt;=0</formula>
    </cfRule>
    <cfRule type="expression" dxfId="1038" priority="1042">
      <formula>$R259:$R525&lt;4</formula>
    </cfRule>
  </conditionalFormatting>
  <conditionalFormatting sqref="R259">
    <cfRule type="expression" dxfId="1037" priority="1038">
      <formula>$R259:$R623="End"</formula>
    </cfRule>
  </conditionalFormatting>
  <conditionalFormatting sqref="R259">
    <cfRule type="expression" dxfId="1036" priority="1037" stopIfTrue="1">
      <formula>$R259:$R623="Cancel"</formula>
    </cfRule>
  </conditionalFormatting>
  <conditionalFormatting sqref="S259">
    <cfRule type="expression" dxfId="1035" priority="1033">
      <formula>$X259:$X537="Penting"</formula>
    </cfRule>
    <cfRule type="expression" dxfId="1034" priority="1034">
      <formula>$R259:$R537=""</formula>
    </cfRule>
    <cfRule type="expression" dxfId="1033" priority="1035">
      <formula>$R259:$R537&lt;=0</formula>
    </cfRule>
    <cfRule type="expression" dxfId="1032" priority="1036">
      <formula>$R259:$R537&lt;4</formula>
    </cfRule>
  </conditionalFormatting>
  <conditionalFormatting sqref="Q259">
    <cfRule type="expression" dxfId="1031" priority="1032">
      <formula>$R259:$R602="End"</formula>
    </cfRule>
  </conditionalFormatting>
  <conditionalFormatting sqref="Q259">
    <cfRule type="expression" dxfId="1030" priority="1031" stopIfTrue="1">
      <formula>$R259:$R602="Cancel"</formula>
    </cfRule>
  </conditionalFormatting>
  <conditionalFormatting sqref="P157">
    <cfRule type="expression" dxfId="1029" priority="1027">
      <formula>$X157:$X460="Penting"</formula>
    </cfRule>
    <cfRule type="expression" dxfId="1028" priority="1028">
      <formula>$R157:$R460=""</formula>
    </cfRule>
    <cfRule type="expression" dxfId="1027" priority="1029">
      <formula>$R157:$R460&lt;=0</formula>
    </cfRule>
    <cfRule type="expression" dxfId="1026" priority="1030">
      <formula>$R157:$R460&lt;4</formula>
    </cfRule>
  </conditionalFormatting>
  <conditionalFormatting sqref="Y184:Z184 Q183:Q184 B183:O184 AD183:AM184 AO183:AR184">
    <cfRule type="expression" dxfId="1025" priority="1026">
      <formula>$R183:$R553="End"</formula>
    </cfRule>
  </conditionalFormatting>
  <conditionalFormatting sqref="Y184:Z184 Q183:Q184 B183:O184 AD183:AM184 AO183:AR184">
    <cfRule type="expression" dxfId="1024" priority="1025" stopIfTrue="1">
      <formula>$R183:$R553="Cancel"</formula>
    </cfRule>
  </conditionalFormatting>
  <conditionalFormatting sqref="AD195:AN195 AA284:AA287 AP193:AR195 L193:N195 AD193:AE194 T193:W193 T194:X194 K186:K190 Q186:Q189 L191:O192 T191:Z192 AD191:AR192 B191:J194 B195:F195 S186:S190">
    <cfRule type="expression" dxfId="1023" priority="1024">
      <formula>$R186:$R554="End"</formula>
    </cfRule>
  </conditionalFormatting>
  <conditionalFormatting sqref="AD195:AN195 AA284:AA287 AP193:AR195 L193:N195 AD193:AE194 T193:W193 T194:X194 K186:K190 Q186:Q189 L191:O192 T191:Z192 AD191:AR192 B191:J194 B195:F195 S186:S190">
    <cfRule type="expression" dxfId="1022" priority="1023" stopIfTrue="1">
      <formula>$R186:$R554="Cancel"</formula>
    </cfRule>
  </conditionalFormatting>
  <conditionalFormatting sqref="T299:V299">
    <cfRule type="expression" dxfId="1021" priority="1019">
      <formula>$X299:$X625="Penting"</formula>
    </cfRule>
    <cfRule type="expression" dxfId="1020" priority="1020">
      <formula>$R299:$R625=""</formula>
    </cfRule>
    <cfRule type="expression" dxfId="1019" priority="1021">
      <formula>$R299:$R625&lt;=0</formula>
    </cfRule>
    <cfRule type="expression" dxfId="1018" priority="1022">
      <formula>$R299:$R625&lt;4</formula>
    </cfRule>
  </conditionalFormatting>
  <conditionalFormatting sqref="S299">
    <cfRule type="expression" dxfId="1017" priority="1015">
      <formula>$X299:$X666="Penting"</formula>
    </cfRule>
    <cfRule type="expression" dxfId="1016" priority="1016">
      <formula>$R299:$R666=""</formula>
    </cfRule>
    <cfRule type="expression" dxfId="1015" priority="1017">
      <formula>$R299:$R666&lt;=0</formula>
    </cfRule>
    <cfRule type="expression" dxfId="1014" priority="1018">
      <formula>$R299:$R666&lt;4</formula>
    </cfRule>
  </conditionalFormatting>
  <conditionalFormatting sqref="S299">
    <cfRule type="expression" dxfId="1013" priority="1011">
      <formula>$X299:$X560="Penting"</formula>
    </cfRule>
    <cfRule type="expression" dxfId="1012" priority="1012">
      <formula>$R299:$R560=""</formula>
    </cfRule>
    <cfRule type="expression" dxfId="1011" priority="1013">
      <formula>$R299:$R560&lt;=0</formula>
    </cfRule>
    <cfRule type="expression" dxfId="1010" priority="1014">
      <formula>$R299:$R560&lt;4</formula>
    </cfRule>
  </conditionalFormatting>
  <conditionalFormatting sqref="S299:X299">
    <cfRule type="expression" dxfId="1009" priority="1010">
      <formula>$R299:$R625="End"</formula>
    </cfRule>
  </conditionalFormatting>
  <conditionalFormatting sqref="S299:X299">
    <cfRule type="expression" dxfId="1008" priority="1009" stopIfTrue="1">
      <formula>$R299:$R625="Cancel"</formula>
    </cfRule>
  </conditionalFormatting>
  <conditionalFormatting sqref="R299">
    <cfRule type="expression" dxfId="1007" priority="1008">
      <formula>$R299:$R652="End"</formula>
    </cfRule>
  </conditionalFormatting>
  <conditionalFormatting sqref="R299">
    <cfRule type="expression" dxfId="1006" priority="1007" stopIfTrue="1">
      <formula>$R299:$R652="Cancel"</formula>
    </cfRule>
  </conditionalFormatting>
  <conditionalFormatting sqref="Y209 AF193:AO194 O194:O195 AO195 N235:O235 N245:O245 O193:S193 P266:P267 X193:Z193 Y194:Z194">
    <cfRule type="expression" dxfId="1005" priority="1006">
      <formula>$R193:$R535="End"</formula>
    </cfRule>
  </conditionalFormatting>
  <conditionalFormatting sqref="Y209 AF193:AO194 O194:O195 AO195 N235:O235 N245:O245 O193:S193 P266:P267 X193:Z193 Y194:Z194">
    <cfRule type="expression" dxfId="1004" priority="1005" stopIfTrue="1">
      <formula>$R193:$R535="Cancel"</formula>
    </cfRule>
  </conditionalFormatting>
  <conditionalFormatting sqref="AA255 R203:R210 R212:R220 R200:R201 P185:P190">
    <cfRule type="expression" dxfId="1003" priority="1004">
      <formula>$R185:$R559="End"</formula>
    </cfRule>
  </conditionalFormatting>
  <conditionalFormatting sqref="AA255 R203:R210 R212:R220 R200:R201 P185:P190">
    <cfRule type="expression" dxfId="1002" priority="1003" stopIfTrue="1">
      <formula>$R185:$R559="Cancel"</formula>
    </cfRule>
  </conditionalFormatting>
  <conditionalFormatting sqref="S260">
    <cfRule type="expression" dxfId="1001" priority="1002">
      <formula>$R260:$R603="End"</formula>
    </cfRule>
  </conditionalFormatting>
  <conditionalFormatting sqref="S260">
    <cfRule type="expression" dxfId="1000" priority="1001" stopIfTrue="1">
      <formula>$R260:$R603="Cancel"</formula>
    </cfRule>
  </conditionalFormatting>
  <conditionalFormatting sqref="Q260">
    <cfRule type="expression" dxfId="999" priority="997">
      <formula>$X260:$X538="Penting"</formula>
    </cfRule>
    <cfRule type="expression" dxfId="998" priority="998">
      <formula>$R260:$R538=""</formula>
    </cfRule>
    <cfRule type="expression" dxfId="997" priority="999">
      <formula>$R260:$R538&lt;=0</formula>
    </cfRule>
    <cfRule type="expression" dxfId="996" priority="1000">
      <formula>$R260:$R538&lt;4</formula>
    </cfRule>
  </conditionalFormatting>
  <conditionalFormatting sqref="W260:X260">
    <cfRule type="expression" dxfId="995" priority="993">
      <formula>$X260:$X538="Penting"</formula>
    </cfRule>
    <cfRule type="expression" dxfId="994" priority="994">
      <formula>$R260:$R538=""</formula>
    </cfRule>
    <cfRule type="expression" dxfId="993" priority="995">
      <formula>$R260:$R538&lt;=0</formula>
    </cfRule>
    <cfRule type="expression" dxfId="992" priority="996">
      <formula>$R260:$R538&lt;4</formula>
    </cfRule>
  </conditionalFormatting>
  <conditionalFormatting sqref="T260:X260">
    <cfRule type="expression" dxfId="991" priority="992">
      <formula>$R260:$R603="End"</formula>
    </cfRule>
  </conditionalFormatting>
  <conditionalFormatting sqref="T260:X260">
    <cfRule type="expression" dxfId="990" priority="991" stopIfTrue="1">
      <formula>$R260:$R603="Cancel"</formula>
    </cfRule>
  </conditionalFormatting>
  <conditionalFormatting sqref="R260">
    <cfRule type="expression" dxfId="989" priority="987">
      <formula>$X260:$X542="Penting"</formula>
    </cfRule>
    <cfRule type="expression" dxfId="988" priority="988">
      <formula>$R260:$R542=""</formula>
    </cfRule>
    <cfRule type="expression" dxfId="987" priority="989">
      <formula>$R260:$R542&lt;=0</formula>
    </cfRule>
    <cfRule type="expression" dxfId="986" priority="990">
      <formula>$R260:$R542&lt;4</formula>
    </cfRule>
  </conditionalFormatting>
  <conditionalFormatting sqref="P260">
    <cfRule type="expression" dxfId="985" priority="986">
      <formula>$R260:$R608="End"</formula>
    </cfRule>
  </conditionalFormatting>
  <conditionalFormatting sqref="P260">
    <cfRule type="expression" dxfId="984" priority="985" stopIfTrue="1">
      <formula>$R260:$R608="Cancel"</formula>
    </cfRule>
  </conditionalFormatting>
  <conditionalFormatting sqref="P260">
    <cfRule type="expression" dxfId="983" priority="981">
      <formula>$X260:$X526="Penting"</formula>
    </cfRule>
    <cfRule type="expression" dxfId="982" priority="982">
      <formula>$R260:$R526=""</formula>
    </cfRule>
    <cfRule type="expression" dxfId="981" priority="983">
      <formula>$R260:$R526&lt;=0</formula>
    </cfRule>
    <cfRule type="expression" dxfId="980" priority="984">
      <formula>$R260:$R526&lt;4</formula>
    </cfRule>
  </conditionalFormatting>
  <conditionalFormatting sqref="R260">
    <cfRule type="expression" dxfId="979" priority="980">
      <formula>$R260:$R624="End"</formula>
    </cfRule>
  </conditionalFormatting>
  <conditionalFormatting sqref="R260">
    <cfRule type="expression" dxfId="978" priority="979" stopIfTrue="1">
      <formula>$R260:$R624="Cancel"</formula>
    </cfRule>
  </conditionalFormatting>
  <conditionalFormatting sqref="S260">
    <cfRule type="expression" dxfId="977" priority="975">
      <formula>$X260:$X538="Penting"</formula>
    </cfRule>
    <cfRule type="expression" dxfId="976" priority="976">
      <formula>$R260:$R538=""</formula>
    </cfRule>
    <cfRule type="expression" dxfId="975" priority="977">
      <formula>$R260:$R538&lt;=0</formula>
    </cfRule>
    <cfRule type="expression" dxfId="974" priority="978">
      <formula>$R260:$R538&lt;4</formula>
    </cfRule>
  </conditionalFormatting>
  <conditionalFormatting sqref="Q260">
    <cfRule type="expression" dxfId="973" priority="974">
      <formula>$R260:$R603="End"</formula>
    </cfRule>
  </conditionalFormatting>
  <conditionalFormatting sqref="Q260">
    <cfRule type="expression" dxfId="972" priority="973" stopIfTrue="1">
      <formula>$R260:$R603="Cancel"</formula>
    </cfRule>
  </conditionalFormatting>
  <conditionalFormatting sqref="Y168">
    <cfRule type="expression" dxfId="971" priority="969">
      <formula>$X168:$X474="Penting"</formula>
    </cfRule>
    <cfRule type="expression" dxfId="970" priority="970">
      <formula>$R168:$R474=""</formula>
    </cfRule>
    <cfRule type="expression" dxfId="969" priority="971">
      <formula>$R168:$R474&lt;=0</formula>
    </cfRule>
    <cfRule type="expression" dxfId="968" priority="972">
      <formula>$R168:$R474&lt;4</formula>
    </cfRule>
  </conditionalFormatting>
  <conditionalFormatting sqref="B157:F157 R182:R183 P158:P166 S157:Z157 AD157:AM157 Q157 H157:O157 R177 R180 AO157:AR157">
    <cfRule type="expression" dxfId="967" priority="968">
      <formula>$R157:$R541="End"</formula>
    </cfRule>
  </conditionalFormatting>
  <conditionalFormatting sqref="B157:F157 R182:R183 P158:P166 S157:Z157 AD157:AM157 Q157 H157:O157 R177 R180 AO157:AR157">
    <cfRule type="expression" dxfId="966" priority="967" stopIfTrue="1">
      <formula>$R157:$R541="Cancel"</formula>
    </cfRule>
  </conditionalFormatting>
  <conditionalFormatting sqref="AA178:AC178 AA193:AA194">
    <cfRule type="expression" dxfId="965" priority="966">
      <formula>$R178:$R556="End"</formula>
    </cfRule>
  </conditionalFormatting>
  <conditionalFormatting sqref="AA178:AC178 AA193:AA194">
    <cfRule type="expression" dxfId="964" priority="965" stopIfTrue="1">
      <formula>$R178:$R556="Cancel"</formula>
    </cfRule>
  </conditionalFormatting>
  <conditionalFormatting sqref="S178">
    <cfRule type="expression" dxfId="963" priority="961">
      <formula>$X178:$X545="Penting"</formula>
    </cfRule>
    <cfRule type="expression" dxfId="962" priority="962">
      <formula>$R178:$R545=""</formula>
    </cfRule>
    <cfRule type="expression" dxfId="961" priority="963">
      <formula>$R178:$R545&lt;=0</formula>
    </cfRule>
    <cfRule type="expression" dxfId="960" priority="964">
      <formula>$R178:$R545&lt;4</formula>
    </cfRule>
  </conditionalFormatting>
  <conditionalFormatting sqref="K195">
    <cfRule type="expression" dxfId="959" priority="957">
      <formula>$X195:$X489="Penting"</formula>
    </cfRule>
    <cfRule type="expression" dxfId="958" priority="958">
      <formula>$R195:$R489=""</formula>
    </cfRule>
    <cfRule type="expression" dxfId="957" priority="959">
      <formula>$R195:$R489&lt;=0</formula>
    </cfRule>
    <cfRule type="expression" dxfId="956" priority="960">
      <formula>$R195:$R489&lt;4</formula>
    </cfRule>
  </conditionalFormatting>
  <conditionalFormatting sqref="K195">
    <cfRule type="expression" dxfId="955" priority="956">
      <formula>$R195:$R562="End"</formula>
    </cfRule>
  </conditionalFormatting>
  <conditionalFormatting sqref="K195">
    <cfRule type="expression" dxfId="954" priority="955" stopIfTrue="1">
      <formula>$R195:$R562="Cancel"</formula>
    </cfRule>
  </conditionalFormatting>
  <conditionalFormatting sqref="G195:J195">
    <cfRule type="expression" dxfId="953" priority="954">
      <formula>$R195:$R563="End"</formula>
    </cfRule>
  </conditionalFormatting>
  <conditionalFormatting sqref="G195:J195">
    <cfRule type="expression" dxfId="952" priority="953" stopIfTrue="1">
      <formula>$R195:$R563="Cancel"</formula>
    </cfRule>
  </conditionalFormatting>
  <conditionalFormatting sqref="G195:J195">
    <cfRule type="expression" dxfId="951" priority="949">
      <formula>$X195:$X490="Penting"</formula>
    </cfRule>
    <cfRule type="expression" dxfId="950" priority="950">
      <formula>$R195:$R490=""</formula>
    </cfRule>
    <cfRule type="expression" dxfId="949" priority="951">
      <formula>$R195:$R490&lt;=0</formula>
    </cfRule>
    <cfRule type="expression" dxfId="948" priority="952">
      <formula>$R195:$R490&lt;4</formula>
    </cfRule>
  </conditionalFormatting>
  <conditionalFormatting sqref="Q195">
    <cfRule type="expression" dxfId="947" priority="945">
      <formula>$X195:$X489="Penting"</formula>
    </cfRule>
    <cfRule type="expression" dxfId="946" priority="946">
      <formula>$R195:$R489=""</formula>
    </cfRule>
    <cfRule type="expression" dxfId="945" priority="947">
      <formula>$R195:$R489&lt;=0</formula>
    </cfRule>
    <cfRule type="expression" dxfId="944" priority="948">
      <formula>$R195:$R489&lt;4</formula>
    </cfRule>
  </conditionalFormatting>
  <conditionalFormatting sqref="R195">
    <cfRule type="expression" dxfId="943" priority="944">
      <formula>$R195:$R577="End"</formula>
    </cfRule>
  </conditionalFormatting>
  <conditionalFormatting sqref="R195">
    <cfRule type="expression" dxfId="942" priority="943" stopIfTrue="1">
      <formula>$R195:$R577="Cancel"</formula>
    </cfRule>
  </conditionalFormatting>
  <conditionalFormatting sqref="AA195:AC195">
    <cfRule type="expression" dxfId="941" priority="939">
      <formula>$X195:$X501="Penting"</formula>
    </cfRule>
    <cfRule type="expression" dxfId="940" priority="940">
      <formula>$R195:$R501=""</formula>
    </cfRule>
    <cfRule type="expression" dxfId="939" priority="941">
      <formula>$R195:$R501&lt;=0</formula>
    </cfRule>
    <cfRule type="expression" dxfId="938" priority="942">
      <formula>$R195:$R501&lt;4</formula>
    </cfRule>
  </conditionalFormatting>
  <conditionalFormatting sqref="Q195">
    <cfRule type="expression" dxfId="937" priority="938">
      <formula>$R195:$R562="End"</formula>
    </cfRule>
  </conditionalFormatting>
  <conditionalFormatting sqref="Q195">
    <cfRule type="expression" dxfId="936" priority="937" stopIfTrue="1">
      <formula>$R195:$R562="Cancel"</formula>
    </cfRule>
  </conditionalFormatting>
  <conditionalFormatting sqref="T195:Z195">
    <cfRule type="expression" dxfId="935" priority="936">
      <formula>$R195:$R563="End"</formula>
    </cfRule>
  </conditionalFormatting>
  <conditionalFormatting sqref="T195:Z195">
    <cfRule type="expression" dxfId="934" priority="935" stopIfTrue="1">
      <formula>$R195:$R563="Cancel"</formula>
    </cfRule>
  </conditionalFormatting>
  <conditionalFormatting sqref="S195">
    <cfRule type="expression" dxfId="933" priority="931">
      <formula>$X195:$X603="Penting"</formula>
    </cfRule>
    <cfRule type="expression" dxfId="932" priority="932">
      <formula>$R195:$R603=""</formula>
    </cfRule>
    <cfRule type="expression" dxfId="931" priority="933">
      <formula>$R195:$R603&lt;=0</formula>
    </cfRule>
    <cfRule type="expression" dxfId="930" priority="934">
      <formula>$R195:$R603&lt;4</formula>
    </cfRule>
  </conditionalFormatting>
  <conditionalFormatting sqref="W195:Z195">
    <cfRule type="expression" dxfId="929" priority="927">
      <formula>$X195:$X490="Penting"</formula>
    </cfRule>
    <cfRule type="expression" dxfId="928" priority="928">
      <formula>$R195:$R490=""</formula>
    </cfRule>
    <cfRule type="expression" dxfId="927" priority="929">
      <formula>$R195:$R490&lt;=0</formula>
    </cfRule>
    <cfRule type="expression" dxfId="926" priority="930">
      <formula>$R195:$R490&lt;4</formula>
    </cfRule>
  </conditionalFormatting>
  <conditionalFormatting sqref="AA195:AC195 R150:R152 R154:R156 AA191:AC192 A255:A372 R147:R148">
    <cfRule type="expression" dxfId="925" priority="926">
      <formula>$R147:$R535="End"</formula>
    </cfRule>
  </conditionalFormatting>
  <conditionalFormatting sqref="AA195:AC195 R150:R152 R154:R156 AA191:AC192 A255:A372 R147:R148">
    <cfRule type="expression" dxfId="924" priority="925" stopIfTrue="1">
      <formula>$R147:$R535="Cancel"</formula>
    </cfRule>
  </conditionalFormatting>
  <conditionalFormatting sqref="Y240">
    <cfRule type="expression" dxfId="923" priority="924">
      <formula>$R240:$R590="End"</formula>
    </cfRule>
  </conditionalFormatting>
  <conditionalFormatting sqref="Y240">
    <cfRule type="expression" dxfId="922" priority="923" stopIfTrue="1">
      <formula>$R240:$R590="Cancel"</formula>
    </cfRule>
  </conditionalFormatting>
  <conditionalFormatting sqref="Y240">
    <cfRule type="expression" dxfId="921" priority="919">
      <formula>$X240:$X517="Penting"</formula>
    </cfRule>
    <cfRule type="expression" dxfId="920" priority="920">
      <formula>$R240:$R517=""</formula>
    </cfRule>
    <cfRule type="expression" dxfId="919" priority="921">
      <formula>$R240:$R517&lt;=0</formula>
    </cfRule>
    <cfRule type="expression" dxfId="918" priority="922">
      <formula>$R240:$R517&lt;4</formula>
    </cfRule>
  </conditionalFormatting>
  <conditionalFormatting sqref="Y226">
    <cfRule type="expression" dxfId="917" priority="915">
      <formula>$X226:$X500="Penting"</formula>
    </cfRule>
    <cfRule type="expression" dxfId="916" priority="916">
      <formula>$R226:$R500=""</formula>
    </cfRule>
    <cfRule type="expression" dxfId="915" priority="917">
      <formula>$R226:$R500&lt;=0</formula>
    </cfRule>
    <cfRule type="expression" dxfId="914" priority="918">
      <formula>$R226:$R500&lt;4</formula>
    </cfRule>
  </conditionalFormatting>
  <conditionalFormatting sqref="Y226">
    <cfRule type="expression" dxfId="913" priority="914">
      <formula>$R226:$R573="End"</formula>
    </cfRule>
  </conditionalFormatting>
  <conditionalFormatting sqref="Y226">
    <cfRule type="expression" dxfId="912" priority="913" stopIfTrue="1">
      <formula>$R226:$R573="Cancel"</formula>
    </cfRule>
  </conditionalFormatting>
  <conditionalFormatting sqref="G240 Q266:Q267 S266:Z267 B266:B267 D266:O267 AD266:AR267 E235:M235">
    <cfRule type="expression" dxfId="911" priority="912">
      <formula>$R235:$R571="End"</formula>
    </cfRule>
  </conditionalFormatting>
  <conditionalFormatting sqref="G240 Q266:Q267 S266:Z267 B266:B267 D266:O267 AD266:AR267 E235:M235">
    <cfRule type="expression" dxfId="910" priority="911" stopIfTrue="1">
      <formula>$R235:$R571="Cancel"</formula>
    </cfRule>
  </conditionalFormatting>
  <conditionalFormatting sqref="AF212">
    <cfRule type="expression" dxfId="909" priority="910">
      <formula>$R212:$R560="End"</formula>
    </cfRule>
  </conditionalFormatting>
  <conditionalFormatting sqref="AF212">
    <cfRule type="expression" dxfId="908" priority="909" stopIfTrue="1">
      <formula>$R212:$R560="Cancel"</formula>
    </cfRule>
  </conditionalFormatting>
  <conditionalFormatting sqref="AS157:AT157">
    <cfRule type="expression" dxfId="907" priority="905">
      <formula>$X157:$X540="Penting"</formula>
    </cfRule>
    <cfRule type="expression" dxfId="906" priority="906">
      <formula>$R157:$R540=""</formula>
    </cfRule>
    <cfRule type="expression" dxfId="905" priority="907">
      <formula>$R157:$R540&lt;=0</formula>
    </cfRule>
    <cfRule type="expression" dxfId="904" priority="908">
      <formula>$R157:$R540&lt;4</formula>
    </cfRule>
  </conditionalFormatting>
  <conditionalFormatting sqref="E209:G209">
    <cfRule type="expression" dxfId="903" priority="904">
      <formula>$R209:$R550="End"</formula>
    </cfRule>
  </conditionalFormatting>
  <conditionalFormatting sqref="E209:G209">
    <cfRule type="expression" dxfId="902" priority="903" stopIfTrue="1">
      <formula>$R209:$R550="Cancel"</formula>
    </cfRule>
  </conditionalFormatting>
  <conditionalFormatting sqref="S261">
    <cfRule type="expression" dxfId="901" priority="902">
      <formula>$R261:$R604="End"</formula>
    </cfRule>
  </conditionalFormatting>
  <conditionalFormatting sqref="S261">
    <cfRule type="expression" dxfId="900" priority="901" stopIfTrue="1">
      <formula>$R261:$R604="Cancel"</formula>
    </cfRule>
  </conditionalFormatting>
  <conditionalFormatting sqref="Q261">
    <cfRule type="expression" dxfId="899" priority="897">
      <formula>$X261:$X539="Penting"</formula>
    </cfRule>
    <cfRule type="expression" dxfId="898" priority="898">
      <formula>$R261:$R539=""</formula>
    </cfRule>
    <cfRule type="expression" dxfId="897" priority="899">
      <formula>$R261:$R539&lt;=0</formula>
    </cfRule>
    <cfRule type="expression" dxfId="896" priority="900">
      <formula>$R261:$R539&lt;4</formula>
    </cfRule>
  </conditionalFormatting>
  <conditionalFormatting sqref="W261:X261">
    <cfRule type="expression" dxfId="895" priority="893">
      <formula>$X261:$X539="Penting"</formula>
    </cfRule>
    <cfRule type="expression" dxfId="894" priority="894">
      <formula>$R261:$R539=""</formula>
    </cfRule>
    <cfRule type="expression" dxfId="893" priority="895">
      <formula>$R261:$R539&lt;=0</formula>
    </cfRule>
    <cfRule type="expression" dxfId="892" priority="896">
      <formula>$R261:$R539&lt;4</formula>
    </cfRule>
  </conditionalFormatting>
  <conditionalFormatting sqref="T261:X261">
    <cfRule type="expression" dxfId="891" priority="892">
      <formula>$R261:$R604="End"</formula>
    </cfRule>
  </conditionalFormatting>
  <conditionalFormatting sqref="T261:X261">
    <cfRule type="expression" dxfId="890" priority="891" stopIfTrue="1">
      <formula>$R261:$R604="Cancel"</formula>
    </cfRule>
  </conditionalFormatting>
  <conditionalFormatting sqref="R261">
    <cfRule type="expression" dxfId="889" priority="887">
      <formula>$X261:$X543="Penting"</formula>
    </cfRule>
    <cfRule type="expression" dxfId="888" priority="888">
      <formula>$R261:$R543=""</formula>
    </cfRule>
    <cfRule type="expression" dxfId="887" priority="889">
      <formula>$R261:$R543&lt;=0</formula>
    </cfRule>
    <cfRule type="expression" dxfId="886" priority="890">
      <formula>$R261:$R543&lt;4</formula>
    </cfRule>
  </conditionalFormatting>
  <conditionalFormatting sqref="P261">
    <cfRule type="expression" dxfId="885" priority="886">
      <formula>$R261:$R609="End"</formula>
    </cfRule>
  </conditionalFormatting>
  <conditionalFormatting sqref="P261">
    <cfRule type="expression" dxfId="884" priority="885" stopIfTrue="1">
      <formula>$R261:$R609="Cancel"</formula>
    </cfRule>
  </conditionalFormatting>
  <conditionalFormatting sqref="P261">
    <cfRule type="expression" dxfId="883" priority="881">
      <formula>$X261:$X527="Penting"</formula>
    </cfRule>
    <cfRule type="expression" dxfId="882" priority="882">
      <formula>$R261:$R527=""</formula>
    </cfRule>
    <cfRule type="expression" dxfId="881" priority="883">
      <formula>$R261:$R527&lt;=0</formula>
    </cfRule>
    <cfRule type="expression" dxfId="880" priority="884">
      <formula>$R261:$R527&lt;4</formula>
    </cfRule>
  </conditionalFormatting>
  <conditionalFormatting sqref="R261">
    <cfRule type="expression" dxfId="879" priority="880">
      <formula>$R261:$R625="End"</formula>
    </cfRule>
  </conditionalFormatting>
  <conditionalFormatting sqref="R261">
    <cfRule type="expression" dxfId="878" priority="879" stopIfTrue="1">
      <formula>$R261:$R625="Cancel"</formula>
    </cfRule>
  </conditionalFormatting>
  <conditionalFormatting sqref="AS147:AT147 AS155:AT156 T157:V157 S255:S262">
    <cfRule type="expression" dxfId="877" priority="875">
      <formula>$X147:$X531="Penting"</formula>
    </cfRule>
    <cfRule type="expression" dxfId="876" priority="876">
      <formula>$R147:$R531=""</formula>
    </cfRule>
    <cfRule type="expression" dxfId="875" priority="877">
      <formula>$R147:$R531&lt;=0</formula>
    </cfRule>
    <cfRule type="expression" dxfId="874" priority="878">
      <formula>$R147:$R531&lt;4</formula>
    </cfRule>
  </conditionalFormatting>
  <conditionalFormatting sqref="S261">
    <cfRule type="expression" dxfId="873" priority="871">
      <formula>$X261:$X539="Penting"</formula>
    </cfRule>
    <cfRule type="expression" dxfId="872" priority="872">
      <formula>$R261:$R539=""</formula>
    </cfRule>
    <cfRule type="expression" dxfId="871" priority="873">
      <formula>$R261:$R539&lt;=0</formula>
    </cfRule>
    <cfRule type="expression" dxfId="870" priority="874">
      <formula>$R261:$R539&lt;4</formula>
    </cfRule>
  </conditionalFormatting>
  <conditionalFormatting sqref="Q261">
    <cfRule type="expression" dxfId="869" priority="870">
      <formula>$R261:$R604="End"</formula>
    </cfRule>
  </conditionalFormatting>
  <conditionalFormatting sqref="Q261">
    <cfRule type="expression" dxfId="868" priority="869" stopIfTrue="1">
      <formula>$R261:$R604="Cancel"</formula>
    </cfRule>
  </conditionalFormatting>
  <conditionalFormatting sqref="B241:O241 AA268:AA270 AA273:AA274 AA278:AA279 AA282:AA283 W236:Z239 B236:S239 Q240:Q241 B243:N244 Q243:Q245 S240:S241 S243:S245 W243:X244 L248:N250 H248:J250 AD236:AR250 W241:Y241 W245:Y245 B242:S242 B246:S246 B245:M245 S247 B202:O203 AD202:AR202 Q203 W202:Z202 W201:Y201 W203:Y203 AF201:AM201 Q201 S200:S201 Q202:S202 Y204:Z208 Y210:Z210 Y213:Z220 W200:X200 B201 B247:N247 Q247 W242:Z242 AO201:AR201 AD203:AM203 AO203:AR203 W240:X240 W246:Z246 W247:X247 R178 B240:F240 H240:O240">
    <cfRule type="expression" dxfId="867" priority="865">
      <formula>$X178:$X463="Penting"</formula>
    </cfRule>
    <cfRule type="expression" dxfId="866" priority="866">
      <formula>$R178:$R463=""</formula>
    </cfRule>
    <cfRule type="expression" dxfId="865" priority="867">
      <formula>$R178:$R463&lt;=0</formula>
    </cfRule>
    <cfRule type="expression" dxfId="864" priority="868">
      <formula>$R178:$R463&lt;4</formula>
    </cfRule>
  </conditionalFormatting>
  <conditionalFormatting sqref="B185:O185 R222:R233 R240:R241 R243:R245 R247:R250 L186:O190 T187:Z189 Q185 S184:X184 AD185:AM186 AO185:AR186 T186:Y186 S185:Z185 B186:J190 R235 AD187:AR189 AE190:AR190">
    <cfRule type="expression" dxfId="863" priority="864">
      <formula>$R184:$R553="End"</formula>
    </cfRule>
  </conditionalFormatting>
  <conditionalFormatting sqref="B185:O185 R222:R233 R240:R241 R243:R245 R247:R250 L186:O190 T187:Z189 Q185 S184:X184 AD185:AM186 AO185:AR186 T186:Y186 S185:Z185 B186:J190 R235 AD187:AR189 AE190:AR190">
    <cfRule type="expression" dxfId="862" priority="863" stopIfTrue="1">
      <formula>$R184:$R553="Cancel"</formula>
    </cfRule>
  </conditionalFormatting>
  <conditionalFormatting sqref="P240:P241 P226:P234 P243:P245 P247">
    <cfRule type="expression" dxfId="861" priority="859">
      <formula>$X226:$X499="Penting"</formula>
    </cfRule>
    <cfRule type="expression" dxfId="860" priority="860">
      <formula>$R226:$R499=""</formula>
    </cfRule>
    <cfRule type="expression" dxfId="859" priority="861">
      <formula>$R226:$R499&lt;=0</formula>
    </cfRule>
    <cfRule type="expression" dxfId="858" priority="862">
      <formula>$R226:$R499&lt;4</formula>
    </cfRule>
  </conditionalFormatting>
  <conditionalFormatting sqref="P243:P245 P240:P241 P226:P234 H199:H200 P247 Y178:Z178">
    <cfRule type="expression" dxfId="857" priority="858">
      <formula>$R178:$R533="End"</formula>
    </cfRule>
  </conditionalFormatting>
  <conditionalFormatting sqref="P243:P245 P240:P241 P226:P234 H199:H200 P247 Y178:Z178">
    <cfRule type="expression" dxfId="856" priority="857" stopIfTrue="1">
      <formula>$R178:$R533="Cancel"</formula>
    </cfRule>
  </conditionalFormatting>
  <conditionalFormatting sqref="AN137">
    <cfRule type="expression" dxfId="855" priority="853">
      <formula>$X137:$X446="Penting"</formula>
    </cfRule>
    <cfRule type="expression" dxfId="854" priority="854">
      <formula>$R137:$R446=""</formula>
    </cfRule>
    <cfRule type="expression" dxfId="853" priority="855">
      <formula>$R137:$R446&lt;=0</formula>
    </cfRule>
    <cfRule type="expression" dxfId="852" priority="856">
      <formula>$R137:$R446&lt;4</formula>
    </cfRule>
  </conditionalFormatting>
  <conditionalFormatting sqref="AN137 Z141:Z146 Z139 Z137 S135:Z135 A135:Q135 H141 H144 A134:AR134 AA135:AC146 A136:A146 AD135:AR135">
    <cfRule type="expression" dxfId="851" priority="852">
      <formula>$R134:$R525="End"</formula>
    </cfRule>
  </conditionalFormatting>
  <conditionalFormatting sqref="AN137 Z141:Z146 Z139 Z137 S135:Z135 A135:Q135 H141 H144 A134:AR134 AA135:AC146 A136:A146 AD135:AR135">
    <cfRule type="expression" dxfId="850" priority="851" stopIfTrue="1">
      <formula>$R134:$R525="Cancel"</formula>
    </cfRule>
  </conditionalFormatting>
  <conditionalFormatting sqref="AN139">
    <cfRule type="expression" dxfId="849" priority="847">
      <formula>$X139:$X448="Penting"</formula>
    </cfRule>
    <cfRule type="expression" dxfId="848" priority="848">
      <formula>$R139:$R448=""</formula>
    </cfRule>
    <cfRule type="expression" dxfId="847" priority="849">
      <formula>$R139:$R448&lt;=0</formula>
    </cfRule>
    <cfRule type="expression" dxfId="846" priority="850">
      <formula>$R139:$R448&lt;4</formula>
    </cfRule>
  </conditionalFormatting>
  <conditionalFormatting sqref="AN139">
    <cfRule type="expression" dxfId="845" priority="846">
      <formula>$R139:$R530="End"</formula>
    </cfRule>
  </conditionalFormatting>
  <conditionalFormatting sqref="AN139">
    <cfRule type="expression" dxfId="844" priority="845" stopIfTrue="1">
      <formula>$R139:$R530="Cancel"</formula>
    </cfRule>
  </conditionalFormatting>
  <conditionalFormatting sqref="AN141">
    <cfRule type="expression" dxfId="843" priority="841">
      <formula>$X141:$X450="Penting"</formula>
    </cfRule>
    <cfRule type="expression" dxfId="842" priority="842">
      <formula>$R141:$R450=""</formula>
    </cfRule>
    <cfRule type="expression" dxfId="841" priority="843">
      <formula>$R141:$R450&lt;=0</formula>
    </cfRule>
    <cfRule type="expression" dxfId="840" priority="844">
      <formula>$R141:$R450&lt;4</formula>
    </cfRule>
  </conditionalFormatting>
  <conditionalFormatting sqref="AN141">
    <cfRule type="expression" dxfId="839" priority="840">
      <formula>$R141:$R532="End"</formula>
    </cfRule>
  </conditionalFormatting>
  <conditionalFormatting sqref="AN141">
    <cfRule type="expression" dxfId="838" priority="839" stopIfTrue="1">
      <formula>$R141:$R532="Cancel"</formula>
    </cfRule>
  </conditionalFormatting>
  <conditionalFormatting sqref="AN142">
    <cfRule type="expression" dxfId="837" priority="835">
      <formula>$X142:$X451="Penting"</formula>
    </cfRule>
    <cfRule type="expression" dxfId="836" priority="836">
      <formula>$R142:$R451=""</formula>
    </cfRule>
    <cfRule type="expression" dxfId="835" priority="837">
      <formula>$R142:$R451&lt;=0</formula>
    </cfRule>
    <cfRule type="expression" dxfId="834" priority="838">
      <formula>$R142:$R451&lt;4</formula>
    </cfRule>
  </conditionalFormatting>
  <conditionalFormatting sqref="AN142">
    <cfRule type="expression" dxfId="833" priority="834">
      <formula>$R142:$R533="End"</formula>
    </cfRule>
  </conditionalFormatting>
  <conditionalFormatting sqref="AN142">
    <cfRule type="expression" dxfId="832" priority="833" stopIfTrue="1">
      <formula>$R142:$R533="Cancel"</formula>
    </cfRule>
  </conditionalFormatting>
  <conditionalFormatting sqref="AN143">
    <cfRule type="expression" dxfId="831" priority="829">
      <formula>$X143:$X452="Penting"</formula>
    </cfRule>
    <cfRule type="expression" dxfId="830" priority="830">
      <formula>$R143:$R452=""</formula>
    </cfRule>
    <cfRule type="expression" dxfId="829" priority="831">
      <formula>$R143:$R452&lt;=0</formula>
    </cfRule>
    <cfRule type="expression" dxfId="828" priority="832">
      <formula>$R143:$R452&lt;4</formula>
    </cfRule>
  </conditionalFormatting>
  <conditionalFormatting sqref="AN143">
    <cfRule type="expression" dxfId="827" priority="828">
      <formula>$R143:$R534="End"</formula>
    </cfRule>
  </conditionalFormatting>
  <conditionalFormatting sqref="AN143">
    <cfRule type="expression" dxfId="826" priority="827" stopIfTrue="1">
      <formula>$R143:$R534="Cancel"</formula>
    </cfRule>
  </conditionalFormatting>
  <conditionalFormatting sqref="AN144">
    <cfRule type="expression" dxfId="825" priority="823">
      <formula>$X144:$X453="Penting"</formula>
    </cfRule>
    <cfRule type="expression" dxfId="824" priority="824">
      <formula>$R144:$R453=""</formula>
    </cfRule>
    <cfRule type="expression" dxfId="823" priority="825">
      <formula>$R144:$R453&lt;=0</formula>
    </cfRule>
    <cfRule type="expression" dxfId="822" priority="826">
      <formula>$R144:$R453&lt;4</formula>
    </cfRule>
  </conditionalFormatting>
  <conditionalFormatting sqref="AN144">
    <cfRule type="expression" dxfId="821" priority="822">
      <formula>$R144:$R535="End"</formula>
    </cfRule>
  </conditionalFormatting>
  <conditionalFormatting sqref="AN144">
    <cfRule type="expression" dxfId="820" priority="821" stopIfTrue="1">
      <formula>$R144:$R535="Cancel"</formula>
    </cfRule>
  </conditionalFormatting>
  <conditionalFormatting sqref="AN145">
    <cfRule type="expression" dxfId="819" priority="817">
      <formula>$X145:$X454="Penting"</formula>
    </cfRule>
    <cfRule type="expression" dxfId="818" priority="818">
      <formula>$R145:$R454=""</formula>
    </cfRule>
    <cfRule type="expression" dxfId="817" priority="819">
      <formula>$R145:$R454&lt;=0</formula>
    </cfRule>
    <cfRule type="expression" dxfId="816" priority="820">
      <formula>$R145:$R454&lt;4</formula>
    </cfRule>
  </conditionalFormatting>
  <conditionalFormatting sqref="AN145">
    <cfRule type="expression" dxfId="815" priority="816">
      <formula>$R145:$R536="End"</formula>
    </cfRule>
  </conditionalFormatting>
  <conditionalFormatting sqref="AN145">
    <cfRule type="expression" dxfId="814" priority="815" stopIfTrue="1">
      <formula>$R145:$R536="Cancel"</formula>
    </cfRule>
  </conditionalFormatting>
  <conditionalFormatting sqref="AN148">
    <cfRule type="expression" dxfId="813" priority="811">
      <formula>$X148:$X456="Penting"</formula>
    </cfRule>
    <cfRule type="expression" dxfId="812" priority="812">
      <formula>$R148:$R456=""</formula>
    </cfRule>
    <cfRule type="expression" dxfId="811" priority="813">
      <formula>$R148:$R456&lt;=0</formula>
    </cfRule>
    <cfRule type="expression" dxfId="810" priority="814">
      <formula>$R148:$R456&lt;4</formula>
    </cfRule>
  </conditionalFormatting>
  <conditionalFormatting sqref="AN148">
    <cfRule type="expression" dxfId="809" priority="810">
      <formula>$R148:$R538="End"</formula>
    </cfRule>
  </conditionalFormatting>
  <conditionalFormatting sqref="AN148">
    <cfRule type="expression" dxfId="808" priority="809" stopIfTrue="1">
      <formula>$R148:$R538="Cancel"</formula>
    </cfRule>
  </conditionalFormatting>
  <conditionalFormatting sqref="AN151">
    <cfRule type="expression" dxfId="807" priority="805">
      <formula>$X151:$X459="Penting"</formula>
    </cfRule>
    <cfRule type="expression" dxfId="806" priority="806">
      <formula>$R151:$R459=""</formula>
    </cfRule>
    <cfRule type="expression" dxfId="805" priority="807">
      <formula>$R151:$R459&lt;=0</formula>
    </cfRule>
    <cfRule type="expression" dxfId="804" priority="808">
      <formula>$R151:$R459&lt;4</formula>
    </cfRule>
  </conditionalFormatting>
  <conditionalFormatting sqref="AN151">
    <cfRule type="expression" dxfId="803" priority="804">
      <formula>$R151:$R541="End"</formula>
    </cfRule>
  </conditionalFormatting>
  <conditionalFormatting sqref="AN151">
    <cfRule type="expression" dxfId="802" priority="803" stopIfTrue="1">
      <formula>$R151:$R541="Cancel"</formula>
    </cfRule>
  </conditionalFormatting>
  <conditionalFormatting sqref="AN152">
    <cfRule type="expression" dxfId="801" priority="799">
      <formula>$X152:$X460="Penting"</formula>
    </cfRule>
    <cfRule type="expression" dxfId="800" priority="800">
      <formula>$R152:$R460=""</formula>
    </cfRule>
    <cfRule type="expression" dxfId="799" priority="801">
      <formula>$R152:$R460&lt;=0</formula>
    </cfRule>
    <cfRule type="expression" dxfId="798" priority="802">
      <formula>$R152:$R460&lt;4</formula>
    </cfRule>
  </conditionalFormatting>
  <conditionalFormatting sqref="AN152">
    <cfRule type="expression" dxfId="797" priority="798">
      <formula>$R152:$R542="End"</formula>
    </cfRule>
  </conditionalFormatting>
  <conditionalFormatting sqref="AN152">
    <cfRule type="expression" dxfId="796" priority="797" stopIfTrue="1">
      <formula>$R152:$R542="Cancel"</formula>
    </cfRule>
  </conditionalFormatting>
  <conditionalFormatting sqref="AN154">
    <cfRule type="expression" dxfId="795" priority="793">
      <formula>$X154:$X462="Penting"</formula>
    </cfRule>
    <cfRule type="expression" dxfId="794" priority="794">
      <formula>$R154:$R462=""</formula>
    </cfRule>
    <cfRule type="expression" dxfId="793" priority="795">
      <formula>$R154:$R462&lt;=0</formula>
    </cfRule>
    <cfRule type="expression" dxfId="792" priority="796">
      <formula>$R154:$R462&lt;4</formula>
    </cfRule>
  </conditionalFormatting>
  <conditionalFormatting sqref="AN154">
    <cfRule type="expression" dxfId="791" priority="792">
      <formula>$R154:$R544="End"</formula>
    </cfRule>
  </conditionalFormatting>
  <conditionalFormatting sqref="AN154">
    <cfRule type="expression" dxfId="790" priority="791" stopIfTrue="1">
      <formula>$R154:$R544="Cancel"</formula>
    </cfRule>
  </conditionalFormatting>
  <conditionalFormatting sqref="AN156">
    <cfRule type="expression" dxfId="789" priority="787">
      <formula>$X156:$X464="Penting"</formula>
    </cfRule>
    <cfRule type="expression" dxfId="788" priority="788">
      <formula>$R156:$R464=""</formula>
    </cfRule>
    <cfRule type="expression" dxfId="787" priority="789">
      <formula>$R156:$R464&lt;=0</formula>
    </cfRule>
    <cfRule type="expression" dxfId="786" priority="790">
      <formula>$R156:$R464&lt;4</formula>
    </cfRule>
  </conditionalFormatting>
  <conditionalFormatting sqref="AN156">
    <cfRule type="expression" dxfId="785" priority="786">
      <formula>$R156:$R546="End"</formula>
    </cfRule>
  </conditionalFormatting>
  <conditionalFormatting sqref="AN156">
    <cfRule type="expression" dxfId="784" priority="785" stopIfTrue="1">
      <formula>$R156:$R546="Cancel"</formula>
    </cfRule>
  </conditionalFormatting>
  <conditionalFormatting sqref="AN157">
    <cfRule type="expression" dxfId="783" priority="781">
      <formula>$X157:$X465="Penting"</formula>
    </cfRule>
    <cfRule type="expression" dxfId="782" priority="782">
      <formula>$R157:$R465=""</formula>
    </cfRule>
    <cfRule type="expression" dxfId="781" priority="783">
      <formula>$R157:$R465&lt;=0</formula>
    </cfRule>
    <cfRule type="expression" dxfId="780" priority="784">
      <formula>$R157:$R465&lt;4</formula>
    </cfRule>
  </conditionalFormatting>
  <conditionalFormatting sqref="AN157">
    <cfRule type="expression" dxfId="779" priority="780">
      <formula>$R157:$R547="End"</formula>
    </cfRule>
  </conditionalFormatting>
  <conditionalFormatting sqref="AN157">
    <cfRule type="expression" dxfId="778" priority="779" stopIfTrue="1">
      <formula>$R157:$R547="Cancel"</formula>
    </cfRule>
  </conditionalFormatting>
  <conditionalFormatting sqref="AN161">
    <cfRule type="expression" dxfId="777" priority="775">
      <formula>$X161:$X469="Penting"</formula>
    </cfRule>
    <cfRule type="expression" dxfId="776" priority="776">
      <formula>$R161:$R469=""</formula>
    </cfRule>
    <cfRule type="expression" dxfId="775" priority="777">
      <formula>$R161:$R469&lt;=0</formula>
    </cfRule>
    <cfRule type="expression" dxfId="774" priority="778">
      <formula>$R161:$R469&lt;4</formula>
    </cfRule>
  </conditionalFormatting>
  <conditionalFormatting sqref="AN161">
    <cfRule type="expression" dxfId="773" priority="774">
      <formula>$R161:$R551="End"</formula>
    </cfRule>
  </conditionalFormatting>
  <conditionalFormatting sqref="AN161">
    <cfRule type="expression" dxfId="772" priority="773" stopIfTrue="1">
      <formula>$R161:$R551="Cancel"</formula>
    </cfRule>
  </conditionalFormatting>
  <conditionalFormatting sqref="AN162">
    <cfRule type="expression" dxfId="771" priority="769">
      <formula>$X162:$X470="Penting"</formula>
    </cfRule>
    <cfRule type="expression" dxfId="770" priority="770">
      <formula>$R162:$R470=""</formula>
    </cfRule>
    <cfRule type="expression" dxfId="769" priority="771">
      <formula>$R162:$R470&lt;=0</formula>
    </cfRule>
    <cfRule type="expression" dxfId="768" priority="772">
      <formula>$R162:$R470&lt;4</formula>
    </cfRule>
  </conditionalFormatting>
  <conditionalFormatting sqref="AN162">
    <cfRule type="expression" dxfId="767" priority="768">
      <formula>$R162:$R552="End"</formula>
    </cfRule>
  </conditionalFormatting>
  <conditionalFormatting sqref="AN162">
    <cfRule type="expression" dxfId="766" priority="767" stopIfTrue="1">
      <formula>$R162:$R552="Cancel"</formula>
    </cfRule>
  </conditionalFormatting>
  <conditionalFormatting sqref="AN163">
    <cfRule type="expression" dxfId="765" priority="763">
      <formula>$X163:$X471="Penting"</formula>
    </cfRule>
    <cfRule type="expression" dxfId="764" priority="764">
      <formula>$R163:$R471=""</formula>
    </cfRule>
    <cfRule type="expression" dxfId="763" priority="765">
      <formula>$R163:$R471&lt;=0</formula>
    </cfRule>
    <cfRule type="expression" dxfId="762" priority="766">
      <formula>$R163:$R471&lt;4</formula>
    </cfRule>
  </conditionalFormatting>
  <conditionalFormatting sqref="AN163">
    <cfRule type="expression" dxfId="761" priority="762">
      <formula>$R163:$R553="End"</formula>
    </cfRule>
  </conditionalFormatting>
  <conditionalFormatting sqref="AN163">
    <cfRule type="expression" dxfId="760" priority="761" stopIfTrue="1">
      <formula>$R163:$R553="Cancel"</formula>
    </cfRule>
  </conditionalFormatting>
  <conditionalFormatting sqref="AN164">
    <cfRule type="expression" dxfId="759" priority="757">
      <formula>$X164:$X472="Penting"</formula>
    </cfRule>
    <cfRule type="expression" dxfId="758" priority="758">
      <formula>$R164:$R472=""</formula>
    </cfRule>
    <cfRule type="expression" dxfId="757" priority="759">
      <formula>$R164:$R472&lt;=0</formula>
    </cfRule>
    <cfRule type="expression" dxfId="756" priority="760">
      <formula>$R164:$R472&lt;4</formula>
    </cfRule>
  </conditionalFormatting>
  <conditionalFormatting sqref="AN164">
    <cfRule type="expression" dxfId="755" priority="756">
      <formula>$R164:$R554="End"</formula>
    </cfRule>
  </conditionalFormatting>
  <conditionalFormatting sqref="AN164">
    <cfRule type="expression" dxfId="754" priority="755" stopIfTrue="1">
      <formula>$R164:$R554="Cancel"</formula>
    </cfRule>
  </conditionalFormatting>
  <conditionalFormatting sqref="AN165">
    <cfRule type="expression" dxfId="753" priority="751">
      <formula>$X165:$X473="Penting"</formula>
    </cfRule>
    <cfRule type="expression" dxfId="752" priority="752">
      <formula>$R165:$R473=""</formula>
    </cfRule>
    <cfRule type="expression" dxfId="751" priority="753">
      <formula>$R165:$R473&lt;=0</formula>
    </cfRule>
    <cfRule type="expression" dxfId="750" priority="754">
      <formula>$R165:$R473&lt;4</formula>
    </cfRule>
  </conditionalFormatting>
  <conditionalFormatting sqref="AN165">
    <cfRule type="expression" dxfId="749" priority="750">
      <formula>$R165:$R555="End"</formula>
    </cfRule>
  </conditionalFormatting>
  <conditionalFormatting sqref="AN165">
    <cfRule type="expression" dxfId="748" priority="749" stopIfTrue="1">
      <formula>$R165:$R555="Cancel"</formula>
    </cfRule>
  </conditionalFormatting>
  <conditionalFormatting sqref="AN166">
    <cfRule type="expression" dxfId="747" priority="745">
      <formula>$X166:$X474="Penting"</formula>
    </cfRule>
    <cfRule type="expression" dxfId="746" priority="746">
      <formula>$R166:$R474=""</formula>
    </cfRule>
    <cfRule type="expression" dxfId="745" priority="747">
      <formula>$R166:$R474&lt;=0</formula>
    </cfRule>
    <cfRule type="expression" dxfId="744" priority="748">
      <formula>$R166:$R474&lt;4</formula>
    </cfRule>
  </conditionalFormatting>
  <conditionalFormatting sqref="AN166">
    <cfRule type="expression" dxfId="743" priority="744">
      <formula>$R166:$R556="End"</formula>
    </cfRule>
  </conditionalFormatting>
  <conditionalFormatting sqref="AN166">
    <cfRule type="expression" dxfId="742" priority="743" stopIfTrue="1">
      <formula>$R166:$R556="Cancel"</formula>
    </cfRule>
  </conditionalFormatting>
  <conditionalFormatting sqref="AN168">
    <cfRule type="expression" dxfId="741" priority="739">
      <formula>$X168:$X476="Penting"</formula>
    </cfRule>
    <cfRule type="expression" dxfId="740" priority="740">
      <formula>$R168:$R476=""</formula>
    </cfRule>
    <cfRule type="expression" dxfId="739" priority="741">
      <formula>$R168:$R476&lt;=0</formula>
    </cfRule>
    <cfRule type="expression" dxfId="738" priority="742">
      <formula>$R168:$R476&lt;4</formula>
    </cfRule>
  </conditionalFormatting>
  <conditionalFormatting sqref="AN168">
    <cfRule type="expression" dxfId="737" priority="738">
      <formula>$R168:$R558="End"</formula>
    </cfRule>
  </conditionalFormatting>
  <conditionalFormatting sqref="AN168">
    <cfRule type="expression" dxfId="736" priority="737" stopIfTrue="1">
      <formula>$R168:$R558="Cancel"</formula>
    </cfRule>
  </conditionalFormatting>
  <conditionalFormatting sqref="AN169">
    <cfRule type="expression" dxfId="735" priority="733">
      <formula>$X169:$X477="Penting"</formula>
    </cfRule>
    <cfRule type="expression" dxfId="734" priority="734">
      <formula>$R169:$R477=""</formula>
    </cfRule>
    <cfRule type="expression" dxfId="733" priority="735">
      <formula>$R169:$R477&lt;=0</formula>
    </cfRule>
    <cfRule type="expression" dxfId="732" priority="736">
      <formula>$R169:$R477&lt;4</formula>
    </cfRule>
  </conditionalFormatting>
  <conditionalFormatting sqref="AN169">
    <cfRule type="expression" dxfId="731" priority="732">
      <formula>$R169:$R559="End"</formula>
    </cfRule>
  </conditionalFormatting>
  <conditionalFormatting sqref="AN169">
    <cfRule type="expression" dxfId="730" priority="731" stopIfTrue="1">
      <formula>$R169:$R559="Cancel"</formula>
    </cfRule>
  </conditionalFormatting>
  <conditionalFormatting sqref="AN176">
    <cfRule type="expression" dxfId="729" priority="727">
      <formula>$X176:$X484="Penting"</formula>
    </cfRule>
    <cfRule type="expression" dxfId="728" priority="728">
      <formula>$R176:$R484=""</formula>
    </cfRule>
    <cfRule type="expression" dxfId="727" priority="729">
      <formula>$R176:$R484&lt;=0</formula>
    </cfRule>
    <cfRule type="expression" dxfId="726" priority="730">
      <formula>$R176:$R484&lt;4</formula>
    </cfRule>
  </conditionalFormatting>
  <conditionalFormatting sqref="AN176">
    <cfRule type="expression" dxfId="725" priority="726">
      <formula>$R176:$R566="End"</formula>
    </cfRule>
  </conditionalFormatting>
  <conditionalFormatting sqref="AN176">
    <cfRule type="expression" dxfId="724" priority="725" stopIfTrue="1">
      <formula>$R176:$R566="Cancel"</formula>
    </cfRule>
  </conditionalFormatting>
  <conditionalFormatting sqref="AN177">
    <cfRule type="expression" dxfId="723" priority="721">
      <formula>$X177:$X485="Penting"</formula>
    </cfRule>
    <cfRule type="expression" dxfId="722" priority="722">
      <formula>$R177:$R485=""</formula>
    </cfRule>
    <cfRule type="expression" dxfId="721" priority="723">
      <formula>$R177:$R485&lt;=0</formula>
    </cfRule>
    <cfRule type="expression" dxfId="720" priority="724">
      <formula>$R177:$R485&lt;4</formula>
    </cfRule>
  </conditionalFormatting>
  <conditionalFormatting sqref="AN177">
    <cfRule type="expression" dxfId="719" priority="720">
      <formula>$R177:$R567="End"</formula>
    </cfRule>
  </conditionalFormatting>
  <conditionalFormatting sqref="AN177">
    <cfRule type="expression" dxfId="718" priority="719" stopIfTrue="1">
      <formula>$R177:$R567="Cancel"</formula>
    </cfRule>
  </conditionalFormatting>
  <conditionalFormatting sqref="AN178">
    <cfRule type="expression" dxfId="717" priority="715">
      <formula>$X178:$X486="Penting"</formula>
    </cfRule>
    <cfRule type="expression" dxfId="716" priority="716">
      <formula>$R178:$R486=""</formula>
    </cfRule>
    <cfRule type="expression" dxfId="715" priority="717">
      <formula>$R178:$R486&lt;=0</formula>
    </cfRule>
    <cfRule type="expression" dxfId="714" priority="718">
      <formula>$R178:$R486&lt;4</formula>
    </cfRule>
  </conditionalFormatting>
  <conditionalFormatting sqref="AN178">
    <cfRule type="expression" dxfId="713" priority="714">
      <formula>$R178:$R568="End"</formula>
    </cfRule>
  </conditionalFormatting>
  <conditionalFormatting sqref="AN178">
    <cfRule type="expression" dxfId="712" priority="713" stopIfTrue="1">
      <formula>$R178:$R568="Cancel"</formula>
    </cfRule>
  </conditionalFormatting>
  <conditionalFormatting sqref="AN183">
    <cfRule type="expression" dxfId="711" priority="709">
      <formula>$X183:$X491="Penting"</formula>
    </cfRule>
    <cfRule type="expression" dxfId="710" priority="710">
      <formula>$R183:$R491=""</formula>
    </cfRule>
    <cfRule type="expression" dxfId="709" priority="711">
      <formula>$R183:$R491&lt;=0</formula>
    </cfRule>
    <cfRule type="expression" dxfId="708" priority="712">
      <formula>$R183:$R491&lt;4</formula>
    </cfRule>
  </conditionalFormatting>
  <conditionalFormatting sqref="AN183">
    <cfRule type="expression" dxfId="707" priority="708">
      <formula>$R183:$R573="End"</formula>
    </cfRule>
  </conditionalFormatting>
  <conditionalFormatting sqref="AN183">
    <cfRule type="expression" dxfId="706" priority="707" stopIfTrue="1">
      <formula>$R183:$R573="Cancel"</formula>
    </cfRule>
  </conditionalFormatting>
  <conditionalFormatting sqref="AN184">
    <cfRule type="expression" dxfId="705" priority="703">
      <formula>$X184:$X492="Penting"</formula>
    </cfRule>
    <cfRule type="expression" dxfId="704" priority="704">
      <formula>$R184:$R492=""</formula>
    </cfRule>
    <cfRule type="expression" dxfId="703" priority="705">
      <formula>$R184:$R492&lt;=0</formula>
    </cfRule>
    <cfRule type="expression" dxfId="702" priority="706">
      <formula>$R184:$R492&lt;4</formula>
    </cfRule>
  </conditionalFormatting>
  <conditionalFormatting sqref="AN184">
    <cfRule type="expression" dxfId="701" priority="702">
      <formula>$R184:$R574="End"</formula>
    </cfRule>
  </conditionalFormatting>
  <conditionalFormatting sqref="AN184">
    <cfRule type="expression" dxfId="700" priority="701" stopIfTrue="1">
      <formula>$R184:$R574="Cancel"</formula>
    </cfRule>
  </conditionalFormatting>
  <conditionalFormatting sqref="AN185">
    <cfRule type="expression" dxfId="699" priority="697">
      <formula>$X185:$X493="Penting"</formula>
    </cfRule>
    <cfRule type="expression" dxfId="698" priority="698">
      <formula>$R185:$R493=""</formula>
    </cfRule>
    <cfRule type="expression" dxfId="697" priority="699">
      <formula>$R185:$R493&lt;=0</formula>
    </cfRule>
    <cfRule type="expression" dxfId="696" priority="700">
      <formula>$R185:$R493&lt;4</formula>
    </cfRule>
  </conditionalFormatting>
  <conditionalFormatting sqref="AN185">
    <cfRule type="expression" dxfId="695" priority="696">
      <formula>$R185:$R575="End"</formula>
    </cfRule>
  </conditionalFormatting>
  <conditionalFormatting sqref="AN185">
    <cfRule type="expression" dxfId="694" priority="695" stopIfTrue="1">
      <formula>$R185:$R575="Cancel"</formula>
    </cfRule>
  </conditionalFormatting>
  <conditionalFormatting sqref="AN186">
    <cfRule type="expression" dxfId="693" priority="691">
      <formula>$X186:$X494="Penting"</formula>
    </cfRule>
    <cfRule type="expression" dxfId="692" priority="692">
      <formula>$R186:$R494=""</formula>
    </cfRule>
    <cfRule type="expression" dxfId="691" priority="693">
      <formula>$R186:$R494&lt;=0</formula>
    </cfRule>
    <cfRule type="expression" dxfId="690" priority="694">
      <formula>$R186:$R494&lt;4</formula>
    </cfRule>
  </conditionalFormatting>
  <conditionalFormatting sqref="AN186">
    <cfRule type="expression" dxfId="689" priority="690">
      <formula>$R186:$R576="End"</formula>
    </cfRule>
  </conditionalFormatting>
  <conditionalFormatting sqref="AN186">
    <cfRule type="expression" dxfId="688" priority="689" stopIfTrue="1">
      <formula>$R186:$R576="Cancel"</formula>
    </cfRule>
  </conditionalFormatting>
  <conditionalFormatting sqref="AN200">
    <cfRule type="expression" dxfId="687" priority="688">
      <formula>$R200:$R568="End"</formula>
    </cfRule>
  </conditionalFormatting>
  <conditionalFormatting sqref="AN200">
    <cfRule type="expression" dxfId="686" priority="687" stopIfTrue="1">
      <formula>$R200:$R568="Cancel"</formula>
    </cfRule>
  </conditionalFormatting>
  <conditionalFormatting sqref="AN200">
    <cfRule type="expression" dxfId="685" priority="683">
      <formula>$X200:$X495="Penting"</formula>
    </cfRule>
    <cfRule type="expression" dxfId="684" priority="684">
      <formula>$R200:$R495=""</formula>
    </cfRule>
    <cfRule type="expression" dxfId="683" priority="685">
      <formula>$R200:$R495&lt;=0</formula>
    </cfRule>
    <cfRule type="expression" dxfId="682" priority="686">
      <formula>$R200:$R495&lt;4</formula>
    </cfRule>
  </conditionalFormatting>
  <conditionalFormatting sqref="AN201">
    <cfRule type="expression" dxfId="681" priority="682">
      <formula>$R201:$R569="End"</formula>
    </cfRule>
  </conditionalFormatting>
  <conditionalFormatting sqref="AN201">
    <cfRule type="expression" dxfId="680" priority="681" stopIfTrue="1">
      <formula>$R201:$R569="Cancel"</formula>
    </cfRule>
  </conditionalFormatting>
  <conditionalFormatting sqref="AN201">
    <cfRule type="expression" dxfId="679" priority="677">
      <formula>$X201:$X496="Penting"</formula>
    </cfRule>
    <cfRule type="expression" dxfId="678" priority="678">
      <formula>$R201:$R496=""</formula>
    </cfRule>
    <cfRule type="expression" dxfId="677" priority="679">
      <formula>$R201:$R496&lt;=0</formula>
    </cfRule>
    <cfRule type="expression" dxfId="676" priority="680">
      <formula>$R201:$R496&lt;4</formula>
    </cfRule>
  </conditionalFormatting>
  <conditionalFormatting sqref="AN203">
    <cfRule type="expression" dxfId="675" priority="676">
      <formula>$R203:$R571="End"</formula>
    </cfRule>
  </conditionalFormatting>
  <conditionalFormatting sqref="AN203">
    <cfRule type="expression" dxfId="674" priority="675" stopIfTrue="1">
      <formula>$R203:$R571="Cancel"</formula>
    </cfRule>
  </conditionalFormatting>
  <conditionalFormatting sqref="AN203">
    <cfRule type="expression" dxfId="673" priority="671">
      <formula>$X203:$X498="Penting"</formula>
    </cfRule>
    <cfRule type="expression" dxfId="672" priority="672">
      <formula>$R203:$R498=""</formula>
    </cfRule>
    <cfRule type="expression" dxfId="671" priority="673">
      <formula>$R203:$R498&lt;=0</formula>
    </cfRule>
    <cfRule type="expression" dxfId="670" priority="674">
      <formula>$R203:$R498&lt;4</formula>
    </cfRule>
  </conditionalFormatting>
  <conditionalFormatting sqref="Z151">
    <cfRule type="expression" dxfId="669" priority="667">
      <formula>$X151:$X464="Penting"</formula>
    </cfRule>
    <cfRule type="expression" dxfId="668" priority="668">
      <formula>$R151:$R464=""</formula>
    </cfRule>
    <cfRule type="expression" dxfId="667" priority="669">
      <formula>$R151:$R464&lt;=0</formula>
    </cfRule>
    <cfRule type="expression" dxfId="666" priority="670">
      <formula>$R151:$R464&lt;4</formula>
    </cfRule>
  </conditionalFormatting>
  <conditionalFormatting sqref="Z151">
    <cfRule type="expression" dxfId="665" priority="666">
      <formula>$R151:$R537="End"</formula>
    </cfRule>
  </conditionalFormatting>
  <conditionalFormatting sqref="Z151">
    <cfRule type="expression" dxfId="664" priority="665" stopIfTrue="1">
      <formula>$R151:$R537="Cancel"</formula>
    </cfRule>
  </conditionalFormatting>
  <conditionalFormatting sqref="AS255:AT255 T251:V252">
    <cfRule type="expression" dxfId="663" priority="661">
      <formula>$X251:$X598="Penting"</formula>
    </cfRule>
    <cfRule type="expression" dxfId="662" priority="662">
      <formula>$R251:$R598=""</formula>
    </cfRule>
    <cfRule type="expression" dxfId="661" priority="663">
      <formula>$R251:$R598&lt;=0</formula>
    </cfRule>
    <cfRule type="expression" dxfId="660" priority="664">
      <formula>$R251:$R598&lt;4</formula>
    </cfRule>
  </conditionalFormatting>
  <conditionalFormatting sqref="S264">
    <cfRule type="expression" dxfId="659" priority="657">
      <formula>$X264:$X642="Penting"</formula>
    </cfRule>
    <cfRule type="expression" dxfId="658" priority="658">
      <formula>$R264:$R642=""</formula>
    </cfRule>
    <cfRule type="expression" dxfId="657" priority="659">
      <formula>$R264:$R642&lt;=0</formula>
    </cfRule>
    <cfRule type="expression" dxfId="656" priority="660">
      <formula>$R264:$R642&lt;4</formula>
    </cfRule>
  </conditionalFormatting>
  <conditionalFormatting sqref="S262">
    <cfRule type="expression" dxfId="655" priority="656">
      <formula>$R262:$R605="End"</formula>
    </cfRule>
  </conditionalFormatting>
  <conditionalFormatting sqref="S262">
    <cfRule type="expression" dxfId="654" priority="655" stopIfTrue="1">
      <formula>$R262:$R605="Cancel"</formula>
    </cfRule>
  </conditionalFormatting>
  <conditionalFormatting sqref="Q262">
    <cfRule type="expression" dxfId="653" priority="651">
      <formula>$X262:$X540="Penting"</formula>
    </cfRule>
    <cfRule type="expression" dxfId="652" priority="652">
      <formula>$R262:$R540=""</formula>
    </cfRule>
    <cfRule type="expression" dxfId="651" priority="653">
      <formula>$R262:$R540&lt;=0</formula>
    </cfRule>
    <cfRule type="expression" dxfId="650" priority="654">
      <formula>$R262:$R540&lt;4</formula>
    </cfRule>
  </conditionalFormatting>
  <conditionalFormatting sqref="W262:X262">
    <cfRule type="expression" dxfId="649" priority="647">
      <formula>$X262:$X540="Penting"</formula>
    </cfRule>
    <cfRule type="expression" dxfId="648" priority="648">
      <formula>$R262:$R540=""</formula>
    </cfRule>
    <cfRule type="expression" dxfId="647" priority="649">
      <formula>$R262:$R540&lt;=0</formula>
    </cfRule>
    <cfRule type="expression" dxfId="646" priority="650">
      <formula>$R262:$R540&lt;4</formula>
    </cfRule>
  </conditionalFormatting>
  <conditionalFormatting sqref="T262:X262">
    <cfRule type="expression" dxfId="645" priority="646">
      <formula>$R262:$R605="End"</formula>
    </cfRule>
  </conditionalFormatting>
  <conditionalFormatting sqref="T262:X262">
    <cfRule type="expression" dxfId="644" priority="645" stopIfTrue="1">
      <formula>$R262:$R605="Cancel"</formula>
    </cfRule>
  </conditionalFormatting>
  <conditionalFormatting sqref="R262">
    <cfRule type="expression" dxfId="643" priority="641">
      <formula>$X262:$X544="Penting"</formula>
    </cfRule>
    <cfRule type="expression" dxfId="642" priority="642">
      <formula>$R262:$R544=""</formula>
    </cfRule>
    <cfRule type="expression" dxfId="641" priority="643">
      <formula>$R262:$R544&lt;=0</formula>
    </cfRule>
    <cfRule type="expression" dxfId="640" priority="644">
      <formula>$R262:$R544&lt;4</formula>
    </cfRule>
  </conditionalFormatting>
  <conditionalFormatting sqref="P262">
    <cfRule type="expression" dxfId="639" priority="640">
      <formula>$R262:$R610="End"</formula>
    </cfRule>
  </conditionalFormatting>
  <conditionalFormatting sqref="P262">
    <cfRule type="expression" dxfId="638" priority="639" stopIfTrue="1">
      <formula>$R262:$R610="Cancel"</formula>
    </cfRule>
  </conditionalFormatting>
  <conditionalFormatting sqref="P262">
    <cfRule type="expression" dxfId="637" priority="635">
      <formula>$X262:$X528="Penting"</formula>
    </cfRule>
    <cfRule type="expression" dxfId="636" priority="636">
      <formula>$R262:$R528=""</formula>
    </cfRule>
    <cfRule type="expression" dxfId="635" priority="637">
      <formula>$R262:$R528&lt;=0</formula>
    </cfRule>
    <cfRule type="expression" dxfId="634" priority="638">
      <formula>$R262:$R528&lt;4</formula>
    </cfRule>
  </conditionalFormatting>
  <conditionalFormatting sqref="R262">
    <cfRule type="expression" dxfId="633" priority="634">
      <formula>$R262:$R626="End"</formula>
    </cfRule>
  </conditionalFormatting>
  <conditionalFormatting sqref="R262">
    <cfRule type="expression" dxfId="632" priority="633" stopIfTrue="1">
      <formula>$R262:$R626="Cancel"</formula>
    </cfRule>
  </conditionalFormatting>
  <conditionalFormatting sqref="S262">
    <cfRule type="expression" dxfId="631" priority="629">
      <formula>$X262:$X540="Penting"</formula>
    </cfRule>
    <cfRule type="expression" dxfId="630" priority="630">
      <formula>$R262:$R540=""</formula>
    </cfRule>
    <cfRule type="expression" dxfId="629" priority="631">
      <formula>$R262:$R540&lt;=0</formula>
    </cfRule>
    <cfRule type="expression" dxfId="628" priority="632">
      <formula>$R262:$R540&lt;4</formula>
    </cfRule>
  </conditionalFormatting>
  <conditionalFormatting sqref="Q262">
    <cfRule type="expression" dxfId="627" priority="628">
      <formula>$R262:$R605="End"</formula>
    </cfRule>
  </conditionalFormatting>
  <conditionalFormatting sqref="Q262">
    <cfRule type="expression" dxfId="626" priority="627" stopIfTrue="1">
      <formula>$R262:$R605="Cancel"</formula>
    </cfRule>
  </conditionalFormatting>
  <conditionalFormatting sqref="S391:S396 T255:V262">
    <cfRule type="expression" dxfId="625" priority="623">
      <formula>$X255:$X598="Penting"</formula>
    </cfRule>
    <cfRule type="expression" dxfId="624" priority="624">
      <formula>$R255:$R598=""</formula>
    </cfRule>
    <cfRule type="expression" dxfId="623" priority="625">
      <formula>$R255:$R598&lt;=0</formula>
    </cfRule>
    <cfRule type="expression" dxfId="622" priority="626">
      <formula>$R255:$R598&lt;4</formula>
    </cfRule>
  </conditionalFormatting>
  <conditionalFormatting sqref="T178:V178">
    <cfRule type="expression" dxfId="621" priority="619">
      <formula>$X178:$X504="Penting"</formula>
    </cfRule>
    <cfRule type="expression" dxfId="620" priority="620">
      <formula>$R178:$R504=""</formula>
    </cfRule>
    <cfRule type="expression" dxfId="619" priority="621">
      <formula>$R178:$R504&lt;=0</formula>
    </cfRule>
    <cfRule type="expression" dxfId="618" priority="622">
      <formula>$R178:$R504&lt;4</formula>
    </cfRule>
  </conditionalFormatting>
  <conditionalFormatting sqref="E263">
    <cfRule type="expression" dxfId="617" priority="615">
      <formula>$X263:$X541="Penting"</formula>
    </cfRule>
    <cfRule type="expression" dxfId="616" priority="616">
      <formula>$R263:$R541=""</formula>
    </cfRule>
    <cfRule type="expression" dxfId="615" priority="617">
      <formula>$R263:$R541&lt;=0</formula>
    </cfRule>
    <cfRule type="expression" dxfId="614" priority="618">
      <formula>$R263:$R541&lt;4</formula>
    </cfRule>
  </conditionalFormatting>
  <conditionalFormatting sqref="C263:D263">
    <cfRule type="expression" dxfId="613" priority="611">
      <formula>$X263:$X537="Penting"</formula>
    </cfRule>
    <cfRule type="expression" dxfId="612" priority="612">
      <formula>$R263:$R537=""</formula>
    </cfRule>
    <cfRule type="expression" dxfId="611" priority="613">
      <formula>$R263:$R537&lt;=0</formula>
    </cfRule>
    <cfRule type="expression" dxfId="610" priority="614">
      <formula>$R263:$R537&lt;4</formula>
    </cfRule>
  </conditionalFormatting>
  <conditionalFormatting sqref="C263:D263">
    <cfRule type="expression" dxfId="609" priority="610">
      <formula>$R263:$R608="End"</formula>
    </cfRule>
  </conditionalFormatting>
  <conditionalFormatting sqref="C263:D263">
    <cfRule type="expression" dxfId="608" priority="609" stopIfTrue="1">
      <formula>$R263:$R608="Cancel"</formula>
    </cfRule>
  </conditionalFormatting>
  <conditionalFormatting sqref="C263:D263">
    <cfRule type="expression" dxfId="607" priority="605">
      <formula>$X263:$X543="Penting"</formula>
    </cfRule>
    <cfRule type="expression" dxfId="606" priority="606">
      <formula>$R263:$R543=""</formula>
    </cfRule>
    <cfRule type="expression" dxfId="605" priority="607">
      <formula>$R263:$R543&lt;=0</formula>
    </cfRule>
    <cfRule type="expression" dxfId="604" priority="608">
      <formula>$R263:$R543&lt;4</formula>
    </cfRule>
  </conditionalFormatting>
  <conditionalFormatting sqref="E263">
    <cfRule type="expression" dxfId="603" priority="604">
      <formula>$R263:$R606="End"</formula>
    </cfRule>
  </conditionalFormatting>
  <conditionalFormatting sqref="E263">
    <cfRule type="expression" dxfId="602" priority="603" stopIfTrue="1">
      <formula>$R263:$R606="Cancel"</formula>
    </cfRule>
  </conditionalFormatting>
  <conditionalFormatting sqref="C263:D263">
    <cfRule type="expression" dxfId="601" priority="599">
      <formula>$X263:$X538="Penting"</formula>
    </cfRule>
    <cfRule type="expression" dxfId="600" priority="600">
      <formula>$R263:$R538=""</formula>
    </cfRule>
    <cfRule type="expression" dxfId="599" priority="601">
      <formula>$R263:$R538&lt;=0</formula>
    </cfRule>
    <cfRule type="expression" dxfId="598" priority="602">
      <formula>$R263:$R538&lt;4</formula>
    </cfRule>
  </conditionalFormatting>
  <conditionalFormatting sqref="S263">
    <cfRule type="expression" dxfId="597" priority="598">
      <formula>$R263:$R606="End"</formula>
    </cfRule>
  </conditionalFormatting>
  <conditionalFormatting sqref="S263">
    <cfRule type="expression" dxfId="596" priority="597" stopIfTrue="1">
      <formula>$R263:$R606="Cancel"</formula>
    </cfRule>
  </conditionalFormatting>
  <conditionalFormatting sqref="Q263">
    <cfRule type="expression" dxfId="595" priority="593">
      <formula>$X263:$X541="Penting"</formula>
    </cfRule>
    <cfRule type="expression" dxfId="594" priority="594">
      <formula>$R263:$R541=""</formula>
    </cfRule>
    <cfRule type="expression" dxfId="593" priority="595">
      <formula>$R263:$R541&lt;=0</formula>
    </cfRule>
    <cfRule type="expression" dxfId="592" priority="596">
      <formula>$R263:$R541&lt;4</formula>
    </cfRule>
  </conditionalFormatting>
  <conditionalFormatting sqref="W263:X263">
    <cfRule type="expression" dxfId="591" priority="589">
      <formula>$X263:$X541="Penting"</formula>
    </cfRule>
    <cfRule type="expression" dxfId="590" priority="590">
      <formula>$R263:$R541=""</formula>
    </cfRule>
    <cfRule type="expression" dxfId="589" priority="591">
      <formula>$R263:$R541&lt;=0</formula>
    </cfRule>
    <cfRule type="expression" dxfId="588" priority="592">
      <formula>$R263:$R541&lt;4</formula>
    </cfRule>
  </conditionalFormatting>
  <conditionalFormatting sqref="T263:X263">
    <cfRule type="expression" dxfId="587" priority="588">
      <formula>$R263:$R606="End"</formula>
    </cfRule>
  </conditionalFormatting>
  <conditionalFormatting sqref="T263:X263">
    <cfRule type="expression" dxfId="586" priority="587" stopIfTrue="1">
      <formula>$R263:$R606="Cancel"</formula>
    </cfRule>
  </conditionalFormatting>
  <conditionalFormatting sqref="R263">
    <cfRule type="expression" dxfId="585" priority="583">
      <formula>$X263:$X545="Penting"</formula>
    </cfRule>
    <cfRule type="expression" dxfId="584" priority="584">
      <formula>$R263:$R545=""</formula>
    </cfRule>
    <cfRule type="expression" dxfId="583" priority="585">
      <formula>$R263:$R545&lt;=0</formula>
    </cfRule>
    <cfRule type="expression" dxfId="582" priority="586">
      <formula>$R263:$R545&lt;4</formula>
    </cfRule>
  </conditionalFormatting>
  <conditionalFormatting sqref="P263">
    <cfRule type="expression" dxfId="581" priority="582">
      <formula>$R263:$R611="End"</formula>
    </cfRule>
  </conditionalFormatting>
  <conditionalFormatting sqref="P263">
    <cfRule type="expression" dxfId="580" priority="581" stopIfTrue="1">
      <formula>$R263:$R611="Cancel"</formula>
    </cfRule>
  </conditionalFormatting>
  <conditionalFormatting sqref="P263">
    <cfRule type="expression" dxfId="579" priority="577">
      <formula>$X263:$X529="Penting"</formula>
    </cfRule>
    <cfRule type="expression" dxfId="578" priority="578">
      <formula>$R263:$R529=""</formula>
    </cfRule>
    <cfRule type="expression" dxfId="577" priority="579">
      <formula>$R263:$R529&lt;=0</formula>
    </cfRule>
    <cfRule type="expression" dxfId="576" priority="580">
      <formula>$R263:$R529&lt;4</formula>
    </cfRule>
  </conditionalFormatting>
  <conditionalFormatting sqref="R263">
    <cfRule type="expression" dxfId="575" priority="576">
      <formula>$R263:$R627="End"</formula>
    </cfRule>
  </conditionalFormatting>
  <conditionalFormatting sqref="R263">
    <cfRule type="expression" dxfId="574" priority="575" stopIfTrue="1">
      <formula>$R263:$R627="Cancel"</formula>
    </cfRule>
  </conditionalFormatting>
  <conditionalFormatting sqref="S263">
    <cfRule type="expression" dxfId="573" priority="571">
      <formula>$X263:$X647="Penting"</formula>
    </cfRule>
    <cfRule type="expression" dxfId="572" priority="572">
      <formula>$R263:$R647=""</formula>
    </cfRule>
    <cfRule type="expression" dxfId="571" priority="573">
      <formula>$R263:$R647&lt;=0</formula>
    </cfRule>
    <cfRule type="expression" dxfId="570" priority="574">
      <formula>$R263:$R647&lt;4</formula>
    </cfRule>
  </conditionalFormatting>
  <conditionalFormatting sqref="S263">
    <cfRule type="expression" dxfId="569" priority="567">
      <formula>$X263:$X541="Penting"</formula>
    </cfRule>
    <cfRule type="expression" dxfId="568" priority="568">
      <formula>$R263:$R541=""</formula>
    </cfRule>
    <cfRule type="expression" dxfId="567" priority="569">
      <formula>$R263:$R541&lt;=0</formula>
    </cfRule>
    <cfRule type="expression" dxfId="566" priority="570">
      <formula>$R263:$R541&lt;4</formula>
    </cfRule>
  </conditionalFormatting>
  <conditionalFormatting sqref="Q263">
    <cfRule type="expression" dxfId="565" priority="566">
      <formula>$R263:$R606="End"</formula>
    </cfRule>
  </conditionalFormatting>
  <conditionalFormatting sqref="Q263">
    <cfRule type="expression" dxfId="564" priority="565" stopIfTrue="1">
      <formula>$R263:$R606="Cancel"</formula>
    </cfRule>
  </conditionalFormatting>
  <conditionalFormatting sqref="T263:V263">
    <cfRule type="expression" dxfId="563" priority="561">
      <formula>$X263:$X606="Penting"</formula>
    </cfRule>
    <cfRule type="expression" dxfId="562" priority="562">
      <formula>$R263:$R606=""</formula>
    </cfRule>
    <cfRule type="expression" dxfId="561" priority="563">
      <formula>$R263:$R606&lt;=0</formula>
    </cfRule>
    <cfRule type="expression" dxfId="560" priority="564">
      <formula>$R263:$R606&lt;4</formula>
    </cfRule>
  </conditionalFormatting>
  <conditionalFormatting sqref="B264">
    <cfRule type="expression" dxfId="559" priority="560">
      <formula>$R264:$R601="End"</formula>
    </cfRule>
  </conditionalFormatting>
  <conditionalFormatting sqref="B264">
    <cfRule type="expression" dxfId="558" priority="559" stopIfTrue="1">
      <formula>$R264:$R601="Cancel"</formula>
    </cfRule>
  </conditionalFormatting>
  <conditionalFormatting sqref="AB255:AC255">
    <cfRule type="expression" dxfId="557" priority="555">
      <formula>$X255:$X545="Penting"</formula>
    </cfRule>
    <cfRule type="expression" dxfId="556" priority="556">
      <formula>$R255:$R545=""</formula>
    </cfRule>
    <cfRule type="expression" dxfId="555" priority="557">
      <formula>$R255:$R545&lt;=0</formula>
    </cfRule>
    <cfRule type="expression" dxfId="554" priority="558">
      <formula>$R255:$R545&lt;4</formula>
    </cfRule>
  </conditionalFormatting>
  <conditionalFormatting sqref="Q169 AA251:AC252 AB253:AC253 P194:P195 L169:O169 S169:Y169 C168 AD169:AM169 S168 AO169:AR169 B169:J169 P191:P192">
    <cfRule type="expression" dxfId="553" priority="554">
      <formula>$R168:$R541="End"</formula>
    </cfRule>
  </conditionalFormatting>
  <conditionalFormatting sqref="Q169 AA251:AC252 AB253:AC253 P194:P195 L169:O169 S169:Y169 C168 AD169:AM169 S168 AO169:AR169 B169:J169 P191:P192">
    <cfRule type="expression" dxfId="552" priority="553" stopIfTrue="1">
      <formula>$R168:$R541="Cancel"</formula>
    </cfRule>
  </conditionalFormatting>
  <conditionalFormatting sqref="B265">
    <cfRule type="expression" dxfId="551" priority="549">
      <formula>$X265:$X543="Penting"</formula>
    </cfRule>
    <cfRule type="expression" dxfId="550" priority="550">
      <formula>$R265:$R543=""</formula>
    </cfRule>
    <cfRule type="expression" dxfId="549" priority="551">
      <formula>$R265:$R543&lt;=0</formula>
    </cfRule>
    <cfRule type="expression" dxfId="548" priority="552">
      <formula>$R265:$R543&lt;4</formula>
    </cfRule>
  </conditionalFormatting>
  <conditionalFormatting sqref="B265">
    <cfRule type="expression" dxfId="547" priority="548">
      <formula>$R265:$R608="End"</formula>
    </cfRule>
  </conditionalFormatting>
  <conditionalFormatting sqref="B265">
    <cfRule type="expression" dxfId="546" priority="547" stopIfTrue="1">
      <formula>$R265:$R608="Cancel"</formula>
    </cfRule>
  </conditionalFormatting>
  <conditionalFormatting sqref="E265">
    <cfRule type="expression" dxfId="545" priority="543">
      <formula>$X265:$X543="Penting"</formula>
    </cfRule>
    <cfRule type="expression" dxfId="544" priority="544">
      <formula>$R265:$R543=""</formula>
    </cfRule>
    <cfRule type="expression" dxfId="543" priority="545">
      <formula>$R265:$R543&lt;=0</formula>
    </cfRule>
    <cfRule type="expression" dxfId="542" priority="546">
      <formula>$R265:$R543&lt;4</formula>
    </cfRule>
  </conditionalFormatting>
  <conditionalFormatting sqref="C265:D265">
    <cfRule type="expression" dxfId="541" priority="539">
      <formula>$X265:$X539="Penting"</formula>
    </cfRule>
    <cfRule type="expression" dxfId="540" priority="540">
      <formula>$R265:$R539=""</formula>
    </cfRule>
    <cfRule type="expression" dxfId="539" priority="541">
      <formula>$R265:$R539&lt;=0</formula>
    </cfRule>
    <cfRule type="expression" dxfId="538" priority="542">
      <formula>$R265:$R539&lt;4</formula>
    </cfRule>
  </conditionalFormatting>
  <conditionalFormatting sqref="C265:D265">
    <cfRule type="expression" dxfId="537" priority="538">
      <formula>$R265:$R610="End"</formula>
    </cfRule>
  </conditionalFormatting>
  <conditionalFormatting sqref="C265:D265">
    <cfRule type="expression" dxfId="536" priority="537" stopIfTrue="1">
      <formula>$R265:$R610="Cancel"</formula>
    </cfRule>
  </conditionalFormatting>
  <conditionalFormatting sqref="C265:D265">
    <cfRule type="expression" dxfId="535" priority="533">
      <formula>$X265:$X545="Penting"</formula>
    </cfRule>
    <cfRule type="expression" dxfId="534" priority="534">
      <formula>$R265:$R545=""</formula>
    </cfRule>
    <cfRule type="expression" dxfId="533" priority="535">
      <formula>$R265:$R545&lt;=0</formula>
    </cfRule>
    <cfRule type="expression" dxfId="532" priority="536">
      <formula>$R265:$R545&lt;4</formula>
    </cfRule>
  </conditionalFormatting>
  <conditionalFormatting sqref="E265">
    <cfRule type="expression" dxfId="531" priority="532">
      <formula>$R265:$R608="End"</formula>
    </cfRule>
  </conditionalFormatting>
  <conditionalFormatting sqref="E265">
    <cfRule type="expression" dxfId="530" priority="531" stopIfTrue="1">
      <formula>$R265:$R608="Cancel"</formula>
    </cfRule>
  </conditionalFormatting>
  <conditionalFormatting sqref="C265:D265">
    <cfRule type="expression" dxfId="529" priority="527">
      <formula>$X265:$X540="Penting"</formula>
    </cfRule>
    <cfRule type="expression" dxfId="528" priority="528">
      <formula>$R265:$R540=""</formula>
    </cfRule>
    <cfRule type="expression" dxfId="527" priority="529">
      <formula>$R265:$R540&lt;=0</formula>
    </cfRule>
    <cfRule type="expression" dxfId="526" priority="530">
      <formula>$R265:$R540&lt;4</formula>
    </cfRule>
  </conditionalFormatting>
  <conditionalFormatting sqref="S265">
    <cfRule type="expression" dxfId="525" priority="526">
      <formula>$R265:$R608="End"</formula>
    </cfRule>
  </conditionalFormatting>
  <conditionalFormatting sqref="S265">
    <cfRule type="expression" dxfId="524" priority="525" stopIfTrue="1">
      <formula>$R265:$R608="Cancel"</formula>
    </cfRule>
  </conditionalFormatting>
  <conditionalFormatting sqref="Q265">
    <cfRule type="expression" dxfId="523" priority="521">
      <formula>$X265:$X543="Penting"</formula>
    </cfRule>
    <cfRule type="expression" dxfId="522" priority="522">
      <formula>$R265:$R543=""</formula>
    </cfRule>
    <cfRule type="expression" dxfId="521" priority="523">
      <formula>$R265:$R543&lt;=0</formula>
    </cfRule>
    <cfRule type="expression" dxfId="520" priority="524">
      <formula>$R265:$R543&lt;4</formula>
    </cfRule>
  </conditionalFormatting>
  <conditionalFormatting sqref="W265:X265">
    <cfRule type="expression" dxfId="519" priority="517">
      <formula>$X265:$X543="Penting"</formula>
    </cfRule>
    <cfRule type="expression" dxfId="518" priority="518">
      <formula>$R265:$R543=""</formula>
    </cfRule>
    <cfRule type="expression" dxfId="517" priority="519">
      <formula>$R265:$R543&lt;=0</formula>
    </cfRule>
    <cfRule type="expression" dxfId="516" priority="520">
      <formula>$R265:$R543&lt;4</formula>
    </cfRule>
  </conditionalFormatting>
  <conditionalFormatting sqref="T265:X265">
    <cfRule type="expression" dxfId="515" priority="516">
      <formula>$R265:$R608="End"</formula>
    </cfRule>
  </conditionalFormatting>
  <conditionalFormatting sqref="T265:X265">
    <cfRule type="expression" dxfId="514" priority="515" stopIfTrue="1">
      <formula>$R265:$R608="Cancel"</formula>
    </cfRule>
  </conditionalFormatting>
  <conditionalFormatting sqref="R265">
    <cfRule type="expression" dxfId="513" priority="511">
      <formula>$X265:$X547="Penting"</formula>
    </cfRule>
    <cfRule type="expression" dxfId="512" priority="512">
      <formula>$R265:$R547=""</formula>
    </cfRule>
    <cfRule type="expression" dxfId="511" priority="513">
      <formula>$R265:$R547&lt;=0</formula>
    </cfRule>
    <cfRule type="expression" dxfId="510" priority="514">
      <formula>$R265:$R547&lt;4</formula>
    </cfRule>
  </conditionalFormatting>
  <conditionalFormatting sqref="P265">
    <cfRule type="expression" dxfId="509" priority="510">
      <formula>$R265:$R613="End"</formula>
    </cfRule>
  </conditionalFormatting>
  <conditionalFormatting sqref="P265">
    <cfRule type="expression" dxfId="508" priority="509" stopIfTrue="1">
      <formula>$R265:$R613="Cancel"</formula>
    </cfRule>
  </conditionalFormatting>
  <conditionalFormatting sqref="P265">
    <cfRule type="expression" dxfId="507" priority="505">
      <formula>$X265:$X531="Penting"</formula>
    </cfRule>
    <cfRule type="expression" dxfId="506" priority="506">
      <formula>$R265:$R531=""</formula>
    </cfRule>
    <cfRule type="expression" dxfId="505" priority="507">
      <formula>$R265:$R531&lt;=0</formula>
    </cfRule>
    <cfRule type="expression" dxfId="504" priority="508">
      <formula>$R265:$R531&lt;4</formula>
    </cfRule>
  </conditionalFormatting>
  <conditionalFormatting sqref="R265">
    <cfRule type="expression" dxfId="503" priority="504">
      <formula>$R265:$R629="End"</formula>
    </cfRule>
  </conditionalFormatting>
  <conditionalFormatting sqref="R265">
    <cfRule type="expression" dxfId="502" priority="503" stopIfTrue="1">
      <formula>$R265:$R629="Cancel"</formula>
    </cfRule>
  </conditionalFormatting>
  <conditionalFormatting sqref="S265">
    <cfRule type="expression" dxfId="501" priority="499">
      <formula>$X265:$X649="Penting"</formula>
    </cfRule>
    <cfRule type="expression" dxfId="500" priority="500">
      <formula>$R265:$R649=""</formula>
    </cfRule>
    <cfRule type="expression" dxfId="499" priority="501">
      <formula>$R265:$R649&lt;=0</formula>
    </cfRule>
    <cfRule type="expression" dxfId="498" priority="502">
      <formula>$R265:$R649&lt;4</formula>
    </cfRule>
  </conditionalFormatting>
  <conditionalFormatting sqref="S265">
    <cfRule type="expression" dxfId="497" priority="495">
      <formula>$X265:$X543="Penting"</formula>
    </cfRule>
    <cfRule type="expression" dxfId="496" priority="496">
      <formula>$R265:$R543=""</formula>
    </cfRule>
    <cfRule type="expression" dxfId="495" priority="497">
      <formula>$R265:$R543&lt;=0</formula>
    </cfRule>
    <cfRule type="expression" dxfId="494" priority="498">
      <formula>$R265:$R543&lt;4</formula>
    </cfRule>
  </conditionalFormatting>
  <conditionalFormatting sqref="Q265">
    <cfRule type="expression" dxfId="493" priority="494">
      <formula>$R265:$R608="End"</formula>
    </cfRule>
  </conditionalFormatting>
  <conditionalFormatting sqref="Q265">
    <cfRule type="expression" dxfId="492" priority="493" stopIfTrue="1">
      <formula>$R265:$R608="Cancel"</formula>
    </cfRule>
  </conditionalFormatting>
  <conditionalFormatting sqref="T265:V265">
    <cfRule type="expression" dxfId="491" priority="489">
      <formula>$X265:$X608="Penting"</formula>
    </cfRule>
    <cfRule type="expression" dxfId="490" priority="490">
      <formula>$R265:$R608=""</formula>
    </cfRule>
    <cfRule type="expression" dxfId="489" priority="491">
      <formula>$R265:$R608&lt;=0</formula>
    </cfRule>
    <cfRule type="expression" dxfId="488" priority="492">
      <formula>$R265:$R608&lt;4</formula>
    </cfRule>
  </conditionalFormatting>
  <conditionalFormatting sqref="W283:Z283">
    <cfRule type="expression" dxfId="487" priority="485">
      <formula>$X283:$X548="Penting"</formula>
    </cfRule>
    <cfRule type="expression" dxfId="486" priority="486">
      <formula>$R283:$R548=""</formula>
    </cfRule>
    <cfRule type="expression" dxfId="485" priority="487">
      <formula>$R283:$R548&lt;=0</formula>
    </cfRule>
    <cfRule type="expression" dxfId="484" priority="488">
      <formula>$R283:$R548&lt;4</formula>
    </cfRule>
  </conditionalFormatting>
  <conditionalFormatting sqref="AS253:AT254">
    <cfRule type="expression" dxfId="483" priority="481">
      <formula>$X253:$X601="Penting"</formula>
    </cfRule>
    <cfRule type="expression" dxfId="482" priority="482">
      <formula>$R253:$R601=""</formula>
    </cfRule>
    <cfRule type="expression" dxfId="481" priority="483">
      <formula>$R253:$R601&lt;=0</formula>
    </cfRule>
    <cfRule type="expression" dxfId="480" priority="484">
      <formula>$R253:$R601&lt;4</formula>
    </cfRule>
  </conditionalFormatting>
  <conditionalFormatting sqref="Q169">
    <cfRule type="expression" dxfId="479" priority="477">
      <formula>$X169:$X469="Penting"</formula>
    </cfRule>
    <cfRule type="expression" dxfId="478" priority="478">
      <formula>$R169:$R469=""</formula>
    </cfRule>
    <cfRule type="expression" dxfId="477" priority="479">
      <formula>$R169:$R469&lt;=0</formula>
    </cfRule>
    <cfRule type="expression" dxfId="476" priority="480">
      <formula>$R169:$R469&lt;4</formula>
    </cfRule>
  </conditionalFormatting>
  <conditionalFormatting sqref="J371">
    <cfRule type="expression" dxfId="475" priority="476">
      <formula>$R371:$R685="End"</formula>
    </cfRule>
  </conditionalFormatting>
  <conditionalFormatting sqref="J371">
    <cfRule type="expression" dxfId="474" priority="475" stopIfTrue="1">
      <formula>$R371:$R685="Cancel"</formula>
    </cfRule>
  </conditionalFormatting>
  <conditionalFormatting sqref="J371">
    <cfRule type="expression" dxfId="473" priority="471">
      <formula>$X371:$X620="Penting"</formula>
    </cfRule>
    <cfRule type="expression" dxfId="472" priority="472">
      <formula>$R371:$R620=""</formula>
    </cfRule>
    <cfRule type="expression" dxfId="471" priority="473">
      <formula>$R371:$R620&lt;=0</formula>
    </cfRule>
    <cfRule type="expression" dxfId="470" priority="474">
      <formula>$R371:$R620&lt;4</formula>
    </cfRule>
  </conditionalFormatting>
  <conditionalFormatting sqref="T371:V371 T358:V363 T365:V369">
    <cfRule type="expression" dxfId="469" priority="467">
      <formula>$X358:$X672="Penting"</formula>
    </cfRule>
    <cfRule type="expression" dxfId="468" priority="468">
      <formula>$R358:$R672=""</formula>
    </cfRule>
    <cfRule type="expression" dxfId="467" priority="469">
      <formula>$R358:$R672&lt;=0</formula>
    </cfRule>
    <cfRule type="expression" dxfId="466" priority="470">
      <formula>$R358:$R672&lt;4</formula>
    </cfRule>
  </conditionalFormatting>
  <conditionalFormatting sqref="Q371">
    <cfRule type="expression" dxfId="465" priority="466">
      <formula>$R371:$R685="End"</formula>
    </cfRule>
  </conditionalFormatting>
  <conditionalFormatting sqref="Q371">
    <cfRule type="expression" dxfId="464" priority="465" stopIfTrue="1">
      <formula>$R371:$R685="Cancel"</formula>
    </cfRule>
  </conditionalFormatting>
  <conditionalFormatting sqref="Q371">
    <cfRule type="expression" dxfId="463" priority="461">
      <formula>$X371:$X620="Penting"</formula>
    </cfRule>
    <cfRule type="expression" dxfId="462" priority="462">
      <formula>$R371:$R620=""</formula>
    </cfRule>
    <cfRule type="expression" dxfId="461" priority="463">
      <formula>$R371:$R620&lt;=0</formula>
    </cfRule>
    <cfRule type="expression" dxfId="460" priority="464">
      <formula>$R371:$R620&lt;4</formula>
    </cfRule>
  </conditionalFormatting>
  <conditionalFormatting sqref="P371">
    <cfRule type="expression" dxfId="459" priority="457">
      <formula>$X371:$X614="Penting"</formula>
    </cfRule>
    <cfRule type="expression" dxfId="458" priority="458">
      <formula>$R371:$R614=""</formula>
    </cfRule>
    <cfRule type="expression" dxfId="457" priority="459">
      <formula>$R371:$R614&lt;=0</formula>
    </cfRule>
    <cfRule type="expression" dxfId="456" priority="460">
      <formula>$R371:$R614&lt;4</formula>
    </cfRule>
  </conditionalFormatting>
  <conditionalFormatting sqref="P371">
    <cfRule type="expression" dxfId="455" priority="456">
      <formula>$R371:$R696="End"</formula>
    </cfRule>
  </conditionalFormatting>
  <conditionalFormatting sqref="P371">
    <cfRule type="expression" dxfId="454" priority="455" stopIfTrue="1">
      <formula>$R371:$R696="Cancel"</formula>
    </cfRule>
  </conditionalFormatting>
  <conditionalFormatting sqref="Y291">
    <cfRule type="expression" dxfId="453" priority="451">
      <formula>$X291:$X552="Penting"</formula>
    </cfRule>
    <cfRule type="expression" dxfId="452" priority="452">
      <formula>$R291:$R552=""</formula>
    </cfRule>
    <cfRule type="expression" dxfId="451" priority="453">
      <formula>$R291:$R552&lt;=0</formula>
    </cfRule>
    <cfRule type="expression" dxfId="450" priority="454">
      <formula>$R291:$R552&lt;4</formula>
    </cfRule>
  </conditionalFormatting>
  <conditionalFormatting sqref="Y291">
    <cfRule type="expression" dxfId="449" priority="450">
      <formula>$R291:$R617="End"</formula>
    </cfRule>
  </conditionalFormatting>
  <conditionalFormatting sqref="Y291">
    <cfRule type="expression" dxfId="448" priority="449" stopIfTrue="1">
      <formula>$R291:$R617="Cancel"</formula>
    </cfRule>
  </conditionalFormatting>
  <conditionalFormatting sqref="Y293">
    <cfRule type="expression" dxfId="447" priority="445">
      <formula>$X293:$X554="Penting"</formula>
    </cfRule>
    <cfRule type="expression" dxfId="446" priority="446">
      <formula>$R293:$R554=""</formula>
    </cfRule>
    <cfRule type="expression" dxfId="445" priority="447">
      <formula>$R293:$R554&lt;=0</formula>
    </cfRule>
    <cfRule type="expression" dxfId="444" priority="448">
      <formula>$R293:$R554&lt;4</formula>
    </cfRule>
  </conditionalFormatting>
  <conditionalFormatting sqref="Y293">
    <cfRule type="expression" dxfId="443" priority="444">
      <formula>$R293:$R619="End"</formula>
    </cfRule>
  </conditionalFormatting>
  <conditionalFormatting sqref="Y293">
    <cfRule type="expression" dxfId="442" priority="443" stopIfTrue="1">
      <formula>$R293:$R619="Cancel"</formula>
    </cfRule>
  </conditionalFormatting>
  <conditionalFormatting sqref="Y297">
    <cfRule type="expression" dxfId="441" priority="439">
      <formula>$X297:$X558="Penting"</formula>
    </cfRule>
    <cfRule type="expression" dxfId="440" priority="440">
      <formula>$R297:$R558=""</formula>
    </cfRule>
    <cfRule type="expression" dxfId="439" priority="441">
      <formula>$R297:$R558&lt;=0</formula>
    </cfRule>
    <cfRule type="expression" dxfId="438" priority="442">
      <formula>$R297:$R558&lt;4</formula>
    </cfRule>
  </conditionalFormatting>
  <conditionalFormatting sqref="Y297">
    <cfRule type="expression" dxfId="437" priority="438">
      <formula>$R297:$R623="End"</formula>
    </cfRule>
  </conditionalFormatting>
  <conditionalFormatting sqref="Y297">
    <cfRule type="expression" dxfId="436" priority="437" stopIfTrue="1">
      <formula>$R297:$R623="Cancel"</formula>
    </cfRule>
  </conditionalFormatting>
  <conditionalFormatting sqref="Y296">
    <cfRule type="expression" dxfId="435" priority="433">
      <formula>$X296:$X557="Penting"</formula>
    </cfRule>
    <cfRule type="expression" dxfId="434" priority="434">
      <formula>$R296:$R557=""</formula>
    </cfRule>
    <cfRule type="expression" dxfId="433" priority="435">
      <formula>$R296:$R557&lt;=0</formula>
    </cfRule>
    <cfRule type="expression" dxfId="432" priority="436">
      <formula>$R296:$R557&lt;4</formula>
    </cfRule>
  </conditionalFormatting>
  <conditionalFormatting sqref="Y296">
    <cfRule type="expression" dxfId="431" priority="432">
      <formula>$R296:$R622="End"</formula>
    </cfRule>
  </conditionalFormatting>
  <conditionalFormatting sqref="Y296">
    <cfRule type="expression" dxfId="430" priority="431" stopIfTrue="1">
      <formula>$R296:$R622="Cancel"</formula>
    </cfRule>
  </conditionalFormatting>
  <conditionalFormatting sqref="Y299">
    <cfRule type="expression" dxfId="429" priority="427">
      <formula>$X299:$X560="Penting"</formula>
    </cfRule>
    <cfRule type="expression" dxfId="428" priority="428">
      <formula>$R299:$R560=""</formula>
    </cfRule>
    <cfRule type="expression" dxfId="427" priority="429">
      <formula>$R299:$R560&lt;=0</formula>
    </cfRule>
    <cfRule type="expression" dxfId="426" priority="430">
      <formula>$R299:$R560&lt;4</formula>
    </cfRule>
  </conditionalFormatting>
  <conditionalFormatting sqref="Y299">
    <cfRule type="expression" dxfId="425" priority="426">
      <formula>$R299:$R625="End"</formula>
    </cfRule>
  </conditionalFormatting>
  <conditionalFormatting sqref="Y299">
    <cfRule type="expression" dxfId="424" priority="425" stopIfTrue="1">
      <formula>$R299:$R625="Cancel"</formula>
    </cfRule>
  </conditionalFormatting>
  <conditionalFormatting sqref="Y298">
    <cfRule type="expression" dxfId="423" priority="421">
      <formula>$X298:$X559="Penting"</formula>
    </cfRule>
    <cfRule type="expression" dxfId="422" priority="422">
      <formula>$R298:$R559=""</formula>
    </cfRule>
    <cfRule type="expression" dxfId="421" priority="423">
      <formula>$R298:$R559&lt;=0</formula>
    </cfRule>
    <cfRule type="expression" dxfId="420" priority="424">
      <formula>$R298:$R559&lt;4</formula>
    </cfRule>
  </conditionalFormatting>
  <conditionalFormatting sqref="Y298">
    <cfRule type="expression" dxfId="419" priority="420">
      <formula>$R298:$R624="End"</formula>
    </cfRule>
  </conditionalFormatting>
  <conditionalFormatting sqref="Y298">
    <cfRule type="expression" dxfId="418" priority="419" stopIfTrue="1">
      <formula>$R298:$R624="Cancel"</formula>
    </cfRule>
  </conditionalFormatting>
  <conditionalFormatting sqref="Y292">
    <cfRule type="expression" dxfId="417" priority="415">
      <formula>$X292:$X553="Penting"</formula>
    </cfRule>
    <cfRule type="expression" dxfId="416" priority="416">
      <formula>$R292:$R553=""</formula>
    </cfRule>
    <cfRule type="expression" dxfId="415" priority="417">
      <formula>$R292:$R553&lt;=0</formula>
    </cfRule>
    <cfRule type="expression" dxfId="414" priority="418">
      <formula>$R292:$R553&lt;4</formula>
    </cfRule>
  </conditionalFormatting>
  <conditionalFormatting sqref="Y292">
    <cfRule type="expression" dxfId="413" priority="414">
      <formula>$R292:$R618="End"</formula>
    </cfRule>
  </conditionalFormatting>
  <conditionalFormatting sqref="Y292">
    <cfRule type="expression" dxfId="412" priority="413" stopIfTrue="1">
      <formula>$R292:$R618="Cancel"</formula>
    </cfRule>
  </conditionalFormatting>
  <conditionalFormatting sqref="G157 B158:O159 Q158:Z159 C161:C166 AD158:AR159 S162:X166 R184:R189 R160">
    <cfRule type="expression" dxfId="411" priority="412">
      <formula>$R157:$R540="End"</formula>
    </cfRule>
  </conditionalFormatting>
  <conditionalFormatting sqref="G157 B158:O159 Q158:Z159 C161:C166 AD158:AR159 S162:X166 R184:R189 R160">
    <cfRule type="expression" dxfId="410" priority="411" stopIfTrue="1">
      <formula>$R157:$R540="Cancel"</formula>
    </cfRule>
  </conditionalFormatting>
  <conditionalFormatting sqref="T183:V183 AS177:AT182">
    <cfRule type="expression" dxfId="409" priority="407">
      <formula>$X177:$X547="Penting"</formula>
    </cfRule>
    <cfRule type="expression" dxfId="408" priority="408">
      <formula>$R177:$R547=""</formula>
    </cfRule>
    <cfRule type="expression" dxfId="407" priority="409">
      <formula>$R177:$R547&lt;=0</formula>
    </cfRule>
    <cfRule type="expression" dxfId="406" priority="410">
      <formula>$R177:$R547&lt;4</formula>
    </cfRule>
  </conditionalFormatting>
  <conditionalFormatting sqref="AD167:AR167 B167:B168 D167:O168 Q167:Q168 Y167:Z167 AD168:AM168 AO168:AR168 Y168">
    <cfRule type="expression" dxfId="405" priority="406">
      <formula>$R167:$R546="End"</formula>
    </cfRule>
  </conditionalFormatting>
  <conditionalFormatting sqref="AD167:AR167 B167:B168 D167:O168 Q167:Q168 Y167:Z167 AD168:AM168 AO168:AR168 Y168">
    <cfRule type="expression" dxfId="404" priority="405" stopIfTrue="1">
      <formula>$R167:$R546="Cancel"</formula>
    </cfRule>
  </conditionalFormatting>
  <conditionalFormatting sqref="Z177:AC177 A191:A254 Z182:Z183 AA179:AC189 Z186 R141 B142:Y142 B144:G144 B143:Q143 AD142:AM145 AO142:AR146 I144:Q144 B145:Q146 R143:Y146 AD146:AE146">
    <cfRule type="expression" dxfId="403" priority="404">
      <formula>$R141:$R530="End"</formula>
    </cfRule>
  </conditionalFormatting>
  <conditionalFormatting sqref="Z177:AC177 A191:A254 Z182:Z183 AA179:AC189 Z186 R141 B142:Y142 B144:G144 B143:Q143 AD142:AM145 AO142:AR146 I144:Q144 B145:Q146 R143:Y146 AD146:AE146">
    <cfRule type="expression" dxfId="402" priority="403" stopIfTrue="1">
      <formula>$R141:$R530="Cancel"</formula>
    </cfRule>
  </conditionalFormatting>
  <conditionalFormatting sqref="Y184:Z184 Q183:Q184 B183:O184 AD183:AM184 AO183:AR184 W183:Y183 S183">
    <cfRule type="expression" dxfId="401" priority="399">
      <formula>$X183:$X480="Penting"</formula>
    </cfRule>
    <cfRule type="expression" dxfId="400" priority="400">
      <formula>$R183:$R480=""</formula>
    </cfRule>
    <cfRule type="expression" dxfId="399" priority="401">
      <formula>$R183:$R480&lt;=0</formula>
    </cfRule>
    <cfRule type="expression" dxfId="398" priority="402">
      <formula>$R183:$R480&lt;4</formula>
    </cfRule>
  </conditionalFormatting>
  <conditionalFormatting sqref="S183:Y183">
    <cfRule type="expression" dxfId="397" priority="398">
      <formula>$R183:$R553="End"</formula>
    </cfRule>
  </conditionalFormatting>
  <conditionalFormatting sqref="S183:Y183">
    <cfRule type="expression" dxfId="396" priority="397" stopIfTrue="1">
      <formula>$R183:$R553="Cancel"</formula>
    </cfRule>
  </conditionalFormatting>
  <conditionalFormatting sqref="AA190:AC190">
    <cfRule type="expression" dxfId="395" priority="393">
      <formula>$X190:$X497="Penting"</formula>
    </cfRule>
    <cfRule type="expression" dxfId="394" priority="394">
      <formula>$R190:$R497=""</formula>
    </cfRule>
    <cfRule type="expression" dxfId="393" priority="395">
      <formula>$R190:$R497&lt;=0</formula>
    </cfRule>
    <cfRule type="expression" dxfId="392" priority="396">
      <formula>$R190:$R497&lt;4</formula>
    </cfRule>
  </conditionalFormatting>
  <conditionalFormatting sqref="Q190">
    <cfRule type="expression" dxfId="391" priority="392">
      <formula>$R190:$R558="End"</formula>
    </cfRule>
  </conditionalFormatting>
  <conditionalFormatting sqref="Q190">
    <cfRule type="expression" dxfId="390" priority="391" stopIfTrue="1">
      <formula>$R190:$R558="Cancel"</formula>
    </cfRule>
  </conditionalFormatting>
  <conditionalFormatting sqref="Q190">
    <cfRule type="expression" dxfId="389" priority="387">
      <formula>$X190:$X485="Penting"</formula>
    </cfRule>
    <cfRule type="expression" dxfId="388" priority="388">
      <formula>$R190:$R485=""</formula>
    </cfRule>
    <cfRule type="expression" dxfId="387" priority="389">
      <formula>$R190:$R485&lt;=0</formula>
    </cfRule>
    <cfRule type="expression" dxfId="386" priority="390">
      <formula>$R190:$R485&lt;4</formula>
    </cfRule>
  </conditionalFormatting>
  <conditionalFormatting sqref="W190:Z190">
    <cfRule type="expression" dxfId="385" priority="383">
      <formula>$X190:$X486="Penting"</formula>
    </cfRule>
    <cfRule type="expression" dxfId="384" priority="384">
      <formula>$R190:$R486=""</formula>
    </cfRule>
    <cfRule type="expression" dxfId="383" priority="385">
      <formula>$R190:$R486&lt;=0</formula>
    </cfRule>
    <cfRule type="expression" dxfId="382" priority="386">
      <formula>$R190:$R486&lt;4</formula>
    </cfRule>
  </conditionalFormatting>
  <conditionalFormatting sqref="T190:Z190">
    <cfRule type="expression" dxfId="381" priority="382">
      <formula>$R190:$R559="End"</formula>
    </cfRule>
  </conditionalFormatting>
  <conditionalFormatting sqref="T190:Z190">
    <cfRule type="expression" dxfId="380" priority="381" stopIfTrue="1">
      <formula>$R190:$R559="Cancel"</formula>
    </cfRule>
  </conditionalFormatting>
  <conditionalFormatting sqref="AA190:AC190">
    <cfRule type="expression" dxfId="379" priority="380">
      <formula>$R190:$R579="End"</formula>
    </cfRule>
  </conditionalFormatting>
  <conditionalFormatting sqref="AA190:AC190">
    <cfRule type="expression" dxfId="378" priority="379" stopIfTrue="1">
      <formula>$R190:$R579="Cancel"</formula>
    </cfRule>
  </conditionalFormatting>
  <conditionalFormatting sqref="R190">
    <cfRule type="expression" dxfId="377" priority="375">
      <formula>$X190:$X490="Penting"</formula>
    </cfRule>
    <cfRule type="expression" dxfId="376" priority="376">
      <formula>$R190:$R490=""</formula>
    </cfRule>
    <cfRule type="expression" dxfId="375" priority="377">
      <formula>$R190:$R490&lt;=0</formula>
    </cfRule>
    <cfRule type="expression" dxfId="374" priority="378">
      <formula>$R190:$R490&lt;4</formula>
    </cfRule>
  </conditionalFormatting>
  <conditionalFormatting sqref="R190">
    <cfRule type="expression" dxfId="373" priority="374">
      <formula>$R190:$R572="End"</formula>
    </cfRule>
  </conditionalFormatting>
  <conditionalFormatting sqref="R190">
    <cfRule type="expression" dxfId="372" priority="373" stopIfTrue="1">
      <formula>$R190:$R572="Cancel"</formula>
    </cfRule>
  </conditionalFormatting>
  <conditionalFormatting sqref="C178:D178">
    <cfRule type="expression" dxfId="371" priority="372">
      <formula>$R178:$R516="End"</formula>
    </cfRule>
  </conditionalFormatting>
  <conditionalFormatting sqref="C178:D178">
    <cfRule type="expression" dxfId="370" priority="371" stopIfTrue="1">
      <formula>$R178:$R516="Cancel"</formula>
    </cfRule>
  </conditionalFormatting>
  <conditionalFormatting sqref="AA253 R196:R199 P183:P184">
    <cfRule type="expression" dxfId="369" priority="370">
      <formula>$R183:$R558="End"</formula>
    </cfRule>
  </conditionalFormatting>
  <conditionalFormatting sqref="AA253 R196:R199 P183:P184">
    <cfRule type="expression" dxfId="368" priority="369" stopIfTrue="1">
      <formula>$R183:$R558="Cancel"</formula>
    </cfRule>
  </conditionalFormatting>
  <conditionalFormatting sqref="R235 R222:R233 R240:R241 R243:R245 R247:R250">
    <cfRule type="expression" dxfId="367" priority="365">
      <formula>$X222:$X509="Penting"</formula>
    </cfRule>
    <cfRule type="expression" dxfId="366" priority="366">
      <formula>$R222:$R509=""</formula>
    </cfRule>
    <cfRule type="expression" dxfId="365" priority="367">
      <formula>$R222:$R509&lt;=0</formula>
    </cfRule>
    <cfRule type="expression" dxfId="364" priority="368">
      <formula>$R222:$R509&lt;4</formula>
    </cfRule>
  </conditionalFormatting>
  <conditionalFormatting sqref="AS251:AT252 T248:V250">
    <cfRule type="expression" dxfId="363" priority="361">
      <formula>$X248:$X597="Penting"</formula>
    </cfRule>
    <cfRule type="expression" dxfId="362" priority="362">
      <formula>$R248:$R597=""</formula>
    </cfRule>
    <cfRule type="expression" dxfId="361" priority="363">
      <formula>$R248:$R597&lt;=0</formula>
    </cfRule>
    <cfRule type="expression" dxfId="360" priority="364">
      <formula>$R248:$R597&lt;4</formula>
    </cfRule>
  </conditionalFormatting>
  <conditionalFormatting sqref="S251:S252 AS136:AT141">
    <cfRule type="expression" dxfId="359" priority="357">
      <formula>$X136:$X524="Penting"</formula>
    </cfRule>
    <cfRule type="expression" dxfId="358" priority="358">
      <formula>$R136:$R524=""</formula>
    </cfRule>
    <cfRule type="expression" dxfId="357" priority="359">
      <formula>$R136:$R524&lt;=0</formula>
    </cfRule>
    <cfRule type="expression" dxfId="356" priority="360">
      <formula>$R136:$R524&lt;4</formula>
    </cfRule>
  </conditionalFormatting>
  <conditionalFormatting sqref="T254:V254">
    <cfRule type="expression" dxfId="355" priority="353">
      <formula>$X254:$X597="Penting"</formula>
    </cfRule>
    <cfRule type="expression" dxfId="354" priority="354">
      <formula>$R254:$R597=""</formula>
    </cfRule>
    <cfRule type="expression" dxfId="353" priority="355">
      <formula>$R254:$R597&lt;=0</formula>
    </cfRule>
    <cfRule type="expression" dxfId="352" priority="356">
      <formula>$R254:$R597&lt;4</formula>
    </cfRule>
  </conditionalFormatting>
  <conditionalFormatting sqref="AA251:AC252 P194:P195 P191:P192 AB253:AC253">
    <cfRule type="expression" dxfId="351" priority="349">
      <formula>$X191:$X482="Penting"</formula>
    </cfRule>
    <cfRule type="expression" dxfId="350" priority="350">
      <formula>$R191:$R482=""</formula>
    </cfRule>
    <cfRule type="expression" dxfId="349" priority="351">
      <formula>$R191:$R482&lt;=0</formula>
    </cfRule>
    <cfRule type="expression" dxfId="348" priority="352">
      <formula>$R191:$R482&lt;4</formula>
    </cfRule>
  </conditionalFormatting>
  <conditionalFormatting sqref="P254">
    <cfRule type="expression" dxfId="347" priority="345">
      <formula>$X254:$X520="Penting"</formula>
    </cfRule>
    <cfRule type="expression" dxfId="346" priority="346">
      <formula>$R254:$R520=""</formula>
    </cfRule>
    <cfRule type="expression" dxfId="345" priority="347">
      <formula>$R254:$R520&lt;=0</formula>
    </cfRule>
    <cfRule type="expression" dxfId="344" priority="348">
      <formula>$R254:$R520&lt;4</formula>
    </cfRule>
  </conditionalFormatting>
  <conditionalFormatting sqref="Y254:Z254">
    <cfRule type="expression" dxfId="343" priority="344">
      <formula>$R254:$R599="End"</formula>
    </cfRule>
  </conditionalFormatting>
  <conditionalFormatting sqref="Y254:Z254">
    <cfRule type="expression" dxfId="342" priority="343" stopIfTrue="1">
      <formula>$R254:$R599="Cancel"</formula>
    </cfRule>
  </conditionalFormatting>
  <conditionalFormatting sqref="P254">
    <cfRule type="expression" dxfId="341" priority="342">
      <formula>$R254:$R602="End"</formula>
    </cfRule>
  </conditionalFormatting>
  <conditionalFormatting sqref="P254">
    <cfRule type="expression" dxfId="340" priority="341" stopIfTrue="1">
      <formula>$R254:$R602="Cancel"</formula>
    </cfRule>
  </conditionalFormatting>
  <conditionalFormatting sqref="AD254:AO254">
    <cfRule type="expression" dxfId="339" priority="337">
      <formula>$X254:$X534="Penting"</formula>
    </cfRule>
    <cfRule type="expression" dxfId="338" priority="338">
      <formula>$R254:$R534=""</formula>
    </cfRule>
    <cfRule type="expression" dxfId="337" priority="339">
      <formula>$R254:$R534&lt;=0</formula>
    </cfRule>
    <cfRule type="expression" dxfId="336" priority="340">
      <formula>$R254:$R534&lt;4</formula>
    </cfRule>
  </conditionalFormatting>
  <conditionalFormatting sqref="Q254">
    <cfRule type="expression" dxfId="335" priority="333">
      <formula>$X254:$X532="Penting"</formula>
    </cfRule>
    <cfRule type="expression" dxfId="334" priority="334">
      <formula>$R254:$R532=""</formula>
    </cfRule>
    <cfRule type="expression" dxfId="333" priority="335">
      <formula>$R254:$R532&lt;=0</formula>
    </cfRule>
    <cfRule type="expression" dxfId="332" priority="336">
      <formula>$R254:$R532&lt;4</formula>
    </cfRule>
  </conditionalFormatting>
  <conditionalFormatting sqref="Q254">
    <cfRule type="expression" dxfId="331" priority="332">
      <formula>$R254:$R597="End"</formula>
    </cfRule>
  </conditionalFormatting>
  <conditionalFormatting sqref="Q254">
    <cfRule type="expression" dxfId="330" priority="331" stopIfTrue="1">
      <formula>$R254:$R597="Cancel"</formula>
    </cfRule>
  </conditionalFormatting>
  <conditionalFormatting sqref="R254">
    <cfRule type="expression" dxfId="329" priority="327">
      <formula>$X254:$X537="Penting"</formula>
    </cfRule>
    <cfRule type="expression" dxfId="328" priority="328">
      <formula>$R254:$R537=""</formula>
    </cfRule>
    <cfRule type="expression" dxfId="327" priority="329">
      <formula>$R254:$R537&lt;=0</formula>
    </cfRule>
    <cfRule type="expression" dxfId="326" priority="330">
      <formula>$R254:$R537&lt;4</formula>
    </cfRule>
  </conditionalFormatting>
  <conditionalFormatting sqref="R254">
    <cfRule type="expression" dxfId="325" priority="326">
      <formula>$R254:$R619="End"</formula>
    </cfRule>
  </conditionalFormatting>
  <conditionalFormatting sqref="R254">
    <cfRule type="expression" dxfId="324" priority="325" stopIfTrue="1">
      <formula>$R254:$R619="Cancel"</formula>
    </cfRule>
  </conditionalFormatting>
  <conditionalFormatting sqref="Y254:Z254">
    <cfRule type="expression" dxfId="323" priority="321">
      <formula>$X254:$X534="Penting"</formula>
    </cfRule>
    <cfRule type="expression" dxfId="322" priority="322">
      <formula>$R254:$R534=""</formula>
    </cfRule>
    <cfRule type="expression" dxfId="321" priority="323">
      <formula>$R254:$R534&lt;=0</formula>
    </cfRule>
    <cfRule type="expression" dxfId="320" priority="324">
      <formula>$R254:$R534&lt;4</formula>
    </cfRule>
  </conditionalFormatting>
  <conditionalFormatting sqref="AB254:AC254">
    <cfRule type="expression" dxfId="319" priority="320">
      <formula>$R254:$R626="End"</formula>
    </cfRule>
  </conditionalFormatting>
  <conditionalFormatting sqref="AB254:AC254">
    <cfRule type="expression" dxfId="318" priority="319" stopIfTrue="1">
      <formula>$R254:$R626="Cancel"</formula>
    </cfRule>
  </conditionalFormatting>
  <conditionalFormatting sqref="S254:X254">
    <cfRule type="expression" dxfId="317" priority="318">
      <formula>$R254:$R597="End"</formula>
    </cfRule>
  </conditionalFormatting>
  <conditionalFormatting sqref="S254:X254">
    <cfRule type="expression" dxfId="316" priority="317" stopIfTrue="1">
      <formula>$R254:$R597="Cancel"</formula>
    </cfRule>
  </conditionalFormatting>
  <conditionalFormatting sqref="AA254">
    <cfRule type="expression" dxfId="315" priority="316">
      <formula>$R254:$R628="End"</formula>
    </cfRule>
  </conditionalFormatting>
  <conditionalFormatting sqref="AA254">
    <cfRule type="expression" dxfId="314" priority="315" stopIfTrue="1">
      <formula>$R254:$R628="Cancel"</formula>
    </cfRule>
  </conditionalFormatting>
  <conditionalFormatting sqref="S254">
    <cfRule type="expression" dxfId="313" priority="311">
      <formula>$X254:$X638="Penting"</formula>
    </cfRule>
    <cfRule type="expression" dxfId="312" priority="312">
      <formula>$R254:$R638=""</formula>
    </cfRule>
    <cfRule type="expression" dxfId="311" priority="313">
      <formula>$R254:$R638&lt;=0</formula>
    </cfRule>
    <cfRule type="expression" dxfId="310" priority="314">
      <formula>$R254:$R638&lt;4</formula>
    </cfRule>
  </conditionalFormatting>
  <conditionalFormatting sqref="AB254:AC254">
    <cfRule type="expression" dxfId="309" priority="307">
      <formula>$X254:$X544="Penting"</formula>
    </cfRule>
    <cfRule type="expression" dxfId="308" priority="308">
      <formula>$R254:$R544=""</formula>
    </cfRule>
    <cfRule type="expression" dxfId="307" priority="309">
      <formula>$R254:$R544&lt;=0</formula>
    </cfRule>
    <cfRule type="expression" dxfId="306" priority="310">
      <formula>$R254:$R544&lt;4</formula>
    </cfRule>
  </conditionalFormatting>
  <conditionalFormatting sqref="AD190">
    <cfRule type="expression" dxfId="305" priority="303">
      <formula>$X190:$X485="Penting"</formula>
    </cfRule>
    <cfRule type="expression" dxfId="304" priority="304">
      <formula>$R190:$R485=""</formula>
    </cfRule>
    <cfRule type="expression" dxfId="303" priority="305">
      <formula>$R190:$R485&lt;=0</formula>
    </cfRule>
    <cfRule type="expression" dxfId="302" priority="306">
      <formula>$R190:$R485&lt;4</formula>
    </cfRule>
  </conditionalFormatting>
  <conditionalFormatting sqref="AD190">
    <cfRule type="expression" dxfId="301" priority="302">
      <formula>$R190:$R558="End"</formula>
    </cfRule>
  </conditionalFormatting>
  <conditionalFormatting sqref="AD190">
    <cfRule type="expression" dxfId="300" priority="301" stopIfTrue="1">
      <formula>$R190:$R558="Cancel"</formula>
    </cfRule>
  </conditionalFormatting>
  <conditionalFormatting sqref="AF146:AM146">
    <cfRule type="expression" dxfId="299" priority="297">
      <formula>$X146:$X462="Penting"</formula>
    </cfRule>
    <cfRule type="expression" dxfId="298" priority="298">
      <formula>$R146:$R462=""</formula>
    </cfRule>
    <cfRule type="expression" dxfId="297" priority="299">
      <formula>$R146:$R462&lt;=0</formula>
    </cfRule>
    <cfRule type="expression" dxfId="296" priority="300">
      <formula>$R146:$R462&lt;4</formula>
    </cfRule>
  </conditionalFormatting>
  <conditionalFormatting sqref="AN146">
    <cfRule type="expression" dxfId="295" priority="293">
      <formula>$X146:$X455="Penting"</formula>
    </cfRule>
    <cfRule type="expression" dxfId="294" priority="294">
      <formula>$R146:$R455=""</formula>
    </cfRule>
    <cfRule type="expression" dxfId="293" priority="295">
      <formula>$R146:$R455&lt;=0</formula>
    </cfRule>
    <cfRule type="expression" dxfId="292" priority="296">
      <formula>$R146:$R455&lt;4</formula>
    </cfRule>
  </conditionalFormatting>
  <conditionalFormatting sqref="AN146">
    <cfRule type="expression" dxfId="291" priority="292">
      <formula>$R146:$R537="End"</formula>
    </cfRule>
  </conditionalFormatting>
  <conditionalFormatting sqref="AN146">
    <cfRule type="expression" dxfId="290" priority="291" stopIfTrue="1">
      <formula>$R146:$R537="Cancel"</formula>
    </cfRule>
  </conditionalFormatting>
  <conditionalFormatting sqref="AF146:AM146">
    <cfRule type="expression" dxfId="289" priority="290">
      <formula>$R146:$R535="End"</formula>
    </cfRule>
  </conditionalFormatting>
  <conditionalFormatting sqref="AF146:AM146">
    <cfRule type="expression" dxfId="288" priority="289" stopIfTrue="1">
      <formula>$R146:$R535="Cancel"</formula>
    </cfRule>
  </conditionalFormatting>
  <conditionalFormatting sqref="AA253 R196:R199 P183:P184">
    <cfRule type="expression" dxfId="287" priority="285">
      <formula>$X183:$X476="Penting"</formula>
    </cfRule>
    <cfRule type="expression" dxfId="286" priority="286">
      <formula>$R183:$R476=""</formula>
    </cfRule>
    <cfRule type="expression" dxfId="285" priority="287">
      <formula>$R183:$R476&lt;=0</formula>
    </cfRule>
    <cfRule type="expression" dxfId="284" priority="288">
      <formula>$R183:$R476&lt;4</formula>
    </cfRule>
  </conditionalFormatting>
  <conditionalFormatting sqref="T167:V168">
    <cfRule type="expression" dxfId="283" priority="281">
      <formula>$X167:$X547="Penting"</formula>
    </cfRule>
    <cfRule type="expression" dxfId="282" priority="282">
      <formula>$R167:$R547=""</formula>
    </cfRule>
    <cfRule type="expression" dxfId="281" priority="283">
      <formula>$R167:$R547&lt;=0</formula>
    </cfRule>
    <cfRule type="expression" dxfId="280" priority="284">
      <formula>$R167:$R547&lt;4</formula>
    </cfRule>
  </conditionalFormatting>
  <conditionalFormatting sqref="T226:V247">
    <cfRule type="expression" dxfId="279" priority="277">
      <formula>$X226:$X576="Penting"</formula>
    </cfRule>
    <cfRule type="expression" dxfId="278" priority="278">
      <formula>$R226:$R576=""</formula>
    </cfRule>
    <cfRule type="expression" dxfId="277" priority="279">
      <formula>$R226:$R576&lt;=0</formula>
    </cfRule>
    <cfRule type="expression" dxfId="276" priority="280">
      <formula>$R226:$R576&lt;4</formula>
    </cfRule>
  </conditionalFormatting>
  <conditionalFormatting sqref="T142:V146">
    <cfRule type="expression" dxfId="275" priority="273">
      <formula>$X142:$X531="Penting"</formula>
    </cfRule>
    <cfRule type="expression" dxfId="274" priority="274">
      <formula>$R142:$R531=""</formula>
    </cfRule>
    <cfRule type="expression" dxfId="273" priority="275">
      <formula>$R142:$R531&lt;=0</formula>
    </cfRule>
    <cfRule type="expression" dxfId="272" priority="276">
      <formula>$R142:$R531&lt;4</formula>
    </cfRule>
  </conditionalFormatting>
  <conditionalFormatting sqref="S203:S220">
    <cfRule type="expression" dxfId="271" priority="269">
      <formula>$X203:$X601="Penting"</formula>
    </cfRule>
    <cfRule type="expression" dxfId="270" priority="270">
      <formula>$R203:$R601=""</formula>
    </cfRule>
    <cfRule type="expression" dxfId="269" priority="271">
      <formula>$R203:$R601&lt;=0</formula>
    </cfRule>
    <cfRule type="expression" dxfId="268" priority="272">
      <formula>$R203:$R601&lt;4</formula>
    </cfRule>
  </conditionalFormatting>
  <conditionalFormatting sqref="S142:S146">
    <cfRule type="expression" dxfId="267" priority="265">
      <formula>$X142:$X572="Penting"</formula>
    </cfRule>
    <cfRule type="expression" dxfId="266" priority="266">
      <formula>$R142:$R572=""</formula>
    </cfRule>
    <cfRule type="expression" dxfId="265" priority="267">
      <formula>$R142:$R572&lt;=0</formula>
    </cfRule>
    <cfRule type="expression" dxfId="264" priority="268">
      <formula>$R142:$R572&lt;4</formula>
    </cfRule>
  </conditionalFormatting>
  <conditionalFormatting sqref="I372">
    <cfRule type="expression" dxfId="263" priority="264">
      <formula>$R372:$R684="End"</formula>
    </cfRule>
  </conditionalFormatting>
  <conditionalFormatting sqref="I372">
    <cfRule type="expression" dxfId="262" priority="263" stopIfTrue="1">
      <formula>$R372:$R684="Cancel"</formula>
    </cfRule>
  </conditionalFormatting>
  <conditionalFormatting sqref="I372">
    <cfRule type="expression" dxfId="261" priority="259">
      <formula>$X372:$X619="Penting"</formula>
    </cfRule>
    <cfRule type="expression" dxfId="260" priority="260">
      <formula>$R372:$R619=""</formula>
    </cfRule>
    <cfRule type="expression" dxfId="259" priority="261">
      <formula>$R372:$R619&lt;=0</formula>
    </cfRule>
    <cfRule type="expression" dxfId="258" priority="262">
      <formula>$R372:$R619&lt;4</formula>
    </cfRule>
  </conditionalFormatting>
  <conditionalFormatting sqref="J372">
    <cfRule type="expression" dxfId="257" priority="258">
      <formula>$R372:$R686="End"</formula>
    </cfRule>
  </conditionalFormatting>
  <conditionalFormatting sqref="J372">
    <cfRule type="expression" dxfId="256" priority="257" stopIfTrue="1">
      <formula>$R372:$R686="Cancel"</formula>
    </cfRule>
  </conditionalFormatting>
  <conditionalFormatting sqref="J372">
    <cfRule type="expression" dxfId="255" priority="253">
      <formula>$X372:$X621="Penting"</formula>
    </cfRule>
    <cfRule type="expression" dxfId="254" priority="254">
      <formula>$R372:$R621=""</formula>
    </cfRule>
    <cfRule type="expression" dxfId="253" priority="255">
      <formula>$R372:$R621&lt;=0</formula>
    </cfRule>
    <cfRule type="expression" dxfId="252" priority="256">
      <formula>$R372:$R621&lt;4</formula>
    </cfRule>
  </conditionalFormatting>
  <conditionalFormatting sqref="Q372">
    <cfRule type="expression" dxfId="251" priority="252">
      <formula>$R372:$R686="End"</formula>
    </cfRule>
  </conditionalFormatting>
  <conditionalFormatting sqref="Q372">
    <cfRule type="expression" dxfId="250" priority="251" stopIfTrue="1">
      <formula>$R372:$R686="Cancel"</formula>
    </cfRule>
  </conditionalFormatting>
  <conditionalFormatting sqref="Q372">
    <cfRule type="expression" dxfId="249" priority="247">
      <formula>$X372:$X621="Penting"</formula>
    </cfRule>
    <cfRule type="expression" dxfId="248" priority="248">
      <formula>$R372:$R621=""</formula>
    </cfRule>
    <cfRule type="expression" dxfId="247" priority="249">
      <formula>$R372:$R621&lt;=0</formula>
    </cfRule>
    <cfRule type="expression" dxfId="246" priority="250">
      <formula>$R372:$R621&lt;4</formula>
    </cfRule>
  </conditionalFormatting>
  <conditionalFormatting sqref="P372">
    <cfRule type="expression" dxfId="245" priority="243">
      <formula>$X372:$X615="Penting"</formula>
    </cfRule>
    <cfRule type="expression" dxfId="244" priority="244">
      <formula>$R372:$R615=""</formula>
    </cfRule>
    <cfRule type="expression" dxfId="243" priority="245">
      <formula>$R372:$R615&lt;=0</formula>
    </cfRule>
    <cfRule type="expression" dxfId="242" priority="246">
      <formula>$R372:$R615&lt;4</formula>
    </cfRule>
  </conditionalFormatting>
  <conditionalFormatting sqref="P372">
    <cfRule type="expression" dxfId="241" priority="242">
      <formula>$R372:$R697="End"</formula>
    </cfRule>
  </conditionalFormatting>
  <conditionalFormatting sqref="P372">
    <cfRule type="expression" dxfId="240" priority="241" stopIfTrue="1">
      <formula>$R372:$R697="Cancel"</formula>
    </cfRule>
  </conditionalFormatting>
  <conditionalFormatting sqref="Y372:Z372">
    <cfRule type="expression" dxfId="239" priority="240">
      <formula>$R372:$R684="End"</formula>
    </cfRule>
  </conditionalFormatting>
  <conditionalFormatting sqref="Y372:Z372">
    <cfRule type="expression" dxfId="238" priority="239" stopIfTrue="1">
      <formula>$R372:$R684="Cancel"</formula>
    </cfRule>
  </conditionalFormatting>
  <conditionalFormatting sqref="T372:X372">
    <cfRule type="expression" dxfId="237" priority="238">
      <formula>$R372:$R686="End"</formula>
    </cfRule>
  </conditionalFormatting>
  <conditionalFormatting sqref="T372:X372">
    <cfRule type="expression" dxfId="236" priority="237" stopIfTrue="1">
      <formula>$R372:$R686="Cancel"</formula>
    </cfRule>
  </conditionalFormatting>
  <conditionalFormatting sqref="W372:X372">
    <cfRule type="expression" dxfId="235" priority="233">
      <formula>$X372:$X621="Penting"</formula>
    </cfRule>
    <cfRule type="expression" dxfId="234" priority="234">
      <formula>$R372:$R621=""</formula>
    </cfRule>
    <cfRule type="expression" dxfId="233" priority="235">
      <formula>$R372:$R621&lt;=0</formula>
    </cfRule>
    <cfRule type="expression" dxfId="232" priority="236">
      <formula>$R372:$R621&lt;4</formula>
    </cfRule>
  </conditionalFormatting>
  <conditionalFormatting sqref="AD372:AO372">
    <cfRule type="expression" dxfId="231" priority="229">
      <formula>$X372:$X619="Penting"</formula>
    </cfRule>
    <cfRule type="expression" dxfId="230" priority="230">
      <formula>$R372:$R619=""</formula>
    </cfRule>
    <cfRule type="expression" dxfId="229" priority="231">
      <formula>$R372:$R619&lt;=0</formula>
    </cfRule>
    <cfRule type="expression" dxfId="228" priority="232">
      <formula>$R372:$R619&lt;4</formula>
    </cfRule>
  </conditionalFormatting>
  <conditionalFormatting sqref="AA372:AC372">
    <cfRule type="expression" dxfId="227" priority="225">
      <formula>$X372:$X646="Penting"</formula>
    </cfRule>
    <cfRule type="expression" dxfId="226" priority="226">
      <formula>$R372:$R646=""</formula>
    </cfRule>
    <cfRule type="expression" dxfId="225" priority="227">
      <formula>$R372:$R646&lt;=0</formula>
    </cfRule>
    <cfRule type="expression" dxfId="224" priority="228">
      <formula>$R372:$R646&lt;4</formula>
    </cfRule>
  </conditionalFormatting>
  <conditionalFormatting sqref="AA372:AC372">
    <cfRule type="expression" dxfId="223" priority="224">
      <formula>$R372:$R728="End"</formula>
    </cfRule>
  </conditionalFormatting>
  <conditionalFormatting sqref="AA372:AC372">
    <cfRule type="expression" dxfId="222" priority="223" stopIfTrue="1">
      <formula>$R372:$R728="Cancel"</formula>
    </cfRule>
  </conditionalFormatting>
  <conditionalFormatting sqref="T372:V372">
    <cfRule type="expression" dxfId="221" priority="219">
      <formula>$X372:$X686="Penting"</formula>
    </cfRule>
    <cfRule type="expression" dxfId="220" priority="220">
      <formula>$R372:$R686=""</formula>
    </cfRule>
    <cfRule type="expression" dxfId="219" priority="221">
      <formula>$R372:$R686&lt;=0</formula>
    </cfRule>
    <cfRule type="expression" dxfId="218" priority="222">
      <formula>$R372:$R686&lt;4</formula>
    </cfRule>
  </conditionalFormatting>
  <conditionalFormatting sqref="T268:V270 AS284:AT287">
    <cfRule type="expression" dxfId="217" priority="215">
      <formula>$X268:$X603="Penting"</formula>
    </cfRule>
    <cfRule type="expression" dxfId="216" priority="216">
      <formula>$R268:$R603=""</formula>
    </cfRule>
    <cfRule type="expression" dxfId="215" priority="217">
      <formula>$R268:$R603&lt;=0</formula>
    </cfRule>
    <cfRule type="expression" dxfId="214" priority="218">
      <formula>$R268:$R603&lt;4</formula>
    </cfRule>
  </conditionalFormatting>
  <conditionalFormatting sqref="W391:Z391">
    <cfRule type="expression" dxfId="213" priority="211">
      <formula>$X391:$X628="Penting"</formula>
    </cfRule>
    <cfRule type="expression" dxfId="212" priority="212">
      <formula>$R391:$R628=""</formula>
    </cfRule>
    <cfRule type="expression" dxfId="211" priority="213">
      <formula>$R391:$R628&lt;=0</formula>
    </cfRule>
    <cfRule type="expression" dxfId="210" priority="214">
      <formula>$R391:$R628&lt;4</formula>
    </cfRule>
  </conditionalFormatting>
  <conditionalFormatting sqref="S391:Z391">
    <cfRule type="expression" dxfId="209" priority="210">
      <formula>$R391:$R693="End"</formula>
    </cfRule>
  </conditionalFormatting>
  <conditionalFormatting sqref="S391:Z391">
    <cfRule type="expression" dxfId="208" priority="209" stopIfTrue="1">
      <formula>$R391:$R693="Cancel"</formula>
    </cfRule>
  </conditionalFormatting>
  <conditionalFormatting sqref="AS160:AT166">
    <cfRule type="expression" dxfId="207" priority="205">
      <formula>$X160:$X541="Penting"</formula>
    </cfRule>
    <cfRule type="expression" dxfId="206" priority="206">
      <formula>$R160:$R541=""</formula>
    </cfRule>
    <cfRule type="expression" dxfId="205" priority="207">
      <formula>$R160:$R541&lt;=0</formula>
    </cfRule>
    <cfRule type="expression" dxfId="204" priority="208">
      <formula>$R160:$R541&lt;4</formula>
    </cfRule>
  </conditionalFormatting>
  <conditionalFormatting sqref="S268:S270">
    <cfRule type="expression" dxfId="203" priority="201">
      <formula>$X268:$X644="Penting"</formula>
    </cfRule>
    <cfRule type="expression" dxfId="202" priority="202">
      <formula>$R268:$R644=""</formula>
    </cfRule>
    <cfRule type="expression" dxfId="201" priority="203">
      <formula>$R268:$R644&lt;=0</formula>
    </cfRule>
    <cfRule type="expression" dxfId="200" priority="204">
      <formula>$R268:$R644&lt;4</formula>
    </cfRule>
  </conditionalFormatting>
  <conditionalFormatting sqref="S304:S313">
    <cfRule type="expression" dxfId="199" priority="197">
      <formula>$X304:$X669="Penting"</formula>
    </cfRule>
    <cfRule type="expression" dxfId="198" priority="198">
      <formula>$R304:$R669=""</formula>
    </cfRule>
    <cfRule type="expression" dxfId="197" priority="199">
      <formula>$R304:$R669&lt;=0</formula>
    </cfRule>
    <cfRule type="expression" dxfId="196" priority="200">
      <formula>$R304:$R669&lt;4</formula>
    </cfRule>
  </conditionalFormatting>
  <conditionalFormatting sqref="AS148:AT154 T155:V156">
    <cfRule type="expression" dxfId="195" priority="193">
      <formula>$X148:$X533="Penting"</formula>
    </cfRule>
    <cfRule type="expression" dxfId="194" priority="194">
      <formula>$R148:$R533=""</formula>
    </cfRule>
    <cfRule type="expression" dxfId="193" priority="195">
      <formula>$R148:$R533&lt;=0</formula>
    </cfRule>
    <cfRule type="expression" dxfId="192" priority="196">
      <formula>$R148:$R533&lt;4</formula>
    </cfRule>
  </conditionalFormatting>
  <conditionalFormatting sqref="AS228:AT238">
    <cfRule type="expression" dxfId="191" priority="189">
      <formula>$X228:$X579="Penting"</formula>
    </cfRule>
    <cfRule type="expression" dxfId="190" priority="190">
      <formula>$R228:$R579=""</formula>
    </cfRule>
    <cfRule type="expression" dxfId="189" priority="191">
      <formula>$R228:$R579&lt;=0</formula>
    </cfRule>
    <cfRule type="expression" dxfId="188" priority="192">
      <formula>$R228:$R579&lt;4</formula>
    </cfRule>
  </conditionalFormatting>
  <conditionalFormatting sqref="S248:S250 T136:V141">
    <cfRule type="expression" dxfId="187" priority="185">
      <formula>$X136:$X526="Penting"</formula>
    </cfRule>
    <cfRule type="expression" dxfId="186" priority="186">
      <formula>$R136:$R526=""</formula>
    </cfRule>
    <cfRule type="expression" dxfId="185" priority="187">
      <formula>$R136:$R526&lt;=0</formula>
    </cfRule>
    <cfRule type="expression" dxfId="184" priority="188">
      <formula>$R136:$R526&lt;4</formula>
    </cfRule>
  </conditionalFormatting>
  <conditionalFormatting sqref="S200:S202">
    <cfRule type="expression" dxfId="183" priority="181">
      <formula>$X200:$X599="Penting"</formula>
    </cfRule>
    <cfRule type="expression" dxfId="182" priority="182">
      <formula>$R200:$R599=""</formula>
    </cfRule>
    <cfRule type="expression" dxfId="181" priority="183">
      <formula>$R200:$R599&lt;=0</formula>
    </cfRule>
    <cfRule type="expression" dxfId="180" priority="184">
      <formula>$R200:$R599&lt;4</formula>
    </cfRule>
  </conditionalFormatting>
  <conditionalFormatting sqref="S186:S190">
    <cfRule type="expression" dxfId="179" priority="177">
      <formula>$X186:$X595="Penting"</formula>
    </cfRule>
    <cfRule type="expression" dxfId="178" priority="178">
      <formula>$R186:$R595=""</formula>
    </cfRule>
    <cfRule type="expression" dxfId="177" priority="179">
      <formula>$R186:$R595&lt;=0</formula>
    </cfRule>
    <cfRule type="expression" dxfId="176" priority="180">
      <formula>$R186:$R595&lt;4</formula>
    </cfRule>
  </conditionalFormatting>
  <conditionalFormatting sqref="S155:S156">
    <cfRule type="expression" dxfId="175" priority="173">
      <formula>$X155:$X581="Penting"</formula>
    </cfRule>
    <cfRule type="expression" dxfId="174" priority="174">
      <formula>$R155:$R581=""</formula>
    </cfRule>
    <cfRule type="expression" dxfId="173" priority="175">
      <formula>$R155:$R581&lt;=0</formula>
    </cfRule>
    <cfRule type="expression" dxfId="172" priority="176">
      <formula>$R155:$R581&lt;4</formula>
    </cfRule>
  </conditionalFormatting>
  <conditionalFormatting sqref="S170:S176">
    <cfRule type="expression" dxfId="171" priority="169">
      <formula>$X170:$X583="Penting"</formula>
    </cfRule>
    <cfRule type="expression" dxfId="170" priority="170">
      <formula>$R170:$R583=""</formula>
    </cfRule>
    <cfRule type="expression" dxfId="169" priority="171">
      <formula>$R170:$R583&lt;=0</formula>
    </cfRule>
    <cfRule type="expression" dxfId="168" priority="172">
      <formula>$R170:$R583&lt;4</formula>
    </cfRule>
  </conditionalFormatting>
  <conditionalFormatting sqref="S136:S141">
    <cfRule type="expression" dxfId="167" priority="165">
      <formula>$X136:$X567="Penting"</formula>
    </cfRule>
    <cfRule type="expression" dxfId="166" priority="166">
      <formula>$R136:$R567=""</formula>
    </cfRule>
    <cfRule type="expression" dxfId="165" priority="167">
      <formula>$R136:$R567&lt;=0</formula>
    </cfRule>
    <cfRule type="expression" dxfId="164" priority="168">
      <formula>$R136:$R567&lt;4</formula>
    </cfRule>
  </conditionalFormatting>
  <conditionalFormatting sqref="T289:V294">
    <cfRule type="expression" dxfId="163" priority="161">
      <formula>$X289:$X616="Penting"</formula>
    </cfRule>
    <cfRule type="expression" dxfId="162" priority="162">
      <formula>$R289:$R616=""</formula>
    </cfRule>
    <cfRule type="expression" dxfId="161" priority="163">
      <formula>$R289:$R616&lt;=0</formula>
    </cfRule>
    <cfRule type="expression" dxfId="160" priority="164">
      <formula>$R289:$R616&lt;4</formula>
    </cfRule>
  </conditionalFormatting>
  <conditionalFormatting sqref="P304:P313">
    <cfRule type="expression" dxfId="159" priority="157">
      <formula>$X304:$X554="Penting"</formula>
    </cfRule>
    <cfRule type="expression" dxfId="158" priority="158">
      <formula>$R304:$R554=""</formula>
    </cfRule>
    <cfRule type="expression" dxfId="157" priority="159">
      <formula>$R304:$R554&lt;=0</formula>
    </cfRule>
    <cfRule type="expression" dxfId="156" priority="160">
      <formula>$R304:$R554&lt;4</formula>
    </cfRule>
  </conditionalFormatting>
  <conditionalFormatting sqref="AD388:AO388 P388:Q388 H388:M388 S388:X388 C388:F388 Y390:Z390 B390 AP390:AR390">
    <cfRule type="expression" dxfId="155" priority="156">
      <formula>$R388:$R692="End"</formula>
    </cfRule>
  </conditionalFormatting>
  <conditionalFormatting sqref="AD388:AO388 P388:Q388 H388:M388 S388:X388 C388:F388 Y390:Z390 B390 AP390:AR390">
    <cfRule type="expression" dxfId="154" priority="155" stopIfTrue="1">
      <formula>$R388:$R692="Cancel"</formula>
    </cfRule>
  </conditionalFormatting>
  <conditionalFormatting sqref="T300:V303">
    <cfRule type="expression" dxfId="153" priority="151">
      <formula>$X300:$X625="Penting"</formula>
    </cfRule>
    <cfRule type="expression" dxfId="152" priority="152">
      <formula>$R300:$R625=""</formula>
    </cfRule>
    <cfRule type="expression" dxfId="151" priority="153">
      <formula>$R300:$R625&lt;=0</formula>
    </cfRule>
    <cfRule type="expression" dxfId="150" priority="154">
      <formula>$R300:$R625&lt;4</formula>
    </cfRule>
  </conditionalFormatting>
  <conditionalFormatting sqref="AS391:AT392 R184:R189">
    <cfRule type="expression" dxfId="149" priority="147">
      <formula>$X184:$X485="Penting"</formula>
    </cfRule>
    <cfRule type="expression" dxfId="148" priority="148">
      <formula>$R184:$R485=""</formula>
    </cfRule>
    <cfRule type="expression" dxfId="147" priority="149">
      <formula>$R184:$R485&lt;=0</formula>
    </cfRule>
    <cfRule type="expression" dxfId="146" priority="150">
      <formula>$R184:$R485&lt;4</formula>
    </cfRule>
  </conditionalFormatting>
  <conditionalFormatting sqref="R203:R210 R212:R220 R200:R201 P185:P190 AA254:AA255">
    <cfRule type="expression" dxfId="145" priority="143">
      <formula>$X185:$X477="Penting"</formula>
    </cfRule>
    <cfRule type="expression" dxfId="144" priority="144">
      <formula>$R185:$R477=""</formula>
    </cfRule>
    <cfRule type="expression" dxfId="143" priority="145">
      <formula>$R185:$R477&lt;=0</formula>
    </cfRule>
    <cfRule type="expression" dxfId="142" priority="146">
      <formula>$R185:$R477&lt;4</formula>
    </cfRule>
  </conditionalFormatting>
  <conditionalFormatting sqref="T266:V267">
    <cfRule type="expression" dxfId="141" priority="139">
      <formula>$X266:$X602="Penting"</formula>
    </cfRule>
    <cfRule type="expression" dxfId="140" priority="140">
      <formula>$R266:$R602=""</formula>
    </cfRule>
    <cfRule type="expression" dxfId="139" priority="141">
      <formula>$R266:$R602&lt;=0</formula>
    </cfRule>
    <cfRule type="expression" dxfId="138" priority="142">
      <formula>$R266:$R602&lt;4</formula>
    </cfRule>
  </conditionalFormatting>
  <conditionalFormatting sqref="AS370:AT372">
    <cfRule type="expression" dxfId="137" priority="135">
      <formula>$X370:$X685="Penting"</formula>
    </cfRule>
    <cfRule type="expression" dxfId="136" priority="136">
      <formula>$R370:$R685=""</formula>
    </cfRule>
    <cfRule type="expression" dxfId="135" priority="137">
      <formula>$R370:$R685&lt;=0</formula>
    </cfRule>
    <cfRule type="expression" dxfId="134" priority="138">
      <formula>$R370:$R685&lt;4</formula>
    </cfRule>
  </conditionalFormatting>
  <conditionalFormatting sqref="R314:R320 C266:C267">
    <cfRule type="expression" dxfId="133" priority="131">
      <formula>$X266:$X534="Penting"</formula>
    </cfRule>
    <cfRule type="expression" dxfId="132" priority="132">
      <formula>$R266:$R534=""</formula>
    </cfRule>
    <cfRule type="expression" dxfId="131" priority="133">
      <formula>$R266:$R534&lt;=0</formula>
    </cfRule>
    <cfRule type="expression" dxfId="130" priority="134">
      <formula>$R266:$R534&lt;4</formula>
    </cfRule>
  </conditionalFormatting>
  <conditionalFormatting sqref="S371:S372 S357:S363 S365:S369 AS222:AT225">
    <cfRule type="expression" dxfId="129" priority="127">
      <formula>$X222:$X577="Penting"</formula>
    </cfRule>
    <cfRule type="expression" dxfId="128" priority="128">
      <formula>$R222:$R577=""</formula>
    </cfRule>
    <cfRule type="expression" dxfId="127" priority="129">
      <formula>$R222:$R577&lt;=0</formula>
    </cfRule>
    <cfRule type="expression" dxfId="126" priority="130">
      <formula>$R222:$R577&lt;4</formula>
    </cfRule>
  </conditionalFormatting>
  <conditionalFormatting sqref="S289:S294 T191:V195 AS185:AT190">
    <cfRule type="expression" dxfId="125" priority="123">
      <formula>$X185:$X553="Penting"</formula>
    </cfRule>
    <cfRule type="expression" dxfId="124" priority="124">
      <formula>$R185:$R553=""</formula>
    </cfRule>
    <cfRule type="expression" dxfId="123" priority="125">
      <formula>$R185:$R553&lt;=0</formula>
    </cfRule>
    <cfRule type="expression" dxfId="122" priority="126">
      <formula>$R185:$R553&lt;4</formula>
    </cfRule>
  </conditionalFormatting>
  <conditionalFormatting sqref="AB284:AC287 AA264:AC265 R251:R253">
    <cfRule type="expression" dxfId="121" priority="122">
      <formula>$R251:$R617="End"</formula>
    </cfRule>
  </conditionalFormatting>
  <conditionalFormatting sqref="AB284:AC287 AA264:AC265 R251:R253">
    <cfRule type="expression" dxfId="120" priority="121" stopIfTrue="1">
      <formula>$R251:$R617="Cancel"</formula>
    </cfRule>
  </conditionalFormatting>
  <conditionalFormatting sqref="T160:V161 AS158:AT159">
    <cfRule type="expression" dxfId="119" priority="117">
      <formula>$X158:$X540="Penting"</formula>
    </cfRule>
    <cfRule type="expression" dxfId="118" priority="118">
      <formula>$R158:$R540=""</formula>
    </cfRule>
    <cfRule type="expression" dxfId="117" priority="119">
      <formula>$R158:$R540&lt;=0</formula>
    </cfRule>
    <cfRule type="expression" dxfId="116" priority="120">
      <formula>$R158:$R540&lt;4</formula>
    </cfRule>
  </conditionalFormatting>
  <conditionalFormatting sqref="P169:P176">
    <cfRule type="expression" dxfId="115" priority="116">
      <formula>$R169:$R546="End"</formula>
    </cfRule>
  </conditionalFormatting>
  <conditionalFormatting sqref="P169:P176">
    <cfRule type="expression" dxfId="114" priority="115" stopIfTrue="1">
      <formula>$R169:$R546="Cancel"</formula>
    </cfRule>
  </conditionalFormatting>
  <conditionalFormatting sqref="S266:S267">
    <cfRule type="expression" dxfId="113" priority="111">
      <formula>$X266:$X643="Penting"</formula>
    </cfRule>
    <cfRule type="expression" dxfId="112" priority="112">
      <formula>$R266:$R643=""</formula>
    </cfRule>
    <cfRule type="expression" dxfId="111" priority="113">
      <formula>$R266:$R643&lt;=0</formula>
    </cfRule>
    <cfRule type="expression" dxfId="110" priority="114">
      <formula>$R266:$R643&lt;4</formula>
    </cfRule>
  </conditionalFormatting>
  <conditionalFormatting sqref="S314:S320">
    <cfRule type="expression" dxfId="109" priority="107">
      <formula>$X314:$X675="Penting"</formula>
    </cfRule>
    <cfRule type="expression" dxfId="108" priority="108">
      <formula>$R314:$R675=""</formula>
    </cfRule>
    <cfRule type="expression" dxfId="107" priority="109">
      <formula>$R314:$R675&lt;=0</formula>
    </cfRule>
    <cfRule type="expression" dxfId="106" priority="110">
      <formula>$R314:$R675&lt;4</formula>
    </cfRule>
  </conditionalFormatting>
  <conditionalFormatting sqref="S300:S303">
    <cfRule type="expression" dxfId="105" priority="103">
      <formula>$X300:$X666="Penting"</formula>
    </cfRule>
    <cfRule type="expression" dxfId="104" priority="104">
      <formula>$R300:$R666=""</formula>
    </cfRule>
    <cfRule type="expression" dxfId="103" priority="105">
      <formula>$R300:$R666&lt;=0</formula>
    </cfRule>
    <cfRule type="expression" dxfId="102" priority="106">
      <formula>$R300:$R666&lt;4</formula>
    </cfRule>
  </conditionalFormatting>
  <conditionalFormatting sqref="S321:S348 T196:V199">
    <cfRule type="expression" dxfId="101" priority="99">
      <formula>$X196:$X555="Penting"</formula>
    </cfRule>
    <cfRule type="expression" dxfId="100" priority="100">
      <formula>$R196:$R555=""</formula>
    </cfRule>
    <cfRule type="expression" dxfId="99" priority="101">
      <formula>$R196:$R555&lt;=0</formula>
    </cfRule>
    <cfRule type="expression" dxfId="98" priority="102">
      <formula>$R196:$R555&lt;4</formula>
    </cfRule>
  </conditionalFormatting>
  <conditionalFormatting sqref="T147:V154">
    <cfRule type="expression" dxfId="97" priority="95">
      <formula>$X147:$X533="Penting"</formula>
    </cfRule>
    <cfRule type="expression" dxfId="96" priority="96">
      <formula>$R147:$R533=""</formula>
    </cfRule>
    <cfRule type="expression" dxfId="95" priority="97">
      <formula>$R147:$R533&lt;=0</formula>
    </cfRule>
    <cfRule type="expression" dxfId="94" priority="98">
      <formula>$R147:$R533&lt;4</formula>
    </cfRule>
  </conditionalFormatting>
  <conditionalFormatting sqref="AS239:AT250 T221:V225">
    <cfRule type="expression" dxfId="93" priority="91">
      <formula>$X221:$X573="Penting"</formula>
    </cfRule>
    <cfRule type="expression" dxfId="92" priority="92">
      <formula>$R221:$R573=""</formula>
    </cfRule>
    <cfRule type="expression" dxfId="91" priority="93">
      <formula>$R221:$R573&lt;=0</formula>
    </cfRule>
    <cfRule type="expression" dxfId="90" priority="94">
      <formula>$R221:$R573&lt;4</formula>
    </cfRule>
  </conditionalFormatting>
  <conditionalFormatting sqref="S226:S247 T134:V135">
    <cfRule type="expression" dxfId="89" priority="87">
      <formula>$X134:$X525="Penting"</formula>
    </cfRule>
    <cfRule type="expression" dxfId="88" priority="88">
      <formula>$R134:$R525=""</formula>
    </cfRule>
    <cfRule type="expression" dxfId="87" priority="89">
      <formula>$R134:$R525&lt;=0</formula>
    </cfRule>
    <cfRule type="expression" dxfId="86" priority="90">
      <formula>$R134:$R525&lt;4</formula>
    </cfRule>
  </conditionalFormatting>
  <conditionalFormatting sqref="S221:S225">
    <cfRule type="expression" dxfId="85" priority="83">
      <formula>$X221:$X614="Penting"</formula>
    </cfRule>
    <cfRule type="expression" dxfId="84" priority="84">
      <formula>$R221:$R614=""</formula>
    </cfRule>
    <cfRule type="expression" dxfId="83" priority="85">
      <formula>$R221:$R614&lt;=0</formula>
    </cfRule>
    <cfRule type="expression" dxfId="82" priority="86">
      <formula>$R221:$R614&lt;4</formula>
    </cfRule>
  </conditionalFormatting>
  <conditionalFormatting sqref="S196:S199">
    <cfRule type="expression" dxfId="81" priority="79">
      <formula>$X196:$X596="Penting"</formula>
    </cfRule>
    <cfRule type="expression" dxfId="80" priority="80">
      <formula>$R196:$R596=""</formula>
    </cfRule>
    <cfRule type="expression" dxfId="79" priority="81">
      <formula>$R196:$R596&lt;=0</formula>
    </cfRule>
    <cfRule type="expression" dxfId="78" priority="82">
      <formula>$R196:$R596&lt;4</formula>
    </cfRule>
  </conditionalFormatting>
  <conditionalFormatting sqref="S184:S185">
    <cfRule type="expression" dxfId="77" priority="75">
      <formula>$X184:$X594="Penting"</formula>
    </cfRule>
    <cfRule type="expression" dxfId="76" priority="76">
      <formula>$R184:$R594=""</formula>
    </cfRule>
    <cfRule type="expression" dxfId="75" priority="77">
      <formula>$R184:$R594&lt;=0</formula>
    </cfRule>
    <cfRule type="expression" dxfId="74" priority="78">
      <formula>$R184:$R594&lt;4</formula>
    </cfRule>
  </conditionalFormatting>
  <conditionalFormatting sqref="S162:S166 S158:S159">
    <cfRule type="expression" dxfId="73" priority="71">
      <formula>$X158:$X582="Penting"</formula>
    </cfRule>
    <cfRule type="expression" dxfId="72" priority="72">
      <formula>$R158:$R582=""</formula>
    </cfRule>
    <cfRule type="expression" dxfId="71" priority="73">
      <formula>$R158:$R582&lt;=0</formula>
    </cfRule>
    <cfRule type="expression" dxfId="70" priority="74">
      <formula>$R158:$R582&lt;4</formula>
    </cfRule>
  </conditionalFormatting>
  <conditionalFormatting sqref="S147:S154">
    <cfRule type="expression" dxfId="69" priority="67">
      <formula>$X147:$X574="Penting"</formula>
    </cfRule>
    <cfRule type="expression" dxfId="68" priority="68">
      <formula>$R147:$R574=""</formula>
    </cfRule>
    <cfRule type="expression" dxfId="67" priority="69">
      <formula>$R147:$R574&lt;=0</formula>
    </cfRule>
    <cfRule type="expression" dxfId="66" priority="70">
      <formula>$R147:$R574&lt;4</formula>
    </cfRule>
  </conditionalFormatting>
  <conditionalFormatting sqref="S168:S169">
    <cfRule type="expression" dxfId="65" priority="63">
      <formula>$X168:$X582="Penting"</formula>
    </cfRule>
    <cfRule type="expression" dxfId="64" priority="64">
      <formula>$R168:$R582=""</formula>
    </cfRule>
    <cfRule type="expression" dxfId="63" priority="65">
      <formula>$R168:$R582&lt;=0</formula>
    </cfRule>
    <cfRule type="expression" dxfId="62" priority="66">
      <formula>$R168:$R582&lt;4</formula>
    </cfRule>
  </conditionalFormatting>
  <conditionalFormatting sqref="S134:S135">
    <cfRule type="expression" dxfId="61" priority="59">
      <formula>$X134:$X566="Penting"</formula>
    </cfRule>
    <cfRule type="expression" dxfId="60" priority="60">
      <formula>$R134:$R566=""</formula>
    </cfRule>
    <cfRule type="expression" dxfId="59" priority="61">
      <formula>$R134:$R566&lt;=0</formula>
    </cfRule>
    <cfRule type="expression" dxfId="58" priority="62">
      <formula>$R134:$R566&lt;4</formula>
    </cfRule>
  </conditionalFormatting>
  <conditionalFormatting sqref="AA397:AC397">
    <cfRule type="expression" dxfId="57" priority="55">
      <formula>$X397:$X669="Penting"</formula>
    </cfRule>
    <cfRule type="expression" dxfId="56" priority="56">
      <formula>$R397:$R669=""</formula>
    </cfRule>
    <cfRule type="expression" dxfId="55" priority="57">
      <formula>$R397:$R669&lt;=0</formula>
    </cfRule>
    <cfRule type="expression" dxfId="54" priority="58">
      <formula>$R397:$R669&lt;4</formula>
    </cfRule>
  </conditionalFormatting>
  <conditionalFormatting sqref="P397">
    <cfRule type="expression" dxfId="53" priority="54">
      <formula>$R397:$R716="End"</formula>
    </cfRule>
  </conditionalFormatting>
  <conditionalFormatting sqref="P397">
    <cfRule type="expression" dxfId="52" priority="53" stopIfTrue="1">
      <formula>$R397:$R716="Cancel"</formula>
    </cfRule>
  </conditionalFormatting>
  <conditionalFormatting sqref="R397">
    <cfRule type="expression" dxfId="51" priority="49">
      <formula>$X397:$X658="Penting"</formula>
    </cfRule>
    <cfRule type="expression" dxfId="50" priority="50">
      <formula>$R397:$R658=""</formula>
    </cfRule>
    <cfRule type="expression" dxfId="49" priority="51">
      <formula>$R397:$R658&lt;=0</formula>
    </cfRule>
    <cfRule type="expression" dxfId="48" priority="52">
      <formula>$R397:$R658&lt;4</formula>
    </cfRule>
  </conditionalFormatting>
  <conditionalFormatting sqref="T397:V397">
    <cfRule type="expression" dxfId="47" priority="45">
      <formula>$X397:$X699="Penting"</formula>
    </cfRule>
    <cfRule type="expression" dxfId="46" priority="46">
      <formula>$R397:$R699=""</formula>
    </cfRule>
    <cfRule type="expression" dxfId="45" priority="47">
      <formula>$R397:$R699&lt;=0</formula>
    </cfRule>
    <cfRule type="expression" dxfId="44" priority="48">
      <formula>$R397:$R699&lt;4</formula>
    </cfRule>
  </conditionalFormatting>
  <conditionalFormatting sqref="AA397:AC397">
    <cfRule type="expression" dxfId="43" priority="44">
      <formula>$R397:$R751="End"</formula>
    </cfRule>
  </conditionalFormatting>
  <conditionalFormatting sqref="AA397:AC397">
    <cfRule type="expression" dxfId="42" priority="43" stopIfTrue="1">
      <formula>$R397:$R751="Cancel"</formula>
    </cfRule>
  </conditionalFormatting>
  <conditionalFormatting sqref="S397 AD397:AO397 W397:Z397 P397:Q397">
    <cfRule type="expression" dxfId="41" priority="39">
      <formula>$X397:$X634="Penting"</formula>
    </cfRule>
    <cfRule type="expression" dxfId="40" priority="40">
      <formula>$R397:$R634=""</formula>
    </cfRule>
    <cfRule type="expression" dxfId="39" priority="41">
      <formula>$R397:$R634&lt;=0</formula>
    </cfRule>
    <cfRule type="expression" dxfId="38" priority="42">
      <formula>$R397:$R634&lt;4</formula>
    </cfRule>
  </conditionalFormatting>
  <conditionalFormatting sqref="AD397:AO397 S397:Z397 P397:Q397">
    <cfRule type="expression" dxfId="37" priority="38">
      <formula>$R397:$R699="End"</formula>
    </cfRule>
  </conditionalFormatting>
  <conditionalFormatting sqref="AD397:AO397 S397:Z397 P397:Q397">
    <cfRule type="expression" dxfId="36" priority="37" stopIfTrue="1">
      <formula>$R397:$R699="Cancel"</formula>
    </cfRule>
  </conditionalFormatting>
  <conditionalFormatting sqref="R397">
    <cfRule type="expression" dxfId="35" priority="36">
      <formula>$R397:$R740="End"</formula>
    </cfRule>
  </conditionalFormatting>
  <conditionalFormatting sqref="R397">
    <cfRule type="expression" dxfId="34" priority="35" stopIfTrue="1">
      <formula>$R397:$R740="Cancel"</formula>
    </cfRule>
  </conditionalFormatting>
  <conditionalFormatting sqref="S397">
    <cfRule type="expression" dxfId="33" priority="31">
      <formula>$X397:$X740="Penting"</formula>
    </cfRule>
    <cfRule type="expression" dxfId="32" priority="32">
      <formula>$R397:$R740=""</formula>
    </cfRule>
    <cfRule type="expression" dxfId="31" priority="33">
      <formula>$R397:$R740&lt;=0</formula>
    </cfRule>
    <cfRule type="expression" dxfId="30" priority="34">
      <formula>$R397:$R740&lt;4</formula>
    </cfRule>
  </conditionalFormatting>
  <conditionalFormatting sqref="N367:O367">
    <cfRule type="expression" dxfId="29" priority="30">
      <formula>$R367:$R680="End"</formula>
    </cfRule>
  </conditionalFormatting>
  <conditionalFormatting sqref="N367:O367">
    <cfRule type="expression" dxfId="28" priority="29" stopIfTrue="1">
      <formula>$R367:$R680="Cancel"</formula>
    </cfRule>
  </conditionalFormatting>
  <conditionalFormatting sqref="N367:O367">
    <cfRule type="expression" dxfId="27" priority="25">
      <formula>$X367:$X615="Penting"</formula>
    </cfRule>
    <cfRule type="expression" dxfId="26" priority="26">
      <formula>$R367:$R615=""</formula>
    </cfRule>
    <cfRule type="expression" dxfId="25" priority="27">
      <formula>$R367:$R615&lt;=0</formula>
    </cfRule>
    <cfRule type="expression" dxfId="24" priority="28">
      <formula>$R367:$R615&lt;4</formula>
    </cfRule>
  </conditionalFormatting>
  <conditionalFormatting sqref="F367">
    <cfRule type="expression" dxfId="23" priority="24">
      <formula>$R367:$R680="End"</formula>
    </cfRule>
  </conditionalFormatting>
  <conditionalFormatting sqref="F367">
    <cfRule type="expression" dxfId="22" priority="23" stopIfTrue="1">
      <formula>$R367:$R680="Cancel"</formula>
    </cfRule>
  </conditionalFormatting>
  <conditionalFormatting sqref="F367">
    <cfRule type="expression" dxfId="21" priority="19">
      <formula>$X367:$X615="Penting"</formula>
    </cfRule>
    <cfRule type="expression" dxfId="20" priority="20">
      <formula>$R367:$R615=""</formula>
    </cfRule>
    <cfRule type="expression" dxfId="19" priority="21">
      <formula>$R367:$R615&lt;=0</formula>
    </cfRule>
    <cfRule type="expression" dxfId="18" priority="22">
      <formula>$R367:$R615&lt;4</formula>
    </cfRule>
  </conditionalFormatting>
  <conditionalFormatting sqref="N312:O312">
    <cfRule type="expression" dxfId="17" priority="15">
      <formula>$X312:$X571="Penting"</formula>
    </cfRule>
    <cfRule type="expression" dxfId="16" priority="16">
      <formula>$R312:$R571=""</formula>
    </cfRule>
    <cfRule type="expression" dxfId="15" priority="17">
      <formula>$R312:$R571&lt;=0</formula>
    </cfRule>
    <cfRule type="expression" dxfId="14" priority="18">
      <formula>$R312:$R571&lt;4</formula>
    </cfRule>
  </conditionalFormatting>
  <conditionalFormatting sqref="N312:O312">
    <cfRule type="expression" dxfId="13" priority="14">
      <formula>$R312:$R636="End"</formula>
    </cfRule>
  </conditionalFormatting>
  <conditionalFormatting sqref="N312:O312">
    <cfRule type="expression" dxfId="12" priority="13" stopIfTrue="1">
      <formula>$R312:$R636="Cancel"</formula>
    </cfRule>
  </conditionalFormatting>
  <conditionalFormatting sqref="F312">
    <cfRule type="expression" dxfId="11" priority="9">
      <formula>$X312:$X571="Penting"</formula>
    </cfRule>
    <cfRule type="expression" dxfId="10" priority="10">
      <formula>$R312:$R571=""</formula>
    </cfRule>
    <cfRule type="expression" dxfId="9" priority="11">
      <formula>$R312:$R571&lt;=0</formula>
    </cfRule>
    <cfRule type="expression" dxfId="8" priority="12">
      <formula>$R312:$R571&lt;4</formula>
    </cfRule>
  </conditionalFormatting>
  <conditionalFormatting sqref="F312">
    <cfRule type="expression" dxfId="7" priority="8">
      <formula>$R312:$R636="End"</formula>
    </cfRule>
  </conditionalFormatting>
  <conditionalFormatting sqref="F312">
    <cfRule type="expression" dxfId="6" priority="7" stopIfTrue="1">
      <formula>$R312:$R636="Cancel"</formula>
    </cfRule>
  </conditionalFormatting>
  <conditionalFormatting sqref="Y367">
    <cfRule type="expression" dxfId="5" priority="3">
      <formula>$X367:$X626="Penting"</formula>
    </cfRule>
    <cfRule type="expression" dxfId="4" priority="4">
      <formula>$R367:$R626=""</formula>
    </cfRule>
    <cfRule type="expression" dxfId="3" priority="5">
      <formula>$R367:$R626&lt;=0</formula>
    </cfRule>
    <cfRule type="expression" dxfId="2" priority="6">
      <formula>$R367:$R626&lt;4</formula>
    </cfRule>
  </conditionalFormatting>
  <conditionalFormatting sqref="Y367">
    <cfRule type="expression" dxfId="1" priority="2">
      <formula>$R367:$R691="End"</formula>
    </cfRule>
  </conditionalFormatting>
  <conditionalFormatting sqref="Y367">
    <cfRule type="expression" dxfId="0" priority="1" stopIfTrue="1">
      <formula>$R367:$R691="Cancel"</formula>
    </cfRule>
  </conditionalFormatting>
  <hyperlinks>
    <hyperlink ref="K175" r:id="rId1"/>
    <hyperlink ref="K452" r:id="rId2"/>
    <hyperlink ref="K186" r:id="rId3"/>
    <hyperlink ref="K447" r:id="rId4"/>
  </hyperlinks>
  <printOptions horizontalCentered="1"/>
  <pageMargins left="0" right="0" top="0.19685039370078741" bottom="0" header="0" footer="0"/>
  <pageSetup paperSize="9" scale="13" orientation="landscape" r:id="rId5"/>
  <rowBreaks count="10" manualBreakCount="10">
    <brk id="119" max="40" man="1"/>
    <brk id="170" max="40" man="1"/>
    <brk id="215" max="40" man="1"/>
    <brk id="263" max="40" man="1"/>
    <brk id="308" max="40" man="1"/>
    <brk id="348" max="40" man="1"/>
    <brk id="390" max="40" man="1"/>
    <brk id="431" max="40" man="1"/>
    <brk id="466" max="40" man="1"/>
    <brk id="499" max="40" man="1"/>
  </rowBreaks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Kontrak ALL</vt:lpstr>
      <vt:lpstr>'Kontrak ALL'!Print_Area</vt:lpstr>
      <vt:lpstr>'Kontrak ALL'!Print_Titles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GA-08</dc:creator>
  <cp:lastModifiedBy>GA-06</cp:lastModifiedBy>
  <cp:lastPrinted>2022-05-09T05:02:23Z</cp:lastPrinted>
  <dcterms:created xsi:type="dcterms:W3CDTF">2022-05-09T05:02:18Z</dcterms:created>
  <dcterms:modified xsi:type="dcterms:W3CDTF">2022-10-18T07:37:25Z</dcterms:modified>
</cp:coreProperties>
</file>