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codeName="ThisWorkbook"/>
  <xr:revisionPtr revIDLastSave="0" documentId="13_ncr:1_{B66E4A34-B3FE-44F2-99E9-0663B5953602}" xr6:coauthVersionLast="47" xr6:coauthVersionMax="47" xr10:uidLastSave="{00000000-0000-0000-0000-000000000000}"/>
  <bookViews>
    <workbookView xWindow="-120" yWindow="-120" windowWidth="29040" windowHeight="15720" xr2:uid="{00000000-000D-0000-FFFF-FFFF00000000}"/>
  </bookViews>
  <sheets>
    <sheet name="send IT" sheetId="14" r:id="rId1"/>
    <sheet name="Target " sheetId="13" r:id="rId2"/>
    <sheet name="Summary" sheetId="12" r:id="rId3"/>
    <sheet name="Appointment" sheetId="11" r:id="rId4"/>
  </sheets>
  <definedNames>
    <definedName name="Display_Week" localSheetId="2">Summary!$F$4</definedName>
    <definedName name="Display_Week">Appointment!$F$4</definedName>
    <definedName name="_xlnm.Print_Titles" localSheetId="3">Appointment!$4:$6</definedName>
    <definedName name="_xlnm.Print_Titles" localSheetId="2">Summary!$4:$6</definedName>
    <definedName name="Project_Start" localSheetId="2">Summary!$F$3</definedName>
    <definedName name="Project_Start">Appointment!$F$3</definedName>
    <definedName name="task_end" localSheetId="3">Appointment!$G1</definedName>
    <definedName name="task_end" localSheetId="2">Summary!$G1</definedName>
    <definedName name="task_plan" localSheetId="2">Summary!$D1</definedName>
    <definedName name="task_plan" comment="berisi Plan dan Actual">Appointment!$D1</definedName>
    <definedName name="task_progress" localSheetId="3">Appointment!$E1</definedName>
    <definedName name="task_progress" localSheetId="2">Summary!$E1</definedName>
    <definedName name="task_start" localSheetId="3">Appointment!$F1</definedName>
    <definedName name="task_start" localSheetId="2">Summary!$F1</definedName>
    <definedName name="today" localSheetId="3">TODAY()</definedName>
    <definedName name="today" localSheetId="2">TODAY()</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12" l="1"/>
  <c r="G10" i="12"/>
  <c r="G11" i="12"/>
  <c r="G12" i="12"/>
  <c r="G13" i="12"/>
  <c r="G14" i="12"/>
  <c r="G15" i="12"/>
  <c r="G16" i="12"/>
  <c r="G17" i="12"/>
  <c r="G18" i="12"/>
  <c r="G19" i="12"/>
  <c r="G20" i="12"/>
  <c r="G32" i="12"/>
  <c r="G31" i="12"/>
  <c r="G30" i="12"/>
  <c r="G29" i="12"/>
  <c r="G28" i="12"/>
  <c r="G27" i="12"/>
  <c r="G26" i="12"/>
  <c r="G25" i="12"/>
  <c r="G24" i="12"/>
  <c r="G23" i="12"/>
  <c r="G22" i="12"/>
  <c r="G21" i="12"/>
  <c r="F8" i="12"/>
  <c r="E8" i="12"/>
  <c r="I7" i="12"/>
  <c r="F3" i="12"/>
  <c r="J5" i="12" s="1"/>
  <c r="F8" i="11"/>
  <c r="F21" i="11"/>
  <c r="G20" i="11"/>
  <c r="G19" i="11"/>
  <c r="G18" i="11"/>
  <c r="G17" i="11"/>
  <c r="G16" i="11"/>
  <c r="G15" i="11"/>
  <c r="G14" i="11"/>
  <c r="G13" i="11"/>
  <c r="G12" i="11"/>
  <c r="G11" i="11"/>
  <c r="G10" i="11"/>
  <c r="G9" i="11"/>
  <c r="G8" i="12" l="1"/>
  <c r="I8" i="12" s="1"/>
  <c r="J4" i="12"/>
  <c r="J6" i="12"/>
  <c r="K5" i="12"/>
  <c r="G33" i="11"/>
  <c r="G32" i="11"/>
  <c r="G31" i="11"/>
  <c r="G29" i="11"/>
  <c r="G28" i="11"/>
  <c r="G27" i="11"/>
  <c r="G26" i="11"/>
  <c r="G25" i="11"/>
  <c r="G23" i="11"/>
  <c r="G22" i="11"/>
  <c r="K6" i="12" l="1"/>
  <c r="L5" i="12"/>
  <c r="G30" i="11"/>
  <c r="G24" i="11"/>
  <c r="E8" i="11"/>
  <c r="L6" i="12" l="1"/>
  <c r="M5" i="12"/>
  <c r="G21" i="11"/>
  <c r="E21" i="11"/>
  <c r="F3" i="11"/>
  <c r="M6" i="12" l="1"/>
  <c r="N5" i="12"/>
  <c r="G8" i="11"/>
  <c r="I7" i="11"/>
  <c r="N6" i="12" l="1"/>
  <c r="O5" i="12"/>
  <c r="J5" i="11"/>
  <c r="I8" i="11"/>
  <c r="P5" i="12" l="1"/>
  <c r="O6" i="12"/>
  <c r="I21" i="11"/>
  <c r="J6" i="11"/>
  <c r="Q5" i="12" l="1"/>
  <c r="P6" i="12"/>
  <c r="K5" i="11"/>
  <c r="L5" i="11" s="1"/>
  <c r="M5" i="11" s="1"/>
  <c r="N5" i="11" s="1"/>
  <c r="O5" i="11" s="1"/>
  <c r="P5" i="11" s="1"/>
  <c r="Q5" i="11" s="1"/>
  <c r="J4" i="11"/>
  <c r="Q4" i="12" l="1"/>
  <c r="Q6" i="12"/>
  <c r="R5" i="12"/>
  <c r="Q4" i="11"/>
  <c r="R5" i="11"/>
  <c r="S5" i="11" s="1"/>
  <c r="T5" i="11" s="1"/>
  <c r="U5" i="11" s="1"/>
  <c r="V5" i="11" s="1"/>
  <c r="W5" i="11" s="1"/>
  <c r="X5" i="11" s="1"/>
  <c r="K6" i="11"/>
  <c r="R6" i="12" l="1"/>
  <c r="S5" i="12"/>
  <c r="X4" i="11"/>
  <c r="Y5" i="11"/>
  <c r="Z5" i="11" s="1"/>
  <c r="AA5" i="11" s="1"/>
  <c r="AB5" i="11" s="1"/>
  <c r="AC5" i="11" s="1"/>
  <c r="AD5" i="11" s="1"/>
  <c r="AE5" i="11" s="1"/>
  <c r="L6" i="11"/>
  <c r="S6" i="12" l="1"/>
  <c r="T5" i="12"/>
  <c r="AF5" i="11"/>
  <c r="AG5" i="11" s="1"/>
  <c r="AH5" i="11" s="1"/>
  <c r="AI5" i="11" s="1"/>
  <c r="AJ5" i="11" s="1"/>
  <c r="AK5" i="11" s="1"/>
  <c r="AE4" i="11"/>
  <c r="M6" i="11"/>
  <c r="U5" i="12" l="1"/>
  <c r="T6" i="12"/>
  <c r="AL5" i="11"/>
  <c r="AM5" i="11" s="1"/>
  <c r="AN5" i="11" s="1"/>
  <c r="AO5" i="11" s="1"/>
  <c r="AP5" i="11" s="1"/>
  <c r="AQ5" i="11" s="1"/>
  <c r="AR5" i="11" s="1"/>
  <c r="N6" i="11"/>
  <c r="V5" i="12" l="1"/>
  <c r="U6" i="12"/>
  <c r="AS5" i="11"/>
  <c r="AT5" i="11" s="1"/>
  <c r="AL4" i="11"/>
  <c r="O6" i="11"/>
  <c r="V6" i="12" l="1"/>
  <c r="W5" i="12"/>
  <c r="AU5" i="11"/>
  <c r="AT6" i="11"/>
  <c r="AS4" i="11"/>
  <c r="P6" i="11"/>
  <c r="X5" i="12" l="1"/>
  <c r="W6" i="12"/>
  <c r="AV5" i="11"/>
  <c r="AU6" i="11"/>
  <c r="X6" i="12" l="1"/>
  <c r="Y5" i="12"/>
  <c r="X4" i="12"/>
  <c r="AW5" i="11"/>
  <c r="AV6" i="11"/>
  <c r="Q6" i="11"/>
  <c r="R6" i="11"/>
  <c r="Z5" i="12" l="1"/>
  <c r="Y6" i="12"/>
  <c r="AX5" i="11"/>
  <c r="AW6" i="11"/>
  <c r="S6" i="11"/>
  <c r="Z6" i="12" l="1"/>
  <c r="AA5" i="12"/>
  <c r="AY5" i="11"/>
  <c r="AZ5" i="11" s="1"/>
  <c r="AX6" i="11"/>
  <c r="T6" i="11"/>
  <c r="AA6" i="12" l="1"/>
  <c r="AB5" i="12"/>
  <c r="AZ6" i="11"/>
  <c r="BA5" i="11"/>
  <c r="AZ4" i="11"/>
  <c r="AY6" i="11"/>
  <c r="U6" i="11"/>
  <c r="AB6" i="12" l="1"/>
  <c r="AC5" i="12"/>
  <c r="BB5" i="11"/>
  <c r="BA6" i="11"/>
  <c r="V6" i="11"/>
  <c r="AC6" i="12" l="1"/>
  <c r="AD5" i="12"/>
  <c r="BB6" i="11"/>
  <c r="BC5" i="11"/>
  <c r="W6" i="11"/>
  <c r="AD6" i="12" l="1"/>
  <c r="AE5" i="12"/>
  <c r="BC6" i="11"/>
  <c r="BD5" i="11"/>
  <c r="X6" i="11"/>
  <c r="AE6" i="12" l="1"/>
  <c r="AF5" i="12"/>
  <c r="AE4" i="12"/>
  <c r="BD6" i="11"/>
  <c r="BE5" i="11"/>
  <c r="Y6" i="11"/>
  <c r="AF6" i="12" l="1"/>
  <c r="AG5" i="12"/>
  <c r="BF5" i="11"/>
  <c r="BE6" i="11"/>
  <c r="Z6" i="11"/>
  <c r="AH5" i="12" l="1"/>
  <c r="AG6" i="12"/>
  <c r="BF6" i="11"/>
  <c r="BG5" i="11"/>
  <c r="AA6" i="11"/>
  <c r="AH6" i="12" l="1"/>
  <c r="AI5" i="12"/>
  <c r="BG6" i="11"/>
  <c r="BH5" i="11"/>
  <c r="BG4" i="11"/>
  <c r="AB6" i="11"/>
  <c r="AI6" i="12" l="1"/>
  <c r="AJ5" i="12"/>
  <c r="BH6" i="11"/>
  <c r="BI5" i="11"/>
  <c r="AC6" i="11"/>
  <c r="AJ6" i="12" l="1"/>
  <c r="AK5" i="12"/>
  <c r="BJ5" i="11"/>
  <c r="BI6" i="11"/>
  <c r="AD6" i="11"/>
  <c r="AK6" i="12" l="1"/>
  <c r="AL5" i="12"/>
  <c r="BK5" i="11"/>
  <c r="BJ6" i="11"/>
  <c r="AE6" i="11"/>
  <c r="AL4" i="12" l="1"/>
  <c r="AM5" i="12"/>
  <c r="AL6" i="12"/>
  <c r="BL5" i="11"/>
  <c r="BK6" i="11"/>
  <c r="AF6" i="11"/>
  <c r="AM6" i="12" l="1"/>
  <c r="AN5" i="12"/>
  <c r="BM5" i="11"/>
  <c r="BL6" i="11"/>
  <c r="AG6" i="11"/>
  <c r="AN6" i="12" l="1"/>
  <c r="AO5" i="12"/>
  <c r="BM6" i="11"/>
  <c r="AH6" i="11"/>
  <c r="AO6" i="12" l="1"/>
  <c r="AP5" i="12"/>
  <c r="AI6" i="11"/>
  <c r="AP6" i="12" l="1"/>
  <c r="AQ5" i="12"/>
  <c r="AJ6" i="11"/>
  <c r="AQ6" i="12" l="1"/>
  <c r="AR5" i="12"/>
  <c r="AK6" i="11"/>
  <c r="AS5" i="12" l="1"/>
  <c r="AR6" i="12"/>
  <c r="AL6" i="11"/>
  <c r="AT5" i="12" l="1"/>
  <c r="AS4" i="12"/>
  <c r="AS6" i="12"/>
  <c r="AM6" i="11"/>
  <c r="AU5" i="12" l="1"/>
  <c r="AT6" i="12"/>
  <c r="AN6" i="11"/>
  <c r="AV5" i="12" l="1"/>
  <c r="AU6" i="12"/>
  <c r="AO6" i="11"/>
  <c r="AV6" i="12" l="1"/>
  <c r="AW5" i="12"/>
  <c r="AP6" i="11"/>
  <c r="AX5" i="12" l="1"/>
  <c r="AW6" i="12"/>
  <c r="AQ6" i="11"/>
  <c r="AX6" i="12" l="1"/>
  <c r="AY5" i="12"/>
  <c r="AR6" i="11"/>
  <c r="AZ5" i="12" l="1"/>
  <c r="AY6" i="12"/>
  <c r="AS6" i="11"/>
  <c r="AZ4" i="12" l="1"/>
  <c r="AZ6" i="12"/>
  <c r="BA5" i="12"/>
  <c r="BA6" i="12" l="1"/>
  <c r="BB5" i="12"/>
  <c r="BB6" i="12" l="1"/>
  <c r="BC5" i="12"/>
  <c r="BD5" i="12" l="1"/>
  <c r="BC6" i="12"/>
  <c r="BD6" i="12" l="1"/>
  <c r="BE5" i="12"/>
  <c r="BF5" i="12" l="1"/>
  <c r="BE6" i="12"/>
  <c r="BF6" i="12" l="1"/>
  <c r="BG5" i="12"/>
  <c r="BG6" i="12" l="1"/>
  <c r="BH5" i="12"/>
  <c r="BG4" i="12"/>
  <c r="BH6" i="12" l="1"/>
  <c r="BI5" i="12"/>
  <c r="BI6" i="12" l="1"/>
  <c r="BJ5" i="12"/>
  <c r="BJ6" i="12" l="1"/>
  <c r="BK5" i="12"/>
  <c r="BK6" i="12" l="1"/>
  <c r="BL5" i="12"/>
  <c r="BM5" i="12" l="1"/>
  <c r="BM6" i="12" s="1"/>
  <c r="BL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7" authorId="0" shapeId="0" xr:uid="{7672C376-F040-4865-9920-23C6AE67B674}">
      <text>
        <r>
          <rPr>
            <b/>
            <sz val="9"/>
            <color indexed="81"/>
            <rFont val="Tahoma"/>
            <family val="2"/>
          </rPr>
          <t>Contoh :
- Benchmark ke Affiliate 
- Bechmark PT xxxx
- Youtube lik ….....
- Internet link …... 
- Konsep SAMI</t>
        </r>
      </text>
    </comment>
    <comment ref="G7" authorId="0" shapeId="0" xr:uid="{76425F3E-DA60-4075-ACDE-98ADA328171A}">
      <text>
        <r>
          <rPr>
            <b/>
            <sz val="9"/>
            <color indexed="81"/>
            <rFont val="Tahoma"/>
            <family val="2"/>
          </rPr>
          <t>Boleh diisi saat Meeting Opening Project</t>
        </r>
      </text>
    </comment>
    <comment ref="H7" authorId="0" shapeId="0" xr:uid="{D980C1A1-9E38-4BD6-87BB-5F3B92A828F7}">
      <text>
        <r>
          <rPr>
            <b/>
            <sz val="9"/>
            <color indexed="81"/>
            <rFont val="Tahoma"/>
            <family val="2"/>
          </rPr>
          <t>Boleh Diisi saat Meeting Opening Project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6" authorId="0" shapeId="0" xr:uid="{2139E72F-256E-42D4-8AE3-7E439D0FFE25}">
      <text>
        <r>
          <rPr>
            <b/>
            <sz val="9"/>
            <color indexed="81"/>
            <rFont val="Tahoma"/>
            <family val="2"/>
          </rPr>
          <t>Author:</t>
        </r>
        <r>
          <rPr>
            <sz val="9"/>
            <color indexed="81"/>
            <rFont val="Tahoma"/>
            <family val="2"/>
          </rPr>
          <t xml:space="preserve">
Isi Status Progres terakhir pada baris </t>
        </r>
        <r>
          <rPr>
            <b/>
            <sz val="9"/>
            <color indexed="81"/>
            <rFont val="Tahoma"/>
            <family val="2"/>
          </rPr>
          <t>Act</t>
        </r>
      </text>
    </comment>
    <comment ref="H6" authorId="0" shapeId="0" xr:uid="{9B060A84-1817-4163-9435-2A628E231E63}">
      <text>
        <r>
          <rPr>
            <b/>
            <sz val="9"/>
            <color indexed="81"/>
            <rFont val="Tahoma"/>
            <family val="2"/>
          </rPr>
          <t>Author:</t>
        </r>
        <r>
          <rPr>
            <sz val="9"/>
            <color indexed="81"/>
            <rFont val="Tahoma"/>
            <family val="2"/>
          </rPr>
          <t xml:space="preserve">
Isi Jumlah hari</t>
        </r>
        <r>
          <rPr>
            <b/>
            <u/>
            <sz val="9"/>
            <color indexed="81"/>
            <rFont val="Tahoma"/>
            <family val="2"/>
          </rPr>
          <t xml:space="preserve"> tidak melakukan</t>
        </r>
        <r>
          <rPr>
            <sz val="9"/>
            <color indexed="81"/>
            <rFont val="Tahoma"/>
            <family val="2"/>
          </rPr>
          <t xml:space="preserve"> Task dari Start Date</t>
        </r>
      </text>
    </comment>
    <comment ref="I6" authorId="0" shapeId="0" xr:uid="{245C53FE-0242-4693-8E39-0C414B9B2BA3}">
      <text>
        <r>
          <rPr>
            <b/>
            <sz val="9"/>
            <color indexed="81"/>
            <rFont val="Tahoma"/>
            <family val="2"/>
          </rPr>
          <t>Author:</t>
        </r>
        <r>
          <rPr>
            <sz val="9"/>
            <color indexed="81"/>
            <rFont val="Tahoma"/>
            <family val="2"/>
          </rPr>
          <t xml:space="preserve">
Isi Jumlah hari </t>
        </r>
        <r>
          <rPr>
            <b/>
            <u/>
            <sz val="9"/>
            <color indexed="81"/>
            <rFont val="Tahoma"/>
            <family val="2"/>
          </rPr>
          <t>melakukan</t>
        </r>
        <r>
          <rPr>
            <sz val="9"/>
            <color indexed="81"/>
            <rFont val="Tahoma"/>
            <family val="2"/>
          </rPr>
          <t xml:space="preserve"> Task dari Start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6" authorId="0" shapeId="0" xr:uid="{76A7423E-4E1B-4E3B-B26F-C151043ECC37}">
      <text>
        <r>
          <rPr>
            <b/>
            <sz val="9"/>
            <color indexed="81"/>
            <rFont val="Tahoma"/>
            <family val="2"/>
          </rPr>
          <t>Author:</t>
        </r>
        <r>
          <rPr>
            <sz val="9"/>
            <color indexed="81"/>
            <rFont val="Tahoma"/>
            <family val="2"/>
          </rPr>
          <t xml:space="preserve">
Isi Status Progres terakhir pada baris </t>
        </r>
        <r>
          <rPr>
            <b/>
            <sz val="9"/>
            <color indexed="81"/>
            <rFont val="Tahoma"/>
            <family val="2"/>
          </rPr>
          <t>Act</t>
        </r>
      </text>
    </comment>
    <comment ref="H6" authorId="0" shapeId="0" xr:uid="{2C24DBF0-0695-4A3B-A66D-E9AE8359236D}">
      <text>
        <r>
          <rPr>
            <b/>
            <sz val="9"/>
            <color indexed="81"/>
            <rFont val="Tahoma"/>
            <family val="2"/>
          </rPr>
          <t>Author:</t>
        </r>
        <r>
          <rPr>
            <sz val="9"/>
            <color indexed="81"/>
            <rFont val="Tahoma"/>
            <family val="2"/>
          </rPr>
          <t xml:space="preserve">
Isi Jumlah hari</t>
        </r>
        <r>
          <rPr>
            <b/>
            <u/>
            <sz val="9"/>
            <color indexed="81"/>
            <rFont val="Tahoma"/>
            <family val="2"/>
          </rPr>
          <t xml:space="preserve"> tidak melakukan</t>
        </r>
        <r>
          <rPr>
            <sz val="9"/>
            <color indexed="81"/>
            <rFont val="Tahoma"/>
            <family val="2"/>
          </rPr>
          <t xml:space="preserve"> Task dari Start Date</t>
        </r>
      </text>
    </comment>
    <comment ref="I6" authorId="0" shapeId="0" xr:uid="{E0A120BF-AD63-4EEC-ACA9-B202FE44A1A0}">
      <text>
        <r>
          <rPr>
            <b/>
            <sz val="9"/>
            <color indexed="81"/>
            <rFont val="Tahoma"/>
            <family val="2"/>
          </rPr>
          <t>Author:</t>
        </r>
        <r>
          <rPr>
            <sz val="9"/>
            <color indexed="81"/>
            <rFont val="Tahoma"/>
            <family val="2"/>
          </rPr>
          <t xml:space="preserve">
Isi Jumlah hari </t>
        </r>
        <r>
          <rPr>
            <b/>
            <u/>
            <sz val="9"/>
            <color indexed="81"/>
            <rFont val="Tahoma"/>
            <family val="2"/>
          </rPr>
          <t>melakukan</t>
        </r>
        <r>
          <rPr>
            <sz val="9"/>
            <color indexed="81"/>
            <rFont val="Tahoma"/>
            <family val="2"/>
          </rPr>
          <t xml:space="preserve"> Task dari Start Date</t>
        </r>
      </text>
    </comment>
  </commentList>
</comments>
</file>

<file path=xl/sharedStrings.xml><?xml version="1.0" encoding="utf-8"?>
<sst xmlns="http://schemas.openxmlformats.org/spreadsheetml/2006/main" count="367" uniqueCount="174">
  <si>
    <t>Insert new rows ABOVE this one</t>
  </si>
  <si>
    <t>Project Start:</t>
  </si>
  <si>
    <t>PROGRESS</t>
  </si>
  <si>
    <t>ASSIGNED
TO</t>
  </si>
  <si>
    <t>START</t>
  </si>
  <si>
    <t>END</t>
  </si>
  <si>
    <t>DAYS</t>
  </si>
  <si>
    <t>Display Week:</t>
  </si>
  <si>
    <t>TASK</t>
  </si>
  <si>
    <t>Enter Company Name in cell B2.</t>
  </si>
  <si>
    <t>This row marks the end of the Project Schedule. DO NOT enter anything in this row. 
Insert new rows ABOVE this one to continue building out your Project Schedule.</t>
  </si>
  <si>
    <t>This is an empty row</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</si>
  <si>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</si>
  <si>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</si>
  <si>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</si>
  <si>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</si>
  <si>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</si>
  <si>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</si>
  <si>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</si>
  <si>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</si>
  <si>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</si>
  <si>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PT SEMARANG AUTOCOMP MANUFACTURING INDONESIA</t>
  </si>
  <si>
    <t>Week End</t>
  </si>
  <si>
    <t>Plan</t>
  </si>
  <si>
    <t>Act</t>
  </si>
  <si>
    <t>Actual</t>
  </si>
  <si>
    <t>Appointment</t>
  </si>
  <si>
    <t>Menghilangkan List Tamu dari Tablet</t>
  </si>
  <si>
    <t>SJM</t>
  </si>
  <si>
    <t>Implementasi</t>
  </si>
  <si>
    <t>GA</t>
  </si>
  <si>
    <t>Buat Standarisasi</t>
  </si>
  <si>
    <t>Sosialisasi ke ALL Dept</t>
  </si>
  <si>
    <t>Renny</t>
  </si>
  <si>
    <t>Kelengkapan</t>
  </si>
  <si>
    <t>Appointment (Jalur Security)</t>
  </si>
  <si>
    <t>Tamu (Jalur Lobby)</t>
  </si>
  <si>
    <t>Register Semua Supplier</t>
  </si>
  <si>
    <t>Trial Ulang</t>
  </si>
  <si>
    <t xml:space="preserve">Tambahkan Pilihan Others / Supplier di Web Admin </t>
  </si>
  <si>
    <t>%</t>
  </si>
  <si>
    <t>SUMMARY PROGRES DIGITALISASI GA</t>
  </si>
  <si>
    <t>APPOINTMENT (Jalur Lobby)</t>
  </si>
  <si>
    <t>EVALUASI KATERING ONLINE</t>
  </si>
  <si>
    <t>DIGITALISASI GA</t>
  </si>
  <si>
    <t>APPOINTMENT (Jalur Security</t>
  </si>
  <si>
    <t>JUDUL PROJECT</t>
  </si>
  <si>
    <t>SECT.</t>
  </si>
  <si>
    <t>NO.</t>
  </si>
  <si>
    <t>GA - GS</t>
  </si>
  <si>
    <t>Appointment Tamu Jalur Lobby</t>
  </si>
  <si>
    <t>Appointment Tamu Jalur Security</t>
  </si>
  <si>
    <t>Evaluasi Katering Online Oleh Karyawan</t>
  </si>
  <si>
    <t>SPD Online (Perjalanan Dinas)</t>
  </si>
  <si>
    <t>A. DAFTAR PLAN DIGITALISASI GA</t>
  </si>
  <si>
    <t>B. RELEASE DOK. GA</t>
  </si>
  <si>
    <t>JENIS</t>
  </si>
  <si>
    <t>NO. DOK</t>
  </si>
  <si>
    <t>TGL RELEASE</t>
  </si>
  <si>
    <t>Penanganan Kondisi Abnormal pada Lampu</t>
  </si>
  <si>
    <t>GA - UTY</t>
  </si>
  <si>
    <t>OSI</t>
  </si>
  <si>
    <t>OSI/GA-UTY-025</t>
  </si>
  <si>
    <t>OSI/GA-UTY-026</t>
  </si>
  <si>
    <t>Patroli Harian Lampu</t>
  </si>
  <si>
    <t>FORM</t>
  </si>
  <si>
    <t>020/PGA/GA-UTY/FORM/PHPL</t>
  </si>
  <si>
    <t>Patroli Harian Pengecekkan Lampu</t>
  </si>
  <si>
    <t>021/PGA/GA-UTY/FORM/CAL</t>
  </si>
  <si>
    <t>Checksheet Abnormal Lampu</t>
  </si>
  <si>
    <t>KAIZEN</t>
  </si>
  <si>
    <t>Perintah Kerja Driver Online</t>
  </si>
  <si>
    <t>Data &amp; ID Card External Worker Online</t>
  </si>
  <si>
    <t>Serah Terima Barang LP</t>
  </si>
  <si>
    <t>GA - LP</t>
  </si>
  <si>
    <t>PT. SEMARANG AUTOCOMP MANUFACTURING INDONESIA</t>
  </si>
  <si>
    <t>FORM REQUEST IMPROVEMENT SYSTEM 
Term 84 s/d Term 94</t>
  </si>
  <si>
    <t>No</t>
  </si>
  <si>
    <t>DEP/SECT</t>
  </si>
  <si>
    <t>PIC</t>
  </si>
  <si>
    <t>Referensi</t>
  </si>
  <si>
    <t>Nama Project</t>
  </si>
  <si>
    <t>Fungsi</t>
  </si>
  <si>
    <t>Merit</t>
  </si>
  <si>
    <t>Demerit</t>
  </si>
  <si>
    <t>TERM (Implementasi)</t>
  </si>
  <si>
    <t>0 (Contoh)</t>
  </si>
  <si>
    <t>PRD- KANBAN</t>
  </si>
  <si>
    <t>YDS</t>
  </si>
  <si>
    <t>Benchmark SUAI</t>
  </si>
  <si>
    <t>Print Nameplate di Line</t>
  </si>
  <si>
    <t xml:space="preserve">- Print nameplate di masing-masing Conveyor
- Tracking Serial Nameplate
- FIFO Proses </t>
  </si>
  <si>
    <t>Q : Print NP sesuai dengan Plan PPC
C : xxxx.xx / Bulan
D : menghilangkan Proses distribusi NP
S : 
M : Proses Print Mudah( Hanya dengan scan kanban)
P : dapat mengurangi MP Supplay NP
E : tidak ada NP Scrap</t>
  </si>
  <si>
    <t>Q :
C : Printer NP di semua Area
D :
S :
M :
P :
E :</t>
  </si>
  <si>
    <t>GA - LOCAL PURCHASE</t>
  </si>
  <si>
    <t>PGA-GA</t>
  </si>
  <si>
    <t>FYH</t>
  </si>
  <si>
    <t>Konsep SAMI</t>
  </si>
  <si>
    <t>SUMMARY PERMINTAAN BARANG KE SUPPLIER</t>
  </si>
  <si>
    <t>Mempermudah pencarian barang ke supplier</t>
  </si>
  <si>
    <t>Q : Local purchase dapat menjangkau seluruh vendor saat membutuhkan barang
C : -
D : Mengurangi waktu untuk mengirimkan vendor satu-persatu
S :
M : Mempermudah Local Purchase menjangkau seluruh vendor
P :
E :</t>
  </si>
  <si>
    <t>Q :
C : 
D :
S :
M :
P :
E :</t>
  </si>
  <si>
    <t xml:space="preserve">  </t>
  </si>
  <si>
    <t>PERSETUJUAN PO (PURCHASE ORDER) OLEH ATASAN</t>
  </si>
  <si>
    <t>- Pengajuan approval tanda tangan memerlukan waktu yang lama</t>
  </si>
  <si>
    <t>Q : Proses pengajuan approval purchase order menggunakan sistem
C : 
D : proses pengajuan approval lebih cepat dan mengurangi waktu scan
S :
M : Mempermudah jalannya proses purchase order
P : Waktu yang digunakan untuk scan dan pengajuan approval dapat digunakan untuk pekerjaan lain
E :</t>
  </si>
  <si>
    <t xml:space="preserve">PO ADA LINK DOWNLOAD KONTRAK </t>
  </si>
  <si>
    <t>- Integrasi kontrak antara legal dan local purchase</t>
  </si>
  <si>
    <t>Q : Request dan hasil kontrak dapat diakses langsung oleh local purchase dan legal
C : 
D : Request dan hasil kontrak dapat lebih cepat diakses dan diteruskan ke vendor
S :
M : Local purchase dan legal lebih mudah berkomunikasi mengenai kontrak
P :
E :</t>
  </si>
  <si>
    <t>PEMBUATAN DOKUMEN MASUK TANPA BC 4.0</t>
  </si>
  <si>
    <t>Local purchase tidak perlu melakukan pendataan dan input manual</t>
  </si>
  <si>
    <t>Q : Data barang dan invoice langsung masuk ke sistem
C : 
D : Pendataan barang dan invoice lebih cepat karena langsung ke sistem
S : 
M : Local purchase lebih mudah dalam pembuatan dokumen dan penerimaan barang
P :
E :</t>
  </si>
  <si>
    <t xml:space="preserve">PROSES KEDATANGAN BARANG </t>
  </si>
  <si>
    <t>Q : Barang yang datang dapat terinput otomatis 
C : 
D : Input data kedatangan barang lebih cepat
S :
M : Local purchase merasa lebih mudah dalam pendataan kedatangan barang karena dalam purchase order terdapat barcode dan bisa langsung discan masuk ke sistem
P :
E :</t>
  </si>
  <si>
    <t>KONFIRMASI USER SAAT DISTRIBUSI BARANG</t>
  </si>
  <si>
    <t>User mendapatkan notifikasi waktu kedatangan barang</t>
  </si>
  <si>
    <t>Q : User mendapatkan info langsung kapan barang yang dipesan datang
C : 
D : Local purchase tidak perlu menghubungi user satu persatu
S :
M : Proses konfirmasi user lebih mudah karena user mendapatkan notifikasi otomatis
P :
E :</t>
  </si>
  <si>
    <t>GA - MANAGEMENT BUILDING</t>
  </si>
  <si>
    <t>STI</t>
  </si>
  <si>
    <t>Management Building</t>
  </si>
  <si>
    <t>- Data terintegrasi
- Penyimpanan data lebih terorganisir</t>
  </si>
  <si>
    <t>Q : Kondisi building lebih terkontrol
C : Mengurangi printout kertas setiap bulan
D : Mengurangi proses penggantian checksheet setiap bulan, atasan dapat mengontrol pengisian dari pc masing-masing
S :
M : Proses pengisian di lapangan dapat langsung terlihat di komputer atasan
P : Mengurangi proses pencatatan kerusakan manual
E :</t>
  </si>
  <si>
    <t>Q :
C : scanner tiap pic 1
D :
S :
M :
P :
E :</t>
  </si>
  <si>
    <t>Control external worker security dan cleaning service</t>
  </si>
  <si>
    <t>Kinerja CS dan security lebih terkontrol dan report lebih cepat</t>
  </si>
  <si>
    <t>Q : Kinerja sesuai dengan keinginan user
C : 
D : Mengurangi lama waktu koordinasi
S :
M : Mempermudah komunikasi
P : Pekerjaan dapat terfollup lebih cepat
E :</t>
  </si>
  <si>
    <t>GA - LEGAL</t>
  </si>
  <si>
    <t>Manajemen peraturan perundangan</t>
  </si>
  <si>
    <t>- Regulasi terdistribusi otomatis</t>
  </si>
  <si>
    <t>Q : Regulasi dapat otomatis terkirim ke user
C : 
D : Mengurangi pengiriman manual dengan email
S :
M : Mempermudah distribusi regulasi ke user
P :
E :</t>
  </si>
  <si>
    <t>Manajemen kontrak kerjasama</t>
  </si>
  <si>
    <t>- Kontrak dapat terakses oleh legal dan pic kontrak</t>
  </si>
  <si>
    <t>Q : Notifikasi yang berkaitan dengan kontrak dapat otomatis didapatkan pic kontrak
C : 
D : Legal tidak perlu reminder berkali-kali ke pic kontrak
S :
M : Mempermudah legal tentang status kontrak
P :
E :</t>
  </si>
  <si>
    <t>Manajemen perijinan, laporan, sertifikasi</t>
  </si>
  <si>
    <t>- Perijinan dapat terakses oleh legal dan pic kontrak</t>
  </si>
  <si>
    <t>Q : Notifikasi yang berkaitan dengan perijinan dapat otomatis didapatkan pic
C : 
D : Legal tidak perlu reminder berkali-kali ke pic perijinan
S :
M : Mempermudah legal tentang status perijinan
P :
E :</t>
  </si>
  <si>
    <t>Manajemen CSR</t>
  </si>
  <si>
    <t>- Digitalisasi kontrol CSR</t>
  </si>
  <si>
    <t>Q : Pelaksanaan lebih terjadwal
C : 
D : 
S :
M : Proses persiapan CSR dan pelaporan lebih mudah
P :
E :</t>
  </si>
  <si>
    <t>GA - GENERAL SUPPORT</t>
  </si>
  <si>
    <t>Evaluasi Katering</t>
  </si>
  <si>
    <t>- Evaluasi catering harian</t>
  </si>
  <si>
    <t>Q : Evaluasi catering lebih menjangkau seluruh karyawan 
C : 
D : Mengurangi waktu MP GA evaluasi catering manual 
S :
M : Mempermudah evaluasi catering
P :
E :</t>
  </si>
  <si>
    <t>Surat jalan driver</t>
  </si>
  <si>
    <t xml:space="preserve">Surat jalan / Instruksi &amp; Notifikasi kegiatan driver di akses online melalui Smart Phone ataupun PC dan dapat diterima oleh driver melalui Smart Phone
Ada button khusus yang diklik oleh security ketika driver out dan in yang kemudian secara otomatis muncul jam dan button untuk input nama security yang bertugas  </t>
  </si>
  <si>
    <t>Q : Driver langsung ke security daat ada instruksi atau notifikasi jalan
C : 
D : Mengurangi waktu untuk driver ke resepsionis
S :
M : Proses driver keluar lebih mudah dan singkat
P :
E :</t>
  </si>
  <si>
    <t>Notifikasi kegiatan dining room</t>
  </si>
  <si>
    <t>Request di dining room lebih mudah</t>
  </si>
  <si>
    <t>Q : Request menu, kegiatan makan, langsung diakses dari dining room
C : 
D : Konfirmasi menu atau kegiatan makan tidak perlu ke resepsionis
S :
M : Resepsionis merasa lebih terbantu dalam kegiatan tersebut
P :
E :</t>
  </si>
  <si>
    <t>GA - UTILITY</t>
  </si>
  <si>
    <t>PATROLI HARIAN GENSET</t>
  </si>
  <si>
    <t>Hasil patroli dapat langsung dimonitor di sistem</t>
  </si>
  <si>
    <t>Q : Patroli genset melalui scanner barcode dan dapat langsung masuk ke sistem
C : 
D : Utility tidak perlu input data hasil patrol manual
S :
M : Utility merasa terbantu dengan sistem tersebut
P :
E :</t>
  </si>
  <si>
    <t>PATROLI HARIAN KOMPRESSOR</t>
  </si>
  <si>
    <t>Q : Patroli kompressor melalui scanner barcode dan dapat langsung masuk ke sistem
C : 
D : Utility tidak perlu input data hasil patrol manual
S :
M : Utility merasa terbantu dengan sistem tersebut
P :
E :</t>
  </si>
  <si>
    <t>PATROLI HARIAN AHU</t>
  </si>
  <si>
    <t>Q : Patroli AHU melalui scanner barcode dan dapat langsung masuk ke sistem
C : 
D : Utility tidak perlu input data hasil patrol manual
S :
M : Utility merasa terbantu dengan sistem tersebut
P :
E :</t>
  </si>
  <si>
    <t>PATROLI HARIAN AUTODRAIN</t>
  </si>
  <si>
    <t>Q : Patroli autodrain melalui scanner barcode dan dapat langsung masuk ke sistem
C : 
D : Utility tidak perlu input data hasil patrol manual
S :
M : Utility merasa terbantu dengan sistem tersebut
P :
E :</t>
  </si>
  <si>
    <t>PATROLI HARIAN PUMP ROOM DAN HYDRANT</t>
  </si>
  <si>
    <t>Q : Patroli pump room dan hydrant melalui scanner barcode dan dapat langsung masuk ke sistem
C : 
D : Utility tidak perlu input data hasil patrol manual
S :
M : Utility merasa terbantu dengan sistem tersebut
P :
E :</t>
  </si>
  <si>
    <t>PATROLI MINGGUAN TRAFO</t>
  </si>
  <si>
    <t>Q : Patroli trafo melalui scanner barcode dan dapat langsung masuk ke sistem
C : 
D : Utility tidak perlu input data hasil patrol manual
S :
M : Utility merasa terbantu dengan sistem tersebut
P :
E :</t>
  </si>
  <si>
    <t>PATROLI MINGGUAN PANEL LISTRIK</t>
  </si>
  <si>
    <t>Q : Patroli panel listrik melalui scanner barcode dan dapat langsung masuk ke sistem
C : 
D : Utility tidak perlu input data hasil patrol manual
S :
M : Utility merasa terbantu dengan sistem tersebut
P :
E :</t>
  </si>
  <si>
    <t>PROSES IN - OUT MATERIAL UTILITY</t>
  </si>
  <si>
    <t>Proses in-out barang dapat lebih terkontrol</t>
  </si>
  <si>
    <t>Q : Proses in-out dan stok barang terkontrol
C : 
D : Utility lebih cepat mengetahui stok barang di gudang
S :
M : Utility merasa terbantu dengan sistem tersebut
P :
E :</t>
  </si>
  <si>
    <t>PROSES BULANAN PENGECEKAN KIPAS ANGIN</t>
  </si>
  <si>
    <t>Tanggal pemasangan dan lifetime kipas terecord</t>
  </si>
  <si>
    <t>Q : Data kipas dan lifetime kipas terecord
C : 
D : Utility lebih cepat mengetahui data kipas
S :
M : Kontrol kipas lebih mudah
P :
E :</t>
  </si>
  <si>
    <t>RECORD HISTORI MESIN</t>
  </si>
  <si>
    <t>Pengecekan, pendataan, pelaporan masih manual</t>
  </si>
  <si>
    <t>Q : History mesin terecord
C : 
D : Utility lebih cepat mengetahui histori tiap-tiap mesin
S :
M : History mesin lebih mudah dimonitor
P :
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</si>
</sst>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13809]d\ mmm\ yyyy;@"/>
  </numFmts>
  <fonts count="26" x14ac:knownFonts="1">
    <font>
      <sz val="11"/>
      <color theme="1"/>
      <name val="Calibri"/>
      <family val="2"/>
      <scheme val="minor"/>
    </font>
    <font>
      <u/>
      <sz val="11"/>
      <color indexed="12"/>
      <name val="Arial"/>
      <family val="2"/>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sz val="11"/>
      <color theme="0"/>
      <name val="Times New Roman"/>
      <family val="1"/>
    </font>
    <font>
      <b/>
      <sz val="22"/>
      <color theme="1" tint="0.34998626667073579"/>
      <name val="Times New Roman"/>
      <family val="1"/>
    </font>
    <font>
      <b/>
      <sz val="20"/>
      <color theme="4" tint="-0.249977111117893"/>
      <name val="Times New Roman"/>
      <family val="1"/>
    </font>
    <font>
      <sz val="10"/>
      <name val="Times New Roman"/>
      <family val="1"/>
    </font>
    <font>
      <sz val="11"/>
      <color theme="1"/>
      <name val="Times New Roman"/>
      <family val="1"/>
    </font>
    <font>
      <b/>
      <sz val="11"/>
      <name val="Times New Roman"/>
      <family val="1"/>
    </font>
    <font>
      <sz val="14"/>
      <color theme="1"/>
      <name val="Times New Roman"/>
      <family val="1"/>
    </font>
    <font>
      <sz val="9"/>
      <name val="Times New Roman"/>
      <family val="1"/>
    </font>
    <font>
      <b/>
      <sz val="9"/>
      <color theme="0"/>
      <name val="Times New Roman"/>
      <family val="1"/>
    </font>
    <font>
      <sz val="8"/>
      <color theme="0"/>
      <name val="Times New Roman"/>
      <family val="1"/>
    </font>
    <font>
      <b/>
      <sz val="11"/>
      <color theme="1"/>
      <name val="Times New Roman"/>
      <family val="1"/>
    </font>
    <font>
      <sz val="11"/>
      <name val="Times New Roman"/>
      <family val="1"/>
    </font>
    <font>
      <i/>
      <sz val="9"/>
      <color theme="1"/>
      <name val="Times New Roman"/>
      <family val="1"/>
    </font>
    <font>
      <sz val="10"/>
      <color theme="1" tint="0.499984740745262"/>
      <name val="Times New Roman"/>
      <family val="1"/>
    </font>
    <font>
      <b/>
      <sz val="11"/>
      <color theme="1" tint="0.499984740745262"/>
      <name val="Times New Roman"/>
      <family val="1"/>
    </font>
    <font>
      <sz val="9"/>
      <color indexed="81"/>
      <name val="Tahoma"/>
      <family val="2"/>
    </font>
    <font>
      <b/>
      <sz val="9"/>
      <color indexed="81"/>
      <name val="Tahoma"/>
      <family val="2"/>
    </font>
    <font>
      <b/>
      <u/>
      <sz val="9"/>
      <color indexed="81"/>
      <name val="Tahoma"/>
      <family val="2"/>
    </font>
    <font>
      <u/>
      <sz val="11"/>
      <color theme="1"/>
      <name val="Calibri"/>
      <family val="2"/>
      <scheme val="minor"/>
    </font>
    <font>
      <b/>
      <u/>
      <sz val="36"/>
      <color theme="1"/>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tint="-0.499984740745262"/>
        <bgColor theme="4"/>
      </patternFill>
    </fill>
    <fill>
      <patternFill patternType="solid">
        <fgColor theme="6" tint="-0.499984740745262"/>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00B050"/>
        <bgColor indexed="64"/>
      </patternFill>
    </fill>
    <fill>
      <patternFill patternType="solid">
        <fgColor rgb="FF7030A0"/>
        <bgColor indexed="64"/>
      </patternFill>
    </fill>
    <fill>
      <patternFill patternType="solid">
        <fgColor rgb="FF0070C0"/>
        <bgColor theme="4"/>
      </patternFill>
    </fill>
    <fill>
      <patternFill patternType="solid">
        <fgColor theme="8"/>
        <bgColor indexed="64"/>
      </patternFill>
    </fill>
    <fill>
      <patternFill patternType="solid">
        <fgColor rgb="FFFFC000"/>
        <bgColor indexed="64"/>
      </patternFill>
    </fill>
    <fill>
      <patternFill patternType="solid">
        <fgColor theme="0" tint="-0.249977111117893"/>
        <bgColor indexed="64"/>
      </patternFill>
    </fill>
  </fills>
  <borders count="24">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top/>
      <bottom style="medium">
        <color theme="0" tint="-0.14996795556505021"/>
      </bottom>
      <diagonal/>
    </border>
    <border>
      <left/>
      <right/>
      <top style="medium">
        <color theme="0" tint="-0.14996795556505021"/>
      </top>
      <bottom style="thin">
        <color rgb="FF000000"/>
      </bottom>
      <diagonal/>
    </border>
    <border>
      <left/>
      <right/>
      <top style="thin">
        <color rgb="FF000000"/>
      </top>
      <bottom style="thin">
        <color rgb="FF000000"/>
      </bottom>
      <diagonal/>
    </border>
    <border>
      <left/>
      <right/>
      <top style="medium">
        <color theme="0" tint="-0.14996795556505021"/>
      </top>
      <bottom/>
      <diagonal/>
    </border>
    <border>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1" fillId="0" borderId="0" applyNumberFormat="0" applyFill="0" applyBorder="0" applyAlignment="0" applyProtection="0">
      <alignment vertical="top"/>
      <protection locked="0"/>
    </xf>
    <xf numFmtId="9" fontId="2" fillId="0" borderId="0" applyFont="0" applyFill="0" applyBorder="0" applyAlignment="0" applyProtection="0"/>
    <xf numFmtId="0" fontId="5" fillId="0" borderId="0"/>
    <xf numFmtId="164" fontId="2" fillId="0" borderId="3" applyFont="0" applyFill="0" applyAlignment="0" applyProtection="0"/>
    <xf numFmtId="0" fontId="4" fillId="0" borderId="0" applyNumberFormat="0" applyFill="0" applyBorder="0" applyAlignment="0" applyProtection="0"/>
    <xf numFmtId="0" fontId="3" fillId="0" borderId="0" applyNumberFormat="0" applyFill="0" applyAlignment="0" applyProtection="0"/>
    <xf numFmtId="0" fontId="3" fillId="0" borderId="0" applyNumberFormat="0" applyFill="0" applyProtection="0">
      <alignment vertical="top"/>
    </xf>
    <xf numFmtId="0" fontId="2" fillId="0" borderId="0" applyNumberFormat="0" applyFill="0" applyProtection="0">
      <alignment horizontal="right" indent="1"/>
    </xf>
    <xf numFmtId="166" fontId="2" fillId="0" borderId="3">
      <alignment horizontal="center" vertical="center"/>
    </xf>
    <xf numFmtId="165" fontId="2" fillId="0" borderId="2" applyFill="0">
      <alignment horizontal="center" vertical="center"/>
    </xf>
    <xf numFmtId="0" fontId="2" fillId="0" borderId="2" applyFill="0">
      <alignment horizontal="center" vertical="center"/>
    </xf>
    <xf numFmtId="0" fontId="2" fillId="0" borderId="2" applyFill="0">
      <alignment horizontal="left" vertical="center" indent="2"/>
    </xf>
  </cellStyleXfs>
  <cellXfs count="125">
    <xf numFmtId="0" fontId="0" fillId="0" borderId="0" xfId="0"/>
    <xf numFmtId="0" fontId="6" fillId="0" borderId="0" xfId="3" applyFont="1" applyAlignment="1">
      <alignment wrapText="1"/>
    </xf>
    <xf numFmtId="0" fontId="7" fillId="0" borderId="0" xfId="5" applyFont="1" applyAlignment="1">
      <alignment horizontal="left"/>
    </xf>
    <xf numFmtId="0" fontId="8" fillId="0" borderId="0" xfId="0" applyFont="1" applyAlignment="1">
      <alignment horizontal="left"/>
    </xf>
    <xf numFmtId="0" fontId="9" fillId="0" borderId="0" xfId="0" applyFont="1"/>
    <xf numFmtId="0" fontId="9" fillId="0" borderId="0" xfId="0" applyFont="1" applyAlignment="1">
      <alignment horizontal="center"/>
    </xf>
    <xf numFmtId="0" fontId="9" fillId="0" borderId="0" xfId="0" applyFont="1" applyAlignment="1">
      <alignment horizontal="center" vertical="center"/>
    </xf>
    <xf numFmtId="0" fontId="10" fillId="0" borderId="0" xfId="0" applyFont="1"/>
    <xf numFmtId="0" fontId="11" fillId="0" borderId="0" xfId="0" applyFont="1"/>
    <xf numFmtId="0" fontId="6" fillId="0" borderId="0" xfId="3" applyFont="1"/>
    <xf numFmtId="0" fontId="12" fillId="0" borderId="0" xfId="6" applyFont="1"/>
    <xf numFmtId="0" fontId="10" fillId="0" borderId="0" xfId="0" applyFont="1" applyAlignment="1">
      <alignment horizontal="center"/>
    </xf>
    <xf numFmtId="0" fontId="9" fillId="0" borderId="0" xfId="1" applyFont="1" applyProtection="1">
      <alignment vertical="top"/>
    </xf>
    <xf numFmtId="0" fontId="12" fillId="0" borderId="0" xfId="7" applyFont="1">
      <alignment vertical="top"/>
    </xf>
    <xf numFmtId="0" fontId="10" fillId="0" borderId="3" xfId="0" applyFont="1" applyBorder="1" applyAlignment="1">
      <alignment horizontal="center" vertical="center"/>
    </xf>
    <xf numFmtId="0" fontId="10" fillId="0" borderId="10" xfId="0" applyFont="1" applyBorder="1"/>
    <xf numFmtId="168" fontId="13" fillId="7" borderId="6" xfId="0" applyNumberFormat="1" applyFont="1" applyFill="1" applyBorder="1" applyAlignment="1">
      <alignment horizontal="center" vertical="center"/>
    </xf>
    <xf numFmtId="168" fontId="13" fillId="7" borderId="0" xfId="0" applyNumberFormat="1" applyFont="1" applyFill="1" applyAlignment="1">
      <alignment horizontal="center" vertical="center"/>
    </xf>
    <xf numFmtId="168" fontId="13" fillId="7" borderId="7" xfId="0" applyNumberFormat="1" applyFont="1" applyFill="1" applyBorder="1" applyAlignment="1">
      <alignment horizontal="center" vertical="center"/>
    </xf>
    <xf numFmtId="0" fontId="14" fillId="5" borderId="1" xfId="0" applyFont="1" applyFill="1" applyBorder="1" applyAlignment="1">
      <alignment horizontal="center" vertical="center" wrapText="1"/>
    </xf>
    <xf numFmtId="0" fontId="15" fillId="6" borderId="8" xfId="0" applyFont="1" applyFill="1" applyBorder="1" applyAlignment="1">
      <alignment horizontal="center" vertical="center" shrinkToFit="1"/>
    </xf>
    <xf numFmtId="0" fontId="10" fillId="0" borderId="0" xfId="0" applyFont="1" applyAlignment="1">
      <alignment wrapText="1"/>
    </xf>
    <xf numFmtId="0" fontId="10" fillId="0" borderId="9" xfId="0" applyFont="1" applyBorder="1" applyAlignment="1">
      <alignment vertical="center"/>
    </xf>
    <xf numFmtId="0" fontId="16" fillId="4" borderId="2" xfId="0" applyFont="1" applyFill="1" applyBorder="1" applyAlignment="1">
      <alignment horizontal="left" vertical="center" indent="1"/>
    </xf>
    <xf numFmtId="0" fontId="10" fillId="4" borderId="2" xfId="11" applyFont="1" applyFill="1">
      <alignment horizontal="center" vertical="center"/>
    </xf>
    <xf numFmtId="0" fontId="17" fillId="0" borderId="2" xfId="0" applyFont="1" applyBorder="1" applyAlignment="1">
      <alignment horizontal="center" vertical="center"/>
    </xf>
    <xf numFmtId="0" fontId="10" fillId="0" borderId="0" xfId="0" applyFont="1" applyAlignment="1">
      <alignment vertical="center"/>
    </xf>
    <xf numFmtId="0" fontId="10" fillId="3" borderId="2" xfId="11" applyFont="1" applyFill="1">
      <alignment horizontal="center" vertical="center"/>
    </xf>
    <xf numFmtId="9" fontId="17" fillId="3" borderId="2" xfId="2" applyFont="1" applyFill="1" applyBorder="1" applyAlignment="1">
      <alignment horizontal="center" vertical="center"/>
    </xf>
    <xf numFmtId="165" fontId="10" fillId="3" borderId="2" xfId="10" applyFont="1" applyFill="1">
      <alignment horizontal="center" vertical="center"/>
    </xf>
    <xf numFmtId="0" fontId="10" fillId="0" borderId="9" xfId="0" applyFont="1" applyBorder="1" applyAlignment="1">
      <alignment horizontal="right" vertical="center"/>
    </xf>
    <xf numFmtId="0" fontId="10" fillId="0" borderId="2" xfId="12" applyFont="1">
      <alignment horizontal="left" vertical="center" indent="2"/>
    </xf>
    <xf numFmtId="0" fontId="10" fillId="0" borderId="2" xfId="11" applyFont="1">
      <alignment horizontal="center" vertical="center"/>
    </xf>
    <xf numFmtId="9" fontId="17" fillId="0" borderId="2" xfId="2" applyFont="1" applyBorder="1" applyAlignment="1">
      <alignment horizontal="center" vertical="center"/>
    </xf>
    <xf numFmtId="0" fontId="18" fillId="2" borderId="2" xfId="0" applyFont="1" applyFill="1" applyBorder="1" applyAlignment="1">
      <alignment horizontal="left" vertical="center" indent="1"/>
    </xf>
    <xf numFmtId="0" fontId="18" fillId="2" borderId="2" xfId="0" applyFont="1" applyFill="1" applyBorder="1" applyAlignment="1">
      <alignment horizontal="center" vertical="center"/>
    </xf>
    <xf numFmtId="9" fontId="17" fillId="2" borderId="2" xfId="2" applyFont="1" applyFill="1" applyBorder="1" applyAlignment="1">
      <alignment horizontal="center" vertical="center"/>
    </xf>
    <xf numFmtId="165" fontId="19" fillId="2" borderId="2" xfId="0" applyNumberFormat="1" applyFont="1" applyFill="1" applyBorder="1" applyAlignment="1">
      <alignment horizontal="left" vertical="center"/>
    </xf>
    <xf numFmtId="165" fontId="17" fillId="2" borderId="2" xfId="0" applyNumberFormat="1" applyFont="1" applyFill="1" applyBorder="1" applyAlignment="1">
      <alignment horizontal="center" vertical="center"/>
    </xf>
    <xf numFmtId="0" fontId="17" fillId="2" borderId="2" xfId="0" applyFont="1" applyFill="1" applyBorder="1" applyAlignment="1">
      <alignment horizontal="center" vertical="center"/>
    </xf>
    <xf numFmtId="0" fontId="10" fillId="2" borderId="9" xfId="0" applyFont="1" applyFill="1" applyBorder="1" applyAlignment="1">
      <alignment vertical="center"/>
    </xf>
    <xf numFmtId="0" fontId="10" fillId="0" borderId="0" xfId="0" applyFont="1" applyAlignment="1">
      <alignment horizontal="right" vertical="center"/>
    </xf>
    <xf numFmtId="0" fontId="20" fillId="0" borderId="0" xfId="0" applyFont="1"/>
    <xf numFmtId="0" fontId="6" fillId="0" borderId="0" xfId="0" applyFont="1" applyAlignment="1">
      <alignment horizontal="center"/>
    </xf>
    <xf numFmtId="0" fontId="19" fillId="0" borderId="0" xfId="1" applyFont="1" applyAlignment="1" applyProtection="1"/>
    <xf numFmtId="0" fontId="10" fillId="8" borderId="2" xfId="11" applyFont="1" applyFill="1">
      <alignment horizontal="center" vertical="center"/>
    </xf>
    <xf numFmtId="165" fontId="16" fillId="4" borderId="2" xfId="0" applyNumberFormat="1" applyFont="1" applyFill="1" applyBorder="1" applyAlignment="1">
      <alignment horizontal="center" vertical="center"/>
    </xf>
    <xf numFmtId="165" fontId="11" fillId="4" borderId="2" xfId="0" applyNumberFormat="1" applyFont="1" applyFill="1" applyBorder="1" applyAlignment="1">
      <alignment horizontal="center" vertical="center"/>
    </xf>
    <xf numFmtId="0" fontId="11" fillId="0" borderId="2" xfId="0" applyFont="1" applyBorder="1" applyAlignment="1">
      <alignment horizontal="center" vertical="center"/>
    </xf>
    <xf numFmtId="9" fontId="11" fillId="4" borderId="2" xfId="2" applyFont="1" applyFill="1" applyBorder="1" applyAlignment="1">
      <alignment horizontal="center" vertical="center"/>
    </xf>
    <xf numFmtId="9" fontId="11" fillId="8" borderId="2" xfId="2" applyFont="1" applyFill="1" applyBorder="1" applyAlignment="1">
      <alignment horizontal="center" vertical="center"/>
    </xf>
    <xf numFmtId="165" fontId="16" fillId="8" borderId="2" xfId="0" applyNumberFormat="1" applyFont="1" applyFill="1" applyBorder="1" applyAlignment="1">
      <alignment horizontal="center" vertical="center"/>
    </xf>
    <xf numFmtId="165" fontId="11" fillId="8" borderId="2" xfId="0" applyNumberFormat="1" applyFont="1" applyFill="1" applyBorder="1" applyAlignment="1">
      <alignment horizontal="center" vertical="center"/>
    </xf>
    <xf numFmtId="9" fontId="10" fillId="0" borderId="9" xfId="0" applyNumberFormat="1" applyFont="1" applyBorder="1" applyAlignment="1">
      <alignment vertical="center"/>
    </xf>
    <xf numFmtId="0" fontId="16" fillId="8" borderId="11" xfId="0" applyFont="1" applyFill="1" applyBorder="1" applyAlignment="1">
      <alignment horizontal="left" vertical="center" indent="1"/>
    </xf>
    <xf numFmtId="0" fontId="10" fillId="8" borderId="11" xfId="11" applyFont="1" applyFill="1" applyBorder="1">
      <alignment horizontal="center" vertical="center"/>
    </xf>
    <xf numFmtId="0" fontId="10" fillId="10" borderId="0" xfId="0" applyFont="1" applyFill="1" applyAlignment="1">
      <alignment horizontal="right"/>
    </xf>
    <xf numFmtId="0" fontId="10" fillId="0" borderId="0" xfId="0" applyFont="1" applyAlignment="1">
      <alignment horizontal="right"/>
    </xf>
    <xf numFmtId="0" fontId="10" fillId="9" borderId="0" xfId="0" applyFont="1" applyFill="1"/>
    <xf numFmtId="0" fontId="14" fillId="11" borderId="1" xfId="0" applyFont="1" applyFill="1" applyBorder="1" applyAlignment="1">
      <alignment horizontal="left" vertical="center" indent="1"/>
    </xf>
    <xf numFmtId="0" fontId="14" fillId="11" borderId="1" xfId="0" applyFont="1" applyFill="1" applyBorder="1" applyAlignment="1">
      <alignment horizontal="center" vertical="center" wrapText="1"/>
    </xf>
    <xf numFmtId="0" fontId="10" fillId="0" borderId="0" xfId="0" applyFont="1" applyAlignment="1">
      <alignment horizontal="center" vertical="center"/>
    </xf>
    <xf numFmtId="0" fontId="10" fillId="0" borderId="17" xfId="0" applyFont="1" applyBorder="1" applyAlignment="1">
      <alignment horizontal="center" vertical="center"/>
    </xf>
    <xf numFmtId="0" fontId="10" fillId="0" borderId="17" xfId="0" applyFont="1" applyBorder="1" applyAlignment="1">
      <alignment vertical="center"/>
    </xf>
    <xf numFmtId="0" fontId="12" fillId="0" borderId="0" xfId="0" applyFont="1" applyAlignment="1">
      <alignment horizontal="left" vertical="center"/>
    </xf>
    <xf numFmtId="0" fontId="10" fillId="0" borderId="19" xfId="0" applyFont="1" applyBorder="1" applyAlignment="1">
      <alignment horizontal="center" vertical="center"/>
    </xf>
    <xf numFmtId="0" fontId="10" fillId="0" borderId="19" xfId="0" applyFont="1" applyBorder="1" applyAlignment="1">
      <alignment vertical="center"/>
    </xf>
    <xf numFmtId="169" fontId="10" fillId="0" borderId="0" xfId="0" applyNumberFormat="1" applyFont="1" applyAlignment="1">
      <alignment vertical="center"/>
    </xf>
    <xf numFmtId="169" fontId="10" fillId="0" borderId="0" xfId="0" applyNumberFormat="1" applyFont="1" applyAlignment="1">
      <alignment horizontal="center" vertical="center"/>
    </xf>
    <xf numFmtId="0" fontId="10" fillId="12" borderId="18" xfId="0" applyFont="1" applyFill="1" applyBorder="1" applyAlignment="1">
      <alignment horizontal="center" vertical="center"/>
    </xf>
    <xf numFmtId="0" fontId="10" fillId="9" borderId="18" xfId="0" applyFont="1" applyFill="1" applyBorder="1" applyAlignment="1">
      <alignment horizontal="center" vertical="center"/>
    </xf>
    <xf numFmtId="169" fontId="10" fillId="9" borderId="18" xfId="0" applyNumberFormat="1" applyFont="1" applyFill="1" applyBorder="1" applyAlignment="1">
      <alignment horizontal="center" vertical="center"/>
    </xf>
    <xf numFmtId="0" fontId="10" fillId="0" borderId="0" xfId="0" applyFont="1" applyAlignment="1">
      <alignment horizontal="left" vertical="center"/>
    </xf>
    <xf numFmtId="0" fontId="10" fillId="0" borderId="19" xfId="0" applyFont="1" applyBorder="1" applyAlignment="1">
      <alignment horizontal="left" vertical="center"/>
    </xf>
    <xf numFmtId="0" fontId="10" fillId="0" borderId="17" xfId="0" applyFont="1" applyBorder="1" applyAlignment="1">
      <alignment horizontal="left" vertical="center"/>
    </xf>
    <xf numFmtId="169" fontId="10" fillId="0" borderId="19" xfId="0" applyNumberFormat="1" applyFont="1" applyBorder="1" applyAlignment="1">
      <alignment horizontal="left" vertical="center"/>
    </xf>
    <xf numFmtId="169" fontId="10" fillId="0" borderId="17" xfId="0" applyNumberFormat="1" applyFont="1" applyBorder="1" applyAlignment="1">
      <alignment horizontal="left" vertical="center"/>
    </xf>
    <xf numFmtId="169" fontId="10" fillId="0" borderId="18" xfId="0" applyNumberFormat="1" applyFont="1" applyFill="1" applyBorder="1" applyAlignment="1">
      <alignment horizontal="center" vertical="center"/>
    </xf>
    <xf numFmtId="0" fontId="10" fillId="3" borderId="13" xfId="12" applyFont="1" applyFill="1" applyBorder="1" applyAlignment="1">
      <alignment horizontal="left" vertical="center" wrapText="1"/>
    </xf>
    <xf numFmtId="0" fontId="10" fillId="3" borderId="13" xfId="11" applyFont="1" applyFill="1" applyBorder="1" applyAlignment="1">
      <alignment horizontal="center" vertical="center" wrapText="1"/>
    </xf>
    <xf numFmtId="0" fontId="10" fillId="3" borderId="14" xfId="11" applyFont="1" applyFill="1" applyBorder="1" applyAlignment="1">
      <alignment horizontal="center" vertical="center" wrapText="1"/>
    </xf>
    <xf numFmtId="0" fontId="10" fillId="3" borderId="15" xfId="11" applyFont="1" applyFill="1" applyBorder="1" applyAlignment="1">
      <alignment horizontal="center" vertical="center" wrapText="1"/>
    </xf>
    <xf numFmtId="0" fontId="10" fillId="3" borderId="14" xfId="12" applyFont="1" applyFill="1" applyBorder="1" applyAlignment="1">
      <alignment horizontal="left" vertical="center" wrapText="1"/>
    </xf>
    <xf numFmtId="0" fontId="10" fillId="3" borderId="15" xfId="12" applyFont="1" applyFill="1" applyBorder="1" applyAlignment="1">
      <alignment horizontal="left" vertical="center" wrapText="1"/>
    </xf>
    <xf numFmtId="0" fontId="10" fillId="3" borderId="16" xfId="12" applyFont="1" applyFill="1" applyBorder="1" applyAlignment="1">
      <alignment horizontal="left" vertical="center" wrapText="1"/>
    </xf>
    <xf numFmtId="0" fontId="10" fillId="3" borderId="16" xfId="11" applyFont="1" applyFill="1" applyBorder="1" applyAlignment="1">
      <alignment horizontal="center" vertical="center" wrapText="1"/>
    </xf>
    <xf numFmtId="167" fontId="10" fillId="7" borderId="4" xfId="0" applyNumberFormat="1" applyFont="1" applyFill="1" applyBorder="1" applyAlignment="1">
      <alignment horizontal="left" vertical="center" wrapText="1" indent="1"/>
    </xf>
    <xf numFmtId="167" fontId="10" fillId="7" borderId="1" xfId="0" applyNumberFormat="1" applyFont="1" applyFill="1" applyBorder="1" applyAlignment="1">
      <alignment horizontal="left" vertical="center" wrapText="1" indent="1"/>
    </xf>
    <xf numFmtId="167" fontId="10" fillId="7" borderId="5" xfId="0" applyNumberFormat="1" applyFont="1" applyFill="1" applyBorder="1" applyAlignment="1">
      <alignment horizontal="left" vertical="center" wrapText="1" indent="1"/>
    </xf>
    <xf numFmtId="0" fontId="10" fillId="0" borderId="0" xfId="8" applyFont="1" applyAlignment="1">
      <alignment horizontal="right" vertical="center" indent="1"/>
    </xf>
    <xf numFmtId="0" fontId="10" fillId="0" borderId="7" xfId="8" applyFont="1" applyBorder="1" applyAlignment="1">
      <alignment horizontal="right" vertical="center" indent="1"/>
    </xf>
    <xf numFmtId="166" fontId="10" fillId="0" borderId="3" xfId="9" applyFont="1">
      <alignment horizontal="center" vertical="center"/>
    </xf>
    <xf numFmtId="0" fontId="10" fillId="3" borderId="12" xfId="11" applyFont="1" applyFill="1" applyBorder="1" applyAlignment="1">
      <alignment horizontal="center" vertical="center" wrapText="1"/>
    </xf>
    <xf numFmtId="0" fontId="10" fillId="3" borderId="12" xfId="12" applyFont="1" applyFill="1" applyBorder="1" applyAlignment="1">
      <alignment horizontal="left" vertical="center" wrapText="1"/>
    </xf>
    <xf numFmtId="0" fontId="24" fillId="0" borderId="0" xfId="0" applyFont="1"/>
    <xf numFmtId="0" fontId="24" fillId="0" borderId="0" xfId="0" applyFont="1" applyAlignment="1">
      <alignment horizontal="center"/>
    </xf>
    <xf numFmtId="0" fontId="25" fillId="0" borderId="0" xfId="0" applyFont="1" applyAlignment="1">
      <alignment horizontal="center" vertical="center" wrapText="1"/>
    </xf>
    <xf numFmtId="0" fontId="25" fillId="0" borderId="0" xfId="0" applyFont="1" applyAlignment="1">
      <alignment horizontal="center" vertical="center" wrapText="1"/>
    </xf>
    <xf numFmtId="0" fontId="0" fillId="13" borderId="17" xfId="0" applyFill="1" applyBorder="1" applyAlignment="1">
      <alignment horizontal="center" vertical="center"/>
    </xf>
    <xf numFmtId="0" fontId="0" fillId="13" borderId="20" xfId="0" applyFill="1" applyBorder="1" applyAlignment="1">
      <alignment horizontal="center" vertical="top"/>
    </xf>
    <xf numFmtId="0" fontId="0" fillId="13" borderId="17" xfId="0" applyFill="1" applyBorder="1" applyAlignment="1">
      <alignment horizontal="center" vertical="top"/>
    </xf>
    <xf numFmtId="0" fontId="0" fillId="13" borderId="17" xfId="0" applyFill="1" applyBorder="1" applyAlignment="1">
      <alignment horizontal="center" vertical="top" wrapText="1"/>
    </xf>
    <xf numFmtId="0" fontId="0" fillId="13" borderId="19" xfId="0" applyFill="1" applyBorder="1" applyAlignment="1">
      <alignment horizontal="center" vertical="top"/>
    </xf>
    <xf numFmtId="0" fontId="0" fillId="14" borderId="17" xfId="0" applyFill="1" applyBorder="1" applyAlignment="1">
      <alignment horizontal="center" vertical="top"/>
    </xf>
    <xf numFmtId="0" fontId="0" fillId="14" borderId="17" xfId="0" applyFill="1" applyBorder="1" applyAlignment="1">
      <alignment vertical="top"/>
    </xf>
    <xf numFmtId="0" fontId="0" fillId="14" borderId="17" xfId="0" quotePrefix="1" applyFill="1" applyBorder="1" applyAlignment="1">
      <alignment vertical="top" wrapText="1"/>
    </xf>
    <xf numFmtId="0" fontId="0" fillId="14" borderId="17" xfId="0" applyFill="1" applyBorder="1" applyAlignment="1">
      <alignment vertical="top" wrapText="1"/>
    </xf>
    <xf numFmtId="17" fontId="0" fillId="14" borderId="17" xfId="0" applyNumberFormat="1" applyFill="1" applyBorder="1" applyAlignment="1">
      <alignmen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23" xfId="0" applyBorder="1" applyAlignment="1">
      <alignment horizontal="left" vertical="top"/>
    </xf>
    <xf numFmtId="0" fontId="0" fillId="0" borderId="17" xfId="0" applyBorder="1" applyAlignment="1">
      <alignment horizontal="center" vertical="top"/>
    </xf>
    <xf numFmtId="0" fontId="0" fillId="0" borderId="17" xfId="0" applyBorder="1" applyAlignment="1">
      <alignment vertical="top"/>
    </xf>
    <xf numFmtId="0" fontId="0" fillId="0" borderId="17" xfId="0" applyBorder="1" applyAlignment="1">
      <alignment horizontal="left" vertical="top" wrapText="1"/>
    </xf>
    <xf numFmtId="0" fontId="0" fillId="0" borderId="17" xfId="0" applyBorder="1" applyAlignment="1">
      <alignment vertical="top" wrapText="1"/>
    </xf>
    <xf numFmtId="17" fontId="0" fillId="0" borderId="17" xfId="0" applyNumberFormat="1" applyBorder="1" applyAlignment="1">
      <alignment vertical="top"/>
    </xf>
    <xf numFmtId="0" fontId="0" fillId="0" borderId="17" xfId="0" quotePrefix="1" applyBorder="1" applyAlignment="1">
      <alignment vertical="top" wrapText="1"/>
    </xf>
    <xf numFmtId="0" fontId="0" fillId="0" borderId="17" xfId="0" quotePrefix="1" applyBorder="1" applyAlignment="1">
      <alignment vertical="top"/>
    </xf>
    <xf numFmtId="0" fontId="0" fillId="0" borderId="0" xfId="0" applyAlignment="1">
      <alignment horizontal="center"/>
    </xf>
    <xf numFmtId="0" fontId="0" fillId="12" borderId="17" xfId="0" applyFill="1" applyBorder="1" applyAlignment="1">
      <alignment vertical="top"/>
    </xf>
    <xf numFmtId="0" fontId="0" fillId="12" borderId="17" xfId="0" applyFill="1" applyBorder="1" applyAlignment="1">
      <alignment horizontal="center" vertical="top"/>
    </xf>
    <xf numFmtId="0" fontId="0" fillId="12" borderId="17" xfId="0" applyFill="1" applyBorder="1" applyAlignment="1">
      <alignment vertical="top" wrapText="1"/>
    </xf>
    <xf numFmtId="17" fontId="0" fillId="12" borderId="17" xfId="0" applyNumberFormat="1" applyFill="1" applyBorder="1" applyAlignment="1">
      <alignment vertical="top"/>
    </xf>
    <xf numFmtId="0" fontId="0" fillId="12" borderId="0" xfId="0" applyFill="1"/>
    <xf numFmtId="0" fontId="0" fillId="12" borderId="17" xfId="0" quotePrefix="1" applyFill="1" applyBorder="1" applyAlignment="1">
      <alignment vertical="top" wrapText="1"/>
    </xf>
  </cellXfs>
  <cellStyles count="13">
    <cellStyle name="Comma" xfId="4" builtinId="3" customBuiltin="1"/>
    <cellStyle name="Date" xfId="10" xr:uid="{00000000-0005-0000-0000-000001000000}"/>
    <cellStyle name="Heading 1" xfId="6" builtinId="16" customBuiltin="1"/>
    <cellStyle name="Heading 2" xfId="7" builtinId="17" customBuiltin="1"/>
    <cellStyle name="Heading 3" xfId="8" builtinId="18" customBuiltin="1"/>
    <cellStyle name="Hyperlink" xfId="1" builtinId="8" customBuiltin="1"/>
    <cellStyle name="Name" xfId="11" xr:uid="{00000000-0005-0000-0000-000006000000}"/>
    <cellStyle name="Normal" xfId="0" builtinId="0"/>
    <cellStyle name="Percent" xfId="2" builtinId="5"/>
    <cellStyle name="Project Start" xfId="9" xr:uid="{00000000-0005-0000-0000-000009000000}"/>
    <cellStyle name="Task" xfId="12" xr:uid="{00000000-0005-0000-0000-00000A000000}"/>
    <cellStyle name="Title" xfId="5" builtinId="15" customBuiltin="1"/>
    <cellStyle name="zHiddenText" xfId="3" xr:uid="{00000000-0005-0000-0000-00000C000000}"/>
  </cellStyles>
  <dxfs count="57">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theme="7"/>
        </patternFill>
      </fill>
      <border>
        <left/>
        <right/>
      </border>
    </dxf>
    <dxf>
      <fill>
        <patternFill>
          <bgColor rgb="FFFF0000"/>
        </patternFill>
      </fill>
      <border>
        <left style="thin">
          <color rgb="FFC00000"/>
        </left>
        <right style="thin">
          <color rgb="FFC00000"/>
        </right>
        <top/>
        <bottom/>
        <vertical/>
        <horizontal/>
      </border>
    </dxf>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theme="7"/>
        </patternFill>
      </fill>
      <border>
        <left/>
        <right/>
      </border>
    </dxf>
    <dxf>
      <fill>
        <patternFill>
          <bgColor rgb="FFFF0000"/>
        </patternFill>
      </fill>
      <border>
        <left style="thin">
          <color rgb="FFC00000"/>
        </left>
        <right style="thin">
          <color rgb="FFC00000"/>
        </right>
        <top/>
        <bottom/>
        <vertical/>
        <horizontal/>
      </border>
    </dxf>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theme="7"/>
        </patternFill>
      </fill>
      <border>
        <left/>
        <right/>
      </border>
    </dxf>
    <dxf>
      <fill>
        <patternFill>
          <bgColor rgb="FFFF0000"/>
        </patternFill>
      </fill>
      <border>
        <left style="thin">
          <color rgb="FFC00000"/>
        </left>
        <right style="thin">
          <color rgb="FFC00000"/>
        </right>
        <top/>
        <bottom/>
        <vertical/>
        <horizontal/>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rgb="FFFF0000"/>
        </patternFill>
      </fill>
      <border>
        <left style="thin">
          <color rgb="FFC00000"/>
        </left>
        <right style="thin">
          <color rgb="FFC00000"/>
        </right>
        <top/>
        <bottom/>
        <vertical/>
        <horizontal/>
      </border>
    </dxf>
    <dxf>
      <fill>
        <patternFill>
          <bgColor theme="7"/>
        </patternFill>
      </fill>
      <border>
        <left/>
        <right/>
      </border>
    </dxf>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theme="7"/>
        </patternFill>
      </fill>
      <border>
        <left/>
        <right/>
      </border>
    </dxf>
    <dxf>
      <fill>
        <patternFill>
          <bgColor rgb="FFFF0000"/>
        </patternFill>
      </fill>
      <border>
        <left style="thin">
          <color rgb="FFC00000"/>
        </left>
        <right style="thin">
          <color rgb="FFC00000"/>
        </right>
        <top/>
        <bottom/>
        <vertical/>
        <horizontal/>
      </border>
    </dxf>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theme="7"/>
        </patternFill>
      </fill>
      <border>
        <left/>
        <right/>
      </border>
    </dxf>
    <dxf>
      <fill>
        <patternFill>
          <bgColor rgb="FFFF0000"/>
        </patternFill>
      </fill>
      <border>
        <left style="thin">
          <color rgb="FFC00000"/>
        </left>
        <right style="thin">
          <color rgb="FFC00000"/>
        </right>
        <top/>
        <bottom/>
        <vertical/>
        <horizontal/>
      </border>
    </dxf>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theme="7"/>
        </patternFill>
      </fill>
      <border>
        <left/>
        <right/>
      </border>
    </dxf>
    <dxf>
      <fill>
        <patternFill>
          <bgColor rgb="FFFF0000"/>
        </patternFill>
      </fill>
      <border>
        <left style="thin">
          <color rgb="FFC00000"/>
        </left>
        <right style="thin">
          <color rgb="FFC00000"/>
        </right>
        <top/>
        <bottom/>
        <vertical/>
        <horizontal/>
      </border>
    </dxf>
    <dxf>
      <fill>
        <patternFill>
          <bgColor theme="6" tint="0.59996337778862885"/>
        </patternFill>
      </fill>
      <border>
        <bottom style="thin">
          <color auto="1"/>
        </bottom>
      </border>
    </dxf>
    <dxf>
      <fill>
        <patternFill>
          <bgColor rgb="FF00B050"/>
        </patternFill>
      </fill>
      <border>
        <left/>
        <right/>
      </border>
    </dxf>
    <dxf>
      <fill>
        <patternFill>
          <bgColor theme="0" tint="-0.34998626667073579"/>
        </patternFill>
      </fill>
    </dxf>
    <dxf>
      <fill>
        <patternFill>
          <bgColor rgb="FFFF0000"/>
        </patternFill>
      </fill>
      <border>
        <left style="thin">
          <color rgb="FFC00000"/>
        </left>
        <right style="thin">
          <color rgb="FFC00000"/>
        </right>
        <top/>
        <bottom/>
        <vertical/>
        <horizontal/>
      </border>
    </dxf>
    <dxf>
      <fill>
        <patternFill>
          <bgColor theme="7"/>
        </patternFill>
      </fill>
      <border>
        <left/>
        <right/>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56"/>
      <tableStyleElement type="headerRow" dxfId="55"/>
      <tableStyleElement type="totalRow" dxfId="54"/>
      <tableStyleElement type="firstColumn" dxfId="53"/>
      <tableStyleElement type="lastColumn" dxfId="52"/>
      <tableStyleElement type="firstRowStripe" dxfId="51"/>
      <tableStyleElement type="secondRowStripe" dxfId="50"/>
      <tableStyleElement type="firstColumnStripe" dxfId="49"/>
      <tableStyleElement type="secondColumnStripe" dxfId="4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15</xdr:col>
      <xdr:colOff>80311</xdr:colOff>
      <xdr:row>1</xdr:row>
      <xdr:rowOff>8403</xdr:rowOff>
    </xdr:from>
    <xdr:to>
      <xdr:col>18</xdr:col>
      <xdr:colOff>680172</xdr:colOff>
      <xdr:row>5</xdr:row>
      <xdr:rowOff>39685</xdr:rowOff>
    </xdr:to>
    <xdr:pic>
      <xdr:nvPicPr>
        <xdr:cNvPr id="2" name="Picture 1">
          <a:extLst>
            <a:ext uri="{FF2B5EF4-FFF2-40B4-BE49-F238E27FC236}">
              <a16:creationId xmlns:a16="http://schemas.microsoft.com/office/drawing/2014/main" id="{6CE4CA1B-A251-4AF0-9B6C-86957730C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87286" y="198903"/>
          <a:ext cx="2885861" cy="1288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5505-79EF-4E8D-8C0E-9EBC3D1D4080}">
  <dimension ref="A1:S39"/>
  <sheetViews>
    <sheetView showGridLines="0" tabSelected="1" zoomScale="85" zoomScaleNormal="85" workbookViewId="0">
      <selection activeCell="G27" sqref="G27"/>
    </sheetView>
  </sheetViews>
  <sheetFormatPr defaultRowHeight="15" x14ac:dyDescent="0.25"/>
  <cols>
    <col min="3" max="3" width="6" style="118" customWidth="1"/>
    <col min="4" max="4" width="16.42578125" customWidth="1"/>
    <col min="5" max="6" width="24" customWidth="1"/>
    <col min="7" max="8" width="48.42578125" customWidth="1"/>
    <col min="9" max="19" width="11.42578125" customWidth="1"/>
  </cols>
  <sheetData>
    <row r="1" spans="1:19" x14ac:dyDescent="0.25">
      <c r="A1" s="94" t="s">
        <v>75</v>
      </c>
      <c r="B1" s="94"/>
      <c r="C1" s="95"/>
      <c r="D1" s="94"/>
    </row>
    <row r="2" spans="1:19" ht="24.75" customHeight="1" x14ac:dyDescent="0.25">
      <c r="A2" s="96" t="s">
        <v>76</v>
      </c>
      <c r="B2" s="96"/>
      <c r="C2" s="96"/>
      <c r="D2" s="96"/>
      <c r="E2" s="96"/>
      <c r="F2" s="96"/>
      <c r="G2" s="96"/>
      <c r="H2" s="96"/>
      <c r="I2" s="96"/>
      <c r="J2" s="97"/>
      <c r="K2" s="97"/>
      <c r="L2" s="97"/>
      <c r="M2" s="97"/>
      <c r="N2" s="97"/>
      <c r="O2" s="97"/>
      <c r="P2" s="97"/>
    </row>
    <row r="3" spans="1:19" ht="24.75" customHeight="1" x14ac:dyDescent="0.25">
      <c r="A3" s="96"/>
      <c r="B3" s="96"/>
      <c r="C3" s="96"/>
      <c r="D3" s="96"/>
      <c r="E3" s="96"/>
      <c r="F3" s="96"/>
      <c r="G3" s="96"/>
      <c r="H3" s="96"/>
      <c r="I3" s="96"/>
      <c r="J3" s="97"/>
      <c r="K3" s="97"/>
      <c r="L3" s="97"/>
      <c r="M3" s="97"/>
      <c r="N3" s="97"/>
      <c r="O3" s="97"/>
      <c r="P3" s="97"/>
    </row>
    <row r="4" spans="1:19" ht="24.75" customHeight="1" x14ac:dyDescent="0.25">
      <c r="A4" s="96"/>
      <c r="B4" s="96"/>
      <c r="C4" s="96"/>
      <c r="D4" s="96"/>
      <c r="E4" s="96"/>
      <c r="F4" s="96"/>
      <c r="G4" s="96"/>
      <c r="H4" s="96"/>
      <c r="I4" s="96"/>
      <c r="J4" s="97"/>
      <c r="K4" s="97"/>
      <c r="L4" s="97"/>
      <c r="M4" s="97"/>
      <c r="N4" s="97"/>
      <c r="O4" s="97"/>
      <c r="P4" s="97"/>
    </row>
    <row r="5" spans="1:19" ht="24.75" customHeight="1" x14ac:dyDescent="0.25">
      <c r="A5" s="96"/>
      <c r="B5" s="96"/>
      <c r="C5" s="96"/>
      <c r="D5" s="96"/>
      <c r="E5" s="96"/>
      <c r="F5" s="96"/>
      <c r="G5" s="96"/>
      <c r="H5" s="96"/>
      <c r="I5" s="96"/>
      <c r="J5" s="97"/>
      <c r="K5" s="97"/>
      <c r="L5" s="97"/>
      <c r="M5" s="97"/>
      <c r="N5" s="97"/>
      <c r="O5" s="97"/>
      <c r="P5" s="97"/>
    </row>
    <row r="7" spans="1:19" x14ac:dyDescent="0.25">
      <c r="A7" s="98" t="s">
        <v>77</v>
      </c>
      <c r="B7" s="99" t="s">
        <v>78</v>
      </c>
      <c r="C7" s="99" t="s">
        <v>79</v>
      </c>
      <c r="D7" s="100" t="s">
        <v>80</v>
      </c>
      <c r="E7" s="100" t="s">
        <v>81</v>
      </c>
      <c r="F7" s="100" t="s">
        <v>82</v>
      </c>
      <c r="G7" s="100" t="s">
        <v>83</v>
      </c>
      <c r="H7" s="100" t="s">
        <v>84</v>
      </c>
      <c r="I7" s="101" t="s">
        <v>85</v>
      </c>
      <c r="J7" s="101"/>
      <c r="K7" s="101"/>
      <c r="L7" s="101"/>
      <c r="M7" s="101"/>
      <c r="N7" s="101"/>
      <c r="O7" s="101"/>
      <c r="P7" s="101"/>
      <c r="Q7" s="101"/>
      <c r="R7" s="101"/>
      <c r="S7" s="101"/>
    </row>
    <row r="8" spans="1:19" x14ac:dyDescent="0.25">
      <c r="A8" s="98"/>
      <c r="B8" s="102"/>
      <c r="C8" s="102"/>
      <c r="D8" s="100"/>
      <c r="E8" s="100"/>
      <c r="F8" s="100"/>
      <c r="G8" s="100"/>
      <c r="H8" s="100"/>
      <c r="I8" s="102">
        <v>83</v>
      </c>
      <c r="J8" s="102">
        <v>84</v>
      </c>
      <c r="K8" s="102">
        <v>85</v>
      </c>
      <c r="L8" s="102">
        <v>86</v>
      </c>
      <c r="M8" s="102">
        <v>87</v>
      </c>
      <c r="N8" s="102">
        <v>88</v>
      </c>
      <c r="O8" s="102">
        <v>89</v>
      </c>
      <c r="P8" s="102">
        <v>90</v>
      </c>
      <c r="Q8" s="102">
        <v>91</v>
      </c>
      <c r="R8" s="102">
        <v>92</v>
      </c>
      <c r="S8" s="102">
        <v>93</v>
      </c>
    </row>
    <row r="9" spans="1:19" ht="105" x14ac:dyDescent="0.25">
      <c r="A9" s="103" t="s">
        <v>86</v>
      </c>
      <c r="B9" s="104" t="s">
        <v>87</v>
      </c>
      <c r="C9" s="103" t="s">
        <v>88</v>
      </c>
      <c r="D9" s="104" t="s">
        <v>89</v>
      </c>
      <c r="E9" s="104" t="s">
        <v>90</v>
      </c>
      <c r="F9" s="105" t="s">
        <v>91</v>
      </c>
      <c r="G9" s="106" t="s">
        <v>92</v>
      </c>
      <c r="H9" s="106" t="s">
        <v>93</v>
      </c>
      <c r="I9" s="107">
        <v>45170</v>
      </c>
      <c r="J9" s="104"/>
      <c r="K9" s="104"/>
      <c r="L9" s="104"/>
      <c r="M9" s="104"/>
      <c r="N9" s="104"/>
      <c r="O9" s="104"/>
      <c r="P9" s="104"/>
      <c r="Q9" s="106"/>
      <c r="R9" s="104"/>
      <c r="S9" s="104"/>
    </row>
    <row r="10" spans="1:19" x14ac:dyDescent="0.25">
      <c r="A10" s="108" t="s">
        <v>94</v>
      </c>
      <c r="B10" s="109"/>
      <c r="C10" s="109"/>
      <c r="D10" s="109"/>
      <c r="E10" s="109"/>
      <c r="F10" s="109"/>
      <c r="G10" s="109"/>
      <c r="H10" s="109"/>
      <c r="I10" s="109"/>
      <c r="J10" s="109"/>
      <c r="K10" s="109"/>
      <c r="L10" s="109"/>
      <c r="M10" s="109"/>
      <c r="N10" s="109"/>
      <c r="O10" s="109"/>
      <c r="P10" s="109"/>
      <c r="Q10" s="109"/>
      <c r="R10" s="109"/>
      <c r="S10" s="110"/>
    </row>
    <row r="11" spans="1:19" ht="150" x14ac:dyDescent="0.25">
      <c r="A11" s="111">
        <v>1</v>
      </c>
      <c r="B11" s="112" t="s">
        <v>95</v>
      </c>
      <c r="C11" s="111" t="s">
        <v>96</v>
      </c>
      <c r="D11" s="112" t="s">
        <v>97</v>
      </c>
      <c r="E11" s="113" t="s">
        <v>98</v>
      </c>
      <c r="F11" s="114" t="s">
        <v>99</v>
      </c>
      <c r="G11" s="114" t="s">
        <v>100</v>
      </c>
      <c r="H11" s="114" t="s">
        <v>101</v>
      </c>
      <c r="I11" s="112"/>
      <c r="J11" s="115">
        <v>45536</v>
      </c>
      <c r="K11" s="112"/>
      <c r="L11" s="112" t="s">
        <v>102</v>
      </c>
      <c r="M11" s="112"/>
      <c r="N11" s="112"/>
      <c r="O11" s="112"/>
      <c r="P11" s="112"/>
      <c r="Q11" s="112"/>
      <c r="R11" s="112"/>
      <c r="S11" s="112"/>
    </row>
    <row r="12" spans="1:19" ht="150" x14ac:dyDescent="0.25">
      <c r="A12" s="111">
        <v>2</v>
      </c>
      <c r="B12" s="112" t="s">
        <v>95</v>
      </c>
      <c r="C12" s="111" t="s">
        <v>96</v>
      </c>
      <c r="D12" s="112" t="s">
        <v>97</v>
      </c>
      <c r="E12" s="113" t="s">
        <v>103</v>
      </c>
      <c r="F12" s="116" t="s">
        <v>104</v>
      </c>
      <c r="G12" s="114" t="s">
        <v>105</v>
      </c>
      <c r="H12" s="114" t="s">
        <v>101</v>
      </c>
      <c r="I12" s="112"/>
      <c r="J12" s="115">
        <v>45566</v>
      </c>
      <c r="K12" s="112"/>
      <c r="L12" s="112"/>
      <c r="M12" s="112"/>
      <c r="N12" s="112"/>
      <c r="O12" s="112"/>
      <c r="P12" s="112"/>
      <c r="Q12" s="112"/>
      <c r="R12" s="112"/>
      <c r="S12" s="112"/>
    </row>
    <row r="13" spans="1:19" ht="150" x14ac:dyDescent="0.25">
      <c r="A13" s="111">
        <v>3</v>
      </c>
      <c r="B13" s="112" t="s">
        <v>95</v>
      </c>
      <c r="C13" s="111" t="s">
        <v>96</v>
      </c>
      <c r="D13" s="112" t="s">
        <v>97</v>
      </c>
      <c r="E13" s="113" t="s">
        <v>106</v>
      </c>
      <c r="F13" s="116" t="s">
        <v>107</v>
      </c>
      <c r="G13" s="114" t="s">
        <v>108</v>
      </c>
      <c r="H13" s="114" t="s">
        <v>101</v>
      </c>
      <c r="I13" s="112"/>
      <c r="J13" s="115">
        <v>45536</v>
      </c>
      <c r="K13" s="112"/>
      <c r="L13" s="112"/>
      <c r="M13" s="112"/>
      <c r="N13" s="112"/>
      <c r="O13" s="112"/>
      <c r="P13" s="112"/>
      <c r="Q13" s="112"/>
      <c r="R13" s="112"/>
      <c r="S13" s="112"/>
    </row>
    <row r="14" spans="1:19" ht="150" x14ac:dyDescent="0.25">
      <c r="A14" s="111">
        <v>4</v>
      </c>
      <c r="B14" s="112" t="s">
        <v>95</v>
      </c>
      <c r="C14" s="111" t="s">
        <v>96</v>
      </c>
      <c r="D14" s="112" t="s">
        <v>97</v>
      </c>
      <c r="E14" s="113" t="s">
        <v>109</v>
      </c>
      <c r="F14" s="114" t="s">
        <v>110</v>
      </c>
      <c r="G14" s="114" t="s">
        <v>111</v>
      </c>
      <c r="H14" s="114" t="s">
        <v>101</v>
      </c>
      <c r="I14" s="112"/>
      <c r="J14" s="115">
        <v>45566</v>
      </c>
      <c r="K14" s="112"/>
      <c r="L14" s="112"/>
      <c r="M14" s="112"/>
      <c r="N14" s="112"/>
      <c r="O14" s="112"/>
      <c r="P14" s="112"/>
      <c r="Q14" s="112"/>
      <c r="R14" s="112"/>
      <c r="S14" s="112"/>
    </row>
    <row r="15" spans="1:19" ht="150" x14ac:dyDescent="0.25">
      <c r="A15" s="111">
        <v>5</v>
      </c>
      <c r="B15" s="112" t="s">
        <v>95</v>
      </c>
      <c r="C15" s="111" t="s">
        <v>96</v>
      </c>
      <c r="D15" s="112" t="s">
        <v>97</v>
      </c>
      <c r="E15" s="113" t="s">
        <v>112</v>
      </c>
      <c r="F15" s="114" t="s">
        <v>110</v>
      </c>
      <c r="G15" s="114" t="s">
        <v>113</v>
      </c>
      <c r="H15" s="114" t="s">
        <v>101</v>
      </c>
      <c r="I15" s="112"/>
      <c r="J15" s="115">
        <v>45536</v>
      </c>
      <c r="K15" s="112"/>
      <c r="L15" s="112"/>
      <c r="M15" s="112"/>
      <c r="N15" s="112"/>
      <c r="O15" s="112"/>
      <c r="P15" s="112"/>
      <c r="Q15" s="112"/>
      <c r="R15" s="112"/>
      <c r="S15" s="112"/>
    </row>
    <row r="16" spans="1:19" ht="150" x14ac:dyDescent="0.25">
      <c r="A16" s="111">
        <v>6</v>
      </c>
      <c r="B16" s="112" t="s">
        <v>95</v>
      </c>
      <c r="C16" s="111" t="s">
        <v>96</v>
      </c>
      <c r="D16" s="112" t="s">
        <v>97</v>
      </c>
      <c r="E16" s="113" t="s">
        <v>114</v>
      </c>
      <c r="F16" s="114" t="s">
        <v>115</v>
      </c>
      <c r="G16" s="114" t="s">
        <v>116</v>
      </c>
      <c r="H16" s="114" t="s">
        <v>101</v>
      </c>
      <c r="I16" s="112"/>
      <c r="J16" s="115">
        <v>45536</v>
      </c>
      <c r="K16" s="112"/>
      <c r="L16" s="112"/>
      <c r="M16" s="112"/>
      <c r="N16" s="112"/>
      <c r="O16" s="112"/>
      <c r="P16" s="112"/>
      <c r="Q16" s="112"/>
      <c r="R16" s="112"/>
      <c r="S16" s="112"/>
    </row>
    <row r="17" spans="1:19" x14ac:dyDescent="0.25">
      <c r="A17" s="108" t="s">
        <v>117</v>
      </c>
      <c r="B17" s="109"/>
      <c r="C17" s="109"/>
      <c r="D17" s="109"/>
      <c r="E17" s="109"/>
      <c r="F17" s="109"/>
      <c r="G17" s="109"/>
      <c r="H17" s="109"/>
      <c r="I17" s="109"/>
      <c r="J17" s="109"/>
      <c r="K17" s="109"/>
      <c r="L17" s="109"/>
      <c r="M17" s="109"/>
      <c r="N17" s="109"/>
      <c r="O17" s="109"/>
      <c r="P17" s="109"/>
      <c r="Q17" s="109"/>
      <c r="R17" s="109"/>
      <c r="S17" s="110"/>
    </row>
    <row r="18" spans="1:19" ht="150" x14ac:dyDescent="0.25">
      <c r="A18" s="111">
        <v>7</v>
      </c>
      <c r="B18" s="112" t="s">
        <v>95</v>
      </c>
      <c r="C18" s="111" t="s">
        <v>118</v>
      </c>
      <c r="D18" s="112" t="s">
        <v>97</v>
      </c>
      <c r="E18" s="112" t="s">
        <v>119</v>
      </c>
      <c r="F18" s="116" t="s">
        <v>120</v>
      </c>
      <c r="G18" s="114" t="s">
        <v>121</v>
      </c>
      <c r="H18" s="114" t="s">
        <v>122</v>
      </c>
      <c r="I18" s="115"/>
      <c r="J18" s="115">
        <v>45505</v>
      </c>
      <c r="K18" s="112"/>
      <c r="L18" s="112"/>
      <c r="M18" s="112"/>
      <c r="N18" s="112"/>
      <c r="O18" s="112"/>
      <c r="P18" s="112"/>
      <c r="Q18" s="112"/>
      <c r="R18" s="112"/>
      <c r="S18" s="112"/>
    </row>
    <row r="19" spans="1:19" s="123" customFormat="1" ht="105" x14ac:dyDescent="0.25">
      <c r="A19" s="120">
        <v>8</v>
      </c>
      <c r="B19" s="119" t="s">
        <v>95</v>
      </c>
      <c r="C19" s="120" t="s">
        <v>118</v>
      </c>
      <c r="D19" s="119" t="s">
        <v>97</v>
      </c>
      <c r="E19" s="119" t="s">
        <v>123</v>
      </c>
      <c r="F19" s="121" t="s">
        <v>124</v>
      </c>
      <c r="G19" s="121" t="s">
        <v>125</v>
      </c>
      <c r="H19" s="121" t="s">
        <v>101</v>
      </c>
      <c r="I19" s="122"/>
      <c r="J19" s="122">
        <v>45536</v>
      </c>
      <c r="K19" s="119"/>
      <c r="L19" s="119"/>
      <c r="M19" s="119"/>
      <c r="N19" s="119"/>
      <c r="O19" s="119"/>
      <c r="P19" s="119"/>
      <c r="Q19" s="119"/>
      <c r="R19" s="119"/>
      <c r="S19" s="119"/>
    </row>
    <row r="20" spans="1:19" x14ac:dyDescent="0.25">
      <c r="A20" s="108" t="s">
        <v>126</v>
      </c>
      <c r="B20" s="109"/>
      <c r="C20" s="109"/>
      <c r="D20" s="109"/>
      <c r="E20" s="109"/>
      <c r="F20" s="109"/>
      <c r="G20" s="109"/>
      <c r="H20" s="109"/>
      <c r="I20" s="109"/>
      <c r="J20" s="109"/>
      <c r="K20" s="109"/>
      <c r="L20" s="109"/>
      <c r="M20" s="109"/>
      <c r="N20" s="109"/>
      <c r="O20" s="109"/>
      <c r="P20" s="109"/>
      <c r="Q20" s="109"/>
      <c r="R20" s="109"/>
      <c r="S20" s="110"/>
    </row>
    <row r="21" spans="1:19" ht="105" x14ac:dyDescent="0.25">
      <c r="A21" s="111">
        <v>9</v>
      </c>
      <c r="B21" s="112" t="s">
        <v>95</v>
      </c>
      <c r="C21" s="111" t="s">
        <v>118</v>
      </c>
      <c r="D21" s="112" t="s">
        <v>97</v>
      </c>
      <c r="E21" s="113" t="s">
        <v>127</v>
      </c>
      <c r="F21" s="117" t="s">
        <v>128</v>
      </c>
      <c r="G21" s="114" t="s">
        <v>129</v>
      </c>
      <c r="H21" s="114" t="s">
        <v>101</v>
      </c>
      <c r="I21" s="112"/>
      <c r="J21" s="115">
        <v>45474</v>
      </c>
      <c r="K21" s="112"/>
      <c r="L21" s="112"/>
      <c r="M21" s="112"/>
      <c r="N21" s="112"/>
      <c r="O21" s="112"/>
      <c r="P21" s="112"/>
      <c r="Q21" s="112"/>
      <c r="R21" s="112"/>
      <c r="S21" s="112"/>
    </row>
    <row r="22" spans="1:19" ht="135" x14ac:dyDescent="0.25">
      <c r="A22" s="111">
        <v>10</v>
      </c>
      <c r="B22" s="112" t="s">
        <v>95</v>
      </c>
      <c r="C22" s="111" t="s">
        <v>118</v>
      </c>
      <c r="D22" s="112" t="s">
        <v>97</v>
      </c>
      <c r="E22" s="113" t="s">
        <v>130</v>
      </c>
      <c r="F22" s="116" t="s">
        <v>131</v>
      </c>
      <c r="G22" s="114" t="s">
        <v>132</v>
      </c>
      <c r="H22" s="114" t="s">
        <v>101</v>
      </c>
      <c r="I22" s="112"/>
      <c r="J22" s="115">
        <v>45474</v>
      </c>
      <c r="K22" s="112"/>
      <c r="L22" s="112"/>
      <c r="M22" s="112"/>
      <c r="N22" s="112"/>
      <c r="O22" s="112"/>
      <c r="P22" s="112"/>
      <c r="Q22" s="112"/>
      <c r="R22" s="112"/>
      <c r="S22" s="112"/>
    </row>
    <row r="23" spans="1:19" ht="135" x14ac:dyDescent="0.25">
      <c r="A23" s="111">
        <v>11</v>
      </c>
      <c r="B23" s="112" t="s">
        <v>95</v>
      </c>
      <c r="C23" s="111" t="s">
        <v>118</v>
      </c>
      <c r="D23" s="112" t="s">
        <v>97</v>
      </c>
      <c r="E23" s="113" t="s">
        <v>133</v>
      </c>
      <c r="F23" s="116" t="s">
        <v>134</v>
      </c>
      <c r="G23" s="114" t="s">
        <v>135</v>
      </c>
      <c r="H23" s="114" t="s">
        <v>101</v>
      </c>
      <c r="I23" s="112"/>
      <c r="J23" s="115">
        <v>45474</v>
      </c>
      <c r="K23" s="112"/>
      <c r="L23" s="112"/>
      <c r="M23" s="112"/>
      <c r="N23" s="112"/>
      <c r="O23" s="112"/>
      <c r="P23" s="112"/>
      <c r="Q23" s="112"/>
      <c r="R23" s="112"/>
      <c r="S23" s="112"/>
    </row>
    <row r="24" spans="1:19" ht="120" x14ac:dyDescent="0.25">
      <c r="A24" s="111">
        <v>12</v>
      </c>
      <c r="B24" s="112" t="s">
        <v>95</v>
      </c>
      <c r="C24" s="111" t="s">
        <v>118</v>
      </c>
      <c r="D24" s="112" t="s">
        <v>97</v>
      </c>
      <c r="E24" s="113" t="s">
        <v>136</v>
      </c>
      <c r="F24" s="116" t="s">
        <v>137</v>
      </c>
      <c r="G24" s="114" t="s">
        <v>138</v>
      </c>
      <c r="H24" s="114" t="s">
        <v>101</v>
      </c>
      <c r="I24" s="112"/>
      <c r="J24" s="115">
        <v>45474</v>
      </c>
      <c r="K24" s="112"/>
      <c r="L24" s="112"/>
      <c r="M24" s="112"/>
      <c r="N24" s="112"/>
      <c r="O24" s="112"/>
      <c r="P24" s="112"/>
      <c r="Q24" s="112"/>
      <c r="R24" s="112"/>
      <c r="S24" s="112"/>
    </row>
    <row r="25" spans="1:19" x14ac:dyDescent="0.25">
      <c r="A25" s="108" t="s">
        <v>139</v>
      </c>
      <c r="B25" s="109"/>
      <c r="C25" s="109"/>
      <c r="D25" s="109"/>
      <c r="E25" s="109"/>
      <c r="F25" s="109"/>
      <c r="G25" s="109"/>
      <c r="H25" s="109"/>
      <c r="I25" s="109"/>
      <c r="J25" s="109"/>
      <c r="K25" s="109"/>
      <c r="L25" s="109"/>
      <c r="M25" s="109"/>
      <c r="N25" s="109"/>
      <c r="O25" s="109"/>
      <c r="P25" s="109"/>
      <c r="Q25" s="109"/>
      <c r="R25" s="109"/>
      <c r="S25" s="110"/>
    </row>
    <row r="26" spans="1:19" s="123" customFormat="1" ht="135" x14ac:dyDescent="0.25">
      <c r="A26" s="120">
        <v>13</v>
      </c>
      <c r="B26" s="119" t="s">
        <v>95</v>
      </c>
      <c r="C26" s="120" t="s">
        <v>96</v>
      </c>
      <c r="D26" s="119" t="s">
        <v>97</v>
      </c>
      <c r="E26" s="119" t="s">
        <v>140</v>
      </c>
      <c r="F26" s="124" t="s">
        <v>141</v>
      </c>
      <c r="G26" s="121" t="s">
        <v>142</v>
      </c>
      <c r="H26" s="121" t="s">
        <v>101</v>
      </c>
      <c r="I26" s="122"/>
      <c r="J26" s="122">
        <v>45505</v>
      </c>
      <c r="K26" s="119"/>
      <c r="L26" s="119"/>
      <c r="M26" s="119"/>
      <c r="N26" s="119"/>
      <c r="O26" s="119"/>
      <c r="P26" s="119"/>
      <c r="Q26" s="119"/>
      <c r="R26" s="119"/>
      <c r="S26" s="119"/>
    </row>
    <row r="27" spans="1:19" s="123" customFormat="1" ht="225" x14ac:dyDescent="0.25">
      <c r="A27" s="120">
        <v>14</v>
      </c>
      <c r="B27" s="119" t="s">
        <v>95</v>
      </c>
      <c r="C27" s="120" t="s">
        <v>96</v>
      </c>
      <c r="D27" s="119" t="s">
        <v>97</v>
      </c>
      <c r="E27" s="119" t="s">
        <v>143</v>
      </c>
      <c r="F27" s="124" t="s">
        <v>144</v>
      </c>
      <c r="G27" s="121" t="s">
        <v>145</v>
      </c>
      <c r="H27" s="121" t="s">
        <v>101</v>
      </c>
      <c r="I27" s="122"/>
      <c r="J27" s="122">
        <v>45505</v>
      </c>
      <c r="K27" s="119"/>
      <c r="L27" s="119"/>
      <c r="M27" s="119"/>
      <c r="N27" s="119"/>
      <c r="O27" s="119"/>
      <c r="P27" s="119"/>
      <c r="Q27" s="119"/>
      <c r="R27" s="119"/>
      <c r="S27" s="119"/>
    </row>
    <row r="28" spans="1:19" s="123" customFormat="1" ht="150" x14ac:dyDescent="0.25">
      <c r="A28" s="120">
        <v>15</v>
      </c>
      <c r="B28" s="119" t="s">
        <v>95</v>
      </c>
      <c r="C28" s="120" t="s">
        <v>96</v>
      </c>
      <c r="D28" s="119" t="s">
        <v>97</v>
      </c>
      <c r="E28" s="121" t="s">
        <v>146</v>
      </c>
      <c r="F28" s="119" t="s">
        <v>147</v>
      </c>
      <c r="G28" s="121" t="s">
        <v>148</v>
      </c>
      <c r="H28" s="121" t="s">
        <v>101</v>
      </c>
      <c r="I28" s="122"/>
      <c r="J28" s="122">
        <v>45505</v>
      </c>
      <c r="K28" s="119"/>
      <c r="L28" s="119"/>
      <c r="M28" s="119"/>
      <c r="N28" s="119"/>
      <c r="O28" s="119"/>
      <c r="P28" s="119"/>
      <c r="Q28" s="119"/>
      <c r="R28" s="119"/>
      <c r="S28" s="119"/>
    </row>
    <row r="29" spans="1:19" x14ac:dyDescent="0.25">
      <c r="A29" s="108" t="s">
        <v>149</v>
      </c>
      <c r="B29" s="109"/>
      <c r="C29" s="109"/>
      <c r="D29" s="109"/>
      <c r="E29" s="109"/>
      <c r="F29" s="109"/>
      <c r="G29" s="109"/>
      <c r="H29" s="109"/>
      <c r="I29" s="109"/>
      <c r="J29" s="109"/>
      <c r="K29" s="109"/>
      <c r="L29" s="109"/>
      <c r="M29" s="109"/>
      <c r="N29" s="109"/>
      <c r="O29" s="109"/>
      <c r="P29" s="109"/>
      <c r="Q29" s="109"/>
      <c r="R29" s="109"/>
      <c r="S29" s="110"/>
    </row>
    <row r="30" spans="1:19" ht="120" x14ac:dyDescent="0.25">
      <c r="A30" s="111">
        <v>16</v>
      </c>
      <c r="B30" s="112" t="s">
        <v>95</v>
      </c>
      <c r="C30" s="111" t="s">
        <v>96</v>
      </c>
      <c r="D30" s="112" t="s">
        <v>97</v>
      </c>
      <c r="E30" s="113" t="s">
        <v>150</v>
      </c>
      <c r="F30" s="113" t="s">
        <v>151</v>
      </c>
      <c r="G30" s="114" t="s">
        <v>152</v>
      </c>
      <c r="H30" s="114" t="s">
        <v>101</v>
      </c>
      <c r="I30" s="115"/>
      <c r="J30" s="115">
        <v>45505</v>
      </c>
      <c r="K30" s="112"/>
      <c r="L30" s="112"/>
      <c r="M30" s="112"/>
      <c r="N30" s="112"/>
      <c r="O30" s="112"/>
      <c r="P30" s="112"/>
      <c r="Q30" s="112"/>
      <c r="R30" s="112"/>
      <c r="S30" s="112"/>
    </row>
    <row r="31" spans="1:19" ht="120" x14ac:dyDescent="0.25">
      <c r="A31" s="111">
        <v>17</v>
      </c>
      <c r="B31" s="112" t="s">
        <v>95</v>
      </c>
      <c r="C31" s="111" t="s">
        <v>96</v>
      </c>
      <c r="D31" s="112" t="s">
        <v>97</v>
      </c>
      <c r="E31" s="113" t="s">
        <v>153</v>
      </c>
      <c r="F31" s="113" t="s">
        <v>151</v>
      </c>
      <c r="G31" s="114" t="s">
        <v>154</v>
      </c>
      <c r="H31" s="114" t="s">
        <v>101</v>
      </c>
      <c r="I31" s="115"/>
      <c r="J31" s="115">
        <v>45505</v>
      </c>
      <c r="K31" s="112"/>
      <c r="L31" s="112"/>
      <c r="M31" s="112"/>
      <c r="N31" s="112"/>
      <c r="O31" s="112"/>
      <c r="P31" s="112"/>
      <c r="Q31" s="112"/>
      <c r="R31" s="112"/>
      <c r="S31" s="112"/>
    </row>
    <row r="32" spans="1:19" ht="120" x14ac:dyDescent="0.25">
      <c r="A32" s="111">
        <v>18</v>
      </c>
      <c r="B32" s="112" t="s">
        <v>95</v>
      </c>
      <c r="C32" s="111" t="s">
        <v>96</v>
      </c>
      <c r="D32" s="112" t="s">
        <v>97</v>
      </c>
      <c r="E32" s="113" t="s">
        <v>155</v>
      </c>
      <c r="F32" s="113" t="s">
        <v>151</v>
      </c>
      <c r="G32" s="114" t="s">
        <v>156</v>
      </c>
      <c r="H32" s="114" t="s">
        <v>101</v>
      </c>
      <c r="I32" s="115"/>
      <c r="J32" s="115">
        <v>45505</v>
      </c>
      <c r="K32" s="112"/>
      <c r="L32" s="112"/>
      <c r="M32" s="112"/>
      <c r="N32" s="112"/>
      <c r="O32" s="112"/>
      <c r="P32" s="112"/>
      <c r="Q32" s="112"/>
      <c r="R32" s="112"/>
      <c r="S32" s="112"/>
    </row>
    <row r="33" spans="1:19" ht="120" x14ac:dyDescent="0.25">
      <c r="A33" s="111">
        <v>19</v>
      </c>
      <c r="B33" s="112" t="s">
        <v>95</v>
      </c>
      <c r="C33" s="111" t="s">
        <v>96</v>
      </c>
      <c r="D33" s="112" t="s">
        <v>97</v>
      </c>
      <c r="E33" s="113" t="s">
        <v>157</v>
      </c>
      <c r="F33" s="113" t="s">
        <v>151</v>
      </c>
      <c r="G33" s="114" t="s">
        <v>158</v>
      </c>
      <c r="H33" s="114" t="s">
        <v>101</v>
      </c>
      <c r="I33" s="115"/>
      <c r="J33" s="115">
        <v>45505</v>
      </c>
      <c r="K33" s="112"/>
      <c r="L33" s="112"/>
      <c r="M33" s="112"/>
      <c r="N33" s="112"/>
      <c r="O33" s="112"/>
      <c r="P33" s="112"/>
      <c r="Q33" s="112"/>
      <c r="R33" s="112"/>
      <c r="S33" s="112"/>
    </row>
    <row r="34" spans="1:19" ht="120" x14ac:dyDescent="0.25">
      <c r="A34" s="111">
        <v>20</v>
      </c>
      <c r="B34" s="112" t="s">
        <v>95</v>
      </c>
      <c r="C34" s="111" t="s">
        <v>96</v>
      </c>
      <c r="D34" s="112" t="s">
        <v>97</v>
      </c>
      <c r="E34" s="113" t="s">
        <v>159</v>
      </c>
      <c r="F34" s="113" t="s">
        <v>151</v>
      </c>
      <c r="G34" s="114" t="s">
        <v>160</v>
      </c>
      <c r="H34" s="114" t="s">
        <v>101</v>
      </c>
      <c r="I34" s="115"/>
      <c r="J34" s="115">
        <v>45505</v>
      </c>
      <c r="K34" s="112"/>
      <c r="L34" s="112"/>
      <c r="M34" s="112"/>
      <c r="N34" s="112"/>
      <c r="O34" s="112"/>
      <c r="P34" s="112"/>
      <c r="Q34" s="112"/>
      <c r="R34" s="112"/>
      <c r="S34" s="112"/>
    </row>
    <row r="35" spans="1:19" ht="120" x14ac:dyDescent="0.25">
      <c r="A35" s="111">
        <v>21</v>
      </c>
      <c r="B35" s="112" t="s">
        <v>95</v>
      </c>
      <c r="C35" s="111" t="s">
        <v>96</v>
      </c>
      <c r="D35" s="112" t="s">
        <v>97</v>
      </c>
      <c r="E35" s="113" t="s">
        <v>161</v>
      </c>
      <c r="F35" s="113" t="s">
        <v>151</v>
      </c>
      <c r="G35" s="114" t="s">
        <v>162</v>
      </c>
      <c r="H35" s="114" t="s">
        <v>101</v>
      </c>
      <c r="I35" s="115"/>
      <c r="J35" s="115">
        <v>45505</v>
      </c>
      <c r="K35" s="112"/>
      <c r="L35" s="112"/>
      <c r="M35" s="112"/>
      <c r="N35" s="112"/>
      <c r="O35" s="112"/>
      <c r="P35" s="112"/>
      <c r="Q35" s="112"/>
      <c r="R35" s="112"/>
      <c r="S35" s="112"/>
    </row>
    <row r="36" spans="1:19" ht="120" x14ac:dyDescent="0.25">
      <c r="A36" s="111">
        <v>22</v>
      </c>
      <c r="B36" s="112" t="s">
        <v>95</v>
      </c>
      <c r="C36" s="111" t="s">
        <v>96</v>
      </c>
      <c r="D36" s="112" t="s">
        <v>97</v>
      </c>
      <c r="E36" s="113" t="s">
        <v>163</v>
      </c>
      <c r="F36" s="113" t="s">
        <v>151</v>
      </c>
      <c r="G36" s="114" t="s">
        <v>164</v>
      </c>
      <c r="H36" s="114" t="s">
        <v>101</v>
      </c>
      <c r="I36" s="115"/>
      <c r="J36" s="115">
        <v>45505</v>
      </c>
      <c r="K36" s="112"/>
      <c r="L36" s="112"/>
      <c r="M36" s="112"/>
      <c r="N36" s="112"/>
      <c r="O36" s="112"/>
      <c r="P36" s="112"/>
      <c r="Q36" s="112"/>
      <c r="R36" s="112"/>
      <c r="S36" s="112"/>
    </row>
    <row r="37" spans="1:19" ht="120" x14ac:dyDescent="0.25">
      <c r="A37" s="111">
        <v>23</v>
      </c>
      <c r="B37" s="112" t="s">
        <v>95</v>
      </c>
      <c r="C37" s="111" t="s">
        <v>96</v>
      </c>
      <c r="D37" s="112" t="s">
        <v>97</v>
      </c>
      <c r="E37" s="113" t="s">
        <v>165</v>
      </c>
      <c r="F37" s="113" t="s">
        <v>166</v>
      </c>
      <c r="G37" s="114" t="s">
        <v>167</v>
      </c>
      <c r="H37" s="114" t="s">
        <v>101</v>
      </c>
      <c r="I37" s="115"/>
      <c r="J37" s="115">
        <v>45505</v>
      </c>
      <c r="K37" s="112"/>
      <c r="L37" s="112"/>
      <c r="M37" s="112"/>
      <c r="N37" s="112"/>
      <c r="O37" s="112"/>
      <c r="P37" s="112"/>
      <c r="Q37" s="112"/>
      <c r="R37" s="112"/>
      <c r="S37" s="112"/>
    </row>
    <row r="38" spans="1:19" ht="105" x14ac:dyDescent="0.25">
      <c r="A38" s="111">
        <v>24</v>
      </c>
      <c r="B38" s="112" t="s">
        <v>95</v>
      </c>
      <c r="C38" s="111" t="s">
        <v>96</v>
      </c>
      <c r="D38" s="112" t="s">
        <v>97</v>
      </c>
      <c r="E38" s="113" t="s">
        <v>168</v>
      </c>
      <c r="F38" s="113" t="s">
        <v>169</v>
      </c>
      <c r="G38" s="114" t="s">
        <v>170</v>
      </c>
      <c r="H38" s="114" t="s">
        <v>101</v>
      </c>
      <c r="I38" s="115"/>
      <c r="J38" s="115">
        <v>45505</v>
      </c>
      <c r="K38" s="112"/>
      <c r="L38" s="112"/>
      <c r="M38" s="112"/>
      <c r="N38" s="112"/>
      <c r="O38" s="112"/>
      <c r="P38" s="112"/>
      <c r="Q38" s="112"/>
      <c r="R38" s="112"/>
      <c r="S38" s="112"/>
    </row>
    <row r="39" spans="1:19" ht="120" x14ac:dyDescent="0.25">
      <c r="A39" s="111">
        <v>25</v>
      </c>
      <c r="B39" s="112" t="s">
        <v>95</v>
      </c>
      <c r="C39" s="111" t="s">
        <v>96</v>
      </c>
      <c r="D39" s="112" t="s">
        <v>97</v>
      </c>
      <c r="E39" s="113" t="s">
        <v>171</v>
      </c>
      <c r="F39" s="113" t="s">
        <v>172</v>
      </c>
      <c r="G39" s="114" t="s">
        <v>173</v>
      </c>
      <c r="H39" s="114" t="s">
        <v>101</v>
      </c>
      <c r="I39" s="115"/>
      <c r="J39" s="115">
        <v>45505</v>
      </c>
      <c r="K39" s="112"/>
      <c r="L39" s="112"/>
      <c r="M39" s="112"/>
      <c r="N39" s="112"/>
      <c r="O39" s="112"/>
      <c r="P39" s="112"/>
      <c r="Q39" s="112"/>
      <c r="R39" s="112"/>
      <c r="S39" s="112"/>
    </row>
  </sheetData>
  <mergeCells count="13">
    <mergeCell ref="A10:S10"/>
    <mergeCell ref="A17:S17"/>
    <mergeCell ref="A20:S20"/>
    <mergeCell ref="A25:S25"/>
    <mergeCell ref="A29:S29"/>
    <mergeCell ref="A2:I5"/>
    <mergeCell ref="A7:A8"/>
    <mergeCell ref="D7:D8"/>
    <mergeCell ref="E7:E8"/>
    <mergeCell ref="F7:F8"/>
    <mergeCell ref="G7:G8"/>
    <mergeCell ref="H7:H8"/>
    <mergeCell ref="I7:S7"/>
  </mergeCells>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A351-A216-4007-BD3A-BF9F5B2D07C1}">
  <dimension ref="B2:I21"/>
  <sheetViews>
    <sheetView showGridLines="0" workbookViewId="0">
      <selection activeCell="D11" sqref="D11"/>
    </sheetView>
  </sheetViews>
  <sheetFormatPr defaultRowHeight="15" x14ac:dyDescent="0.25"/>
  <cols>
    <col min="1" max="1" width="1.7109375" style="26" customWidth="1"/>
    <col min="2" max="2" width="5.7109375" style="61" customWidth="1"/>
    <col min="3" max="3" width="50.7109375" style="26" customWidth="1"/>
    <col min="4" max="4" width="15.7109375" style="61" customWidth="1"/>
    <col min="5" max="5" width="15.7109375" style="72" customWidth="1"/>
    <col min="6" max="6" width="35.7109375" style="72" customWidth="1"/>
    <col min="7" max="7" width="20.7109375" style="67" customWidth="1"/>
    <col min="8" max="8" width="5.7109375" style="26" customWidth="1"/>
    <col min="9" max="9" width="20.7109375" style="67" customWidth="1"/>
    <col min="10" max="16384" width="9.140625" style="26"/>
  </cols>
  <sheetData>
    <row r="2" spans="2:9" ht="18.75" x14ac:dyDescent="0.25">
      <c r="B2" s="64" t="s">
        <v>54</v>
      </c>
    </row>
    <row r="3" spans="2:9" s="61" customFormat="1" ht="15.75" thickBot="1" x14ac:dyDescent="0.3">
      <c r="B3" s="69" t="s">
        <v>48</v>
      </c>
      <c r="C3" s="69" t="s">
        <v>46</v>
      </c>
      <c r="D3" s="69" t="s">
        <v>47</v>
      </c>
      <c r="E3" s="72"/>
      <c r="F3" s="72"/>
      <c r="G3" s="68"/>
      <c r="I3" s="68"/>
    </row>
    <row r="4" spans="2:9" ht="15.75" thickTop="1" x14ac:dyDescent="0.25">
      <c r="B4" s="65">
        <v>1</v>
      </c>
      <c r="C4" s="66" t="s">
        <v>50</v>
      </c>
      <c r="D4" s="73" t="s">
        <v>49</v>
      </c>
    </row>
    <row r="5" spans="2:9" x14ac:dyDescent="0.25">
      <c r="B5" s="62">
        <v>2</v>
      </c>
      <c r="C5" s="63" t="s">
        <v>51</v>
      </c>
      <c r="D5" s="74" t="s">
        <v>49</v>
      </c>
    </row>
    <row r="6" spans="2:9" x14ac:dyDescent="0.25">
      <c r="B6" s="62">
        <v>3</v>
      </c>
      <c r="C6" s="63" t="s">
        <v>52</v>
      </c>
      <c r="D6" s="74" t="s">
        <v>49</v>
      </c>
    </row>
    <row r="7" spans="2:9" x14ac:dyDescent="0.25">
      <c r="B7" s="62">
        <v>4</v>
      </c>
      <c r="C7" s="63" t="s">
        <v>53</v>
      </c>
      <c r="D7" s="74" t="s">
        <v>49</v>
      </c>
    </row>
    <row r="8" spans="2:9" x14ac:dyDescent="0.25">
      <c r="B8" s="62">
        <v>5</v>
      </c>
      <c r="C8" s="63" t="s">
        <v>71</v>
      </c>
      <c r="D8" s="74" t="s">
        <v>49</v>
      </c>
    </row>
    <row r="9" spans="2:9" x14ac:dyDescent="0.25">
      <c r="B9" s="62">
        <v>6</v>
      </c>
      <c r="C9" s="63" t="s">
        <v>72</v>
      </c>
      <c r="D9" s="74" t="s">
        <v>49</v>
      </c>
    </row>
    <row r="10" spans="2:9" x14ac:dyDescent="0.25">
      <c r="B10" s="62">
        <v>7</v>
      </c>
      <c r="C10" s="63" t="s">
        <v>73</v>
      </c>
      <c r="D10" s="74" t="s">
        <v>74</v>
      </c>
    </row>
    <row r="13" spans="2:9" ht="18.75" x14ac:dyDescent="0.25">
      <c r="B13" s="64" t="s">
        <v>55</v>
      </c>
    </row>
    <row r="14" spans="2:9" s="61" customFormat="1" ht="15.75" thickBot="1" x14ac:dyDescent="0.3">
      <c r="B14" s="70" t="s">
        <v>48</v>
      </c>
      <c r="C14" s="70" t="s">
        <v>46</v>
      </c>
      <c r="D14" s="70" t="s">
        <v>47</v>
      </c>
      <c r="E14" s="70" t="s">
        <v>56</v>
      </c>
      <c r="F14" s="70" t="s">
        <v>57</v>
      </c>
      <c r="G14" s="71" t="s">
        <v>58</v>
      </c>
      <c r="I14" s="77" t="s">
        <v>70</v>
      </c>
    </row>
    <row r="15" spans="2:9" ht="15.75" thickTop="1" x14ac:dyDescent="0.25">
      <c r="B15" s="65">
        <v>1</v>
      </c>
      <c r="C15" s="66" t="s">
        <v>59</v>
      </c>
      <c r="D15" s="73" t="s">
        <v>60</v>
      </c>
      <c r="E15" s="73" t="s">
        <v>61</v>
      </c>
      <c r="F15" s="73" t="s">
        <v>62</v>
      </c>
      <c r="G15" s="75">
        <v>45387</v>
      </c>
      <c r="I15" s="75"/>
    </row>
    <row r="16" spans="2:9" x14ac:dyDescent="0.25">
      <c r="B16" s="62">
        <v>2</v>
      </c>
      <c r="C16" s="63" t="s">
        <v>64</v>
      </c>
      <c r="D16" s="74" t="s">
        <v>60</v>
      </c>
      <c r="E16" s="74" t="s">
        <v>61</v>
      </c>
      <c r="F16" s="74" t="s">
        <v>63</v>
      </c>
      <c r="G16" s="76">
        <v>45419</v>
      </c>
      <c r="I16" s="76"/>
    </row>
    <row r="17" spans="2:9" x14ac:dyDescent="0.25">
      <c r="B17" s="62">
        <v>3</v>
      </c>
      <c r="C17" s="63" t="s">
        <v>67</v>
      </c>
      <c r="D17" s="74" t="s">
        <v>60</v>
      </c>
      <c r="E17" s="74" t="s">
        <v>65</v>
      </c>
      <c r="F17" s="74" t="s">
        <v>66</v>
      </c>
      <c r="G17" s="76">
        <v>45407</v>
      </c>
      <c r="I17" s="76"/>
    </row>
    <row r="18" spans="2:9" x14ac:dyDescent="0.25">
      <c r="B18" s="62">
        <v>4</v>
      </c>
      <c r="C18" s="63" t="s">
        <v>69</v>
      </c>
      <c r="D18" s="74" t="s">
        <v>60</v>
      </c>
      <c r="E18" s="74" t="s">
        <v>65</v>
      </c>
      <c r="F18" s="74" t="s">
        <v>68</v>
      </c>
      <c r="G18" s="76">
        <v>45411</v>
      </c>
      <c r="I18" s="76"/>
    </row>
    <row r="19" spans="2:9" x14ac:dyDescent="0.25">
      <c r="B19" s="62"/>
      <c r="C19" s="63"/>
      <c r="D19" s="74"/>
      <c r="E19" s="74"/>
      <c r="F19" s="74"/>
      <c r="G19" s="76"/>
      <c r="I19" s="76"/>
    </row>
    <row r="20" spans="2:9" x14ac:dyDescent="0.25">
      <c r="B20" s="62"/>
      <c r="C20" s="63"/>
      <c r="D20" s="74"/>
      <c r="E20" s="74"/>
      <c r="F20" s="74"/>
      <c r="G20" s="76"/>
      <c r="I20" s="76"/>
    </row>
    <row r="21" spans="2:9" x14ac:dyDescent="0.25">
      <c r="B21" s="62"/>
      <c r="C21" s="63"/>
      <c r="D21" s="74"/>
      <c r="E21" s="74"/>
      <c r="F21" s="74"/>
      <c r="G21" s="76"/>
      <c r="I21" s="7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9044-3E80-4412-B047-5A1244C0EA1C}">
  <sheetPr>
    <pageSetUpPr fitToPage="1"/>
  </sheetPr>
  <dimension ref="A1:BM37"/>
  <sheetViews>
    <sheetView showGridLines="0" showRuler="0" zoomScaleNormal="100" zoomScalePageLayoutView="70" workbookViewId="0">
      <pane ySplit="6" topLeftCell="A7" activePane="bottomLeft" state="frozen"/>
      <selection pane="bottomLeft" activeCell="I19" sqref="I19"/>
    </sheetView>
  </sheetViews>
  <sheetFormatPr defaultColWidth="8.85546875" defaultRowHeight="30" customHeight="1" x14ac:dyDescent="0.25"/>
  <cols>
    <col min="1" max="1" width="2.5703125" style="9" customWidth="1"/>
    <col min="2" max="2" width="36" style="7" customWidth="1"/>
    <col min="3" max="3" width="15.85546875" style="7" customWidth="1"/>
    <col min="4" max="4" width="13.5703125" style="7" customWidth="1"/>
    <col min="5" max="5" width="10.5703125" style="7" customWidth="1"/>
    <col min="6" max="6" width="10.42578125" style="11" customWidth="1"/>
    <col min="7" max="7" width="10.42578125" style="7" customWidth="1"/>
    <col min="8" max="8" width="6.140625" style="7" customWidth="1"/>
    <col min="9" max="9" width="8.5703125" style="7" customWidth="1"/>
    <col min="10" max="65" width="2.7109375" style="7" customWidth="1"/>
    <col min="66" max="16384" width="8.85546875" style="7"/>
  </cols>
  <sheetData>
    <row r="1" spans="1:65" ht="30" customHeight="1" x14ac:dyDescent="0.35">
      <c r="A1" s="1" t="s">
        <v>12</v>
      </c>
      <c r="B1" s="2" t="s">
        <v>41</v>
      </c>
      <c r="C1" s="3"/>
      <c r="D1" s="3"/>
      <c r="E1" s="4"/>
      <c r="F1" s="5"/>
      <c r="G1" s="6"/>
      <c r="I1" s="4"/>
      <c r="J1" s="8"/>
      <c r="BI1" s="57" t="s">
        <v>23</v>
      </c>
      <c r="BJ1" s="56"/>
      <c r="BK1" s="56"/>
      <c r="BL1" s="56"/>
      <c r="BM1" s="56"/>
    </row>
    <row r="2" spans="1:65" ht="30" customHeight="1" x14ac:dyDescent="0.3">
      <c r="A2" s="9" t="s">
        <v>9</v>
      </c>
      <c r="B2" s="10" t="s">
        <v>21</v>
      </c>
      <c r="J2" s="12"/>
      <c r="BI2" s="57" t="s">
        <v>25</v>
      </c>
      <c r="BJ2" s="58"/>
      <c r="BK2" s="58"/>
      <c r="BL2" s="58"/>
      <c r="BM2" s="58"/>
    </row>
    <row r="3" spans="1:65" ht="30" customHeight="1" x14ac:dyDescent="0.25">
      <c r="A3" s="9" t="s">
        <v>18</v>
      </c>
      <c r="B3" s="13"/>
      <c r="C3" s="89" t="s">
        <v>1</v>
      </c>
      <c r="D3" s="89"/>
      <c r="E3" s="90"/>
      <c r="F3" s="91">
        <f>F9</f>
        <v>45425</v>
      </c>
      <c r="G3" s="91"/>
    </row>
    <row r="4" spans="1:65" ht="30" customHeight="1" x14ac:dyDescent="0.25">
      <c r="A4" s="1" t="s">
        <v>13</v>
      </c>
      <c r="C4" s="89" t="s">
        <v>7</v>
      </c>
      <c r="D4" s="89"/>
      <c r="E4" s="90"/>
      <c r="F4" s="14">
        <v>1</v>
      </c>
      <c r="J4" s="86">
        <f>J5</f>
        <v>45425</v>
      </c>
      <c r="K4" s="87"/>
      <c r="L4" s="87"/>
      <c r="M4" s="87"/>
      <c r="N4" s="87"/>
      <c r="O4" s="87"/>
      <c r="P4" s="88"/>
      <c r="Q4" s="86">
        <f>Q5</f>
        <v>45432</v>
      </c>
      <c r="R4" s="87"/>
      <c r="S4" s="87"/>
      <c r="T4" s="87"/>
      <c r="U4" s="87"/>
      <c r="V4" s="87"/>
      <c r="W4" s="88"/>
      <c r="X4" s="86">
        <f>X5</f>
        <v>45439</v>
      </c>
      <c r="Y4" s="87"/>
      <c r="Z4" s="87"/>
      <c r="AA4" s="87"/>
      <c r="AB4" s="87"/>
      <c r="AC4" s="87"/>
      <c r="AD4" s="88"/>
      <c r="AE4" s="86">
        <f>AE5</f>
        <v>45446</v>
      </c>
      <c r="AF4" s="87"/>
      <c r="AG4" s="87"/>
      <c r="AH4" s="87"/>
      <c r="AI4" s="87"/>
      <c r="AJ4" s="87"/>
      <c r="AK4" s="88"/>
      <c r="AL4" s="86">
        <f>AL5</f>
        <v>45453</v>
      </c>
      <c r="AM4" s="87"/>
      <c r="AN4" s="87"/>
      <c r="AO4" s="87"/>
      <c r="AP4" s="87"/>
      <c r="AQ4" s="87"/>
      <c r="AR4" s="88"/>
      <c r="AS4" s="86">
        <f>AS5</f>
        <v>45460</v>
      </c>
      <c r="AT4" s="87"/>
      <c r="AU4" s="87"/>
      <c r="AV4" s="87"/>
      <c r="AW4" s="87"/>
      <c r="AX4" s="87"/>
      <c r="AY4" s="88"/>
      <c r="AZ4" s="86">
        <f>AZ5</f>
        <v>45467</v>
      </c>
      <c r="BA4" s="87"/>
      <c r="BB4" s="87"/>
      <c r="BC4" s="87"/>
      <c r="BD4" s="87"/>
      <c r="BE4" s="87"/>
      <c r="BF4" s="88"/>
      <c r="BG4" s="86">
        <f>BG5</f>
        <v>45474</v>
      </c>
      <c r="BH4" s="87"/>
      <c r="BI4" s="87"/>
      <c r="BJ4" s="87"/>
      <c r="BK4" s="87"/>
      <c r="BL4" s="87"/>
      <c r="BM4" s="88"/>
    </row>
    <row r="5" spans="1:65" ht="15" customHeight="1" x14ac:dyDescent="0.25">
      <c r="A5" s="1" t="s">
        <v>14</v>
      </c>
      <c r="B5" s="15"/>
      <c r="C5" s="15"/>
      <c r="D5" s="15"/>
      <c r="E5" s="15"/>
      <c r="F5" s="15"/>
      <c r="G5" s="15"/>
      <c r="H5" s="15"/>
      <c r="J5" s="16">
        <f>Project_Start-WEEKDAY(Project_Start,1)+2+7*(Display_Week-1)</f>
        <v>45425</v>
      </c>
      <c r="K5" s="17">
        <f>J5+1</f>
        <v>45426</v>
      </c>
      <c r="L5" s="17">
        <f t="shared" ref="L5:AY5" si="0">K5+1</f>
        <v>45427</v>
      </c>
      <c r="M5" s="17">
        <f t="shared" si="0"/>
        <v>45428</v>
      </c>
      <c r="N5" s="17">
        <f t="shared" si="0"/>
        <v>45429</v>
      </c>
      <c r="O5" s="17">
        <f t="shared" si="0"/>
        <v>45430</v>
      </c>
      <c r="P5" s="18">
        <f t="shared" si="0"/>
        <v>45431</v>
      </c>
      <c r="Q5" s="16">
        <f>P5+1</f>
        <v>45432</v>
      </c>
      <c r="R5" s="17">
        <f>Q5+1</f>
        <v>45433</v>
      </c>
      <c r="S5" s="17">
        <f t="shared" si="0"/>
        <v>45434</v>
      </c>
      <c r="T5" s="17">
        <f t="shared" si="0"/>
        <v>45435</v>
      </c>
      <c r="U5" s="17">
        <f t="shared" si="0"/>
        <v>45436</v>
      </c>
      <c r="V5" s="17">
        <f t="shared" si="0"/>
        <v>45437</v>
      </c>
      <c r="W5" s="18">
        <f t="shared" si="0"/>
        <v>45438</v>
      </c>
      <c r="X5" s="16">
        <f>W5+1</f>
        <v>45439</v>
      </c>
      <c r="Y5" s="17">
        <f>X5+1</f>
        <v>45440</v>
      </c>
      <c r="Z5" s="17">
        <f t="shared" si="0"/>
        <v>45441</v>
      </c>
      <c r="AA5" s="17">
        <f t="shared" si="0"/>
        <v>45442</v>
      </c>
      <c r="AB5" s="17">
        <f t="shared" si="0"/>
        <v>45443</v>
      </c>
      <c r="AC5" s="17">
        <f t="shared" si="0"/>
        <v>45444</v>
      </c>
      <c r="AD5" s="18">
        <f t="shared" si="0"/>
        <v>45445</v>
      </c>
      <c r="AE5" s="16">
        <f>AD5+1</f>
        <v>45446</v>
      </c>
      <c r="AF5" s="17">
        <f>AE5+1</f>
        <v>45447</v>
      </c>
      <c r="AG5" s="17">
        <f t="shared" si="0"/>
        <v>45448</v>
      </c>
      <c r="AH5" s="17">
        <f t="shared" si="0"/>
        <v>45449</v>
      </c>
      <c r="AI5" s="17">
        <f t="shared" si="0"/>
        <v>45450</v>
      </c>
      <c r="AJ5" s="17">
        <f t="shared" si="0"/>
        <v>45451</v>
      </c>
      <c r="AK5" s="18">
        <f t="shared" si="0"/>
        <v>45452</v>
      </c>
      <c r="AL5" s="16">
        <f>AK5+1</f>
        <v>45453</v>
      </c>
      <c r="AM5" s="17">
        <f>AL5+1</f>
        <v>45454</v>
      </c>
      <c r="AN5" s="17">
        <f t="shared" si="0"/>
        <v>45455</v>
      </c>
      <c r="AO5" s="17">
        <f t="shared" si="0"/>
        <v>45456</v>
      </c>
      <c r="AP5" s="17">
        <f t="shared" si="0"/>
        <v>45457</v>
      </c>
      <c r="AQ5" s="17">
        <f t="shared" si="0"/>
        <v>45458</v>
      </c>
      <c r="AR5" s="18">
        <f t="shared" si="0"/>
        <v>45459</v>
      </c>
      <c r="AS5" s="16">
        <f>AR5+1</f>
        <v>45460</v>
      </c>
      <c r="AT5" s="17">
        <f>AS5+1</f>
        <v>45461</v>
      </c>
      <c r="AU5" s="17">
        <f t="shared" si="0"/>
        <v>45462</v>
      </c>
      <c r="AV5" s="17">
        <f t="shared" si="0"/>
        <v>45463</v>
      </c>
      <c r="AW5" s="17">
        <f t="shared" si="0"/>
        <v>45464</v>
      </c>
      <c r="AX5" s="17">
        <f t="shared" si="0"/>
        <v>45465</v>
      </c>
      <c r="AY5" s="18">
        <f t="shared" si="0"/>
        <v>45466</v>
      </c>
      <c r="AZ5" s="16">
        <f>AY5+1</f>
        <v>45467</v>
      </c>
      <c r="BA5" s="17">
        <f>AZ5+1</f>
        <v>45468</v>
      </c>
      <c r="BB5" s="17">
        <f t="shared" ref="BB5:BF5" si="1">BA5+1</f>
        <v>45469</v>
      </c>
      <c r="BC5" s="17">
        <f t="shared" si="1"/>
        <v>45470</v>
      </c>
      <c r="BD5" s="17">
        <f t="shared" si="1"/>
        <v>45471</v>
      </c>
      <c r="BE5" s="17">
        <f t="shared" si="1"/>
        <v>45472</v>
      </c>
      <c r="BF5" s="18">
        <f t="shared" si="1"/>
        <v>45473</v>
      </c>
      <c r="BG5" s="16">
        <f>BF5+1</f>
        <v>45474</v>
      </c>
      <c r="BH5" s="17">
        <f>BG5+1</f>
        <v>45475</v>
      </c>
      <c r="BI5" s="17">
        <f t="shared" ref="BI5:BM5" si="2">BH5+1</f>
        <v>45476</v>
      </c>
      <c r="BJ5" s="17">
        <f t="shared" si="2"/>
        <v>45477</v>
      </c>
      <c r="BK5" s="17">
        <f t="shared" si="2"/>
        <v>45478</v>
      </c>
      <c r="BL5" s="17">
        <f t="shared" si="2"/>
        <v>45479</v>
      </c>
      <c r="BM5" s="18">
        <f t="shared" si="2"/>
        <v>45480</v>
      </c>
    </row>
    <row r="6" spans="1:65" ht="30" customHeight="1" thickBot="1" x14ac:dyDescent="0.3">
      <c r="A6" s="1" t="s">
        <v>15</v>
      </c>
      <c r="B6" s="59" t="s">
        <v>8</v>
      </c>
      <c r="C6" s="60" t="s">
        <v>3</v>
      </c>
      <c r="D6" s="60"/>
      <c r="E6" s="60" t="s">
        <v>2</v>
      </c>
      <c r="F6" s="60" t="s">
        <v>4</v>
      </c>
      <c r="G6" s="19" t="s">
        <v>5</v>
      </c>
      <c r="H6" s="60" t="s">
        <v>22</v>
      </c>
      <c r="I6" s="60" t="s">
        <v>6</v>
      </c>
      <c r="J6" s="20" t="str">
        <f t="shared" ref="J6:BM6" si="3">LEFT(TEXT(J5,"ddd"),1)</f>
        <v>M</v>
      </c>
      <c r="K6" s="20" t="str">
        <f t="shared" si="3"/>
        <v>T</v>
      </c>
      <c r="L6" s="20" t="str">
        <f t="shared" si="3"/>
        <v>W</v>
      </c>
      <c r="M6" s="20" t="str">
        <f t="shared" si="3"/>
        <v>T</v>
      </c>
      <c r="N6" s="20" t="str">
        <f t="shared" si="3"/>
        <v>F</v>
      </c>
      <c r="O6" s="20" t="str">
        <f t="shared" si="3"/>
        <v>S</v>
      </c>
      <c r="P6" s="20" t="str">
        <f t="shared" si="3"/>
        <v>S</v>
      </c>
      <c r="Q6" s="20" t="str">
        <f t="shared" si="3"/>
        <v>M</v>
      </c>
      <c r="R6" s="20" t="str">
        <f t="shared" si="3"/>
        <v>T</v>
      </c>
      <c r="S6" s="20" t="str">
        <f t="shared" si="3"/>
        <v>W</v>
      </c>
      <c r="T6" s="20" t="str">
        <f t="shared" si="3"/>
        <v>T</v>
      </c>
      <c r="U6" s="20" t="str">
        <f t="shared" si="3"/>
        <v>F</v>
      </c>
      <c r="V6" s="20" t="str">
        <f t="shared" si="3"/>
        <v>S</v>
      </c>
      <c r="W6" s="20" t="str">
        <f t="shared" si="3"/>
        <v>S</v>
      </c>
      <c r="X6" s="20" t="str">
        <f t="shared" si="3"/>
        <v>M</v>
      </c>
      <c r="Y6" s="20" t="str">
        <f t="shared" si="3"/>
        <v>T</v>
      </c>
      <c r="Z6" s="20" t="str">
        <f t="shared" si="3"/>
        <v>W</v>
      </c>
      <c r="AA6" s="20" t="str">
        <f t="shared" si="3"/>
        <v>T</v>
      </c>
      <c r="AB6" s="20" t="str">
        <f t="shared" si="3"/>
        <v>F</v>
      </c>
      <c r="AC6" s="20" t="str">
        <f t="shared" si="3"/>
        <v>S</v>
      </c>
      <c r="AD6" s="20" t="str">
        <f t="shared" si="3"/>
        <v>S</v>
      </c>
      <c r="AE6" s="20" t="str">
        <f t="shared" si="3"/>
        <v>M</v>
      </c>
      <c r="AF6" s="20" t="str">
        <f t="shared" si="3"/>
        <v>T</v>
      </c>
      <c r="AG6" s="20" t="str">
        <f t="shared" si="3"/>
        <v>W</v>
      </c>
      <c r="AH6" s="20" t="str">
        <f t="shared" si="3"/>
        <v>T</v>
      </c>
      <c r="AI6" s="20" t="str">
        <f t="shared" si="3"/>
        <v>F</v>
      </c>
      <c r="AJ6" s="20" t="str">
        <f t="shared" si="3"/>
        <v>S</v>
      </c>
      <c r="AK6" s="20" t="str">
        <f t="shared" si="3"/>
        <v>S</v>
      </c>
      <c r="AL6" s="20" t="str">
        <f t="shared" si="3"/>
        <v>M</v>
      </c>
      <c r="AM6" s="20" t="str">
        <f t="shared" si="3"/>
        <v>T</v>
      </c>
      <c r="AN6" s="20" t="str">
        <f t="shared" si="3"/>
        <v>W</v>
      </c>
      <c r="AO6" s="20" t="str">
        <f t="shared" si="3"/>
        <v>T</v>
      </c>
      <c r="AP6" s="20" t="str">
        <f t="shared" si="3"/>
        <v>F</v>
      </c>
      <c r="AQ6" s="20" t="str">
        <f t="shared" si="3"/>
        <v>S</v>
      </c>
      <c r="AR6" s="20" t="str">
        <f t="shared" si="3"/>
        <v>S</v>
      </c>
      <c r="AS6" s="20" t="str">
        <f t="shared" si="3"/>
        <v>M</v>
      </c>
      <c r="AT6" s="20" t="str">
        <f t="shared" si="3"/>
        <v>T</v>
      </c>
      <c r="AU6" s="20" t="str">
        <f t="shared" si="3"/>
        <v>W</v>
      </c>
      <c r="AV6" s="20" t="str">
        <f t="shared" si="3"/>
        <v>T</v>
      </c>
      <c r="AW6" s="20" t="str">
        <f t="shared" si="3"/>
        <v>F</v>
      </c>
      <c r="AX6" s="20" t="str">
        <f t="shared" si="3"/>
        <v>S</v>
      </c>
      <c r="AY6" s="20" t="str">
        <f t="shared" si="3"/>
        <v>S</v>
      </c>
      <c r="AZ6" s="20" t="str">
        <f t="shared" si="3"/>
        <v>M</v>
      </c>
      <c r="BA6" s="20" t="str">
        <f t="shared" si="3"/>
        <v>T</v>
      </c>
      <c r="BB6" s="20" t="str">
        <f t="shared" si="3"/>
        <v>W</v>
      </c>
      <c r="BC6" s="20" t="str">
        <f t="shared" si="3"/>
        <v>T</v>
      </c>
      <c r="BD6" s="20" t="str">
        <f t="shared" si="3"/>
        <v>F</v>
      </c>
      <c r="BE6" s="20" t="str">
        <f t="shared" si="3"/>
        <v>S</v>
      </c>
      <c r="BF6" s="20" t="str">
        <f t="shared" si="3"/>
        <v>S</v>
      </c>
      <c r="BG6" s="20" t="str">
        <f t="shared" si="3"/>
        <v>M</v>
      </c>
      <c r="BH6" s="20" t="str">
        <f t="shared" si="3"/>
        <v>T</v>
      </c>
      <c r="BI6" s="20" t="str">
        <f t="shared" si="3"/>
        <v>W</v>
      </c>
      <c r="BJ6" s="20" t="str">
        <f t="shared" si="3"/>
        <v>T</v>
      </c>
      <c r="BK6" s="20" t="str">
        <f t="shared" si="3"/>
        <v>F</v>
      </c>
      <c r="BL6" s="20" t="str">
        <f t="shared" si="3"/>
        <v>S</v>
      </c>
      <c r="BM6" s="20" t="str">
        <f t="shared" si="3"/>
        <v>S</v>
      </c>
    </row>
    <row r="7" spans="1:65" ht="30" hidden="1" customHeight="1" thickBot="1" x14ac:dyDescent="0.3">
      <c r="A7" s="9" t="s">
        <v>19</v>
      </c>
      <c r="C7" s="21"/>
      <c r="D7" s="21"/>
      <c r="F7" s="7"/>
      <c r="I7" s="7" t="str">
        <f>IF(OR(ISBLANK(task_start),ISBLANK(task_end)),"",task_end-task_start+1)</f>
        <v/>
      </c>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row>
    <row r="8" spans="1:65" s="26" customFormat="1" ht="30" customHeight="1" thickBot="1" x14ac:dyDescent="0.3">
      <c r="A8" s="1" t="s">
        <v>16</v>
      </c>
      <c r="B8" s="23" t="s">
        <v>44</v>
      </c>
      <c r="C8" s="24"/>
      <c r="D8" s="24"/>
      <c r="E8" s="49">
        <f>AVERAGE(E9:E19)</f>
        <v>0.7</v>
      </c>
      <c r="F8" s="46">
        <f>MIN(F9:F20)</f>
        <v>45425</v>
      </c>
      <c r="G8" s="47">
        <f>MAX(G9:G20)</f>
        <v>45473</v>
      </c>
      <c r="H8" s="48"/>
      <c r="I8" s="48">
        <f t="shared" ref="I8" si="4">IF(OR(ISBLANK(task_start),ISBLANK(task_end)),"",task_end-task_start+1)</f>
        <v>49</v>
      </c>
      <c r="J8" s="22"/>
      <c r="K8" s="22"/>
      <c r="L8" s="22"/>
      <c r="M8" s="22"/>
      <c r="N8" s="22"/>
      <c r="O8" s="22"/>
      <c r="P8" s="22"/>
      <c r="Q8" s="22"/>
      <c r="R8" s="22"/>
      <c r="S8" s="22"/>
      <c r="T8" s="22"/>
      <c r="U8" s="22"/>
      <c r="V8" s="22"/>
      <c r="W8" s="22"/>
      <c r="X8" s="22"/>
      <c r="Y8" s="22"/>
      <c r="Z8" s="53"/>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row>
    <row r="9" spans="1:65" s="26" customFormat="1" ht="30" customHeight="1" thickBot="1" x14ac:dyDescent="0.3">
      <c r="A9" s="1" t="s">
        <v>20</v>
      </c>
      <c r="B9" s="82" t="s">
        <v>42</v>
      </c>
      <c r="C9" s="80" t="s">
        <v>28</v>
      </c>
      <c r="D9" s="27" t="s">
        <v>23</v>
      </c>
      <c r="E9" s="28">
        <v>1</v>
      </c>
      <c r="F9" s="29">
        <v>45425</v>
      </c>
      <c r="G9" s="29">
        <f>IFERROR(F9+I9+H9-1,"")</f>
        <v>45439</v>
      </c>
      <c r="H9" s="25">
        <v>6</v>
      </c>
      <c r="I9" s="25">
        <v>9</v>
      </c>
      <c r="J9" s="22"/>
      <c r="K9" s="22"/>
      <c r="L9" s="22"/>
      <c r="M9" s="22"/>
      <c r="N9" s="22"/>
      <c r="O9" s="22"/>
      <c r="P9" s="22"/>
      <c r="Q9" s="22"/>
      <c r="R9" s="22"/>
      <c r="S9" s="22"/>
      <c r="T9" s="22"/>
      <c r="U9" s="22"/>
      <c r="V9" s="30"/>
      <c r="W9" s="30"/>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row>
    <row r="10" spans="1:65" s="26" customFormat="1" ht="30" customHeight="1" thickBot="1" x14ac:dyDescent="0.3">
      <c r="A10" s="1"/>
      <c r="B10" s="83"/>
      <c r="C10" s="81"/>
      <c r="D10" s="27" t="s">
        <v>24</v>
      </c>
      <c r="E10" s="28">
        <v>0.5</v>
      </c>
      <c r="F10" s="29">
        <v>45425</v>
      </c>
      <c r="G10" s="29">
        <f t="shared" ref="G10:G18" si="5">IFERROR(F10+I10+H10-1,"")</f>
        <v>45424</v>
      </c>
      <c r="H10" s="25"/>
      <c r="I10" s="25"/>
      <c r="J10" s="22"/>
      <c r="K10" s="22"/>
      <c r="L10" s="22"/>
      <c r="M10" s="22"/>
      <c r="N10" s="22"/>
      <c r="O10" s="22"/>
      <c r="P10" s="22"/>
      <c r="Q10" s="22"/>
      <c r="R10" s="22"/>
      <c r="S10" s="22"/>
      <c r="T10" s="22"/>
      <c r="U10" s="22"/>
      <c r="V10" s="30"/>
      <c r="W10" s="30"/>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row>
    <row r="11" spans="1:65" s="26" customFormat="1" ht="30" customHeight="1" thickBot="1" x14ac:dyDescent="0.3">
      <c r="A11" s="1" t="s">
        <v>17</v>
      </c>
      <c r="B11" s="84" t="s">
        <v>45</v>
      </c>
      <c r="C11" s="85"/>
      <c r="D11" s="27" t="s">
        <v>23</v>
      </c>
      <c r="E11" s="28"/>
      <c r="F11" s="29">
        <v>45425</v>
      </c>
      <c r="G11" s="29">
        <f t="shared" si="5"/>
        <v>45473</v>
      </c>
      <c r="H11" s="25">
        <v>19</v>
      </c>
      <c r="I11" s="25">
        <v>30</v>
      </c>
      <c r="J11" s="22"/>
      <c r="K11" s="22"/>
      <c r="L11" s="22"/>
      <c r="M11" s="22"/>
      <c r="N11" s="22"/>
      <c r="O11" s="22"/>
      <c r="P11" s="22"/>
      <c r="Q11" s="22"/>
      <c r="R11" s="22"/>
      <c r="S11" s="22"/>
      <c r="T11" s="22"/>
      <c r="U11" s="22"/>
      <c r="V11" s="30"/>
      <c r="W11" s="30"/>
      <c r="X11" s="22"/>
      <c r="Y11" s="22"/>
      <c r="Z11" s="22"/>
      <c r="AA11" s="53"/>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row>
    <row r="12" spans="1:65" s="26" customFormat="1" ht="30" customHeight="1" thickBot="1" x14ac:dyDescent="0.3">
      <c r="A12" s="1"/>
      <c r="B12" s="83"/>
      <c r="C12" s="81"/>
      <c r="D12" s="27" t="s">
        <v>24</v>
      </c>
      <c r="E12" s="28">
        <v>0.3</v>
      </c>
      <c r="F12" s="29"/>
      <c r="G12" s="29">
        <f t="shared" si="5"/>
        <v>-1</v>
      </c>
      <c r="H12" s="25"/>
      <c r="I12" s="25"/>
      <c r="J12" s="22"/>
      <c r="K12" s="22"/>
      <c r="L12" s="22"/>
      <c r="M12" s="22"/>
      <c r="N12" s="22"/>
      <c r="O12" s="22"/>
      <c r="P12" s="22"/>
      <c r="Q12" s="22"/>
      <c r="R12" s="22"/>
      <c r="S12" s="22"/>
      <c r="T12" s="22"/>
      <c r="U12" s="22"/>
      <c r="V12" s="30"/>
      <c r="W12" s="30"/>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row>
    <row r="13" spans="1:65" s="26" customFormat="1" ht="30" customHeight="1" thickBot="1" x14ac:dyDescent="0.3">
      <c r="A13" s="9"/>
      <c r="B13" s="84" t="s">
        <v>43</v>
      </c>
      <c r="C13" s="85"/>
      <c r="D13" s="27" t="s">
        <v>23</v>
      </c>
      <c r="E13" s="28">
        <v>1</v>
      </c>
      <c r="F13" s="29">
        <v>45432</v>
      </c>
      <c r="G13" s="29">
        <f t="shared" si="5"/>
        <v>45431</v>
      </c>
      <c r="H13" s="25"/>
      <c r="I13" s="25"/>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row>
    <row r="14" spans="1:65" s="26" customFormat="1" ht="30" customHeight="1" thickBot="1" x14ac:dyDescent="0.3">
      <c r="A14" s="9"/>
      <c r="B14" s="83"/>
      <c r="C14" s="81"/>
      <c r="D14" s="27" t="s">
        <v>24</v>
      </c>
      <c r="E14" s="28"/>
      <c r="F14" s="29"/>
      <c r="G14" s="29">
        <f t="shared" si="5"/>
        <v>-1</v>
      </c>
      <c r="H14" s="25"/>
      <c r="I14" s="25"/>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row>
    <row r="15" spans="1:65" s="26" customFormat="1" ht="30" customHeight="1" thickBot="1" x14ac:dyDescent="0.3">
      <c r="A15" s="9"/>
      <c r="B15" s="84"/>
      <c r="C15" s="85"/>
      <c r="D15" s="27" t="s">
        <v>23</v>
      </c>
      <c r="E15" s="28"/>
      <c r="F15" s="29">
        <v>45439</v>
      </c>
      <c r="G15" s="29">
        <f t="shared" si="5"/>
        <v>45438</v>
      </c>
      <c r="H15" s="25"/>
      <c r="I15" s="25"/>
      <c r="J15" s="22"/>
      <c r="K15" s="22"/>
      <c r="L15" s="22"/>
      <c r="M15" s="22"/>
      <c r="N15" s="22"/>
      <c r="O15" s="22"/>
      <c r="P15" s="22"/>
      <c r="Q15" s="22"/>
      <c r="R15" s="22"/>
      <c r="S15" s="22"/>
      <c r="T15" s="22"/>
      <c r="U15" s="22"/>
      <c r="V15" s="22"/>
      <c r="W15" s="22"/>
      <c r="X15" s="22"/>
      <c r="Y15" s="22"/>
      <c r="Z15" s="30"/>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row>
    <row r="16" spans="1:65" s="26" customFormat="1" ht="30" customHeight="1" thickBot="1" x14ac:dyDescent="0.3">
      <c r="A16" s="9"/>
      <c r="B16" s="83"/>
      <c r="C16" s="81"/>
      <c r="D16" s="27" t="s">
        <v>24</v>
      </c>
      <c r="E16" s="28"/>
      <c r="F16" s="29"/>
      <c r="G16" s="29">
        <f t="shared" si="5"/>
        <v>-1</v>
      </c>
      <c r="H16" s="25"/>
      <c r="I16" s="25"/>
      <c r="J16" s="22"/>
      <c r="K16" s="22"/>
      <c r="L16" s="22"/>
      <c r="M16" s="22"/>
      <c r="N16" s="22"/>
      <c r="O16" s="22"/>
      <c r="P16" s="22"/>
      <c r="Q16" s="22"/>
      <c r="R16" s="22"/>
      <c r="S16" s="22"/>
      <c r="T16" s="22"/>
      <c r="U16" s="22"/>
      <c r="V16" s="22"/>
      <c r="W16" s="22"/>
      <c r="X16" s="22"/>
      <c r="Y16" s="22"/>
      <c r="Z16" s="30"/>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row>
    <row r="17" spans="1:65" s="26" customFormat="1" ht="30" customHeight="1" thickBot="1" x14ac:dyDescent="0.3">
      <c r="A17" s="9"/>
      <c r="B17" s="84"/>
      <c r="C17" s="85"/>
      <c r="D17" s="27" t="s">
        <v>23</v>
      </c>
      <c r="E17" s="28"/>
      <c r="F17" s="29">
        <v>45425</v>
      </c>
      <c r="G17" s="29">
        <f t="shared" si="5"/>
        <v>45424</v>
      </c>
      <c r="H17" s="25"/>
      <c r="I17" s="25"/>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row>
    <row r="18" spans="1:65" s="26" customFormat="1" ht="30" customHeight="1" thickBot="1" x14ac:dyDescent="0.3">
      <c r="A18" s="9"/>
      <c r="B18" s="83"/>
      <c r="C18" s="81"/>
      <c r="D18" s="27" t="s">
        <v>24</v>
      </c>
      <c r="E18" s="28"/>
      <c r="F18" s="29"/>
      <c r="G18" s="29">
        <f t="shared" si="5"/>
        <v>-1</v>
      </c>
      <c r="H18" s="25"/>
      <c r="I18" s="25"/>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row>
    <row r="19" spans="1:65" s="26" customFormat="1" ht="30" customHeight="1" thickBot="1" x14ac:dyDescent="0.3">
      <c r="A19" s="9"/>
      <c r="B19" s="84"/>
      <c r="C19" s="85"/>
      <c r="D19" s="27" t="s">
        <v>23</v>
      </c>
      <c r="E19" s="28"/>
      <c r="F19" s="29">
        <v>45444</v>
      </c>
      <c r="G19" s="29">
        <f>IFERROR(F19+I19+H19-1,"")</f>
        <v>45443</v>
      </c>
      <c r="H19" s="25"/>
      <c r="I19" s="25"/>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row>
    <row r="20" spans="1:65" s="26" customFormat="1" ht="30" customHeight="1" thickBot="1" x14ac:dyDescent="0.3">
      <c r="A20" s="9"/>
      <c r="B20" s="83"/>
      <c r="C20" s="81"/>
      <c r="D20" s="27" t="s">
        <v>24</v>
      </c>
      <c r="E20" s="28"/>
      <c r="F20" s="29"/>
      <c r="G20" s="29">
        <f>IFERROR(F20+I20+H20-1,"")</f>
        <v>-1</v>
      </c>
      <c r="H20" s="25"/>
      <c r="I20" s="25"/>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row>
    <row r="21" spans="1:65" s="26" customFormat="1" ht="30" customHeight="1" thickBot="1" x14ac:dyDescent="0.3">
      <c r="A21" s="9"/>
      <c r="B21" s="78"/>
      <c r="C21" s="79"/>
      <c r="D21" s="27" t="s">
        <v>23</v>
      </c>
      <c r="E21" s="28"/>
      <c r="F21" s="29"/>
      <c r="G21" s="29">
        <f t="shared" ref="G21:G32" si="6">F21+I21+H21-1</f>
        <v>-1</v>
      </c>
      <c r="H21" s="25"/>
      <c r="I21" s="25"/>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row>
    <row r="22" spans="1:65" s="26" customFormat="1" ht="30" customHeight="1" thickBot="1" x14ac:dyDescent="0.3">
      <c r="A22" s="9"/>
      <c r="B22" s="78"/>
      <c r="C22" s="79"/>
      <c r="D22" s="27" t="s">
        <v>24</v>
      </c>
      <c r="E22" s="28"/>
      <c r="F22" s="29"/>
      <c r="G22" s="29">
        <f t="shared" si="6"/>
        <v>-1</v>
      </c>
      <c r="H22" s="25"/>
      <c r="I22" s="25"/>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row>
    <row r="23" spans="1:65" s="26" customFormat="1" ht="30" customHeight="1" thickBot="1" x14ac:dyDescent="0.3">
      <c r="A23" s="9"/>
      <c r="B23" s="78"/>
      <c r="C23" s="79"/>
      <c r="D23" s="27" t="s">
        <v>23</v>
      </c>
      <c r="E23" s="28"/>
      <c r="F23" s="29"/>
      <c r="G23" s="29">
        <f t="shared" si="6"/>
        <v>-1</v>
      </c>
      <c r="H23" s="25"/>
      <c r="I23" s="25"/>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row>
    <row r="24" spans="1:65" s="26" customFormat="1" ht="30" customHeight="1" thickBot="1" x14ac:dyDescent="0.3">
      <c r="A24" s="9"/>
      <c r="B24" s="78"/>
      <c r="C24" s="79"/>
      <c r="D24" s="27" t="s">
        <v>24</v>
      </c>
      <c r="E24" s="28"/>
      <c r="F24" s="29"/>
      <c r="G24" s="29">
        <f t="shared" si="6"/>
        <v>-1</v>
      </c>
      <c r="H24" s="25"/>
      <c r="I24" s="25"/>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row>
    <row r="25" spans="1:65" s="26" customFormat="1" ht="30" customHeight="1" thickBot="1" x14ac:dyDescent="0.3">
      <c r="A25" s="9"/>
      <c r="B25" s="78"/>
      <c r="C25" s="79"/>
      <c r="D25" s="27" t="s">
        <v>23</v>
      </c>
      <c r="E25" s="28"/>
      <c r="F25" s="29"/>
      <c r="G25" s="29">
        <f t="shared" si="6"/>
        <v>-1</v>
      </c>
      <c r="H25" s="25"/>
      <c r="I25" s="25"/>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row>
    <row r="26" spans="1:65" s="26" customFormat="1" ht="30" customHeight="1" thickBot="1" x14ac:dyDescent="0.3">
      <c r="A26" s="9"/>
      <c r="B26" s="78"/>
      <c r="C26" s="79"/>
      <c r="D26" s="27" t="s">
        <v>24</v>
      </c>
      <c r="E26" s="28"/>
      <c r="F26" s="29"/>
      <c r="G26" s="29">
        <f t="shared" si="6"/>
        <v>-1</v>
      </c>
      <c r="H26" s="25"/>
      <c r="I26" s="25"/>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row>
    <row r="27" spans="1:65" s="26" customFormat="1" ht="30" customHeight="1" thickBot="1" x14ac:dyDescent="0.3">
      <c r="A27" s="9"/>
      <c r="B27" s="78"/>
      <c r="C27" s="79"/>
      <c r="D27" s="27" t="s">
        <v>23</v>
      </c>
      <c r="E27" s="28"/>
      <c r="F27" s="29"/>
      <c r="G27" s="29">
        <f t="shared" si="6"/>
        <v>-1</v>
      </c>
      <c r="H27" s="25"/>
      <c r="I27" s="25"/>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row>
    <row r="28" spans="1:65" s="26" customFormat="1" ht="30" customHeight="1" thickBot="1" x14ac:dyDescent="0.3">
      <c r="A28" s="9"/>
      <c r="B28" s="78"/>
      <c r="C28" s="79"/>
      <c r="D28" s="27" t="s">
        <v>24</v>
      </c>
      <c r="E28" s="28"/>
      <c r="F28" s="29"/>
      <c r="G28" s="29">
        <f t="shared" si="6"/>
        <v>-1</v>
      </c>
      <c r="H28" s="25"/>
      <c r="I28" s="25"/>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row>
    <row r="29" spans="1:65" s="26" customFormat="1" ht="30" customHeight="1" thickBot="1" x14ac:dyDescent="0.3">
      <c r="A29" s="9"/>
      <c r="B29" s="78"/>
      <c r="C29" s="79"/>
      <c r="D29" s="27" t="s">
        <v>23</v>
      </c>
      <c r="E29" s="28"/>
      <c r="F29" s="29"/>
      <c r="G29" s="29">
        <f t="shared" si="6"/>
        <v>-1</v>
      </c>
      <c r="H29" s="25"/>
      <c r="I29" s="25"/>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row>
    <row r="30" spans="1:65" s="26" customFormat="1" ht="30" customHeight="1" thickBot="1" x14ac:dyDescent="0.3">
      <c r="A30" s="9"/>
      <c r="B30" s="78"/>
      <c r="C30" s="79"/>
      <c r="D30" s="27" t="s">
        <v>24</v>
      </c>
      <c r="E30" s="28"/>
      <c r="F30" s="29"/>
      <c r="G30" s="29">
        <f t="shared" si="6"/>
        <v>-1</v>
      </c>
      <c r="H30" s="25"/>
      <c r="I30" s="25"/>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row>
    <row r="31" spans="1:65" s="26" customFormat="1" ht="30" customHeight="1" thickBot="1" x14ac:dyDescent="0.3">
      <c r="A31" s="9"/>
      <c r="B31" s="78"/>
      <c r="C31" s="79"/>
      <c r="D31" s="27" t="s">
        <v>23</v>
      </c>
      <c r="E31" s="28"/>
      <c r="F31" s="29"/>
      <c r="G31" s="29">
        <f t="shared" si="6"/>
        <v>-1</v>
      </c>
      <c r="H31" s="25"/>
      <c r="I31" s="25"/>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row>
    <row r="32" spans="1:65" s="26" customFormat="1" ht="30" customHeight="1" thickBot="1" x14ac:dyDescent="0.3">
      <c r="A32" s="9"/>
      <c r="B32" s="78"/>
      <c r="C32" s="79"/>
      <c r="D32" s="27" t="s">
        <v>24</v>
      </c>
      <c r="E32" s="28"/>
      <c r="F32" s="29"/>
      <c r="G32" s="29">
        <f t="shared" si="6"/>
        <v>-1</v>
      </c>
      <c r="H32" s="25"/>
      <c r="I32" s="25"/>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row>
    <row r="33" spans="1:65" s="26" customFormat="1" ht="30" customHeight="1" thickBot="1" x14ac:dyDescent="0.3">
      <c r="A33" s="9" t="s">
        <v>11</v>
      </c>
      <c r="B33" s="31"/>
      <c r="C33" s="32"/>
      <c r="D33" s="32"/>
      <c r="E33" s="33"/>
      <c r="F33" s="33"/>
      <c r="G33" s="33"/>
      <c r="H33" s="25"/>
      <c r="I33" s="25"/>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row>
    <row r="34" spans="1:65" s="26" customFormat="1" ht="30" customHeight="1" thickBot="1" x14ac:dyDescent="0.3">
      <c r="A34" s="1" t="s">
        <v>10</v>
      </c>
      <c r="B34" s="34" t="s">
        <v>0</v>
      </c>
      <c r="C34" s="35"/>
      <c r="D34" s="35"/>
      <c r="E34" s="36"/>
      <c r="F34" s="37"/>
      <c r="G34" s="38"/>
      <c r="H34" s="39"/>
      <c r="I34" s="39"/>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row>
    <row r="35" spans="1:65" ht="30" customHeight="1" x14ac:dyDescent="0.25">
      <c r="H35" s="41"/>
    </row>
    <row r="36" spans="1:65" ht="30" customHeight="1" x14ac:dyDescent="0.25">
      <c r="C36" s="42"/>
      <c r="D36" s="42"/>
      <c r="G36" s="43"/>
    </row>
    <row r="37" spans="1:65" ht="30" customHeight="1" x14ac:dyDescent="0.25">
      <c r="C37" s="44"/>
      <c r="D37" s="44"/>
    </row>
  </sheetData>
  <mergeCells count="35">
    <mergeCell ref="X4:AD4"/>
    <mergeCell ref="C3:E3"/>
    <mergeCell ref="F3:G3"/>
    <mergeCell ref="C4:E4"/>
    <mergeCell ref="J4:P4"/>
    <mergeCell ref="Q4:W4"/>
    <mergeCell ref="AE4:AK4"/>
    <mergeCell ref="AL4:AR4"/>
    <mergeCell ref="AS4:AY4"/>
    <mergeCell ref="AZ4:BF4"/>
    <mergeCell ref="BG4:BM4"/>
    <mergeCell ref="B21:B22"/>
    <mergeCell ref="C21:C22"/>
    <mergeCell ref="B11:B12"/>
    <mergeCell ref="C11:C12"/>
    <mergeCell ref="B13:B14"/>
    <mergeCell ref="C13:C14"/>
    <mergeCell ref="B15:B16"/>
    <mergeCell ref="C15:C16"/>
    <mergeCell ref="B29:B30"/>
    <mergeCell ref="C29:C30"/>
    <mergeCell ref="B31:B32"/>
    <mergeCell ref="C31:C32"/>
    <mergeCell ref="C9:C10"/>
    <mergeCell ref="B9:B10"/>
    <mergeCell ref="B23:B24"/>
    <mergeCell ref="C23:C24"/>
    <mergeCell ref="B25:B26"/>
    <mergeCell ref="C25:C26"/>
    <mergeCell ref="B27:B28"/>
    <mergeCell ref="C27:C28"/>
    <mergeCell ref="B17:B18"/>
    <mergeCell ref="C17:C18"/>
    <mergeCell ref="B19:B20"/>
    <mergeCell ref="C19:C20"/>
  </mergeCells>
  <conditionalFormatting sqref="E7:E8 E33:E34 F33:G33">
    <cfRule type="dataBar" priority="29">
      <dataBar>
        <cfvo type="num" val="0"/>
        <cfvo type="num" val="1"/>
        <color theme="0" tint="-0.249977111117893"/>
      </dataBar>
      <extLst>
        <ext xmlns:x14="http://schemas.microsoft.com/office/spreadsheetml/2009/9/main" uri="{B025F937-C7B1-47D3-B67F-A62EFF666E3E}">
          <x14:id>{4CF37E71-7EF4-4ACA-B1C7-8B0913007763}</x14:id>
        </ext>
      </extLst>
    </cfRule>
  </conditionalFormatting>
  <conditionalFormatting sqref="J5:BM18 J33:BM34">
    <cfRule type="expression" dxfId="47" priority="24">
      <formula>AND(task_end&gt;=J$5,task_start&lt;K$5,task_plan="Plan")</formula>
    </cfRule>
    <cfRule type="expression" dxfId="46" priority="27">
      <formula>AND(TODAY()&gt;=J$5,TODAY()&lt;K$5)</formula>
    </cfRule>
    <cfRule type="expression" dxfId="45" priority="31">
      <formula>AND(task_start&lt;=J$5,ROUNDDOWN((task_end-task_start+1)*task_progress,0)+task_start-1&gt;=J$5)</formula>
    </cfRule>
  </conditionalFormatting>
  <conditionalFormatting sqref="E9:E10">
    <cfRule type="dataBar" priority="28">
      <dataBar>
        <cfvo type="num" val="0"/>
        <cfvo type="num" val="1"/>
        <color theme="0" tint="-0.249977111117893"/>
      </dataBar>
      <extLst>
        <ext xmlns:x14="http://schemas.microsoft.com/office/spreadsheetml/2009/9/main" uri="{B025F937-C7B1-47D3-B67F-A62EFF666E3E}">
          <x14:id>{4560B138-0035-4CF2-8CE7-DAA2D9721F75}</x14:id>
        </ext>
      </extLst>
    </cfRule>
  </conditionalFormatting>
  <conditionalFormatting sqref="E11:E18">
    <cfRule type="dataBar" priority="26">
      <dataBar>
        <cfvo type="num" val="0"/>
        <cfvo type="num" val="1"/>
        <color theme="0" tint="-0.249977111117893"/>
      </dataBar>
      <extLst>
        <ext xmlns:x14="http://schemas.microsoft.com/office/spreadsheetml/2009/9/main" uri="{B025F937-C7B1-47D3-B67F-A62EFF666E3E}">
          <x14:id>{256D7BC3-3BCB-44BD-9BEA-F6702CAFE783}</x14:id>
        </ext>
      </extLst>
    </cfRule>
  </conditionalFormatting>
  <conditionalFormatting sqref="J8:BM18 J33:BM34">
    <cfRule type="expression" dxfId="44" priority="23">
      <formula>AND(task_end&gt;=J$5,task_start&lt;K$5,task_plan="Act",task_progress&gt;0)</formula>
    </cfRule>
  </conditionalFormatting>
  <conditionalFormatting sqref="C17:BM18 B33:BM34 B8:BM16">
    <cfRule type="expression" dxfId="43" priority="30" stopIfTrue="1">
      <formula>task_plan="Act"</formula>
    </cfRule>
  </conditionalFormatting>
  <conditionalFormatting sqref="J19:BM20">
    <cfRule type="expression" dxfId="42" priority="17">
      <formula>AND(TODAY()&gt;=J$5,TODAY()&lt;K$5)</formula>
    </cfRule>
    <cfRule type="expression" dxfId="41" priority="20">
      <formula>AND(task_end&gt;=J$5,task_start&lt;K$5,task_plan="Plan")</formula>
    </cfRule>
    <cfRule type="expression" dxfId="40" priority="22">
      <formula>AND(task_start&lt;=J$5,ROUNDDOWN((task_end-task_start+1)*task_progress,0)+task_start-1&gt;=J$5)</formula>
    </cfRule>
  </conditionalFormatting>
  <conditionalFormatting sqref="E19:E20">
    <cfRule type="dataBar" priority="19">
      <dataBar>
        <cfvo type="num" val="0"/>
        <cfvo type="num" val="1"/>
        <color theme="0" tint="-0.249977111117893"/>
      </dataBar>
      <extLst>
        <ext xmlns:x14="http://schemas.microsoft.com/office/spreadsheetml/2009/9/main" uri="{B025F937-C7B1-47D3-B67F-A62EFF666E3E}">
          <x14:id>{B4D1A7AA-311C-462D-9567-616625B4F703}</x14:id>
        </ext>
      </extLst>
    </cfRule>
  </conditionalFormatting>
  <conditionalFormatting sqref="J19:BM20">
    <cfRule type="expression" dxfId="39" priority="18">
      <formula>AND(task_end&gt;=J$5,task_start&lt;K$5,task_plan="Act",task_progress&gt;0)</formula>
    </cfRule>
  </conditionalFormatting>
  <conditionalFormatting sqref="C19:BM20">
    <cfRule type="expression" dxfId="38" priority="21" stopIfTrue="1">
      <formula>task_plan="Act"</formula>
    </cfRule>
  </conditionalFormatting>
  <conditionalFormatting sqref="B17:B18">
    <cfRule type="expression" dxfId="37" priority="16" stopIfTrue="1">
      <formula>task_plan="Act"</formula>
    </cfRule>
  </conditionalFormatting>
  <conditionalFormatting sqref="B19:B20">
    <cfRule type="expression" dxfId="36" priority="15" stopIfTrue="1">
      <formula>task_plan="Act"</formula>
    </cfRule>
  </conditionalFormatting>
  <conditionalFormatting sqref="J21:BM30">
    <cfRule type="expression" dxfId="35" priority="9">
      <formula>AND(TODAY()&gt;=J$5,TODAY()&lt;K$5)</formula>
    </cfRule>
    <cfRule type="expression" dxfId="34" priority="12">
      <formula>AND(task_end&gt;=J$5,task_start&lt;K$5,task_plan="Plan")</formula>
    </cfRule>
    <cfRule type="expression" dxfId="33" priority="14">
      <formula>AND(task_start&lt;=J$5,ROUNDDOWN((task_end-task_start+1)*task_progress,0)+task_start-1&gt;=J$5)</formula>
    </cfRule>
  </conditionalFormatting>
  <conditionalFormatting sqref="E21:E30">
    <cfRule type="dataBar" priority="11">
      <dataBar>
        <cfvo type="num" val="0"/>
        <cfvo type="num" val="1"/>
        <color theme="0" tint="-0.249977111117893"/>
      </dataBar>
      <extLst>
        <ext xmlns:x14="http://schemas.microsoft.com/office/spreadsheetml/2009/9/main" uri="{B025F937-C7B1-47D3-B67F-A62EFF666E3E}">
          <x14:id>{0A7B4BAC-860D-4950-9664-6AA4223C56EE}</x14:id>
        </ext>
      </extLst>
    </cfRule>
  </conditionalFormatting>
  <conditionalFormatting sqref="J21:BM30">
    <cfRule type="expression" dxfId="32" priority="10">
      <formula>AND(task_end&gt;=J$5,task_start&lt;K$5,task_plan="Act",task_progress&gt;0)</formula>
    </cfRule>
  </conditionalFormatting>
  <conditionalFormatting sqref="C21:BM30">
    <cfRule type="expression" dxfId="31" priority="13" stopIfTrue="1">
      <formula>task_plan="Act"</formula>
    </cfRule>
  </conditionalFormatting>
  <conditionalFormatting sqref="B21:B30">
    <cfRule type="expression" dxfId="30" priority="8" stopIfTrue="1">
      <formula>task_plan="Act"</formula>
    </cfRule>
  </conditionalFormatting>
  <conditionalFormatting sqref="J31:BM32">
    <cfRule type="expression" dxfId="29" priority="2">
      <formula>AND(TODAY()&gt;=J$5,TODAY()&lt;K$5)</formula>
    </cfRule>
    <cfRule type="expression" dxfId="28" priority="5">
      <formula>AND(task_end&gt;=J$5,task_start&lt;K$5,task_plan="Plan")</formula>
    </cfRule>
    <cfRule type="expression" dxfId="27" priority="7">
      <formula>AND(task_start&lt;=J$5,ROUNDDOWN((task_end-task_start+1)*task_progress,0)+task_start-1&gt;=J$5)</formula>
    </cfRule>
  </conditionalFormatting>
  <conditionalFormatting sqref="E31:E32">
    <cfRule type="dataBar" priority="4">
      <dataBar>
        <cfvo type="num" val="0"/>
        <cfvo type="num" val="1"/>
        <color theme="0" tint="-0.249977111117893"/>
      </dataBar>
      <extLst>
        <ext xmlns:x14="http://schemas.microsoft.com/office/spreadsheetml/2009/9/main" uri="{B025F937-C7B1-47D3-B67F-A62EFF666E3E}">
          <x14:id>{3978306F-2C07-4F24-B44B-270696BEFA4D}</x14:id>
        </ext>
      </extLst>
    </cfRule>
  </conditionalFormatting>
  <conditionalFormatting sqref="J31:BM32">
    <cfRule type="expression" dxfId="26" priority="3">
      <formula>AND(task_end&gt;=J$5,task_start&lt;K$5,task_plan="Act",task_progress&gt;0)</formula>
    </cfRule>
  </conditionalFormatting>
  <conditionalFormatting sqref="C31:BM32">
    <cfRule type="expression" dxfId="25" priority="6" stopIfTrue="1">
      <formula>task_plan="Act"</formula>
    </cfRule>
  </conditionalFormatting>
  <conditionalFormatting sqref="B31:B32">
    <cfRule type="expression" dxfId="24" priority="1" stopIfTrue="1">
      <formula>task_plan="Act"</formula>
    </cfRule>
  </conditionalFormatting>
  <dataValidations count="1">
    <dataValidation type="whole" operator="greaterThanOrEqual" allowBlank="1" promptTitle="Display Week" prompt="Changing this number will scroll the Gantt Chart view." sqref="B1:C9 B23:C27 B29:C31 B33:C1048576 B11:C21 A1:A1048576 D1:XFD1048576" xr:uid="{5E1CA7FD-8D3F-49FD-9EC5-C5227CA0376D}">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4CF37E71-7EF4-4ACA-B1C7-8B0913007763}">
            <x14:dataBar minLength="0" maxLength="100" gradient="0">
              <x14:cfvo type="num">
                <xm:f>0</xm:f>
              </x14:cfvo>
              <x14:cfvo type="num">
                <xm:f>1</xm:f>
              </x14:cfvo>
              <x14:negativeFillColor rgb="FFFF0000"/>
              <x14:axisColor rgb="FF000000"/>
            </x14:dataBar>
          </x14:cfRule>
          <xm:sqref>E7:E8 E33:E34 F33:G33</xm:sqref>
        </x14:conditionalFormatting>
        <x14:conditionalFormatting xmlns:xm="http://schemas.microsoft.com/office/excel/2006/main">
          <x14:cfRule type="dataBar" id="{4560B138-0035-4CF2-8CE7-DAA2D9721F75}">
            <x14:dataBar minLength="0" maxLength="100" gradient="0">
              <x14:cfvo type="num">
                <xm:f>0</xm:f>
              </x14:cfvo>
              <x14:cfvo type="num">
                <xm:f>1</xm:f>
              </x14:cfvo>
              <x14:negativeFillColor rgb="FFFF0000"/>
              <x14:axisColor rgb="FF000000"/>
            </x14:dataBar>
          </x14:cfRule>
          <xm:sqref>E9:E10</xm:sqref>
        </x14:conditionalFormatting>
        <x14:conditionalFormatting xmlns:xm="http://schemas.microsoft.com/office/excel/2006/main">
          <x14:cfRule type="dataBar" id="{256D7BC3-3BCB-44BD-9BEA-F6702CAFE783}">
            <x14:dataBar minLength="0" maxLength="100" gradient="0">
              <x14:cfvo type="num">
                <xm:f>0</xm:f>
              </x14:cfvo>
              <x14:cfvo type="num">
                <xm:f>1</xm:f>
              </x14:cfvo>
              <x14:negativeFillColor rgb="FFFF0000"/>
              <x14:axisColor rgb="FF000000"/>
            </x14:dataBar>
          </x14:cfRule>
          <xm:sqref>E11:E18</xm:sqref>
        </x14:conditionalFormatting>
        <x14:conditionalFormatting xmlns:xm="http://schemas.microsoft.com/office/excel/2006/main">
          <x14:cfRule type="dataBar" id="{B4D1A7AA-311C-462D-9567-616625B4F703}">
            <x14:dataBar minLength="0" maxLength="100" gradient="0">
              <x14:cfvo type="num">
                <xm:f>0</xm:f>
              </x14:cfvo>
              <x14:cfvo type="num">
                <xm:f>1</xm:f>
              </x14:cfvo>
              <x14:negativeFillColor rgb="FFFF0000"/>
              <x14:axisColor rgb="FF000000"/>
            </x14:dataBar>
          </x14:cfRule>
          <xm:sqref>E19:E20</xm:sqref>
        </x14:conditionalFormatting>
        <x14:conditionalFormatting xmlns:xm="http://schemas.microsoft.com/office/excel/2006/main">
          <x14:cfRule type="dataBar" id="{0A7B4BAC-860D-4950-9664-6AA4223C56EE}">
            <x14:dataBar minLength="0" maxLength="100" gradient="0">
              <x14:cfvo type="num">
                <xm:f>0</xm:f>
              </x14:cfvo>
              <x14:cfvo type="num">
                <xm:f>1</xm:f>
              </x14:cfvo>
              <x14:negativeFillColor rgb="FFFF0000"/>
              <x14:axisColor rgb="FF000000"/>
            </x14:dataBar>
          </x14:cfRule>
          <xm:sqref>E21:E30</xm:sqref>
        </x14:conditionalFormatting>
        <x14:conditionalFormatting xmlns:xm="http://schemas.microsoft.com/office/excel/2006/main">
          <x14:cfRule type="dataBar" id="{3978306F-2C07-4F24-B44B-270696BEFA4D}">
            <x14:dataBar minLength="0" maxLength="100" gradient="0">
              <x14:cfvo type="num">
                <xm:f>0</xm:f>
              </x14:cfvo>
              <x14:cfvo type="num">
                <xm:f>1</xm:f>
              </x14:cfvo>
              <x14:negativeFillColor rgb="FFFF0000"/>
              <x14:axisColor rgb="FF000000"/>
            </x14:dataBar>
          </x14:cfRule>
          <xm:sqref>E31:E32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38"/>
  <sheetViews>
    <sheetView showGridLines="0" showRuler="0" zoomScale="85" zoomScaleNormal="85" zoomScalePageLayoutView="70" workbookViewId="0">
      <pane ySplit="6" topLeftCell="A7" activePane="bottomLeft" state="frozen"/>
      <selection pane="bottomLeft" activeCell="AR3" sqref="AR3"/>
    </sheetView>
  </sheetViews>
  <sheetFormatPr defaultColWidth="8.85546875" defaultRowHeight="30" customHeight="1" x14ac:dyDescent="0.25"/>
  <cols>
    <col min="1" max="1" width="2.5703125" style="9" customWidth="1"/>
    <col min="2" max="2" width="36" style="7" customWidth="1"/>
    <col min="3" max="3" width="15.85546875" style="7" customWidth="1"/>
    <col min="4" max="4" width="13.5703125" style="7" customWidth="1"/>
    <col min="5" max="5" width="10.5703125" style="7" customWidth="1"/>
    <col min="6" max="6" width="10.42578125" style="11" customWidth="1"/>
    <col min="7" max="7" width="10.42578125" style="7" customWidth="1"/>
    <col min="8" max="8" width="6.140625" style="7" customWidth="1"/>
    <col min="9" max="9" width="8.5703125" style="7" customWidth="1"/>
    <col min="10" max="65" width="2.5703125" style="7" customWidth="1"/>
    <col min="66" max="69" width="8.85546875" style="7"/>
    <col min="70" max="71" width="10.42578125" style="7"/>
    <col min="72" max="16384" width="8.85546875" style="7"/>
  </cols>
  <sheetData>
    <row r="1" spans="1:65" ht="30" customHeight="1" x14ac:dyDescent="0.35">
      <c r="A1" s="1" t="s">
        <v>12</v>
      </c>
      <c r="B1" s="2" t="s">
        <v>26</v>
      </c>
      <c r="C1" s="3"/>
      <c r="D1" s="3"/>
      <c r="E1" s="4"/>
      <c r="F1" s="5"/>
      <c r="G1" s="6"/>
      <c r="I1" s="4"/>
      <c r="J1" s="8"/>
      <c r="BI1" s="57" t="s">
        <v>23</v>
      </c>
      <c r="BJ1" s="56"/>
      <c r="BK1" s="56"/>
      <c r="BL1" s="56"/>
      <c r="BM1" s="56"/>
    </row>
    <row r="2" spans="1:65" ht="30" customHeight="1" x14ac:dyDescent="0.3">
      <c r="A2" s="9" t="s">
        <v>9</v>
      </c>
      <c r="B2" s="10" t="s">
        <v>21</v>
      </c>
      <c r="J2" s="12"/>
      <c r="BI2" s="57" t="s">
        <v>25</v>
      </c>
      <c r="BJ2" s="58"/>
      <c r="BK2" s="58"/>
      <c r="BL2" s="58"/>
      <c r="BM2" s="58"/>
    </row>
    <row r="3" spans="1:65" ht="30" customHeight="1" x14ac:dyDescent="0.25">
      <c r="A3" s="9" t="s">
        <v>18</v>
      </c>
      <c r="B3" s="13"/>
      <c r="C3" s="89" t="s">
        <v>1</v>
      </c>
      <c r="D3" s="89"/>
      <c r="E3" s="90"/>
      <c r="F3" s="91">
        <f>F9</f>
        <v>45425</v>
      </c>
      <c r="G3" s="91"/>
    </row>
    <row r="4" spans="1:65" ht="30" customHeight="1" x14ac:dyDescent="0.25">
      <c r="A4" s="1" t="s">
        <v>13</v>
      </c>
      <c r="C4" s="89" t="s">
        <v>7</v>
      </c>
      <c r="D4" s="89"/>
      <c r="E4" s="90"/>
      <c r="F4" s="14">
        <v>1</v>
      </c>
      <c r="J4" s="86">
        <f>J5</f>
        <v>45425</v>
      </c>
      <c r="K4" s="87"/>
      <c r="L4" s="87"/>
      <c r="M4" s="87"/>
      <c r="N4" s="87"/>
      <c r="O4" s="87"/>
      <c r="P4" s="88"/>
      <c r="Q4" s="86">
        <f>Q5</f>
        <v>45432</v>
      </c>
      <c r="R4" s="87"/>
      <c r="S4" s="87"/>
      <c r="T4" s="87"/>
      <c r="U4" s="87"/>
      <c r="V4" s="87"/>
      <c r="W4" s="88"/>
      <c r="X4" s="86">
        <f>X5</f>
        <v>45439</v>
      </c>
      <c r="Y4" s="87"/>
      <c r="Z4" s="87"/>
      <c r="AA4" s="87"/>
      <c r="AB4" s="87"/>
      <c r="AC4" s="87"/>
      <c r="AD4" s="88"/>
      <c r="AE4" s="86">
        <f>AE5</f>
        <v>45446</v>
      </c>
      <c r="AF4" s="87"/>
      <c r="AG4" s="87"/>
      <c r="AH4" s="87"/>
      <c r="AI4" s="87"/>
      <c r="AJ4" s="87"/>
      <c r="AK4" s="88"/>
      <c r="AL4" s="86">
        <f>AL5</f>
        <v>45453</v>
      </c>
      <c r="AM4" s="87"/>
      <c r="AN4" s="87"/>
      <c r="AO4" s="87"/>
      <c r="AP4" s="87"/>
      <c r="AQ4" s="87"/>
      <c r="AR4" s="88"/>
      <c r="AS4" s="86">
        <f>AS5</f>
        <v>45460</v>
      </c>
      <c r="AT4" s="87"/>
      <c r="AU4" s="87"/>
      <c r="AV4" s="87"/>
      <c r="AW4" s="87"/>
      <c r="AX4" s="87"/>
      <c r="AY4" s="88"/>
      <c r="AZ4" s="86">
        <f>AZ5</f>
        <v>45467</v>
      </c>
      <c r="BA4" s="87"/>
      <c r="BB4" s="87"/>
      <c r="BC4" s="87"/>
      <c r="BD4" s="87"/>
      <c r="BE4" s="87"/>
      <c r="BF4" s="88"/>
      <c r="BG4" s="86">
        <f>BG5</f>
        <v>45474</v>
      </c>
      <c r="BH4" s="87"/>
      <c r="BI4" s="87"/>
      <c r="BJ4" s="87"/>
      <c r="BK4" s="87"/>
      <c r="BL4" s="87"/>
      <c r="BM4" s="88"/>
    </row>
    <row r="5" spans="1:65" ht="15" customHeight="1" x14ac:dyDescent="0.25">
      <c r="A5" s="1" t="s">
        <v>14</v>
      </c>
      <c r="B5" s="15"/>
      <c r="C5" s="15"/>
      <c r="D5" s="15"/>
      <c r="E5" s="15"/>
      <c r="F5" s="15"/>
      <c r="G5" s="15"/>
      <c r="H5" s="15"/>
      <c r="J5" s="16">
        <f>Project_Start-WEEKDAY(Project_Start,1)+2+7*(Display_Week-1)</f>
        <v>45425</v>
      </c>
      <c r="K5" s="17">
        <f>J5+1</f>
        <v>45426</v>
      </c>
      <c r="L5" s="17">
        <f t="shared" ref="L5:AY5" si="0">K5+1</f>
        <v>45427</v>
      </c>
      <c r="M5" s="17">
        <f t="shared" si="0"/>
        <v>45428</v>
      </c>
      <c r="N5" s="17">
        <f t="shared" si="0"/>
        <v>45429</v>
      </c>
      <c r="O5" s="17">
        <f t="shared" si="0"/>
        <v>45430</v>
      </c>
      <c r="P5" s="18">
        <f t="shared" si="0"/>
        <v>45431</v>
      </c>
      <c r="Q5" s="16">
        <f>P5+1</f>
        <v>45432</v>
      </c>
      <c r="R5" s="17">
        <f>Q5+1</f>
        <v>45433</v>
      </c>
      <c r="S5" s="17">
        <f t="shared" si="0"/>
        <v>45434</v>
      </c>
      <c r="T5" s="17">
        <f t="shared" si="0"/>
        <v>45435</v>
      </c>
      <c r="U5" s="17">
        <f t="shared" si="0"/>
        <v>45436</v>
      </c>
      <c r="V5" s="17">
        <f t="shared" si="0"/>
        <v>45437</v>
      </c>
      <c r="W5" s="18">
        <f t="shared" si="0"/>
        <v>45438</v>
      </c>
      <c r="X5" s="16">
        <f>W5+1</f>
        <v>45439</v>
      </c>
      <c r="Y5" s="17">
        <f>X5+1</f>
        <v>45440</v>
      </c>
      <c r="Z5" s="17">
        <f t="shared" si="0"/>
        <v>45441</v>
      </c>
      <c r="AA5" s="17">
        <f t="shared" si="0"/>
        <v>45442</v>
      </c>
      <c r="AB5" s="17">
        <f t="shared" si="0"/>
        <v>45443</v>
      </c>
      <c r="AC5" s="17">
        <f t="shared" si="0"/>
        <v>45444</v>
      </c>
      <c r="AD5" s="18">
        <f t="shared" si="0"/>
        <v>45445</v>
      </c>
      <c r="AE5" s="16">
        <f>AD5+1</f>
        <v>45446</v>
      </c>
      <c r="AF5" s="17">
        <f>AE5+1</f>
        <v>45447</v>
      </c>
      <c r="AG5" s="17">
        <f t="shared" si="0"/>
        <v>45448</v>
      </c>
      <c r="AH5" s="17">
        <f t="shared" si="0"/>
        <v>45449</v>
      </c>
      <c r="AI5" s="17">
        <f t="shared" si="0"/>
        <v>45450</v>
      </c>
      <c r="AJ5" s="17">
        <f t="shared" si="0"/>
        <v>45451</v>
      </c>
      <c r="AK5" s="18">
        <f t="shared" si="0"/>
        <v>45452</v>
      </c>
      <c r="AL5" s="16">
        <f>AK5+1</f>
        <v>45453</v>
      </c>
      <c r="AM5" s="17">
        <f>AL5+1</f>
        <v>45454</v>
      </c>
      <c r="AN5" s="17">
        <f t="shared" si="0"/>
        <v>45455</v>
      </c>
      <c r="AO5" s="17">
        <f t="shared" si="0"/>
        <v>45456</v>
      </c>
      <c r="AP5" s="17">
        <f t="shared" si="0"/>
        <v>45457</v>
      </c>
      <c r="AQ5" s="17">
        <f t="shared" si="0"/>
        <v>45458</v>
      </c>
      <c r="AR5" s="18">
        <f t="shared" si="0"/>
        <v>45459</v>
      </c>
      <c r="AS5" s="16">
        <f>AR5+1</f>
        <v>45460</v>
      </c>
      <c r="AT5" s="17">
        <f>AS5+1</f>
        <v>45461</v>
      </c>
      <c r="AU5" s="17">
        <f t="shared" si="0"/>
        <v>45462</v>
      </c>
      <c r="AV5" s="17">
        <f t="shared" si="0"/>
        <v>45463</v>
      </c>
      <c r="AW5" s="17">
        <f t="shared" si="0"/>
        <v>45464</v>
      </c>
      <c r="AX5" s="17">
        <f t="shared" si="0"/>
        <v>45465</v>
      </c>
      <c r="AY5" s="18">
        <f t="shared" si="0"/>
        <v>45466</v>
      </c>
      <c r="AZ5" s="16">
        <f>AY5+1</f>
        <v>45467</v>
      </c>
      <c r="BA5" s="17">
        <f>AZ5+1</f>
        <v>45468</v>
      </c>
      <c r="BB5" s="17">
        <f t="shared" ref="BB5:BF5" si="1">BA5+1</f>
        <v>45469</v>
      </c>
      <c r="BC5" s="17">
        <f t="shared" si="1"/>
        <v>45470</v>
      </c>
      <c r="BD5" s="17">
        <f t="shared" si="1"/>
        <v>45471</v>
      </c>
      <c r="BE5" s="17">
        <f t="shared" si="1"/>
        <v>45472</v>
      </c>
      <c r="BF5" s="18">
        <f t="shared" si="1"/>
        <v>45473</v>
      </c>
      <c r="BG5" s="16">
        <f>BF5+1</f>
        <v>45474</v>
      </c>
      <c r="BH5" s="17">
        <f>BG5+1</f>
        <v>45475</v>
      </c>
      <c r="BI5" s="17">
        <f t="shared" ref="BI5:BM5" si="2">BH5+1</f>
        <v>45476</v>
      </c>
      <c r="BJ5" s="17">
        <f t="shared" si="2"/>
        <v>45477</v>
      </c>
      <c r="BK5" s="17">
        <f t="shared" si="2"/>
        <v>45478</v>
      </c>
      <c r="BL5" s="17">
        <f t="shared" si="2"/>
        <v>45479</v>
      </c>
      <c r="BM5" s="18">
        <f t="shared" si="2"/>
        <v>45480</v>
      </c>
    </row>
    <row r="6" spans="1:65" ht="30" customHeight="1" thickBot="1" x14ac:dyDescent="0.3">
      <c r="A6" s="1" t="s">
        <v>15</v>
      </c>
      <c r="B6" s="59" t="s">
        <v>8</v>
      </c>
      <c r="C6" s="60" t="s">
        <v>3</v>
      </c>
      <c r="D6" s="60"/>
      <c r="E6" s="60" t="s">
        <v>2</v>
      </c>
      <c r="F6" s="60" t="s">
        <v>4</v>
      </c>
      <c r="G6" s="19" t="s">
        <v>5</v>
      </c>
      <c r="H6" s="60" t="s">
        <v>22</v>
      </c>
      <c r="I6" s="60" t="s">
        <v>6</v>
      </c>
      <c r="J6" s="20" t="str">
        <f t="shared" ref="J6" si="3">LEFT(TEXT(J5,"ddd"),1)</f>
        <v>M</v>
      </c>
      <c r="K6" s="20" t="str">
        <f t="shared" ref="K6:AS6" si="4">LEFT(TEXT(K5,"ddd"),1)</f>
        <v>T</v>
      </c>
      <c r="L6" s="20" t="str">
        <f t="shared" si="4"/>
        <v>W</v>
      </c>
      <c r="M6" s="20" t="str">
        <f t="shared" si="4"/>
        <v>T</v>
      </c>
      <c r="N6" s="20" t="str">
        <f t="shared" si="4"/>
        <v>F</v>
      </c>
      <c r="O6" s="20" t="str">
        <f t="shared" si="4"/>
        <v>S</v>
      </c>
      <c r="P6" s="20" t="str">
        <f t="shared" si="4"/>
        <v>S</v>
      </c>
      <c r="Q6" s="20" t="str">
        <f t="shared" si="4"/>
        <v>M</v>
      </c>
      <c r="R6" s="20" t="str">
        <f t="shared" si="4"/>
        <v>T</v>
      </c>
      <c r="S6" s="20" t="str">
        <f t="shared" si="4"/>
        <v>W</v>
      </c>
      <c r="T6" s="20" t="str">
        <f t="shared" si="4"/>
        <v>T</v>
      </c>
      <c r="U6" s="20" t="str">
        <f t="shared" si="4"/>
        <v>F</v>
      </c>
      <c r="V6" s="20" t="str">
        <f t="shared" si="4"/>
        <v>S</v>
      </c>
      <c r="W6" s="20" t="str">
        <f t="shared" si="4"/>
        <v>S</v>
      </c>
      <c r="X6" s="20" t="str">
        <f t="shared" si="4"/>
        <v>M</v>
      </c>
      <c r="Y6" s="20" t="str">
        <f t="shared" si="4"/>
        <v>T</v>
      </c>
      <c r="Z6" s="20" t="str">
        <f t="shared" si="4"/>
        <v>W</v>
      </c>
      <c r="AA6" s="20" t="str">
        <f t="shared" si="4"/>
        <v>T</v>
      </c>
      <c r="AB6" s="20" t="str">
        <f t="shared" si="4"/>
        <v>F</v>
      </c>
      <c r="AC6" s="20" t="str">
        <f t="shared" si="4"/>
        <v>S</v>
      </c>
      <c r="AD6" s="20" t="str">
        <f t="shared" si="4"/>
        <v>S</v>
      </c>
      <c r="AE6" s="20" t="str">
        <f t="shared" si="4"/>
        <v>M</v>
      </c>
      <c r="AF6" s="20" t="str">
        <f t="shared" si="4"/>
        <v>T</v>
      </c>
      <c r="AG6" s="20" t="str">
        <f t="shared" si="4"/>
        <v>W</v>
      </c>
      <c r="AH6" s="20" t="str">
        <f t="shared" si="4"/>
        <v>T</v>
      </c>
      <c r="AI6" s="20" t="str">
        <f t="shared" si="4"/>
        <v>F</v>
      </c>
      <c r="AJ6" s="20" t="str">
        <f t="shared" si="4"/>
        <v>S</v>
      </c>
      <c r="AK6" s="20" t="str">
        <f t="shared" si="4"/>
        <v>S</v>
      </c>
      <c r="AL6" s="20" t="str">
        <f t="shared" si="4"/>
        <v>M</v>
      </c>
      <c r="AM6" s="20" t="str">
        <f t="shared" si="4"/>
        <v>T</v>
      </c>
      <c r="AN6" s="20" t="str">
        <f t="shared" si="4"/>
        <v>W</v>
      </c>
      <c r="AO6" s="20" t="str">
        <f t="shared" si="4"/>
        <v>T</v>
      </c>
      <c r="AP6" s="20" t="str">
        <f t="shared" si="4"/>
        <v>F</v>
      </c>
      <c r="AQ6" s="20" t="str">
        <f t="shared" si="4"/>
        <v>S</v>
      </c>
      <c r="AR6" s="20" t="str">
        <f t="shared" si="4"/>
        <v>S</v>
      </c>
      <c r="AS6" s="20" t="str">
        <f t="shared" si="4"/>
        <v>M</v>
      </c>
      <c r="AT6" s="20" t="str">
        <f t="shared" ref="AT6:BM6" si="5">LEFT(TEXT(AT5,"ddd"),1)</f>
        <v>T</v>
      </c>
      <c r="AU6" s="20" t="str">
        <f t="shared" si="5"/>
        <v>W</v>
      </c>
      <c r="AV6" s="20" t="str">
        <f t="shared" si="5"/>
        <v>T</v>
      </c>
      <c r="AW6" s="20" t="str">
        <f t="shared" si="5"/>
        <v>F</v>
      </c>
      <c r="AX6" s="20" t="str">
        <f t="shared" si="5"/>
        <v>S</v>
      </c>
      <c r="AY6" s="20" t="str">
        <f t="shared" si="5"/>
        <v>S</v>
      </c>
      <c r="AZ6" s="20" t="str">
        <f t="shared" si="5"/>
        <v>M</v>
      </c>
      <c r="BA6" s="20" t="str">
        <f t="shared" si="5"/>
        <v>T</v>
      </c>
      <c r="BB6" s="20" t="str">
        <f t="shared" si="5"/>
        <v>W</v>
      </c>
      <c r="BC6" s="20" t="str">
        <f t="shared" si="5"/>
        <v>T</v>
      </c>
      <c r="BD6" s="20" t="str">
        <f t="shared" si="5"/>
        <v>F</v>
      </c>
      <c r="BE6" s="20" t="str">
        <f t="shared" si="5"/>
        <v>S</v>
      </c>
      <c r="BF6" s="20" t="str">
        <f t="shared" si="5"/>
        <v>S</v>
      </c>
      <c r="BG6" s="20" t="str">
        <f t="shared" si="5"/>
        <v>M</v>
      </c>
      <c r="BH6" s="20" t="str">
        <f t="shared" si="5"/>
        <v>T</v>
      </c>
      <c r="BI6" s="20" t="str">
        <f t="shared" si="5"/>
        <v>W</v>
      </c>
      <c r="BJ6" s="20" t="str">
        <f t="shared" si="5"/>
        <v>T</v>
      </c>
      <c r="BK6" s="20" t="str">
        <f t="shared" si="5"/>
        <v>F</v>
      </c>
      <c r="BL6" s="20" t="str">
        <f t="shared" si="5"/>
        <v>S</v>
      </c>
      <c r="BM6" s="20" t="str">
        <f t="shared" si="5"/>
        <v>S</v>
      </c>
    </row>
    <row r="7" spans="1:65" ht="30" hidden="1" customHeight="1" thickBot="1" x14ac:dyDescent="0.3">
      <c r="A7" s="9" t="s">
        <v>19</v>
      </c>
      <c r="C7" s="21"/>
      <c r="D7" s="21"/>
      <c r="F7" s="7"/>
      <c r="I7" s="7" t="str">
        <f>IF(OR(ISBLANK(task_start),ISBLANK(task_end)),"",task_end-task_start+1)</f>
        <v/>
      </c>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row>
    <row r="8" spans="1:65" s="26" customFormat="1" ht="30" customHeight="1" thickBot="1" x14ac:dyDescent="0.3">
      <c r="A8" s="1" t="s">
        <v>16</v>
      </c>
      <c r="B8" s="23" t="s">
        <v>36</v>
      </c>
      <c r="C8" s="24"/>
      <c r="D8" s="24"/>
      <c r="E8" s="49">
        <f>AVERAGE(E9:E19)</f>
        <v>0.44000000000000006</v>
      </c>
      <c r="F8" s="46">
        <f>MIN(F9:F20)</f>
        <v>45425</v>
      </c>
      <c r="G8" s="47">
        <f>MAX(G9:G20)</f>
        <v>45457</v>
      </c>
      <c r="H8" s="48"/>
      <c r="I8" s="48">
        <f t="shared" ref="I8:I21" si="6">IF(OR(ISBLANK(task_start),ISBLANK(task_end)),"",task_end-task_start+1)</f>
        <v>33</v>
      </c>
      <c r="J8" s="22"/>
      <c r="K8" s="22"/>
      <c r="L8" s="22"/>
      <c r="M8" s="22"/>
      <c r="N8" s="22"/>
      <c r="O8" s="22"/>
      <c r="P8" s="22"/>
      <c r="Q8" s="22"/>
      <c r="R8" s="22"/>
      <c r="S8" s="22"/>
      <c r="T8" s="22"/>
      <c r="U8" s="22"/>
      <c r="V8" s="22"/>
      <c r="W8" s="22"/>
      <c r="X8" s="22"/>
      <c r="Y8" s="22"/>
      <c r="Z8" s="53"/>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row>
    <row r="9" spans="1:65" s="26" customFormat="1" ht="30" customHeight="1" thickBot="1" x14ac:dyDescent="0.3">
      <c r="A9" s="1" t="s">
        <v>20</v>
      </c>
      <c r="B9" s="93" t="s">
        <v>27</v>
      </c>
      <c r="C9" s="92" t="s">
        <v>28</v>
      </c>
      <c r="D9" s="27" t="s">
        <v>23</v>
      </c>
      <c r="E9" s="28"/>
      <c r="F9" s="29">
        <v>45425</v>
      </c>
      <c r="G9" s="29">
        <f>IFERROR(F9+I9+H9-1,"")</f>
        <v>45427</v>
      </c>
      <c r="H9" s="25"/>
      <c r="I9" s="25">
        <v>3</v>
      </c>
      <c r="J9" s="22"/>
      <c r="K9" s="22"/>
      <c r="L9" s="22"/>
      <c r="M9" s="22"/>
      <c r="N9" s="22"/>
      <c r="O9" s="22"/>
      <c r="P9" s="22"/>
      <c r="Q9" s="22"/>
      <c r="R9" s="22"/>
      <c r="S9" s="22"/>
      <c r="T9" s="22"/>
      <c r="U9" s="22"/>
      <c r="V9" s="30"/>
      <c r="W9" s="30"/>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row>
    <row r="10" spans="1:65" s="26" customFormat="1" ht="30" customHeight="1" thickBot="1" x14ac:dyDescent="0.3">
      <c r="A10" s="1"/>
      <c r="B10" s="78"/>
      <c r="C10" s="79"/>
      <c r="D10" s="27" t="s">
        <v>24</v>
      </c>
      <c r="E10" s="28">
        <v>0.8</v>
      </c>
      <c r="F10" s="29">
        <v>45425</v>
      </c>
      <c r="G10" s="29">
        <f t="shared" ref="G10:G18" si="7">IFERROR(F10+I10+H10-1,"")</f>
        <v>45425</v>
      </c>
      <c r="H10" s="25"/>
      <c r="I10" s="25">
        <v>1</v>
      </c>
      <c r="J10" s="22"/>
      <c r="K10" s="22"/>
      <c r="L10" s="22"/>
      <c r="M10" s="22"/>
      <c r="N10" s="22"/>
      <c r="O10" s="22"/>
      <c r="P10" s="22"/>
      <c r="Q10" s="22"/>
      <c r="R10" s="22"/>
      <c r="S10" s="22"/>
      <c r="T10" s="22"/>
      <c r="U10" s="22"/>
      <c r="V10" s="30"/>
      <c r="W10" s="30"/>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row>
    <row r="11" spans="1:65" s="26" customFormat="1" ht="30" customHeight="1" thickBot="1" x14ac:dyDescent="0.3">
      <c r="A11" s="1" t="s">
        <v>17</v>
      </c>
      <c r="B11" s="78" t="s">
        <v>39</v>
      </c>
      <c r="C11" s="79" t="s">
        <v>28</v>
      </c>
      <c r="D11" s="27" t="s">
        <v>23</v>
      </c>
      <c r="E11" s="28"/>
      <c r="F11" s="29">
        <v>45425</v>
      </c>
      <c r="G11" s="29">
        <f t="shared" si="7"/>
        <v>45432</v>
      </c>
      <c r="H11" s="25">
        <v>3</v>
      </c>
      <c r="I11" s="25">
        <v>5</v>
      </c>
      <c r="J11" s="22"/>
      <c r="K11" s="22"/>
      <c r="L11" s="22"/>
      <c r="M11" s="22"/>
      <c r="N11" s="22"/>
      <c r="O11" s="22"/>
      <c r="P11" s="22"/>
      <c r="Q11" s="22"/>
      <c r="R11" s="22"/>
      <c r="S11" s="22"/>
      <c r="T11" s="22"/>
      <c r="U11" s="22"/>
      <c r="V11" s="30"/>
      <c r="W11" s="30"/>
      <c r="X11" s="22"/>
      <c r="Y11" s="22"/>
      <c r="Z11" s="22"/>
      <c r="AA11" s="53"/>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row>
    <row r="12" spans="1:65" s="26" customFormat="1" ht="30" customHeight="1" thickBot="1" x14ac:dyDescent="0.3">
      <c r="A12" s="1"/>
      <c r="B12" s="78"/>
      <c r="C12" s="79"/>
      <c r="D12" s="27" t="s">
        <v>24</v>
      </c>
      <c r="E12" s="28">
        <v>0.5</v>
      </c>
      <c r="F12" s="29"/>
      <c r="G12" s="29">
        <f t="shared" si="7"/>
        <v>-1</v>
      </c>
      <c r="H12" s="25"/>
      <c r="I12" s="25"/>
      <c r="J12" s="22"/>
      <c r="K12" s="22"/>
      <c r="L12" s="22"/>
      <c r="M12" s="22"/>
      <c r="N12" s="22"/>
      <c r="O12" s="22"/>
      <c r="P12" s="22"/>
      <c r="Q12" s="22"/>
      <c r="R12" s="22"/>
      <c r="S12" s="22"/>
      <c r="T12" s="22"/>
      <c r="U12" s="22"/>
      <c r="V12" s="30"/>
      <c r="W12" s="30"/>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row>
    <row r="13" spans="1:65" s="26" customFormat="1" ht="30" customHeight="1" thickBot="1" x14ac:dyDescent="0.3">
      <c r="A13" s="9"/>
      <c r="B13" s="78" t="s">
        <v>31</v>
      </c>
      <c r="C13" s="79" t="s">
        <v>33</v>
      </c>
      <c r="D13" s="27" t="s">
        <v>23</v>
      </c>
      <c r="E13" s="28"/>
      <c r="F13" s="29">
        <v>45432</v>
      </c>
      <c r="G13" s="29">
        <f t="shared" si="7"/>
        <v>45438</v>
      </c>
      <c r="H13" s="25">
        <v>2</v>
      </c>
      <c r="I13" s="25">
        <v>5</v>
      </c>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row>
    <row r="14" spans="1:65" s="26" customFormat="1" ht="30" customHeight="1" thickBot="1" x14ac:dyDescent="0.3">
      <c r="A14" s="9"/>
      <c r="B14" s="78"/>
      <c r="C14" s="79"/>
      <c r="D14" s="27" t="s">
        <v>24</v>
      </c>
      <c r="E14" s="28">
        <v>0.1</v>
      </c>
      <c r="F14" s="29"/>
      <c r="G14" s="29">
        <f t="shared" si="7"/>
        <v>-1</v>
      </c>
      <c r="H14" s="25"/>
      <c r="I14" s="25"/>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row>
    <row r="15" spans="1:65" s="26" customFormat="1" ht="30" customHeight="1" thickBot="1" x14ac:dyDescent="0.3">
      <c r="A15" s="9"/>
      <c r="B15" s="78" t="s">
        <v>32</v>
      </c>
      <c r="C15" s="79" t="s">
        <v>33</v>
      </c>
      <c r="D15" s="27" t="s">
        <v>23</v>
      </c>
      <c r="E15" s="28" t="s">
        <v>40</v>
      </c>
      <c r="F15" s="29">
        <v>45439</v>
      </c>
      <c r="G15" s="29">
        <f t="shared" si="7"/>
        <v>45440</v>
      </c>
      <c r="H15" s="25"/>
      <c r="I15" s="25">
        <v>2</v>
      </c>
      <c r="J15" s="22"/>
      <c r="K15" s="22"/>
      <c r="L15" s="22"/>
      <c r="M15" s="22"/>
      <c r="N15" s="22"/>
      <c r="O15" s="22"/>
      <c r="P15" s="22"/>
      <c r="Q15" s="22"/>
      <c r="R15" s="22"/>
      <c r="S15" s="22"/>
      <c r="T15" s="22"/>
      <c r="U15" s="22"/>
      <c r="V15" s="22"/>
      <c r="W15" s="22"/>
      <c r="X15" s="22"/>
      <c r="Y15" s="22"/>
      <c r="Z15" s="30"/>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row>
    <row r="16" spans="1:65" s="26" customFormat="1" ht="30" customHeight="1" thickBot="1" x14ac:dyDescent="0.3">
      <c r="A16" s="9"/>
      <c r="B16" s="78"/>
      <c r="C16" s="79"/>
      <c r="D16" s="27" t="s">
        <v>24</v>
      </c>
      <c r="E16" s="28">
        <v>0</v>
      </c>
      <c r="F16" s="29"/>
      <c r="G16" s="29">
        <f t="shared" si="7"/>
        <v>-1</v>
      </c>
      <c r="H16" s="25"/>
      <c r="I16" s="25"/>
      <c r="J16" s="22"/>
      <c r="K16" s="22"/>
      <c r="L16" s="22"/>
      <c r="M16" s="22"/>
      <c r="N16" s="22"/>
      <c r="O16" s="22"/>
      <c r="P16" s="22"/>
      <c r="Q16" s="22"/>
      <c r="R16" s="22"/>
      <c r="S16" s="22"/>
      <c r="T16" s="22"/>
      <c r="U16" s="22"/>
      <c r="V16" s="22"/>
      <c r="W16" s="22"/>
      <c r="X16" s="22"/>
      <c r="Y16" s="22"/>
      <c r="Z16" s="30"/>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row>
    <row r="17" spans="1:65" s="26" customFormat="1" ht="30" customHeight="1" thickBot="1" x14ac:dyDescent="0.3">
      <c r="A17" s="9"/>
      <c r="B17" s="78" t="s">
        <v>34</v>
      </c>
      <c r="C17" s="79" t="s">
        <v>33</v>
      </c>
      <c r="D17" s="27" t="s">
        <v>23</v>
      </c>
      <c r="E17" s="28"/>
      <c r="F17" s="29">
        <v>45425</v>
      </c>
      <c r="G17" s="29">
        <f t="shared" si="7"/>
        <v>45438</v>
      </c>
      <c r="H17" s="25">
        <v>4</v>
      </c>
      <c r="I17" s="25">
        <v>10</v>
      </c>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row>
    <row r="18" spans="1:65" s="26" customFormat="1" ht="30" customHeight="1" thickBot="1" x14ac:dyDescent="0.3">
      <c r="A18" s="9"/>
      <c r="B18" s="78"/>
      <c r="C18" s="79"/>
      <c r="D18" s="27" t="s">
        <v>24</v>
      </c>
      <c r="E18" s="28">
        <v>0.8</v>
      </c>
      <c r="F18" s="29"/>
      <c r="G18" s="29">
        <f t="shared" si="7"/>
        <v>-1</v>
      </c>
      <c r="H18" s="25"/>
      <c r="I18" s="25"/>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row>
    <row r="19" spans="1:65" s="26" customFormat="1" ht="30" customHeight="1" thickBot="1" x14ac:dyDescent="0.3">
      <c r="A19" s="9"/>
      <c r="B19" s="78" t="s">
        <v>29</v>
      </c>
      <c r="C19" s="79" t="s">
        <v>33</v>
      </c>
      <c r="D19" s="27" t="s">
        <v>23</v>
      </c>
      <c r="E19" s="28"/>
      <c r="F19" s="29">
        <v>45444</v>
      </c>
      <c r="G19" s="29">
        <f>IFERROR(F19+I19+H19-1,"")</f>
        <v>45457</v>
      </c>
      <c r="H19" s="25"/>
      <c r="I19" s="25">
        <v>14</v>
      </c>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row>
    <row r="20" spans="1:65" s="26" customFormat="1" ht="30" customHeight="1" thickBot="1" x14ac:dyDescent="0.3">
      <c r="A20" s="9"/>
      <c r="B20" s="78"/>
      <c r="C20" s="79"/>
      <c r="D20" s="27" t="s">
        <v>24</v>
      </c>
      <c r="E20" s="28"/>
      <c r="F20" s="29"/>
      <c r="G20" s="29">
        <f>IFERROR(F20+I20+H20-1,"")</f>
        <v>5</v>
      </c>
      <c r="H20" s="25"/>
      <c r="I20" s="25">
        <v>6</v>
      </c>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row>
    <row r="21" spans="1:65" s="26" customFormat="1" ht="30" customHeight="1" thickBot="1" x14ac:dyDescent="0.3">
      <c r="A21" s="9"/>
      <c r="B21" s="54" t="s">
        <v>35</v>
      </c>
      <c r="C21" s="55"/>
      <c r="D21" s="45"/>
      <c r="E21" s="50" t="e">
        <f>AVERAGE(E22:E33)</f>
        <v>#DIV/0!</v>
      </c>
      <c r="F21" s="51">
        <f>MIN(F22:F33)</f>
        <v>0</v>
      </c>
      <c r="G21" s="52">
        <f>MAX(G22:G33)</f>
        <v>-1</v>
      </c>
      <c r="H21" s="48"/>
      <c r="I21" s="48">
        <f t="shared" si="6"/>
        <v>0</v>
      </c>
      <c r="J21" s="22"/>
      <c r="K21" s="22"/>
      <c r="L21" s="22"/>
      <c r="M21" s="22"/>
      <c r="N21" s="22"/>
      <c r="O21" s="22"/>
      <c r="P21" s="22"/>
      <c r="Q21" s="22"/>
      <c r="R21" s="22"/>
      <c r="S21" s="22"/>
      <c r="T21" s="22"/>
      <c r="U21" s="22"/>
      <c r="V21" s="30"/>
      <c r="W21" s="30"/>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row>
    <row r="22" spans="1:65" s="26" customFormat="1" ht="30" customHeight="1" thickBot="1" x14ac:dyDescent="0.3">
      <c r="A22" s="9"/>
      <c r="B22" s="78" t="s">
        <v>37</v>
      </c>
      <c r="C22" s="79" t="s">
        <v>30</v>
      </c>
      <c r="D22" s="27" t="s">
        <v>23</v>
      </c>
      <c r="E22" s="28"/>
      <c r="F22" s="29"/>
      <c r="G22" s="29">
        <f t="shared" ref="G22:G27" si="8">F22+I22+H22-1</f>
        <v>-1</v>
      </c>
      <c r="H22" s="25"/>
      <c r="I22" s="25"/>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row>
    <row r="23" spans="1:65" s="26" customFormat="1" ht="30" customHeight="1" thickBot="1" x14ac:dyDescent="0.3">
      <c r="A23" s="9"/>
      <c r="B23" s="78"/>
      <c r="C23" s="79"/>
      <c r="D23" s="27" t="s">
        <v>24</v>
      </c>
      <c r="E23" s="28"/>
      <c r="F23" s="29"/>
      <c r="G23" s="29">
        <f t="shared" si="8"/>
        <v>-1</v>
      </c>
      <c r="H23" s="25"/>
      <c r="I23" s="25"/>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row>
    <row r="24" spans="1:65" s="26" customFormat="1" ht="30" customHeight="1" thickBot="1" x14ac:dyDescent="0.3">
      <c r="A24" s="9"/>
      <c r="B24" s="78" t="s">
        <v>34</v>
      </c>
      <c r="C24" s="79" t="s">
        <v>30</v>
      </c>
      <c r="D24" s="27" t="s">
        <v>23</v>
      </c>
      <c r="E24" s="28"/>
      <c r="F24" s="29"/>
      <c r="G24" s="29">
        <f t="shared" si="8"/>
        <v>-1</v>
      </c>
      <c r="H24" s="25"/>
      <c r="I24" s="25"/>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row>
    <row r="25" spans="1:65" s="26" customFormat="1" ht="30" customHeight="1" thickBot="1" x14ac:dyDescent="0.3">
      <c r="A25" s="9"/>
      <c r="B25" s="78"/>
      <c r="C25" s="79"/>
      <c r="D25" s="27" t="s">
        <v>24</v>
      </c>
      <c r="E25" s="28"/>
      <c r="F25" s="29"/>
      <c r="G25" s="29">
        <f t="shared" si="8"/>
        <v>-1</v>
      </c>
      <c r="H25" s="25"/>
      <c r="I25" s="25"/>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row>
    <row r="26" spans="1:65" s="26" customFormat="1" ht="30" customHeight="1" thickBot="1" x14ac:dyDescent="0.3">
      <c r="A26" s="9"/>
      <c r="B26" s="78" t="s">
        <v>38</v>
      </c>
      <c r="C26" s="79"/>
      <c r="D26" s="27" t="s">
        <v>23</v>
      </c>
      <c r="E26" s="28"/>
      <c r="F26" s="29"/>
      <c r="G26" s="29">
        <f t="shared" si="8"/>
        <v>-1</v>
      </c>
      <c r="H26" s="25"/>
      <c r="I26" s="25"/>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row>
    <row r="27" spans="1:65" s="26" customFormat="1" ht="30" customHeight="1" thickBot="1" x14ac:dyDescent="0.3">
      <c r="A27" s="9"/>
      <c r="B27" s="78"/>
      <c r="C27" s="79"/>
      <c r="D27" s="27" t="s">
        <v>24</v>
      </c>
      <c r="E27" s="28"/>
      <c r="F27" s="29"/>
      <c r="G27" s="29">
        <f t="shared" si="8"/>
        <v>-1</v>
      </c>
      <c r="H27" s="25"/>
      <c r="I27" s="25"/>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row>
    <row r="28" spans="1:65" s="26" customFormat="1" ht="30" customHeight="1" thickBot="1" x14ac:dyDescent="0.3">
      <c r="A28" s="9"/>
      <c r="B28" s="78"/>
      <c r="C28" s="79"/>
      <c r="D28" s="27" t="s">
        <v>23</v>
      </c>
      <c r="E28" s="28"/>
      <c r="F28" s="29"/>
      <c r="G28" s="29">
        <f t="shared" ref="G28:G31" si="9">F28+I28+H28-1</f>
        <v>-1</v>
      </c>
      <c r="H28" s="25"/>
      <c r="I28" s="25"/>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row>
    <row r="29" spans="1:65" s="26" customFormat="1" ht="30" customHeight="1" thickBot="1" x14ac:dyDescent="0.3">
      <c r="A29" s="9"/>
      <c r="B29" s="78"/>
      <c r="C29" s="79"/>
      <c r="D29" s="27" t="s">
        <v>24</v>
      </c>
      <c r="E29" s="28"/>
      <c r="F29" s="29"/>
      <c r="G29" s="29">
        <f t="shared" si="9"/>
        <v>-1</v>
      </c>
      <c r="H29" s="25"/>
      <c r="I29" s="25"/>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row>
    <row r="30" spans="1:65" s="26" customFormat="1" ht="30" customHeight="1" thickBot="1" x14ac:dyDescent="0.3">
      <c r="A30" s="9"/>
      <c r="B30" s="78"/>
      <c r="C30" s="79"/>
      <c r="D30" s="27" t="s">
        <v>23</v>
      </c>
      <c r="E30" s="28"/>
      <c r="F30" s="29"/>
      <c r="G30" s="29">
        <f t="shared" si="9"/>
        <v>-1</v>
      </c>
      <c r="H30" s="25"/>
      <c r="I30" s="25"/>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row>
    <row r="31" spans="1:65" s="26" customFormat="1" ht="30" customHeight="1" thickBot="1" x14ac:dyDescent="0.3">
      <c r="A31" s="9"/>
      <c r="B31" s="78"/>
      <c r="C31" s="79"/>
      <c r="D31" s="27" t="s">
        <v>24</v>
      </c>
      <c r="E31" s="28"/>
      <c r="F31" s="29"/>
      <c r="G31" s="29">
        <f t="shared" si="9"/>
        <v>-1</v>
      </c>
      <c r="H31" s="25"/>
      <c r="I31" s="25"/>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row>
    <row r="32" spans="1:65" s="26" customFormat="1" ht="30" customHeight="1" thickBot="1" x14ac:dyDescent="0.3">
      <c r="A32" s="9"/>
      <c r="B32" s="78"/>
      <c r="C32" s="79"/>
      <c r="D32" s="27" t="s">
        <v>23</v>
      </c>
      <c r="E32" s="28"/>
      <c r="F32" s="29"/>
      <c r="G32" s="29">
        <f t="shared" ref="G32:G33" si="10">F32+I32+H32-1</f>
        <v>-1</v>
      </c>
      <c r="H32" s="25"/>
      <c r="I32" s="25"/>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row>
    <row r="33" spans="1:65" s="26" customFormat="1" ht="30" customHeight="1" thickBot="1" x14ac:dyDescent="0.3">
      <c r="A33" s="9"/>
      <c r="B33" s="78"/>
      <c r="C33" s="79"/>
      <c r="D33" s="27" t="s">
        <v>24</v>
      </c>
      <c r="E33" s="28"/>
      <c r="F33" s="29"/>
      <c r="G33" s="29">
        <f t="shared" si="10"/>
        <v>-1</v>
      </c>
      <c r="H33" s="25"/>
      <c r="I33" s="25"/>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row>
    <row r="34" spans="1:65" s="26" customFormat="1" ht="30" customHeight="1" thickBot="1" x14ac:dyDescent="0.3">
      <c r="A34" s="9" t="s">
        <v>11</v>
      </c>
      <c r="B34" s="31"/>
      <c r="C34" s="32"/>
      <c r="D34" s="32"/>
      <c r="E34" s="33"/>
      <c r="F34" s="33"/>
      <c r="G34" s="33"/>
      <c r="H34" s="25"/>
      <c r="I34" s="25"/>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row>
    <row r="35" spans="1:65" s="26" customFormat="1" ht="30" customHeight="1" thickBot="1" x14ac:dyDescent="0.3">
      <c r="A35" s="1" t="s">
        <v>10</v>
      </c>
      <c r="B35" s="34" t="s">
        <v>0</v>
      </c>
      <c r="C35" s="35"/>
      <c r="D35" s="35"/>
      <c r="E35" s="36"/>
      <c r="F35" s="37"/>
      <c r="G35" s="38"/>
      <c r="H35" s="39"/>
      <c r="I35" s="39"/>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row>
    <row r="36" spans="1:65" ht="30" customHeight="1" x14ac:dyDescent="0.25">
      <c r="H36" s="41"/>
    </row>
    <row r="37" spans="1:65" ht="30" customHeight="1" x14ac:dyDescent="0.25">
      <c r="C37" s="42"/>
      <c r="D37" s="42"/>
      <c r="G37" s="43"/>
    </row>
    <row r="38" spans="1:65" ht="30" customHeight="1" x14ac:dyDescent="0.25">
      <c r="C38" s="44"/>
      <c r="D38" s="44"/>
    </row>
  </sheetData>
  <mergeCells count="35">
    <mergeCell ref="B28:B29"/>
    <mergeCell ref="C28:C29"/>
    <mergeCell ref="B30:B31"/>
    <mergeCell ref="C30:C31"/>
    <mergeCell ref="B32:B33"/>
    <mergeCell ref="C32:C33"/>
    <mergeCell ref="B22:B23"/>
    <mergeCell ref="C22:C23"/>
    <mergeCell ref="B24:B25"/>
    <mergeCell ref="C24:C25"/>
    <mergeCell ref="B26:B27"/>
    <mergeCell ref="C26:C27"/>
    <mergeCell ref="B19:B20"/>
    <mergeCell ref="C9:C10"/>
    <mergeCell ref="C11:C12"/>
    <mergeCell ref="C13:C14"/>
    <mergeCell ref="C15:C16"/>
    <mergeCell ref="C17:C18"/>
    <mergeCell ref="C19:C20"/>
    <mergeCell ref="B9:B10"/>
    <mergeCell ref="B11:B12"/>
    <mergeCell ref="B13:B14"/>
    <mergeCell ref="B15:B16"/>
    <mergeCell ref="B17:B18"/>
    <mergeCell ref="BG4:BM4"/>
    <mergeCell ref="F3:G3"/>
    <mergeCell ref="J4:P4"/>
    <mergeCell ref="Q4:W4"/>
    <mergeCell ref="X4:AD4"/>
    <mergeCell ref="AE4:AK4"/>
    <mergeCell ref="C3:E3"/>
    <mergeCell ref="C4:E4"/>
    <mergeCell ref="AL4:AR4"/>
    <mergeCell ref="AS4:AY4"/>
    <mergeCell ref="AZ4:BF4"/>
  </mergeCells>
  <conditionalFormatting sqref="E7:E8 E34:E35 F34:G34">
    <cfRule type="dataBar" priority="7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5:BM18 J21:BM21 J34:BM35">
    <cfRule type="expression" dxfId="23" priority="27">
      <formula>AND(task_end&gt;=J$5,task_start&lt;K$5,task_plan="Plan")</formula>
    </cfRule>
    <cfRule type="expression" dxfId="22" priority="49">
      <formula>AND(TODAY()&gt;=J$5,TODAY()&lt;K$5)</formula>
    </cfRule>
    <cfRule type="expression" dxfId="21" priority="85">
      <formula>AND(task_start&lt;=J$5,ROUNDDOWN((task_end-task_start+1)*task_progress,0)+task_start-1&gt;=J$5)</formula>
    </cfRule>
  </conditionalFormatting>
  <conditionalFormatting sqref="E9:E10">
    <cfRule type="dataBar" priority="51">
      <dataBar>
        <cfvo type="num" val="0"/>
        <cfvo type="num" val="1"/>
        <color theme="0" tint="-0.249977111117893"/>
      </dataBar>
      <extLst>
        <ext xmlns:x14="http://schemas.microsoft.com/office/spreadsheetml/2009/9/main" uri="{B025F937-C7B1-47D3-B67F-A62EFF666E3E}">
          <x14:id>{5FF0C844-3103-40D6-BC43-4DB021F5F0D9}</x14:id>
        </ext>
      </extLst>
    </cfRule>
  </conditionalFormatting>
  <conditionalFormatting sqref="E21">
    <cfRule type="dataBar" priority="41">
      <dataBar>
        <cfvo type="num" val="0"/>
        <cfvo type="num" val="1"/>
        <color theme="0" tint="-0.249977111117893"/>
      </dataBar>
      <extLst>
        <ext xmlns:x14="http://schemas.microsoft.com/office/spreadsheetml/2009/9/main" uri="{B025F937-C7B1-47D3-B67F-A62EFF666E3E}">
          <x14:id>{270533A3-06F1-4C5D-8111-9E0ABA52DE32}</x14:id>
        </ext>
      </extLst>
    </cfRule>
  </conditionalFormatting>
  <conditionalFormatting sqref="E11:E18">
    <cfRule type="dataBar" priority="47">
      <dataBar>
        <cfvo type="num" val="0"/>
        <cfvo type="num" val="1"/>
        <color theme="0" tint="-0.249977111117893"/>
      </dataBar>
      <extLst>
        <ext xmlns:x14="http://schemas.microsoft.com/office/spreadsheetml/2009/9/main" uri="{B025F937-C7B1-47D3-B67F-A62EFF666E3E}">
          <x14:id>{2F625EFB-A1CB-4E19-9BCB-FCC8BCAFE483}</x14:id>
        </ext>
      </extLst>
    </cfRule>
  </conditionalFormatting>
  <conditionalFormatting sqref="J8:BM18 J21:BM21 J34:BM35">
    <cfRule type="expression" dxfId="20" priority="26">
      <formula>AND(task_end&gt;=J$5,task_start&lt;K$5,task_plan="Act",task_progress&gt;0)</formula>
    </cfRule>
  </conditionalFormatting>
  <conditionalFormatting sqref="B21:BM21 B8:BM16 C17:BM18 B34:BM35">
    <cfRule type="expression" dxfId="19" priority="80" stopIfTrue="1">
      <formula>task_plan="Act"</formula>
    </cfRule>
  </conditionalFormatting>
  <conditionalFormatting sqref="J19:BM20">
    <cfRule type="expression" dxfId="18" priority="18">
      <formula>AND(TODAY()&gt;=J$5,TODAY()&lt;K$5)</formula>
    </cfRule>
    <cfRule type="expression" dxfId="17" priority="21">
      <formula>AND(task_end&gt;=J$5,task_start&lt;K$5,task_plan="Plan")</formula>
    </cfRule>
    <cfRule type="expression" dxfId="16" priority="23">
      <formula>AND(task_start&lt;=J$5,ROUNDDOWN((task_end-task_start+1)*task_progress,0)+task_start-1&gt;=J$5)</formula>
    </cfRule>
  </conditionalFormatting>
  <conditionalFormatting sqref="E19:E20">
    <cfRule type="dataBar" priority="20">
      <dataBar>
        <cfvo type="num" val="0"/>
        <cfvo type="num" val="1"/>
        <color theme="0" tint="-0.249977111117893"/>
      </dataBar>
      <extLst>
        <ext xmlns:x14="http://schemas.microsoft.com/office/spreadsheetml/2009/9/main" uri="{B025F937-C7B1-47D3-B67F-A62EFF666E3E}">
          <x14:id>{E9A7DEDF-B21A-4E29-8D11-7B45C97496C3}</x14:id>
        </ext>
      </extLst>
    </cfRule>
  </conditionalFormatting>
  <conditionalFormatting sqref="J19:BM20">
    <cfRule type="expression" dxfId="15" priority="19">
      <formula>AND(task_end&gt;=J$5,task_start&lt;K$5,task_plan="Act",task_progress&gt;0)</formula>
    </cfRule>
  </conditionalFormatting>
  <conditionalFormatting sqref="C19:BM20">
    <cfRule type="expression" dxfId="14" priority="22" stopIfTrue="1">
      <formula>task_plan="Act"</formula>
    </cfRule>
  </conditionalFormatting>
  <conditionalFormatting sqref="B17:B18">
    <cfRule type="expression" dxfId="13" priority="16" stopIfTrue="1">
      <formula>task_plan="Act"</formula>
    </cfRule>
  </conditionalFormatting>
  <conditionalFormatting sqref="B19:B20">
    <cfRule type="expression" dxfId="12" priority="15" stopIfTrue="1">
      <formula>task_plan="Act"</formula>
    </cfRule>
  </conditionalFormatting>
  <conditionalFormatting sqref="J22:BM31">
    <cfRule type="expression" dxfId="11" priority="9">
      <formula>AND(TODAY()&gt;=J$5,TODAY()&lt;K$5)</formula>
    </cfRule>
    <cfRule type="expression" dxfId="10" priority="12">
      <formula>AND(task_end&gt;=J$5,task_start&lt;K$5,task_plan="Plan")</formula>
    </cfRule>
    <cfRule type="expression" dxfId="9" priority="14">
      <formula>AND(task_start&lt;=J$5,ROUNDDOWN((task_end-task_start+1)*task_progress,0)+task_start-1&gt;=J$5)</formula>
    </cfRule>
  </conditionalFormatting>
  <conditionalFormatting sqref="E22:E31">
    <cfRule type="dataBar" priority="11">
      <dataBar>
        <cfvo type="num" val="0"/>
        <cfvo type="num" val="1"/>
        <color theme="0" tint="-0.249977111117893"/>
      </dataBar>
      <extLst>
        <ext xmlns:x14="http://schemas.microsoft.com/office/spreadsheetml/2009/9/main" uri="{B025F937-C7B1-47D3-B67F-A62EFF666E3E}">
          <x14:id>{846E6F06-3BE4-4457-A8D1-9FA1C3AEF760}</x14:id>
        </ext>
      </extLst>
    </cfRule>
  </conditionalFormatting>
  <conditionalFormatting sqref="J22:BM31">
    <cfRule type="expression" dxfId="8" priority="10">
      <formula>AND(task_end&gt;=J$5,task_start&lt;K$5,task_plan="Act",task_progress&gt;0)</formula>
    </cfRule>
  </conditionalFormatting>
  <conditionalFormatting sqref="C22:BM31">
    <cfRule type="expression" dxfId="7" priority="13" stopIfTrue="1">
      <formula>task_plan="Act"</formula>
    </cfRule>
  </conditionalFormatting>
  <conditionalFormatting sqref="B22:B31">
    <cfRule type="expression" dxfId="6" priority="8" stopIfTrue="1">
      <formula>task_plan="Act"</formula>
    </cfRule>
  </conditionalFormatting>
  <conditionalFormatting sqref="J32:BM33">
    <cfRule type="expression" dxfId="5" priority="2">
      <formula>AND(TODAY()&gt;=J$5,TODAY()&lt;K$5)</formula>
    </cfRule>
    <cfRule type="expression" dxfId="4" priority="5">
      <formula>AND(task_end&gt;=J$5,task_start&lt;K$5,task_plan="Plan")</formula>
    </cfRule>
    <cfRule type="expression" dxfId="3" priority="7">
      <formula>AND(task_start&lt;=J$5,ROUNDDOWN((task_end-task_start+1)*task_progress,0)+task_start-1&gt;=J$5)</formula>
    </cfRule>
  </conditionalFormatting>
  <conditionalFormatting sqref="E32:E33">
    <cfRule type="dataBar" priority="4">
      <dataBar>
        <cfvo type="num" val="0"/>
        <cfvo type="num" val="1"/>
        <color theme="0" tint="-0.249977111117893"/>
      </dataBar>
      <extLst>
        <ext xmlns:x14="http://schemas.microsoft.com/office/spreadsheetml/2009/9/main" uri="{B025F937-C7B1-47D3-B67F-A62EFF666E3E}">
          <x14:id>{4F7DCC24-B52E-4D39-A3FF-EFCC9CFACCDB}</x14:id>
        </ext>
      </extLst>
    </cfRule>
  </conditionalFormatting>
  <conditionalFormatting sqref="J32:BM33">
    <cfRule type="expression" dxfId="2" priority="3">
      <formula>AND(task_end&gt;=J$5,task_start&lt;K$5,task_plan="Act",task_progress&gt;0)</formula>
    </cfRule>
  </conditionalFormatting>
  <conditionalFormatting sqref="C32:BM33">
    <cfRule type="expression" dxfId="1" priority="6" stopIfTrue="1">
      <formula>task_plan="Act"</formula>
    </cfRule>
  </conditionalFormatting>
  <conditionalFormatting sqref="B32:B33">
    <cfRule type="expression" dxfId="0" priority="1" stopIfTrue="1">
      <formula>task_plan="Act"</formula>
    </cfRule>
  </conditionalFormatting>
  <dataValidations count="1">
    <dataValidation type="whole" operator="greaterThanOrEqual" allowBlank="1" promptTitle="Display Week" prompt="Changing this number will scroll the Gantt Chart view." sqref="B1:C9 B11:C22 B24:C28 B30:C32 A1:A1048576 D1:XFD1048576 B34:C1048576"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E7:E8 E34:E35 F34:G34</xm:sqref>
        </x14:conditionalFormatting>
        <x14:conditionalFormatting xmlns:xm="http://schemas.microsoft.com/office/excel/2006/main">
          <x14:cfRule type="dataBar" id="{5FF0C844-3103-40D6-BC43-4DB021F5F0D9}">
            <x14:dataBar minLength="0" maxLength="100" gradient="0">
              <x14:cfvo type="num">
                <xm:f>0</xm:f>
              </x14:cfvo>
              <x14:cfvo type="num">
                <xm:f>1</xm:f>
              </x14:cfvo>
              <x14:negativeFillColor rgb="FFFF0000"/>
              <x14:axisColor rgb="FF000000"/>
            </x14:dataBar>
          </x14:cfRule>
          <xm:sqref>E9:E10</xm:sqref>
        </x14:conditionalFormatting>
        <x14:conditionalFormatting xmlns:xm="http://schemas.microsoft.com/office/excel/2006/main">
          <x14:cfRule type="dataBar" id="{270533A3-06F1-4C5D-8111-9E0ABA52DE32}">
            <x14:dataBar minLength="0" maxLength="100" gradient="0">
              <x14:cfvo type="num">
                <xm:f>0</xm:f>
              </x14:cfvo>
              <x14:cfvo type="num">
                <xm:f>1</xm:f>
              </x14:cfvo>
              <x14:negativeFillColor rgb="FFFF0000"/>
              <x14:axisColor rgb="FF000000"/>
            </x14:dataBar>
          </x14:cfRule>
          <xm:sqref>E21</xm:sqref>
        </x14:conditionalFormatting>
        <x14:conditionalFormatting xmlns:xm="http://schemas.microsoft.com/office/excel/2006/main">
          <x14:cfRule type="dataBar" id="{2F625EFB-A1CB-4E19-9BCB-FCC8BCAFE483}">
            <x14:dataBar minLength="0" maxLength="100" gradient="0">
              <x14:cfvo type="num">
                <xm:f>0</xm:f>
              </x14:cfvo>
              <x14:cfvo type="num">
                <xm:f>1</xm:f>
              </x14:cfvo>
              <x14:negativeFillColor rgb="FFFF0000"/>
              <x14:axisColor rgb="FF000000"/>
            </x14:dataBar>
          </x14:cfRule>
          <xm:sqref>E11:E18</xm:sqref>
        </x14:conditionalFormatting>
        <x14:conditionalFormatting xmlns:xm="http://schemas.microsoft.com/office/excel/2006/main">
          <x14:cfRule type="dataBar" id="{E9A7DEDF-B21A-4E29-8D11-7B45C97496C3}">
            <x14:dataBar minLength="0" maxLength="100" gradient="0">
              <x14:cfvo type="num">
                <xm:f>0</xm:f>
              </x14:cfvo>
              <x14:cfvo type="num">
                <xm:f>1</xm:f>
              </x14:cfvo>
              <x14:negativeFillColor rgb="FFFF0000"/>
              <x14:axisColor rgb="FF000000"/>
            </x14:dataBar>
          </x14:cfRule>
          <xm:sqref>E19:E20</xm:sqref>
        </x14:conditionalFormatting>
        <x14:conditionalFormatting xmlns:xm="http://schemas.microsoft.com/office/excel/2006/main">
          <x14:cfRule type="dataBar" id="{846E6F06-3BE4-4457-A8D1-9FA1C3AEF760}">
            <x14:dataBar minLength="0" maxLength="100" gradient="0">
              <x14:cfvo type="num">
                <xm:f>0</xm:f>
              </x14:cfvo>
              <x14:cfvo type="num">
                <xm:f>1</xm:f>
              </x14:cfvo>
              <x14:negativeFillColor rgb="FFFF0000"/>
              <x14:axisColor rgb="FF000000"/>
            </x14:dataBar>
          </x14:cfRule>
          <xm:sqref>E22:E31</xm:sqref>
        </x14:conditionalFormatting>
        <x14:conditionalFormatting xmlns:xm="http://schemas.microsoft.com/office/excel/2006/main">
          <x14:cfRule type="dataBar" id="{4F7DCC24-B52E-4D39-A3FF-EFCC9CFACCDB}">
            <x14:dataBar minLength="0" maxLength="100" gradient="0">
              <x14:cfvo type="num">
                <xm:f>0</xm:f>
              </x14:cfvo>
              <x14:cfvo type="num">
                <xm:f>1</xm:f>
              </x14:cfvo>
              <x14:negativeFillColor rgb="FFFF0000"/>
              <x14:axisColor rgb="FF000000"/>
            </x14:dataBar>
          </x14:cfRule>
          <xm:sqref>E32:E33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send IT</vt:lpstr>
      <vt:lpstr>Target </vt:lpstr>
      <vt:lpstr>Summary</vt:lpstr>
      <vt:lpstr>Appointment</vt:lpstr>
      <vt:lpstr>Summary!Display_Week</vt:lpstr>
      <vt:lpstr>Display_Week</vt:lpstr>
      <vt:lpstr>Appointment!Print_Titles</vt:lpstr>
      <vt:lpstr>Summary!Print_Titles</vt:lpstr>
      <vt:lpstr>Summary!Project_Start</vt:lpstr>
      <vt:lpstr>Project_Start</vt:lpstr>
      <vt:lpstr>Appointment!task_end</vt:lpstr>
      <vt:lpstr>Summary!task_end</vt:lpstr>
      <vt:lpstr>Summary!task_plan</vt:lpstr>
      <vt:lpstr>task_plan</vt:lpstr>
      <vt:lpstr>Appointment!task_progress</vt:lpstr>
      <vt:lpstr>Summary!task_progress</vt:lpstr>
      <vt:lpstr>Appointment!task_start</vt:lpstr>
      <vt:lpstr>Summary!task_start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2024-05-14T09:08:44Z</dcterms:modified>
</cp:coreProperties>
</file>