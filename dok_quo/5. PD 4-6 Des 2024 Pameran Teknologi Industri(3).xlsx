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24226"/>
  <mc:AlternateContent xmlns:mc="http://schemas.openxmlformats.org/markup-compatibility/2006">
    <mc:Choice Requires="x15">
      <x15ac:absPath xmlns:x15ac="http://schemas.microsoft.com/office/spreadsheetml/2010/11/ac" url="\\10.62.126.108\Share data 219\1. ADMINISTRASI\3. BUDGET SECTION\1. BUDGET\7. BUDGET TERM 84\10. PERJALANAN DINAS\"/>
    </mc:Choice>
  </mc:AlternateContent>
  <xr:revisionPtr revIDLastSave="0" documentId="13_ncr:1_{C453C4A8-16C3-4A37-B040-EB0D803F60E3}" xr6:coauthVersionLast="47" xr6:coauthVersionMax="47" xr10:uidLastSave="{00000000-0000-0000-0000-000000000000}"/>
  <bookViews>
    <workbookView xWindow="-120" yWindow="-120" windowWidth="29040" windowHeight="15720" tabRatio="761" activeTab="3" xr2:uid="{00000000-000D-0000-FFFF-FFFF00000000}"/>
  </bookViews>
  <sheets>
    <sheet name="TAHAP 1" sheetId="5" r:id="rId1"/>
    <sheet name="TAHAP 2.2 (Rincian)" sheetId="15" r:id="rId2"/>
    <sheet name="TAHAP 2.1 (SPD)" sheetId="16" r:id="rId3"/>
    <sheet name="Sheet1" sheetId="17" r:id="rId4"/>
  </sheets>
  <definedNames>
    <definedName name="_xlnm.Print_Area" localSheetId="0">'TAHAP 1'!$A$1:$V$87</definedName>
    <definedName name="_xlnm.Print_Area" localSheetId="2">'TAHAP 2.1 (SPD)'!$A$1:$X$61</definedName>
    <definedName name="_xlnm.Print_Area" localSheetId="1">'TAHAP 2.2 (Rincian)'!$A$1:$R$96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5" i="17" l="1"/>
  <c r="D11" i="17"/>
  <c r="D9" i="17"/>
  <c r="D8" i="17"/>
  <c r="D7" i="17"/>
  <c r="D6" i="17"/>
  <c r="D5" i="17"/>
  <c r="D4" i="17"/>
  <c r="D3" i="17"/>
  <c r="F20" i="16"/>
  <c r="F21" i="16"/>
  <c r="F22" i="16"/>
  <c r="F23" i="16"/>
  <c r="C20" i="16"/>
  <c r="C21" i="16"/>
  <c r="C22" i="16"/>
  <c r="C23" i="16"/>
  <c r="C19" i="16"/>
  <c r="F15" i="5"/>
  <c r="F16" i="5" s="1"/>
  <c r="C15" i="5"/>
  <c r="C16" i="5" s="1"/>
  <c r="O35" i="16"/>
  <c r="Q66" i="15"/>
  <c r="Q63" i="15"/>
  <c r="Q69" i="15" s="1"/>
  <c r="Q57" i="15"/>
  <c r="S59" i="15"/>
  <c r="Q71" i="15" l="1"/>
  <c r="U59" i="15"/>
  <c r="V59" i="15" s="1"/>
  <c r="H88" i="15" l="1"/>
  <c r="J88" i="15" s="1"/>
  <c r="S39" i="16" s="1"/>
  <c r="H87" i="15"/>
  <c r="J87" i="15" s="1"/>
  <c r="S38" i="16" s="1"/>
  <c r="H86" i="15"/>
  <c r="J86" i="15" s="1"/>
  <c r="S37" i="16" s="1"/>
  <c r="H85" i="15"/>
  <c r="J85" i="15" s="1"/>
  <c r="S36" i="16" s="1"/>
  <c r="H84" i="15"/>
  <c r="J84" i="15" s="1"/>
  <c r="S35" i="16" s="1"/>
  <c r="E88" i="15"/>
  <c r="E87" i="15"/>
  <c r="E86" i="15"/>
  <c r="E85" i="15"/>
  <c r="E84" i="15"/>
  <c r="G36" i="16"/>
  <c r="G37" i="16"/>
  <c r="G38" i="16"/>
  <c r="G39" i="16"/>
  <c r="C36" i="16"/>
  <c r="C37" i="16"/>
  <c r="C38" i="16"/>
  <c r="C39" i="16"/>
  <c r="M23" i="16"/>
  <c r="K23" i="16"/>
  <c r="I23" i="16"/>
  <c r="G23" i="16"/>
  <c r="M22" i="16"/>
  <c r="K22" i="16"/>
  <c r="I22" i="16"/>
  <c r="G22" i="16"/>
  <c r="S40" i="16" l="1"/>
  <c r="K84" i="15"/>
  <c r="N66" i="15"/>
  <c r="N63" i="15"/>
  <c r="N57" i="15"/>
  <c r="K66" i="15"/>
  <c r="K63" i="15"/>
  <c r="K69" i="15" s="1"/>
  <c r="K57" i="15"/>
  <c r="H57" i="15"/>
  <c r="E79" i="15"/>
  <c r="C79" i="15"/>
  <c r="E80" i="15"/>
  <c r="C80" i="15"/>
  <c r="E78" i="15"/>
  <c r="C78" i="15"/>
  <c r="U57" i="15"/>
  <c r="H66" i="15"/>
  <c r="H63" i="15"/>
  <c r="H69" i="15" s="1"/>
  <c r="H71" i="15" s="1"/>
  <c r="J24" i="15"/>
  <c r="J25" i="15"/>
  <c r="C40" i="15"/>
  <c r="C87" i="15" s="1"/>
  <c r="C41" i="15"/>
  <c r="C88" i="15" s="1"/>
  <c r="C39" i="15"/>
  <c r="C86" i="15" s="1"/>
  <c r="C17" i="5"/>
  <c r="F17" i="5"/>
  <c r="F14" i="5"/>
  <c r="C14" i="5"/>
  <c r="J31" i="15"/>
  <c r="N69" i="15" l="1"/>
  <c r="N71" i="15" s="1"/>
  <c r="O40" i="16" s="1"/>
  <c r="K71" i="15"/>
  <c r="G20" i="16"/>
  <c r="I20" i="16"/>
  <c r="G21" i="16"/>
  <c r="I21" i="16"/>
  <c r="K20" i="16"/>
  <c r="K21" i="16"/>
  <c r="M20" i="16"/>
  <c r="M21" i="16"/>
  <c r="C38" i="15"/>
  <c r="C85" i="15" s="1"/>
  <c r="E77" i="15"/>
  <c r="C77" i="15"/>
  <c r="J89" i="15" l="1"/>
  <c r="J32" i="15" l="1"/>
  <c r="J30" i="15"/>
  <c r="C30" i="15"/>
  <c r="C31" i="15" s="1"/>
  <c r="C32" i="15" s="1"/>
  <c r="I29" i="15"/>
  <c r="H29" i="15"/>
  <c r="G29" i="15"/>
  <c r="F29" i="15"/>
  <c r="J23" i="15"/>
  <c r="C23" i="15"/>
  <c r="C24" i="15" s="1"/>
  <c r="C25" i="15" s="1"/>
  <c r="I22" i="15"/>
  <c r="H22" i="15"/>
  <c r="G22" i="15"/>
  <c r="F22" i="15"/>
  <c r="G35" i="16"/>
  <c r="C35" i="16"/>
  <c r="C37" i="15"/>
  <c r="Q40" i="16"/>
  <c r="J33" i="15" l="1"/>
  <c r="H41" i="15" s="1"/>
  <c r="L39" i="16" s="1"/>
  <c r="J26" i="15"/>
  <c r="C84" i="15"/>
  <c r="H40" i="15" l="1"/>
  <c r="L38" i="16" s="1"/>
  <c r="H39" i="15"/>
  <c r="L37" i="16" s="1"/>
  <c r="H37" i="15"/>
  <c r="L35" i="16" s="1"/>
  <c r="H38" i="15"/>
  <c r="L36" i="16" s="1"/>
  <c r="L40" i="16" l="1"/>
  <c r="L41" i="16" s="1"/>
  <c r="H42" i="15"/>
  <c r="G81" i="15"/>
  <c r="I10" i="16" l="1"/>
  <c r="I9" i="16" l="1"/>
  <c r="M19" i="16" l="1"/>
  <c r="K19" i="16"/>
  <c r="I19" i="16"/>
  <c r="G19" i="16"/>
  <c r="F19" i="16"/>
  <c r="T57" i="16" l="1"/>
  <c r="F8" i="15"/>
  <c r="O92" i="15"/>
</calcChain>
</file>

<file path=xl/sharedStrings.xml><?xml version="1.0" encoding="utf-8"?>
<sst xmlns="http://schemas.openxmlformats.org/spreadsheetml/2006/main" count="540" uniqueCount="281">
  <si>
    <t>PT. SEMARANG AUTOCOMP MANUFACTURING INDONESIA</t>
  </si>
  <si>
    <t>NO</t>
  </si>
  <si>
    <t>NIK</t>
  </si>
  <si>
    <t>NAMA</t>
  </si>
  <si>
    <t>DEPT. / SECT.</t>
  </si>
  <si>
    <t>TANGGAL</t>
  </si>
  <si>
    <t>s/d</t>
  </si>
  <si>
    <t>-</t>
  </si>
  <si>
    <t>TUJUAN PERJALANAN DINAS</t>
  </si>
  <si>
    <t>KEPENTINGAN</t>
  </si>
  <si>
    <t>:</t>
  </si>
  <si>
    <t>UANG SAKU</t>
  </si>
  <si>
    <t>TOTAL</t>
  </si>
  <si>
    <t>STATION</t>
  </si>
  <si>
    <t>JENIS ARMADA</t>
  </si>
  <si>
    <t>WAKTU KEBERANGKATAN</t>
  </si>
  <si>
    <t>JAM</t>
  </si>
  <si>
    <t>LOKASI</t>
  </si>
  <si>
    <t>Sabuk Pengaman</t>
  </si>
  <si>
    <t>Ban Cadangan</t>
  </si>
  <si>
    <t>Dongkrak</t>
  </si>
  <si>
    <t xml:space="preserve">Pembuka Roda dan </t>
  </si>
  <si>
    <t>Apar</t>
  </si>
  <si>
    <t>Ganjal Ban (Wheel Block)</t>
  </si>
  <si>
    <t>Perisai Kolong Belakang</t>
  </si>
  <si>
    <t>Perisai Kolong Samping</t>
  </si>
  <si>
    <t>Alat Pemantul Cahaya</t>
  </si>
  <si>
    <t>Pemecah Kaca / Martil</t>
  </si>
  <si>
    <t>Usia Driver</t>
  </si>
  <si>
    <t>Kernet</t>
  </si>
  <si>
    <t>●</t>
  </si>
  <si>
    <t>x</t>
  </si>
  <si>
    <t>50 Tahun</t>
  </si>
  <si>
    <t>BUS</t>
  </si>
  <si>
    <t>NO.</t>
  </si>
  <si>
    <t>DEPARTURE</t>
  </si>
  <si>
    <t>ARRIVAL</t>
  </si>
  <si>
    <t>HOTEL</t>
  </si>
  <si>
    <t>PT. SEMARANG AUTOCOMP MANUFACTURING INDONESIA - TUGU FACTORY</t>
  </si>
  <si>
    <t>HARGA</t>
  </si>
  <si>
    <t>JML HARI</t>
  </si>
  <si>
    <t>JUMLAH</t>
  </si>
  <si>
    <t>BBM (Estimasi)</t>
  </si>
  <si>
    <t>Tol (Estimasi)</t>
  </si>
  <si>
    <t>Parkir (Estimasi)</t>
  </si>
  <si>
    <t>Overtime Driver (Estimasi)</t>
  </si>
  <si>
    <t>Fee Luar Kota Driver</t>
  </si>
  <si>
    <t>Uang Inap</t>
  </si>
  <si>
    <t>ITEM</t>
  </si>
  <si>
    <t xml:space="preserve">Biaya Antar Ambil </t>
  </si>
  <si>
    <t>KET.</t>
  </si>
  <si>
    <t>NAMA HOTEL</t>
  </si>
  <si>
    <t>ALAMAT</t>
  </si>
  <si>
    <t>PREPARED</t>
  </si>
  <si>
    <t>CHECKED</t>
  </si>
  <si>
    <t>Renny</t>
  </si>
  <si>
    <t>SMK</t>
  </si>
  <si>
    <t>FYH</t>
  </si>
  <si>
    <t>RANGE TIME</t>
  </si>
  <si>
    <t>JABATAN</t>
  </si>
  <si>
    <t>FORM/CHECKSHEET</t>
  </si>
  <si>
    <t>NO. DOKUMEN</t>
  </si>
  <si>
    <t>REVISI</t>
  </si>
  <si>
    <t xml:space="preserve">HALAMAN </t>
  </si>
  <si>
    <t>MASA BERLAKU</t>
  </si>
  <si>
    <t>APPROVED I</t>
  </si>
  <si>
    <t>APPROVED II</t>
  </si>
  <si>
    <t>AWI</t>
  </si>
  <si>
    <t>: 1</t>
  </si>
  <si>
    <t>1. MEMBER YANG AKAN PERJALANAN DINAS</t>
  </si>
  <si>
    <t>REQUEST KHUSUS</t>
  </si>
  <si>
    <t>JUMLAH KURSI (PENUMPANG)</t>
  </si>
  <si>
    <t>3. HOTEL</t>
  </si>
  <si>
    <t>2.a Pesawat</t>
  </si>
  <si>
    <t>2.b Kereta</t>
  </si>
  <si>
    <t>2.c Mobil / Hi Ace / Bus</t>
  </si>
  <si>
    <t>SMOKING</t>
  </si>
  <si>
    <t>BREAKFAST</t>
  </si>
  <si>
    <t>LAUNDRY</t>
  </si>
  <si>
    <t>No</t>
  </si>
  <si>
    <t xml:space="preserve">Mobil </t>
  </si>
  <si>
    <t>Hi Ace</t>
  </si>
  <si>
    <t>Ketentuan Jenis Kamar</t>
  </si>
  <si>
    <t>Golongan</t>
  </si>
  <si>
    <t>I</t>
  </si>
  <si>
    <t>II</t>
  </si>
  <si>
    <t>III</t>
  </si>
  <si>
    <t>IV</t>
  </si>
  <si>
    <t>V</t>
  </si>
  <si>
    <t>VI</t>
  </si>
  <si>
    <t>VII</t>
  </si>
  <si>
    <t>Standard maks. Bintang 3</t>
  </si>
  <si>
    <t>Standard maks. Bintang 4</t>
  </si>
  <si>
    <t>Standard maks. Bintang 5</t>
  </si>
  <si>
    <t>Golongan I - III</t>
  </si>
  <si>
    <t>Luar Negeri</t>
  </si>
  <si>
    <t>Dalam Negeri</t>
  </si>
  <si>
    <t>Pesawat Udara Kelas Ekonomi</t>
  </si>
  <si>
    <t>Kereta Api / Bus</t>
  </si>
  <si>
    <t>Golongan IV - V</t>
  </si>
  <si>
    <t>Golongan VI - VII</t>
  </si>
  <si>
    <t>Pesawat Udara Kelas Bisnis</t>
  </si>
  <si>
    <t>NOTE : Standar kelengkapan armada</t>
  </si>
  <si>
    <t>2. TRANSPORTASI</t>
  </si>
  <si>
    <t>PIC</t>
  </si>
  <si>
    <t>REVIEW</t>
  </si>
  <si>
    <t>TGL</t>
  </si>
  <si>
    <t>ISI PERUBAHAN</t>
  </si>
  <si>
    <t>REV.</t>
  </si>
  <si>
    <t>New Release</t>
  </si>
  <si>
    <t>PERLINDUNGAN HAK CIPTA!                                                                                       
Dokumen ini adalah milik dan untuk dipergunakan di lingkungan kerja PT. SAMI .
Tidak diperkenankan memindahkan, menyalin, atau menggandakan sebagian ataupun seluruhnya isi dokumen ini dalam bentuk dan dengan cara apapun, tanpa izin tertulis dari Wakil manajemen.</t>
  </si>
  <si>
    <r>
      <t xml:space="preserve">Referensi Prosedur/WI/OS/IS/ :
</t>
    </r>
    <r>
      <rPr>
        <sz val="10"/>
        <color theme="1"/>
        <rFont val="Calibri"/>
        <family val="2"/>
        <scheme val="minor"/>
      </rPr>
      <t>PGA-GA.PD.02 : Prosedur Perjalanan Dinas</t>
    </r>
  </si>
  <si>
    <t>Laundry</t>
  </si>
  <si>
    <t>SHUTTLE</t>
  </si>
  <si>
    <t>Name :</t>
  </si>
  <si>
    <t xml:space="preserve">TTD PIC </t>
  </si>
  <si>
    <t>A</t>
  </si>
  <si>
    <r>
      <t xml:space="preserve">Perjalanan Dinas yang memakan waktu </t>
    </r>
    <r>
      <rPr>
        <b/>
        <i/>
        <u/>
        <sz val="12"/>
        <color theme="1"/>
        <rFont val="Calibri"/>
        <family val="2"/>
        <scheme val="minor"/>
      </rPr>
      <t xml:space="preserve">3 (tiga) hari atau lebih </t>
    </r>
    <r>
      <rPr>
        <i/>
        <sz val="12"/>
        <color theme="1"/>
        <rFont val="Calibri"/>
        <family val="2"/>
        <scheme val="minor"/>
      </rPr>
      <t xml:space="preserve">maka ia berhak atas penggantian biaya cuci pakaian (laundry) </t>
    </r>
    <r>
      <rPr>
        <b/>
        <i/>
        <u/>
        <sz val="12"/>
        <color theme="1"/>
        <rFont val="Calibri"/>
        <family val="2"/>
        <scheme val="minor"/>
      </rPr>
      <t xml:space="preserve">5pcs per-hari </t>
    </r>
    <r>
      <rPr>
        <i/>
        <sz val="12"/>
        <color theme="1"/>
        <rFont val="Calibri"/>
        <family val="2"/>
        <scheme val="minor"/>
      </rPr>
      <t>(blouse / kemeja, celana, pakaian dalam dan kaos kaki)</t>
    </r>
  </si>
  <si>
    <r>
      <t xml:space="preserve">Isi kolom di bawah ini dengan tanda </t>
    </r>
    <r>
      <rPr>
        <i/>
        <sz val="12"/>
        <color theme="1"/>
        <rFont val="Calibri"/>
        <family val="2"/>
      </rPr>
      <t>Ѵ atau X</t>
    </r>
  </si>
  <si>
    <r>
      <t xml:space="preserve">Segitiga Pengaman </t>
    </r>
    <r>
      <rPr>
        <i/>
        <sz val="12"/>
        <color theme="1"/>
        <rFont val="Calibri"/>
        <family val="2"/>
        <scheme val="minor"/>
      </rPr>
      <t>(Minimal 2 buah, berwarna merah, dapat memantulkan cahaya)</t>
    </r>
  </si>
  <si>
    <r>
      <t>Kotak P3K</t>
    </r>
    <r>
      <rPr>
        <i/>
        <sz val="12"/>
        <color theme="1"/>
        <rFont val="Calibri"/>
        <family val="2"/>
        <scheme val="minor"/>
      </rPr>
      <t>(Minimal berisi obat antiseptik, kain kassa, kapas, plester)</t>
    </r>
  </si>
  <si>
    <r>
      <t xml:space="preserve">●
</t>
    </r>
    <r>
      <rPr>
        <i/>
        <sz val="12"/>
        <color theme="1"/>
        <rFont val="Calibri"/>
        <family val="2"/>
      </rPr>
      <t>(1x M1 berat 1 Kg)</t>
    </r>
  </si>
  <si>
    <r>
      <t xml:space="preserve">●
</t>
    </r>
    <r>
      <rPr>
        <i/>
        <sz val="12"/>
        <color theme="1"/>
        <rFont val="Calibri"/>
        <family val="2"/>
      </rPr>
      <t>(2x M1 berat 1 Kg)</t>
    </r>
  </si>
  <si>
    <r>
      <t xml:space="preserve">●
</t>
    </r>
    <r>
      <rPr>
        <i/>
        <sz val="12"/>
        <color theme="1"/>
        <rFont val="Calibri"/>
        <family val="2"/>
      </rPr>
      <t>(Jika &gt; 3,500 Kg)</t>
    </r>
  </si>
  <si>
    <t>Point</t>
  </si>
  <si>
    <t>TAHAP</t>
  </si>
  <si>
    <t>KETERANGAN</t>
  </si>
  <si>
    <t>ISI FORM REQUEST PERHITUNGAN BIAYA PERJALANAN DINAS</t>
  </si>
  <si>
    <t>ISI FORM SUMMARY PERBANDINGAN PERJALANAN DINAS KEMUDIAN DI SERAHKAN KE USER</t>
  </si>
  <si>
    <t>PROSES PEMESANAN TIKET / ARMADA &amp; HOTEL</t>
  </si>
  <si>
    <t>PROSES PEMBUATAN PR UPD (yang harus cair sebelum dilaksanakannya perjalanan dinas)</t>
  </si>
  <si>
    <t>PROSES PEMBUATAN PR TIKET / ARMADA &amp; HOTEL</t>
  </si>
  <si>
    <t>EMAIL SPD KE-HR (cc FA)</t>
  </si>
  <si>
    <t>WHO</t>
  </si>
  <si>
    <t>User</t>
  </si>
  <si>
    <t>GA</t>
  </si>
  <si>
    <t>INFORMASI KUNJUNGAN PERJALANAN DINAS KE- GA AFFILIATE TUJUAN</t>
  </si>
  <si>
    <t>~ TIME TABLE PERSIAPAN PERJALANAN DINAS</t>
  </si>
  <si>
    <t>Date</t>
  </si>
  <si>
    <t>TIME LIMIT (ke-GA)</t>
  </si>
  <si>
    <t>H-10 sebelum hari-H</t>
  </si>
  <si>
    <t>H-13 sebelum hari-H</t>
  </si>
  <si>
    <t>H-15 sebelum hari-H</t>
  </si>
  <si>
    <t>H-1 sebelum hari-H</t>
  </si>
  <si>
    <t>H-7 sebelum hari-H</t>
  </si>
  <si>
    <t>H-8 sebelum hari-H</t>
  </si>
  <si>
    <t>di isi oleh GA</t>
  </si>
  <si>
    <t xml:space="preserve">ATUR &amp; KONFIRMASI PENJEMPUTAN </t>
  </si>
  <si>
    <t>plan</t>
  </si>
  <si>
    <t>actual</t>
  </si>
  <si>
    <t>AIR PORT</t>
  </si>
  <si>
    <t>NOTE : Standar transportasi berdasarkan Prosedur Perjalanan Dinas (PGA-GA.PD.02)</t>
  </si>
  <si>
    <t>NOTE : Standar penginapan berdasarkan Prosedur Perjalanan Dinas (PGA-GA.PD.02)</t>
  </si>
  <si>
    <t>MEMINTA APPROVAL SAMPAI DENGAN PRESDIR DAN MGR FA KEMUDIAN FORM DI SERAHKAN KE GA</t>
  </si>
  <si>
    <t>: 083/PGA/GS/FORM/RPBPD</t>
  </si>
  <si>
    <t>Date :</t>
  </si>
  <si>
    <r>
      <t>H</t>
    </r>
    <r>
      <rPr>
        <sz val="14"/>
        <color theme="1"/>
        <rFont val="Calibri"/>
        <family val="2"/>
        <scheme val="minor"/>
      </rPr>
      <t>+</t>
    </r>
    <r>
      <rPr>
        <sz val="12"/>
        <color theme="1"/>
        <rFont val="Calibri"/>
        <family val="2"/>
        <scheme val="minor"/>
      </rPr>
      <t>7 setelah Issued Tiket (point no.4)</t>
    </r>
  </si>
  <si>
    <t>NO. REKENING</t>
  </si>
  <si>
    <t>APPROVED</t>
  </si>
  <si>
    <t>HALAMAN</t>
  </si>
  <si>
    <r>
      <rPr>
        <b/>
        <sz val="11"/>
        <color theme="1"/>
        <rFont val="Calibri"/>
        <family val="2"/>
        <scheme val="minor"/>
      </rPr>
      <t>Referensi Prosedur/WI/OS/IS/ :</t>
    </r>
    <r>
      <rPr>
        <sz val="11"/>
        <color theme="1"/>
        <rFont val="Calibri"/>
        <family val="2"/>
        <scheme val="minor"/>
      </rPr>
      <t xml:space="preserve">
PGA-GA.PD.02 : Prosedur Perjalanan Dinas</t>
    </r>
  </si>
  <si>
    <t>NOTE : Standar UPD Dalam Negeri berdasarkan Prosedur Perjalanan Dinas (PGA-GA.PD.02)</t>
  </si>
  <si>
    <t>: 1/2</t>
  </si>
  <si>
    <t>: 4</t>
  </si>
  <si>
    <t>: 023/PGA/GA/FORM/SPDDN</t>
  </si>
  <si>
    <t>SURAT PERJALANAN DINAS DALAM NEGERI</t>
  </si>
  <si>
    <t>Add Actual UPD</t>
  </si>
  <si>
    <t>New Format</t>
  </si>
  <si>
    <t>Update Tgl Masa Berlaku &amp; Rev. No. Dok.</t>
  </si>
  <si>
    <t>LNA</t>
  </si>
  <si>
    <t>WIN</t>
  </si>
  <si>
    <t>Penggabungan approval perjalanan dinas</t>
  </si>
  <si>
    <t>RENNY</t>
  </si>
  <si>
    <t xml:space="preserve">LAMPIRAN (Rincian) </t>
  </si>
  <si>
    <t>GOL</t>
  </si>
  <si>
    <t>SUB TOTAL</t>
  </si>
  <si>
    <t>1. PESERTA</t>
  </si>
  <si>
    <t>FM / DFM</t>
  </si>
  <si>
    <t>PRESDIR</t>
  </si>
  <si>
    <t>BRI</t>
  </si>
  <si>
    <t>2. BIAYA PERJALANAN DINAS</t>
  </si>
  <si>
    <t>UPD</t>
  </si>
  <si>
    <t>PRICE</t>
  </si>
  <si>
    <t>ESTIMATED
PRICE</t>
  </si>
  <si>
    <t>Hari Senin 1 Minggu sebelum hari-H (08:00)</t>
  </si>
  <si>
    <t>: 11-07-2023</t>
  </si>
  <si>
    <t>YANG MENERIMA PERINTAH</t>
  </si>
  <si>
    <t>1. UPD</t>
  </si>
  <si>
    <r>
      <t>2. TRANSPORTASI</t>
    </r>
    <r>
      <rPr>
        <i/>
        <sz val="12"/>
        <color theme="1"/>
        <rFont val="Calibri"/>
        <family val="2"/>
        <scheme val="minor"/>
      </rPr>
      <t xml:space="preserve">      </t>
    </r>
    <r>
      <rPr>
        <i/>
        <u/>
        <sz val="12"/>
        <color theme="1"/>
        <rFont val="Calibri"/>
        <family val="2"/>
        <scheme val="minor"/>
      </rPr>
      <t>(PIC Perjalanan Dinas tanda tangan pada kolom transportasi yang dipilih atau yang diajukan)</t>
    </r>
  </si>
  <si>
    <t>SPV</t>
  </si>
  <si>
    <t>PERIODE BUDGET</t>
  </si>
  <si>
    <t>Rincian Golongan</t>
  </si>
  <si>
    <t>LUNCH</t>
  </si>
  <si>
    <t>DINNER</t>
  </si>
  <si>
    <t>JML BIAYA</t>
  </si>
  <si>
    <t>PERIODE</t>
  </si>
  <si>
    <t>KET ROOM</t>
  </si>
  <si>
    <t>Check In</t>
  </si>
  <si>
    <t>Check Out</t>
  </si>
  <si>
    <t>TRANSPORTASI</t>
  </si>
  <si>
    <t>: 2 / 2</t>
  </si>
  <si>
    <t xml:space="preserve"> </t>
  </si>
  <si>
    <t>QTY ROOM</t>
  </si>
  <si>
    <t>QTY NIGHT</t>
  </si>
  <si>
    <t>ROOM</t>
  </si>
  <si>
    <t>BIAYA SEWA UNIT</t>
  </si>
  <si>
    <t>BIAYA OPERATIONAL MOBIL</t>
  </si>
  <si>
    <t>MGR</t>
  </si>
  <si>
    <t>6.
MENGETAHUI
MGR FA</t>
  </si>
  <si>
    <r>
      <rPr>
        <b/>
        <u/>
        <sz val="18"/>
        <color theme="1"/>
        <rFont val="Times New Roman"/>
        <family val="1"/>
      </rPr>
      <t>NOTE :</t>
    </r>
    <r>
      <rPr>
        <b/>
        <sz val="14"/>
        <color theme="1"/>
        <rFont val="Times New Roman"/>
        <family val="1"/>
      </rPr>
      <t xml:space="preserve">
</t>
    </r>
    <r>
      <rPr>
        <sz val="14"/>
        <color theme="1"/>
        <rFont val="Times New Roman"/>
        <family val="1"/>
      </rPr>
      <t>1. Ket. Budget di isi bulan periode budget atau di tulis "additional" jika additional budget
2. Approval diproses oleh User
3. Approval pada form ini akan digunakan sebagai jaminan GA dalam melakukan proses issued ticket dan hotel sebelum user melakukan pembuatan PR (purchase requisition).
4. Pembuatan PR setelah proses issued bertujuan agar tidak terjadi selisih harga PR (purchase requisition) dengan actual.</t>
    </r>
  </si>
  <si>
    <t>GRAB CAR</t>
  </si>
  <si>
    <t>2.1 PESAWAT</t>
  </si>
  <si>
    <t>QTY</t>
  </si>
  <si>
    <t>FLIGHT SCHEDULE</t>
  </si>
  <si>
    <t>LOKAL TRANSPORT</t>
  </si>
  <si>
    <t>: 15-10-2024</t>
  </si>
  <si>
    <t>: 14-10-2025</t>
  </si>
  <si>
    <t>(form ini digunakan GA sebagai acuan perhitungan biaya perjalanan dinas)</t>
  </si>
  <si>
    <t>FORM REQUEST PERHITUNGAN BIAYA PERJALANAN DINAS</t>
  </si>
  <si>
    <t>Update Masa Berlaku</t>
  </si>
  <si>
    <t>Yes</t>
  </si>
  <si>
    <t>KIW</t>
  </si>
  <si>
    <t>: 10-07-2025</t>
  </si>
  <si>
    <t>LL</t>
  </si>
  <si>
    <t>PRD</t>
  </si>
  <si>
    <t>EAS</t>
  </si>
  <si>
    <t>QA</t>
  </si>
  <si>
    <t>NYS</t>
  </si>
  <si>
    <t>SUS</t>
  </si>
  <si>
    <t>PAN</t>
  </si>
  <si>
    <t>AMU</t>
  </si>
  <si>
    <t>MIS / TMI</t>
  </si>
  <si>
    <t>: (JIE) Jl. BENYAMIN SUEB, PADEMANGAN TIM, KEC. PADEMANGAN, JAKARTA UTARA</t>
  </si>
  <si>
    <t>: PAMERAN TEKNOLOGI INDUSTRI</t>
  </si>
  <si>
    <t>PUDJI SRI SAPUTRI</t>
  </si>
  <si>
    <t>AGIL ZHEGA PRASETYA</t>
  </si>
  <si>
    <t>MUNHAMIR</t>
  </si>
  <si>
    <t>ADITYA FAHRIZAL</t>
  </si>
  <si>
    <t>SUPRIYANTO</t>
  </si>
  <si>
    <t>HI ACE</t>
  </si>
  <si>
    <t>INNOVA REBORN</t>
  </si>
  <si>
    <t>SAMI</t>
  </si>
  <si>
    <t>NOVOTEL MANGGA 2</t>
  </si>
  <si>
    <t>GRAND ORCHAD</t>
  </si>
  <si>
    <t>JAKARTA MANGGA 2</t>
  </si>
  <si>
    <t>GUNUNG SAHARI</t>
  </si>
  <si>
    <t>PSS</t>
  </si>
  <si>
    <t>PSSS</t>
  </si>
  <si>
    <t>di Hotel</t>
  </si>
  <si>
    <t xml:space="preserve">BERANGKAT </t>
  </si>
  <si>
    <t xml:space="preserve">PULANG </t>
  </si>
  <si>
    <t>HI ACE PREMIO 8 Seat</t>
  </si>
  <si>
    <t>INNOVA REBORN 5 Seat</t>
  </si>
  <si>
    <t>ESTIMASI</t>
  </si>
  <si>
    <t>Deluxe</t>
  </si>
  <si>
    <r>
      <rPr>
        <b/>
        <sz val="16"/>
        <color rgb="FF0000CC"/>
        <rFont val="Calibri"/>
        <family val="2"/>
        <scheme val="minor"/>
      </rPr>
      <t>Grand Orchardz Hotel Kemayoran Jakarta</t>
    </r>
    <r>
      <rPr>
        <sz val="12"/>
        <color rgb="FF0000CC"/>
        <rFont val="Calibri"/>
        <family val="2"/>
        <scheme val="minor"/>
      </rPr>
      <t xml:space="preserve">
JL. Rajawali Selatan No 1b Kemayoran 10720 Jakarta</t>
    </r>
  </si>
  <si>
    <t>Full</t>
  </si>
  <si>
    <t>Superior Twin</t>
  </si>
  <si>
    <t>Business</t>
  </si>
  <si>
    <r>
      <rPr>
        <b/>
        <sz val="16"/>
        <color rgb="FF0000CC"/>
        <rFont val="Calibri"/>
        <family val="2"/>
        <scheme val="minor"/>
      </rPr>
      <t>BW Kemayoran Hotel &amp; Convention
(Formerly Best Western Plus Kemayoran)</t>
    </r>
    <r>
      <rPr>
        <sz val="12"/>
        <color rgb="FF0000CC"/>
        <rFont val="Calibri"/>
        <family val="2"/>
        <scheme val="minor"/>
      </rPr>
      <t xml:space="preserve">
Jl Benyamin Suaeb Blok A5, Kemayoran - Central Jakarta, Jakarta, 10630, Indonesia. 
CI/CO : 04 - 06 Dec (02 Malam)
Superior Twin : IDR 613.000/room/night include breakfast</t>
    </r>
  </si>
  <si>
    <r>
      <rPr>
        <b/>
        <sz val="16"/>
        <color rgb="FF0000CC"/>
        <rFont val="Calibri"/>
        <family val="2"/>
        <scheme val="minor"/>
      </rPr>
      <t>Caspella Suites Hotel Kemayoran</t>
    </r>
    <r>
      <rPr>
        <sz val="12"/>
        <color rgb="FF0000CC"/>
        <rFont val="Calibri"/>
        <family val="2"/>
        <scheme val="minor"/>
      </rPr>
      <t xml:space="preserve">
Jalan Benyamin Suaeb Block A5, Kemayoran. Jakarta Pusat, Kemayoran - Central Jakarta, Jakarta, 10630, Indonesia
CI/CO : 04 - 06 Dec (02 Malam)
Business : IDR 780.000/room/night include breakfast</t>
    </r>
  </si>
  <si>
    <r>
      <rPr>
        <b/>
        <sz val="16"/>
        <color rgb="FF0000CC"/>
        <rFont val="Calibri"/>
        <family val="2"/>
        <scheme val="minor"/>
      </rPr>
      <t>Novotel Jakarta Mangga Dua Square</t>
    </r>
    <r>
      <rPr>
        <sz val="12"/>
        <color rgb="FF0000CC"/>
        <rFont val="Calibri"/>
        <family val="2"/>
        <scheme val="minor"/>
      </rPr>
      <t xml:space="preserve">
Jalan Gunung Sahari Raya No 1, Mangga Besar - West Jakarta, Jakarta, 14420, Indonesia.
CI/CO : 04 - 06 Dec (02 Malam)
Deluxe : IDR 1.464.000/room/night include breakfast</t>
    </r>
  </si>
  <si>
    <t>MOBIL</t>
  </si>
  <si>
    <t>HI ACE COMMUTER</t>
  </si>
  <si>
    <t>AZP</t>
  </si>
  <si>
    <t>MUN</t>
  </si>
  <si>
    <t>AFA</t>
  </si>
  <si>
    <t>Supriyanto</t>
  </si>
  <si>
    <t>ANG</t>
  </si>
  <si>
    <t>BY : CAR</t>
  </si>
  <si>
    <r>
      <rPr>
        <b/>
        <sz val="12"/>
        <color rgb="FF0000CC"/>
        <rFont val="Times New Roman"/>
        <family val="1"/>
      </rPr>
      <t>BW Kemayoran Hotel &amp; Convention</t>
    </r>
    <r>
      <rPr>
        <sz val="10"/>
        <color rgb="FF0000CC"/>
        <rFont val="Times New Roman"/>
        <family val="1"/>
      </rPr>
      <t xml:space="preserve">
(Formerly Best Western Plus Kemayoran)
Jl Benyamin Suaeb Blok A5, Kemayoran - Central Jakarta, Jakarta, 10630, Indonesia. 
CI/CO : 04 - 06 Dec (02 Malam)
Superior Twin : IDR 613.000/room/night include breakfast</t>
    </r>
  </si>
  <si>
    <t>INNOVA ZENIX 5 Seat</t>
  </si>
  <si>
    <t>PE</t>
  </si>
  <si>
    <t>BUDGET MMENGHADIRI PAMERAN INDUSTRI</t>
  </si>
  <si>
    <t>SEWA UNIT MOBIL LEPAS KUNCI</t>
  </si>
  <si>
    <t>BBM PERJALANAN DINAS</t>
  </si>
  <si>
    <t>TOL DAN PARKIR PERJALANAN DINAS</t>
  </si>
  <si>
    <t>UANG LUAR KOTA DRIVER PERJANAN DINAS</t>
  </si>
  <si>
    <t>BIAYA INAP DRIVER PERJALANAN DINAS</t>
  </si>
  <si>
    <t>OVERTIME DRIVER PERJALANAN DINAS</t>
  </si>
  <si>
    <t>HOTEL MEETING/BENCHMARK GOL IV(DALAM NEGERI)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</si>
</sst>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_(* #,##0_);_(* \(#,##0\);_(* &quot;-&quot;_);_(@_)"/>
    <numFmt numFmtId="165" formatCode="_(* #,##0.00_);_(* \(#,##0.00\);_(* &quot;-&quot;??_);_(@_)"/>
    <numFmt numFmtId="166" formatCode="[$-13809]dd\ mmmm\ yyyy;@"/>
    <numFmt numFmtId="167" formatCode="_(* #,##0_);_(* \(#,##0\);_(* &quot;-&quot;??_);_(@_)"/>
    <numFmt numFmtId="168" formatCode="[$-F800]dddd\,\ mmmm\ dd\,\ yyyy"/>
    <numFmt numFmtId="169" formatCode="[$-13809]d\ mmm\ yyyy;@"/>
    <numFmt numFmtId="170" formatCode="[$-409]d\-mmm;@"/>
    <numFmt numFmtId="171" formatCode="_-[$Rp-421]* #,##0_-;\-[$Rp-421]* #,##0_-;_-[$Rp-421]* &quot;-&quot;??_-;_-@_-"/>
    <numFmt numFmtId="172" formatCode="[$-409]dd\-mmm\-yy;@"/>
    <numFmt numFmtId="173" formatCode="[$-409]d\-mmm\-yy;@"/>
  </numFmts>
  <fonts count="76"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i/>
      <sz val="11"/>
      <color theme="1"/>
      <name val="Calibri"/>
      <family val="2"/>
      <scheme val="minor"/>
    </font>
    <font>
      <b/>
      <i/>
      <sz val="12"/>
      <color theme="1"/>
      <name val="Calibri"/>
      <family val="2"/>
      <scheme val="minor"/>
    </font>
    <font>
      <b/>
      <sz val="16"/>
      <color rgb="FF0000CC"/>
      <name val="Comic Sans MS"/>
      <family val="4"/>
    </font>
    <font>
      <b/>
      <sz val="11"/>
      <color rgb="FF0000CC"/>
      <name val="Comic Sans MS"/>
      <family val="4"/>
    </font>
    <font>
      <b/>
      <sz val="12"/>
      <color rgb="FF0000CC"/>
      <name val="Comic Sans MS"/>
      <family val="4"/>
    </font>
    <font>
      <i/>
      <sz val="9"/>
      <color theme="1"/>
      <name val="Calibri"/>
      <family val="2"/>
      <scheme val="minor"/>
    </font>
    <font>
      <b/>
      <i/>
      <sz val="10"/>
      <color theme="1"/>
      <name val="Calibri"/>
      <family val="2"/>
      <scheme val="minor"/>
    </font>
    <font>
      <b/>
      <i/>
      <sz val="12"/>
      <color theme="1"/>
      <name val="Calibri"/>
      <family val="2"/>
    </font>
    <font>
      <i/>
      <sz val="12"/>
      <color theme="1"/>
      <name val="Calibri"/>
      <family val="2"/>
      <scheme val="minor"/>
    </font>
    <font>
      <i/>
      <sz val="12"/>
      <color theme="1"/>
      <name val="Calibri"/>
      <family val="2"/>
    </font>
    <font>
      <b/>
      <sz val="10"/>
      <color theme="1"/>
      <name val="Calibri"/>
      <family val="2"/>
      <scheme val="minor"/>
    </font>
    <font>
      <b/>
      <sz val="9"/>
      <color rgb="FFFF0000"/>
      <name val="Calibri"/>
      <family val="2"/>
      <scheme val="minor"/>
    </font>
    <font>
      <b/>
      <i/>
      <u/>
      <sz val="12"/>
      <color theme="1"/>
      <name val="Calibri"/>
      <family val="2"/>
      <scheme val="minor"/>
    </font>
    <font>
      <u/>
      <sz val="12"/>
      <color theme="1"/>
      <name val="Calibri"/>
      <family val="2"/>
      <scheme val="minor"/>
    </font>
    <font>
      <sz val="14"/>
      <color theme="1"/>
      <name val="Calibri"/>
      <family val="2"/>
      <scheme val="minor"/>
    </font>
    <font>
      <sz val="12"/>
      <color rgb="FF0000CC"/>
      <name val="Calibri"/>
      <family val="2"/>
      <scheme val="minor"/>
    </font>
    <font>
      <b/>
      <sz val="14"/>
      <color rgb="FF0000CC"/>
      <name val="Comic Sans MS"/>
      <family val="4"/>
    </font>
    <font>
      <b/>
      <sz val="10"/>
      <color rgb="FFFF0000"/>
      <name val="Calibri"/>
      <family val="2"/>
      <scheme val="minor"/>
    </font>
    <font>
      <b/>
      <sz val="18"/>
      <color theme="1"/>
      <name val="Calibri"/>
      <family val="2"/>
      <scheme val="minor"/>
    </font>
    <font>
      <sz val="12"/>
      <color theme="1"/>
      <name val="Comic Sans MS"/>
      <family val="4"/>
    </font>
    <font>
      <i/>
      <u/>
      <sz val="12"/>
      <color theme="1"/>
      <name val="Calibri"/>
      <family val="2"/>
      <scheme val="minor"/>
    </font>
    <font>
      <i/>
      <sz val="14"/>
      <color theme="1"/>
      <name val="Calibri"/>
      <family val="2"/>
      <scheme val="minor"/>
    </font>
    <font>
      <b/>
      <u/>
      <sz val="14"/>
      <color theme="1"/>
      <name val="Calibri"/>
      <family val="2"/>
      <scheme val="minor"/>
    </font>
    <font>
      <b/>
      <sz val="14"/>
      <color rgb="FFFF0000"/>
      <name val="Calibri"/>
      <family val="2"/>
      <scheme val="minor"/>
    </font>
    <font>
      <sz val="12"/>
      <color rgb="FF0000CC"/>
      <name val="Comic Sans MS"/>
      <family val="4"/>
    </font>
    <font>
      <b/>
      <i/>
      <sz val="14"/>
      <color theme="1"/>
      <name val="Calibri"/>
      <family val="2"/>
      <scheme val="minor"/>
    </font>
    <font>
      <b/>
      <sz val="14"/>
      <color theme="0"/>
      <name val="Calibri"/>
      <family val="2"/>
      <scheme val="minor"/>
    </font>
    <font>
      <sz val="14"/>
      <color rgb="FF0000CC"/>
      <name val="Calibri"/>
      <family val="2"/>
      <scheme val="minor"/>
    </font>
    <font>
      <b/>
      <sz val="14"/>
      <color rgb="FF0000CC"/>
      <name val="Calibri"/>
      <family val="2"/>
      <scheme val="minor"/>
    </font>
    <font>
      <b/>
      <sz val="16"/>
      <color theme="1"/>
      <name val="Times New Roman"/>
      <family val="1"/>
    </font>
    <font>
      <b/>
      <sz val="14"/>
      <color theme="1"/>
      <name val="Times New Roman"/>
      <family val="1"/>
    </font>
    <font>
      <b/>
      <sz val="20"/>
      <color theme="1"/>
      <name val="Times New Roman"/>
      <family val="1"/>
    </font>
    <font>
      <b/>
      <sz val="20"/>
      <color rgb="FF0000CC"/>
      <name val="Times New Roman"/>
      <family val="1"/>
    </font>
    <font>
      <sz val="20"/>
      <color theme="1"/>
      <name val="Times New Roman"/>
      <family val="1"/>
    </font>
    <font>
      <sz val="11"/>
      <color theme="1"/>
      <name val="Times New Roman"/>
      <family val="1"/>
    </font>
    <font>
      <sz val="12"/>
      <color theme="1"/>
      <name val="Times New Roman"/>
      <family val="1"/>
    </font>
    <font>
      <b/>
      <sz val="12"/>
      <color theme="1"/>
      <name val="Times New Roman"/>
      <family val="1"/>
    </font>
    <font>
      <b/>
      <sz val="10"/>
      <color theme="1"/>
      <name val="Times New Roman"/>
      <family val="1"/>
    </font>
    <font>
      <sz val="14"/>
      <color theme="1"/>
      <name val="Times New Roman"/>
      <family val="1"/>
    </font>
    <font>
      <b/>
      <sz val="14"/>
      <color rgb="FF0000CC"/>
      <name val="Times New Roman"/>
      <family val="1"/>
    </font>
    <font>
      <i/>
      <sz val="14"/>
      <color rgb="FF0000CC"/>
      <name val="Times New Roman"/>
      <family val="1"/>
    </font>
    <font>
      <b/>
      <u/>
      <sz val="20"/>
      <color theme="1"/>
      <name val="Times New Roman"/>
      <family val="1"/>
    </font>
    <font>
      <sz val="10"/>
      <color rgb="FF0000CC"/>
      <name val="Times New Roman"/>
      <family val="1"/>
    </font>
    <font>
      <sz val="14"/>
      <color rgb="FF0000CC"/>
      <name val="Times New Roman"/>
      <family val="1"/>
    </font>
    <font>
      <b/>
      <sz val="11"/>
      <color theme="1"/>
      <name val="Times New Roman"/>
      <family val="1"/>
    </font>
    <font>
      <sz val="16"/>
      <color theme="1"/>
      <name val="Times New Roman"/>
      <family val="1"/>
    </font>
    <font>
      <sz val="10"/>
      <color theme="1"/>
      <name val="Times New Roman"/>
      <family val="1"/>
    </font>
    <font>
      <b/>
      <sz val="18"/>
      <color theme="1"/>
      <name val="Times New Roman"/>
      <family val="1"/>
    </font>
    <font>
      <b/>
      <u/>
      <sz val="18"/>
      <color theme="1"/>
      <name val="Times New Roman"/>
      <family val="1"/>
    </font>
    <font>
      <sz val="14"/>
      <color theme="0"/>
      <name val="Calibri"/>
      <family val="2"/>
      <scheme val="minor"/>
    </font>
    <font>
      <sz val="10"/>
      <name val="Times New Roman"/>
      <family val="1"/>
    </font>
    <font>
      <sz val="14"/>
      <color rgb="FF0000CC"/>
      <name val="Cambria"/>
      <family val="1"/>
      <scheme val="major"/>
    </font>
    <font>
      <sz val="16"/>
      <color rgb="FF0000CC"/>
      <name val="Cambria"/>
      <family val="1"/>
      <scheme val="major"/>
    </font>
    <font>
      <b/>
      <sz val="14"/>
      <color rgb="FF0000CC"/>
      <name val="Cambria"/>
      <family val="1"/>
      <scheme val="major"/>
    </font>
    <font>
      <b/>
      <sz val="12"/>
      <color rgb="FF0000CC"/>
      <name val="Cambria"/>
      <family val="1"/>
      <scheme val="major"/>
    </font>
    <font>
      <b/>
      <sz val="16"/>
      <color rgb="FF0000CC"/>
      <name val="Cambria"/>
      <family val="1"/>
      <scheme val="major"/>
    </font>
    <font>
      <b/>
      <sz val="20"/>
      <color rgb="FF0000CC"/>
      <name val="Cambria"/>
      <family val="1"/>
      <scheme val="major"/>
    </font>
    <font>
      <sz val="11"/>
      <color rgb="FF0000CC"/>
      <name val="Calibri"/>
      <family val="2"/>
      <scheme val="minor"/>
    </font>
    <font>
      <sz val="10"/>
      <name val="Segoe Print"/>
    </font>
    <font>
      <sz val="10"/>
      <color rgb="FF0000CC"/>
      <name val="Calibri"/>
      <family val="2"/>
      <scheme val="minor"/>
    </font>
    <font>
      <sz val="11"/>
      <color theme="0"/>
      <name val="Calibri"/>
      <family val="2"/>
      <scheme val="minor"/>
    </font>
    <font>
      <sz val="20"/>
      <color theme="1"/>
      <name val="Cambria"/>
      <family val="1"/>
      <scheme val="major"/>
    </font>
    <font>
      <b/>
      <sz val="16"/>
      <color rgb="FF0000CC"/>
      <name val="Calibri"/>
      <family val="2"/>
      <scheme val="minor"/>
    </font>
    <font>
      <b/>
      <i/>
      <sz val="14"/>
      <color rgb="FF0000CC"/>
      <name val="Calibri"/>
      <family val="2"/>
      <scheme val="minor"/>
    </font>
    <font>
      <b/>
      <sz val="12"/>
      <color rgb="FF0000CC"/>
      <name val="Times New Roman"/>
      <family val="1"/>
    </font>
    <font>
      <sz val="11"/>
      <color rgb="FFFF0000"/>
      <name val="Calibri"/>
      <family val="2"/>
      <scheme val="minor"/>
    </font>
    <font>
      <sz val="11"/>
      <name val="Calibri"/>
      <family val="2"/>
      <scheme val="minor"/>
    </font>
  </fonts>
  <fills count="10">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FFFFCC"/>
        <bgColor indexed="64"/>
      </patternFill>
    </fill>
    <fill>
      <patternFill patternType="solid">
        <fgColor theme="8"/>
        <bgColor indexed="64"/>
      </patternFill>
    </fill>
    <fill>
      <patternFill patternType="solid">
        <fgColor theme="9" tint="0.39997558519241921"/>
        <bgColor indexed="64"/>
      </patternFill>
    </fill>
  </fills>
  <borders count="6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hair">
        <color auto="1"/>
      </bottom>
      <diagonal/>
    </border>
    <border>
      <left/>
      <right/>
      <top style="hair">
        <color auto="1"/>
      </top>
      <bottom style="hair">
        <color auto="1"/>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bottom/>
      <diagonal/>
    </border>
    <border>
      <left style="thin">
        <color indexed="64"/>
      </left>
      <right/>
      <top style="double">
        <color indexed="64"/>
      </top>
      <bottom style="double">
        <color indexed="64"/>
      </bottom>
      <diagonal/>
    </border>
    <border>
      <left/>
      <right style="thin">
        <color indexed="64"/>
      </right>
      <top style="double">
        <color indexed="64"/>
      </top>
      <bottom style="double">
        <color indexed="64"/>
      </bottom>
      <diagonal/>
    </border>
    <border>
      <left/>
      <right/>
      <top/>
      <bottom style="thick">
        <color auto="1"/>
      </bottom>
      <diagonal/>
    </border>
    <border>
      <left/>
      <right/>
      <top/>
      <bottom style="double">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auto="1"/>
      </bottom>
      <diagonal/>
    </border>
    <border>
      <left/>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hair">
        <color auto="1"/>
      </top>
      <bottom/>
      <diagonal/>
    </border>
    <border>
      <left/>
      <right style="thin">
        <color indexed="64"/>
      </right>
      <top style="hair">
        <color indexed="64"/>
      </top>
      <bottom/>
      <diagonal/>
    </border>
    <border>
      <left style="thin">
        <color indexed="64"/>
      </left>
      <right/>
      <top/>
      <bottom style="thick">
        <color indexed="64"/>
      </bottom>
      <diagonal/>
    </border>
    <border>
      <left/>
      <right style="thin">
        <color indexed="64"/>
      </right>
      <top/>
      <bottom style="thick">
        <color indexed="64"/>
      </bottom>
      <diagonal/>
    </border>
    <border>
      <left/>
      <right/>
      <top style="double">
        <color indexed="64"/>
      </top>
      <bottom style="thin">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thick">
        <color indexed="64"/>
      </left>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style="thin">
        <color indexed="64"/>
      </right>
      <top style="thin">
        <color indexed="64"/>
      </top>
      <bottom style="double">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bottom style="thin">
        <color indexed="64"/>
      </bottom>
      <diagonal/>
    </border>
    <border>
      <left style="thin">
        <color indexed="64"/>
      </left>
      <right style="thick">
        <color indexed="64"/>
      </right>
      <top style="double">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double">
        <color indexed="64"/>
      </bottom>
      <diagonal/>
    </border>
    <border>
      <left style="thick">
        <color indexed="64"/>
      </left>
      <right/>
      <top/>
      <bottom style="thin">
        <color indexed="64"/>
      </bottom>
      <diagonal/>
    </border>
    <border>
      <left style="thin">
        <color indexed="64"/>
      </left>
      <right style="thick">
        <color indexed="64"/>
      </right>
      <top/>
      <bottom style="thin">
        <color indexed="64"/>
      </bottom>
      <diagonal/>
    </border>
    <border>
      <left style="thin">
        <color indexed="64"/>
      </left>
      <right/>
      <top style="thick">
        <color auto="1"/>
      </top>
      <bottom style="thin">
        <color indexed="64"/>
      </bottom>
      <diagonal/>
    </border>
    <border>
      <left/>
      <right style="thin">
        <color indexed="64"/>
      </right>
      <top style="thick">
        <color auto="1"/>
      </top>
      <bottom style="thin">
        <color indexed="64"/>
      </bottom>
      <diagonal/>
    </border>
  </borders>
  <cellStyleXfs count="5">
    <xf numFmtId="0" fontId="0" fillId="0" borderId="0"/>
    <xf numFmtId="165" fontId="1" fillId="0" borderId="0" applyFont="0" applyFill="0" applyBorder="0" applyAlignment="0" applyProtection="0"/>
    <xf numFmtId="164" fontId="1" fillId="0" borderId="0" applyFont="0" applyFill="0" applyBorder="0" applyAlignment="0" applyProtection="0"/>
    <xf numFmtId="0" fontId="1" fillId="0" borderId="0"/>
    <xf numFmtId="43" fontId="1" fillId="0" borderId="0" applyFont="0" applyFill="0" applyBorder="0" applyAlignment="0" applyProtection="0"/>
  </cellStyleXfs>
  <cellXfs count="881">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xf>
    <xf numFmtId="0" fontId="6" fillId="0" borderId="0" xfId="0" applyFont="1" applyAlignment="1">
      <alignment vertical="center"/>
    </xf>
    <xf numFmtId="0" fontId="6" fillId="0" borderId="14" xfId="0" applyFont="1" applyBorder="1" applyAlignment="1">
      <alignment vertical="center"/>
    </xf>
    <xf numFmtId="0" fontId="6" fillId="0" borderId="15" xfId="0" applyFont="1" applyBorder="1" applyAlignment="1">
      <alignment vertical="center"/>
    </xf>
    <xf numFmtId="0" fontId="6" fillId="0" borderId="0" xfId="0" applyFont="1" applyAlignment="1">
      <alignment horizontal="center" vertical="top"/>
    </xf>
    <xf numFmtId="0" fontId="8" fillId="0" borderId="0" xfId="0" applyFont="1" applyAlignment="1">
      <alignment horizontal="center" vertical="center"/>
    </xf>
    <xf numFmtId="0" fontId="0" fillId="0" borderId="13" xfId="0" applyBorder="1" applyAlignment="1">
      <alignment vertical="center"/>
    </xf>
    <xf numFmtId="0" fontId="3" fillId="0" borderId="0" xfId="0" applyFont="1" applyAlignment="1">
      <alignment vertical="center"/>
    </xf>
    <xf numFmtId="0" fontId="4" fillId="0" borderId="0" xfId="0" applyFont="1" applyAlignment="1">
      <alignment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6" fillId="0" borderId="0" xfId="0" applyFont="1" applyAlignment="1">
      <alignment vertical="top"/>
    </xf>
    <xf numFmtId="0" fontId="2" fillId="0" borderId="1" xfId="0" applyFont="1" applyBorder="1" applyAlignment="1">
      <alignment horizontal="center" vertical="center"/>
    </xf>
    <xf numFmtId="0" fontId="0" fillId="0" borderId="8" xfId="0" applyBorder="1" applyAlignment="1">
      <alignment horizontal="center" vertical="center"/>
    </xf>
    <xf numFmtId="0" fontId="0" fillId="0" borderId="16" xfId="0" applyBorder="1" applyAlignment="1">
      <alignment vertical="center"/>
    </xf>
    <xf numFmtId="0" fontId="6" fillId="0" borderId="13" xfId="0" applyFont="1" applyBorder="1" applyAlignment="1">
      <alignment vertical="center"/>
    </xf>
    <xf numFmtId="0" fontId="6" fillId="0" borderId="16" xfId="0" applyFont="1" applyBorder="1" applyAlignment="1">
      <alignment vertical="center"/>
    </xf>
    <xf numFmtId="0" fontId="6" fillId="0" borderId="16" xfId="0" applyFont="1" applyBorder="1" applyAlignment="1">
      <alignment vertical="top"/>
    </xf>
    <xf numFmtId="0" fontId="5" fillId="0" borderId="0" xfId="0" applyFont="1" applyAlignment="1">
      <alignment vertical="center"/>
    </xf>
    <xf numFmtId="0" fontId="6" fillId="0" borderId="0" xfId="0" applyFont="1" applyAlignment="1">
      <alignment horizontal="center" vertical="center"/>
    </xf>
    <xf numFmtId="0" fontId="15" fillId="0" borderId="0" xfId="0" applyFont="1" applyAlignment="1">
      <alignment vertical="center"/>
    </xf>
    <xf numFmtId="0" fontId="19" fillId="0" borderId="0" xfId="0" applyFont="1" applyAlignment="1">
      <alignment vertical="center"/>
    </xf>
    <xf numFmtId="0" fontId="6" fillId="5" borderId="1" xfId="0" applyFont="1" applyFill="1" applyBorder="1" applyAlignment="1">
      <alignment horizontal="center" vertical="center" wrapText="1"/>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2" fillId="0" borderId="13" xfId="0" applyFont="1" applyBorder="1" applyAlignment="1">
      <alignment vertical="center"/>
    </xf>
    <xf numFmtId="0" fontId="5" fillId="0" borderId="37" xfId="0" applyFont="1" applyBorder="1" applyAlignment="1">
      <alignment vertical="center"/>
    </xf>
    <xf numFmtId="0" fontId="5" fillId="0" borderId="32" xfId="0" applyFont="1" applyBorder="1" applyAlignment="1">
      <alignment vertical="center"/>
    </xf>
    <xf numFmtId="0" fontId="7" fillId="0" borderId="13" xfId="0" applyFont="1" applyBorder="1" applyAlignment="1">
      <alignment vertical="center"/>
    </xf>
    <xf numFmtId="0" fontId="0" fillId="0" borderId="29"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15" xfId="0" applyBorder="1" applyAlignment="1">
      <alignment vertical="center"/>
    </xf>
    <xf numFmtId="0" fontId="0" fillId="0" borderId="33" xfId="0" applyBorder="1" applyAlignment="1">
      <alignment vertical="center"/>
    </xf>
    <xf numFmtId="0" fontId="0" fillId="0" borderId="34" xfId="0" applyBorder="1" applyAlignment="1">
      <alignment vertical="center"/>
    </xf>
    <xf numFmtId="0" fontId="0" fillId="0" borderId="35" xfId="0" applyBorder="1" applyAlignment="1">
      <alignment vertical="center"/>
    </xf>
    <xf numFmtId="0" fontId="0" fillId="0" borderId="36" xfId="0" applyBorder="1" applyAlignment="1">
      <alignment vertical="center"/>
    </xf>
    <xf numFmtId="0" fontId="2" fillId="0" borderId="7" xfId="0" applyFont="1" applyBorder="1" applyAlignment="1">
      <alignment vertical="center"/>
    </xf>
    <xf numFmtId="0" fontId="0" fillId="0" borderId="8" xfId="0" applyBorder="1" applyAlignment="1">
      <alignment vertical="center"/>
    </xf>
    <xf numFmtId="0" fontId="8" fillId="0" borderId="9" xfId="0" applyFont="1" applyBorder="1" applyAlignment="1">
      <alignment horizontal="right" vertical="center"/>
    </xf>
    <xf numFmtId="0" fontId="2" fillId="0" borderId="2" xfId="0" applyFont="1" applyBorder="1" applyAlignment="1">
      <alignment horizontal="center" vertical="center"/>
    </xf>
    <xf numFmtId="0" fontId="0" fillId="0" borderId="9" xfId="0" applyBorder="1" applyAlignment="1">
      <alignment vertical="center"/>
    </xf>
    <xf numFmtId="0" fontId="4" fillId="0" borderId="27" xfId="0" applyFont="1" applyBorder="1" applyAlignment="1">
      <alignment vertical="center"/>
    </xf>
    <xf numFmtId="0" fontId="4" fillId="0" borderId="27" xfId="0" applyFont="1" applyBorder="1" applyAlignment="1">
      <alignment horizontal="center" vertical="center"/>
    </xf>
    <xf numFmtId="0" fontId="2" fillId="0" borderId="3" xfId="0" applyFont="1" applyBorder="1" applyAlignment="1">
      <alignment vertical="center"/>
    </xf>
    <xf numFmtId="0" fontId="2" fillId="0" borderId="2" xfId="0" applyFont="1" applyBorder="1" applyAlignment="1">
      <alignment vertical="center"/>
    </xf>
    <xf numFmtId="0" fontId="8" fillId="0" borderId="4" xfId="0" applyFont="1" applyBorder="1" applyAlignment="1">
      <alignment horizontal="right" vertical="center"/>
    </xf>
    <xf numFmtId="0" fontId="3" fillId="0" borderId="29" xfId="0" applyFont="1" applyBorder="1" applyAlignment="1">
      <alignment vertical="center"/>
    </xf>
    <xf numFmtId="0" fontId="3" fillId="0" borderId="30" xfId="0" applyFont="1" applyBorder="1" applyAlignment="1">
      <alignment vertical="center"/>
    </xf>
    <xf numFmtId="0" fontId="3" fillId="0" borderId="31" xfId="0" applyFont="1" applyBorder="1" applyAlignment="1">
      <alignment vertical="center"/>
    </xf>
    <xf numFmtId="0" fontId="3" fillId="0" borderId="32" xfId="0" applyFont="1" applyBorder="1" applyAlignment="1">
      <alignment vertical="center"/>
    </xf>
    <xf numFmtId="0" fontId="3" fillId="0" borderId="15" xfId="0" applyFont="1" applyBorder="1" applyAlignment="1">
      <alignment vertical="center"/>
    </xf>
    <xf numFmtId="0" fontId="3" fillId="0" borderId="33" xfId="0" applyFont="1" applyBorder="1" applyAlignment="1">
      <alignment vertical="center"/>
    </xf>
    <xf numFmtId="0" fontId="3" fillId="0" borderId="34" xfId="0" applyFont="1" applyBorder="1" applyAlignment="1">
      <alignment vertical="center"/>
    </xf>
    <xf numFmtId="0" fontId="3" fillId="0" borderId="35" xfId="0" applyFont="1" applyBorder="1" applyAlignment="1">
      <alignment vertical="center"/>
    </xf>
    <xf numFmtId="0" fontId="3" fillId="0" borderId="36" xfId="0" applyFont="1" applyBorder="1" applyAlignment="1">
      <alignment vertical="center"/>
    </xf>
    <xf numFmtId="0" fontId="9" fillId="0" borderId="0" xfId="0" applyFont="1" applyAlignment="1">
      <alignment horizontal="center" vertical="center"/>
    </xf>
    <xf numFmtId="0" fontId="0" fillId="0" borderId="6" xfId="0" applyBorder="1" applyAlignment="1">
      <alignment horizontal="center" vertical="center"/>
    </xf>
    <xf numFmtId="0" fontId="27" fillId="0" borderId="7" xfId="0" applyFont="1" applyBorder="1" applyAlignment="1">
      <alignment vertical="center"/>
    </xf>
    <xf numFmtId="0" fontId="5" fillId="0" borderId="13" xfId="0" applyFont="1" applyBorder="1" applyAlignment="1">
      <alignment horizontal="left" vertical="center"/>
    </xf>
    <xf numFmtId="0" fontId="5" fillId="0" borderId="0" xfId="0" applyFont="1" applyAlignment="1">
      <alignment horizontal="left" vertical="center"/>
    </xf>
    <xf numFmtId="0" fontId="27" fillId="0" borderId="13" xfId="0" applyFont="1" applyBorder="1" applyAlignment="1">
      <alignment vertical="center"/>
    </xf>
    <xf numFmtId="0" fontId="3" fillId="0" borderId="43" xfId="0" applyFont="1" applyBorder="1" applyAlignment="1">
      <alignment vertical="center"/>
    </xf>
    <xf numFmtId="0" fontId="3" fillId="0" borderId="44" xfId="0" applyFont="1" applyBorder="1" applyAlignment="1">
      <alignment vertical="center"/>
    </xf>
    <xf numFmtId="0" fontId="0" fillId="0" borderId="5" xfId="0" applyBorder="1" applyAlignment="1">
      <alignment horizontal="center" vertical="center"/>
    </xf>
    <xf numFmtId="0" fontId="27" fillId="0" borderId="45" xfId="0" applyFont="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46" xfId="0" applyBorder="1" applyAlignment="1">
      <alignment vertical="center"/>
    </xf>
    <xf numFmtId="0" fontId="23" fillId="0" borderId="0" xfId="0" applyFont="1" applyAlignment="1">
      <alignment vertical="center"/>
    </xf>
    <xf numFmtId="0" fontId="23" fillId="0" borderId="16" xfId="0" applyFont="1" applyBorder="1" applyAlignment="1">
      <alignment vertical="center"/>
    </xf>
    <xf numFmtId="171" fontId="7" fillId="0" borderId="0" xfId="0" applyNumberFormat="1" applyFont="1" applyAlignment="1">
      <alignment horizontal="center" vertical="center"/>
    </xf>
    <xf numFmtId="0" fontId="7" fillId="0" borderId="0" xfId="0" applyFont="1" applyAlignment="1">
      <alignment horizontal="center" vertical="center"/>
    </xf>
    <xf numFmtId="0" fontId="7" fillId="0" borderId="16" xfId="0" applyFont="1" applyBorder="1" applyAlignment="1">
      <alignment horizontal="center" vertical="center"/>
    </xf>
    <xf numFmtId="0" fontId="23" fillId="0" borderId="45" xfId="0" applyFont="1" applyBorder="1" applyAlignment="1">
      <alignment horizontal="left" vertical="center"/>
    </xf>
    <xf numFmtId="0" fontId="23" fillId="0" borderId="27" xfId="0" applyFont="1" applyBorder="1" applyAlignment="1">
      <alignment horizontal="left" vertical="center"/>
    </xf>
    <xf numFmtId="0" fontId="5" fillId="0" borderId="45" xfId="0" applyFont="1" applyBorder="1" applyAlignment="1">
      <alignment horizontal="left" vertical="center"/>
    </xf>
    <xf numFmtId="0" fontId="5" fillId="0" borderId="27" xfId="0" applyFont="1" applyBorder="1" applyAlignment="1">
      <alignment horizontal="left" vertical="center"/>
    </xf>
    <xf numFmtId="0" fontId="23" fillId="0" borderId="1" xfId="0" applyFont="1" applyBorder="1" applyAlignment="1">
      <alignment horizontal="center" vertical="center"/>
    </xf>
    <xf numFmtId="0" fontId="5" fillId="0" borderId="0" xfId="0" applyFont="1" applyAlignment="1">
      <alignment horizontal="center" vertical="center"/>
    </xf>
    <xf numFmtId="172" fontId="1" fillId="0" borderId="6" xfId="3" applyNumberFormat="1" applyBorder="1" applyAlignment="1">
      <alignment horizontal="center" vertical="center"/>
    </xf>
    <xf numFmtId="172" fontId="1" fillId="0" borderId="1" xfId="3" applyNumberFormat="1" applyBorder="1" applyAlignment="1">
      <alignment horizontal="center" vertical="center"/>
    </xf>
    <xf numFmtId="0" fontId="2" fillId="0" borderId="1" xfId="3" applyFont="1" applyBorder="1" applyAlignment="1">
      <alignment horizontal="center" vertical="center"/>
    </xf>
    <xf numFmtId="0" fontId="5" fillId="6" borderId="1" xfId="0" applyFont="1" applyFill="1" applyBorder="1" applyAlignment="1">
      <alignment horizontal="center" vertical="center"/>
    </xf>
    <xf numFmtId="0" fontId="5" fillId="0" borderId="16" xfId="0" applyFont="1" applyBorder="1" applyAlignment="1">
      <alignment horizontal="center" vertical="center"/>
    </xf>
    <xf numFmtId="0" fontId="23" fillId="0" borderId="0" xfId="0" applyFont="1" applyAlignment="1">
      <alignment horizontal="center" vertical="center"/>
    </xf>
    <xf numFmtId="171" fontId="5" fillId="0" borderId="0" xfId="0" applyNumberFormat="1" applyFont="1" applyAlignment="1">
      <alignment horizontal="center" vertical="center"/>
    </xf>
    <xf numFmtId="0" fontId="5" fillId="0" borderId="27" xfId="0" applyFont="1" applyBorder="1" applyAlignment="1">
      <alignment horizontal="center" vertical="center"/>
    </xf>
    <xf numFmtId="167" fontId="5" fillId="0" borderId="27" xfId="0" applyNumberFormat="1" applyFont="1" applyBorder="1" applyAlignment="1">
      <alignment horizontal="center" vertical="center"/>
    </xf>
    <xf numFmtId="0" fontId="23" fillId="0" borderId="27" xfId="0" applyFont="1" applyBorder="1" applyAlignment="1">
      <alignment vertical="center"/>
    </xf>
    <xf numFmtId="0" fontId="5" fillId="6" borderId="4" xfId="0" applyFont="1" applyFill="1" applyBorder="1" applyAlignment="1">
      <alignment horizontal="center" vertical="center"/>
    </xf>
    <xf numFmtId="0" fontId="5" fillId="0" borderId="11" xfId="0" applyFont="1" applyBorder="1" applyAlignment="1">
      <alignment vertical="center"/>
    </xf>
    <xf numFmtId="0" fontId="5" fillId="0" borderId="11" xfId="0" applyFont="1" applyBorder="1" applyAlignment="1">
      <alignment horizontal="right"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167" fontId="5" fillId="0" borderId="0" xfId="0" applyNumberFormat="1" applyFont="1" applyAlignment="1">
      <alignment vertical="center"/>
    </xf>
    <xf numFmtId="0" fontId="31" fillId="0" borderId="13" xfId="0" applyFont="1" applyBorder="1" applyAlignment="1">
      <alignment horizontal="left" vertical="center"/>
    </xf>
    <xf numFmtId="0" fontId="23" fillId="0" borderId="0" xfId="0" applyFont="1" applyAlignment="1">
      <alignment vertical="top"/>
    </xf>
    <xf numFmtId="16" fontId="23" fillId="0" borderId="0" xfId="0" applyNumberFormat="1" applyFont="1" applyAlignment="1">
      <alignment vertical="center"/>
    </xf>
    <xf numFmtId="0" fontId="23" fillId="0" borderId="13" xfId="0" applyFont="1" applyBorder="1" applyAlignment="1">
      <alignment vertical="center"/>
    </xf>
    <xf numFmtId="0" fontId="23" fillId="0" borderId="16" xfId="0" applyFont="1" applyBorder="1" applyAlignment="1">
      <alignment horizontal="left" vertical="center"/>
    </xf>
    <xf numFmtId="0" fontId="32" fillId="0" borderId="13" xfId="0" quotePrefix="1" applyFont="1" applyBorder="1" applyAlignment="1">
      <alignment horizontal="left" vertical="center"/>
    </xf>
    <xf numFmtId="0" fontId="24" fillId="0" borderId="2" xfId="0" applyFont="1" applyBorder="1" applyAlignment="1">
      <alignment vertical="center"/>
    </xf>
    <xf numFmtId="0" fontId="24" fillId="0" borderId="4" xfId="0" applyFont="1" applyBorder="1" applyAlignment="1">
      <alignment vertical="center"/>
    </xf>
    <xf numFmtId="0" fontId="23" fillId="0" borderId="0" xfId="0" applyFont="1" applyAlignment="1">
      <alignment horizontal="center" vertical="center" wrapText="1"/>
    </xf>
    <xf numFmtId="0" fontId="30" fillId="0" borderId="13" xfId="0" applyFont="1" applyBorder="1"/>
    <xf numFmtId="0" fontId="34" fillId="3" borderId="3" xfId="0" applyFont="1" applyFill="1" applyBorder="1" applyAlignment="1">
      <alignment vertical="center"/>
    </xf>
    <xf numFmtId="0" fontId="34" fillId="3" borderId="2" xfId="0" applyFont="1" applyFill="1" applyBorder="1" applyAlignment="1">
      <alignment vertical="center"/>
    </xf>
    <xf numFmtId="0" fontId="34" fillId="3" borderId="4" xfId="0" applyFont="1" applyFill="1" applyBorder="1" applyAlignment="1">
      <alignment vertical="center"/>
    </xf>
    <xf numFmtId="0" fontId="34" fillId="3" borderId="1" xfId="0" applyFont="1" applyFill="1" applyBorder="1" applyAlignment="1">
      <alignment horizontal="center" vertical="center"/>
    </xf>
    <xf numFmtId="0" fontId="34" fillId="3" borderId="3" xfId="0" applyFont="1" applyFill="1" applyBorder="1" applyAlignment="1">
      <alignment horizontal="center" vertical="center"/>
    </xf>
    <xf numFmtId="0" fontId="5" fillId="2" borderId="3" xfId="0" applyFont="1" applyFill="1" applyBorder="1" applyAlignment="1">
      <alignment vertical="center"/>
    </xf>
    <xf numFmtId="0" fontId="5" fillId="2" borderId="2" xfId="0" applyFont="1" applyFill="1" applyBorder="1" applyAlignment="1">
      <alignment vertical="center"/>
    </xf>
    <xf numFmtId="0" fontId="5" fillId="2" borderId="4" xfId="0" applyFont="1" applyFill="1" applyBorder="1" applyAlignment="1">
      <alignment vertical="center"/>
    </xf>
    <xf numFmtId="167" fontId="30" fillId="2" borderId="1" xfId="1" applyNumberFormat="1" applyFont="1" applyFill="1" applyBorder="1" applyAlignment="1">
      <alignment horizontal="center" vertical="center"/>
    </xf>
    <xf numFmtId="167" fontId="30" fillId="2" borderId="3" xfId="1" applyNumberFormat="1" applyFont="1" applyFill="1" applyBorder="1" applyAlignment="1">
      <alignment horizontal="center" vertical="center"/>
    </xf>
    <xf numFmtId="171" fontId="35" fillId="0" borderId="0" xfId="0" applyNumberFormat="1" applyFont="1" applyAlignment="1">
      <alignment horizontal="center" vertical="center"/>
    </xf>
    <xf numFmtId="0" fontId="23" fillId="0" borderId="27" xfId="0" applyFont="1" applyBorder="1" applyAlignment="1">
      <alignment horizontal="center" vertical="center"/>
    </xf>
    <xf numFmtId="167" fontId="23" fillId="0" borderId="27" xfId="0" applyNumberFormat="1" applyFont="1" applyBorder="1" applyAlignment="1">
      <alignment horizontal="center" vertical="center"/>
    </xf>
    <xf numFmtId="0" fontId="23" fillId="0" borderId="46" xfId="0" applyFont="1" applyBorder="1" applyAlignment="1">
      <alignment vertical="center"/>
    </xf>
    <xf numFmtId="0" fontId="5" fillId="8" borderId="1" xfId="0" applyFont="1" applyFill="1" applyBorder="1" applyAlignment="1">
      <alignment horizontal="center" vertical="center"/>
    </xf>
    <xf numFmtId="0" fontId="23" fillId="0" borderId="0" xfId="0" applyFont="1" applyAlignment="1">
      <alignment horizontal="left" vertical="center"/>
    </xf>
    <xf numFmtId="167" fontId="23" fillId="0" borderId="13" xfId="1" applyNumberFormat="1" applyFont="1" applyFill="1" applyBorder="1" applyAlignment="1">
      <alignment vertical="center"/>
    </xf>
    <xf numFmtId="0" fontId="23" fillId="0" borderId="13" xfId="0" applyFont="1" applyBorder="1" applyAlignment="1">
      <alignment horizontal="center" vertical="center"/>
    </xf>
    <xf numFmtId="173" fontId="23" fillId="0" borderId="0" xfId="0" applyNumberFormat="1" applyFont="1" applyAlignment="1">
      <alignment horizontal="center" vertical="center"/>
    </xf>
    <xf numFmtId="167" fontId="23" fillId="0" borderId="0" xfId="1" applyNumberFormat="1" applyFont="1" applyBorder="1" applyAlignment="1">
      <alignment horizontal="center" vertical="center"/>
    </xf>
    <xf numFmtId="167" fontId="23" fillId="0" borderId="0" xfId="1" applyNumberFormat="1" applyFont="1" applyFill="1" applyBorder="1" applyAlignment="1">
      <alignment horizontal="center" vertical="center"/>
    </xf>
    <xf numFmtId="167" fontId="23" fillId="0" borderId="0" xfId="1" applyNumberFormat="1" applyFont="1" applyFill="1" applyBorder="1" applyAlignment="1">
      <alignment vertical="center"/>
    </xf>
    <xf numFmtId="167" fontId="5" fillId="0" borderId="0" xfId="1" applyNumberFormat="1" applyFont="1" applyFill="1" applyBorder="1" applyAlignment="1">
      <alignment vertical="center"/>
    </xf>
    <xf numFmtId="167" fontId="5" fillId="0" borderId="16" xfId="1" applyNumberFormat="1" applyFont="1" applyFill="1" applyBorder="1" applyAlignment="1">
      <alignment vertical="center"/>
    </xf>
    <xf numFmtId="167" fontId="36" fillId="0" borderId="1" xfId="1" applyNumberFormat="1" applyFont="1" applyBorder="1" applyAlignment="1">
      <alignment vertical="center"/>
    </xf>
    <xf numFmtId="167" fontId="36" fillId="0" borderId="3" xfId="1" applyNumberFormat="1" applyFont="1" applyBorder="1" applyAlignment="1">
      <alignment vertical="center"/>
    </xf>
    <xf numFmtId="0" fontId="36" fillId="0" borderId="1" xfId="0" applyFont="1" applyBorder="1" applyAlignment="1">
      <alignment horizontal="center" vertical="center"/>
    </xf>
    <xf numFmtId="167" fontId="37" fillId="0" borderId="42" xfId="0" applyNumberFormat="1" applyFont="1" applyBorder="1" applyAlignment="1">
      <alignment vertical="center"/>
    </xf>
    <xf numFmtId="167" fontId="36" fillId="0" borderId="6" xfId="0" applyNumberFormat="1" applyFont="1" applyBorder="1" applyAlignment="1">
      <alignment vertical="center"/>
    </xf>
    <xf numFmtId="167" fontId="37" fillId="0" borderId="6" xfId="1" applyNumberFormat="1" applyFont="1" applyBorder="1" applyAlignment="1">
      <alignment vertical="center"/>
    </xf>
    <xf numFmtId="16" fontId="4" fillId="0" borderId="27" xfId="0" applyNumberFormat="1" applyFont="1" applyBorder="1" applyAlignment="1">
      <alignment horizontal="left" vertical="center"/>
    </xf>
    <xf numFmtId="16" fontId="23" fillId="0" borderId="46" xfId="0" applyNumberFormat="1" applyFont="1" applyBorder="1" applyAlignment="1">
      <alignment horizontal="left" vertical="center"/>
    </xf>
    <xf numFmtId="0" fontId="5" fillId="0" borderId="41" xfId="0" applyFont="1" applyBorder="1" applyAlignment="1">
      <alignment vertical="center"/>
    </xf>
    <xf numFmtId="0" fontId="23" fillId="0" borderId="11" xfId="0" applyFont="1" applyBorder="1" applyAlignment="1">
      <alignment vertical="center"/>
    </xf>
    <xf numFmtId="167" fontId="36" fillId="0" borderId="11" xfId="1" applyNumberFormat="1" applyFont="1" applyBorder="1" applyAlignment="1">
      <alignment vertical="center"/>
    </xf>
    <xf numFmtId="167" fontId="36" fillId="0" borderId="11" xfId="1" applyNumberFormat="1" applyFont="1" applyBorder="1" applyAlignment="1">
      <alignment horizontal="center" vertical="center"/>
    </xf>
    <xf numFmtId="0" fontId="23" fillId="0" borderId="7" xfId="0" applyFont="1" applyBorder="1" applyAlignment="1">
      <alignment horizontal="center" vertical="center"/>
    </xf>
    <xf numFmtId="0" fontId="23" fillId="0" borderId="8" xfId="0" applyFont="1" applyBorder="1" applyAlignment="1">
      <alignment vertical="center"/>
    </xf>
    <xf numFmtId="167" fontId="36" fillId="0" borderId="8" xfId="1" applyNumberFormat="1" applyFont="1" applyBorder="1" applyAlignment="1">
      <alignment vertical="center"/>
    </xf>
    <xf numFmtId="167" fontId="36" fillId="0" borderId="8" xfId="1" applyNumberFormat="1" applyFont="1" applyBorder="1" applyAlignment="1">
      <alignment horizontal="center" vertical="center"/>
    </xf>
    <xf numFmtId="0" fontId="38" fillId="0" borderId="13" xfId="0" applyFont="1" applyBorder="1"/>
    <xf numFmtId="0" fontId="38" fillId="0" borderId="0" xfId="0" applyFont="1"/>
    <xf numFmtId="0" fontId="38" fillId="0" borderId="8" xfId="0" applyFont="1" applyBorder="1"/>
    <xf numFmtId="0" fontId="39" fillId="0" borderId="0" xfId="0" applyFont="1" applyAlignment="1">
      <alignment vertical="center"/>
    </xf>
    <xf numFmtId="0" fontId="39" fillId="0" borderId="16" xfId="0" applyFont="1" applyBorder="1" applyAlignment="1">
      <alignment vertical="center"/>
    </xf>
    <xf numFmtId="0" fontId="40" fillId="0" borderId="13" xfId="0" applyFont="1" applyBorder="1"/>
    <xf numFmtId="0" fontId="40" fillId="0" borderId="14" xfId="0" applyFont="1" applyBorder="1"/>
    <xf numFmtId="0" fontId="41" fillId="0" borderId="14" xfId="0" applyFont="1" applyBorder="1"/>
    <xf numFmtId="0" fontId="42" fillId="0" borderId="0" xfId="0" applyFont="1" applyAlignment="1">
      <alignment vertical="center"/>
    </xf>
    <xf numFmtId="0" fontId="40" fillId="0" borderId="16" xfId="0" applyFont="1" applyBorder="1" applyAlignment="1">
      <alignment vertical="center"/>
    </xf>
    <xf numFmtId="0" fontId="40" fillId="0" borderId="0" xfId="0" applyFont="1" applyAlignment="1">
      <alignment vertical="center"/>
    </xf>
    <xf numFmtId="0" fontId="40" fillId="0" borderId="15" xfId="0" applyFont="1" applyBorder="1"/>
    <xf numFmtId="0" fontId="43" fillId="0" borderId="13" xfId="0" applyFont="1" applyBorder="1" applyAlignment="1">
      <alignment vertical="center"/>
    </xf>
    <xf numFmtId="0" fontId="43" fillId="0" borderId="0" xfId="0" applyFont="1" applyAlignment="1">
      <alignment horizontal="center" vertical="center"/>
    </xf>
    <xf numFmtId="0" fontId="43" fillId="0" borderId="0" xfId="0" applyFont="1" applyAlignment="1">
      <alignment vertical="center"/>
    </xf>
    <xf numFmtId="0" fontId="44" fillId="0" borderId="0" xfId="0" applyFont="1" applyAlignment="1">
      <alignment vertical="center"/>
    </xf>
    <xf numFmtId="0" fontId="43" fillId="0" borderId="16" xfId="0" applyFont="1" applyBorder="1" applyAlignment="1">
      <alignment vertical="center"/>
    </xf>
    <xf numFmtId="0" fontId="40" fillId="0" borderId="13" xfId="0" applyFont="1" applyBorder="1" applyAlignment="1">
      <alignment vertical="center"/>
    </xf>
    <xf numFmtId="0" fontId="44" fillId="0" borderId="0" xfId="0" applyFont="1" applyAlignment="1">
      <alignment horizontal="center" vertical="center"/>
    </xf>
    <xf numFmtId="0" fontId="44" fillId="0" borderId="16" xfId="0" applyFont="1" applyBorder="1" applyAlignment="1">
      <alignment vertical="center"/>
    </xf>
    <xf numFmtId="0" fontId="38" fillId="6" borderId="1" xfId="0" applyFont="1" applyFill="1" applyBorder="1" applyAlignment="1">
      <alignment horizontal="center" vertical="top"/>
    </xf>
    <xf numFmtId="0" fontId="39" fillId="0" borderId="0" xfId="0" applyFont="1" applyAlignment="1">
      <alignment vertical="center" wrapText="1"/>
    </xf>
    <xf numFmtId="0" fontId="45" fillId="0" borderId="0" xfId="0" applyFont="1" applyAlignment="1">
      <alignment horizontal="center" vertical="top"/>
    </xf>
    <xf numFmtId="0" fontId="47" fillId="0" borderId="0" xfId="0" applyFont="1" applyAlignment="1">
      <alignment vertical="center"/>
    </xf>
    <xf numFmtId="169" fontId="48" fillId="0" borderId="3" xfId="0" applyNumberFormat="1" applyFont="1" applyBorder="1" applyAlignment="1">
      <alignment horizontal="center" vertical="center"/>
    </xf>
    <xf numFmtId="169" fontId="48" fillId="0" borderId="8" xfId="0" applyNumberFormat="1" applyFont="1" applyBorder="1" applyAlignment="1">
      <alignment horizontal="center" vertical="center"/>
    </xf>
    <xf numFmtId="0" fontId="39" fillId="0" borderId="16" xfId="0" applyFont="1" applyBorder="1" applyAlignment="1">
      <alignment horizontal="center" vertical="center"/>
    </xf>
    <xf numFmtId="0" fontId="47" fillId="0" borderId="0" xfId="0" applyFont="1" applyAlignment="1">
      <alignment horizontal="left" vertical="center"/>
    </xf>
    <xf numFmtId="0" fontId="45" fillId="0" borderId="16" xfId="0" applyFont="1" applyBorder="1" applyAlignment="1">
      <alignment vertical="center"/>
    </xf>
    <xf numFmtId="0" fontId="38" fillId="6" borderId="24" xfId="0" applyFont="1" applyFill="1" applyBorder="1" applyAlignment="1">
      <alignment horizontal="center" vertical="top" wrapText="1"/>
    </xf>
    <xf numFmtId="0" fontId="53" fillId="6" borderId="5" xfId="0" applyFont="1" applyFill="1" applyBorder="1" applyAlignment="1">
      <alignment horizontal="center" vertical="top" wrapText="1"/>
    </xf>
    <xf numFmtId="0" fontId="53" fillId="6" borderId="24" xfId="0" applyFont="1" applyFill="1" applyBorder="1" applyAlignment="1">
      <alignment horizontal="center" vertical="top" wrapText="1"/>
    </xf>
    <xf numFmtId="0" fontId="39" fillId="0" borderId="0" xfId="0" quotePrefix="1" applyFont="1" applyAlignment="1">
      <alignment vertical="center" wrapText="1"/>
    </xf>
    <xf numFmtId="0" fontId="55" fillId="0" borderId="16" xfId="0" applyFont="1" applyBorder="1" applyAlignment="1">
      <alignment horizontal="center" vertical="center"/>
    </xf>
    <xf numFmtId="0" fontId="44" fillId="0" borderId="13" xfId="0" applyFont="1" applyBorder="1" applyAlignment="1">
      <alignment vertical="center"/>
    </xf>
    <xf numFmtId="0" fontId="45" fillId="0" borderId="0" xfId="0" quotePrefix="1" applyFont="1" applyAlignment="1">
      <alignment vertical="center" wrapText="1"/>
    </xf>
    <xf numFmtId="0" fontId="55" fillId="0" borderId="0" xfId="0" applyFont="1" applyAlignment="1">
      <alignment horizontal="left" vertical="center"/>
    </xf>
    <xf numFmtId="0" fontId="55" fillId="0" borderId="16" xfId="0" applyFont="1" applyBorder="1" applyAlignment="1">
      <alignment horizontal="left" vertical="center"/>
    </xf>
    <xf numFmtId="0" fontId="44" fillId="0" borderId="19" xfId="0" applyFont="1" applyBorder="1" applyAlignment="1">
      <alignment vertical="center"/>
    </xf>
    <xf numFmtId="0" fontId="44" fillId="0" borderId="28" xfId="0" applyFont="1" applyBorder="1" applyAlignment="1">
      <alignment horizontal="center" vertical="center"/>
    </xf>
    <xf numFmtId="0" fontId="44" fillId="0" borderId="28" xfId="0" applyFont="1" applyBorder="1" applyAlignment="1">
      <alignment horizontal="left" vertical="center"/>
    </xf>
    <xf numFmtId="0" fontId="44" fillId="0" borderId="28" xfId="0" applyFont="1" applyBorder="1" applyAlignment="1">
      <alignment vertical="center"/>
    </xf>
    <xf numFmtId="16" fontId="55" fillId="0" borderId="28" xfId="0" applyNumberFormat="1" applyFont="1" applyBorder="1" applyAlignment="1">
      <alignment horizontal="left" vertical="center"/>
    </xf>
    <xf numFmtId="16" fontId="55" fillId="0" borderId="20" xfId="0" applyNumberFormat="1" applyFont="1" applyBorder="1" applyAlignment="1">
      <alignment horizontal="left" vertical="center"/>
    </xf>
    <xf numFmtId="0" fontId="40" fillId="0" borderId="32" xfId="0" applyFont="1" applyBorder="1"/>
    <xf numFmtId="0" fontId="48" fillId="0" borderId="1" xfId="0" applyFont="1" applyBorder="1" applyAlignment="1">
      <alignment horizontal="center" vertical="center"/>
    </xf>
    <xf numFmtId="0" fontId="5" fillId="0" borderId="11" xfId="0" applyFont="1" applyBorder="1" applyAlignment="1">
      <alignment horizontal="left" vertical="center"/>
    </xf>
    <xf numFmtId="0" fontId="58" fillId="0" borderId="0" xfId="0" applyFont="1" applyAlignment="1">
      <alignment horizontal="center" vertical="center" wrapText="1"/>
    </xf>
    <xf numFmtId="0" fontId="5" fillId="0" borderId="7" xfId="0" applyFont="1" applyBorder="1" applyAlignment="1">
      <alignment horizontal="left" vertical="center"/>
    </xf>
    <xf numFmtId="0" fontId="5" fillId="0" borderId="8" xfId="0" applyFont="1" applyBorder="1" applyAlignment="1">
      <alignment horizontal="left" vertical="center"/>
    </xf>
    <xf numFmtId="0" fontId="23" fillId="0" borderId="8" xfId="0" applyFont="1" applyBorder="1" applyAlignment="1">
      <alignment horizontal="center" vertical="center"/>
    </xf>
    <xf numFmtId="0" fontId="27" fillId="0" borderId="10" xfId="0" applyFont="1" applyBorder="1" applyAlignment="1">
      <alignment horizontal="left" vertical="center"/>
    </xf>
    <xf numFmtId="0" fontId="23" fillId="0" borderId="6" xfId="0" applyFont="1" applyBorder="1" applyAlignment="1">
      <alignment horizontal="center" vertical="center"/>
    </xf>
    <xf numFmtId="0" fontId="59" fillId="7" borderId="1" xfId="0" applyFont="1" applyFill="1" applyBorder="1" applyAlignment="1">
      <alignment horizontal="center"/>
    </xf>
    <xf numFmtId="0" fontId="5" fillId="6" borderId="5" xfId="0" applyFont="1" applyFill="1" applyBorder="1" applyAlignment="1">
      <alignment horizontal="center" vertical="center"/>
    </xf>
    <xf numFmtId="0" fontId="5" fillId="0" borderId="1" xfId="0" applyFont="1" applyBorder="1" applyAlignment="1">
      <alignment horizontal="center" vertical="center"/>
    </xf>
    <xf numFmtId="167" fontId="23" fillId="0" borderId="4" xfId="0" applyNumberFormat="1" applyFont="1" applyBorder="1" applyAlignment="1">
      <alignment horizontal="center" vertical="center"/>
    </xf>
    <xf numFmtId="0" fontId="53" fillId="6" borderId="1" xfId="0" applyFont="1" applyFill="1" applyBorder="1" applyAlignment="1">
      <alignment horizontal="center" vertical="top" wrapText="1"/>
    </xf>
    <xf numFmtId="0" fontId="38" fillId="6" borderId="13" xfId="0" applyFont="1" applyFill="1" applyBorder="1" applyAlignment="1">
      <alignment vertical="top" wrapText="1"/>
    </xf>
    <xf numFmtId="0" fontId="38" fillId="6" borderId="0" xfId="0" applyFont="1" applyFill="1" applyAlignment="1">
      <alignment vertical="top" wrapText="1"/>
    </xf>
    <xf numFmtId="0" fontId="38" fillId="6" borderId="16" xfId="0" applyFont="1" applyFill="1" applyBorder="1" applyAlignment="1">
      <alignment vertical="top" wrapText="1"/>
    </xf>
    <xf numFmtId="0" fontId="38" fillId="6" borderId="10" xfId="0" applyFont="1" applyFill="1" applyBorder="1" applyAlignment="1">
      <alignment vertical="top" wrapText="1"/>
    </xf>
    <xf numFmtId="0" fontId="38" fillId="6" borderId="11" xfId="0" applyFont="1" applyFill="1" applyBorder="1" applyAlignment="1">
      <alignment vertical="top" wrapText="1"/>
    </xf>
    <xf numFmtId="0" fontId="38" fillId="6" borderId="12" xfId="0" applyFont="1" applyFill="1" applyBorder="1" applyAlignment="1">
      <alignment vertical="top" wrapText="1"/>
    </xf>
    <xf numFmtId="0" fontId="27" fillId="6" borderId="13" xfId="0" applyFont="1" applyFill="1" applyBorder="1" applyAlignment="1">
      <alignment horizontal="left" vertical="center"/>
    </xf>
    <xf numFmtId="0" fontId="5" fillId="6" borderId="0" xfId="0" applyFont="1" applyFill="1" applyAlignment="1">
      <alignment horizontal="left" vertical="center"/>
    </xf>
    <xf numFmtId="0" fontId="23" fillId="0" borderId="5" xfId="0" applyFont="1" applyBorder="1" applyAlignment="1">
      <alignment horizontal="center" vertical="center"/>
    </xf>
    <xf numFmtId="167" fontId="36" fillId="0" borderId="5" xfId="1" applyNumberFormat="1" applyFont="1" applyBorder="1" applyAlignment="1">
      <alignment horizontal="center" vertical="center"/>
    </xf>
    <xf numFmtId="167" fontId="36" fillId="0" borderId="5" xfId="1" applyNumberFormat="1" applyFont="1" applyBorder="1" applyAlignment="1">
      <alignment vertical="center"/>
    </xf>
    <xf numFmtId="0" fontId="6" fillId="0" borderId="10" xfId="0" applyFont="1" applyBorder="1" applyAlignment="1">
      <alignment vertical="center"/>
    </xf>
    <xf numFmtId="167" fontId="37" fillId="0" borderId="4" xfId="0" applyNumberFormat="1" applyFont="1" applyBorder="1" applyAlignment="1">
      <alignment horizontal="left" vertical="center"/>
    </xf>
    <xf numFmtId="0" fontId="23" fillId="0" borderId="17" xfId="0" applyFont="1" applyBorder="1" applyAlignment="1">
      <alignment horizontal="center" vertical="center"/>
    </xf>
    <xf numFmtId="167" fontId="36" fillId="0" borderId="17" xfId="1" applyNumberFormat="1" applyFont="1" applyBorder="1" applyAlignment="1">
      <alignment horizontal="center" vertical="center"/>
    </xf>
    <xf numFmtId="167" fontId="36" fillId="0" borderId="17" xfId="1" applyNumberFormat="1" applyFont="1" applyBorder="1" applyAlignment="1">
      <alignment vertical="center"/>
    </xf>
    <xf numFmtId="167" fontId="24" fillId="0" borderId="1" xfId="1" applyNumberFormat="1" applyFont="1" applyFill="1" applyBorder="1" applyAlignment="1">
      <alignment horizontal="center" vertical="center"/>
    </xf>
    <xf numFmtId="167" fontId="23" fillId="0" borderId="16" xfId="1" applyNumberFormat="1" applyFont="1" applyFill="1" applyBorder="1" applyAlignment="1">
      <alignment horizontal="center" vertical="center"/>
    </xf>
    <xf numFmtId="167" fontId="35" fillId="0" borderId="27" xfId="0" applyNumberFormat="1" applyFont="1" applyBorder="1" applyAlignment="1">
      <alignment horizontal="center" vertical="center"/>
    </xf>
    <xf numFmtId="167" fontId="24" fillId="0" borderId="1" xfId="0" applyNumberFormat="1" applyFont="1" applyBorder="1" applyAlignment="1">
      <alignment horizontal="center" vertical="center" wrapText="1"/>
    </xf>
    <xf numFmtId="0" fontId="24" fillId="0" borderId="1" xfId="0" applyFont="1" applyBorder="1" applyAlignment="1">
      <alignment horizontal="center" vertical="center"/>
    </xf>
    <xf numFmtId="0" fontId="58" fillId="0" borderId="0" xfId="0" applyFont="1" applyAlignment="1">
      <alignment vertical="center"/>
    </xf>
    <xf numFmtId="171" fontId="69" fillId="0" borderId="0" xfId="0" applyNumberFormat="1" applyFont="1" applyAlignment="1">
      <alignment horizontal="center" vertical="center"/>
    </xf>
    <xf numFmtId="0" fontId="54" fillId="0" borderId="0" xfId="0" applyFont="1" applyAlignment="1">
      <alignment horizontal="center" vertical="top"/>
    </xf>
    <xf numFmtId="0" fontId="60" fillId="0" borderId="1" xfId="0" applyFont="1" applyBorder="1" applyAlignment="1">
      <alignment horizontal="center" vertical="top" wrapText="1"/>
    </xf>
    <xf numFmtId="0" fontId="60" fillId="0" borderId="3" xfId="0" applyFont="1" applyBorder="1" applyAlignment="1">
      <alignment vertical="top"/>
    </xf>
    <xf numFmtId="0" fontId="60" fillId="0" borderId="2" xfId="0" applyFont="1" applyBorder="1" applyAlignment="1">
      <alignment vertical="top"/>
    </xf>
    <xf numFmtId="0" fontId="60" fillId="0" borderId="4" xfId="0" applyFont="1" applyBorder="1" applyAlignment="1">
      <alignment vertical="top"/>
    </xf>
    <xf numFmtId="171" fontId="63" fillId="0" borderId="1" xfId="0" applyNumberFormat="1" applyFont="1" applyBorder="1" applyAlignment="1">
      <alignment vertical="top" wrapText="1"/>
    </xf>
    <xf numFmtId="0" fontId="38" fillId="0" borderId="16" xfId="0" applyFont="1" applyBorder="1" applyAlignment="1">
      <alignment vertical="top"/>
    </xf>
    <xf numFmtId="0" fontId="60" fillId="0" borderId="17" xfId="0" applyFont="1" applyBorder="1" applyAlignment="1">
      <alignment horizontal="center" vertical="top" wrapText="1"/>
    </xf>
    <xf numFmtId="0" fontId="60" fillId="0" borderId="21" xfId="0" applyFont="1" applyBorder="1" applyAlignment="1">
      <alignment vertical="top"/>
    </xf>
    <xf numFmtId="0" fontId="60" fillId="0" borderId="51" xfId="0" applyFont="1" applyBorder="1" applyAlignment="1">
      <alignment vertical="top"/>
    </xf>
    <xf numFmtId="0" fontId="60" fillId="0" borderId="22" xfId="0" applyFont="1" applyBorder="1" applyAlignment="1">
      <alignment vertical="top"/>
    </xf>
    <xf numFmtId="171" fontId="63" fillId="0" borderId="17" xfId="0" applyNumberFormat="1" applyFont="1" applyBorder="1" applyAlignment="1">
      <alignment vertical="top" wrapText="1"/>
    </xf>
    <xf numFmtId="0" fontId="44" fillId="0" borderId="0" xfId="0" applyFont="1" applyAlignment="1">
      <alignment horizontal="center" vertical="top"/>
    </xf>
    <xf numFmtId="0" fontId="45" fillId="0" borderId="16" xfId="0" applyFont="1" applyBorder="1" applyAlignment="1">
      <alignment vertical="top"/>
    </xf>
    <xf numFmtId="0" fontId="5" fillId="0" borderId="0" xfId="0" applyFont="1" applyAlignment="1">
      <alignment horizontal="center" vertical="center"/>
    </xf>
    <xf numFmtId="0" fontId="5" fillId="0" borderId="16" xfId="0" applyFont="1" applyBorder="1" applyAlignment="1">
      <alignment horizontal="center" vertical="center"/>
    </xf>
    <xf numFmtId="0" fontId="61" fillId="0" borderId="21" xfId="0" quotePrefix="1" applyFont="1" applyBorder="1" applyAlignment="1">
      <alignment horizontal="center" vertical="top" wrapText="1"/>
    </xf>
    <xf numFmtId="0" fontId="61" fillId="0" borderId="51" xfId="0" applyFont="1" applyBorder="1" applyAlignment="1">
      <alignment horizontal="center" vertical="top" wrapText="1"/>
    </xf>
    <xf numFmtId="0" fontId="61" fillId="0" borderId="22" xfId="0" applyFont="1" applyBorder="1" applyAlignment="1">
      <alignment horizontal="center" vertical="top" wrapText="1"/>
    </xf>
    <xf numFmtId="0" fontId="0" fillId="0" borderId="0" xfId="0" applyAlignment="1">
      <alignment vertical="center"/>
    </xf>
    <xf numFmtId="0" fontId="6" fillId="0" borderId="0" xfId="0" applyFont="1" applyAlignment="1">
      <alignment horizontal="center" vertical="center"/>
    </xf>
    <xf numFmtId="0" fontId="4" fillId="0" borderId="0" xfId="0" applyFont="1" applyAlignment="1">
      <alignment vertical="center"/>
    </xf>
    <xf numFmtId="166" fontId="66" fillId="0" borderId="3" xfId="0" applyNumberFormat="1" applyFont="1" applyBorder="1" applyAlignment="1">
      <alignment horizontal="center" vertical="center"/>
    </xf>
    <xf numFmtId="166" fontId="66" fillId="0" borderId="4" xfId="0" applyNumberFormat="1" applyFont="1" applyBorder="1" applyAlignment="1">
      <alignment horizontal="center" vertical="center"/>
    </xf>
    <xf numFmtId="0" fontId="24" fillId="0" borderId="3" xfId="0" applyFont="1" applyBorder="1" applyAlignment="1">
      <alignment vertical="center"/>
    </xf>
    <xf numFmtId="0" fontId="24" fillId="0" borderId="2" xfId="0" applyFont="1" applyBorder="1" applyAlignment="1">
      <alignment vertical="center"/>
    </xf>
    <xf numFmtId="0" fontId="2" fillId="0" borderId="0" xfId="0" applyFont="1" applyAlignment="1">
      <alignment horizontal="center" vertical="center"/>
    </xf>
    <xf numFmtId="0" fontId="8" fillId="0" borderId="0" xfId="0" applyFont="1" applyAlignment="1">
      <alignment horizontal="center" vertical="center"/>
    </xf>
    <xf numFmtId="0" fontId="15" fillId="0" borderId="0" xfId="0" applyFont="1" applyAlignment="1">
      <alignment vertical="center"/>
    </xf>
    <xf numFmtId="0" fontId="19" fillId="0" borderId="0" xfId="0" applyFont="1" applyAlignment="1">
      <alignment vertical="center"/>
    </xf>
    <xf numFmtId="0" fontId="3" fillId="0" borderId="0" xfId="0" applyFont="1" applyAlignment="1">
      <alignment vertical="center"/>
    </xf>
    <xf numFmtId="0" fontId="0" fillId="0" borderId="0" xfId="0"/>
    <xf numFmtId="0" fontId="0" fillId="0" borderId="16" xfId="0" applyBorder="1" applyAlignment="1">
      <alignment vertical="center"/>
    </xf>
    <xf numFmtId="0" fontId="6" fillId="0" borderId="0" xfId="0" applyFont="1" applyAlignment="1">
      <alignment vertical="center"/>
    </xf>
    <xf numFmtId="0" fontId="6" fillId="0" borderId="13" xfId="0" applyFont="1" applyBorder="1" applyAlignment="1">
      <alignment vertical="center"/>
    </xf>
    <xf numFmtId="0" fontId="6" fillId="0" borderId="0" xfId="0" applyFont="1" applyAlignment="1">
      <alignment horizontal="center" vertical="center"/>
    </xf>
    <xf numFmtId="0" fontId="4" fillId="0" borderId="0" xfId="0" applyFont="1" applyAlignment="1">
      <alignment vertical="center"/>
    </xf>
    <xf numFmtId="0" fontId="7" fillId="0" borderId="13" xfId="0" applyFont="1" applyBorder="1" applyAlignment="1">
      <alignment vertical="center"/>
    </xf>
    <xf numFmtId="0" fontId="4" fillId="0" borderId="1" xfId="0" applyFont="1" applyBorder="1" applyAlignment="1">
      <alignment horizontal="center" vertical="center"/>
    </xf>
    <xf numFmtId="0" fontId="0" fillId="0" borderId="13" xfId="0" applyBorder="1" applyAlignment="1">
      <alignment vertical="center"/>
    </xf>
    <xf numFmtId="0" fontId="5" fillId="0" borderId="13" xfId="0" applyFont="1" applyBorder="1" applyAlignment="1">
      <alignment vertical="center"/>
    </xf>
    <xf numFmtId="0" fontId="5" fillId="0" borderId="0" xfId="0" applyFont="1" applyAlignment="1">
      <alignment vertical="center"/>
    </xf>
    <xf numFmtId="0" fontId="2" fillId="0" borderId="0" xfId="0" applyFont="1" applyAlignment="1">
      <alignment vertical="center"/>
    </xf>
    <xf numFmtId="0" fontId="6" fillId="5" borderId="18"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18" xfId="0" applyFont="1" applyFill="1" applyBorder="1" applyAlignment="1">
      <alignment horizontal="center" vertical="center"/>
    </xf>
    <xf numFmtId="0" fontId="4" fillId="0" borderId="18" xfId="0" applyFont="1" applyBorder="1" applyAlignment="1">
      <alignment horizontal="center" vertical="center"/>
    </xf>
    <xf numFmtId="20" fontId="4" fillId="0" borderId="18" xfId="0" applyNumberFormat="1" applyFont="1" applyBorder="1" applyAlignment="1">
      <alignment horizontal="center" vertical="center"/>
    </xf>
    <xf numFmtId="20" fontId="4" fillId="0" borderId="19" xfId="0" applyNumberFormat="1" applyFont="1" applyBorder="1" applyAlignment="1">
      <alignment horizontal="center"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4" fillId="0" borderId="16" xfId="0" applyFont="1" applyBorder="1" applyAlignment="1">
      <alignment vertical="center"/>
    </xf>
    <xf numFmtId="0" fontId="4" fillId="0" borderId="6" xfId="0" applyFont="1" applyBorder="1" applyAlignment="1">
      <alignment horizontal="center" vertical="center"/>
    </xf>
    <xf numFmtId="166" fontId="24" fillId="0" borderId="10" xfId="0" applyNumberFormat="1" applyFont="1" applyBorder="1" applyAlignment="1">
      <alignment horizontal="center" vertical="center"/>
    </xf>
    <xf numFmtId="166" fontId="24" fillId="0" borderId="11" xfId="0" applyNumberFormat="1" applyFont="1" applyBorder="1" applyAlignment="1">
      <alignment horizontal="center" vertical="center"/>
    </xf>
    <xf numFmtId="0" fontId="24" fillId="0" borderId="6" xfId="0" quotePrefix="1" applyFont="1" applyBorder="1" applyAlignment="1">
      <alignment horizontal="center" vertical="center"/>
    </xf>
    <xf numFmtId="20" fontId="24" fillId="0" borderId="10" xfId="0" applyNumberFormat="1" applyFont="1" applyBorder="1" applyAlignment="1">
      <alignment vertical="center"/>
    </xf>
    <xf numFmtId="20" fontId="24" fillId="0" borderId="12" xfId="0" applyNumberFormat="1" applyFont="1" applyBorder="1" applyAlignment="1">
      <alignment vertical="center"/>
    </xf>
    <xf numFmtId="0" fontId="24" fillId="0" borderId="41" xfId="0" applyFont="1" applyBorder="1" applyAlignment="1">
      <alignment vertical="center"/>
    </xf>
    <xf numFmtId="0" fontId="24" fillId="0" borderId="47" xfId="0" applyFont="1" applyBorder="1" applyAlignment="1">
      <alignment vertical="center"/>
    </xf>
    <xf numFmtId="0" fontId="24" fillId="0" borderId="42" xfId="0" applyFont="1" applyBorder="1" applyAlignment="1">
      <alignment vertical="center"/>
    </xf>
    <xf numFmtId="0" fontId="17" fillId="0" borderId="13" xfId="0" applyFont="1" applyBorder="1"/>
    <xf numFmtId="0" fontId="10" fillId="3" borderId="1" xfId="0" applyFont="1" applyFill="1" applyBorder="1" applyAlignment="1">
      <alignment horizontal="center" vertical="center"/>
    </xf>
    <xf numFmtId="0" fontId="8" fillId="0" borderId="0" xfId="0" applyFont="1" applyAlignment="1">
      <alignment horizontal="center" vertical="center"/>
    </xf>
    <xf numFmtId="0" fontId="8" fillId="0" borderId="16" xfId="0" applyFont="1" applyBorder="1" applyAlignment="1">
      <alignment horizontal="center" vertical="center"/>
    </xf>
    <xf numFmtId="0" fontId="10" fillId="2" borderId="1" xfId="0" applyFont="1" applyFill="1" applyBorder="1" applyAlignment="1">
      <alignment horizontal="center" vertical="top"/>
    </xf>
    <xf numFmtId="0" fontId="15" fillId="0" borderId="0" xfId="0" applyFont="1" applyAlignment="1">
      <alignment vertical="center"/>
    </xf>
    <xf numFmtId="0" fontId="15" fillId="0" borderId="16" xfId="0" applyFont="1" applyBorder="1" applyAlignment="1">
      <alignment vertical="center"/>
    </xf>
    <xf numFmtId="0" fontId="19" fillId="0" borderId="0" xfId="0" applyFont="1" applyAlignment="1">
      <alignment vertical="center"/>
    </xf>
    <xf numFmtId="0" fontId="19" fillId="0" borderId="16" xfId="0" applyFont="1" applyBorder="1" applyAlignment="1">
      <alignment vertical="center"/>
    </xf>
    <xf numFmtId="0" fontId="3" fillId="0" borderId="0" xfId="0" applyFont="1" applyAlignment="1">
      <alignment vertical="center"/>
    </xf>
    <xf numFmtId="0" fontId="3" fillId="0" borderId="16" xfId="0" applyFont="1" applyBorder="1" applyAlignment="1">
      <alignment vertical="center"/>
    </xf>
    <xf numFmtId="0" fontId="15" fillId="0" borderId="13" xfId="0" applyFont="1" applyBorder="1" applyAlignment="1">
      <alignment horizontal="center" vertical="top"/>
    </xf>
    <xf numFmtId="0" fontId="15" fillId="0" borderId="0" xfId="0" applyFont="1" applyAlignment="1">
      <alignment horizontal="left" vertical="top"/>
    </xf>
    <xf numFmtId="0" fontId="15" fillId="0" borderId="0" xfId="0" applyFont="1" applyAlignment="1">
      <alignment horizontal="center" vertical="top"/>
    </xf>
    <xf numFmtId="0" fontId="6" fillId="0" borderId="16" xfId="0" applyFont="1" applyBorder="1" applyAlignment="1">
      <alignment horizontal="center" vertical="center"/>
    </xf>
    <xf numFmtId="0" fontId="3" fillId="0" borderId="3" xfId="0" applyFont="1" applyBorder="1" applyAlignment="1">
      <alignment vertical="center"/>
    </xf>
    <xf numFmtId="0" fontId="3" fillId="0" borderId="2" xfId="0" applyFont="1" applyBorder="1" applyAlignment="1">
      <alignment horizontal="left" vertical="center"/>
    </xf>
    <xf numFmtId="0" fontId="3" fillId="0" borderId="4" xfId="0" applyFont="1" applyBorder="1" applyAlignment="1">
      <alignment vertical="center"/>
    </xf>
    <xf numFmtId="170" fontId="3" fillId="0" borderId="2" xfId="0" applyNumberFormat="1" applyFont="1" applyBorder="1" applyAlignment="1">
      <alignment horizontal="left" vertical="center"/>
    </xf>
    <xf numFmtId="0" fontId="3" fillId="0" borderId="4" xfId="0" applyFont="1" applyBorder="1" applyAlignment="1">
      <alignment horizontal="left" vertical="center"/>
    </xf>
    <xf numFmtId="0" fontId="3" fillId="0" borderId="19" xfId="0" applyFont="1" applyBorder="1" applyAlignment="1">
      <alignment horizontal="center" vertical="center"/>
    </xf>
    <xf numFmtId="0" fontId="3" fillId="0" borderId="28" xfId="0" applyFont="1" applyBorder="1" applyAlignment="1">
      <alignment horizontal="left" vertical="center"/>
    </xf>
    <xf numFmtId="0" fontId="15" fillId="0" borderId="28" xfId="0" applyFont="1" applyBorder="1" applyAlignment="1">
      <alignment horizontal="left" vertical="top"/>
    </xf>
    <xf numFmtId="0" fontId="15" fillId="0" borderId="28" xfId="0" applyFont="1" applyBorder="1" applyAlignment="1">
      <alignment horizontal="center" vertical="top"/>
    </xf>
    <xf numFmtId="0" fontId="15" fillId="0" borderId="28" xfId="0" applyFont="1" applyBorder="1" applyAlignment="1">
      <alignment vertical="center"/>
    </xf>
    <xf numFmtId="0" fontId="15" fillId="0" borderId="20" xfId="0" applyFont="1" applyBorder="1" applyAlignment="1">
      <alignment vertical="center"/>
    </xf>
    <xf numFmtId="0" fontId="4" fillId="0" borderId="0" xfId="0" applyFont="1" applyAlignment="1">
      <alignment horizontal="left" vertical="top"/>
    </xf>
    <xf numFmtId="0" fontId="4" fillId="0" borderId="0" xfId="0" applyFont="1" applyAlignment="1">
      <alignment horizontal="center" vertical="top"/>
    </xf>
    <xf numFmtId="0" fontId="6" fillId="3" borderId="1" xfId="0" applyFont="1" applyFill="1" applyBorder="1" applyAlignment="1">
      <alignment horizontal="center" vertical="center"/>
    </xf>
    <xf numFmtId="0" fontId="4" fillId="0" borderId="13" xfId="0" applyFont="1" applyBorder="1" applyAlignment="1">
      <alignment horizontal="center" vertical="top"/>
    </xf>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169" fontId="3" fillId="0" borderId="3" xfId="0" applyNumberFormat="1" applyFont="1" applyBorder="1" applyAlignment="1">
      <alignment horizontal="center" vertical="center"/>
    </xf>
    <xf numFmtId="169" fontId="3" fillId="0" borderId="4" xfId="0" applyNumberFormat="1" applyFont="1" applyBorder="1" applyAlignment="1">
      <alignment horizontal="center" vertical="center"/>
    </xf>
    <xf numFmtId="0" fontId="19" fillId="0" borderId="1"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36" fillId="0" borderId="6" xfId="0" applyFont="1" applyBorder="1" applyAlignment="1">
      <alignment horizontal="center" vertical="center"/>
    </xf>
    <xf numFmtId="0" fontId="5" fillId="6" borderId="4" xfId="0" applyFont="1" applyFill="1" applyBorder="1" applyAlignment="1">
      <alignment horizontal="center" vertical="center"/>
    </xf>
    <xf numFmtId="0" fontId="4" fillId="0" borderId="1" xfId="0" applyFont="1" applyBorder="1" applyAlignment="1">
      <alignment horizontal="center" vertical="center"/>
    </xf>
    <xf numFmtId="167" fontId="36" fillId="0" borderId="3" xfId="1" applyNumberFormat="1" applyFont="1" applyBorder="1" applyAlignment="1">
      <alignment horizontal="center" vertical="center"/>
    </xf>
    <xf numFmtId="0" fontId="5" fillId="6" borderId="1" xfId="0" applyFont="1" applyFill="1" applyBorder="1" applyAlignment="1">
      <alignment horizontal="center" vertical="center"/>
    </xf>
    <xf numFmtId="167" fontId="24" fillId="0" borderId="6" xfId="1" applyNumberFormat="1" applyFont="1" applyFill="1" applyBorder="1" applyAlignment="1">
      <alignment horizontal="center" vertical="center"/>
    </xf>
    <xf numFmtId="0" fontId="36" fillId="0" borderId="52" xfId="0" applyFont="1" applyBorder="1" applyAlignment="1">
      <alignment horizontal="center" vertical="center"/>
    </xf>
    <xf numFmtId="167" fontId="36" fillId="0" borderId="40" xfId="1" applyNumberFormat="1" applyFont="1" applyBorder="1" applyAlignment="1">
      <alignment horizontal="center" vertical="center"/>
    </xf>
    <xf numFmtId="167" fontId="36" fillId="0" borderId="12" xfId="1" applyNumberFormat="1" applyFont="1" applyBorder="1" applyAlignment="1">
      <alignment horizontal="center" vertical="center"/>
    </xf>
    <xf numFmtId="167" fontId="36" fillId="0" borderId="39" xfId="1" applyNumberFormat="1" applyFont="1" applyBorder="1" applyAlignment="1">
      <alignment horizontal="center" vertical="center"/>
    </xf>
    <xf numFmtId="167" fontId="36" fillId="0" borderId="10" xfId="1" applyNumberFormat="1" applyFont="1" applyBorder="1" applyAlignment="1">
      <alignment horizontal="center" vertical="center"/>
    </xf>
    <xf numFmtId="0" fontId="61" fillId="0" borderId="3" xfId="0" quotePrefix="1" applyFont="1" applyBorder="1" applyAlignment="1">
      <alignment horizontal="center" vertical="top" wrapText="1"/>
    </xf>
    <xf numFmtId="0" fontId="61" fillId="0" borderId="2" xfId="0" applyFont="1" applyBorder="1" applyAlignment="1">
      <alignment horizontal="center" vertical="top" wrapText="1"/>
    </xf>
    <xf numFmtId="0" fontId="61" fillId="0" borderId="4" xfId="0" applyFont="1" applyBorder="1" applyAlignment="1">
      <alignment horizontal="center" vertical="top" wrapText="1"/>
    </xf>
    <xf numFmtId="0" fontId="59" fillId="7" borderId="5" xfId="0" applyFont="1" applyFill="1" applyBorder="1" applyAlignment="1">
      <alignment horizontal="center"/>
    </xf>
    <xf numFmtId="0" fontId="5" fillId="0" borderId="0" xfId="0" applyFont="1" applyAlignment="1">
      <alignment horizontal="center" vertical="center"/>
    </xf>
    <xf numFmtId="0" fontId="5" fillId="6" borderId="1" xfId="0" applyFont="1" applyFill="1" applyBorder="1" applyAlignment="1">
      <alignment horizontal="center" vertical="center"/>
    </xf>
    <xf numFmtId="0" fontId="5" fillId="6" borderId="4" xfId="0" applyFont="1" applyFill="1" applyBorder="1" applyAlignment="1">
      <alignment horizontal="center" vertical="center"/>
    </xf>
    <xf numFmtId="0" fontId="5" fillId="0" borderId="47" xfId="0" applyFont="1" applyBorder="1" applyAlignment="1">
      <alignment vertical="center"/>
    </xf>
    <xf numFmtId="0" fontId="5" fillId="0" borderId="12" xfId="0" applyFont="1" applyBorder="1" applyAlignment="1">
      <alignment vertical="center"/>
    </xf>
    <xf numFmtId="0" fontId="5" fillId="6" borderId="17" xfId="0" applyFont="1" applyFill="1" applyBorder="1" applyAlignment="1">
      <alignment horizontal="center" vertical="center"/>
    </xf>
    <xf numFmtId="167" fontId="5" fillId="0" borderId="6" xfId="1" applyNumberFormat="1" applyFont="1" applyBorder="1" applyAlignment="1">
      <alignment vertical="center"/>
    </xf>
    <xf numFmtId="167" fontId="5" fillId="0" borderId="41" xfId="1" applyNumberFormat="1" applyFont="1" applyBorder="1" applyAlignment="1">
      <alignment vertical="center"/>
    </xf>
    <xf numFmtId="167" fontId="5" fillId="0" borderId="12" xfId="1" applyNumberFormat="1" applyFont="1" applyBorder="1" applyAlignment="1">
      <alignment vertical="center"/>
    </xf>
    <xf numFmtId="0" fontId="23" fillId="0" borderId="10" xfId="0" applyFont="1" applyBorder="1" applyAlignment="1">
      <alignment horizontal="left" vertical="center"/>
    </xf>
    <xf numFmtId="167" fontId="24" fillId="0" borderId="6" xfId="1" applyNumberFormat="1" applyFont="1" applyFill="1" applyBorder="1" applyAlignment="1">
      <alignment vertical="center"/>
    </xf>
    <xf numFmtId="167" fontId="37" fillId="0" borderId="6" xfId="1" applyNumberFormat="1" applyFont="1" applyFill="1" applyBorder="1" applyAlignment="1">
      <alignment vertical="center"/>
    </xf>
    <xf numFmtId="167" fontId="24" fillId="0" borderId="1" xfId="1" applyNumberFormat="1" applyFont="1" applyFill="1" applyBorder="1" applyAlignment="1">
      <alignment vertical="center"/>
    </xf>
    <xf numFmtId="167" fontId="24" fillId="0" borderId="6" xfId="0" applyNumberFormat="1" applyFont="1" applyBorder="1" applyAlignment="1">
      <alignment horizontal="center" vertical="center" wrapText="1"/>
    </xf>
    <xf numFmtId="0" fontId="24" fillId="0" borderId="6" xfId="0" applyFont="1" applyBorder="1" applyAlignment="1">
      <alignment horizontal="center" vertical="center"/>
    </xf>
    <xf numFmtId="173" fontId="6" fillId="8" borderId="17" xfId="0" applyNumberFormat="1" applyFont="1" applyFill="1" applyBorder="1" applyAlignment="1">
      <alignment horizontal="center" vertical="center"/>
    </xf>
    <xf numFmtId="0" fontId="6" fillId="8" borderId="17" xfId="0" applyFont="1" applyFill="1" applyBorder="1" applyAlignment="1">
      <alignment horizontal="center" vertical="center" wrapText="1"/>
    </xf>
    <xf numFmtId="0" fontId="27" fillId="0" borderId="3" xfId="0" applyFont="1" applyFill="1" applyBorder="1" applyAlignment="1">
      <alignment horizontal="left" vertical="center"/>
    </xf>
    <xf numFmtId="0" fontId="5" fillId="0" borderId="2" xfId="0" applyFont="1" applyFill="1" applyBorder="1" applyAlignment="1">
      <alignment horizontal="left" vertical="center"/>
    </xf>
    <xf numFmtId="0" fontId="5" fillId="0" borderId="2" xfId="0" applyFont="1" applyFill="1" applyBorder="1" applyAlignment="1">
      <alignment horizontal="center" vertical="center"/>
    </xf>
    <xf numFmtId="167" fontId="5" fillId="0" borderId="2" xfId="0" applyNumberFormat="1" applyFont="1" applyFill="1" applyBorder="1" applyAlignment="1">
      <alignment horizontal="center" vertical="center"/>
    </xf>
    <xf numFmtId="0" fontId="23" fillId="0" borderId="8" xfId="0" applyFont="1" applyFill="1" applyBorder="1" applyAlignment="1">
      <alignment vertical="center"/>
    </xf>
    <xf numFmtId="0" fontId="23" fillId="0" borderId="9" xfId="0" applyFont="1" applyFill="1" applyBorder="1" applyAlignment="1">
      <alignment vertical="center"/>
    </xf>
    <xf numFmtId="0" fontId="5" fillId="0" borderId="4" xfId="0" applyFont="1" applyFill="1" applyBorder="1" applyAlignment="1">
      <alignment horizontal="left" vertical="center"/>
    </xf>
    <xf numFmtId="0" fontId="5" fillId="6" borderId="3" xfId="0" applyFont="1" applyFill="1" applyBorder="1" applyAlignment="1">
      <alignment vertical="center" wrapText="1"/>
    </xf>
    <xf numFmtId="167" fontId="36" fillId="0" borderId="4" xfId="1" applyNumberFormat="1" applyFont="1" applyBorder="1" applyAlignment="1">
      <alignment vertical="center"/>
    </xf>
    <xf numFmtId="0" fontId="5" fillId="6" borderId="1" xfId="0" applyFont="1" applyFill="1" applyBorder="1" applyAlignment="1">
      <alignment vertical="center" wrapText="1"/>
    </xf>
    <xf numFmtId="167" fontId="5" fillId="0" borderId="53" xfId="1" applyNumberFormat="1" applyFont="1" applyBorder="1" applyAlignment="1">
      <alignment vertical="center"/>
    </xf>
    <xf numFmtId="167" fontId="36" fillId="0" borderId="1" xfId="1" applyNumberFormat="1" applyFont="1" applyBorder="1" applyAlignment="1">
      <alignment horizontal="center" vertical="center"/>
    </xf>
    <xf numFmtId="167" fontId="37" fillId="0" borderId="1" xfId="0" applyNumberFormat="1" applyFont="1" applyBorder="1" applyAlignment="1">
      <alignment horizontal="center" vertical="center"/>
    </xf>
    <xf numFmtId="167" fontId="5" fillId="0" borderId="6" xfId="0" applyNumberFormat="1" applyFont="1" applyBorder="1" applyAlignment="1">
      <alignment vertical="center"/>
    </xf>
    <xf numFmtId="0" fontId="5" fillId="6" borderId="22" xfId="0" applyFont="1" applyFill="1" applyBorder="1" applyAlignment="1">
      <alignment horizontal="center" vertical="center"/>
    </xf>
    <xf numFmtId="0" fontId="5" fillId="6" borderId="56" xfId="0" applyFont="1" applyFill="1" applyBorder="1" applyAlignment="1">
      <alignment horizontal="center" vertical="center"/>
    </xf>
    <xf numFmtId="0" fontId="5" fillId="6" borderId="57" xfId="0" applyFont="1" applyFill="1" applyBorder="1" applyAlignment="1">
      <alignment vertical="center" wrapText="1"/>
    </xf>
    <xf numFmtId="167" fontId="5" fillId="0" borderId="58" xfId="1" applyNumberFormat="1" applyFont="1" applyBorder="1" applyAlignment="1">
      <alignment vertical="center"/>
    </xf>
    <xf numFmtId="167" fontId="5" fillId="0" borderId="59" xfId="1" applyNumberFormat="1" applyFont="1" applyBorder="1" applyAlignment="1">
      <alignment vertical="center"/>
    </xf>
    <xf numFmtId="167" fontId="36" fillId="0" borderId="21" xfId="1" applyNumberFormat="1" applyFont="1" applyBorder="1" applyAlignment="1">
      <alignment horizontal="center" vertical="center"/>
    </xf>
    <xf numFmtId="167" fontId="5" fillId="0" borderId="10" xfId="0" applyNumberFormat="1" applyFont="1" applyBorder="1" applyAlignment="1">
      <alignment vertical="center"/>
    </xf>
    <xf numFmtId="167" fontId="36" fillId="0" borderId="22" xfId="1" applyNumberFormat="1" applyFont="1" applyBorder="1" applyAlignment="1">
      <alignment vertical="center"/>
    </xf>
    <xf numFmtId="0" fontId="5" fillId="6" borderId="60" xfId="0" applyFont="1" applyFill="1" applyBorder="1" applyAlignment="1">
      <alignment horizontal="center" vertical="center"/>
    </xf>
    <xf numFmtId="167" fontId="36" fillId="0" borderId="60" xfId="1" applyNumberFormat="1" applyFont="1" applyBorder="1" applyAlignment="1">
      <alignment vertical="center"/>
    </xf>
    <xf numFmtId="167" fontId="36" fillId="0" borderId="57" xfId="1" applyNumberFormat="1" applyFont="1" applyBorder="1" applyAlignment="1">
      <alignment horizontal="center" vertical="center"/>
    </xf>
    <xf numFmtId="167" fontId="36" fillId="0" borderId="57" xfId="1" applyNumberFormat="1" applyFont="1" applyBorder="1" applyAlignment="1">
      <alignment vertical="center"/>
    </xf>
    <xf numFmtId="167" fontId="36" fillId="0" borderId="56" xfId="1" applyNumberFormat="1" applyFont="1" applyBorder="1" applyAlignment="1">
      <alignment vertical="center"/>
    </xf>
    <xf numFmtId="167" fontId="36" fillId="0" borderId="61" xfId="1" applyNumberFormat="1" applyFont="1" applyBorder="1" applyAlignment="1">
      <alignment horizontal="center" vertical="center"/>
    </xf>
    <xf numFmtId="0" fontId="5" fillId="0" borderId="62" xfId="0" applyFont="1" applyBorder="1" applyAlignment="1">
      <alignment vertical="center"/>
    </xf>
    <xf numFmtId="167" fontId="5" fillId="0" borderId="63" xfId="0" applyNumberFormat="1" applyFont="1" applyBorder="1" applyAlignment="1">
      <alignment vertical="center"/>
    </xf>
    <xf numFmtId="167" fontId="37" fillId="0" borderId="0" xfId="0" applyNumberFormat="1" applyFont="1" applyBorder="1" applyAlignment="1">
      <alignment horizontal="center" vertical="center"/>
    </xf>
    <xf numFmtId="0" fontId="59" fillId="7" borderId="5" xfId="0" applyFont="1" applyFill="1" applyBorder="1" applyAlignment="1">
      <alignment horizontal="center" vertical="center"/>
    </xf>
    <xf numFmtId="0" fontId="42" fillId="0" borderId="14" xfId="0" applyFont="1" applyBorder="1" applyAlignment="1">
      <alignment vertical="center"/>
    </xf>
    <xf numFmtId="167" fontId="0" fillId="0" borderId="0" xfId="1" applyNumberFormat="1" applyFont="1" applyAlignment="1">
      <alignment vertical="center"/>
    </xf>
    <xf numFmtId="167" fontId="23" fillId="0" borderId="0" xfId="1" applyNumberFormat="1" applyFont="1" applyAlignment="1">
      <alignment vertical="center"/>
    </xf>
    <xf numFmtId="167" fontId="5" fillId="0" borderId="0" xfId="1" applyNumberFormat="1" applyFont="1" applyAlignment="1">
      <alignment horizontal="center" vertical="center"/>
    </xf>
    <xf numFmtId="167" fontId="4" fillId="0" borderId="0" xfId="1" applyNumberFormat="1" applyFont="1" applyAlignment="1">
      <alignment vertical="center"/>
    </xf>
    <xf numFmtId="167" fontId="5" fillId="0" borderId="0" xfId="1" applyNumberFormat="1" applyFont="1" applyAlignment="1">
      <alignment vertical="center"/>
    </xf>
    <xf numFmtId="167" fontId="23" fillId="0" borderId="0" xfId="1" applyNumberFormat="1" applyFont="1" applyAlignment="1">
      <alignment vertical="top"/>
    </xf>
    <xf numFmtId="167" fontId="23" fillId="0" borderId="0" xfId="1" applyNumberFormat="1" applyFont="1" applyAlignment="1">
      <alignment horizontal="center" vertical="center"/>
    </xf>
    <xf numFmtId="167" fontId="2" fillId="0" borderId="0" xfId="1" applyNumberFormat="1" applyFont="1" applyAlignment="1">
      <alignment horizontal="center" vertical="center"/>
    </xf>
    <xf numFmtId="167" fontId="23" fillId="0" borderId="0" xfId="0" applyNumberFormat="1" applyFont="1" applyAlignment="1">
      <alignment vertical="center"/>
    </xf>
    <xf numFmtId="167" fontId="36" fillId="0" borderId="9" xfId="1" applyNumberFormat="1" applyFont="1" applyBorder="1" applyAlignment="1">
      <alignment horizontal="center" vertical="center"/>
    </xf>
    <xf numFmtId="169" fontId="48" fillId="0" borderId="4" xfId="0" applyNumberFormat="1" applyFont="1" applyBorder="1" applyAlignment="1">
      <alignment horizontal="center" vertical="center"/>
    </xf>
    <xf numFmtId="0" fontId="74" fillId="0" borderId="1" xfId="0" applyFont="1" applyBorder="1"/>
    <xf numFmtId="167" fontId="74" fillId="0" borderId="1" xfId="4" applyNumberFormat="1" applyFont="1" applyBorder="1" applyProtection="1">
      <protection hidden="1"/>
    </xf>
    <xf numFmtId="167" fontId="74" fillId="9" borderId="1" xfId="4" applyNumberFormat="1" applyFont="1" applyFill="1" applyBorder="1" applyProtection="1">
      <protection locked="0"/>
    </xf>
    <xf numFmtId="0" fontId="75" fillId="0" borderId="1" xfId="0" applyFont="1" applyBorder="1"/>
    <xf numFmtId="167" fontId="75" fillId="0" borderId="1" xfId="4" applyNumberFormat="1" applyFont="1" applyBorder="1" applyProtection="1">
      <protection hidden="1"/>
    </xf>
    <xf numFmtId="167" fontId="75" fillId="9" borderId="1" xfId="4" applyNumberFormat="1" applyFont="1" applyFill="1" applyBorder="1" applyProtection="1">
      <protection locked="0"/>
    </xf>
    <xf numFmtId="167" fontId="0" fillId="0" borderId="0" xfId="1" applyNumberFormat="1" applyFont="1"/>
    <xf numFmtId="167" fontId="0" fillId="4" borderId="0" xfId="1" applyNumberFormat="1" applyFont="1" applyFill="1"/>
    <xf numFmtId="0" fontId="6" fillId="5" borderId="3"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7" xfId="0" applyFont="1" applyFill="1" applyBorder="1" applyAlignment="1">
      <alignment horizontal="center" vertical="center" wrapText="1"/>
    </xf>
    <xf numFmtId="0" fontId="6" fillId="5" borderId="8"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0" borderId="0" xfId="0" applyFont="1" applyAlignment="1">
      <alignment horizontal="center" vertical="top"/>
    </xf>
    <xf numFmtId="0" fontId="6" fillId="5" borderId="5" xfId="0" applyFont="1" applyFill="1" applyBorder="1" applyAlignment="1">
      <alignment horizontal="center" vertical="center" wrapText="1"/>
    </xf>
    <xf numFmtId="0" fontId="6" fillId="5" borderId="2" xfId="0" applyFont="1" applyFill="1" applyBorder="1" applyAlignment="1">
      <alignment horizontal="center" vertical="center" wrapText="1"/>
    </xf>
    <xf numFmtId="169" fontId="3" fillId="0" borderId="3" xfId="0" applyNumberFormat="1" applyFont="1" applyBorder="1" applyAlignment="1">
      <alignment horizontal="center" vertical="center"/>
    </xf>
    <xf numFmtId="169" fontId="3" fillId="0" borderId="4" xfId="0" applyNumberFormat="1" applyFont="1" applyBorder="1" applyAlignment="1">
      <alignment horizontal="center" vertical="center"/>
    </xf>
    <xf numFmtId="0" fontId="19" fillId="0" borderId="3" xfId="0" applyFont="1" applyBorder="1" applyAlignment="1">
      <alignment horizontal="center" vertical="center"/>
    </xf>
    <xf numFmtId="0" fontId="19" fillId="0" borderId="2" xfId="0" applyFont="1" applyBorder="1" applyAlignment="1">
      <alignment horizontal="center" vertical="center"/>
    </xf>
    <xf numFmtId="0" fontId="19" fillId="0" borderId="4"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10" fillId="2" borderId="1" xfId="0" applyFont="1" applyFill="1" applyBorder="1" applyAlignment="1">
      <alignment horizontal="center" vertical="top"/>
    </xf>
    <xf numFmtId="0" fontId="10" fillId="2" borderId="1" xfId="0" applyFont="1" applyFill="1" applyBorder="1" applyAlignment="1">
      <alignment horizontal="left" vertical="top"/>
    </xf>
    <xf numFmtId="0" fontId="10" fillId="2" borderId="3" xfId="0" applyFont="1" applyFill="1" applyBorder="1" applyAlignment="1">
      <alignment horizontal="center" vertical="top"/>
    </xf>
    <xf numFmtId="0" fontId="10" fillId="2" borderId="2" xfId="0" applyFont="1" applyFill="1" applyBorder="1" applyAlignment="1">
      <alignment horizontal="center" vertical="top"/>
    </xf>
    <xf numFmtId="0" fontId="10" fillId="2" borderId="4" xfId="0" applyFont="1" applyFill="1" applyBorder="1" applyAlignment="1">
      <alignment horizontal="center" vertical="top"/>
    </xf>
    <xf numFmtId="0" fontId="4" fillId="0" borderId="2" xfId="0" applyFont="1" applyBorder="1" applyAlignment="1">
      <alignment horizontal="center" vertical="center"/>
    </xf>
    <xf numFmtId="0" fontId="24" fillId="0" borderId="3" xfId="0" applyFont="1" applyBorder="1" applyAlignment="1">
      <alignment horizontal="center" vertical="center"/>
    </xf>
    <xf numFmtId="0" fontId="24" fillId="0" borderId="4" xfId="0" applyFont="1" applyBorder="1" applyAlignment="1">
      <alignment horizontal="center" vertical="center"/>
    </xf>
    <xf numFmtId="0" fontId="24" fillId="0" borderId="2" xfId="0" applyFont="1" applyBorder="1" applyAlignment="1">
      <alignment horizontal="center" vertical="center"/>
    </xf>
    <xf numFmtId="0" fontId="24" fillId="0" borderId="3" xfId="0" quotePrefix="1" applyFont="1" applyBorder="1" applyAlignment="1">
      <alignment horizontal="center" vertical="center"/>
    </xf>
    <xf numFmtId="0" fontId="13" fillId="0" borderId="7" xfId="0" applyFont="1" applyBorder="1" applyAlignment="1">
      <alignment horizontal="center"/>
    </xf>
    <xf numFmtId="0" fontId="13" fillId="0" borderId="8" xfId="0" applyFont="1" applyBorder="1" applyAlignment="1">
      <alignment horizontal="center"/>
    </xf>
    <xf numFmtId="0" fontId="13" fillId="0" borderId="9" xfId="0" applyFont="1" applyBorder="1" applyAlignment="1">
      <alignment horizontal="center"/>
    </xf>
    <xf numFmtId="0" fontId="13" fillId="0" borderId="13" xfId="0" applyFont="1" applyBorder="1" applyAlignment="1">
      <alignment horizontal="center"/>
    </xf>
    <xf numFmtId="0" fontId="13" fillId="0" borderId="0" xfId="0" applyFont="1" applyAlignment="1">
      <alignment horizontal="center"/>
    </xf>
    <xf numFmtId="0" fontId="13" fillId="0" borderId="16" xfId="0" applyFont="1" applyBorder="1" applyAlignment="1">
      <alignment horizontal="center"/>
    </xf>
    <xf numFmtId="0" fontId="67" fillId="0" borderId="13" xfId="0" applyFont="1" applyBorder="1" applyAlignment="1">
      <alignment horizontal="center" vertical="center"/>
    </xf>
    <xf numFmtId="0" fontId="67" fillId="0" borderId="0" xfId="0" applyFont="1" applyAlignment="1">
      <alignment horizontal="center" vertical="center"/>
    </xf>
    <xf numFmtId="0" fontId="67" fillId="0" borderId="16" xfId="0" applyFont="1" applyBorder="1" applyAlignment="1">
      <alignment horizontal="center" vertical="center"/>
    </xf>
    <xf numFmtId="0" fontId="67" fillId="0" borderId="10" xfId="0" applyFont="1" applyBorder="1" applyAlignment="1">
      <alignment horizontal="center" vertical="center"/>
    </xf>
    <xf numFmtId="0" fontId="67" fillId="0" borderId="11" xfId="0" applyFont="1" applyBorder="1" applyAlignment="1">
      <alignment horizontal="center" vertical="center"/>
    </xf>
    <xf numFmtId="0" fontId="67" fillId="0" borderId="12"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6" fillId="5" borderId="3"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21" xfId="0" applyFont="1" applyFill="1" applyBorder="1" applyAlignment="1">
      <alignment horizontal="center" vertical="center" wrapText="1"/>
    </xf>
    <xf numFmtId="0" fontId="6" fillId="5" borderId="22" xfId="0" applyFont="1" applyFill="1" applyBorder="1" applyAlignment="1">
      <alignment horizontal="center" vertical="center" wrapText="1"/>
    </xf>
    <xf numFmtId="0" fontId="6" fillId="5" borderId="21" xfId="0" applyFont="1" applyFill="1" applyBorder="1" applyAlignment="1">
      <alignment horizontal="center" vertical="center"/>
    </xf>
    <xf numFmtId="0" fontId="6" fillId="5" borderId="22" xfId="0" applyFont="1" applyFill="1" applyBorder="1" applyAlignment="1">
      <alignment horizontal="center" vertical="center"/>
    </xf>
    <xf numFmtId="0" fontId="6" fillId="5" borderId="17" xfId="0" applyFont="1" applyFill="1" applyBorder="1" applyAlignment="1">
      <alignment horizontal="center" vertical="center"/>
    </xf>
    <xf numFmtId="0" fontId="6" fillId="5" borderId="23" xfId="0" applyFont="1" applyFill="1" applyBorder="1" applyAlignment="1">
      <alignment horizontal="center" vertical="center"/>
    </xf>
    <xf numFmtId="0" fontId="6" fillId="5" borderId="25" xfId="0" applyFont="1" applyFill="1" applyBorder="1" applyAlignment="1">
      <alignment horizontal="center" vertical="center"/>
    </xf>
    <xf numFmtId="0" fontId="6" fillId="5" borderId="26" xfId="0" applyFont="1" applyFill="1" applyBorder="1" applyAlignment="1">
      <alignment horizontal="center" vertical="center"/>
    </xf>
    <xf numFmtId="0" fontId="6" fillId="5" borderId="5" xfId="0" applyFont="1" applyFill="1" applyBorder="1" applyAlignment="1">
      <alignment horizontal="center" vertical="center"/>
    </xf>
    <xf numFmtId="0" fontId="6" fillId="5" borderId="18" xfId="0" applyFont="1" applyFill="1" applyBorder="1" applyAlignment="1">
      <alignment horizontal="center" vertical="center"/>
    </xf>
    <xf numFmtId="0" fontId="6" fillId="5" borderId="7"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19" xfId="0" applyFont="1" applyFill="1" applyBorder="1" applyAlignment="1">
      <alignment horizontal="center" vertical="center"/>
    </xf>
    <xf numFmtId="0" fontId="6" fillId="5" borderId="20" xfId="0" applyFont="1" applyFill="1" applyBorder="1" applyAlignment="1">
      <alignment horizontal="center" vertical="center"/>
    </xf>
    <xf numFmtId="20" fontId="4" fillId="0" borderId="19" xfId="0" applyNumberFormat="1" applyFont="1" applyBorder="1" applyAlignment="1">
      <alignment horizontal="center" vertical="center"/>
    </xf>
    <xf numFmtId="20" fontId="4" fillId="0" borderId="20" xfId="0" applyNumberFormat="1" applyFont="1" applyBorder="1" applyAlignment="1">
      <alignment horizontal="center" vertical="center"/>
    </xf>
    <xf numFmtId="166" fontId="4" fillId="0" borderId="19" xfId="0" applyNumberFormat="1" applyFont="1" applyBorder="1" applyAlignment="1">
      <alignment horizontal="center" vertical="center"/>
    </xf>
    <xf numFmtId="166" fontId="4" fillId="0" borderId="20" xfId="0" applyNumberFormat="1" applyFont="1" applyBorder="1" applyAlignment="1">
      <alignment horizontal="center" vertical="center"/>
    </xf>
    <xf numFmtId="0" fontId="4" fillId="0" borderId="25" xfId="0" applyFont="1" applyBorder="1" applyAlignment="1">
      <alignment horizontal="center" vertical="center"/>
    </xf>
    <xf numFmtId="0" fontId="4" fillId="0" borderId="26" xfId="0" applyFont="1" applyBorder="1" applyAlignment="1">
      <alignment horizontal="center" vertical="center"/>
    </xf>
    <xf numFmtId="172" fontId="4" fillId="0" borderId="25" xfId="0" applyNumberFormat="1" applyFont="1" applyBorder="1" applyAlignment="1">
      <alignment horizontal="center" vertical="center"/>
    </xf>
    <xf numFmtId="172" fontId="4" fillId="0" borderId="26" xfId="0" applyNumberFormat="1" applyFont="1" applyBorder="1" applyAlignment="1">
      <alignment horizontal="center" vertical="center"/>
    </xf>
    <xf numFmtId="20" fontId="4" fillId="0" borderId="25" xfId="0" applyNumberFormat="1" applyFont="1" applyBorder="1" applyAlignment="1">
      <alignment horizontal="center" vertical="center"/>
    </xf>
    <xf numFmtId="20" fontId="4" fillId="0" borderId="26" xfId="0" applyNumberFormat="1" applyFont="1" applyBorder="1" applyAlignment="1">
      <alignment horizontal="center" vertical="center"/>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4" fillId="0" borderId="47" xfId="0" applyFont="1" applyBorder="1" applyAlignment="1">
      <alignment horizontal="center" vertical="center"/>
    </xf>
    <xf numFmtId="0" fontId="24" fillId="0" borderId="10" xfId="0" applyFont="1" applyBorder="1" applyAlignment="1">
      <alignment horizontal="center" vertical="center"/>
    </xf>
    <xf numFmtId="0" fontId="24" fillId="0" borderId="12" xfId="0" applyFont="1" applyBorder="1" applyAlignment="1">
      <alignment horizontal="center" vertical="center"/>
    </xf>
    <xf numFmtId="20" fontId="24" fillId="0" borderId="10" xfId="0" applyNumberFormat="1" applyFont="1" applyBorder="1" applyAlignment="1">
      <alignment horizontal="center" vertical="center"/>
    </xf>
    <xf numFmtId="20" fontId="24" fillId="0" borderId="12" xfId="0" applyNumberFormat="1" applyFont="1" applyBorder="1" applyAlignment="1">
      <alignment horizontal="center" vertical="center"/>
    </xf>
    <xf numFmtId="0" fontId="10" fillId="3" borderId="1" xfId="0" applyFont="1" applyFill="1" applyBorder="1" applyAlignment="1">
      <alignment horizontal="center" vertical="center"/>
    </xf>
    <xf numFmtId="0" fontId="10" fillId="3" borderId="3"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4" xfId="0" applyFont="1" applyFill="1" applyBorder="1" applyAlignment="1">
      <alignment horizontal="center" vertical="center"/>
    </xf>
    <xf numFmtId="0" fontId="6" fillId="5" borderId="8" xfId="0" applyFont="1" applyFill="1" applyBorder="1" applyAlignment="1">
      <alignment horizontal="center" vertical="center"/>
    </xf>
    <xf numFmtId="0" fontId="6" fillId="5" borderId="28" xfId="0" applyFont="1" applyFill="1" applyBorder="1" applyAlignment="1">
      <alignment horizontal="center" vertical="center"/>
    </xf>
    <xf numFmtId="0" fontId="6" fillId="5" borderId="19"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5" borderId="17" xfId="0" applyFont="1" applyFill="1" applyBorder="1" applyAlignment="1">
      <alignment horizontal="center" vertical="center" wrapText="1"/>
    </xf>
    <xf numFmtId="0" fontId="16" fillId="2" borderId="3" xfId="0" applyFont="1" applyFill="1" applyBorder="1" applyAlignment="1">
      <alignment horizontal="center" vertical="top"/>
    </xf>
    <xf numFmtId="0" fontId="16" fillId="2" borderId="2" xfId="0" applyFont="1" applyFill="1" applyBorder="1" applyAlignment="1">
      <alignment horizontal="center" vertical="top"/>
    </xf>
    <xf numFmtId="0" fontId="16" fillId="2" borderId="4" xfId="0" applyFont="1" applyFill="1" applyBorder="1" applyAlignment="1">
      <alignment horizontal="center" vertical="top"/>
    </xf>
    <xf numFmtId="0" fontId="16" fillId="2" borderId="1" xfId="0" applyFont="1" applyFill="1" applyBorder="1" applyAlignment="1">
      <alignment horizontal="center" vertical="top"/>
    </xf>
    <xf numFmtId="0" fontId="10" fillId="2" borderId="1" xfId="0" applyFont="1" applyFill="1" applyBorder="1" applyAlignment="1">
      <alignment horizontal="left" vertical="top" wrapText="1"/>
    </xf>
    <xf numFmtId="0" fontId="16" fillId="2" borderId="3" xfId="0" applyFont="1" applyFill="1" applyBorder="1" applyAlignment="1">
      <alignment horizontal="center" vertical="top" wrapText="1"/>
    </xf>
    <xf numFmtId="0" fontId="16" fillId="2" borderId="2" xfId="0" applyFont="1" applyFill="1" applyBorder="1" applyAlignment="1">
      <alignment horizontal="center" vertical="top" wrapText="1"/>
    </xf>
    <xf numFmtId="0" fontId="16" fillId="2" borderId="4" xfId="0" applyFont="1" applyFill="1" applyBorder="1" applyAlignment="1">
      <alignment horizontal="center" vertical="top" wrapText="1"/>
    </xf>
    <xf numFmtId="0" fontId="16" fillId="2" borderId="1" xfId="0" applyFont="1" applyFill="1" applyBorder="1" applyAlignment="1">
      <alignment horizontal="center" vertical="top" wrapText="1"/>
    </xf>
    <xf numFmtId="0" fontId="10" fillId="3" borderId="1" xfId="0" applyFont="1" applyFill="1" applyBorder="1" applyAlignment="1">
      <alignment horizontal="center" vertical="top"/>
    </xf>
    <xf numFmtId="0" fontId="17" fillId="2" borderId="1" xfId="0" applyFont="1" applyFill="1" applyBorder="1" applyAlignment="1">
      <alignment horizontal="left" vertical="center"/>
    </xf>
    <xf numFmtId="0" fontId="17" fillId="2" borderId="1" xfId="0" applyFont="1" applyFill="1" applyBorder="1" applyAlignment="1">
      <alignment horizontal="left" vertical="top"/>
    </xf>
    <xf numFmtId="0" fontId="24" fillId="0" borderId="41" xfId="0" applyFont="1" applyBorder="1" applyAlignment="1">
      <alignment horizontal="left" vertical="center"/>
    </xf>
    <xf numFmtId="0" fontId="24" fillId="0" borderId="47" xfId="0" applyFont="1" applyBorder="1" applyAlignment="1">
      <alignment horizontal="left" vertical="center"/>
    </xf>
    <xf numFmtId="0" fontId="24" fillId="0" borderId="42" xfId="0" applyFont="1" applyBorder="1" applyAlignment="1">
      <alignment horizontal="left" vertical="center"/>
    </xf>
    <xf numFmtId="0" fontId="24" fillId="0" borderId="6" xfId="0" applyFont="1" applyBorder="1" applyAlignment="1">
      <alignment vertical="center"/>
    </xf>
    <xf numFmtId="0" fontId="33" fillId="0" borderId="6" xfId="0" applyFont="1" applyBorder="1" applyAlignment="1">
      <alignment horizontal="center" vertical="center"/>
    </xf>
    <xf numFmtId="0" fontId="17" fillId="5" borderId="1" xfId="0" applyFont="1" applyFill="1" applyBorder="1" applyAlignment="1">
      <alignment horizontal="center" vertical="center"/>
    </xf>
    <xf numFmtId="0" fontId="28" fillId="0" borderId="1" xfId="0" applyFont="1" applyBorder="1" applyAlignment="1">
      <alignment horizontal="center" vertical="center"/>
    </xf>
    <xf numFmtId="0" fontId="24" fillId="0" borderId="3" xfId="0" applyFont="1" applyBorder="1" applyAlignment="1">
      <alignment horizontal="left" vertical="center"/>
    </xf>
    <xf numFmtId="0" fontId="24" fillId="0" borderId="2" xfId="0" applyFont="1" applyBorder="1" applyAlignment="1">
      <alignment horizontal="left" vertical="center"/>
    </xf>
    <xf numFmtId="0" fontId="24" fillId="0" borderId="4" xfId="0" applyFont="1" applyBorder="1" applyAlignment="1">
      <alignment horizontal="left" vertical="center"/>
    </xf>
    <xf numFmtId="0" fontId="24" fillId="0" borderId="1" xfId="0" applyFont="1" applyBorder="1" applyAlignment="1">
      <alignment vertical="center"/>
    </xf>
    <xf numFmtId="0" fontId="33" fillId="0" borderId="1" xfId="0" applyFont="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17" fillId="2" borderId="3" xfId="0" applyFont="1" applyFill="1" applyBorder="1" applyAlignment="1">
      <alignment vertical="center"/>
    </xf>
    <xf numFmtId="0" fontId="17" fillId="2" borderId="2" xfId="0" applyFont="1" applyFill="1" applyBorder="1" applyAlignment="1">
      <alignment vertical="center"/>
    </xf>
    <xf numFmtId="0" fontId="17" fillId="2" borderId="4" xfId="0" applyFont="1" applyFill="1" applyBorder="1" applyAlignment="1">
      <alignment vertical="center"/>
    </xf>
    <xf numFmtId="0" fontId="17" fillId="2" borderId="1" xfId="0" applyFont="1" applyFill="1" applyBorder="1" applyAlignment="1">
      <alignment horizontal="center" vertical="center" wrapText="1"/>
    </xf>
    <xf numFmtId="0" fontId="4" fillId="0" borderId="1" xfId="0" applyFont="1" applyBorder="1" applyAlignment="1">
      <alignment vertic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4" fillId="0" borderId="7" xfId="0" applyFont="1" applyBorder="1"/>
    <xf numFmtId="0" fontId="14" fillId="0" borderId="8" xfId="0" applyFont="1" applyBorder="1"/>
    <xf numFmtId="0" fontId="14" fillId="0" borderId="9" xfId="0" applyFont="1" applyBorder="1"/>
    <xf numFmtId="0" fontId="27" fillId="0" borderId="13" xfId="0" applyFont="1" applyBorder="1" applyAlignment="1">
      <alignment horizontal="center" vertical="center"/>
    </xf>
    <xf numFmtId="0" fontId="27" fillId="0" borderId="0" xfId="0" applyFont="1" applyAlignment="1">
      <alignment horizontal="center" vertical="center"/>
    </xf>
    <xf numFmtId="0" fontId="27" fillId="0" borderId="16" xfId="0" applyFont="1" applyBorder="1" applyAlignment="1">
      <alignment horizontal="center" vertical="center"/>
    </xf>
    <xf numFmtId="0" fontId="4" fillId="0" borderId="3" xfId="0" applyFont="1" applyBorder="1" applyAlignment="1">
      <alignment vertical="center"/>
    </xf>
    <xf numFmtId="0" fontId="4" fillId="0" borderId="2" xfId="0" applyFont="1" applyBorder="1" applyAlignment="1">
      <alignment vertical="center"/>
    </xf>
    <xf numFmtId="0" fontId="4" fillId="0" borderId="4" xfId="0" applyFont="1" applyBorder="1" applyAlignment="1">
      <alignment vertical="center"/>
    </xf>
    <xf numFmtId="0" fontId="4" fillId="0" borderId="3" xfId="0" applyFont="1" applyBorder="1" applyAlignment="1">
      <alignment horizontal="center" vertical="center"/>
    </xf>
    <xf numFmtId="166" fontId="68" fillId="0" borderId="1" xfId="0" applyNumberFormat="1" applyFont="1" applyBorder="1" applyAlignment="1">
      <alignment horizontal="center" vertical="center"/>
    </xf>
    <xf numFmtId="0" fontId="68" fillId="0" borderId="1" xfId="0" applyFont="1" applyBorder="1" applyAlignment="1">
      <alignment horizontal="center" vertical="center"/>
    </xf>
    <xf numFmtId="0" fontId="5" fillId="0" borderId="39" xfId="0" applyFont="1" applyBorder="1" applyAlignment="1">
      <alignment horizontal="left" vertical="center"/>
    </xf>
    <xf numFmtId="0" fontId="5" fillId="0" borderId="38"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22" fillId="3" borderId="39" xfId="0" applyFont="1" applyFill="1" applyBorder="1" applyAlignment="1">
      <alignment horizontal="center" vertical="center"/>
    </xf>
    <xf numFmtId="0" fontId="22" fillId="3" borderId="38" xfId="0" applyFont="1" applyFill="1" applyBorder="1" applyAlignment="1">
      <alignment horizontal="center" vertical="center"/>
    </xf>
    <xf numFmtId="0" fontId="22" fillId="3" borderId="40" xfId="0" applyFont="1" applyFill="1" applyBorder="1" applyAlignment="1">
      <alignment horizontal="center" vertical="center"/>
    </xf>
    <xf numFmtId="0" fontId="22" fillId="3" borderId="1"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4" xfId="0" applyFont="1" applyFill="1" applyBorder="1" applyAlignment="1">
      <alignment horizontal="center" vertical="center"/>
    </xf>
    <xf numFmtId="166" fontId="68" fillId="4" borderId="1" xfId="0" applyNumberFormat="1" applyFont="1" applyFill="1" applyBorder="1" applyAlignment="1">
      <alignment horizontal="center" vertical="center"/>
    </xf>
    <xf numFmtId="0" fontId="20" fillId="0" borderId="7" xfId="0" applyFont="1" applyBorder="1" applyAlignment="1">
      <alignment horizontal="left" vertical="top" wrapText="1"/>
    </xf>
    <xf numFmtId="0" fontId="20" fillId="0" borderId="8" xfId="0" applyFont="1" applyBorder="1" applyAlignment="1">
      <alignment horizontal="left" vertical="top"/>
    </xf>
    <xf numFmtId="0" fontId="20" fillId="0" borderId="9" xfId="0" applyFont="1" applyBorder="1" applyAlignment="1">
      <alignment horizontal="left" vertical="top"/>
    </xf>
    <xf numFmtId="0" fontId="20" fillId="0" borderId="13" xfId="0" applyFont="1" applyBorder="1" applyAlignment="1">
      <alignment horizontal="left" vertical="top"/>
    </xf>
    <xf numFmtId="0" fontId="20" fillId="0" borderId="0" xfId="0" applyFont="1" applyAlignment="1">
      <alignment horizontal="left" vertical="top"/>
    </xf>
    <xf numFmtId="0" fontId="20" fillId="0" borderId="16" xfId="0" applyFont="1" applyBorder="1" applyAlignment="1">
      <alignment horizontal="left" vertical="top"/>
    </xf>
    <xf numFmtId="0" fontId="20" fillId="0" borderId="10" xfId="0" applyFont="1" applyBorder="1" applyAlignment="1">
      <alignment horizontal="left" vertical="top"/>
    </xf>
    <xf numFmtId="0" fontId="20" fillId="0" borderId="11" xfId="0" applyFont="1" applyBorder="1" applyAlignment="1">
      <alignment horizontal="left" vertical="top"/>
    </xf>
    <xf numFmtId="0" fontId="20" fillId="0" borderId="12" xfId="0" applyFont="1" applyBorder="1" applyAlignment="1">
      <alignment horizontal="left" vertical="top"/>
    </xf>
    <xf numFmtId="0" fontId="3" fillId="0" borderId="5" xfId="0" applyFont="1" applyBorder="1" applyAlignment="1">
      <alignment horizontal="center" vertical="top"/>
    </xf>
    <xf numFmtId="0" fontId="3" fillId="0" borderId="24" xfId="0" applyFont="1" applyBorder="1" applyAlignment="1">
      <alignment horizontal="center" vertical="top"/>
    </xf>
    <xf numFmtId="0" fontId="3" fillId="0" borderId="6" xfId="0" applyFont="1" applyBorder="1" applyAlignment="1">
      <alignment horizontal="center" vertical="top"/>
    </xf>
    <xf numFmtId="0" fontId="19" fillId="0" borderId="7" xfId="0" applyFont="1" applyBorder="1" applyAlignment="1">
      <alignment horizontal="left" vertical="top" wrapText="1"/>
    </xf>
    <xf numFmtId="0" fontId="19" fillId="0" borderId="9" xfId="0" applyFont="1" applyBorder="1" applyAlignment="1">
      <alignment horizontal="left" vertical="top"/>
    </xf>
    <xf numFmtId="0" fontId="19" fillId="0" borderId="13" xfId="0" applyFont="1" applyBorder="1" applyAlignment="1">
      <alignment horizontal="left" vertical="top"/>
    </xf>
    <xf numFmtId="0" fontId="19" fillId="0" borderId="16" xfId="0" applyFont="1" applyBorder="1" applyAlignment="1">
      <alignment horizontal="left" vertical="top"/>
    </xf>
    <xf numFmtId="0" fontId="19" fillId="0" borderId="10" xfId="0" applyFont="1" applyBorder="1" applyAlignment="1">
      <alignment horizontal="left" vertical="top"/>
    </xf>
    <xf numFmtId="0" fontId="19" fillId="0" borderId="12" xfId="0" applyFont="1" applyBorder="1" applyAlignment="1">
      <alignment horizontal="left" vertical="top"/>
    </xf>
    <xf numFmtId="172" fontId="0" fillId="0" borderId="3" xfId="0" applyNumberFormat="1" applyBorder="1" applyAlignment="1">
      <alignment horizontal="center" vertical="center"/>
    </xf>
    <xf numFmtId="172" fontId="0" fillId="0" borderId="4" xfId="0" applyNumberFormat="1" applyBorder="1" applyAlignment="1">
      <alignment horizontal="center" vertical="center"/>
    </xf>
    <xf numFmtId="0" fontId="70" fillId="7" borderId="2" xfId="0" applyFont="1" applyFill="1" applyBorder="1" applyAlignment="1">
      <alignment horizontal="center" vertical="center"/>
    </xf>
    <xf numFmtId="0" fontId="70" fillId="7" borderId="4" xfId="0" applyFont="1" applyFill="1" applyBorder="1" applyAlignment="1">
      <alignment horizontal="center" vertical="center"/>
    </xf>
    <xf numFmtId="172" fontId="0" fillId="0" borderId="64" xfId="0" applyNumberFormat="1" applyBorder="1" applyAlignment="1">
      <alignment horizontal="center" vertical="center"/>
    </xf>
    <xf numFmtId="172" fontId="0" fillId="0" borderId="65" xfId="0" applyNumberFormat="1" applyBorder="1" applyAlignment="1">
      <alignment horizontal="center" vertical="center"/>
    </xf>
    <xf numFmtId="0" fontId="5" fillId="6" borderId="1" xfId="0" applyFont="1" applyFill="1" applyBorder="1" applyAlignment="1">
      <alignment horizontal="center" vertical="center"/>
    </xf>
    <xf numFmtId="168" fontId="23" fillId="0" borderId="5" xfId="0" applyNumberFormat="1" applyFont="1" applyBorder="1" applyAlignment="1">
      <alignment horizontal="left" vertical="center"/>
    </xf>
    <xf numFmtId="0" fontId="5" fillId="0" borderId="6" xfId="0" applyFont="1" applyBorder="1" applyAlignment="1">
      <alignment horizontal="center" vertical="center"/>
    </xf>
    <xf numFmtId="0" fontId="27" fillId="0" borderId="48" xfId="0" applyFont="1" applyFill="1" applyBorder="1" applyAlignment="1">
      <alignment horizontal="left" vertical="center" wrapText="1"/>
    </xf>
    <xf numFmtId="0" fontId="27" fillId="0" borderId="49" xfId="0" applyFont="1" applyFill="1" applyBorder="1" applyAlignment="1">
      <alignment horizontal="left" vertical="center" wrapText="1"/>
    </xf>
    <xf numFmtId="0" fontId="27" fillId="0" borderId="50" xfId="0" applyFont="1" applyFill="1" applyBorder="1" applyAlignment="1">
      <alignment horizontal="left" vertical="center" wrapText="1"/>
    </xf>
    <xf numFmtId="0" fontId="27" fillId="0" borderId="13" xfId="0" applyFont="1" applyFill="1" applyBorder="1" applyAlignment="1">
      <alignment horizontal="left" vertical="center" wrapText="1"/>
    </xf>
    <xf numFmtId="0" fontId="27" fillId="0" borderId="0" xfId="0" applyFont="1" applyFill="1" applyAlignment="1">
      <alignment horizontal="left" vertical="center" wrapText="1"/>
    </xf>
    <xf numFmtId="0" fontId="27" fillId="0" borderId="16" xfId="0" applyFont="1" applyFill="1" applyBorder="1" applyAlignment="1">
      <alignment horizontal="left" vertical="center" wrapText="1"/>
    </xf>
    <xf numFmtId="0" fontId="5" fillId="8" borderId="3" xfId="0" applyFont="1" applyFill="1" applyBorder="1" applyAlignment="1">
      <alignment horizontal="center" vertical="center"/>
    </xf>
    <xf numFmtId="0" fontId="5" fillId="8" borderId="2" xfId="0" applyFont="1" applyFill="1" applyBorder="1" applyAlignment="1">
      <alignment horizontal="center" vertical="center"/>
    </xf>
    <xf numFmtId="0" fontId="5" fillId="8" borderId="4" xfId="0" applyFont="1" applyFill="1" applyBorder="1" applyAlignment="1">
      <alignment horizontal="center" vertical="center"/>
    </xf>
    <xf numFmtId="0" fontId="36" fillId="0" borderId="1" xfId="0" applyFont="1" applyBorder="1" applyAlignment="1">
      <alignment horizontal="left" vertical="center"/>
    </xf>
    <xf numFmtId="0" fontId="5" fillId="0" borderId="41" xfId="0" applyFont="1" applyBorder="1" applyAlignment="1">
      <alignment horizontal="center" vertical="center"/>
    </xf>
    <xf numFmtId="0" fontId="5" fillId="0" borderId="47" xfId="0" applyFont="1" applyBorder="1" applyAlignment="1">
      <alignment horizontal="center" vertical="center"/>
    </xf>
    <xf numFmtId="0" fontId="5" fillId="0" borderId="42" xfId="0" applyFont="1" applyBorder="1" applyAlignment="1">
      <alignment horizontal="center" vertical="center"/>
    </xf>
    <xf numFmtId="168" fontId="23" fillId="0" borderId="17" xfId="0" applyNumberFormat="1" applyFont="1" applyBorder="1" applyAlignment="1">
      <alignment horizontal="left" vertical="center"/>
    </xf>
    <xf numFmtId="167" fontId="36" fillId="0" borderId="6" xfId="0" applyNumberFormat="1" applyFont="1" applyBorder="1" applyAlignment="1">
      <alignment horizontal="center" vertical="center"/>
    </xf>
    <xf numFmtId="0" fontId="36" fillId="0" borderId="6" xfId="0" applyFont="1" applyBorder="1" applyAlignment="1">
      <alignment horizontal="center" vertical="center"/>
    </xf>
    <xf numFmtId="167" fontId="37" fillId="0" borderId="24" xfId="1" applyNumberFormat="1" applyFont="1" applyFill="1" applyBorder="1" applyAlignment="1">
      <alignment horizontal="center" vertical="center"/>
    </xf>
    <xf numFmtId="167" fontId="37" fillId="0" borderId="6" xfId="1" applyNumberFormat="1" applyFont="1" applyFill="1" applyBorder="1" applyAlignment="1">
      <alignment horizontal="center" vertical="center"/>
    </xf>
    <xf numFmtId="1" fontId="24" fillId="0" borderId="6" xfId="0" applyNumberFormat="1" applyFont="1" applyBorder="1" applyAlignment="1">
      <alignment horizontal="left" vertical="center"/>
    </xf>
    <xf numFmtId="173" fontId="6" fillId="8" borderId="17" xfId="0" applyNumberFormat="1" applyFont="1" applyFill="1" applyBorder="1" applyAlignment="1">
      <alignment horizontal="center" vertical="center"/>
    </xf>
    <xf numFmtId="0" fontId="23" fillId="0" borderId="1" xfId="0" applyFont="1" applyBorder="1" applyAlignment="1">
      <alignment vertical="center"/>
    </xf>
    <xf numFmtId="173" fontId="36" fillId="0" borderId="39" xfId="0" applyNumberFormat="1" applyFont="1" applyBorder="1" applyAlignment="1">
      <alignment horizontal="center" vertical="center"/>
    </xf>
    <xf numFmtId="173" fontId="36" fillId="0" borderId="40" xfId="0" applyNumberFormat="1" applyFont="1" applyBorder="1" applyAlignment="1">
      <alignment horizontal="center"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173" fontId="36" fillId="0" borderId="3" xfId="0" applyNumberFormat="1" applyFont="1" applyBorder="1" applyAlignment="1">
      <alignment horizontal="center" vertical="center"/>
    </xf>
    <xf numFmtId="173" fontId="36" fillId="0" borderId="4" xfId="0" applyNumberFormat="1" applyFont="1" applyBorder="1" applyAlignment="1">
      <alignment horizontal="center" vertical="center"/>
    </xf>
    <xf numFmtId="173" fontId="36" fillId="0" borderId="10" xfId="0" applyNumberFormat="1" applyFont="1" applyBorder="1" applyAlignment="1">
      <alignment horizontal="center" vertical="center"/>
    </xf>
    <xf numFmtId="173" fontId="36" fillId="0" borderId="12" xfId="0" applyNumberFormat="1" applyFont="1" applyBorder="1" applyAlignment="1">
      <alignment horizontal="center" vertical="center"/>
    </xf>
    <xf numFmtId="0" fontId="70" fillId="0" borderId="3" xfId="0" applyFont="1" applyBorder="1" applyAlignment="1">
      <alignment horizontal="center" vertical="center"/>
    </xf>
    <xf numFmtId="0" fontId="70" fillId="0" borderId="2" xfId="0" applyFont="1" applyBorder="1" applyAlignment="1">
      <alignment horizontal="center"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0" fontId="36" fillId="0" borderId="39" xfId="0" applyFont="1" applyBorder="1" applyAlignment="1">
      <alignment horizontal="center" vertical="center" wrapText="1"/>
    </xf>
    <xf numFmtId="0" fontId="36" fillId="0" borderId="40" xfId="0" applyFont="1" applyBorder="1" applyAlignment="1">
      <alignment horizontal="center" vertical="center" wrapText="1"/>
    </xf>
    <xf numFmtId="0" fontId="70" fillId="0" borderId="54" xfId="0" applyFont="1" applyBorder="1" applyAlignment="1">
      <alignment horizontal="center" vertical="center"/>
    </xf>
    <xf numFmtId="0" fontId="70" fillId="0" borderId="55" xfId="0" applyFont="1" applyBorder="1" applyAlignment="1">
      <alignment horizontal="center" vertical="center"/>
    </xf>
    <xf numFmtId="0" fontId="70" fillId="0" borderId="4" xfId="0" applyFont="1" applyBorder="1" applyAlignment="1">
      <alignment horizontal="center" vertical="center"/>
    </xf>
    <xf numFmtId="0" fontId="5" fillId="6" borderId="3" xfId="0" applyFont="1" applyFill="1" applyBorder="1" applyAlignment="1">
      <alignment horizontal="center" vertical="center"/>
    </xf>
    <xf numFmtId="0" fontId="5" fillId="6" borderId="2" xfId="0" applyFont="1" applyFill="1" applyBorder="1" applyAlignment="1">
      <alignment horizontal="center" vertical="center"/>
    </xf>
    <xf numFmtId="0" fontId="5" fillId="6" borderId="4" xfId="0" applyFont="1" applyFill="1" applyBorder="1" applyAlignment="1">
      <alignment horizontal="center" vertical="center"/>
    </xf>
    <xf numFmtId="0" fontId="4" fillId="0" borderId="1" xfId="0" applyFont="1" applyBorder="1" applyAlignment="1">
      <alignment horizontal="center" vertical="center"/>
    </xf>
    <xf numFmtId="0" fontId="24" fillId="0" borderId="39" xfId="0" applyFont="1" applyBorder="1" applyAlignment="1">
      <alignment horizontal="center" vertical="center" wrapText="1"/>
    </xf>
    <xf numFmtId="0" fontId="24" fillId="0" borderId="38" xfId="0" applyFont="1" applyBorder="1" applyAlignment="1">
      <alignment horizontal="center" vertical="center" wrapText="1"/>
    </xf>
    <xf numFmtId="0" fontId="24" fillId="0" borderId="40" xfId="0" applyFont="1" applyBorder="1" applyAlignment="1">
      <alignment horizontal="center" vertical="center" wrapText="1"/>
    </xf>
    <xf numFmtId="0" fontId="5" fillId="6" borderId="7" xfId="0" applyFont="1" applyFill="1" applyBorder="1" applyAlignment="1">
      <alignment horizontal="center" vertical="top"/>
    </xf>
    <xf numFmtId="0" fontId="5" fillId="6" borderId="8" xfId="0" applyFont="1" applyFill="1" applyBorder="1" applyAlignment="1">
      <alignment horizontal="center" vertical="top"/>
    </xf>
    <xf numFmtId="0" fontId="5" fillId="6" borderId="9" xfId="0" applyFont="1" applyFill="1" applyBorder="1" applyAlignment="1">
      <alignment horizontal="center" vertical="top"/>
    </xf>
    <xf numFmtId="0" fontId="5" fillId="6" borderId="19" xfId="0" applyFont="1" applyFill="1" applyBorder="1" applyAlignment="1">
      <alignment horizontal="center" vertical="top"/>
    </xf>
    <xf numFmtId="0" fontId="5" fillId="6" borderId="28" xfId="0" applyFont="1" applyFill="1" applyBorder="1" applyAlignment="1">
      <alignment horizontal="center" vertical="top"/>
    </xf>
    <xf numFmtId="0" fontId="5" fillId="6" borderId="20" xfId="0" applyFont="1" applyFill="1" applyBorder="1" applyAlignment="1">
      <alignment horizontal="center" vertical="top"/>
    </xf>
    <xf numFmtId="167" fontId="5" fillId="0" borderId="5" xfId="0" applyNumberFormat="1" applyFont="1" applyBorder="1" applyAlignment="1">
      <alignment horizontal="center" vertical="center"/>
    </xf>
    <xf numFmtId="167" fontId="5" fillId="0" borderId="6" xfId="0" applyNumberFormat="1" applyFont="1" applyBorder="1" applyAlignment="1">
      <alignment horizontal="center" vertical="center"/>
    </xf>
    <xf numFmtId="0" fontId="2" fillId="0" borderId="1" xfId="0" applyFont="1" applyBorder="1" applyAlignment="1">
      <alignment horizontal="center" vertical="center"/>
    </xf>
    <xf numFmtId="0" fontId="26" fillId="0" borderId="13" xfId="0" applyFont="1" applyBorder="1" applyAlignment="1">
      <alignment horizontal="left" vertical="top" wrapText="1"/>
    </xf>
    <xf numFmtId="0" fontId="26" fillId="0" borderId="0" xfId="0" applyFont="1" applyAlignment="1">
      <alignment horizontal="left" vertical="top"/>
    </xf>
    <xf numFmtId="0" fontId="26" fillId="0" borderId="16" xfId="0" applyFont="1" applyBorder="1" applyAlignment="1">
      <alignment horizontal="left" vertical="top"/>
    </xf>
    <xf numFmtId="0" fontId="26" fillId="0" borderId="13" xfId="0" applyFont="1" applyBorder="1" applyAlignment="1">
      <alignment horizontal="left" vertical="top"/>
    </xf>
    <xf numFmtId="0" fontId="26" fillId="0" borderId="10" xfId="0" applyFont="1" applyBorder="1" applyAlignment="1">
      <alignment horizontal="left" vertical="top"/>
    </xf>
    <xf numFmtId="0" fontId="26" fillId="0" borderId="11" xfId="0" applyFont="1" applyBorder="1" applyAlignment="1">
      <alignment horizontal="left" vertical="top"/>
    </xf>
    <xf numFmtId="0" fontId="26" fillId="0" borderId="12" xfId="0" applyFont="1" applyBorder="1" applyAlignment="1">
      <alignment horizontal="left" vertical="top"/>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3" xfId="0" applyBorder="1" applyAlignment="1">
      <alignment horizontal="left" vertical="top" wrapText="1"/>
    </xf>
    <xf numFmtId="0" fontId="0" fillId="0" borderId="0" xfId="0"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 xfId="0" applyBorder="1" applyAlignment="1">
      <alignment horizontal="center" vertical="center" wrapText="1"/>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Alignment="1">
      <alignment horizontal="center" vertical="center"/>
    </xf>
    <xf numFmtId="0" fontId="25" fillId="0" borderId="16" xfId="0" applyFont="1" applyBorder="1" applyAlignment="1">
      <alignment horizontal="center" vertical="center"/>
    </xf>
    <xf numFmtId="0" fontId="27" fillId="4" borderId="48" xfId="0" applyFont="1" applyFill="1" applyBorder="1" applyAlignment="1">
      <alignment horizontal="left" vertical="center"/>
    </xf>
    <xf numFmtId="0" fontId="27" fillId="4" borderId="49" xfId="0" applyFont="1" applyFill="1" applyBorder="1" applyAlignment="1">
      <alignment horizontal="left" vertical="center"/>
    </xf>
    <xf numFmtId="0" fontId="6" fillId="0" borderId="0" xfId="0" applyFont="1" applyAlignment="1">
      <alignment horizontal="center" vertical="center"/>
    </xf>
    <xf numFmtId="0" fontId="6" fillId="0" borderId="16" xfId="0" applyFont="1" applyBorder="1" applyAlignment="1">
      <alignment horizontal="center" vertical="center"/>
    </xf>
    <xf numFmtId="0" fontId="5" fillId="0" borderId="0" xfId="0" applyFont="1" applyAlignment="1">
      <alignment horizontal="center" vertical="top"/>
    </xf>
    <xf numFmtId="0" fontId="5" fillId="0" borderId="16" xfId="0" applyFont="1" applyBorder="1" applyAlignment="1">
      <alignment horizontal="center" vertical="top"/>
    </xf>
    <xf numFmtId="0" fontId="5" fillId="6" borderId="5" xfId="0" applyFont="1" applyFill="1" applyBorder="1" applyAlignment="1">
      <alignment horizontal="center" vertical="top"/>
    </xf>
    <xf numFmtId="0" fontId="5" fillId="6" borderId="18" xfId="0" applyFont="1" applyFill="1" applyBorder="1" applyAlignment="1">
      <alignment horizontal="center" vertical="top"/>
    </xf>
    <xf numFmtId="0" fontId="5" fillId="6" borderId="3" xfId="0" applyFont="1" applyFill="1" applyBorder="1" applyAlignment="1">
      <alignment horizontal="center" vertical="top"/>
    </xf>
    <xf numFmtId="0" fontId="5" fillId="6" borderId="2" xfId="0" applyFont="1" applyFill="1" applyBorder="1" applyAlignment="1">
      <alignment horizontal="center" vertical="top"/>
    </xf>
    <xf numFmtId="0" fontId="5" fillId="6" borderId="4" xfId="0" applyFont="1" applyFill="1" applyBorder="1" applyAlignment="1">
      <alignment horizontal="center" vertical="top"/>
    </xf>
    <xf numFmtId="0" fontId="5" fillId="6" borderId="21" xfId="0" applyFont="1" applyFill="1" applyBorder="1" applyAlignment="1">
      <alignment horizontal="center" vertical="top"/>
    </xf>
    <xf numFmtId="0" fontId="5" fillId="6" borderId="22" xfId="0" applyFont="1" applyFill="1" applyBorder="1" applyAlignment="1">
      <alignment horizontal="center" vertical="top"/>
    </xf>
    <xf numFmtId="0" fontId="23" fillId="0" borderId="19" xfId="0" applyFont="1" applyBorder="1" applyAlignment="1">
      <alignment vertical="center"/>
    </xf>
    <xf numFmtId="0" fontId="23" fillId="0" borderId="28" xfId="0" applyFont="1" applyBorder="1" applyAlignment="1">
      <alignment vertical="center"/>
    </xf>
    <xf numFmtId="0" fontId="23" fillId="0" borderId="20" xfId="0" applyFont="1" applyBorder="1" applyAlignment="1">
      <alignment vertical="center"/>
    </xf>
    <xf numFmtId="0" fontId="24" fillId="0" borderId="10" xfId="0" applyFont="1" applyBorder="1" applyAlignment="1">
      <alignment horizontal="center" vertical="center" wrapText="1"/>
    </xf>
    <xf numFmtId="0" fontId="24" fillId="0" borderId="11" xfId="0" applyFont="1" applyBorder="1" applyAlignment="1">
      <alignment horizontal="center" vertical="center" wrapText="1"/>
    </xf>
    <xf numFmtId="0" fontId="24" fillId="0" borderId="12" xfId="0" applyFont="1" applyBorder="1" applyAlignment="1">
      <alignment horizontal="center" vertical="center" wrapText="1"/>
    </xf>
    <xf numFmtId="0" fontId="36" fillId="0" borderId="10" xfId="0" applyFont="1" applyBorder="1" applyAlignment="1">
      <alignment horizontal="center" vertical="center" wrapText="1"/>
    </xf>
    <xf numFmtId="0" fontId="36" fillId="0" borderId="12" xfId="0" applyFont="1" applyBorder="1" applyAlignment="1">
      <alignment horizontal="center" vertical="center" wrapText="1"/>
    </xf>
    <xf numFmtId="0" fontId="72" fillId="0" borderId="3" xfId="0" applyFont="1" applyBorder="1" applyAlignment="1">
      <alignment horizontal="center" vertical="center" wrapText="1"/>
    </xf>
    <xf numFmtId="0" fontId="72" fillId="0" borderId="2" xfId="0" applyFont="1" applyBorder="1" applyAlignment="1">
      <alignment horizontal="center" vertical="center" wrapText="1"/>
    </xf>
    <xf numFmtId="0" fontId="72" fillId="0" borderId="4" xfId="0" applyFont="1" applyBorder="1" applyAlignment="1">
      <alignment horizontal="center" vertical="center" wrapText="1"/>
    </xf>
    <xf numFmtId="0" fontId="24" fillId="0" borderId="3" xfId="0" applyFont="1" applyBorder="1" applyAlignment="1">
      <alignment horizontal="center" vertical="center" wrapText="1"/>
    </xf>
    <xf numFmtId="0" fontId="24" fillId="0" borderId="2" xfId="0" applyFont="1" applyBorder="1" applyAlignment="1">
      <alignment horizontal="center" vertical="center" wrapText="1"/>
    </xf>
    <xf numFmtId="0" fontId="24" fillId="0" borderId="4" xfId="0" applyFont="1" applyBorder="1" applyAlignment="1">
      <alignment horizontal="center" vertical="center" wrapText="1"/>
    </xf>
    <xf numFmtId="0" fontId="36" fillId="0" borderId="3" xfId="0" applyFont="1" applyBorder="1" applyAlignment="1">
      <alignment horizontal="center" vertical="center" wrapText="1"/>
    </xf>
    <xf numFmtId="0" fontId="36" fillId="0" borderId="4" xfId="0" applyFont="1" applyBorder="1" applyAlignment="1">
      <alignment horizontal="center" vertical="center" wrapText="1"/>
    </xf>
    <xf numFmtId="0" fontId="49" fillId="0" borderId="8" xfId="0" applyFont="1" applyBorder="1" applyAlignment="1">
      <alignment horizontal="center" vertical="center"/>
    </xf>
    <xf numFmtId="0" fontId="48" fillId="0" borderId="7" xfId="0" applyFont="1" applyBorder="1" applyAlignment="1">
      <alignment horizontal="center" vertical="center"/>
    </xf>
    <xf numFmtId="0" fontId="48" fillId="0" borderId="9" xfId="0" applyFont="1" applyBorder="1" applyAlignment="1">
      <alignment horizontal="center" vertical="center"/>
    </xf>
    <xf numFmtId="0" fontId="48" fillId="0" borderId="7" xfId="0" applyFont="1" applyBorder="1" applyAlignment="1">
      <alignment horizontal="center" vertical="center" shrinkToFit="1"/>
    </xf>
    <xf numFmtId="0" fontId="48" fillId="0" borderId="9" xfId="0" applyFont="1" applyBorder="1" applyAlignment="1">
      <alignment horizontal="center" vertical="center" shrinkToFit="1"/>
    </xf>
    <xf numFmtId="0" fontId="48" fillId="0" borderId="7" xfId="0" applyFont="1" applyBorder="1" applyAlignment="1">
      <alignment vertical="center" wrapText="1"/>
    </xf>
    <xf numFmtId="0" fontId="48" fillId="0" borderId="8" xfId="0" applyFont="1" applyBorder="1" applyAlignment="1">
      <alignment vertical="center" wrapText="1"/>
    </xf>
    <xf numFmtId="0" fontId="48" fillId="0" borderId="9" xfId="0" applyFont="1" applyBorder="1" applyAlignment="1">
      <alignment vertical="center" wrapText="1"/>
    </xf>
    <xf numFmtId="0" fontId="39" fillId="6" borderId="5" xfId="0" applyFont="1" applyFill="1" applyBorder="1" applyAlignment="1">
      <alignment horizontal="center" vertical="top"/>
    </xf>
    <xf numFmtId="0" fontId="39" fillId="6" borderId="24" xfId="0" applyFont="1" applyFill="1" applyBorder="1" applyAlignment="1">
      <alignment horizontal="center" vertical="top"/>
    </xf>
    <xf numFmtId="0" fontId="39" fillId="6" borderId="6" xfId="0" applyFont="1" applyFill="1" applyBorder="1" applyAlignment="1">
      <alignment horizontal="center" vertical="top"/>
    </xf>
    <xf numFmtId="0" fontId="52" fillId="6" borderId="13" xfId="0" applyFont="1" applyFill="1" applyBorder="1" applyAlignment="1">
      <alignment horizontal="center" vertical="top" wrapText="1"/>
    </xf>
    <xf numFmtId="0" fontId="52" fillId="6" borderId="16" xfId="0" applyFont="1" applyFill="1" applyBorder="1" applyAlignment="1">
      <alignment horizontal="center" vertical="top" wrapText="1"/>
    </xf>
    <xf numFmtId="0" fontId="52" fillId="6" borderId="10" xfId="0" applyFont="1" applyFill="1" applyBorder="1" applyAlignment="1">
      <alignment horizontal="center" vertical="top" wrapText="1"/>
    </xf>
    <xf numFmtId="0" fontId="52" fillId="6" borderId="12" xfId="0" applyFont="1" applyFill="1" applyBorder="1" applyAlignment="1">
      <alignment horizontal="center" vertical="top" wrapText="1"/>
    </xf>
    <xf numFmtId="0" fontId="38" fillId="6" borderId="3" xfId="0" applyFont="1" applyFill="1" applyBorder="1" applyAlignment="1">
      <alignment horizontal="center" vertical="top" wrapText="1"/>
    </xf>
    <xf numFmtId="0" fontId="38" fillId="6" borderId="2" xfId="0" applyFont="1" applyFill="1" applyBorder="1" applyAlignment="1">
      <alignment horizontal="center" vertical="top" wrapText="1"/>
    </xf>
    <xf numFmtId="0" fontId="38" fillId="6" borderId="4" xfId="0" applyFont="1" applyFill="1" applyBorder="1" applyAlignment="1">
      <alignment horizontal="center" vertical="top" wrapText="1"/>
    </xf>
    <xf numFmtId="0" fontId="51" fillId="6" borderId="7" xfId="0" applyFont="1" applyFill="1" applyBorder="1" applyAlignment="1">
      <alignment horizontal="center" vertical="top" wrapText="1"/>
    </xf>
    <xf numFmtId="0" fontId="51" fillId="6" borderId="9" xfId="0" applyFont="1" applyFill="1" applyBorder="1" applyAlignment="1">
      <alignment horizontal="center" vertical="top" wrapText="1"/>
    </xf>
    <xf numFmtId="0" fontId="51" fillId="6" borderId="13" xfId="0" applyFont="1" applyFill="1" applyBorder="1" applyAlignment="1">
      <alignment horizontal="center" vertical="top" wrapText="1"/>
    </xf>
    <xf numFmtId="0" fontId="51" fillId="6" borderId="16" xfId="0" applyFont="1" applyFill="1" applyBorder="1" applyAlignment="1">
      <alignment horizontal="center" vertical="top" wrapText="1"/>
    </xf>
    <xf numFmtId="0" fontId="51" fillId="6" borderId="10" xfId="0" applyFont="1" applyFill="1" applyBorder="1" applyAlignment="1">
      <alignment horizontal="center" vertical="top" wrapText="1"/>
    </xf>
    <xf numFmtId="0" fontId="51" fillId="6" borderId="12" xfId="0" applyFont="1" applyFill="1" applyBorder="1" applyAlignment="1">
      <alignment horizontal="center" vertical="top" wrapText="1"/>
    </xf>
    <xf numFmtId="0" fontId="38" fillId="6" borderId="7" xfId="0" applyFont="1" applyFill="1" applyBorder="1" applyAlignment="1">
      <alignment horizontal="center" vertical="top"/>
    </xf>
    <xf numFmtId="0" fontId="38" fillId="6" borderId="8" xfId="0" applyFont="1" applyFill="1" applyBorder="1" applyAlignment="1">
      <alignment horizontal="center" vertical="top"/>
    </xf>
    <xf numFmtId="0" fontId="38" fillId="6" borderId="9" xfId="0" applyFont="1" applyFill="1" applyBorder="1" applyAlignment="1">
      <alignment horizontal="center" vertical="top"/>
    </xf>
    <xf numFmtId="0" fontId="38" fillId="6" borderId="13" xfId="0" applyFont="1" applyFill="1" applyBorder="1" applyAlignment="1">
      <alignment horizontal="center" vertical="top"/>
    </xf>
    <xf numFmtId="0" fontId="38" fillId="6" borderId="0" xfId="0" applyFont="1" applyFill="1" applyAlignment="1">
      <alignment horizontal="center" vertical="top"/>
    </xf>
    <xf numFmtId="0" fontId="38" fillId="6" borderId="16" xfId="0" applyFont="1" applyFill="1" applyBorder="1" applyAlignment="1">
      <alignment horizontal="center" vertical="top"/>
    </xf>
    <xf numFmtId="0" fontId="38" fillId="6" borderId="10" xfId="0" applyFont="1" applyFill="1" applyBorder="1" applyAlignment="1">
      <alignment horizontal="center" vertical="top"/>
    </xf>
    <xf numFmtId="0" fontId="38" fillId="6" borderId="11" xfId="0" applyFont="1" applyFill="1" applyBorder="1" applyAlignment="1">
      <alignment horizontal="center" vertical="top"/>
    </xf>
    <xf numFmtId="0" fontId="38" fillId="6" borderId="12" xfId="0" applyFont="1" applyFill="1" applyBorder="1" applyAlignment="1">
      <alignment horizontal="center" vertical="top"/>
    </xf>
    <xf numFmtId="0" fontId="46" fillId="6" borderId="5" xfId="0" applyFont="1" applyFill="1" applyBorder="1" applyAlignment="1">
      <alignment horizontal="center" vertical="top" wrapText="1"/>
    </xf>
    <xf numFmtId="0" fontId="46" fillId="6" borderId="24" xfId="0" applyFont="1" applyFill="1" applyBorder="1" applyAlignment="1">
      <alignment horizontal="center" vertical="top" wrapText="1"/>
    </xf>
    <xf numFmtId="0" fontId="46" fillId="6" borderId="6" xfId="0" applyFont="1" applyFill="1" applyBorder="1" applyAlignment="1">
      <alignment horizontal="center" vertical="top" wrapText="1"/>
    </xf>
    <xf numFmtId="0" fontId="53" fillId="6" borderId="3" xfId="0" applyFont="1" applyFill="1" applyBorder="1" applyAlignment="1">
      <alignment horizontal="center" vertical="top" wrapText="1"/>
    </xf>
    <xf numFmtId="0" fontId="53" fillId="6" borderId="4" xfId="0" applyFont="1" applyFill="1" applyBorder="1" applyAlignment="1">
      <alignment horizontal="center" vertical="top" wrapText="1"/>
    </xf>
    <xf numFmtId="0" fontId="39" fillId="6" borderId="3" xfId="0" applyFont="1" applyFill="1" applyBorder="1" applyAlignment="1">
      <alignment horizontal="center" vertical="top" wrapText="1"/>
    </xf>
    <xf numFmtId="0" fontId="39" fillId="6" borderId="4" xfId="0" applyFont="1" applyFill="1" applyBorder="1" applyAlignment="1">
      <alignment horizontal="center" vertical="top" wrapText="1"/>
    </xf>
    <xf numFmtId="0" fontId="59" fillId="7" borderId="5" xfId="0" applyFont="1" applyFill="1" applyBorder="1" applyAlignment="1">
      <alignment horizontal="center"/>
    </xf>
    <xf numFmtId="0" fontId="59" fillId="7" borderId="6" xfId="0" applyFont="1" applyFill="1" applyBorder="1" applyAlignment="1">
      <alignment horizontal="center"/>
    </xf>
    <xf numFmtId="0" fontId="48" fillId="0" borderId="3" xfId="0" applyFont="1" applyBorder="1" applyAlignment="1">
      <alignment vertical="center" wrapText="1"/>
    </xf>
    <xf numFmtId="0" fontId="48" fillId="0" borderId="2" xfId="0" applyFont="1" applyBorder="1" applyAlignment="1">
      <alignment vertical="center" wrapText="1"/>
    </xf>
    <xf numFmtId="0" fontId="48" fillId="0" borderId="4" xfId="0" applyFont="1" applyBorder="1" applyAlignment="1">
      <alignment vertical="center" wrapText="1"/>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3" xfId="0" applyFont="1" applyBorder="1" applyAlignment="1">
      <alignment horizontal="center" vertical="center"/>
    </xf>
    <xf numFmtId="0" fontId="11" fillId="0" borderId="0" xfId="0" applyFont="1" applyAlignment="1">
      <alignment horizontal="center" vertical="center"/>
    </xf>
    <xf numFmtId="0" fontId="11" fillId="0" borderId="16"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38" fillId="6" borderId="5" xfId="0" applyFont="1" applyFill="1" applyBorder="1" applyAlignment="1">
      <alignment horizontal="center" vertical="top" wrapText="1"/>
    </xf>
    <xf numFmtId="0" fontId="38" fillId="6" borderId="24" xfId="0" applyFont="1" applyFill="1" applyBorder="1" applyAlignment="1">
      <alignment horizontal="center" vertical="top" wrapText="1"/>
    </xf>
    <xf numFmtId="0" fontId="38" fillId="6" borderId="6" xfId="0" applyFont="1" applyFill="1" applyBorder="1" applyAlignment="1">
      <alignment horizontal="center" vertical="top" wrapText="1"/>
    </xf>
    <xf numFmtId="0" fontId="38" fillId="6" borderId="7" xfId="0" applyFont="1" applyFill="1" applyBorder="1" applyAlignment="1">
      <alignment horizontal="center" vertical="top" wrapText="1"/>
    </xf>
    <xf numFmtId="0" fontId="38" fillId="6" borderId="8" xfId="0" applyFont="1" applyFill="1" applyBorder="1" applyAlignment="1">
      <alignment horizontal="center" vertical="top" wrapText="1"/>
    </xf>
    <xf numFmtId="0" fontId="38" fillId="6" borderId="9" xfId="0" applyFont="1" applyFill="1" applyBorder="1" applyAlignment="1">
      <alignment horizontal="center" vertical="top" wrapText="1"/>
    </xf>
    <xf numFmtId="0" fontId="38" fillId="6" borderId="13" xfId="0" applyFont="1" applyFill="1" applyBorder="1" applyAlignment="1">
      <alignment horizontal="center" vertical="top" wrapText="1"/>
    </xf>
    <xf numFmtId="0" fontId="38" fillId="6" borderId="0" xfId="0" applyFont="1" applyFill="1" applyAlignment="1">
      <alignment horizontal="center" vertical="top" wrapText="1"/>
    </xf>
    <xf numFmtId="0" fontId="38" fillId="6" borderId="16" xfId="0" applyFont="1" applyFill="1" applyBorder="1" applyAlignment="1">
      <alignment horizontal="center" vertical="top" wrapText="1"/>
    </xf>
    <xf numFmtId="0" fontId="38" fillId="6" borderId="10" xfId="0" applyFont="1" applyFill="1" applyBorder="1" applyAlignment="1">
      <alignment horizontal="center" vertical="top" wrapText="1"/>
    </xf>
    <xf numFmtId="0" fontId="38" fillId="6" borderId="11" xfId="0" applyFont="1" applyFill="1" applyBorder="1" applyAlignment="1">
      <alignment horizontal="center" vertical="top" wrapText="1"/>
    </xf>
    <xf numFmtId="0" fontId="38" fillId="6" borderId="12" xfId="0" applyFont="1" applyFill="1" applyBorder="1" applyAlignment="1">
      <alignment horizontal="center" vertical="top" wrapText="1"/>
    </xf>
    <xf numFmtId="0" fontId="51" fillId="6" borderId="8" xfId="0" applyFont="1" applyFill="1" applyBorder="1" applyAlignment="1">
      <alignment horizontal="center" vertical="top" wrapText="1"/>
    </xf>
    <xf numFmtId="0" fontId="51" fillId="6" borderId="0" xfId="0" applyFont="1" applyFill="1" applyAlignment="1">
      <alignment horizontal="center" vertical="top" wrapText="1"/>
    </xf>
    <xf numFmtId="0" fontId="51" fillId="6" borderId="11" xfId="0" applyFont="1" applyFill="1" applyBorder="1" applyAlignment="1">
      <alignment horizontal="center" vertical="top" wrapText="1"/>
    </xf>
    <xf numFmtId="0" fontId="53" fillId="6" borderId="1" xfId="0" applyFont="1" applyFill="1" applyBorder="1" applyAlignment="1">
      <alignment horizontal="center" vertical="top" wrapText="1"/>
    </xf>
    <xf numFmtId="0" fontId="59" fillId="7" borderId="7" xfId="0" applyFont="1" applyFill="1" applyBorder="1" applyAlignment="1">
      <alignment horizontal="center"/>
    </xf>
    <xf numFmtId="0" fontId="59" fillId="7" borderId="9" xfId="0" applyFont="1" applyFill="1" applyBorder="1" applyAlignment="1">
      <alignment horizontal="center"/>
    </xf>
    <xf numFmtId="0" fontId="59" fillId="7" borderId="13" xfId="0" applyFont="1" applyFill="1" applyBorder="1" applyAlignment="1">
      <alignment horizontal="center"/>
    </xf>
    <xf numFmtId="0" fontId="59" fillId="7" borderId="16" xfId="0" applyFont="1" applyFill="1" applyBorder="1" applyAlignment="1">
      <alignment horizontal="center"/>
    </xf>
    <xf numFmtId="0" fontId="59" fillId="7" borderId="10" xfId="0" applyFont="1" applyFill="1" applyBorder="1" applyAlignment="1">
      <alignment horizontal="center"/>
    </xf>
    <xf numFmtId="0" fontId="59" fillId="7" borderId="12" xfId="0" applyFont="1" applyFill="1" applyBorder="1" applyAlignment="1">
      <alignment horizontal="center"/>
    </xf>
    <xf numFmtId="0" fontId="38" fillId="6" borderId="1" xfId="0" applyFont="1" applyFill="1" applyBorder="1" applyAlignment="1">
      <alignment horizontal="center" vertical="top" wrapText="1"/>
    </xf>
    <xf numFmtId="0" fontId="59" fillId="7" borderId="24" xfId="0" applyFont="1" applyFill="1" applyBorder="1" applyAlignment="1">
      <alignment horizontal="center"/>
    </xf>
    <xf numFmtId="0" fontId="45" fillId="0" borderId="16" xfId="0" applyFont="1" applyBorder="1" applyAlignment="1">
      <alignment horizontal="center" vertical="center" wrapText="1"/>
    </xf>
    <xf numFmtId="0" fontId="38" fillId="6" borderId="3" xfId="0" applyFont="1" applyFill="1" applyBorder="1" applyAlignment="1">
      <alignment horizontal="center" vertical="top"/>
    </xf>
    <xf numFmtId="0" fontId="38" fillId="6" borderId="4" xfId="0" applyFont="1" applyFill="1" applyBorder="1" applyAlignment="1">
      <alignment horizontal="center" vertical="top"/>
    </xf>
    <xf numFmtId="0" fontId="39" fillId="6" borderId="7" xfId="0" applyFont="1" applyFill="1" applyBorder="1" applyAlignment="1">
      <alignment horizontal="center" vertical="top"/>
    </xf>
    <xf numFmtId="0" fontId="39" fillId="6" borderId="9" xfId="0" applyFont="1" applyFill="1" applyBorder="1" applyAlignment="1">
      <alignment horizontal="center" vertical="top"/>
    </xf>
    <xf numFmtId="0" fontId="39" fillId="6" borderId="13" xfId="0" applyFont="1" applyFill="1" applyBorder="1" applyAlignment="1">
      <alignment horizontal="center" vertical="top"/>
    </xf>
    <xf numFmtId="0" fontId="39" fillId="6" borderId="16" xfId="0" applyFont="1" applyFill="1" applyBorder="1" applyAlignment="1">
      <alignment horizontal="center" vertical="top"/>
    </xf>
    <xf numFmtId="0" fontId="39" fillId="6" borderId="10" xfId="0" applyFont="1" applyFill="1" applyBorder="1" applyAlignment="1">
      <alignment horizontal="center" vertical="top"/>
    </xf>
    <xf numFmtId="0" fontId="39" fillId="6" borderId="12" xfId="0" applyFont="1" applyFill="1" applyBorder="1" applyAlignment="1">
      <alignment horizontal="center" vertical="top"/>
    </xf>
    <xf numFmtId="171" fontId="62" fillId="0" borderId="3" xfId="0" applyNumberFormat="1" applyFont="1" applyBorder="1" applyAlignment="1">
      <alignment horizontal="center" vertical="top" wrapText="1"/>
    </xf>
    <xf numFmtId="171" fontId="62" fillId="0" borderId="4" xfId="0" applyNumberFormat="1" applyFont="1" applyBorder="1" applyAlignment="1">
      <alignment horizontal="center" vertical="top" wrapText="1"/>
    </xf>
    <xf numFmtId="0" fontId="2" fillId="0" borderId="3" xfId="3" applyFont="1" applyBorder="1" applyAlignment="1">
      <alignment horizontal="center" vertical="center"/>
    </xf>
    <xf numFmtId="0" fontId="2" fillId="0" borderId="2" xfId="3" applyFont="1" applyBorder="1" applyAlignment="1">
      <alignment horizontal="center" vertical="center"/>
    </xf>
    <xf numFmtId="0" fontId="2" fillId="0" borderId="4" xfId="3" applyFont="1" applyBorder="1" applyAlignment="1">
      <alignment horizontal="center" vertical="center"/>
    </xf>
    <xf numFmtId="0" fontId="0" fillId="0" borderId="16"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left" vertical="top"/>
    </xf>
    <xf numFmtId="0" fontId="0" fillId="0" borderId="16" xfId="0" applyBorder="1" applyAlignment="1">
      <alignment horizontal="left" vertical="top"/>
    </xf>
    <xf numFmtId="0" fontId="0" fillId="0" borderId="13"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1" fillId="0" borderId="10" xfId="3" applyBorder="1" applyAlignment="1">
      <alignment horizontal="center" vertical="center"/>
    </xf>
    <xf numFmtId="0" fontId="1" fillId="0" borderId="11" xfId="3" applyBorder="1" applyAlignment="1">
      <alignment horizontal="center" vertical="center"/>
    </xf>
    <xf numFmtId="0" fontId="1" fillId="0" borderId="12" xfId="3" applyBorder="1" applyAlignment="1">
      <alignment horizontal="center" vertical="center"/>
    </xf>
    <xf numFmtId="0" fontId="1" fillId="0" borderId="3" xfId="3" applyBorder="1" applyAlignment="1">
      <alignment horizontal="center" vertical="center"/>
    </xf>
    <xf numFmtId="0" fontId="1" fillId="0" borderId="2" xfId="3" applyBorder="1" applyAlignment="1">
      <alignment horizontal="center" vertical="center"/>
    </xf>
    <xf numFmtId="0" fontId="1" fillId="0" borderId="4" xfId="3" applyBorder="1" applyAlignment="1">
      <alignment horizontal="center" vertical="center"/>
    </xf>
    <xf numFmtId="172" fontId="0" fillId="0" borderId="41" xfId="0" applyNumberFormat="1" applyBorder="1" applyAlignment="1">
      <alignment horizontal="center" vertical="center"/>
    </xf>
    <xf numFmtId="172" fontId="0" fillId="0" borderId="47" xfId="0" applyNumberFormat="1" applyBorder="1" applyAlignment="1">
      <alignment horizontal="center" vertical="center"/>
    </xf>
    <xf numFmtId="172" fontId="0" fillId="0" borderId="42" xfId="0" applyNumberFormat="1" applyBorder="1" applyAlignment="1">
      <alignment horizontal="center" vertical="center"/>
    </xf>
    <xf numFmtId="172" fontId="0" fillId="0" borderId="2" xfId="0" applyNumberFormat="1" applyBorder="1" applyAlignment="1">
      <alignment horizontal="center" vertical="center"/>
    </xf>
    <xf numFmtId="0" fontId="56" fillId="0" borderId="7" xfId="0" quotePrefix="1" applyFont="1" applyBorder="1" applyAlignment="1">
      <alignment horizontal="left" vertical="center" wrapText="1"/>
    </xf>
    <xf numFmtId="0" fontId="39" fillId="0" borderId="8" xfId="0" quotePrefix="1" applyFont="1" applyBorder="1" applyAlignment="1">
      <alignment horizontal="left" vertical="center" wrapText="1"/>
    </xf>
    <xf numFmtId="0" fontId="39" fillId="0" borderId="9" xfId="0" quotePrefix="1" applyFont="1" applyBorder="1" applyAlignment="1">
      <alignment horizontal="left" vertical="center" wrapText="1"/>
    </xf>
    <xf numFmtId="0" fontId="39" fillId="0" borderId="13" xfId="0" quotePrefix="1" applyFont="1" applyBorder="1" applyAlignment="1">
      <alignment horizontal="left" vertical="center" wrapText="1"/>
    </xf>
    <xf numFmtId="0" fontId="39" fillId="0" borderId="0" xfId="0" quotePrefix="1" applyFont="1" applyAlignment="1">
      <alignment horizontal="left" vertical="center" wrapText="1"/>
    </xf>
    <xf numFmtId="0" fontId="39" fillId="0" borderId="16" xfId="0" quotePrefix="1" applyFont="1" applyBorder="1" applyAlignment="1">
      <alignment horizontal="left" vertical="center" wrapText="1"/>
    </xf>
    <xf numFmtId="0" fontId="39" fillId="0" borderId="10" xfId="0" quotePrefix="1" applyFont="1" applyBorder="1" applyAlignment="1">
      <alignment horizontal="left" vertical="center" wrapText="1"/>
    </xf>
    <xf numFmtId="0" fontId="39" fillId="0" borderId="11" xfId="0" quotePrefix="1" applyFont="1" applyBorder="1" applyAlignment="1">
      <alignment horizontal="left" vertical="center" wrapText="1"/>
    </xf>
    <xf numFmtId="0" fontId="39" fillId="0" borderId="12" xfId="0" quotePrefix="1" applyFont="1" applyBorder="1" applyAlignment="1">
      <alignment horizontal="left" vertical="center" wrapText="1"/>
    </xf>
    <xf numFmtId="171" fontId="65" fillId="0" borderId="1" xfId="0" applyNumberFormat="1" applyFont="1" applyBorder="1" applyAlignment="1">
      <alignment horizontal="center" vertical="top" wrapText="1"/>
    </xf>
    <xf numFmtId="0" fontId="39" fillId="6" borderId="7" xfId="0" applyFont="1" applyFill="1" applyBorder="1" applyAlignment="1">
      <alignment horizontal="center" vertical="center" wrapText="1"/>
    </xf>
    <xf numFmtId="0" fontId="39" fillId="6" borderId="8" xfId="0" applyFont="1" applyFill="1" applyBorder="1" applyAlignment="1">
      <alignment horizontal="center" vertical="center" wrapText="1"/>
    </xf>
    <xf numFmtId="0" fontId="39" fillId="6" borderId="9" xfId="0" applyFont="1" applyFill="1" applyBorder="1" applyAlignment="1">
      <alignment horizontal="center" vertical="center" wrapText="1"/>
    </xf>
    <xf numFmtId="0" fontId="39" fillId="6" borderId="13" xfId="0" applyFont="1" applyFill="1" applyBorder="1" applyAlignment="1">
      <alignment horizontal="center" vertical="center" wrapText="1"/>
    </xf>
    <xf numFmtId="0" fontId="39" fillId="6" borderId="0" xfId="0" applyFont="1" applyFill="1" applyAlignment="1">
      <alignment horizontal="center" vertical="center" wrapText="1"/>
    </xf>
    <xf numFmtId="0" fontId="39" fillId="6" borderId="16" xfId="0" applyFont="1" applyFill="1" applyBorder="1" applyAlignment="1">
      <alignment horizontal="center" vertical="center" wrapText="1"/>
    </xf>
    <xf numFmtId="0" fontId="39" fillId="6" borderId="10" xfId="0" applyFont="1" applyFill="1" applyBorder="1" applyAlignment="1">
      <alignment horizontal="center" vertical="center" wrapText="1"/>
    </xf>
    <xf numFmtId="0" fontId="39" fillId="6" borderId="11" xfId="0" applyFont="1" applyFill="1" applyBorder="1" applyAlignment="1">
      <alignment horizontal="center" vertical="center" wrapText="1"/>
    </xf>
    <xf numFmtId="0" fontId="39" fillId="6" borderId="12" xfId="0" applyFont="1" applyFill="1" applyBorder="1" applyAlignment="1">
      <alignment horizontal="center" vertical="center" wrapText="1"/>
    </xf>
    <xf numFmtId="0" fontId="59" fillId="7" borderId="8" xfId="0" applyFont="1" applyFill="1" applyBorder="1" applyAlignment="1">
      <alignment horizontal="center"/>
    </xf>
    <xf numFmtId="0" fontId="59" fillId="7" borderId="0" xfId="0" applyFont="1" applyFill="1" applyAlignment="1">
      <alignment horizontal="center"/>
    </xf>
    <xf numFmtId="0" fontId="59" fillId="7" borderId="11" xfId="0" applyFont="1" applyFill="1" applyBorder="1" applyAlignment="1">
      <alignment horizontal="center"/>
    </xf>
    <xf numFmtId="0" fontId="65" fillId="0" borderId="1" xfId="0" applyFont="1" applyBorder="1" applyAlignment="1">
      <alignment horizontal="left" vertical="top" wrapText="1"/>
    </xf>
    <xf numFmtId="17" fontId="60" fillId="0" borderId="7" xfId="0" applyNumberFormat="1" applyFont="1" applyBorder="1" applyAlignment="1">
      <alignment horizontal="center" vertical="top" wrapText="1"/>
    </xf>
    <xf numFmtId="0" fontId="60" fillId="0" borderId="8" xfId="0" applyFont="1" applyBorder="1" applyAlignment="1">
      <alignment horizontal="center" vertical="top" wrapText="1"/>
    </xf>
    <xf numFmtId="0" fontId="60" fillId="0" borderId="9" xfId="0" applyFont="1" applyBorder="1" applyAlignment="1">
      <alignment horizontal="center" vertical="top" wrapText="1"/>
    </xf>
    <xf numFmtId="0" fontId="60" fillId="0" borderId="13" xfId="0" applyFont="1" applyBorder="1" applyAlignment="1">
      <alignment horizontal="center" vertical="top" wrapText="1"/>
    </xf>
    <xf numFmtId="0" fontId="60" fillId="0" borderId="0" xfId="0" applyFont="1" applyBorder="1" applyAlignment="1">
      <alignment horizontal="center" vertical="top" wrapText="1"/>
    </xf>
    <xf numFmtId="0" fontId="60" fillId="0" borderId="16" xfId="0" applyFont="1" applyBorder="1" applyAlignment="1">
      <alignment horizontal="center" vertical="top" wrapText="1"/>
    </xf>
    <xf numFmtId="0" fontId="60" fillId="0" borderId="19" xfId="0" applyFont="1" applyBorder="1" applyAlignment="1">
      <alignment horizontal="center" vertical="top" wrapText="1"/>
    </xf>
    <xf numFmtId="0" fontId="60" fillId="0" borderId="28" xfId="0" applyFont="1" applyBorder="1" applyAlignment="1">
      <alignment horizontal="center" vertical="top" wrapText="1"/>
    </xf>
    <xf numFmtId="0" fontId="60" fillId="0" borderId="20" xfId="0" applyFont="1" applyBorder="1" applyAlignment="1">
      <alignment horizontal="center" vertical="top" wrapText="1"/>
    </xf>
    <xf numFmtId="0" fontId="60" fillId="0" borderId="5" xfId="0" applyFont="1" applyFill="1" applyBorder="1" applyAlignment="1">
      <alignment horizontal="center" vertical="top" wrapText="1"/>
    </xf>
    <xf numFmtId="0" fontId="60" fillId="0" borderId="24" xfId="0" applyFont="1" applyFill="1" applyBorder="1" applyAlignment="1">
      <alignment horizontal="center" vertical="top" wrapText="1"/>
    </xf>
    <xf numFmtId="0" fontId="60" fillId="0" borderId="18" xfId="0" applyFont="1" applyFill="1" applyBorder="1" applyAlignment="1">
      <alignment horizontal="center" vertical="top" wrapText="1"/>
    </xf>
    <xf numFmtId="171" fontId="63" fillId="0" borderId="5" xfId="0" applyNumberFormat="1" applyFont="1" applyFill="1" applyBorder="1" applyAlignment="1">
      <alignment horizontal="center" vertical="top" wrapText="1"/>
    </xf>
    <xf numFmtId="171" fontId="63" fillId="0" borderId="24" xfId="0" applyNumberFormat="1" applyFont="1" applyFill="1" applyBorder="1" applyAlignment="1">
      <alignment horizontal="center" vertical="top" wrapText="1"/>
    </xf>
    <xf numFmtId="171" fontId="63" fillId="0" borderId="18" xfId="0" applyNumberFormat="1" applyFont="1" applyFill="1" applyBorder="1" applyAlignment="1">
      <alignment horizontal="center" vertical="top" wrapText="1"/>
    </xf>
    <xf numFmtId="17" fontId="60" fillId="0" borderId="5" xfId="0" applyNumberFormat="1" applyFont="1" applyBorder="1" applyAlignment="1">
      <alignment horizontal="center" vertical="top" wrapText="1"/>
    </xf>
    <xf numFmtId="0" fontId="60" fillId="0" borderId="24" xfId="0" applyFont="1" applyBorder="1" applyAlignment="1">
      <alignment horizontal="center" vertical="top" wrapText="1"/>
    </xf>
    <xf numFmtId="0" fontId="60" fillId="0" borderId="18" xfId="0" applyFont="1" applyBorder="1" applyAlignment="1">
      <alignment horizontal="center" vertical="top" wrapText="1"/>
    </xf>
    <xf numFmtId="171" fontId="64" fillId="0" borderId="6" xfId="0" applyNumberFormat="1" applyFont="1" applyBorder="1" applyAlignment="1">
      <alignment horizontal="center" vertical="top" wrapText="1"/>
    </xf>
    <xf numFmtId="0" fontId="64" fillId="0" borderId="6" xfId="0" applyFont="1" applyBorder="1" applyAlignment="1">
      <alignment horizontal="left" vertical="top" wrapText="1"/>
    </xf>
    <xf numFmtId="171" fontId="63" fillId="0" borderId="5" xfId="0" applyNumberFormat="1" applyFont="1" applyBorder="1" applyAlignment="1">
      <alignment horizontal="center" vertical="top" wrapText="1"/>
    </xf>
    <xf numFmtId="171" fontId="63" fillId="0" borderId="24" xfId="0" applyNumberFormat="1" applyFont="1" applyBorder="1" applyAlignment="1">
      <alignment horizontal="center" vertical="top" wrapText="1"/>
    </xf>
    <xf numFmtId="171" fontId="63" fillId="0" borderId="18" xfId="0" applyNumberFormat="1" applyFont="1" applyBorder="1" applyAlignment="1">
      <alignment horizontal="center" vertical="top" wrapText="1"/>
    </xf>
    <xf numFmtId="0" fontId="53" fillId="6" borderId="7" xfId="0" applyFont="1" applyFill="1" applyBorder="1" applyAlignment="1">
      <alignment horizontal="center" vertical="top" wrapText="1"/>
    </xf>
    <xf numFmtId="0" fontId="53" fillId="6" borderId="9" xfId="0" applyFont="1" applyFill="1" applyBorder="1" applyAlignment="1">
      <alignment horizontal="center" vertical="top" wrapText="1"/>
    </xf>
    <xf numFmtId="171" fontId="62" fillId="0" borderId="21" xfId="0" applyNumberFormat="1" applyFont="1" applyBorder="1" applyAlignment="1">
      <alignment horizontal="center" vertical="top" wrapText="1"/>
    </xf>
    <xf numFmtId="171" fontId="62" fillId="0" borderId="22" xfId="0" applyNumberFormat="1" applyFont="1" applyBorder="1" applyAlignment="1">
      <alignment horizontal="center" vertical="top" wrapText="1"/>
    </xf>
    <xf numFmtId="0" fontId="61" fillId="0" borderId="3" xfId="0" quotePrefix="1" applyFont="1" applyBorder="1" applyAlignment="1">
      <alignment horizontal="center" vertical="top" wrapText="1"/>
    </xf>
    <xf numFmtId="0" fontId="61" fillId="0" borderId="2" xfId="0" applyFont="1" applyBorder="1" applyAlignment="1">
      <alignment horizontal="center" vertical="top" wrapText="1"/>
    </xf>
    <xf numFmtId="0" fontId="61" fillId="0" borderId="4" xfId="0" applyFont="1" applyBorder="1" applyAlignment="1">
      <alignment horizontal="center" vertical="top" wrapText="1"/>
    </xf>
    <xf numFmtId="0" fontId="50" fillId="0" borderId="13" xfId="0" applyFont="1" applyBorder="1" applyAlignment="1">
      <alignment horizontal="left" vertical="top"/>
    </xf>
    <xf numFmtId="0" fontId="50" fillId="0" borderId="0" xfId="0" applyFont="1" applyAlignment="1">
      <alignment horizontal="left" vertical="top"/>
    </xf>
    <xf numFmtId="0" fontId="50" fillId="0" borderId="16" xfId="0" applyFont="1" applyBorder="1" applyAlignment="1">
      <alignment horizontal="left" vertical="top"/>
    </xf>
    <xf numFmtId="0" fontId="50" fillId="0" borderId="10" xfId="0" applyFont="1" applyBorder="1" applyAlignment="1">
      <alignment horizontal="left" vertical="top"/>
    </xf>
    <xf numFmtId="0" fontId="50" fillId="0" borderId="11" xfId="0" applyFont="1" applyBorder="1" applyAlignment="1">
      <alignment horizontal="left" vertical="top"/>
    </xf>
    <xf numFmtId="0" fontId="50" fillId="0" borderId="12" xfId="0" applyFont="1" applyBorder="1" applyAlignment="1">
      <alignment horizontal="left" vertical="top"/>
    </xf>
    <xf numFmtId="0" fontId="49" fillId="0" borderId="2" xfId="0" applyFont="1" applyBorder="1" applyAlignment="1">
      <alignment horizontal="center" vertical="center"/>
    </xf>
    <xf numFmtId="0" fontId="48" fillId="0" borderId="3" xfId="0" applyFont="1" applyBorder="1" applyAlignment="1">
      <alignment horizontal="center" vertical="center"/>
    </xf>
    <xf numFmtId="0" fontId="48" fillId="0" borderId="4" xfId="0" applyFont="1" applyBorder="1" applyAlignment="1">
      <alignment horizontal="center" vertical="center"/>
    </xf>
    <xf numFmtId="0" fontId="48" fillId="0" borderId="3" xfId="0" applyFont="1" applyBorder="1" applyAlignment="1">
      <alignment horizontal="center" vertical="center" shrinkToFit="1"/>
    </xf>
    <xf numFmtId="0" fontId="48" fillId="0" borderId="4" xfId="0" applyFont="1" applyBorder="1" applyAlignment="1">
      <alignment horizontal="center" vertical="center" shrinkToFit="1"/>
    </xf>
  </cellXfs>
  <cellStyles count="5">
    <cellStyle name="Comma" xfId="1" builtinId="3"/>
    <cellStyle name="Comma [0] 2" xfId="2" xr:uid="{00000000-0005-0000-0000-000001000000}"/>
    <cellStyle name="Comma 2" xfId="4" xr:uid="{5C5BA7A2-EF13-41FC-AE93-671B63BE9FCC}"/>
    <cellStyle name="Normal" xfId="0" builtinId="0"/>
    <cellStyle name="Normal 2" xfId="3" xr:uid="{00000000-0005-0000-0000-000003000000}"/>
  </cellStyles>
  <dxfs count="0"/>
  <tableStyles count="0" defaultTableStyle="TableStyleMedium2" defaultPivotStyle="PivotStyleLight16"/>
  <colors>
    <mruColors>
      <color rgb="FFFFFFC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126999</xdr:colOff>
      <xdr:row>80</xdr:row>
      <xdr:rowOff>126999</xdr:rowOff>
    </xdr:from>
    <xdr:to>
      <xdr:col>6</xdr:col>
      <xdr:colOff>952500</xdr:colOff>
      <xdr:row>85</xdr:row>
      <xdr:rowOff>52916</xdr:rowOff>
    </xdr:to>
    <xdr:pic>
      <xdr:nvPicPr>
        <xdr:cNvPr id="4" name="Picture 3">
          <a:extLst>
            <a:ext uri="{FF2B5EF4-FFF2-40B4-BE49-F238E27FC236}">
              <a16:creationId xmlns:a16="http://schemas.microsoft.com/office/drawing/2014/main" id="{BF211578-70B0-4DBA-91C2-6199511930A9}"/>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005666" y="16795749"/>
          <a:ext cx="825501" cy="878417"/>
        </a:xfrm>
        <a:prstGeom prst="rect">
          <a:avLst/>
        </a:prstGeom>
        <a:noFill/>
        <a:ln w="9525">
          <a:noFill/>
          <a:miter lim="800000"/>
          <a:headEnd/>
          <a:tailEnd/>
        </a:ln>
      </xdr:spPr>
    </xdr:pic>
    <xdr:clientData/>
  </xdr:twoCellAnchor>
  <xdr:twoCellAnchor editAs="oneCell">
    <xdr:from>
      <xdr:col>22</xdr:col>
      <xdr:colOff>0</xdr:colOff>
      <xdr:row>5</xdr:row>
      <xdr:rowOff>0</xdr:rowOff>
    </xdr:from>
    <xdr:to>
      <xdr:col>29</xdr:col>
      <xdr:colOff>350141</xdr:colOff>
      <xdr:row>35</xdr:row>
      <xdr:rowOff>85836</xdr:rowOff>
    </xdr:to>
    <xdr:pic>
      <xdr:nvPicPr>
        <xdr:cNvPr id="7" name="Picture 6">
          <a:extLst>
            <a:ext uri="{FF2B5EF4-FFF2-40B4-BE49-F238E27FC236}">
              <a16:creationId xmlns:a16="http://schemas.microsoft.com/office/drawing/2014/main" id="{D467E6C8-E8D5-4420-B803-32B0FB91B9B8}"/>
            </a:ext>
          </a:extLst>
        </xdr:cNvPr>
        <xdr:cNvPicPr>
          <a:picLocks noChangeAspect="1"/>
        </xdr:cNvPicPr>
      </xdr:nvPicPr>
      <xdr:blipFill>
        <a:blip xmlns:r="http://schemas.openxmlformats.org/officeDocument/2006/relationships" r:embed="rId2"/>
        <a:stretch>
          <a:fillRect/>
        </a:stretch>
      </xdr:blipFill>
      <xdr:spPr>
        <a:xfrm>
          <a:off x="13663083" y="952500"/>
          <a:ext cx="6382641" cy="85948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102099</xdr:colOff>
      <xdr:row>89</xdr:row>
      <xdr:rowOff>135717</xdr:rowOff>
    </xdr:from>
    <xdr:ext cx="825501" cy="878417"/>
    <xdr:pic>
      <xdr:nvPicPr>
        <xdr:cNvPr id="2" name="Picture 1">
          <a:extLst>
            <a:ext uri="{FF2B5EF4-FFF2-40B4-BE49-F238E27FC236}">
              <a16:creationId xmlns:a16="http://schemas.microsoft.com/office/drawing/2014/main" id="{09289EA7-1319-42DA-BE32-596C3B3A134B}"/>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923305" y="17426393"/>
          <a:ext cx="825501" cy="878417"/>
        </a:xfrm>
        <a:prstGeom prst="rect">
          <a:avLst/>
        </a:prstGeom>
        <a:noFill/>
        <a:ln w="9525">
          <a:noFill/>
          <a:miter lim="800000"/>
          <a:headEnd/>
          <a:tailEn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6</xdr:col>
      <xdr:colOff>109803</xdr:colOff>
      <xdr:row>55</xdr:row>
      <xdr:rowOff>14552</xdr:rowOff>
    </xdr:from>
    <xdr:to>
      <xdr:col>7</xdr:col>
      <xdr:colOff>353220</xdr:colOff>
      <xdr:row>58</xdr:row>
      <xdr:rowOff>142875</xdr:rowOff>
    </xdr:to>
    <xdr:pic>
      <xdr:nvPicPr>
        <xdr:cNvPr id="2" name="Picture 1">
          <a:extLst>
            <a:ext uri="{FF2B5EF4-FFF2-40B4-BE49-F238E27FC236}">
              <a16:creationId xmlns:a16="http://schemas.microsoft.com/office/drawing/2014/main" id="{6621655B-6A2B-4D34-B6D9-E33DE1F3C7C2}"/>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276866" y="16945240"/>
          <a:ext cx="826823" cy="878417"/>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AA92"/>
  <sheetViews>
    <sheetView showGridLines="0" topLeftCell="A7" zoomScale="90" zoomScaleNormal="90" workbookViewId="0">
      <selection activeCell="R15" sqref="R15"/>
    </sheetView>
  </sheetViews>
  <sheetFormatPr defaultRowHeight="15" x14ac:dyDescent="0.25"/>
  <cols>
    <col min="1" max="1" width="1.7109375" style="1" customWidth="1"/>
    <col min="2" max="2" width="8.7109375" style="1" customWidth="1"/>
    <col min="3" max="3" width="18.7109375" style="2" customWidth="1"/>
    <col min="4" max="4" width="3.7109375" style="2" customWidth="1"/>
    <col min="5" max="5" width="2.7109375" style="2" customWidth="1"/>
    <col min="6" max="6" width="18.7109375" style="2" customWidth="1"/>
    <col min="7" max="7" width="15.7109375" style="1" customWidth="1"/>
    <col min="8" max="8" width="12.7109375" style="1" customWidth="1"/>
    <col min="9" max="9" width="15.7109375" style="1" customWidth="1"/>
    <col min="10" max="21" width="8.7109375" style="1" customWidth="1"/>
    <col min="22" max="22" width="1.7109375" style="1" customWidth="1"/>
    <col min="23" max="26" width="15.7109375" style="1" customWidth="1"/>
    <col min="27" max="16384" width="9.140625" style="1"/>
  </cols>
  <sheetData>
    <row r="1" spans="2:26" x14ac:dyDescent="0.25">
      <c r="U1" s="13" t="s">
        <v>116</v>
      </c>
    </row>
    <row r="2" spans="2:26" ht="15" customHeight="1" x14ac:dyDescent="0.25">
      <c r="B2" s="44" t="s">
        <v>0</v>
      </c>
      <c r="C2" s="17"/>
      <c r="D2" s="17"/>
      <c r="E2" s="17"/>
      <c r="F2" s="17"/>
      <c r="G2" s="45"/>
      <c r="H2" s="46" t="s">
        <v>60</v>
      </c>
      <c r="I2" s="35" t="s">
        <v>61</v>
      </c>
      <c r="J2" s="36" t="s">
        <v>154</v>
      </c>
      <c r="K2" s="36"/>
      <c r="L2" s="36"/>
      <c r="M2" s="37"/>
      <c r="N2" s="457" t="s">
        <v>66</v>
      </c>
      <c r="O2" s="458"/>
      <c r="P2" s="457" t="s">
        <v>65</v>
      </c>
      <c r="Q2" s="458"/>
      <c r="R2" s="457" t="s">
        <v>54</v>
      </c>
      <c r="S2" s="458"/>
      <c r="T2" s="457" t="s">
        <v>53</v>
      </c>
      <c r="U2" s="458"/>
    </row>
    <row r="3" spans="2:26" ht="15" customHeight="1" x14ac:dyDescent="0.25">
      <c r="B3" s="445" t="s">
        <v>218</v>
      </c>
      <c r="C3" s="446"/>
      <c r="D3" s="446"/>
      <c r="E3" s="446"/>
      <c r="F3" s="446"/>
      <c r="G3" s="446"/>
      <c r="H3" s="447"/>
      <c r="I3" s="38" t="s">
        <v>62</v>
      </c>
      <c r="J3" s="39" t="s">
        <v>68</v>
      </c>
      <c r="K3" s="39"/>
      <c r="L3" s="39"/>
      <c r="M3" s="40"/>
      <c r="N3" s="459" t="s">
        <v>158</v>
      </c>
      <c r="O3" s="460"/>
      <c r="P3" s="460"/>
      <c r="Q3" s="460"/>
      <c r="R3" s="460"/>
      <c r="S3" s="460"/>
      <c r="T3" s="460"/>
      <c r="U3" s="461"/>
    </row>
    <row r="4" spans="2:26" ht="15" customHeight="1" x14ac:dyDescent="0.25">
      <c r="B4" s="448"/>
      <c r="C4" s="449"/>
      <c r="D4" s="449"/>
      <c r="E4" s="449"/>
      <c r="F4" s="449"/>
      <c r="G4" s="449"/>
      <c r="H4" s="450"/>
      <c r="I4" s="38" t="s">
        <v>5</v>
      </c>
      <c r="J4" s="39" t="s">
        <v>215</v>
      </c>
      <c r="K4" s="39"/>
      <c r="L4" s="39"/>
      <c r="M4" s="40"/>
      <c r="N4" s="462"/>
      <c r="O4" s="463"/>
      <c r="P4" s="463"/>
      <c r="Q4" s="463"/>
      <c r="R4" s="463"/>
      <c r="S4" s="463"/>
      <c r="T4" s="463"/>
      <c r="U4" s="464"/>
    </row>
    <row r="5" spans="2:26" ht="15" customHeight="1" x14ac:dyDescent="0.25">
      <c r="B5" s="451" t="s">
        <v>217</v>
      </c>
      <c r="C5" s="452"/>
      <c r="D5" s="452"/>
      <c r="E5" s="452"/>
      <c r="F5" s="452"/>
      <c r="G5" s="452"/>
      <c r="H5" s="453"/>
      <c r="I5" s="38" t="s">
        <v>63</v>
      </c>
      <c r="J5" s="39" t="s">
        <v>68</v>
      </c>
      <c r="K5" s="39"/>
      <c r="L5" s="39"/>
      <c r="M5" s="40"/>
      <c r="N5" s="465"/>
      <c r="O5" s="466"/>
      <c r="P5" s="466"/>
      <c r="Q5" s="466"/>
      <c r="R5" s="466"/>
      <c r="S5" s="466"/>
      <c r="T5" s="466"/>
      <c r="U5" s="467"/>
    </row>
    <row r="6" spans="2:26" ht="15" customHeight="1" x14ac:dyDescent="0.25">
      <c r="B6" s="454"/>
      <c r="C6" s="455"/>
      <c r="D6" s="455"/>
      <c r="E6" s="455"/>
      <c r="F6" s="455"/>
      <c r="G6" s="455"/>
      <c r="H6" s="456"/>
      <c r="I6" s="41" t="s">
        <v>64</v>
      </c>
      <c r="J6" s="42" t="s">
        <v>216</v>
      </c>
      <c r="K6" s="42"/>
      <c r="L6" s="42"/>
      <c r="M6" s="43"/>
      <c r="N6" s="457" t="s">
        <v>67</v>
      </c>
      <c r="O6" s="458"/>
      <c r="P6" s="457" t="s">
        <v>57</v>
      </c>
      <c r="Q6" s="458"/>
      <c r="R6" s="457" t="s">
        <v>56</v>
      </c>
      <c r="S6" s="458"/>
      <c r="T6" s="457" t="s">
        <v>55</v>
      </c>
      <c r="U6" s="458"/>
    </row>
    <row r="7" spans="2:26" ht="15" customHeight="1" x14ac:dyDescent="0.25">
      <c r="B7" s="31"/>
      <c r="U7" s="18"/>
    </row>
    <row r="8" spans="2:26" s="5" customFormat="1" ht="21.95" customHeight="1" x14ac:dyDescent="0.25">
      <c r="B8" s="32" t="s">
        <v>8</v>
      </c>
      <c r="C8" s="27"/>
      <c r="D8" s="27"/>
      <c r="E8" s="27"/>
      <c r="F8" s="27"/>
      <c r="G8" s="29" t="s">
        <v>232</v>
      </c>
      <c r="H8" s="6"/>
      <c r="I8" s="6"/>
      <c r="J8" s="6"/>
      <c r="U8" s="20"/>
    </row>
    <row r="9" spans="2:26" s="5" customFormat="1" ht="21.95" customHeight="1" x14ac:dyDescent="0.25">
      <c r="B9" s="33" t="s">
        <v>9</v>
      </c>
      <c r="C9" s="28"/>
      <c r="D9" s="28"/>
      <c r="E9" s="28"/>
      <c r="F9" s="28"/>
      <c r="G9" s="30" t="s">
        <v>233</v>
      </c>
      <c r="H9" s="7"/>
      <c r="I9" s="7"/>
      <c r="J9" s="7"/>
      <c r="U9" s="20"/>
    </row>
    <row r="10" spans="2:26" s="5" customFormat="1" ht="15" customHeight="1" x14ac:dyDescent="0.25">
      <c r="B10" s="19"/>
      <c r="C10" s="23"/>
      <c r="D10" s="23"/>
      <c r="E10" s="23"/>
      <c r="F10" s="23"/>
      <c r="G10" s="12"/>
      <c r="U10" s="20"/>
    </row>
    <row r="11" spans="2:26" ht="24.95" customHeight="1" x14ac:dyDescent="0.25">
      <c r="B11" s="34" t="s">
        <v>69</v>
      </c>
      <c r="U11" s="18"/>
    </row>
    <row r="12" spans="2:26" s="8" customFormat="1" ht="24.95" customHeight="1" x14ac:dyDescent="0.25">
      <c r="B12" s="26" t="s">
        <v>1</v>
      </c>
      <c r="C12" s="421" t="s">
        <v>5</v>
      </c>
      <c r="D12" s="422"/>
      <c r="E12" s="422"/>
      <c r="F12" s="423"/>
      <c r="G12" s="419" t="s">
        <v>4</v>
      </c>
      <c r="H12" s="420"/>
      <c r="I12" s="419" t="s">
        <v>59</v>
      </c>
      <c r="J12" s="426"/>
      <c r="K12" s="419" t="s">
        <v>2</v>
      </c>
      <c r="L12" s="420"/>
      <c r="M12" s="425" t="s">
        <v>3</v>
      </c>
      <c r="N12" s="425"/>
      <c r="O12" s="425"/>
      <c r="P12" s="425"/>
      <c r="Q12" s="425"/>
      <c r="R12" s="15"/>
      <c r="S12" s="15"/>
      <c r="T12" s="15"/>
      <c r="U12" s="21"/>
      <c r="V12" s="15"/>
      <c r="W12" s="15"/>
      <c r="X12" s="15"/>
      <c r="Y12" s="424"/>
      <c r="Z12" s="424"/>
    </row>
    <row r="13" spans="2:26" ht="24.95" customHeight="1" x14ac:dyDescent="0.25">
      <c r="B13" s="14">
        <v>1</v>
      </c>
      <c r="C13" s="257">
        <v>45630</v>
      </c>
      <c r="D13" s="440" t="s">
        <v>6</v>
      </c>
      <c r="E13" s="440"/>
      <c r="F13" s="258">
        <v>45632</v>
      </c>
      <c r="G13" s="441" t="s">
        <v>272</v>
      </c>
      <c r="H13" s="442"/>
      <c r="I13" s="441" t="s">
        <v>189</v>
      </c>
      <c r="J13" s="443"/>
      <c r="K13" s="444">
        <v>284</v>
      </c>
      <c r="L13" s="443"/>
      <c r="M13" s="259" t="s">
        <v>234</v>
      </c>
      <c r="N13" s="260"/>
      <c r="O13" s="260"/>
      <c r="P13" s="110"/>
      <c r="Q13" s="111"/>
      <c r="U13" s="18"/>
    </row>
    <row r="14" spans="2:26" s="254" customFormat="1" ht="24.95" customHeight="1" x14ac:dyDescent="0.25">
      <c r="B14" s="273">
        <v>2</v>
      </c>
      <c r="C14" s="257">
        <f>+C13</f>
        <v>45630</v>
      </c>
      <c r="D14" s="440" t="s">
        <v>6</v>
      </c>
      <c r="E14" s="440"/>
      <c r="F14" s="258">
        <f>+F13</f>
        <v>45632</v>
      </c>
      <c r="G14" s="441" t="s">
        <v>226</v>
      </c>
      <c r="H14" s="442"/>
      <c r="I14" s="441" t="s">
        <v>189</v>
      </c>
      <c r="J14" s="443"/>
      <c r="K14" s="444">
        <v>12027</v>
      </c>
      <c r="L14" s="443"/>
      <c r="M14" s="259" t="s">
        <v>235</v>
      </c>
      <c r="N14" s="260"/>
      <c r="O14" s="260"/>
      <c r="P14" s="260"/>
      <c r="Q14" s="111"/>
      <c r="U14" s="267"/>
    </row>
    <row r="15" spans="2:26" ht="24.95" customHeight="1" x14ac:dyDescent="0.25">
      <c r="B15" s="14">
        <v>3</v>
      </c>
      <c r="C15" s="257">
        <f t="shared" ref="C15:C16" si="0">+C14</f>
        <v>45630</v>
      </c>
      <c r="D15" s="440" t="s">
        <v>6</v>
      </c>
      <c r="E15" s="440"/>
      <c r="F15" s="258">
        <f t="shared" ref="F15:F16" si="1">+F14</f>
        <v>45632</v>
      </c>
      <c r="G15" s="441" t="s">
        <v>226</v>
      </c>
      <c r="H15" s="442"/>
      <c r="I15" s="441" t="s">
        <v>189</v>
      </c>
      <c r="J15" s="443"/>
      <c r="K15" s="441">
        <v>7094</v>
      </c>
      <c r="L15" s="442"/>
      <c r="M15" s="259" t="s">
        <v>236</v>
      </c>
      <c r="N15" s="260"/>
      <c r="O15" s="260"/>
      <c r="P15" s="110"/>
      <c r="Q15" s="111"/>
      <c r="U15" s="18"/>
    </row>
    <row r="16" spans="2:26" s="254" customFormat="1" ht="24.95" customHeight="1" x14ac:dyDescent="0.25">
      <c r="B16" s="337">
        <v>4</v>
      </c>
      <c r="C16" s="257">
        <f t="shared" si="0"/>
        <v>45630</v>
      </c>
      <c r="D16" s="440" t="s">
        <v>6</v>
      </c>
      <c r="E16" s="440"/>
      <c r="F16" s="258">
        <f t="shared" si="1"/>
        <v>45632</v>
      </c>
      <c r="G16" s="441" t="s">
        <v>227</v>
      </c>
      <c r="H16" s="442"/>
      <c r="I16" s="441" t="s">
        <v>189</v>
      </c>
      <c r="J16" s="442"/>
      <c r="K16" s="441">
        <v>13647</v>
      </c>
      <c r="L16" s="442"/>
      <c r="M16" s="259" t="s">
        <v>237</v>
      </c>
      <c r="N16" s="260"/>
      <c r="O16" s="260"/>
      <c r="P16" s="260"/>
      <c r="Q16" s="111"/>
      <c r="U16" s="267"/>
    </row>
    <row r="17" spans="1:27" ht="24.95" customHeight="1" x14ac:dyDescent="0.25">
      <c r="B17" s="337">
        <v>5</v>
      </c>
      <c r="C17" s="257">
        <f>+C13</f>
        <v>45630</v>
      </c>
      <c r="D17" s="440" t="s">
        <v>6</v>
      </c>
      <c r="E17" s="440"/>
      <c r="F17" s="258">
        <f>+F13</f>
        <v>45632</v>
      </c>
      <c r="G17" s="441" t="s">
        <v>224</v>
      </c>
      <c r="H17" s="442"/>
      <c r="I17" s="441" t="s">
        <v>223</v>
      </c>
      <c r="J17" s="442"/>
      <c r="K17" s="441">
        <v>5550</v>
      </c>
      <c r="L17" s="442"/>
      <c r="M17" s="259" t="s">
        <v>238</v>
      </c>
      <c r="N17" s="260"/>
      <c r="O17" s="260"/>
      <c r="P17" s="110"/>
      <c r="Q17" s="111"/>
      <c r="U17" s="18"/>
    </row>
    <row r="18" spans="1:27" ht="15" customHeight="1" x14ac:dyDescent="0.25">
      <c r="B18" s="10"/>
      <c r="U18" s="18"/>
    </row>
    <row r="19" spans="1:27" ht="20.100000000000001" customHeight="1" x14ac:dyDescent="0.25">
      <c r="A19" s="254"/>
      <c r="B19" s="272" t="s">
        <v>103</v>
      </c>
      <c r="C19" s="266"/>
      <c r="D19" s="266"/>
      <c r="E19" s="266"/>
      <c r="F19" s="266"/>
      <c r="G19" s="266"/>
      <c r="H19" s="266"/>
      <c r="I19" s="266"/>
      <c r="J19" s="266"/>
      <c r="K19" s="266"/>
      <c r="L19" s="266"/>
      <c r="M19" s="266"/>
      <c r="N19" s="266"/>
      <c r="O19" s="266"/>
      <c r="P19" s="266"/>
      <c r="Q19" s="266"/>
      <c r="R19" s="266"/>
      <c r="S19" s="266"/>
      <c r="T19" s="266"/>
      <c r="U19" s="267"/>
      <c r="V19" s="266"/>
      <c r="W19" s="266"/>
      <c r="X19" s="254"/>
      <c r="Y19" s="254"/>
      <c r="Z19" s="254"/>
      <c r="AA19" s="254"/>
    </row>
    <row r="20" spans="1:27" ht="20.100000000000001" customHeight="1" x14ac:dyDescent="0.25">
      <c r="A20" s="254"/>
      <c r="B20" s="275" t="s">
        <v>73</v>
      </c>
      <c r="C20" s="266"/>
      <c r="D20" s="266"/>
      <c r="E20" s="266"/>
      <c r="F20" s="266"/>
      <c r="G20" s="266"/>
      <c r="H20" s="266"/>
      <c r="I20" s="266"/>
      <c r="J20" s="266"/>
      <c r="K20" s="276" t="s">
        <v>74</v>
      </c>
      <c r="L20" s="276"/>
      <c r="M20" s="266"/>
      <c r="N20" s="266"/>
      <c r="O20" s="266"/>
      <c r="P20" s="266"/>
      <c r="Q20" s="266"/>
      <c r="R20" s="266"/>
      <c r="S20" s="266"/>
      <c r="T20" s="266"/>
      <c r="U20" s="267"/>
      <c r="V20" s="266"/>
      <c r="W20" s="266"/>
      <c r="X20" s="254"/>
      <c r="Y20" s="254"/>
      <c r="Z20" s="254"/>
      <c r="AA20" s="254"/>
    </row>
    <row r="21" spans="1:27" s="3" customFormat="1" ht="20.100000000000001" customHeight="1" thickBot="1" x14ac:dyDescent="0.3">
      <c r="A21" s="261"/>
      <c r="B21" s="475" t="s">
        <v>1</v>
      </c>
      <c r="C21" s="473" t="s">
        <v>5</v>
      </c>
      <c r="D21" s="474"/>
      <c r="E21" s="419" t="s">
        <v>150</v>
      </c>
      <c r="F21" s="426"/>
      <c r="G21" s="420"/>
      <c r="H21" s="419" t="s">
        <v>58</v>
      </c>
      <c r="I21" s="420"/>
      <c r="J21" s="268"/>
      <c r="K21" s="479" t="s">
        <v>1</v>
      </c>
      <c r="L21" s="481" t="s">
        <v>5</v>
      </c>
      <c r="M21" s="482"/>
      <c r="N21" s="468" t="s">
        <v>13</v>
      </c>
      <c r="O21" s="469"/>
      <c r="P21" s="469"/>
      <c r="Q21" s="470"/>
      <c r="R21" s="468" t="s">
        <v>58</v>
      </c>
      <c r="S21" s="469"/>
      <c r="T21" s="469"/>
      <c r="U21" s="470"/>
      <c r="V21" s="277"/>
      <c r="W21" s="277"/>
      <c r="X21" s="261"/>
      <c r="Y21" s="261"/>
      <c r="Z21" s="261"/>
      <c r="AA21" s="261"/>
    </row>
    <row r="22" spans="1:27" s="3" customFormat="1" ht="20.100000000000001" customHeight="1" thickTop="1" thickBot="1" x14ac:dyDescent="0.3">
      <c r="A22" s="261"/>
      <c r="B22" s="476"/>
      <c r="C22" s="477"/>
      <c r="D22" s="478"/>
      <c r="E22" s="471" t="s">
        <v>35</v>
      </c>
      <c r="F22" s="472"/>
      <c r="G22" s="278" t="s">
        <v>36</v>
      </c>
      <c r="H22" s="279" t="s">
        <v>35</v>
      </c>
      <c r="I22" s="280" t="s">
        <v>36</v>
      </c>
      <c r="J22" s="268"/>
      <c r="K22" s="480"/>
      <c r="L22" s="483"/>
      <c r="M22" s="484"/>
      <c r="N22" s="473" t="s">
        <v>35</v>
      </c>
      <c r="O22" s="474"/>
      <c r="P22" s="473" t="s">
        <v>36</v>
      </c>
      <c r="Q22" s="474"/>
      <c r="R22" s="473" t="s">
        <v>35</v>
      </c>
      <c r="S22" s="474"/>
      <c r="T22" s="473" t="s">
        <v>36</v>
      </c>
      <c r="U22" s="474"/>
      <c r="V22" s="277"/>
      <c r="W22" s="277"/>
      <c r="X22" s="261"/>
      <c r="Y22" s="261"/>
      <c r="Z22" s="261"/>
      <c r="AA22" s="261"/>
    </row>
    <row r="23" spans="1:27" ht="24.95" customHeight="1" thickTop="1" thickBot="1" x14ac:dyDescent="0.3">
      <c r="A23" s="254"/>
      <c r="B23" s="281">
        <v>1</v>
      </c>
      <c r="C23" s="487"/>
      <c r="D23" s="488"/>
      <c r="E23" s="489"/>
      <c r="F23" s="490"/>
      <c r="G23" s="282"/>
      <c r="H23" s="283"/>
      <c r="I23" s="281"/>
      <c r="J23" s="271"/>
      <c r="K23" s="281">
        <v>1</v>
      </c>
      <c r="L23" s="491"/>
      <c r="M23" s="492"/>
      <c r="N23" s="495"/>
      <c r="O23" s="496"/>
      <c r="P23" s="485"/>
      <c r="Q23" s="486"/>
      <c r="R23" s="485"/>
      <c r="S23" s="486"/>
      <c r="T23" s="485"/>
      <c r="U23" s="486"/>
      <c r="V23" s="277"/>
      <c r="W23" s="277"/>
      <c r="X23" s="254"/>
      <c r="Y23" s="254"/>
      <c r="Z23" s="254"/>
      <c r="AA23" s="254"/>
    </row>
    <row r="24" spans="1:27" ht="24.95" customHeight="1" thickTop="1" thickBot="1" x14ac:dyDescent="0.3">
      <c r="A24" s="254"/>
      <c r="B24" s="281">
        <v>2</v>
      </c>
      <c r="C24" s="487"/>
      <c r="D24" s="488"/>
      <c r="E24" s="489"/>
      <c r="F24" s="490"/>
      <c r="G24" s="282"/>
      <c r="H24" s="283"/>
      <c r="I24" s="281"/>
      <c r="J24" s="271"/>
      <c r="K24" s="284">
        <v>2</v>
      </c>
      <c r="L24" s="491"/>
      <c r="M24" s="492"/>
      <c r="N24" s="493"/>
      <c r="O24" s="494"/>
      <c r="P24" s="489"/>
      <c r="Q24" s="490"/>
      <c r="R24" s="489"/>
      <c r="S24" s="490"/>
      <c r="T24" s="489"/>
      <c r="U24" s="490"/>
      <c r="V24" s="266"/>
      <c r="W24" s="266"/>
      <c r="X24" s="254"/>
      <c r="Y24" s="254"/>
      <c r="Z24" s="254"/>
      <c r="AA24" s="254"/>
    </row>
    <row r="25" spans="1:27" ht="15" customHeight="1" thickTop="1" x14ac:dyDescent="0.25">
      <c r="A25" s="254"/>
      <c r="B25" s="274"/>
      <c r="C25" s="266"/>
      <c r="D25" s="266"/>
      <c r="E25" s="266"/>
      <c r="F25" s="266"/>
      <c r="G25" s="266"/>
      <c r="H25" s="266"/>
      <c r="I25" s="266"/>
      <c r="J25" s="266"/>
      <c r="K25" s="266"/>
      <c r="L25" s="266"/>
      <c r="M25" s="266"/>
      <c r="N25" s="266"/>
      <c r="O25" s="266"/>
      <c r="P25" s="266"/>
      <c r="Q25" s="266"/>
      <c r="R25" s="266"/>
      <c r="S25" s="266"/>
      <c r="T25" s="266"/>
      <c r="U25" s="267"/>
      <c r="V25" s="266"/>
      <c r="W25" s="266"/>
      <c r="X25" s="254"/>
      <c r="Y25" s="254"/>
      <c r="Z25" s="254"/>
      <c r="AA25" s="254"/>
    </row>
    <row r="26" spans="1:27" ht="20.100000000000001" customHeight="1" x14ac:dyDescent="0.25">
      <c r="A26" s="254"/>
      <c r="B26" s="269" t="s">
        <v>75</v>
      </c>
      <c r="C26" s="285"/>
      <c r="D26" s="285"/>
      <c r="E26" s="285"/>
      <c r="F26" s="285"/>
      <c r="G26" s="271"/>
      <c r="H26" s="271"/>
      <c r="I26" s="271"/>
      <c r="J26" s="271"/>
      <c r="K26" s="271"/>
      <c r="L26" s="271"/>
      <c r="M26" s="271"/>
      <c r="N26" s="271"/>
      <c r="O26" s="271"/>
      <c r="P26" s="271"/>
      <c r="Q26" s="271"/>
      <c r="R26" s="271"/>
      <c r="S26" s="271"/>
      <c r="T26" s="271"/>
      <c r="U26" s="286"/>
      <c r="V26" s="266"/>
      <c r="W26" s="266"/>
      <c r="X26" s="254"/>
      <c r="Y26" s="254"/>
      <c r="Z26" s="254"/>
      <c r="AA26" s="254"/>
    </row>
    <row r="27" spans="1:27" s="3" customFormat="1" ht="20.100000000000001" customHeight="1" x14ac:dyDescent="0.25">
      <c r="A27" s="261"/>
      <c r="B27" s="479" t="s">
        <v>1</v>
      </c>
      <c r="C27" s="481" t="s">
        <v>5</v>
      </c>
      <c r="D27" s="506"/>
      <c r="E27" s="506"/>
      <c r="F27" s="482"/>
      <c r="G27" s="421" t="s">
        <v>14</v>
      </c>
      <c r="H27" s="423"/>
      <c r="I27" s="425" t="s">
        <v>71</v>
      </c>
      <c r="J27" s="419" t="s">
        <v>15</v>
      </c>
      <c r="K27" s="426"/>
      <c r="L27" s="426"/>
      <c r="M27" s="420"/>
      <c r="N27" s="511" t="s">
        <v>70</v>
      </c>
      <c r="O27" s="511"/>
      <c r="P27" s="511"/>
      <c r="Q27" s="511"/>
      <c r="R27" s="511"/>
      <c r="S27" s="511"/>
      <c r="T27" s="511"/>
      <c r="U27" s="511"/>
      <c r="V27" s="277"/>
      <c r="W27" s="277"/>
      <c r="X27" s="261"/>
      <c r="Y27" s="261"/>
      <c r="Z27" s="261"/>
      <c r="AA27" s="261"/>
    </row>
    <row r="28" spans="1:27" s="3" customFormat="1" ht="20.100000000000001" customHeight="1" thickBot="1" x14ac:dyDescent="0.3">
      <c r="A28" s="261"/>
      <c r="B28" s="480"/>
      <c r="C28" s="483"/>
      <c r="D28" s="507"/>
      <c r="E28" s="507"/>
      <c r="F28" s="484"/>
      <c r="G28" s="508"/>
      <c r="H28" s="509"/>
      <c r="I28" s="510"/>
      <c r="J28" s="471" t="s">
        <v>17</v>
      </c>
      <c r="K28" s="472"/>
      <c r="L28" s="471" t="s">
        <v>16</v>
      </c>
      <c r="M28" s="472"/>
      <c r="N28" s="512"/>
      <c r="O28" s="512"/>
      <c r="P28" s="512"/>
      <c r="Q28" s="512"/>
      <c r="R28" s="512"/>
      <c r="S28" s="512"/>
      <c r="T28" s="512"/>
      <c r="U28" s="512"/>
      <c r="V28" s="277"/>
      <c r="W28" s="277"/>
      <c r="X28" s="261"/>
      <c r="Y28" s="261"/>
      <c r="Z28" s="261"/>
      <c r="AA28" s="261"/>
    </row>
    <row r="29" spans="1:27" ht="50.1" customHeight="1" thickTop="1" thickBot="1" x14ac:dyDescent="0.3">
      <c r="A29" s="254"/>
      <c r="B29" s="287">
        <v>1</v>
      </c>
      <c r="C29" s="288">
        <v>45630</v>
      </c>
      <c r="D29" s="497" t="s">
        <v>6</v>
      </c>
      <c r="E29" s="497"/>
      <c r="F29" s="289">
        <v>45632</v>
      </c>
      <c r="G29" s="498" t="s">
        <v>239</v>
      </c>
      <c r="H29" s="499"/>
      <c r="I29" s="290"/>
      <c r="J29" s="500" t="s">
        <v>241</v>
      </c>
      <c r="K29" s="501"/>
      <c r="L29" s="291"/>
      <c r="M29" s="292">
        <v>0.33333333333333331</v>
      </c>
      <c r="N29" s="293"/>
      <c r="O29" s="294"/>
      <c r="P29" s="294"/>
      <c r="Q29" s="294"/>
      <c r="R29" s="294"/>
      <c r="S29" s="294"/>
      <c r="T29" s="294"/>
      <c r="U29" s="295"/>
      <c r="V29" s="277"/>
      <c r="W29" s="277"/>
      <c r="X29" s="254"/>
      <c r="Y29" s="254"/>
      <c r="Z29" s="254"/>
      <c r="AA29" s="254"/>
    </row>
    <row r="30" spans="1:27" s="254" customFormat="1" ht="50.1" customHeight="1" thickTop="1" x14ac:dyDescent="0.25">
      <c r="B30" s="287">
        <v>2</v>
      </c>
      <c r="C30" s="288">
        <v>45630</v>
      </c>
      <c r="D30" s="497" t="s">
        <v>6</v>
      </c>
      <c r="E30" s="497"/>
      <c r="F30" s="289">
        <v>45632</v>
      </c>
      <c r="G30" s="498" t="s">
        <v>240</v>
      </c>
      <c r="H30" s="499"/>
      <c r="I30" s="290"/>
      <c r="J30" s="500" t="s">
        <v>241</v>
      </c>
      <c r="K30" s="501"/>
      <c r="L30" s="291"/>
      <c r="M30" s="292">
        <v>0.33333333333333331</v>
      </c>
      <c r="N30" s="293"/>
      <c r="O30" s="294"/>
      <c r="P30" s="294"/>
      <c r="Q30" s="294"/>
      <c r="R30" s="294"/>
      <c r="S30" s="294"/>
      <c r="T30" s="294"/>
      <c r="U30" s="295"/>
      <c r="V30" s="277"/>
      <c r="W30" s="277"/>
    </row>
    <row r="31" spans="1:27" ht="24.95" customHeight="1" x14ac:dyDescent="0.25">
      <c r="A31" s="254"/>
      <c r="B31" s="296" t="s">
        <v>102</v>
      </c>
      <c r="C31" s="285"/>
      <c r="D31" s="285"/>
      <c r="E31" s="285"/>
      <c r="F31" s="285"/>
      <c r="G31" s="271"/>
      <c r="H31" s="271"/>
      <c r="I31" s="271"/>
      <c r="J31" s="271"/>
      <c r="K31" s="271"/>
      <c r="L31" s="271"/>
      <c r="M31" s="271"/>
      <c r="N31" s="271"/>
      <c r="O31" s="271"/>
      <c r="P31" s="266"/>
      <c r="Q31" s="266"/>
      <c r="R31" s="266"/>
      <c r="S31" s="266"/>
      <c r="T31" s="266"/>
      <c r="U31" s="267"/>
      <c r="V31" s="266"/>
      <c r="W31" s="266"/>
      <c r="X31" s="254"/>
      <c r="Y31" s="254"/>
      <c r="Z31" s="254"/>
      <c r="AA31" s="254"/>
    </row>
    <row r="32" spans="1:27" s="9" customFormat="1" ht="20.100000000000001" customHeight="1" x14ac:dyDescent="0.25">
      <c r="A32" s="262"/>
      <c r="B32" s="297" t="s">
        <v>79</v>
      </c>
      <c r="C32" s="502" t="s">
        <v>124</v>
      </c>
      <c r="D32" s="502"/>
      <c r="E32" s="502"/>
      <c r="F32" s="502"/>
      <c r="G32" s="502"/>
      <c r="H32" s="502"/>
      <c r="I32" s="502"/>
      <c r="J32" s="503" t="s">
        <v>80</v>
      </c>
      <c r="K32" s="504"/>
      <c r="L32" s="505"/>
      <c r="M32" s="503" t="s">
        <v>81</v>
      </c>
      <c r="N32" s="504"/>
      <c r="O32" s="505"/>
      <c r="P32" s="502" t="s">
        <v>33</v>
      </c>
      <c r="Q32" s="502"/>
      <c r="R32" s="502"/>
      <c r="S32" s="298"/>
      <c r="T32" s="298"/>
      <c r="U32" s="299"/>
      <c r="V32" s="298"/>
      <c r="W32" s="298"/>
      <c r="X32" s="262"/>
      <c r="Y32" s="262"/>
      <c r="Z32" s="262"/>
      <c r="AA32" s="262"/>
    </row>
    <row r="33" spans="1:27" s="24" customFormat="1" ht="17.100000000000001" customHeight="1" x14ac:dyDescent="0.25">
      <c r="A33" s="263"/>
      <c r="B33" s="300">
        <v>1</v>
      </c>
      <c r="C33" s="436" t="s">
        <v>18</v>
      </c>
      <c r="D33" s="436"/>
      <c r="E33" s="436"/>
      <c r="F33" s="436"/>
      <c r="G33" s="436"/>
      <c r="H33" s="436"/>
      <c r="I33" s="436"/>
      <c r="J33" s="513" t="s">
        <v>30</v>
      </c>
      <c r="K33" s="514"/>
      <c r="L33" s="515"/>
      <c r="M33" s="513" t="s">
        <v>30</v>
      </c>
      <c r="N33" s="514"/>
      <c r="O33" s="515"/>
      <c r="P33" s="516" t="s">
        <v>30</v>
      </c>
      <c r="Q33" s="516"/>
      <c r="R33" s="516"/>
      <c r="S33" s="301"/>
      <c r="T33" s="301"/>
      <c r="U33" s="302"/>
      <c r="V33" s="301"/>
      <c r="W33" s="301"/>
      <c r="X33" s="263"/>
      <c r="Y33" s="263"/>
      <c r="Z33" s="263"/>
      <c r="AA33" s="263"/>
    </row>
    <row r="34" spans="1:27" s="24" customFormat="1" ht="17.100000000000001" customHeight="1" x14ac:dyDescent="0.25">
      <c r="A34" s="263"/>
      <c r="B34" s="300">
        <v>2</v>
      </c>
      <c r="C34" s="436" t="s">
        <v>19</v>
      </c>
      <c r="D34" s="436"/>
      <c r="E34" s="436"/>
      <c r="F34" s="436"/>
      <c r="G34" s="436"/>
      <c r="H34" s="436"/>
      <c r="I34" s="436"/>
      <c r="J34" s="513" t="s">
        <v>30</v>
      </c>
      <c r="K34" s="514"/>
      <c r="L34" s="515"/>
      <c r="M34" s="513" t="s">
        <v>30</v>
      </c>
      <c r="N34" s="514"/>
      <c r="O34" s="515"/>
      <c r="P34" s="516" t="s">
        <v>30</v>
      </c>
      <c r="Q34" s="516"/>
      <c r="R34" s="516"/>
      <c r="S34" s="301"/>
      <c r="T34" s="301"/>
      <c r="U34" s="302"/>
      <c r="V34" s="301"/>
      <c r="W34" s="301"/>
      <c r="X34" s="263"/>
      <c r="Y34" s="263"/>
      <c r="Z34" s="263"/>
      <c r="AA34" s="263"/>
    </row>
    <row r="35" spans="1:27" s="24" customFormat="1" ht="17.100000000000001" customHeight="1" x14ac:dyDescent="0.25">
      <c r="A35" s="263"/>
      <c r="B35" s="300">
        <v>3</v>
      </c>
      <c r="C35" s="517" t="s">
        <v>119</v>
      </c>
      <c r="D35" s="517"/>
      <c r="E35" s="517"/>
      <c r="F35" s="517"/>
      <c r="G35" s="517"/>
      <c r="H35" s="517"/>
      <c r="I35" s="517"/>
      <c r="J35" s="513" t="s">
        <v>30</v>
      </c>
      <c r="K35" s="514"/>
      <c r="L35" s="515"/>
      <c r="M35" s="513" t="s">
        <v>30</v>
      </c>
      <c r="N35" s="514"/>
      <c r="O35" s="515"/>
      <c r="P35" s="516" t="s">
        <v>30</v>
      </c>
      <c r="Q35" s="516"/>
      <c r="R35" s="516"/>
      <c r="S35" s="301"/>
      <c r="T35" s="301"/>
      <c r="U35" s="302"/>
      <c r="V35" s="301"/>
      <c r="W35" s="301"/>
      <c r="X35" s="263"/>
      <c r="Y35" s="263"/>
      <c r="Z35" s="263"/>
      <c r="AA35" s="263"/>
    </row>
    <row r="36" spans="1:27" s="24" customFormat="1" ht="17.100000000000001" customHeight="1" x14ac:dyDescent="0.25">
      <c r="A36" s="263"/>
      <c r="B36" s="300">
        <v>4</v>
      </c>
      <c r="C36" s="436" t="s">
        <v>20</v>
      </c>
      <c r="D36" s="436"/>
      <c r="E36" s="436"/>
      <c r="F36" s="436"/>
      <c r="G36" s="436"/>
      <c r="H36" s="436"/>
      <c r="I36" s="436"/>
      <c r="J36" s="513" t="s">
        <v>30</v>
      </c>
      <c r="K36" s="514"/>
      <c r="L36" s="515"/>
      <c r="M36" s="513" t="s">
        <v>30</v>
      </c>
      <c r="N36" s="514"/>
      <c r="O36" s="515"/>
      <c r="P36" s="516" t="s">
        <v>30</v>
      </c>
      <c r="Q36" s="516"/>
      <c r="R36" s="516"/>
      <c r="S36" s="301"/>
      <c r="T36" s="301"/>
      <c r="U36" s="302"/>
      <c r="V36" s="263"/>
      <c r="W36" s="263"/>
      <c r="X36" s="263"/>
      <c r="Y36" s="263"/>
      <c r="Z36" s="263"/>
      <c r="AA36" s="263"/>
    </row>
    <row r="37" spans="1:27" s="24" customFormat="1" ht="17.100000000000001" customHeight="1" x14ac:dyDescent="0.25">
      <c r="A37" s="263"/>
      <c r="B37" s="300">
        <v>5</v>
      </c>
      <c r="C37" s="436" t="s">
        <v>21</v>
      </c>
      <c r="D37" s="436"/>
      <c r="E37" s="436"/>
      <c r="F37" s="436"/>
      <c r="G37" s="436"/>
      <c r="H37" s="436"/>
      <c r="I37" s="436"/>
      <c r="J37" s="513" t="s">
        <v>30</v>
      </c>
      <c r="K37" s="514"/>
      <c r="L37" s="515"/>
      <c r="M37" s="513" t="s">
        <v>30</v>
      </c>
      <c r="N37" s="514"/>
      <c r="O37" s="515"/>
      <c r="P37" s="516" t="s">
        <v>30</v>
      </c>
      <c r="Q37" s="516"/>
      <c r="R37" s="516"/>
      <c r="S37" s="301"/>
      <c r="T37" s="301"/>
      <c r="U37" s="302"/>
      <c r="V37" s="263"/>
      <c r="W37" s="263"/>
      <c r="X37" s="263"/>
      <c r="Y37" s="263"/>
      <c r="Z37" s="263"/>
      <c r="AA37" s="263"/>
    </row>
    <row r="38" spans="1:27" s="24" customFormat="1" ht="17.100000000000001" customHeight="1" x14ac:dyDescent="0.25">
      <c r="A38" s="263"/>
      <c r="B38" s="300">
        <v>6</v>
      </c>
      <c r="C38" s="517" t="s">
        <v>120</v>
      </c>
      <c r="D38" s="517"/>
      <c r="E38" s="517"/>
      <c r="F38" s="517"/>
      <c r="G38" s="517"/>
      <c r="H38" s="517"/>
      <c r="I38" s="517"/>
      <c r="J38" s="513" t="s">
        <v>30</v>
      </c>
      <c r="K38" s="514"/>
      <c r="L38" s="515"/>
      <c r="M38" s="513" t="s">
        <v>30</v>
      </c>
      <c r="N38" s="514"/>
      <c r="O38" s="515"/>
      <c r="P38" s="516" t="s">
        <v>30</v>
      </c>
      <c r="Q38" s="516"/>
      <c r="R38" s="516"/>
      <c r="S38" s="301"/>
      <c r="T38" s="301"/>
      <c r="U38" s="302"/>
      <c r="V38" s="263"/>
      <c r="W38" s="263"/>
      <c r="X38" s="263"/>
      <c r="Y38" s="263"/>
      <c r="Z38" s="263"/>
      <c r="AA38" s="263"/>
    </row>
    <row r="39" spans="1:27" s="24" customFormat="1" ht="35.1" customHeight="1" x14ac:dyDescent="0.25">
      <c r="A39" s="263"/>
      <c r="B39" s="300">
        <v>7</v>
      </c>
      <c r="C39" s="436" t="s">
        <v>22</v>
      </c>
      <c r="D39" s="436"/>
      <c r="E39" s="436"/>
      <c r="F39" s="436"/>
      <c r="G39" s="436"/>
      <c r="H39" s="436"/>
      <c r="I39" s="436"/>
      <c r="J39" s="518" t="s">
        <v>121</v>
      </c>
      <c r="K39" s="519"/>
      <c r="L39" s="520"/>
      <c r="M39" s="518" t="s">
        <v>122</v>
      </c>
      <c r="N39" s="519"/>
      <c r="O39" s="520"/>
      <c r="P39" s="521" t="s">
        <v>122</v>
      </c>
      <c r="Q39" s="521"/>
      <c r="R39" s="521"/>
      <c r="S39" s="301"/>
      <c r="T39" s="301"/>
      <c r="U39" s="302"/>
      <c r="V39" s="263"/>
      <c r="W39" s="263"/>
      <c r="X39" s="263"/>
      <c r="Y39" s="263"/>
      <c r="Z39" s="263"/>
      <c r="AA39" s="263"/>
    </row>
    <row r="40" spans="1:27" s="24" customFormat="1" ht="35.1" customHeight="1" x14ac:dyDescent="0.25">
      <c r="A40" s="263"/>
      <c r="B40" s="300">
        <v>8</v>
      </c>
      <c r="C40" s="436" t="s">
        <v>23</v>
      </c>
      <c r="D40" s="436"/>
      <c r="E40" s="436"/>
      <c r="F40" s="436"/>
      <c r="G40" s="436"/>
      <c r="H40" s="436"/>
      <c r="I40" s="436"/>
      <c r="J40" s="437" t="s">
        <v>31</v>
      </c>
      <c r="K40" s="438"/>
      <c r="L40" s="439"/>
      <c r="M40" s="518" t="s">
        <v>123</v>
      </c>
      <c r="N40" s="519"/>
      <c r="O40" s="520"/>
      <c r="P40" s="521" t="s">
        <v>123</v>
      </c>
      <c r="Q40" s="521"/>
      <c r="R40" s="521"/>
      <c r="S40" s="301"/>
      <c r="T40" s="301"/>
      <c r="U40" s="302"/>
      <c r="V40" s="263"/>
      <c r="W40" s="263"/>
      <c r="X40" s="263"/>
      <c r="Y40" s="263"/>
      <c r="Z40" s="263"/>
      <c r="AA40" s="263"/>
    </row>
    <row r="41" spans="1:27" s="24" customFormat="1" ht="17.100000000000001" customHeight="1" x14ac:dyDescent="0.25">
      <c r="A41" s="263"/>
      <c r="B41" s="300">
        <v>9</v>
      </c>
      <c r="C41" s="436" t="s">
        <v>24</v>
      </c>
      <c r="D41" s="436"/>
      <c r="E41" s="436"/>
      <c r="F41" s="436"/>
      <c r="G41" s="436"/>
      <c r="H41" s="436"/>
      <c r="I41" s="436"/>
      <c r="J41" s="437" t="s">
        <v>31</v>
      </c>
      <c r="K41" s="438"/>
      <c r="L41" s="439"/>
      <c r="M41" s="437" t="s">
        <v>31</v>
      </c>
      <c r="N41" s="438"/>
      <c r="O41" s="439"/>
      <c r="P41" s="435" t="s">
        <v>31</v>
      </c>
      <c r="Q41" s="435"/>
      <c r="R41" s="435"/>
      <c r="S41" s="301"/>
      <c r="T41" s="301"/>
      <c r="U41" s="302"/>
      <c r="V41" s="263"/>
      <c r="W41" s="263"/>
      <c r="X41" s="263"/>
      <c r="Y41" s="263"/>
      <c r="Z41" s="263"/>
      <c r="AA41" s="263"/>
    </row>
    <row r="42" spans="1:27" s="24" customFormat="1" ht="17.100000000000001" customHeight="1" x14ac:dyDescent="0.25">
      <c r="A42" s="263"/>
      <c r="B42" s="300">
        <v>10</v>
      </c>
      <c r="C42" s="436" t="s">
        <v>25</v>
      </c>
      <c r="D42" s="436"/>
      <c r="E42" s="436"/>
      <c r="F42" s="436"/>
      <c r="G42" s="436"/>
      <c r="H42" s="436"/>
      <c r="I42" s="436"/>
      <c r="J42" s="437" t="s">
        <v>31</v>
      </c>
      <c r="K42" s="438"/>
      <c r="L42" s="439"/>
      <c r="M42" s="437" t="s">
        <v>31</v>
      </c>
      <c r="N42" s="438"/>
      <c r="O42" s="439"/>
      <c r="P42" s="435" t="s">
        <v>31</v>
      </c>
      <c r="Q42" s="435"/>
      <c r="R42" s="435"/>
      <c r="S42" s="301"/>
      <c r="T42" s="301"/>
      <c r="U42" s="302"/>
      <c r="V42" s="263"/>
      <c r="W42" s="263"/>
      <c r="X42" s="263"/>
      <c r="Y42" s="263"/>
      <c r="Z42" s="263"/>
      <c r="AA42" s="263"/>
    </row>
    <row r="43" spans="1:27" s="24" customFormat="1" ht="17.100000000000001" customHeight="1" x14ac:dyDescent="0.25">
      <c r="A43" s="263"/>
      <c r="B43" s="300">
        <v>11</v>
      </c>
      <c r="C43" s="436" t="s">
        <v>26</v>
      </c>
      <c r="D43" s="436"/>
      <c r="E43" s="436"/>
      <c r="F43" s="436"/>
      <c r="G43" s="436"/>
      <c r="H43" s="436"/>
      <c r="I43" s="436"/>
      <c r="J43" s="437" t="s">
        <v>31</v>
      </c>
      <c r="K43" s="438"/>
      <c r="L43" s="439"/>
      <c r="M43" s="437" t="s">
        <v>31</v>
      </c>
      <c r="N43" s="438"/>
      <c r="O43" s="439"/>
      <c r="P43" s="435" t="s">
        <v>31</v>
      </c>
      <c r="Q43" s="435"/>
      <c r="R43" s="435"/>
      <c r="S43" s="301"/>
      <c r="T43" s="301"/>
      <c r="U43" s="302"/>
      <c r="V43" s="263"/>
      <c r="W43" s="263"/>
      <c r="X43" s="263"/>
      <c r="Y43" s="263"/>
      <c r="Z43" s="263"/>
      <c r="AA43" s="263"/>
    </row>
    <row r="44" spans="1:27" s="24" customFormat="1" ht="17.100000000000001" customHeight="1" x14ac:dyDescent="0.25">
      <c r="A44" s="263"/>
      <c r="B44" s="300">
        <v>12</v>
      </c>
      <c r="C44" s="436" t="s">
        <v>27</v>
      </c>
      <c r="D44" s="436"/>
      <c r="E44" s="436"/>
      <c r="F44" s="436"/>
      <c r="G44" s="436"/>
      <c r="H44" s="436"/>
      <c r="I44" s="436"/>
      <c r="J44" s="437" t="s">
        <v>31</v>
      </c>
      <c r="K44" s="438"/>
      <c r="L44" s="439"/>
      <c r="M44" s="437" t="s">
        <v>31</v>
      </c>
      <c r="N44" s="438"/>
      <c r="O44" s="439"/>
      <c r="P44" s="435" t="s">
        <v>31</v>
      </c>
      <c r="Q44" s="435"/>
      <c r="R44" s="435"/>
      <c r="S44" s="301"/>
      <c r="T44" s="301"/>
      <c r="U44" s="302"/>
      <c r="V44" s="263"/>
      <c r="W44" s="263"/>
      <c r="X44" s="263"/>
      <c r="Y44" s="263"/>
      <c r="Z44" s="263"/>
      <c r="AA44" s="263"/>
    </row>
    <row r="45" spans="1:27" s="24" customFormat="1" ht="17.100000000000001" customHeight="1" x14ac:dyDescent="0.25">
      <c r="A45" s="263"/>
      <c r="B45" s="300">
        <v>13</v>
      </c>
      <c r="C45" s="436" t="s">
        <v>28</v>
      </c>
      <c r="D45" s="436"/>
      <c r="E45" s="436"/>
      <c r="F45" s="436"/>
      <c r="G45" s="436"/>
      <c r="H45" s="436"/>
      <c r="I45" s="436"/>
      <c r="J45" s="437" t="s">
        <v>32</v>
      </c>
      <c r="K45" s="438"/>
      <c r="L45" s="439"/>
      <c r="M45" s="437" t="s">
        <v>32</v>
      </c>
      <c r="N45" s="438"/>
      <c r="O45" s="439"/>
      <c r="P45" s="435" t="s">
        <v>32</v>
      </c>
      <c r="Q45" s="435"/>
      <c r="R45" s="435"/>
      <c r="S45" s="301"/>
      <c r="T45" s="301"/>
      <c r="U45" s="302"/>
      <c r="V45" s="263"/>
      <c r="W45" s="263"/>
      <c r="X45" s="263"/>
      <c r="Y45" s="263"/>
      <c r="Z45" s="263"/>
      <c r="AA45" s="263"/>
    </row>
    <row r="46" spans="1:27" s="24" customFormat="1" ht="17.100000000000001" customHeight="1" x14ac:dyDescent="0.25">
      <c r="A46" s="263"/>
      <c r="B46" s="300">
        <v>14</v>
      </c>
      <c r="C46" s="436" t="s">
        <v>29</v>
      </c>
      <c r="D46" s="436"/>
      <c r="E46" s="436"/>
      <c r="F46" s="436"/>
      <c r="G46" s="436"/>
      <c r="H46" s="436"/>
      <c r="I46" s="436"/>
      <c r="J46" s="437" t="s">
        <v>31</v>
      </c>
      <c r="K46" s="438"/>
      <c r="L46" s="439"/>
      <c r="M46" s="437" t="s">
        <v>31</v>
      </c>
      <c r="N46" s="438"/>
      <c r="O46" s="439"/>
      <c r="P46" s="435" t="s">
        <v>31</v>
      </c>
      <c r="Q46" s="435"/>
      <c r="R46" s="435"/>
      <c r="S46" s="301"/>
      <c r="T46" s="301"/>
      <c r="U46" s="302"/>
      <c r="V46" s="263"/>
      <c r="W46" s="263"/>
      <c r="X46" s="263"/>
      <c r="Y46" s="263"/>
      <c r="Z46" s="263"/>
      <c r="AA46" s="263"/>
    </row>
    <row r="47" spans="1:27" ht="24.95" customHeight="1" x14ac:dyDescent="0.25">
      <c r="A47" s="254"/>
      <c r="B47" s="296" t="s">
        <v>151</v>
      </c>
      <c r="C47" s="285"/>
      <c r="D47" s="285"/>
      <c r="E47" s="285"/>
      <c r="F47" s="285"/>
      <c r="G47" s="271"/>
      <c r="H47" s="271"/>
      <c r="I47" s="271"/>
      <c r="J47" s="271"/>
      <c r="K47" s="271"/>
      <c r="L47" s="271"/>
      <c r="M47" s="271"/>
      <c r="N47" s="271"/>
      <c r="O47" s="271"/>
      <c r="P47" s="266"/>
      <c r="Q47" s="266"/>
      <c r="R47" s="266"/>
      <c r="S47" s="266"/>
      <c r="T47" s="266"/>
      <c r="U47" s="267"/>
      <c r="V47" s="254"/>
      <c r="W47" s="254"/>
      <c r="X47" s="254"/>
      <c r="Y47" s="254"/>
      <c r="Z47" s="254"/>
      <c r="AA47" s="254"/>
    </row>
    <row r="48" spans="1:27" s="25" customFormat="1" ht="17.100000000000001" customHeight="1" x14ac:dyDescent="0.25">
      <c r="A48" s="264"/>
      <c r="B48" s="502" t="s">
        <v>50</v>
      </c>
      <c r="C48" s="502"/>
      <c r="D48" s="502" t="s">
        <v>94</v>
      </c>
      <c r="E48" s="502"/>
      <c r="F48" s="502"/>
      <c r="G48" s="502"/>
      <c r="H48" s="522" t="s">
        <v>99</v>
      </c>
      <c r="I48" s="522"/>
      <c r="J48" s="522"/>
      <c r="K48" s="522" t="s">
        <v>100</v>
      </c>
      <c r="L48" s="522"/>
      <c r="M48" s="522"/>
      <c r="N48" s="522"/>
      <c r="O48" s="522"/>
      <c r="P48" s="303"/>
      <c r="Q48" s="303"/>
      <c r="R48" s="303"/>
      <c r="S48" s="303"/>
      <c r="T48" s="303"/>
      <c r="U48" s="304"/>
      <c r="V48" s="264"/>
      <c r="W48" s="264"/>
      <c r="X48" s="264"/>
      <c r="Y48" s="264"/>
      <c r="Z48" s="264"/>
      <c r="AA48" s="264"/>
    </row>
    <row r="49" spans="1:27" s="11" customFormat="1" ht="17.100000000000001" customHeight="1" x14ac:dyDescent="0.25">
      <c r="A49" s="265"/>
      <c r="B49" s="523" t="s">
        <v>95</v>
      </c>
      <c r="C49" s="523"/>
      <c r="D49" s="523" t="s">
        <v>97</v>
      </c>
      <c r="E49" s="523"/>
      <c r="F49" s="523"/>
      <c r="G49" s="523"/>
      <c r="H49" s="524" t="s">
        <v>97</v>
      </c>
      <c r="I49" s="524"/>
      <c r="J49" s="524"/>
      <c r="K49" s="524" t="s">
        <v>101</v>
      </c>
      <c r="L49" s="524"/>
      <c r="M49" s="524"/>
      <c r="N49" s="524"/>
      <c r="O49" s="524"/>
      <c r="P49" s="305"/>
      <c r="Q49" s="305"/>
      <c r="R49" s="305"/>
      <c r="S49" s="305"/>
      <c r="T49" s="305"/>
      <c r="U49" s="306"/>
      <c r="V49" s="265"/>
      <c r="W49" s="265"/>
      <c r="X49" s="265"/>
      <c r="Y49" s="265"/>
      <c r="Z49" s="265"/>
      <c r="AA49" s="265"/>
    </row>
    <row r="50" spans="1:27" s="11" customFormat="1" ht="17.100000000000001" customHeight="1" x14ac:dyDescent="0.25">
      <c r="A50" s="265"/>
      <c r="B50" s="523" t="s">
        <v>96</v>
      </c>
      <c r="C50" s="523"/>
      <c r="D50" s="523" t="s">
        <v>98</v>
      </c>
      <c r="E50" s="523"/>
      <c r="F50" s="523"/>
      <c r="G50" s="523"/>
      <c r="H50" s="524" t="s">
        <v>97</v>
      </c>
      <c r="I50" s="524"/>
      <c r="J50" s="524"/>
      <c r="K50" s="524" t="s">
        <v>97</v>
      </c>
      <c r="L50" s="524"/>
      <c r="M50" s="524"/>
      <c r="N50" s="524"/>
      <c r="O50" s="524"/>
      <c r="P50" s="305"/>
      <c r="Q50" s="305"/>
      <c r="R50" s="305"/>
      <c r="S50" s="305"/>
      <c r="T50" s="305"/>
      <c r="U50" s="306"/>
      <c r="V50" s="265"/>
      <c r="W50" s="265"/>
      <c r="X50" s="265"/>
      <c r="Y50" s="265"/>
      <c r="Z50" s="265"/>
      <c r="AA50" s="265"/>
    </row>
    <row r="51" spans="1:27" s="24" customFormat="1" ht="15" customHeight="1" x14ac:dyDescent="0.25">
      <c r="A51" s="263"/>
      <c r="B51" s="307"/>
      <c r="C51" s="308"/>
      <c r="D51" s="308"/>
      <c r="E51" s="308"/>
      <c r="F51" s="308"/>
      <c r="G51" s="308"/>
      <c r="H51" s="308"/>
      <c r="I51" s="308"/>
      <c r="J51" s="309"/>
      <c r="K51" s="309"/>
      <c r="L51" s="309"/>
      <c r="M51" s="309"/>
      <c r="N51" s="309"/>
      <c r="O51" s="309"/>
      <c r="P51" s="301"/>
      <c r="Q51" s="301"/>
      <c r="R51" s="301"/>
      <c r="S51" s="301"/>
      <c r="T51" s="301"/>
      <c r="U51" s="302"/>
      <c r="V51" s="263"/>
      <c r="W51" s="263"/>
      <c r="X51" s="263"/>
      <c r="Y51" s="263"/>
      <c r="Z51" s="263"/>
      <c r="AA51" s="263"/>
    </row>
    <row r="52" spans="1:27" ht="20.100000000000001" customHeight="1" x14ac:dyDescent="0.25">
      <c r="A52" s="254"/>
      <c r="B52" s="272" t="s">
        <v>72</v>
      </c>
      <c r="C52" s="266"/>
      <c r="D52" s="266"/>
      <c r="E52" s="266"/>
      <c r="F52" s="266"/>
      <c r="G52" s="266"/>
      <c r="H52" s="266"/>
      <c r="I52" s="266"/>
      <c r="J52" s="266"/>
      <c r="K52" s="266"/>
      <c r="L52" s="266"/>
      <c r="M52" s="266"/>
      <c r="N52" s="266"/>
      <c r="O52" s="266"/>
      <c r="P52" s="266"/>
      <c r="Q52" s="266"/>
      <c r="R52" s="266"/>
      <c r="S52" s="266"/>
      <c r="T52" s="266"/>
      <c r="U52" s="267"/>
      <c r="V52" s="254"/>
      <c r="W52" s="254"/>
      <c r="X52" s="254"/>
      <c r="Y52" s="254"/>
      <c r="Z52" s="254"/>
      <c r="AA52" s="254"/>
    </row>
    <row r="53" spans="1:27" s="23" customFormat="1" ht="20.100000000000001" customHeight="1" x14ac:dyDescent="0.25">
      <c r="A53" s="255"/>
      <c r="B53" s="479" t="s">
        <v>1</v>
      </c>
      <c r="C53" s="481" t="s">
        <v>51</v>
      </c>
      <c r="D53" s="506"/>
      <c r="E53" s="506"/>
      <c r="F53" s="482"/>
      <c r="G53" s="481" t="s">
        <v>52</v>
      </c>
      <c r="H53" s="506"/>
      <c r="I53" s="506"/>
      <c r="J53" s="506"/>
      <c r="K53" s="482"/>
      <c r="L53" s="530" t="s">
        <v>118</v>
      </c>
      <c r="M53" s="530"/>
      <c r="N53" s="530"/>
      <c r="O53" s="530"/>
      <c r="P53" s="530"/>
      <c r="Q53" s="530"/>
      <c r="R53" s="530"/>
      <c r="S53" s="530"/>
      <c r="T53" s="270"/>
      <c r="U53" s="310"/>
      <c r="V53" s="255"/>
      <c r="W53" s="255"/>
      <c r="X53" s="255"/>
      <c r="Y53" s="255"/>
      <c r="Z53" s="255"/>
      <c r="AA53" s="255"/>
    </row>
    <row r="54" spans="1:27" s="23" customFormat="1" ht="20.100000000000001" customHeight="1" thickBot="1" x14ac:dyDescent="0.3">
      <c r="A54" s="255"/>
      <c r="B54" s="480"/>
      <c r="C54" s="483"/>
      <c r="D54" s="507"/>
      <c r="E54" s="507"/>
      <c r="F54" s="484"/>
      <c r="G54" s="483"/>
      <c r="H54" s="507"/>
      <c r="I54" s="507"/>
      <c r="J54" s="507"/>
      <c r="K54" s="484"/>
      <c r="L54" s="475" t="s">
        <v>76</v>
      </c>
      <c r="M54" s="475"/>
      <c r="N54" s="475" t="s">
        <v>77</v>
      </c>
      <c r="O54" s="475"/>
      <c r="P54" s="475" t="s">
        <v>78</v>
      </c>
      <c r="Q54" s="475"/>
      <c r="R54" s="475" t="s">
        <v>113</v>
      </c>
      <c r="S54" s="475"/>
      <c r="T54" s="270"/>
      <c r="U54" s="310"/>
      <c r="V54" s="255"/>
      <c r="W54" s="255"/>
      <c r="X54" s="255"/>
      <c r="Y54" s="255"/>
      <c r="Z54" s="255"/>
      <c r="AA54" s="255"/>
    </row>
    <row r="55" spans="1:27" ht="24.95" customHeight="1" thickTop="1" x14ac:dyDescent="0.25">
      <c r="A55" s="254"/>
      <c r="B55" s="287">
        <v>1</v>
      </c>
      <c r="C55" s="525" t="s">
        <v>242</v>
      </c>
      <c r="D55" s="526"/>
      <c r="E55" s="526"/>
      <c r="F55" s="527"/>
      <c r="G55" s="528" t="s">
        <v>244</v>
      </c>
      <c r="H55" s="528"/>
      <c r="I55" s="528"/>
      <c r="J55" s="528"/>
      <c r="K55" s="528"/>
      <c r="L55" s="529" t="s">
        <v>79</v>
      </c>
      <c r="M55" s="529"/>
      <c r="N55" s="529" t="s">
        <v>220</v>
      </c>
      <c r="O55" s="529"/>
      <c r="P55" s="529" t="s">
        <v>79</v>
      </c>
      <c r="Q55" s="529"/>
      <c r="R55" s="529" t="s">
        <v>79</v>
      </c>
      <c r="S55" s="529"/>
      <c r="T55" s="266"/>
      <c r="U55" s="267"/>
      <c r="V55" s="254"/>
      <c r="W55" s="254"/>
      <c r="X55" s="254"/>
      <c r="Y55" s="254"/>
      <c r="Z55" s="254"/>
      <c r="AA55" s="254"/>
    </row>
    <row r="56" spans="1:27" ht="24.95" customHeight="1" x14ac:dyDescent="0.25">
      <c r="A56" s="254"/>
      <c r="B56" s="273">
        <v>2</v>
      </c>
      <c r="C56" s="532" t="s">
        <v>243</v>
      </c>
      <c r="D56" s="533"/>
      <c r="E56" s="533"/>
      <c r="F56" s="534"/>
      <c r="G56" s="535" t="s">
        <v>245</v>
      </c>
      <c r="H56" s="535"/>
      <c r="I56" s="535"/>
      <c r="J56" s="535"/>
      <c r="K56" s="535"/>
      <c r="L56" s="536"/>
      <c r="M56" s="536"/>
      <c r="N56" s="536"/>
      <c r="O56" s="536"/>
      <c r="P56" s="536"/>
      <c r="Q56" s="536"/>
      <c r="R56" s="536"/>
      <c r="S56" s="536"/>
      <c r="T56" s="266"/>
      <c r="U56" s="267"/>
      <c r="V56" s="254"/>
      <c r="W56" s="254"/>
      <c r="X56" s="254"/>
      <c r="Y56" s="254"/>
      <c r="Z56" s="254"/>
      <c r="AA56" s="254"/>
    </row>
    <row r="57" spans="1:27" ht="24.95" customHeight="1" x14ac:dyDescent="0.25">
      <c r="A57" s="254"/>
      <c r="B57" s="273">
        <v>3</v>
      </c>
      <c r="C57" s="532"/>
      <c r="D57" s="533"/>
      <c r="E57" s="533"/>
      <c r="F57" s="534"/>
      <c r="G57" s="543"/>
      <c r="H57" s="543"/>
      <c r="I57" s="543"/>
      <c r="J57" s="543"/>
      <c r="K57" s="543"/>
      <c r="L57" s="531"/>
      <c r="M57" s="531"/>
      <c r="N57" s="531"/>
      <c r="O57" s="531"/>
      <c r="P57" s="531"/>
      <c r="Q57" s="531"/>
      <c r="R57" s="531"/>
      <c r="S57" s="531"/>
      <c r="T57" s="266"/>
      <c r="U57" s="267"/>
      <c r="V57" s="254"/>
      <c r="W57" s="254"/>
      <c r="X57" s="254"/>
      <c r="Y57" s="254"/>
      <c r="Z57" s="254"/>
      <c r="AA57" s="254"/>
    </row>
    <row r="58" spans="1:27" ht="24.95" customHeight="1" x14ac:dyDescent="0.25">
      <c r="A58" s="254"/>
      <c r="B58" s="296" t="s">
        <v>152</v>
      </c>
      <c r="C58" s="266"/>
      <c r="D58" s="266"/>
      <c r="E58" s="266"/>
      <c r="F58" s="266"/>
      <c r="G58" s="266"/>
      <c r="H58" s="266"/>
      <c r="I58" s="266"/>
      <c r="J58" s="266"/>
      <c r="K58" s="266"/>
      <c r="L58" s="266"/>
      <c r="M58" s="266"/>
      <c r="N58" s="266"/>
      <c r="O58" s="266"/>
      <c r="P58" s="266"/>
      <c r="Q58" s="266"/>
      <c r="R58" s="266"/>
      <c r="S58" s="266"/>
      <c r="T58" s="266"/>
      <c r="U58" s="267"/>
      <c r="V58" s="254"/>
      <c r="W58" s="254"/>
      <c r="X58" s="254"/>
      <c r="Y58" s="254"/>
      <c r="Z58" s="254"/>
      <c r="AA58" s="254"/>
    </row>
    <row r="59" spans="1:27" s="24" customFormat="1" ht="20.100000000000001" customHeight="1" x14ac:dyDescent="0.25">
      <c r="A59" s="263"/>
      <c r="B59" s="503" t="s">
        <v>83</v>
      </c>
      <c r="C59" s="505"/>
      <c r="D59" s="503" t="s">
        <v>82</v>
      </c>
      <c r="E59" s="504"/>
      <c r="F59" s="504"/>
      <c r="G59" s="505"/>
      <c r="H59" s="502" t="s">
        <v>112</v>
      </c>
      <c r="I59" s="502"/>
      <c r="J59" s="502"/>
      <c r="K59" s="502"/>
      <c r="L59" s="309"/>
      <c r="M59" s="309"/>
      <c r="N59" s="309"/>
      <c r="O59" s="309"/>
      <c r="P59" s="309"/>
      <c r="Q59" s="309"/>
      <c r="R59" s="301"/>
      <c r="S59" s="301"/>
      <c r="T59" s="301"/>
      <c r="U59" s="302"/>
      <c r="V59" s="263"/>
      <c r="W59" s="263"/>
      <c r="X59" s="263"/>
      <c r="Y59" s="263"/>
      <c r="Z59" s="263"/>
      <c r="AA59" s="263"/>
    </row>
    <row r="60" spans="1:27" s="24" customFormat="1" ht="17.100000000000001" customHeight="1" x14ac:dyDescent="0.25">
      <c r="A60" s="263"/>
      <c r="B60" s="537" t="s">
        <v>84</v>
      </c>
      <c r="C60" s="538"/>
      <c r="D60" s="539" t="s">
        <v>91</v>
      </c>
      <c r="E60" s="540"/>
      <c r="F60" s="540"/>
      <c r="G60" s="541"/>
      <c r="H60" s="542" t="s">
        <v>117</v>
      </c>
      <c r="I60" s="542"/>
      <c r="J60" s="542"/>
      <c r="K60" s="542"/>
      <c r="L60" s="309"/>
      <c r="M60" s="309"/>
      <c r="N60" s="309"/>
      <c r="O60" s="547" t="s">
        <v>115</v>
      </c>
      <c r="P60" s="548"/>
      <c r="Q60" s="549"/>
      <c r="R60" s="301"/>
      <c r="S60" s="301"/>
      <c r="T60" s="301"/>
      <c r="U60" s="302"/>
      <c r="V60" s="263"/>
      <c r="W60" s="263"/>
      <c r="X60" s="263"/>
      <c r="Y60" s="263"/>
      <c r="Z60" s="263"/>
      <c r="AA60" s="263"/>
    </row>
    <row r="61" spans="1:27" s="24" customFormat="1" ht="17.100000000000001" customHeight="1" x14ac:dyDescent="0.2">
      <c r="A61" s="263"/>
      <c r="B61" s="537" t="s">
        <v>85</v>
      </c>
      <c r="C61" s="538"/>
      <c r="D61" s="539" t="s">
        <v>91</v>
      </c>
      <c r="E61" s="540"/>
      <c r="F61" s="540"/>
      <c r="G61" s="541"/>
      <c r="H61" s="542"/>
      <c r="I61" s="542"/>
      <c r="J61" s="542"/>
      <c r="K61" s="542"/>
      <c r="L61" s="309"/>
      <c r="M61" s="309"/>
      <c r="N61" s="309"/>
      <c r="O61" s="550"/>
      <c r="P61" s="551"/>
      <c r="Q61" s="552"/>
      <c r="R61" s="301"/>
      <c r="S61" s="301"/>
      <c r="T61" s="301"/>
      <c r="U61" s="302"/>
      <c r="V61" s="263"/>
      <c r="W61" s="263"/>
      <c r="X61" s="263"/>
      <c r="Y61" s="263"/>
      <c r="Z61" s="263"/>
      <c r="AA61" s="263"/>
    </row>
    <row r="62" spans="1:27" s="24" customFormat="1" ht="17.100000000000001" customHeight="1" x14ac:dyDescent="0.25">
      <c r="A62" s="263"/>
      <c r="B62" s="537" t="s">
        <v>86</v>
      </c>
      <c r="C62" s="538"/>
      <c r="D62" s="539" t="s">
        <v>91</v>
      </c>
      <c r="E62" s="540"/>
      <c r="F62" s="540"/>
      <c r="G62" s="541"/>
      <c r="H62" s="542"/>
      <c r="I62" s="542"/>
      <c r="J62" s="542"/>
      <c r="K62" s="542"/>
      <c r="L62" s="309"/>
      <c r="M62" s="309"/>
      <c r="N62" s="309"/>
      <c r="O62" s="553" t="s">
        <v>246</v>
      </c>
      <c r="P62" s="554"/>
      <c r="Q62" s="555"/>
      <c r="R62" s="301"/>
      <c r="S62" s="301"/>
      <c r="T62" s="301"/>
      <c r="U62" s="302"/>
      <c r="V62" s="263"/>
      <c r="W62" s="263"/>
      <c r="X62" s="263"/>
      <c r="Y62" s="263"/>
      <c r="Z62" s="263"/>
      <c r="AA62" s="263"/>
    </row>
    <row r="63" spans="1:27" s="24" customFormat="1" ht="17.100000000000001" customHeight="1" x14ac:dyDescent="0.2">
      <c r="A63" s="263"/>
      <c r="B63" s="537" t="s">
        <v>87</v>
      </c>
      <c r="C63" s="538"/>
      <c r="D63" s="539" t="s">
        <v>92</v>
      </c>
      <c r="E63" s="540"/>
      <c r="F63" s="540"/>
      <c r="G63" s="541"/>
      <c r="H63" s="542"/>
      <c r="I63" s="542"/>
      <c r="J63" s="542"/>
      <c r="K63" s="542"/>
      <c r="L63" s="309"/>
      <c r="M63" s="309"/>
      <c r="N63" s="309"/>
      <c r="O63" s="544"/>
      <c r="P63" s="545"/>
      <c r="Q63" s="546"/>
      <c r="R63" s="301"/>
      <c r="S63" s="301"/>
      <c r="T63" s="301"/>
      <c r="U63" s="302"/>
      <c r="V63" s="263"/>
      <c r="W63" s="263"/>
      <c r="X63" s="263"/>
      <c r="Y63" s="263"/>
      <c r="Z63" s="263"/>
      <c r="AA63" s="263"/>
    </row>
    <row r="64" spans="1:27" s="24" customFormat="1" ht="17.100000000000001" customHeight="1" x14ac:dyDescent="0.25">
      <c r="A64" s="263"/>
      <c r="B64" s="537" t="s">
        <v>88</v>
      </c>
      <c r="C64" s="538"/>
      <c r="D64" s="539" t="s">
        <v>92</v>
      </c>
      <c r="E64" s="540"/>
      <c r="F64" s="540"/>
      <c r="G64" s="541"/>
      <c r="H64" s="542"/>
      <c r="I64" s="542"/>
      <c r="J64" s="542"/>
      <c r="K64" s="542"/>
      <c r="L64" s="309"/>
      <c r="M64" s="309"/>
      <c r="N64" s="309"/>
      <c r="O64" s="311" t="s">
        <v>114</v>
      </c>
      <c r="P64" s="312" t="s">
        <v>247</v>
      </c>
      <c r="Q64" s="313"/>
      <c r="R64" s="301"/>
      <c r="S64" s="301"/>
      <c r="T64" s="301"/>
      <c r="U64" s="302"/>
      <c r="V64" s="263"/>
      <c r="W64" s="263"/>
      <c r="X64" s="263"/>
      <c r="Y64" s="263"/>
      <c r="Z64" s="263"/>
      <c r="AA64" s="263"/>
    </row>
    <row r="65" spans="1:27" s="24" customFormat="1" ht="17.100000000000001" customHeight="1" x14ac:dyDescent="0.25">
      <c r="A65" s="263"/>
      <c r="B65" s="537" t="s">
        <v>89</v>
      </c>
      <c r="C65" s="538"/>
      <c r="D65" s="539" t="s">
        <v>93</v>
      </c>
      <c r="E65" s="540"/>
      <c r="F65" s="540"/>
      <c r="G65" s="541"/>
      <c r="H65" s="542"/>
      <c r="I65" s="542"/>
      <c r="J65" s="542"/>
      <c r="K65" s="542"/>
      <c r="L65" s="309"/>
      <c r="M65" s="309"/>
      <c r="N65" s="309"/>
      <c r="O65" s="311" t="s">
        <v>155</v>
      </c>
      <c r="P65" s="314">
        <v>45616</v>
      </c>
      <c r="Q65" s="315"/>
      <c r="R65" s="301"/>
      <c r="S65" s="301"/>
      <c r="T65" s="301"/>
      <c r="U65" s="302"/>
      <c r="V65" s="263"/>
      <c r="W65" s="263"/>
      <c r="X65" s="263"/>
      <c r="Y65" s="263"/>
      <c r="Z65" s="263"/>
      <c r="AA65" s="263"/>
    </row>
    <row r="66" spans="1:27" s="24" customFormat="1" ht="17.100000000000001" customHeight="1" x14ac:dyDescent="0.25">
      <c r="A66" s="263"/>
      <c r="B66" s="537" t="s">
        <v>90</v>
      </c>
      <c r="C66" s="538"/>
      <c r="D66" s="539" t="s">
        <v>93</v>
      </c>
      <c r="E66" s="540"/>
      <c r="F66" s="540"/>
      <c r="G66" s="541"/>
      <c r="H66" s="542"/>
      <c r="I66" s="542"/>
      <c r="J66" s="542"/>
      <c r="K66" s="542"/>
      <c r="L66" s="309"/>
      <c r="M66" s="309"/>
      <c r="N66" s="309"/>
      <c r="O66" s="309"/>
      <c r="P66" s="309"/>
      <c r="Q66" s="301"/>
      <c r="R66" s="301"/>
      <c r="S66" s="301"/>
      <c r="T66" s="301"/>
      <c r="U66" s="302"/>
      <c r="V66" s="263"/>
      <c r="W66" s="263"/>
      <c r="X66" s="263"/>
      <c r="Y66" s="263"/>
      <c r="Z66" s="263"/>
      <c r="AA66" s="263"/>
    </row>
    <row r="67" spans="1:27" s="24" customFormat="1" ht="9.9499999999999993" customHeight="1" thickBot="1" x14ac:dyDescent="0.3">
      <c r="A67" s="263"/>
      <c r="B67" s="316"/>
      <c r="C67" s="317"/>
      <c r="D67" s="317"/>
      <c r="E67" s="317"/>
      <c r="F67" s="317"/>
      <c r="G67" s="318"/>
      <c r="H67" s="318"/>
      <c r="I67" s="318"/>
      <c r="J67" s="318"/>
      <c r="K67" s="318"/>
      <c r="L67" s="319"/>
      <c r="M67" s="319"/>
      <c r="N67" s="319"/>
      <c r="O67" s="319"/>
      <c r="P67" s="319"/>
      <c r="Q67" s="319"/>
      <c r="R67" s="320"/>
      <c r="S67" s="320"/>
      <c r="T67" s="320"/>
      <c r="U67" s="321"/>
      <c r="V67" s="263"/>
      <c r="W67" s="263"/>
      <c r="X67" s="263"/>
      <c r="Y67" s="263"/>
      <c r="Z67" s="263"/>
      <c r="AA67" s="263"/>
    </row>
    <row r="68" spans="1:27" s="12" customFormat="1" ht="17.100000000000001" customHeight="1" thickTop="1" x14ac:dyDescent="0.25">
      <c r="A68" s="256"/>
      <c r="B68" s="562" t="s">
        <v>137</v>
      </c>
      <c r="C68" s="563"/>
      <c r="D68" s="563"/>
      <c r="E68" s="563"/>
      <c r="F68" s="563"/>
      <c r="G68" s="563"/>
      <c r="H68" s="563"/>
      <c r="I68" s="563"/>
      <c r="J68" s="322"/>
      <c r="K68" s="322"/>
      <c r="L68" s="323"/>
      <c r="M68" s="323"/>
      <c r="N68" s="323"/>
      <c r="O68" s="323"/>
      <c r="P68" s="323"/>
      <c r="Q68" s="323"/>
      <c r="R68" s="566" t="s">
        <v>146</v>
      </c>
      <c r="S68" s="567"/>
      <c r="T68" s="567"/>
      <c r="U68" s="568"/>
      <c r="V68" s="256"/>
      <c r="W68" s="256"/>
      <c r="X68" s="256"/>
      <c r="Y68" s="256"/>
      <c r="Z68" s="256"/>
      <c r="AA68" s="256"/>
    </row>
    <row r="69" spans="1:27" s="12" customFormat="1" ht="17.100000000000001" customHeight="1" x14ac:dyDescent="0.25">
      <c r="A69" s="256"/>
      <c r="B69" s="564"/>
      <c r="C69" s="565"/>
      <c r="D69" s="565"/>
      <c r="E69" s="565"/>
      <c r="F69" s="565"/>
      <c r="G69" s="565"/>
      <c r="H69" s="565"/>
      <c r="I69" s="565"/>
      <c r="J69" s="322"/>
      <c r="K69" s="322"/>
      <c r="L69" s="323"/>
      <c r="M69" s="323"/>
      <c r="N69" s="323"/>
      <c r="O69" s="323"/>
      <c r="P69" s="323"/>
      <c r="Q69" s="323"/>
      <c r="R69" s="569" t="s">
        <v>138</v>
      </c>
      <c r="S69" s="569"/>
      <c r="T69" s="569"/>
      <c r="U69" s="569"/>
      <c r="V69" s="256"/>
      <c r="W69" s="256"/>
      <c r="X69" s="256"/>
      <c r="Y69" s="256"/>
      <c r="Z69" s="256"/>
      <c r="AA69" s="256"/>
    </row>
    <row r="70" spans="1:27" s="23" customFormat="1" ht="17.100000000000001" customHeight="1" x14ac:dyDescent="0.25">
      <c r="A70" s="255"/>
      <c r="B70" s="324" t="s">
        <v>125</v>
      </c>
      <c r="C70" s="570" t="s">
        <v>126</v>
      </c>
      <c r="D70" s="571"/>
      <c r="E70" s="571"/>
      <c r="F70" s="571"/>
      <c r="G70" s="571"/>
      <c r="H70" s="571"/>
      <c r="I70" s="571"/>
      <c r="J70" s="571"/>
      <c r="K70" s="572"/>
      <c r="L70" s="324" t="s">
        <v>133</v>
      </c>
      <c r="M70" s="570" t="s">
        <v>139</v>
      </c>
      <c r="N70" s="571"/>
      <c r="O70" s="571"/>
      <c r="P70" s="571"/>
      <c r="Q70" s="572"/>
      <c r="R70" s="569" t="s">
        <v>148</v>
      </c>
      <c r="S70" s="569"/>
      <c r="T70" s="569" t="s">
        <v>149</v>
      </c>
      <c r="U70" s="569"/>
      <c r="V70" s="255"/>
      <c r="W70" s="255"/>
      <c r="X70" s="255"/>
      <c r="Y70" s="255"/>
      <c r="Z70" s="255"/>
      <c r="AA70" s="255"/>
    </row>
    <row r="71" spans="1:27" s="12" customFormat="1" ht="17.100000000000001" customHeight="1" x14ac:dyDescent="0.25">
      <c r="A71" s="256"/>
      <c r="B71" s="273">
        <v>1</v>
      </c>
      <c r="C71" s="556" t="s">
        <v>127</v>
      </c>
      <c r="D71" s="557"/>
      <c r="E71" s="557"/>
      <c r="F71" s="557"/>
      <c r="G71" s="557"/>
      <c r="H71" s="557"/>
      <c r="I71" s="557"/>
      <c r="J71" s="557"/>
      <c r="K71" s="558"/>
      <c r="L71" s="273" t="s">
        <v>134</v>
      </c>
      <c r="M71" s="559" t="s">
        <v>142</v>
      </c>
      <c r="N71" s="440"/>
      <c r="O71" s="440"/>
      <c r="P71" s="440"/>
      <c r="Q71" s="440"/>
      <c r="R71" s="560">
        <v>45610</v>
      </c>
      <c r="S71" s="561"/>
      <c r="T71" s="560">
        <v>45600</v>
      </c>
      <c r="U71" s="560"/>
      <c r="V71" s="256"/>
      <c r="W71" s="256"/>
      <c r="X71" s="256"/>
      <c r="Y71" s="256"/>
      <c r="Z71" s="256"/>
      <c r="AA71" s="256"/>
    </row>
    <row r="72" spans="1:27" s="12" customFormat="1" ht="17.100000000000001" customHeight="1" x14ac:dyDescent="0.25">
      <c r="A72" s="256"/>
      <c r="B72" s="273">
        <v>2</v>
      </c>
      <c r="C72" s="556" t="s">
        <v>128</v>
      </c>
      <c r="D72" s="557"/>
      <c r="E72" s="557"/>
      <c r="F72" s="557"/>
      <c r="G72" s="557"/>
      <c r="H72" s="557"/>
      <c r="I72" s="557"/>
      <c r="J72" s="557"/>
      <c r="K72" s="558"/>
      <c r="L72" s="273" t="s">
        <v>135</v>
      </c>
      <c r="M72" s="559" t="s">
        <v>141</v>
      </c>
      <c r="N72" s="440"/>
      <c r="O72" s="440"/>
      <c r="P72" s="440"/>
      <c r="Q72" s="440"/>
      <c r="R72" s="560">
        <v>45612</v>
      </c>
      <c r="S72" s="561"/>
      <c r="T72" s="560"/>
      <c r="U72" s="560"/>
      <c r="V72" s="256"/>
      <c r="W72" s="256"/>
      <c r="X72" s="256"/>
      <c r="Y72" s="256"/>
      <c r="Z72" s="256"/>
      <c r="AA72" s="256"/>
    </row>
    <row r="73" spans="1:27" s="12" customFormat="1" ht="17.100000000000001" customHeight="1" x14ac:dyDescent="0.25">
      <c r="A73" s="256"/>
      <c r="B73" s="273">
        <v>3</v>
      </c>
      <c r="C73" s="556" t="s">
        <v>153</v>
      </c>
      <c r="D73" s="557"/>
      <c r="E73" s="557"/>
      <c r="F73" s="557"/>
      <c r="G73" s="557"/>
      <c r="H73" s="557"/>
      <c r="I73" s="557"/>
      <c r="J73" s="557"/>
      <c r="K73" s="558"/>
      <c r="L73" s="273" t="s">
        <v>134</v>
      </c>
      <c r="M73" s="559" t="s">
        <v>140</v>
      </c>
      <c r="N73" s="440"/>
      <c r="O73" s="440"/>
      <c r="P73" s="440"/>
      <c r="Q73" s="440"/>
      <c r="R73" s="560">
        <v>45615</v>
      </c>
      <c r="S73" s="561"/>
      <c r="T73" s="560"/>
      <c r="U73" s="560"/>
      <c r="V73" s="256"/>
      <c r="W73" s="256"/>
      <c r="X73" s="256"/>
      <c r="Y73" s="256"/>
      <c r="Z73" s="256"/>
      <c r="AA73" s="256"/>
    </row>
    <row r="74" spans="1:27" s="12" customFormat="1" ht="17.100000000000001" customHeight="1" x14ac:dyDescent="0.25">
      <c r="A74" s="256"/>
      <c r="B74" s="273">
        <v>4</v>
      </c>
      <c r="C74" s="556" t="s">
        <v>129</v>
      </c>
      <c r="D74" s="557"/>
      <c r="E74" s="557"/>
      <c r="F74" s="557"/>
      <c r="G74" s="557"/>
      <c r="H74" s="557"/>
      <c r="I74" s="557"/>
      <c r="J74" s="557"/>
      <c r="K74" s="558"/>
      <c r="L74" s="273" t="s">
        <v>135</v>
      </c>
      <c r="M74" s="559" t="s">
        <v>145</v>
      </c>
      <c r="N74" s="440"/>
      <c r="O74" s="440"/>
      <c r="P74" s="440"/>
      <c r="Q74" s="440"/>
      <c r="R74" s="560">
        <v>45617</v>
      </c>
      <c r="S74" s="561"/>
      <c r="T74" s="560"/>
      <c r="U74" s="560"/>
      <c r="V74" s="256"/>
      <c r="W74" s="256"/>
      <c r="X74" s="256"/>
      <c r="Y74" s="256"/>
      <c r="Z74" s="256"/>
      <c r="AA74" s="256"/>
    </row>
    <row r="75" spans="1:27" s="12" customFormat="1" ht="17.100000000000001" customHeight="1" x14ac:dyDescent="0.25">
      <c r="A75" s="256"/>
      <c r="B75" s="273">
        <v>5</v>
      </c>
      <c r="C75" s="556" t="s">
        <v>130</v>
      </c>
      <c r="D75" s="557"/>
      <c r="E75" s="557"/>
      <c r="F75" s="557"/>
      <c r="G75" s="557"/>
      <c r="H75" s="557"/>
      <c r="I75" s="557"/>
      <c r="J75" s="557"/>
      <c r="K75" s="558"/>
      <c r="L75" s="273" t="s">
        <v>134</v>
      </c>
      <c r="M75" s="559" t="s">
        <v>184</v>
      </c>
      <c r="N75" s="440"/>
      <c r="O75" s="440"/>
      <c r="P75" s="440"/>
      <c r="Q75" s="440"/>
      <c r="R75" s="573">
        <v>45610</v>
      </c>
      <c r="S75" s="573"/>
      <c r="T75" s="560"/>
      <c r="U75" s="560"/>
      <c r="V75" s="256"/>
      <c r="W75" s="256"/>
      <c r="X75" s="256"/>
      <c r="Y75" s="256"/>
      <c r="Z75" s="256"/>
      <c r="AA75" s="256"/>
    </row>
    <row r="76" spans="1:27" s="12" customFormat="1" ht="17.100000000000001" customHeight="1" x14ac:dyDescent="0.25">
      <c r="A76" s="256"/>
      <c r="B76" s="273">
        <v>6</v>
      </c>
      <c r="C76" s="556" t="s">
        <v>131</v>
      </c>
      <c r="D76" s="557"/>
      <c r="E76" s="557"/>
      <c r="F76" s="557"/>
      <c r="G76" s="557"/>
      <c r="H76" s="557"/>
      <c r="I76" s="557"/>
      <c r="J76" s="557"/>
      <c r="K76" s="558"/>
      <c r="L76" s="273" t="s">
        <v>134</v>
      </c>
      <c r="M76" s="559" t="s">
        <v>156</v>
      </c>
      <c r="N76" s="440"/>
      <c r="O76" s="440"/>
      <c r="P76" s="440"/>
      <c r="Q76" s="440"/>
      <c r="R76" s="560"/>
      <c r="S76" s="561"/>
      <c r="T76" s="560"/>
      <c r="U76" s="560"/>
      <c r="V76" s="256"/>
      <c r="W76" s="256"/>
      <c r="X76" s="256"/>
      <c r="Y76" s="256"/>
      <c r="Z76" s="256"/>
      <c r="AA76" s="256"/>
    </row>
    <row r="77" spans="1:27" s="12" customFormat="1" ht="17.100000000000001" customHeight="1" x14ac:dyDescent="0.25">
      <c r="A77" s="256"/>
      <c r="B77" s="273">
        <v>7</v>
      </c>
      <c r="C77" s="556" t="s">
        <v>136</v>
      </c>
      <c r="D77" s="557"/>
      <c r="E77" s="557"/>
      <c r="F77" s="557"/>
      <c r="G77" s="557"/>
      <c r="H77" s="557"/>
      <c r="I77" s="557"/>
      <c r="J77" s="557"/>
      <c r="K77" s="558"/>
      <c r="L77" s="273" t="s">
        <v>135</v>
      </c>
      <c r="M77" s="559" t="s">
        <v>144</v>
      </c>
      <c r="N77" s="440"/>
      <c r="O77" s="440"/>
      <c r="P77" s="440"/>
      <c r="Q77" s="440"/>
      <c r="R77" s="560"/>
      <c r="S77" s="561"/>
      <c r="T77" s="560"/>
      <c r="U77" s="560"/>
      <c r="V77" s="256"/>
      <c r="W77" s="256"/>
      <c r="X77" s="256"/>
      <c r="Y77" s="256"/>
      <c r="Z77" s="256"/>
      <c r="AA77" s="256"/>
    </row>
    <row r="78" spans="1:27" s="12" customFormat="1" ht="17.100000000000001" customHeight="1" x14ac:dyDescent="0.25">
      <c r="A78" s="256"/>
      <c r="B78" s="273">
        <v>8</v>
      </c>
      <c r="C78" s="556" t="s">
        <v>132</v>
      </c>
      <c r="D78" s="557"/>
      <c r="E78" s="557"/>
      <c r="F78" s="557"/>
      <c r="G78" s="557"/>
      <c r="H78" s="557"/>
      <c r="I78" s="557"/>
      <c r="J78" s="557"/>
      <c r="K78" s="558"/>
      <c r="L78" s="273" t="s">
        <v>135</v>
      </c>
      <c r="M78" s="559" t="s">
        <v>143</v>
      </c>
      <c r="N78" s="440"/>
      <c r="O78" s="440"/>
      <c r="P78" s="440"/>
      <c r="Q78" s="440"/>
      <c r="R78" s="560"/>
      <c r="S78" s="561"/>
      <c r="T78" s="560"/>
      <c r="U78" s="560"/>
      <c r="V78" s="256"/>
      <c r="W78" s="256"/>
      <c r="X78" s="256"/>
      <c r="Y78" s="256"/>
      <c r="Z78" s="256"/>
      <c r="AA78" s="256"/>
    </row>
    <row r="79" spans="1:27" s="12" customFormat="1" ht="17.100000000000001" customHeight="1" x14ac:dyDescent="0.25">
      <c r="A79" s="256"/>
      <c r="B79" s="273">
        <v>9</v>
      </c>
      <c r="C79" s="556" t="s">
        <v>147</v>
      </c>
      <c r="D79" s="557"/>
      <c r="E79" s="557"/>
      <c r="F79" s="557"/>
      <c r="G79" s="557"/>
      <c r="H79" s="557"/>
      <c r="I79" s="557"/>
      <c r="J79" s="557"/>
      <c r="K79" s="558"/>
      <c r="L79" s="273" t="s">
        <v>135</v>
      </c>
      <c r="M79" s="559" t="s">
        <v>143</v>
      </c>
      <c r="N79" s="440"/>
      <c r="O79" s="440"/>
      <c r="P79" s="440"/>
      <c r="Q79" s="440"/>
      <c r="R79" s="560"/>
      <c r="S79" s="561"/>
      <c r="T79" s="560"/>
      <c r="U79" s="560"/>
      <c r="V79" s="256"/>
      <c r="W79" s="256"/>
      <c r="X79" s="256"/>
      <c r="Y79" s="256"/>
      <c r="Z79" s="256"/>
      <c r="AA79" s="256"/>
    </row>
    <row r="80" spans="1:27" s="12" customFormat="1" ht="17.100000000000001" customHeight="1" x14ac:dyDescent="0.25">
      <c r="A80" s="256"/>
      <c r="B80" s="325"/>
      <c r="C80" s="322"/>
      <c r="D80" s="322"/>
      <c r="E80" s="322"/>
      <c r="F80" s="322"/>
      <c r="G80" s="322"/>
      <c r="H80" s="322"/>
      <c r="I80" s="322"/>
      <c r="J80" s="322"/>
      <c r="K80" s="322"/>
      <c r="L80" s="323"/>
      <c r="M80" s="323"/>
      <c r="N80" s="323"/>
      <c r="O80" s="323"/>
      <c r="P80" s="323"/>
      <c r="Q80" s="323"/>
      <c r="R80" s="271"/>
      <c r="S80" s="271"/>
      <c r="T80" s="271"/>
      <c r="U80" s="286"/>
      <c r="V80" s="256"/>
      <c r="W80" s="256"/>
      <c r="X80" s="256"/>
      <c r="Y80" s="256"/>
      <c r="Z80" s="256"/>
      <c r="AA80" s="256"/>
    </row>
    <row r="81" spans="1:27" s="11" customFormat="1" ht="15" customHeight="1" x14ac:dyDescent="0.25">
      <c r="A81" s="265"/>
      <c r="B81" s="574" t="s">
        <v>110</v>
      </c>
      <c r="C81" s="575"/>
      <c r="D81" s="575"/>
      <c r="E81" s="575"/>
      <c r="F81" s="576"/>
      <c r="G81" s="583"/>
      <c r="H81" s="586" t="s">
        <v>111</v>
      </c>
      <c r="I81" s="587"/>
      <c r="J81" s="326"/>
      <c r="K81" s="432"/>
      <c r="L81" s="433"/>
      <c r="M81" s="433"/>
      <c r="N81" s="434"/>
      <c r="O81" s="427"/>
      <c r="P81" s="428"/>
      <c r="Q81" s="326"/>
      <c r="R81" s="326"/>
      <c r="S81" s="427"/>
      <c r="T81" s="428"/>
      <c r="U81" s="326"/>
      <c r="V81" s="265"/>
      <c r="W81" s="265"/>
      <c r="X81" s="265"/>
      <c r="Y81" s="265"/>
      <c r="Z81" s="265"/>
      <c r="AA81" s="265"/>
    </row>
    <row r="82" spans="1:27" s="11" customFormat="1" ht="15" customHeight="1" x14ac:dyDescent="0.25">
      <c r="A82" s="265"/>
      <c r="B82" s="577"/>
      <c r="C82" s="578"/>
      <c r="D82" s="578"/>
      <c r="E82" s="578"/>
      <c r="F82" s="579"/>
      <c r="G82" s="584"/>
      <c r="H82" s="588"/>
      <c r="I82" s="589"/>
      <c r="J82" s="326"/>
      <c r="K82" s="432"/>
      <c r="L82" s="433"/>
      <c r="M82" s="433"/>
      <c r="N82" s="434"/>
      <c r="O82" s="427"/>
      <c r="P82" s="428"/>
      <c r="Q82" s="326"/>
      <c r="R82" s="326"/>
      <c r="S82" s="427"/>
      <c r="T82" s="428"/>
      <c r="U82" s="326"/>
      <c r="V82" s="265"/>
      <c r="W82" s="265"/>
      <c r="X82" s="265"/>
      <c r="Y82" s="265"/>
      <c r="Z82" s="265"/>
      <c r="AA82" s="265"/>
    </row>
    <row r="83" spans="1:27" s="11" customFormat="1" ht="15" customHeight="1" x14ac:dyDescent="0.25">
      <c r="A83" s="265"/>
      <c r="B83" s="577"/>
      <c r="C83" s="578"/>
      <c r="D83" s="578"/>
      <c r="E83" s="578"/>
      <c r="F83" s="579"/>
      <c r="G83" s="584"/>
      <c r="H83" s="588"/>
      <c r="I83" s="589"/>
      <c r="J83" s="326"/>
      <c r="K83" s="327"/>
      <c r="L83" s="328"/>
      <c r="M83" s="328"/>
      <c r="N83" s="329"/>
      <c r="O83" s="330"/>
      <c r="P83" s="331"/>
      <c r="Q83" s="326"/>
      <c r="R83" s="326"/>
      <c r="S83" s="330"/>
      <c r="T83" s="331"/>
      <c r="U83" s="326"/>
      <c r="V83" s="265"/>
      <c r="W83" s="265"/>
      <c r="X83" s="265"/>
      <c r="Y83" s="265"/>
      <c r="Z83" s="265"/>
      <c r="AA83" s="265"/>
    </row>
    <row r="84" spans="1:27" s="11" customFormat="1" ht="15" customHeight="1" x14ac:dyDescent="0.25">
      <c r="A84" s="265"/>
      <c r="B84" s="577"/>
      <c r="C84" s="578"/>
      <c r="D84" s="578"/>
      <c r="E84" s="578"/>
      <c r="F84" s="579"/>
      <c r="G84" s="584"/>
      <c r="H84" s="588"/>
      <c r="I84" s="589"/>
      <c r="J84" s="326">
        <v>1</v>
      </c>
      <c r="K84" s="432" t="s">
        <v>219</v>
      </c>
      <c r="L84" s="433"/>
      <c r="M84" s="433"/>
      <c r="N84" s="434"/>
      <c r="O84" s="427">
        <v>45580</v>
      </c>
      <c r="P84" s="428"/>
      <c r="Q84" s="326" t="s">
        <v>55</v>
      </c>
      <c r="R84" s="326"/>
      <c r="S84" s="427"/>
      <c r="T84" s="428"/>
      <c r="U84" s="326"/>
      <c r="V84" s="265"/>
      <c r="W84" s="265"/>
      <c r="X84" s="265"/>
      <c r="Y84" s="265"/>
      <c r="Z84" s="265"/>
      <c r="AA84" s="265"/>
    </row>
    <row r="85" spans="1:27" s="11" customFormat="1" ht="15" customHeight="1" x14ac:dyDescent="0.25">
      <c r="A85" s="265"/>
      <c r="B85" s="577"/>
      <c r="C85" s="578"/>
      <c r="D85" s="578"/>
      <c r="E85" s="578"/>
      <c r="F85" s="579"/>
      <c r="G85" s="584"/>
      <c r="H85" s="588"/>
      <c r="I85" s="589"/>
      <c r="J85" s="326">
        <v>0</v>
      </c>
      <c r="K85" s="432" t="s">
        <v>109</v>
      </c>
      <c r="L85" s="433"/>
      <c r="M85" s="433"/>
      <c r="N85" s="434"/>
      <c r="O85" s="427">
        <v>45112</v>
      </c>
      <c r="P85" s="428"/>
      <c r="Q85" s="326" t="s">
        <v>55</v>
      </c>
      <c r="R85" s="326">
        <v>1</v>
      </c>
      <c r="S85" s="427">
        <v>45580</v>
      </c>
      <c r="T85" s="428"/>
      <c r="U85" s="326" t="s">
        <v>57</v>
      </c>
      <c r="V85" s="265"/>
      <c r="W85" s="265"/>
      <c r="X85" s="265"/>
      <c r="Y85" s="265"/>
      <c r="Z85" s="265"/>
      <c r="AA85" s="265"/>
    </row>
    <row r="86" spans="1:27" s="3" customFormat="1" ht="15" customHeight="1" x14ac:dyDescent="0.25">
      <c r="A86" s="261"/>
      <c r="B86" s="580"/>
      <c r="C86" s="581"/>
      <c r="D86" s="581"/>
      <c r="E86" s="581"/>
      <c r="F86" s="582"/>
      <c r="G86" s="585"/>
      <c r="H86" s="590"/>
      <c r="I86" s="591"/>
      <c r="J86" s="332" t="s">
        <v>108</v>
      </c>
      <c r="K86" s="429" t="s">
        <v>107</v>
      </c>
      <c r="L86" s="430"/>
      <c r="M86" s="430"/>
      <c r="N86" s="431"/>
      <c r="O86" s="429" t="s">
        <v>5</v>
      </c>
      <c r="P86" s="431"/>
      <c r="Q86" s="332" t="s">
        <v>104</v>
      </c>
      <c r="R86" s="332" t="s">
        <v>105</v>
      </c>
      <c r="S86" s="429" t="s">
        <v>106</v>
      </c>
      <c r="T86" s="431"/>
      <c r="U86" s="332" t="s">
        <v>104</v>
      </c>
      <c r="V86" s="261"/>
      <c r="W86" s="261"/>
      <c r="X86" s="261"/>
      <c r="Y86" s="261"/>
      <c r="Z86" s="261"/>
      <c r="AA86" s="261"/>
    </row>
    <row r="87" spans="1:27" ht="20.100000000000001" customHeight="1" x14ac:dyDescent="0.25">
      <c r="A87" s="254"/>
      <c r="B87" s="266"/>
      <c r="C87" s="266"/>
      <c r="D87" s="266"/>
      <c r="E87" s="266"/>
      <c r="F87" s="266"/>
      <c r="G87" s="266"/>
      <c r="H87" s="266"/>
      <c r="I87" s="266"/>
      <c r="J87" s="266"/>
      <c r="K87" s="266"/>
      <c r="L87" s="266"/>
      <c r="M87" s="266"/>
      <c r="N87" s="266"/>
      <c r="O87" s="266"/>
      <c r="P87" s="266"/>
      <c r="Q87" s="266"/>
      <c r="R87" s="266"/>
      <c r="S87" s="266"/>
      <c r="T87" s="266"/>
      <c r="U87" s="266"/>
      <c r="V87" s="254"/>
      <c r="W87" s="254"/>
      <c r="X87" s="254"/>
      <c r="Y87" s="254"/>
      <c r="Z87" s="254"/>
      <c r="AA87" s="254"/>
    </row>
    <row r="88" spans="1:27" ht="20.100000000000001" customHeight="1" x14ac:dyDescent="0.25">
      <c r="A88" s="254"/>
      <c r="B88" s="266"/>
      <c r="C88" s="266"/>
      <c r="D88" s="266"/>
      <c r="E88" s="266"/>
      <c r="F88" s="266"/>
      <c r="G88" s="266"/>
      <c r="H88" s="266"/>
      <c r="I88" s="266"/>
      <c r="J88" s="266"/>
      <c r="K88" s="266"/>
      <c r="L88" s="266"/>
      <c r="M88" s="266"/>
      <c r="N88" s="266"/>
      <c r="O88" s="266"/>
      <c r="P88" s="266"/>
      <c r="Q88" s="266"/>
      <c r="R88" s="266"/>
      <c r="S88" s="266"/>
      <c r="T88" s="266"/>
      <c r="U88" s="266"/>
      <c r="V88" s="254"/>
      <c r="W88" s="254"/>
      <c r="X88" s="254"/>
      <c r="Y88" s="254"/>
      <c r="Z88" s="254"/>
      <c r="AA88" s="254"/>
    </row>
    <row r="89" spans="1:27" ht="20.100000000000001" customHeight="1" x14ac:dyDescent="0.25">
      <c r="A89" s="254"/>
      <c r="B89" s="266"/>
      <c r="C89" s="266"/>
      <c r="D89" s="266"/>
      <c r="E89" s="266"/>
      <c r="F89" s="266"/>
      <c r="G89" s="266"/>
      <c r="H89" s="266"/>
      <c r="I89" s="266"/>
      <c r="J89" s="266"/>
      <c r="K89" s="266"/>
      <c r="L89" s="266"/>
      <c r="M89" s="266"/>
      <c r="N89" s="266"/>
      <c r="O89" s="266"/>
      <c r="P89" s="266"/>
      <c r="Q89" s="266"/>
      <c r="R89" s="266"/>
      <c r="S89" s="266"/>
      <c r="T89" s="266"/>
      <c r="U89" s="266"/>
      <c r="V89" s="254"/>
      <c r="W89" s="254"/>
      <c r="X89" s="254"/>
      <c r="Y89" s="254"/>
      <c r="Z89" s="254"/>
      <c r="AA89" s="254"/>
    </row>
    <row r="90" spans="1:27" ht="20.100000000000001" customHeight="1" x14ac:dyDescent="0.25">
      <c r="A90" s="254"/>
      <c r="B90" s="266"/>
      <c r="C90" s="266"/>
      <c r="D90" s="266"/>
      <c r="E90" s="266"/>
      <c r="F90" s="266"/>
      <c r="G90" s="266"/>
      <c r="H90" s="266"/>
      <c r="I90" s="266"/>
      <c r="J90" s="266"/>
      <c r="K90" s="266"/>
      <c r="L90" s="266"/>
      <c r="M90" s="266"/>
      <c r="N90" s="266"/>
      <c r="O90" s="266"/>
      <c r="P90" s="266"/>
      <c r="Q90" s="266"/>
      <c r="R90" s="266"/>
      <c r="S90" s="266"/>
      <c r="T90" s="266"/>
      <c r="U90" s="266"/>
      <c r="V90" s="254"/>
      <c r="W90" s="254"/>
      <c r="X90" s="254"/>
      <c r="Y90" s="254"/>
      <c r="Z90" s="254"/>
      <c r="AA90" s="254"/>
    </row>
    <row r="91" spans="1:27" ht="20.100000000000001" customHeight="1" x14ac:dyDescent="0.25">
      <c r="A91" s="254"/>
      <c r="B91" s="266"/>
      <c r="C91" s="266"/>
      <c r="D91" s="266"/>
      <c r="E91" s="266"/>
      <c r="F91" s="266"/>
      <c r="G91" s="266"/>
      <c r="H91" s="266"/>
      <c r="I91" s="266"/>
      <c r="J91" s="266"/>
      <c r="K91" s="266"/>
      <c r="L91" s="266"/>
      <c r="M91" s="266"/>
      <c r="N91" s="266"/>
      <c r="O91" s="266"/>
      <c r="P91" s="266"/>
      <c r="Q91" s="266"/>
      <c r="R91" s="266"/>
      <c r="S91" s="266"/>
      <c r="T91" s="266"/>
      <c r="U91" s="266"/>
      <c r="V91" s="254"/>
      <c r="W91" s="254"/>
      <c r="X91" s="254"/>
      <c r="Y91" s="254"/>
      <c r="Z91" s="254"/>
      <c r="AA91" s="254"/>
    </row>
    <row r="92" spans="1:27" ht="20.100000000000001" customHeight="1" x14ac:dyDescent="0.25">
      <c r="A92" s="254"/>
      <c r="B92" s="266"/>
      <c r="C92" s="266"/>
      <c r="D92" s="266"/>
      <c r="E92" s="266"/>
      <c r="F92" s="266"/>
      <c r="G92" s="266"/>
      <c r="H92" s="266"/>
      <c r="I92" s="266"/>
      <c r="J92" s="266"/>
      <c r="K92" s="266"/>
      <c r="L92" s="266"/>
      <c r="M92" s="266"/>
      <c r="N92" s="266"/>
      <c r="O92" s="266"/>
      <c r="P92" s="266"/>
      <c r="Q92" s="266"/>
      <c r="R92" s="266"/>
      <c r="S92" s="266"/>
      <c r="T92" s="266"/>
      <c r="U92" s="266"/>
      <c r="V92" s="254"/>
      <c r="W92" s="254"/>
      <c r="X92" s="254"/>
      <c r="Y92" s="254"/>
      <c r="Z92" s="254"/>
      <c r="AA92" s="254"/>
    </row>
  </sheetData>
  <mergeCells count="259">
    <mergeCell ref="C77:K77"/>
    <mergeCell ref="M77:Q77"/>
    <mergeCell ref="R77:S77"/>
    <mergeCell ref="T77:U77"/>
    <mergeCell ref="C78:K78"/>
    <mergeCell ref="M78:Q78"/>
    <mergeCell ref="R78:S78"/>
    <mergeCell ref="T78:U78"/>
    <mergeCell ref="K85:N85"/>
    <mergeCell ref="O85:P85"/>
    <mergeCell ref="S85:T85"/>
    <mergeCell ref="K82:N82"/>
    <mergeCell ref="O82:P82"/>
    <mergeCell ref="S82:T82"/>
    <mergeCell ref="K84:N84"/>
    <mergeCell ref="O84:P84"/>
    <mergeCell ref="S84:T84"/>
    <mergeCell ref="C79:K79"/>
    <mergeCell ref="M79:Q79"/>
    <mergeCell ref="R79:S79"/>
    <mergeCell ref="T79:U79"/>
    <mergeCell ref="B81:F86"/>
    <mergeCell ref="G81:G86"/>
    <mergeCell ref="H81:I86"/>
    <mergeCell ref="C75:K75"/>
    <mergeCell ref="M75:Q75"/>
    <mergeCell ref="R75:S75"/>
    <mergeCell ref="T75:U75"/>
    <mergeCell ref="C76:K76"/>
    <mergeCell ref="M76:Q76"/>
    <mergeCell ref="R76:S76"/>
    <mergeCell ref="T76:U76"/>
    <mergeCell ref="C73:K73"/>
    <mergeCell ref="M73:Q73"/>
    <mergeCell ref="R73:S73"/>
    <mergeCell ref="T73:U73"/>
    <mergeCell ref="C74:K74"/>
    <mergeCell ref="M74:Q74"/>
    <mergeCell ref="R74:S74"/>
    <mergeCell ref="T74:U74"/>
    <mergeCell ref="C71:K71"/>
    <mergeCell ref="M71:Q71"/>
    <mergeCell ref="R71:S71"/>
    <mergeCell ref="T71:U71"/>
    <mergeCell ref="C72:K72"/>
    <mergeCell ref="M72:Q72"/>
    <mergeCell ref="R72:S72"/>
    <mergeCell ref="T72:U72"/>
    <mergeCell ref="B68:I69"/>
    <mergeCell ref="R68:U68"/>
    <mergeCell ref="R69:U69"/>
    <mergeCell ref="C70:K70"/>
    <mergeCell ref="M70:Q70"/>
    <mergeCell ref="R70:S70"/>
    <mergeCell ref="T70:U70"/>
    <mergeCell ref="O63:Q63"/>
    <mergeCell ref="B64:C64"/>
    <mergeCell ref="D64:G64"/>
    <mergeCell ref="B65:C65"/>
    <mergeCell ref="D65:G65"/>
    <mergeCell ref="B66:C66"/>
    <mergeCell ref="D66:G66"/>
    <mergeCell ref="O60:Q60"/>
    <mergeCell ref="B61:C61"/>
    <mergeCell ref="D61:G61"/>
    <mergeCell ref="O61:Q61"/>
    <mergeCell ref="B62:C62"/>
    <mergeCell ref="D62:G62"/>
    <mergeCell ref="O62:Q62"/>
    <mergeCell ref="B59:C59"/>
    <mergeCell ref="D59:G59"/>
    <mergeCell ref="H59:K59"/>
    <mergeCell ref="B60:C60"/>
    <mergeCell ref="D60:G60"/>
    <mergeCell ref="H60:K66"/>
    <mergeCell ref="B63:C63"/>
    <mergeCell ref="D63:G63"/>
    <mergeCell ref="C57:F57"/>
    <mergeCell ref="G57:K57"/>
    <mergeCell ref="L57:M57"/>
    <mergeCell ref="N57:O57"/>
    <mergeCell ref="P57:Q57"/>
    <mergeCell ref="R57:S57"/>
    <mergeCell ref="C56:F56"/>
    <mergeCell ref="G56:K56"/>
    <mergeCell ref="L56:M56"/>
    <mergeCell ref="N56:O56"/>
    <mergeCell ref="P56:Q56"/>
    <mergeCell ref="R56:S56"/>
    <mergeCell ref="P54:Q54"/>
    <mergeCell ref="R54:S54"/>
    <mergeCell ref="C55:F55"/>
    <mergeCell ref="G55:K55"/>
    <mergeCell ref="L55:M55"/>
    <mergeCell ref="N55:O55"/>
    <mergeCell ref="P55:Q55"/>
    <mergeCell ref="R55:S55"/>
    <mergeCell ref="B50:C50"/>
    <mergeCell ref="D50:G50"/>
    <mergeCell ref="H50:J50"/>
    <mergeCell ref="K50:O50"/>
    <mergeCell ref="B53:B54"/>
    <mergeCell ref="C53:F54"/>
    <mergeCell ref="G53:K54"/>
    <mergeCell ref="L53:S53"/>
    <mergeCell ref="L54:M54"/>
    <mergeCell ref="N54:O54"/>
    <mergeCell ref="B48:C48"/>
    <mergeCell ref="D48:G48"/>
    <mergeCell ref="H48:J48"/>
    <mergeCell ref="K48:O48"/>
    <mergeCell ref="B49:C49"/>
    <mergeCell ref="D49:G49"/>
    <mergeCell ref="H49:J49"/>
    <mergeCell ref="K49:O49"/>
    <mergeCell ref="C45:I45"/>
    <mergeCell ref="J45:L45"/>
    <mergeCell ref="M45:O45"/>
    <mergeCell ref="P46:R46"/>
    <mergeCell ref="C43:I43"/>
    <mergeCell ref="J43:L43"/>
    <mergeCell ref="M43:O43"/>
    <mergeCell ref="P43:R43"/>
    <mergeCell ref="C44:I44"/>
    <mergeCell ref="J44:L44"/>
    <mergeCell ref="M44:O44"/>
    <mergeCell ref="P44:R44"/>
    <mergeCell ref="C41:I41"/>
    <mergeCell ref="J41:L41"/>
    <mergeCell ref="M41:O41"/>
    <mergeCell ref="P41:R41"/>
    <mergeCell ref="C42:I42"/>
    <mergeCell ref="J42:L42"/>
    <mergeCell ref="M42:O42"/>
    <mergeCell ref="P42:R42"/>
    <mergeCell ref="C39:I39"/>
    <mergeCell ref="J39:L39"/>
    <mergeCell ref="M39:O39"/>
    <mergeCell ref="P39:R39"/>
    <mergeCell ref="C40:I40"/>
    <mergeCell ref="J40:L40"/>
    <mergeCell ref="M40:O40"/>
    <mergeCell ref="P40:R40"/>
    <mergeCell ref="C38:I38"/>
    <mergeCell ref="J38:L38"/>
    <mergeCell ref="M38:O38"/>
    <mergeCell ref="P38:R38"/>
    <mergeCell ref="C35:I35"/>
    <mergeCell ref="J35:L35"/>
    <mergeCell ref="M35:O35"/>
    <mergeCell ref="P35:R35"/>
    <mergeCell ref="C36:I36"/>
    <mergeCell ref="J36:L36"/>
    <mergeCell ref="M36:O36"/>
    <mergeCell ref="P36:R36"/>
    <mergeCell ref="C33:I33"/>
    <mergeCell ref="J33:L33"/>
    <mergeCell ref="M33:O33"/>
    <mergeCell ref="P33:R33"/>
    <mergeCell ref="C34:I34"/>
    <mergeCell ref="J34:L34"/>
    <mergeCell ref="M34:O34"/>
    <mergeCell ref="P34:R34"/>
    <mergeCell ref="C37:I37"/>
    <mergeCell ref="J37:L37"/>
    <mergeCell ref="M37:O37"/>
    <mergeCell ref="P37:R37"/>
    <mergeCell ref="D29:E29"/>
    <mergeCell ref="G29:H29"/>
    <mergeCell ref="J29:K29"/>
    <mergeCell ref="C32:I32"/>
    <mergeCell ref="J32:L32"/>
    <mergeCell ref="M32:O32"/>
    <mergeCell ref="B27:B28"/>
    <mergeCell ref="C27:F28"/>
    <mergeCell ref="G27:H28"/>
    <mergeCell ref="I27:I28"/>
    <mergeCell ref="J27:M27"/>
    <mergeCell ref="N27:U28"/>
    <mergeCell ref="J28:K28"/>
    <mergeCell ref="L28:M28"/>
    <mergeCell ref="P32:R32"/>
    <mergeCell ref="D30:E30"/>
    <mergeCell ref="G30:H30"/>
    <mergeCell ref="J30:K30"/>
    <mergeCell ref="T23:U23"/>
    <mergeCell ref="C24:D24"/>
    <mergeCell ref="E24:F24"/>
    <mergeCell ref="L24:M24"/>
    <mergeCell ref="N24:O24"/>
    <mergeCell ref="P24:Q24"/>
    <mergeCell ref="R24:S24"/>
    <mergeCell ref="T24:U24"/>
    <mergeCell ref="C23:D23"/>
    <mergeCell ref="E23:F23"/>
    <mergeCell ref="L23:M23"/>
    <mergeCell ref="N23:O23"/>
    <mergeCell ref="P23:Q23"/>
    <mergeCell ref="R23:S23"/>
    <mergeCell ref="R21:U21"/>
    <mergeCell ref="E22:F22"/>
    <mergeCell ref="N22:O22"/>
    <mergeCell ref="P22:Q22"/>
    <mergeCell ref="R22:S22"/>
    <mergeCell ref="T22:U22"/>
    <mergeCell ref="B21:B22"/>
    <mergeCell ref="C21:D22"/>
    <mergeCell ref="E21:G21"/>
    <mergeCell ref="H21:I21"/>
    <mergeCell ref="K21:K22"/>
    <mergeCell ref="L21:M22"/>
    <mergeCell ref="D13:E13"/>
    <mergeCell ref="G13:H13"/>
    <mergeCell ref="I13:J13"/>
    <mergeCell ref="K13:L13"/>
    <mergeCell ref="D15:E15"/>
    <mergeCell ref="G15:H15"/>
    <mergeCell ref="I15:J15"/>
    <mergeCell ref="K15:L15"/>
    <mergeCell ref="N21:Q21"/>
    <mergeCell ref="D16:E16"/>
    <mergeCell ref="G16:H16"/>
    <mergeCell ref="I16:J16"/>
    <mergeCell ref="K16:L16"/>
    <mergeCell ref="B3:H4"/>
    <mergeCell ref="B5:H6"/>
    <mergeCell ref="T2:U2"/>
    <mergeCell ref="R6:S6"/>
    <mergeCell ref="R2:S2"/>
    <mergeCell ref="P6:Q6"/>
    <mergeCell ref="P2:Q2"/>
    <mergeCell ref="N6:O6"/>
    <mergeCell ref="T6:U6"/>
    <mergeCell ref="N3:U5"/>
    <mergeCell ref="N2:O2"/>
    <mergeCell ref="G12:H12"/>
    <mergeCell ref="C12:F12"/>
    <mergeCell ref="Y12:Z12"/>
    <mergeCell ref="K12:L12"/>
    <mergeCell ref="M12:Q12"/>
    <mergeCell ref="I12:J12"/>
    <mergeCell ref="S81:T81"/>
    <mergeCell ref="K86:N86"/>
    <mergeCell ref="O86:P86"/>
    <mergeCell ref="S86:T86"/>
    <mergeCell ref="K81:N81"/>
    <mergeCell ref="O81:P81"/>
    <mergeCell ref="P45:R45"/>
    <mergeCell ref="C46:I46"/>
    <mergeCell ref="J46:L46"/>
    <mergeCell ref="M46:O46"/>
    <mergeCell ref="D14:E14"/>
    <mergeCell ref="G14:H14"/>
    <mergeCell ref="I14:J14"/>
    <mergeCell ref="K14:L14"/>
    <mergeCell ref="D17:E17"/>
    <mergeCell ref="G17:H17"/>
    <mergeCell ref="I17:J17"/>
    <mergeCell ref="K17:L17"/>
  </mergeCells>
  <printOptions horizontalCentered="1" verticalCentered="1"/>
  <pageMargins left="0" right="0" top="0" bottom="0" header="0" footer="0"/>
  <pageSetup paperSize="9" scale="4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B1:V95"/>
  <sheetViews>
    <sheetView showGridLines="0" topLeftCell="A39" zoomScale="90" zoomScaleNormal="90" workbookViewId="0">
      <selection activeCell="O55" sqref="O55:Q55"/>
    </sheetView>
  </sheetViews>
  <sheetFormatPr defaultRowHeight="15" x14ac:dyDescent="0.25"/>
  <cols>
    <col min="1" max="1" width="1.7109375" style="1" customWidth="1"/>
    <col min="2" max="2" width="5.7109375" style="1" customWidth="1"/>
    <col min="3" max="5" width="14.7109375" style="2" customWidth="1"/>
    <col min="6" max="6" width="15.7109375" style="2" customWidth="1"/>
    <col min="7" max="14" width="15.7109375" style="1" customWidth="1"/>
    <col min="15" max="15" width="14.7109375" style="1" customWidth="1"/>
    <col min="16" max="16" width="14.7109375" style="254" customWidth="1"/>
    <col min="17" max="17" width="14.7109375" style="1" customWidth="1"/>
    <col min="18" max="18" width="1.7109375" style="1" customWidth="1"/>
    <col min="19" max="19" width="15.7109375" style="400" customWidth="1"/>
    <col min="20" max="20" width="15.7109375" style="1" customWidth="1"/>
    <col min="21" max="21" width="15.7109375" style="400" customWidth="1"/>
    <col min="22" max="48" width="15.7109375" style="1" customWidth="1"/>
    <col min="49" max="16384" width="9.140625" style="1"/>
  </cols>
  <sheetData>
    <row r="1" spans="2:21" x14ac:dyDescent="0.25">
      <c r="Q1" s="63" t="s">
        <v>116</v>
      </c>
    </row>
    <row r="2" spans="2:21" ht="15" customHeight="1" x14ac:dyDescent="0.25">
      <c r="B2" s="51" t="s">
        <v>38</v>
      </c>
      <c r="C2" s="47"/>
      <c r="D2" s="47"/>
      <c r="E2" s="47"/>
      <c r="F2" s="47"/>
      <c r="G2" s="52"/>
      <c r="H2" s="52"/>
      <c r="I2" s="53" t="s">
        <v>60</v>
      </c>
      <c r="J2" s="55" t="s">
        <v>61</v>
      </c>
      <c r="K2" s="55" t="s">
        <v>164</v>
      </c>
      <c r="L2" s="56"/>
      <c r="M2" s="4" t="s">
        <v>66</v>
      </c>
      <c r="N2" s="4" t="s">
        <v>65</v>
      </c>
      <c r="O2" s="4" t="s">
        <v>54</v>
      </c>
      <c r="P2" s="457" t="s">
        <v>53</v>
      </c>
      <c r="Q2" s="458"/>
    </row>
    <row r="3" spans="2:21" ht="15" customHeight="1" x14ac:dyDescent="0.25">
      <c r="B3" s="672" t="s">
        <v>165</v>
      </c>
      <c r="C3" s="673"/>
      <c r="D3" s="673"/>
      <c r="E3" s="673"/>
      <c r="F3" s="673"/>
      <c r="G3" s="673"/>
      <c r="H3" s="673"/>
      <c r="I3" s="674"/>
      <c r="J3" s="58" t="s">
        <v>5</v>
      </c>
      <c r="K3" s="58" t="s">
        <v>185</v>
      </c>
      <c r="L3" s="59"/>
      <c r="M3" s="459" t="s">
        <v>158</v>
      </c>
      <c r="N3" s="460"/>
      <c r="O3" s="460"/>
      <c r="P3" s="460"/>
      <c r="Q3" s="461"/>
    </row>
    <row r="4" spans="2:21" ht="15" customHeight="1" x14ac:dyDescent="0.25">
      <c r="B4" s="675"/>
      <c r="C4" s="676"/>
      <c r="D4" s="676"/>
      <c r="E4" s="676"/>
      <c r="F4" s="676"/>
      <c r="G4" s="676"/>
      <c r="H4" s="676"/>
      <c r="I4" s="677"/>
      <c r="J4" s="58" t="s">
        <v>62</v>
      </c>
      <c r="K4" s="58" t="s">
        <v>163</v>
      </c>
      <c r="L4" s="59"/>
      <c r="M4" s="462"/>
      <c r="N4" s="463"/>
      <c r="O4" s="463"/>
      <c r="P4" s="463"/>
      <c r="Q4" s="464"/>
    </row>
    <row r="5" spans="2:21" ht="15" customHeight="1" x14ac:dyDescent="0.25">
      <c r="B5" s="675"/>
      <c r="C5" s="676"/>
      <c r="D5" s="676"/>
      <c r="E5" s="676"/>
      <c r="F5" s="676"/>
      <c r="G5" s="676"/>
      <c r="H5" s="676"/>
      <c r="I5" s="677"/>
      <c r="J5" s="58" t="s">
        <v>159</v>
      </c>
      <c r="K5" s="58" t="s">
        <v>200</v>
      </c>
      <c r="L5" s="59"/>
      <c r="M5" s="465"/>
      <c r="N5" s="466"/>
      <c r="O5" s="466"/>
      <c r="P5" s="466"/>
      <c r="Q5" s="467"/>
    </row>
    <row r="6" spans="2:21" ht="15" customHeight="1" x14ac:dyDescent="0.25">
      <c r="B6" s="675"/>
      <c r="C6" s="676"/>
      <c r="D6" s="676"/>
      <c r="E6" s="676"/>
      <c r="F6" s="676"/>
      <c r="G6" s="676"/>
      <c r="H6" s="676"/>
      <c r="I6" s="677"/>
      <c r="J6" s="69" t="s">
        <v>64</v>
      </c>
      <c r="K6" s="69" t="s">
        <v>222</v>
      </c>
      <c r="L6" s="70"/>
      <c r="M6" s="71" t="s">
        <v>67</v>
      </c>
      <c r="N6" s="71" t="s">
        <v>57</v>
      </c>
      <c r="O6" s="71" t="s">
        <v>56</v>
      </c>
      <c r="P6" s="457" t="s">
        <v>172</v>
      </c>
      <c r="Q6" s="458"/>
    </row>
    <row r="7" spans="2:21" ht="9.9499999999999993" customHeight="1" x14ac:dyDescent="0.25">
      <c r="B7" s="65"/>
      <c r="C7" s="17"/>
      <c r="D7" s="17"/>
      <c r="E7" s="17"/>
      <c r="F7" s="17"/>
      <c r="G7" s="45"/>
      <c r="H7" s="45"/>
      <c r="I7" s="45"/>
      <c r="J7" s="45"/>
      <c r="K7" s="45"/>
      <c r="L7" s="45"/>
      <c r="M7" s="45"/>
      <c r="N7" s="45"/>
      <c r="O7" s="45"/>
      <c r="P7" s="45"/>
      <c r="Q7" s="48"/>
    </row>
    <row r="8" spans="2:21" ht="24.95" customHeight="1" x14ac:dyDescent="0.25">
      <c r="B8" s="68" t="s">
        <v>173</v>
      </c>
      <c r="F8" s="2" t="str">
        <f>+'TAHAP 1'!G9</f>
        <v>: PAMERAN TEKNOLOGI INDUSTRI</v>
      </c>
      <c r="Q8" s="18"/>
    </row>
    <row r="9" spans="2:21" ht="9.9499999999999993" customHeight="1" thickBot="1" x14ac:dyDescent="0.3">
      <c r="B9" s="72"/>
      <c r="C9" s="73"/>
      <c r="D9" s="73"/>
      <c r="E9" s="73"/>
      <c r="F9" s="73"/>
      <c r="G9" s="74"/>
      <c r="H9" s="74"/>
      <c r="I9" s="74"/>
      <c r="J9" s="74"/>
      <c r="K9" s="74"/>
      <c r="L9" s="74"/>
      <c r="M9" s="74"/>
      <c r="N9" s="74"/>
      <c r="O9" s="74"/>
      <c r="P9" s="74"/>
      <c r="Q9" s="75"/>
    </row>
    <row r="10" spans="2:21" ht="24.95" customHeight="1" thickTop="1" x14ac:dyDescent="0.25">
      <c r="B10" s="678" t="s">
        <v>187</v>
      </c>
      <c r="C10" s="679"/>
      <c r="D10" s="679"/>
      <c r="M10" s="680"/>
      <c r="N10" s="680"/>
      <c r="O10" s="680"/>
      <c r="P10" s="680"/>
      <c r="Q10" s="681"/>
    </row>
    <row r="11" spans="2:21" s="76" customFormat="1" ht="20.100000000000001" customHeight="1" x14ac:dyDescent="0.3">
      <c r="B11" s="113" t="s">
        <v>161</v>
      </c>
      <c r="C11" s="92"/>
      <c r="D11" s="92"/>
      <c r="E11" s="92"/>
      <c r="F11" s="92"/>
      <c r="M11" s="106"/>
      <c r="N11" s="106"/>
      <c r="Q11" s="77"/>
      <c r="S11" s="401"/>
      <c r="U11" s="401"/>
    </row>
    <row r="12" spans="2:21" s="76" customFormat="1" ht="15" customHeight="1" x14ac:dyDescent="0.25">
      <c r="B12" s="114" t="s">
        <v>83</v>
      </c>
      <c r="C12" s="115"/>
      <c r="D12" s="115"/>
      <c r="E12" s="116"/>
      <c r="F12" s="117" t="s">
        <v>11</v>
      </c>
      <c r="G12" s="118" t="s">
        <v>77</v>
      </c>
      <c r="H12" s="118" t="s">
        <v>192</v>
      </c>
      <c r="I12" s="117" t="s">
        <v>193</v>
      </c>
      <c r="M12" s="106"/>
      <c r="N12" s="106"/>
      <c r="Q12" s="77"/>
      <c r="S12" s="401"/>
      <c r="U12" s="401"/>
    </row>
    <row r="13" spans="2:21" s="76" customFormat="1" ht="15" customHeight="1" x14ac:dyDescent="0.25">
      <c r="B13" s="119" t="s">
        <v>84</v>
      </c>
      <c r="C13" s="120"/>
      <c r="D13" s="120"/>
      <c r="E13" s="121"/>
      <c r="F13" s="122">
        <v>30000</v>
      </c>
      <c r="G13" s="123">
        <v>12500</v>
      </c>
      <c r="H13" s="123">
        <v>20000</v>
      </c>
      <c r="I13" s="122">
        <v>20000</v>
      </c>
      <c r="M13" s="106"/>
      <c r="N13" s="106"/>
      <c r="Q13" s="77"/>
      <c r="S13" s="401"/>
      <c r="U13" s="401"/>
    </row>
    <row r="14" spans="2:21" s="76" customFormat="1" ht="15" customHeight="1" x14ac:dyDescent="0.25">
      <c r="B14" s="119" t="s">
        <v>85</v>
      </c>
      <c r="C14" s="120"/>
      <c r="D14" s="120"/>
      <c r="E14" s="121"/>
      <c r="F14" s="122">
        <v>30000</v>
      </c>
      <c r="G14" s="123">
        <v>12500</v>
      </c>
      <c r="H14" s="123">
        <v>20000</v>
      </c>
      <c r="I14" s="122">
        <v>20000</v>
      </c>
      <c r="Q14" s="77"/>
      <c r="S14" s="401"/>
      <c r="U14" s="401"/>
    </row>
    <row r="15" spans="2:21" s="76" customFormat="1" ht="15" customHeight="1" x14ac:dyDescent="0.25">
      <c r="B15" s="119" t="s">
        <v>86</v>
      </c>
      <c r="C15" s="120"/>
      <c r="D15" s="120"/>
      <c r="E15" s="121"/>
      <c r="F15" s="122">
        <v>35000</v>
      </c>
      <c r="G15" s="123">
        <v>12500</v>
      </c>
      <c r="H15" s="123">
        <v>20000</v>
      </c>
      <c r="I15" s="122">
        <v>20000</v>
      </c>
      <c r="Q15" s="77"/>
      <c r="S15" s="401"/>
      <c r="U15" s="401"/>
    </row>
    <row r="16" spans="2:21" s="76" customFormat="1" ht="15" customHeight="1" x14ac:dyDescent="0.25">
      <c r="B16" s="119" t="s">
        <v>87</v>
      </c>
      <c r="C16" s="120"/>
      <c r="D16" s="120"/>
      <c r="E16" s="121"/>
      <c r="F16" s="122">
        <v>40000</v>
      </c>
      <c r="G16" s="123">
        <v>12500</v>
      </c>
      <c r="H16" s="123">
        <v>27500</v>
      </c>
      <c r="I16" s="122">
        <v>27500</v>
      </c>
      <c r="Q16" s="77"/>
      <c r="S16" s="401"/>
      <c r="U16" s="401"/>
    </row>
    <row r="17" spans="2:21" s="76" customFormat="1" ht="15" customHeight="1" x14ac:dyDescent="0.25">
      <c r="B17" s="119" t="s">
        <v>88</v>
      </c>
      <c r="C17" s="120"/>
      <c r="D17" s="120"/>
      <c r="E17" s="121"/>
      <c r="F17" s="122">
        <v>50000</v>
      </c>
      <c r="G17" s="123">
        <v>22500</v>
      </c>
      <c r="H17" s="123">
        <v>30000</v>
      </c>
      <c r="I17" s="122">
        <v>30000</v>
      </c>
      <c r="Q17" s="77"/>
      <c r="S17" s="401"/>
      <c r="U17" s="401"/>
    </row>
    <row r="18" spans="2:21" s="76" customFormat="1" ht="15" customHeight="1" x14ac:dyDescent="0.25">
      <c r="B18" s="119" t="s">
        <v>89</v>
      </c>
      <c r="C18" s="120"/>
      <c r="D18" s="120"/>
      <c r="E18" s="121"/>
      <c r="F18" s="122">
        <v>60000</v>
      </c>
      <c r="G18" s="123">
        <v>22500</v>
      </c>
      <c r="H18" s="123">
        <v>50000</v>
      </c>
      <c r="I18" s="122">
        <v>50000</v>
      </c>
      <c r="Q18" s="77"/>
      <c r="S18" s="401"/>
      <c r="U18" s="401"/>
    </row>
    <row r="19" spans="2:21" s="76" customFormat="1" ht="15" customHeight="1" x14ac:dyDescent="0.25">
      <c r="B19" s="119" t="s">
        <v>90</v>
      </c>
      <c r="C19" s="120"/>
      <c r="D19" s="120"/>
      <c r="E19" s="121"/>
      <c r="F19" s="122">
        <v>70000</v>
      </c>
      <c r="G19" s="123">
        <v>22500</v>
      </c>
      <c r="H19" s="123">
        <v>60000</v>
      </c>
      <c r="I19" s="122">
        <v>60000</v>
      </c>
      <c r="Q19" s="77"/>
      <c r="S19" s="401"/>
      <c r="U19" s="401"/>
    </row>
    <row r="20" spans="2:21" s="76" customFormat="1" ht="20.100000000000001" customHeight="1" x14ac:dyDescent="0.25">
      <c r="B20" s="202"/>
      <c r="C20" s="203"/>
      <c r="D20" s="203"/>
      <c r="E20" s="204"/>
      <c r="F20" s="92"/>
      <c r="Q20" s="77"/>
      <c r="S20" s="401"/>
      <c r="U20" s="401"/>
    </row>
    <row r="21" spans="2:21" s="76" customFormat="1" ht="20.100000000000001" customHeight="1" x14ac:dyDescent="0.25">
      <c r="B21" s="223"/>
      <c r="C21" s="99" t="s">
        <v>191</v>
      </c>
      <c r="D21" s="98" t="s">
        <v>10</v>
      </c>
      <c r="E21" s="98" t="s">
        <v>87</v>
      </c>
      <c r="F21" s="98"/>
      <c r="G21" s="98"/>
      <c r="H21" s="98"/>
      <c r="I21" s="98"/>
      <c r="J21" s="98"/>
      <c r="Q21" s="77"/>
      <c r="S21" s="401"/>
      <c r="U21" s="401"/>
    </row>
    <row r="22" spans="2:21" s="86" customFormat="1" ht="17.100000000000001" customHeight="1" x14ac:dyDescent="0.25">
      <c r="B22" s="90" t="s">
        <v>34</v>
      </c>
      <c r="C22" s="598" t="s">
        <v>5</v>
      </c>
      <c r="D22" s="598"/>
      <c r="E22" s="598"/>
      <c r="F22" s="90" t="str">
        <f>+$F$12</f>
        <v>UANG SAKU</v>
      </c>
      <c r="G22" s="90" t="str">
        <f>+$G$12</f>
        <v>BREAKFAST</v>
      </c>
      <c r="H22" s="90" t="str">
        <f>+$H$12</f>
        <v>LUNCH</v>
      </c>
      <c r="I22" s="90" t="str">
        <f>+$I$12</f>
        <v>DINNER</v>
      </c>
      <c r="J22" s="90" t="s">
        <v>41</v>
      </c>
      <c r="P22" s="350"/>
      <c r="Q22" s="91"/>
      <c r="S22" s="402"/>
      <c r="U22" s="402"/>
    </row>
    <row r="23" spans="2:21" s="76" customFormat="1" ht="17.100000000000001" customHeight="1" x14ac:dyDescent="0.25">
      <c r="B23" s="220">
        <v>1</v>
      </c>
      <c r="C23" s="599">
        <f>+'TAHAP 1'!$C$13</f>
        <v>45630</v>
      </c>
      <c r="D23" s="599"/>
      <c r="E23" s="599"/>
      <c r="F23" s="221">
        <v>40000</v>
      </c>
      <c r="G23" s="221">
        <v>0</v>
      </c>
      <c r="H23" s="221">
        <v>27500</v>
      </c>
      <c r="I23" s="221">
        <v>27500</v>
      </c>
      <c r="J23" s="222">
        <f>SUM(F23:I23)</f>
        <v>95000</v>
      </c>
      <c r="Q23" s="77"/>
      <c r="S23" s="401"/>
      <c r="U23" s="401"/>
    </row>
    <row r="24" spans="2:21" s="76" customFormat="1" ht="17.100000000000001" customHeight="1" x14ac:dyDescent="0.25">
      <c r="B24" s="220">
        <v>2</v>
      </c>
      <c r="C24" s="599">
        <f>+C23+1</f>
        <v>45631</v>
      </c>
      <c r="D24" s="599"/>
      <c r="E24" s="599"/>
      <c r="F24" s="221">
        <v>40000</v>
      </c>
      <c r="G24" s="221" t="s">
        <v>248</v>
      </c>
      <c r="H24" s="221">
        <v>27500</v>
      </c>
      <c r="I24" s="221">
        <v>27500</v>
      </c>
      <c r="J24" s="222">
        <f t="shared" ref="J24:J25" si="0">SUM(F24:I24)</f>
        <v>95000</v>
      </c>
      <c r="Q24" s="77"/>
      <c r="S24" s="401"/>
      <c r="U24" s="401"/>
    </row>
    <row r="25" spans="2:21" s="76" customFormat="1" ht="17.100000000000001" customHeight="1" thickBot="1" x14ac:dyDescent="0.3">
      <c r="B25" s="225">
        <v>3</v>
      </c>
      <c r="C25" s="614">
        <f>+C24+1</f>
        <v>45632</v>
      </c>
      <c r="D25" s="614"/>
      <c r="E25" s="614"/>
      <c r="F25" s="226">
        <v>40000</v>
      </c>
      <c r="G25" s="226" t="s">
        <v>248</v>
      </c>
      <c r="H25" s="226">
        <v>27500</v>
      </c>
      <c r="I25" s="226">
        <v>27500</v>
      </c>
      <c r="J25" s="227">
        <f t="shared" si="0"/>
        <v>95000</v>
      </c>
      <c r="Q25" s="77"/>
      <c r="S25" s="401"/>
      <c r="U25" s="401"/>
    </row>
    <row r="26" spans="2:21" s="76" customFormat="1" ht="16.5" customHeight="1" thickTop="1" x14ac:dyDescent="0.25">
      <c r="B26" s="600" t="s">
        <v>12</v>
      </c>
      <c r="C26" s="600"/>
      <c r="D26" s="600"/>
      <c r="E26" s="600"/>
      <c r="F26" s="142"/>
      <c r="G26" s="615"/>
      <c r="H26" s="616"/>
      <c r="I26" s="616"/>
      <c r="J26" s="143">
        <f>SUM(J23:J25)</f>
        <v>285000</v>
      </c>
      <c r="Q26" s="77"/>
      <c r="S26" s="401"/>
      <c r="U26" s="401"/>
    </row>
    <row r="27" spans="2:21" s="76" customFormat="1" ht="20.100000000000001" customHeight="1" x14ac:dyDescent="0.25">
      <c r="B27" s="202"/>
      <c r="C27" s="203"/>
      <c r="D27" s="203"/>
      <c r="E27" s="204"/>
      <c r="F27" s="92"/>
      <c r="Q27" s="77"/>
      <c r="S27" s="401"/>
      <c r="U27" s="401"/>
    </row>
    <row r="28" spans="2:21" s="76" customFormat="1" ht="20.100000000000001" customHeight="1" x14ac:dyDescent="0.25">
      <c r="B28" s="223"/>
      <c r="C28" s="99" t="s">
        <v>191</v>
      </c>
      <c r="D28" s="98" t="s">
        <v>10</v>
      </c>
      <c r="E28" s="98" t="s">
        <v>86</v>
      </c>
      <c r="F28" s="98"/>
      <c r="G28" s="98"/>
      <c r="H28" s="98"/>
      <c r="I28" s="98"/>
      <c r="J28" s="98"/>
      <c r="Q28" s="77"/>
      <c r="S28" s="401"/>
      <c r="U28" s="401"/>
    </row>
    <row r="29" spans="2:21" s="86" customFormat="1" ht="17.100000000000001" customHeight="1" x14ac:dyDescent="0.25">
      <c r="B29" s="90" t="s">
        <v>34</v>
      </c>
      <c r="C29" s="598" t="s">
        <v>5</v>
      </c>
      <c r="D29" s="598"/>
      <c r="E29" s="598"/>
      <c r="F29" s="90" t="str">
        <f>+$F$12</f>
        <v>UANG SAKU</v>
      </c>
      <c r="G29" s="90" t="str">
        <f>+$G$12</f>
        <v>BREAKFAST</v>
      </c>
      <c r="H29" s="90" t="str">
        <f>+$H$12</f>
        <v>LUNCH</v>
      </c>
      <c r="I29" s="90" t="str">
        <f>+$I$12</f>
        <v>DINNER</v>
      </c>
      <c r="J29" s="90" t="s">
        <v>41</v>
      </c>
      <c r="P29" s="350"/>
      <c r="Q29" s="91"/>
      <c r="S29" s="402"/>
      <c r="U29" s="402"/>
    </row>
    <row r="30" spans="2:21" s="76" customFormat="1" ht="17.100000000000001" customHeight="1" x14ac:dyDescent="0.25">
      <c r="B30" s="220">
        <v>1</v>
      </c>
      <c r="C30" s="599">
        <f>+'TAHAP 1'!$C$13</f>
        <v>45630</v>
      </c>
      <c r="D30" s="599"/>
      <c r="E30" s="599"/>
      <c r="F30" s="221">
        <v>35000</v>
      </c>
      <c r="G30" s="221">
        <v>0</v>
      </c>
      <c r="H30" s="221">
        <v>20000</v>
      </c>
      <c r="I30" s="221">
        <v>20000</v>
      </c>
      <c r="J30" s="222">
        <f>SUM(F30:I30)</f>
        <v>75000</v>
      </c>
      <c r="Q30" s="77"/>
      <c r="S30" s="401"/>
      <c r="U30" s="401"/>
    </row>
    <row r="31" spans="2:21" s="76" customFormat="1" ht="17.100000000000001" customHeight="1" x14ac:dyDescent="0.25">
      <c r="B31" s="220">
        <v>2</v>
      </c>
      <c r="C31" s="599">
        <f>+C30+1</f>
        <v>45631</v>
      </c>
      <c r="D31" s="599"/>
      <c r="E31" s="599"/>
      <c r="F31" s="221">
        <v>35000</v>
      </c>
      <c r="G31" s="221" t="s">
        <v>248</v>
      </c>
      <c r="H31" s="221">
        <v>20000</v>
      </c>
      <c r="I31" s="221">
        <v>20000</v>
      </c>
      <c r="J31" s="222">
        <f>SUM(F31:I31)</f>
        <v>75000</v>
      </c>
      <c r="Q31" s="77"/>
      <c r="S31" s="401"/>
      <c r="U31" s="401"/>
    </row>
    <row r="32" spans="2:21" s="76" customFormat="1" ht="17.100000000000001" customHeight="1" thickBot="1" x14ac:dyDescent="0.3">
      <c r="B32" s="225">
        <v>3</v>
      </c>
      <c r="C32" s="614">
        <f>+C31+1</f>
        <v>45632</v>
      </c>
      <c r="D32" s="614"/>
      <c r="E32" s="614"/>
      <c r="F32" s="226">
        <v>35000</v>
      </c>
      <c r="G32" s="226" t="s">
        <v>248</v>
      </c>
      <c r="H32" s="226">
        <v>20000</v>
      </c>
      <c r="I32" s="226">
        <v>20000</v>
      </c>
      <c r="J32" s="227">
        <f t="shared" ref="J32" si="1">SUM(F32:I32)</f>
        <v>75000</v>
      </c>
      <c r="Q32" s="77"/>
      <c r="S32" s="401"/>
      <c r="U32" s="401"/>
    </row>
    <row r="33" spans="2:21" s="76" customFormat="1" ht="16.5" customHeight="1" thickTop="1" x14ac:dyDescent="0.25">
      <c r="B33" s="600" t="s">
        <v>12</v>
      </c>
      <c r="C33" s="600"/>
      <c r="D33" s="600"/>
      <c r="E33" s="600"/>
      <c r="F33" s="142"/>
      <c r="G33" s="615"/>
      <c r="H33" s="616"/>
      <c r="I33" s="616"/>
      <c r="J33" s="143">
        <f>SUM(J30:J32)</f>
        <v>225000</v>
      </c>
      <c r="Q33" s="77"/>
      <c r="S33" s="401"/>
      <c r="U33" s="401"/>
    </row>
    <row r="34" spans="2:21" s="12" customFormat="1" ht="20.100000000000001" customHeight="1" x14ac:dyDescent="0.25">
      <c r="B34" s="66"/>
      <c r="C34" s="67"/>
      <c r="D34" s="67"/>
      <c r="E34" s="67"/>
      <c r="F34" s="67"/>
      <c r="G34" s="67"/>
      <c r="H34" s="67"/>
      <c r="I34" s="67"/>
      <c r="J34" s="67"/>
      <c r="K34" s="78"/>
      <c r="L34" s="79"/>
      <c r="M34" s="79"/>
      <c r="N34" s="79"/>
      <c r="O34" s="79"/>
      <c r="P34" s="79"/>
      <c r="Q34" s="80"/>
      <c r="S34" s="403"/>
      <c r="U34" s="403"/>
    </row>
    <row r="35" spans="2:21" s="12" customFormat="1" ht="20.100000000000001" customHeight="1" x14ac:dyDescent="0.25">
      <c r="B35" s="205" t="s">
        <v>181</v>
      </c>
      <c r="C35" s="200"/>
      <c r="D35" s="200"/>
      <c r="E35" s="200"/>
      <c r="F35" s="67"/>
      <c r="G35" s="67"/>
      <c r="H35" s="67"/>
      <c r="I35" s="67"/>
      <c r="J35" s="67"/>
      <c r="K35" s="78"/>
      <c r="L35" s="79"/>
      <c r="M35" s="79"/>
      <c r="N35" s="79"/>
      <c r="O35" s="79"/>
      <c r="P35" s="79"/>
      <c r="Q35" s="80"/>
      <c r="S35" s="403"/>
      <c r="U35" s="403"/>
    </row>
    <row r="36" spans="2:21" s="76" customFormat="1" ht="24.95" customHeight="1" x14ac:dyDescent="0.25">
      <c r="B36" s="128" t="s">
        <v>34</v>
      </c>
      <c r="C36" s="607" t="s">
        <v>3</v>
      </c>
      <c r="D36" s="608"/>
      <c r="E36" s="608"/>
      <c r="F36" s="609"/>
      <c r="G36" s="128" t="s">
        <v>174</v>
      </c>
      <c r="H36" s="609" t="s">
        <v>181</v>
      </c>
      <c r="I36" s="67"/>
      <c r="J36" s="67"/>
      <c r="K36" s="93"/>
      <c r="L36" s="86"/>
      <c r="M36" s="86"/>
      <c r="Q36" s="91"/>
      <c r="S36" s="401"/>
      <c r="U36" s="401"/>
    </row>
    <row r="37" spans="2:21" s="76" customFormat="1" ht="20.100000000000001" customHeight="1" x14ac:dyDescent="0.25">
      <c r="B37" s="85">
        <v>1</v>
      </c>
      <c r="C37" s="610" t="str">
        <f>+'TAHAP 1'!M13</f>
        <v>PUDJI SRI SAPUTRI</v>
      </c>
      <c r="D37" s="610"/>
      <c r="E37" s="610"/>
      <c r="F37" s="610"/>
      <c r="G37" s="140" t="s">
        <v>87</v>
      </c>
      <c r="H37" s="224">
        <f>+J26</f>
        <v>285000</v>
      </c>
      <c r="I37" s="67"/>
      <c r="J37" s="67"/>
      <c r="K37" s="124"/>
      <c r="L37" s="86"/>
      <c r="M37" s="86"/>
      <c r="Q37" s="91"/>
      <c r="S37" s="401"/>
      <c r="U37" s="401"/>
    </row>
    <row r="38" spans="2:21" s="76" customFormat="1" ht="20.100000000000001" customHeight="1" x14ac:dyDescent="0.25">
      <c r="B38" s="85">
        <v>2</v>
      </c>
      <c r="C38" s="610" t="str">
        <f>+'TAHAP 1'!M14</f>
        <v>AGIL ZHEGA PRASETYA</v>
      </c>
      <c r="D38" s="610"/>
      <c r="E38" s="610"/>
      <c r="F38" s="610"/>
      <c r="G38" s="140" t="s">
        <v>87</v>
      </c>
      <c r="H38" s="224">
        <f>+J26</f>
        <v>285000</v>
      </c>
      <c r="I38" s="67"/>
      <c r="J38" s="67"/>
      <c r="K38" s="124"/>
      <c r="L38" s="249"/>
      <c r="M38" s="249"/>
      <c r="Q38" s="250"/>
      <c r="S38" s="401"/>
      <c r="U38" s="401"/>
    </row>
    <row r="39" spans="2:21" s="76" customFormat="1" ht="20.100000000000001" customHeight="1" x14ac:dyDescent="0.25">
      <c r="B39" s="85">
        <v>3</v>
      </c>
      <c r="C39" s="610" t="str">
        <f>+'TAHAP 1'!M15</f>
        <v>MUNHAMIR</v>
      </c>
      <c r="D39" s="610"/>
      <c r="E39" s="610"/>
      <c r="F39" s="610"/>
      <c r="G39" s="140" t="s">
        <v>87</v>
      </c>
      <c r="H39" s="224">
        <f>+J26</f>
        <v>285000</v>
      </c>
      <c r="I39" s="67"/>
      <c r="J39" s="67"/>
      <c r="K39" s="124"/>
      <c r="L39" s="333"/>
      <c r="M39" s="333"/>
      <c r="Q39" s="334"/>
      <c r="S39" s="401"/>
      <c r="U39" s="401"/>
    </row>
    <row r="40" spans="2:21" s="76" customFormat="1" ht="20.100000000000001" customHeight="1" x14ac:dyDescent="0.25">
      <c r="B40" s="85">
        <v>4</v>
      </c>
      <c r="C40" s="610" t="str">
        <f>+'TAHAP 1'!M16</f>
        <v>ADITYA FAHRIZAL</v>
      </c>
      <c r="D40" s="610"/>
      <c r="E40" s="610"/>
      <c r="F40" s="610"/>
      <c r="G40" s="140" t="s">
        <v>87</v>
      </c>
      <c r="H40" s="224">
        <f>+J26</f>
        <v>285000</v>
      </c>
      <c r="I40" s="67"/>
      <c r="J40" s="67"/>
      <c r="K40" s="124"/>
      <c r="L40" s="86"/>
      <c r="M40" s="86"/>
      <c r="Q40" s="91"/>
      <c r="S40" s="401"/>
      <c r="U40" s="401"/>
    </row>
    <row r="41" spans="2:21" s="76" customFormat="1" ht="20.100000000000001" customHeight="1" thickBot="1" x14ac:dyDescent="0.3">
      <c r="B41" s="85">
        <v>5</v>
      </c>
      <c r="C41" s="610" t="str">
        <f>+'TAHAP 1'!M17</f>
        <v>SUPRIYANTO</v>
      </c>
      <c r="D41" s="610"/>
      <c r="E41" s="610"/>
      <c r="F41" s="610"/>
      <c r="G41" s="140" t="s">
        <v>86</v>
      </c>
      <c r="H41" s="224">
        <f>+J33</f>
        <v>225000</v>
      </c>
      <c r="I41" s="67"/>
      <c r="J41" s="67"/>
      <c r="K41" s="124"/>
      <c r="L41" s="86"/>
      <c r="M41" s="86"/>
      <c r="Q41" s="91"/>
      <c r="S41" s="401"/>
      <c r="U41" s="401"/>
    </row>
    <row r="42" spans="2:21" s="76" customFormat="1" ht="24.95" customHeight="1" thickTop="1" x14ac:dyDescent="0.25">
      <c r="B42" s="611" t="s">
        <v>12</v>
      </c>
      <c r="C42" s="612"/>
      <c r="D42" s="612"/>
      <c r="E42" s="612"/>
      <c r="F42" s="612"/>
      <c r="G42" s="613"/>
      <c r="H42" s="141">
        <f>SUM(H37:H41)</f>
        <v>1365000</v>
      </c>
      <c r="I42" s="67"/>
      <c r="J42" s="67"/>
      <c r="K42" s="93"/>
      <c r="L42" s="86"/>
      <c r="M42" s="86"/>
      <c r="Q42" s="91"/>
      <c r="S42" s="401"/>
      <c r="U42" s="401"/>
    </row>
    <row r="43" spans="2:21" s="76" customFormat="1" ht="20.100000000000001" customHeight="1" thickBot="1" x14ac:dyDescent="0.3">
      <c r="B43" s="81"/>
      <c r="C43" s="82"/>
      <c r="D43" s="82"/>
      <c r="E43" s="125"/>
      <c r="F43" s="125"/>
      <c r="G43" s="125"/>
      <c r="H43" s="125"/>
      <c r="I43" s="126"/>
      <c r="J43" s="96"/>
      <c r="K43" s="96"/>
      <c r="L43" s="96"/>
      <c r="M43" s="96"/>
      <c r="N43" s="96"/>
      <c r="O43" s="96"/>
      <c r="P43" s="96"/>
      <c r="Q43" s="127"/>
      <c r="S43" s="401"/>
      <c r="U43" s="401"/>
    </row>
    <row r="44" spans="2:21" s="76" customFormat="1" ht="20.100000000000001" customHeight="1" thickTop="1" x14ac:dyDescent="0.25">
      <c r="B44" s="601" t="s">
        <v>188</v>
      </c>
      <c r="C44" s="602"/>
      <c r="D44" s="602"/>
      <c r="E44" s="602"/>
      <c r="F44" s="602"/>
      <c r="G44" s="602"/>
      <c r="H44" s="602"/>
      <c r="I44" s="602"/>
      <c r="J44" s="602"/>
      <c r="K44" s="602"/>
      <c r="L44" s="602"/>
      <c r="M44" s="602"/>
      <c r="N44" s="602"/>
      <c r="O44" s="602"/>
      <c r="P44" s="602"/>
      <c r="Q44" s="603"/>
      <c r="S44" s="401"/>
      <c r="U44" s="401"/>
    </row>
    <row r="45" spans="2:21" s="76" customFormat="1" ht="20.100000000000001" customHeight="1" x14ac:dyDescent="0.25">
      <c r="B45" s="604"/>
      <c r="C45" s="605"/>
      <c r="D45" s="605"/>
      <c r="E45" s="605"/>
      <c r="F45" s="605"/>
      <c r="G45" s="605"/>
      <c r="H45" s="605"/>
      <c r="I45" s="605"/>
      <c r="J45" s="605"/>
      <c r="K45" s="605"/>
      <c r="L45" s="605"/>
      <c r="M45" s="605"/>
      <c r="N45" s="605"/>
      <c r="O45" s="605"/>
      <c r="P45" s="605"/>
      <c r="Q45" s="606"/>
      <c r="S45" s="401"/>
      <c r="U45" s="401"/>
    </row>
    <row r="46" spans="2:21" s="76" customFormat="1" ht="24.95" hidden="1" customHeight="1" x14ac:dyDescent="0.25">
      <c r="B46" s="218" t="s">
        <v>211</v>
      </c>
      <c r="C46" s="219"/>
      <c r="D46" s="219"/>
      <c r="E46" s="92"/>
      <c r="F46" s="92"/>
      <c r="Q46" s="77"/>
      <c r="S46" s="401"/>
      <c r="U46" s="401"/>
    </row>
    <row r="47" spans="2:21" s="76" customFormat="1" ht="20.100000000000001" hidden="1" customHeight="1" x14ac:dyDescent="0.25">
      <c r="B47" s="208" t="s">
        <v>34</v>
      </c>
      <c r="C47" s="598" t="s">
        <v>50</v>
      </c>
      <c r="D47" s="598"/>
      <c r="E47" s="598" t="s">
        <v>213</v>
      </c>
      <c r="F47" s="598"/>
      <c r="G47" s="598"/>
      <c r="H47" s="598"/>
      <c r="I47" s="598"/>
      <c r="J47" s="598"/>
      <c r="K47" s="97" t="s">
        <v>182</v>
      </c>
      <c r="L47" s="90" t="s">
        <v>212</v>
      </c>
      <c r="M47" s="90" t="s">
        <v>41</v>
      </c>
      <c r="N47" s="90" t="s">
        <v>12</v>
      </c>
      <c r="Q47" s="77"/>
      <c r="S47" s="401"/>
      <c r="U47" s="401"/>
    </row>
    <row r="48" spans="2:21" s="76" customFormat="1" ht="20.100000000000001" hidden="1" customHeight="1" x14ac:dyDescent="0.25">
      <c r="B48" s="209">
        <v>1</v>
      </c>
      <c r="C48" s="624" t="s">
        <v>249</v>
      </c>
      <c r="D48" s="625"/>
      <c r="E48" s="643" t="s">
        <v>7</v>
      </c>
      <c r="F48" s="643"/>
      <c r="G48" s="643"/>
      <c r="H48" s="643"/>
      <c r="I48" s="643"/>
      <c r="J48" s="643"/>
      <c r="K48" s="210"/>
      <c r="L48" s="210"/>
      <c r="M48" s="210"/>
      <c r="N48" s="653"/>
      <c r="O48" s="233"/>
      <c r="P48" s="233"/>
      <c r="Q48" s="77"/>
      <c r="S48" s="401"/>
      <c r="U48" s="401"/>
    </row>
    <row r="49" spans="2:22" s="76" customFormat="1" ht="20.100000000000001" hidden="1" customHeight="1" x14ac:dyDescent="0.25">
      <c r="B49" s="209">
        <v>2</v>
      </c>
      <c r="C49" s="624" t="s">
        <v>250</v>
      </c>
      <c r="D49" s="625"/>
      <c r="E49" s="643" t="s">
        <v>7</v>
      </c>
      <c r="F49" s="643"/>
      <c r="G49" s="643"/>
      <c r="H49" s="643"/>
      <c r="I49" s="643"/>
      <c r="J49" s="643"/>
      <c r="K49" s="210"/>
      <c r="L49" s="210"/>
      <c r="M49" s="210"/>
      <c r="N49" s="654"/>
      <c r="O49" s="233"/>
      <c r="P49" s="233"/>
      <c r="Q49" s="77"/>
      <c r="S49" s="401"/>
      <c r="U49" s="401"/>
    </row>
    <row r="50" spans="2:22" s="76" customFormat="1" ht="20.100000000000001" hidden="1" customHeight="1" x14ac:dyDescent="0.25">
      <c r="B50" s="66"/>
      <c r="C50" s="67"/>
      <c r="D50" s="67"/>
      <c r="E50" s="67"/>
      <c r="F50" s="67"/>
      <c r="G50" s="67"/>
      <c r="H50" s="22"/>
      <c r="I50" s="103"/>
      <c r="J50" s="67"/>
      <c r="K50" s="234"/>
      <c r="L50" s="86"/>
      <c r="M50" s="86"/>
      <c r="Q50" s="77"/>
      <c r="S50" s="401"/>
      <c r="U50" s="401"/>
    </row>
    <row r="51" spans="2:22" s="76" customFormat="1" ht="18" hidden="1" customHeight="1" x14ac:dyDescent="0.25">
      <c r="B51" s="66"/>
      <c r="C51" s="67"/>
      <c r="D51" s="67"/>
      <c r="E51" s="67"/>
      <c r="F51" s="67"/>
      <c r="G51" s="67"/>
      <c r="H51" s="22"/>
      <c r="I51" s="103"/>
      <c r="J51" s="67"/>
      <c r="K51" s="93"/>
      <c r="L51" s="86"/>
      <c r="M51" s="86"/>
      <c r="Q51" s="77"/>
      <c r="S51" s="401"/>
      <c r="U51" s="401"/>
    </row>
    <row r="52" spans="2:22" s="76" customFormat="1" ht="18" hidden="1" customHeight="1" x14ac:dyDescent="0.25">
      <c r="B52" s="66"/>
      <c r="C52" s="67"/>
      <c r="D52" s="67"/>
      <c r="E52" s="67"/>
      <c r="F52" s="67"/>
      <c r="G52" s="67"/>
      <c r="H52" s="22"/>
      <c r="I52" s="103"/>
      <c r="J52" s="67"/>
      <c r="K52" s="93"/>
      <c r="L52" s="86"/>
      <c r="M52" s="86"/>
      <c r="Q52" s="77"/>
      <c r="S52" s="401"/>
      <c r="U52" s="401"/>
    </row>
    <row r="53" spans="2:22" s="76" customFormat="1" ht="24.95" customHeight="1" x14ac:dyDescent="0.25">
      <c r="B53" s="367" t="s">
        <v>262</v>
      </c>
      <c r="C53" s="368"/>
      <c r="D53" s="373"/>
      <c r="E53" s="92"/>
      <c r="F53" s="92"/>
      <c r="Q53" s="77"/>
      <c r="S53" s="401"/>
      <c r="U53" s="401"/>
    </row>
    <row r="54" spans="2:22" s="76" customFormat="1" ht="24.95" customHeight="1" x14ac:dyDescent="0.25">
      <c r="B54" s="104"/>
      <c r="C54" s="67"/>
      <c r="D54" s="67"/>
      <c r="E54" s="92"/>
      <c r="F54" s="92"/>
      <c r="Q54" s="77"/>
      <c r="S54" s="401"/>
      <c r="U54" s="401"/>
    </row>
    <row r="55" spans="2:22" s="76" customFormat="1" ht="30" customHeight="1" x14ac:dyDescent="0.25">
      <c r="B55" s="109"/>
      <c r="C55" s="67"/>
      <c r="D55" s="67"/>
      <c r="E55" s="92"/>
      <c r="F55" s="630" t="s">
        <v>251</v>
      </c>
      <c r="G55" s="631"/>
      <c r="H55" s="631"/>
      <c r="I55" s="637" t="s">
        <v>263</v>
      </c>
      <c r="J55" s="631"/>
      <c r="K55" s="638"/>
      <c r="L55" s="631" t="s">
        <v>252</v>
      </c>
      <c r="M55" s="631"/>
      <c r="N55" s="639"/>
      <c r="O55" s="594" t="s">
        <v>271</v>
      </c>
      <c r="P55" s="594"/>
      <c r="Q55" s="595"/>
      <c r="S55" s="401"/>
      <c r="U55" s="401"/>
    </row>
    <row r="56" spans="2:22" s="22" customFormat="1" ht="24.95" customHeight="1" thickBot="1" x14ac:dyDescent="0.3">
      <c r="B56" s="90" t="s">
        <v>34</v>
      </c>
      <c r="C56" s="640" t="s">
        <v>48</v>
      </c>
      <c r="D56" s="641"/>
      <c r="E56" s="642"/>
      <c r="F56" s="355" t="s">
        <v>39</v>
      </c>
      <c r="G56" s="355" t="s">
        <v>40</v>
      </c>
      <c r="H56" s="374" t="s">
        <v>194</v>
      </c>
      <c r="I56" s="382" t="s">
        <v>39</v>
      </c>
      <c r="J56" s="355" t="s">
        <v>40</v>
      </c>
      <c r="K56" s="383" t="s">
        <v>194</v>
      </c>
      <c r="L56" s="381" t="s">
        <v>39</v>
      </c>
      <c r="M56" s="355" t="s">
        <v>40</v>
      </c>
      <c r="N56" s="376" t="s">
        <v>194</v>
      </c>
      <c r="O56" s="381" t="s">
        <v>39</v>
      </c>
      <c r="P56" s="355" t="s">
        <v>40</v>
      </c>
      <c r="Q56" s="376" t="s">
        <v>194</v>
      </c>
      <c r="S56" s="404"/>
      <c r="U56" s="404"/>
    </row>
    <row r="57" spans="2:22" s="76" customFormat="1" ht="24.95" customHeight="1" thickTop="1" x14ac:dyDescent="0.25">
      <c r="B57" s="146" t="s">
        <v>205</v>
      </c>
      <c r="C57" s="353"/>
      <c r="D57" s="353"/>
      <c r="E57" s="353"/>
      <c r="F57" s="356">
        <v>4000000</v>
      </c>
      <c r="G57" s="356">
        <v>3</v>
      </c>
      <c r="H57" s="357">
        <f>+F57*G57</f>
        <v>12000000</v>
      </c>
      <c r="I57" s="384">
        <v>2850000</v>
      </c>
      <c r="J57" s="356">
        <v>3</v>
      </c>
      <c r="K57" s="385">
        <f>+I57*J57</f>
        <v>8550000</v>
      </c>
      <c r="L57" s="358">
        <v>1875000</v>
      </c>
      <c r="M57" s="356">
        <v>3</v>
      </c>
      <c r="N57" s="377">
        <f>+L57*M57</f>
        <v>5625000</v>
      </c>
      <c r="O57" s="358">
        <v>2075000</v>
      </c>
      <c r="P57" s="356">
        <v>3</v>
      </c>
      <c r="Q57" s="377">
        <f>+O57*P57</f>
        <v>6225000</v>
      </c>
      <c r="S57" s="401">
        <v>3750000</v>
      </c>
      <c r="T57" s="76">
        <v>2</v>
      </c>
      <c r="U57" s="401">
        <f>+S57/T57</f>
        <v>1875000</v>
      </c>
    </row>
    <row r="58" spans="2:22" s="76" customFormat="1" ht="17.100000000000001" customHeight="1" x14ac:dyDescent="0.25">
      <c r="B58" s="150"/>
      <c r="C58" s="151"/>
      <c r="D58" s="151"/>
      <c r="E58" s="151"/>
      <c r="F58" s="152"/>
      <c r="G58" s="152"/>
      <c r="H58" s="153"/>
      <c r="I58" s="152"/>
      <c r="J58" s="152"/>
      <c r="K58" s="153"/>
      <c r="L58" s="152"/>
      <c r="M58" s="152"/>
      <c r="N58" s="153"/>
      <c r="O58" s="152"/>
      <c r="P58" s="152"/>
      <c r="Q58" s="409"/>
      <c r="S58" s="401">
        <v>400000</v>
      </c>
      <c r="U58" s="401"/>
    </row>
    <row r="59" spans="2:22" s="76" customFormat="1" ht="17.100000000000001" customHeight="1" x14ac:dyDescent="0.25">
      <c r="B59" s="359" t="s">
        <v>253</v>
      </c>
      <c r="C59" s="147"/>
      <c r="D59" s="147"/>
      <c r="E59" s="147"/>
      <c r="F59" s="148"/>
      <c r="G59" s="148"/>
      <c r="H59" s="149"/>
      <c r="I59" s="148"/>
      <c r="J59" s="148"/>
      <c r="K59" s="149"/>
      <c r="L59" s="148"/>
      <c r="M59" s="148"/>
      <c r="N59" s="149"/>
      <c r="O59" s="148"/>
      <c r="P59" s="148"/>
      <c r="Q59" s="343"/>
      <c r="S59" s="401">
        <f>+S57+S58</f>
        <v>4150000</v>
      </c>
      <c r="T59" s="76">
        <v>2</v>
      </c>
      <c r="U59" s="401">
        <f>+S59/T59</f>
        <v>2075000</v>
      </c>
      <c r="V59" s="408">
        <f>+S59+U59</f>
        <v>6225000</v>
      </c>
    </row>
    <row r="60" spans="2:22" s="22" customFormat="1" ht="24.95" customHeight="1" x14ac:dyDescent="0.25">
      <c r="B60" s="90" t="s">
        <v>34</v>
      </c>
      <c r="C60" s="640" t="s">
        <v>48</v>
      </c>
      <c r="D60" s="641"/>
      <c r="E60" s="642"/>
      <c r="F60" s="339" t="s">
        <v>39</v>
      </c>
      <c r="G60" s="339" t="s">
        <v>40</v>
      </c>
      <c r="H60" s="374" t="s">
        <v>194</v>
      </c>
      <c r="I60" s="389" t="s">
        <v>39</v>
      </c>
      <c r="J60" s="339" t="s">
        <v>40</v>
      </c>
      <c r="K60" s="383" t="s">
        <v>194</v>
      </c>
      <c r="L60" s="336" t="s">
        <v>39</v>
      </c>
      <c r="M60" s="339" t="s">
        <v>40</v>
      </c>
      <c r="N60" s="376" t="s">
        <v>194</v>
      </c>
      <c r="O60" s="352" t="s">
        <v>39</v>
      </c>
      <c r="P60" s="351" t="s">
        <v>40</v>
      </c>
      <c r="Q60" s="376" t="s">
        <v>194</v>
      </c>
      <c r="S60" s="404"/>
      <c r="U60" s="404"/>
    </row>
    <row r="61" spans="2:22" s="76" customFormat="1" ht="18" customHeight="1" x14ac:dyDescent="0.25">
      <c r="B61" s="85">
        <v>1</v>
      </c>
      <c r="C61" s="632" t="s">
        <v>49</v>
      </c>
      <c r="D61" s="633"/>
      <c r="E61" s="634"/>
      <c r="F61" s="138">
        <v>0</v>
      </c>
      <c r="G61" s="139"/>
      <c r="H61" s="338"/>
      <c r="I61" s="390">
        <v>0</v>
      </c>
      <c r="J61" s="139"/>
      <c r="K61" s="391"/>
      <c r="L61" s="375">
        <v>0</v>
      </c>
      <c r="M61" s="139"/>
      <c r="N61" s="378"/>
      <c r="O61" s="375">
        <v>0</v>
      </c>
      <c r="P61" s="139"/>
      <c r="Q61" s="378"/>
      <c r="S61" s="401"/>
      <c r="U61" s="401"/>
    </row>
    <row r="62" spans="2:22" s="76" customFormat="1" ht="18" customHeight="1" x14ac:dyDescent="0.25">
      <c r="B62" s="85">
        <v>2</v>
      </c>
      <c r="C62" s="100" t="s">
        <v>46</v>
      </c>
      <c r="D62" s="101"/>
      <c r="E62" s="102"/>
      <c r="F62" s="138">
        <v>0</v>
      </c>
      <c r="G62" s="139"/>
      <c r="H62" s="338"/>
      <c r="I62" s="390">
        <v>0</v>
      </c>
      <c r="J62" s="139"/>
      <c r="K62" s="391"/>
      <c r="L62" s="375">
        <v>0</v>
      </c>
      <c r="M62" s="139"/>
      <c r="N62" s="378"/>
      <c r="O62" s="375">
        <v>0</v>
      </c>
      <c r="P62" s="139"/>
      <c r="Q62" s="378"/>
      <c r="S62" s="401"/>
      <c r="U62" s="401"/>
    </row>
    <row r="63" spans="2:22" s="76" customFormat="1" ht="18" customHeight="1" x14ac:dyDescent="0.25">
      <c r="B63" s="85">
        <v>3</v>
      </c>
      <c r="C63" s="100" t="s">
        <v>47</v>
      </c>
      <c r="D63" s="101"/>
      <c r="E63" s="102"/>
      <c r="F63" s="138">
        <v>150000</v>
      </c>
      <c r="G63" s="139">
        <v>2</v>
      </c>
      <c r="H63" s="338">
        <f>+F63*G63</f>
        <v>300000</v>
      </c>
      <c r="I63" s="390">
        <v>150000</v>
      </c>
      <c r="J63" s="139">
        <v>2</v>
      </c>
      <c r="K63" s="391">
        <f>+I63*J63</f>
        <v>300000</v>
      </c>
      <c r="L63" s="375">
        <v>150000</v>
      </c>
      <c r="M63" s="139">
        <v>2</v>
      </c>
      <c r="N63" s="378">
        <f>+L63*M63</f>
        <v>300000</v>
      </c>
      <c r="O63" s="375">
        <v>150000</v>
      </c>
      <c r="P63" s="139">
        <v>2</v>
      </c>
      <c r="Q63" s="378">
        <f>+O63*P63</f>
        <v>300000</v>
      </c>
      <c r="S63" s="401"/>
      <c r="U63" s="401"/>
    </row>
    <row r="64" spans="2:22" s="76" customFormat="1" ht="18" customHeight="1" x14ac:dyDescent="0.25">
      <c r="B64" s="85">
        <v>4</v>
      </c>
      <c r="C64" s="100" t="s">
        <v>45</v>
      </c>
      <c r="D64" s="101"/>
      <c r="E64" s="102"/>
      <c r="F64" s="138">
        <v>0</v>
      </c>
      <c r="G64" s="139"/>
      <c r="H64" s="338"/>
      <c r="I64" s="390">
        <v>0</v>
      </c>
      <c r="J64" s="139"/>
      <c r="K64" s="391"/>
      <c r="L64" s="375">
        <v>0</v>
      </c>
      <c r="M64" s="139"/>
      <c r="N64" s="378"/>
      <c r="O64" s="375">
        <v>0</v>
      </c>
      <c r="P64" s="139"/>
      <c r="Q64" s="378"/>
      <c r="S64" s="401"/>
      <c r="U64" s="401"/>
    </row>
    <row r="65" spans="2:21" s="76" customFormat="1" ht="18" customHeight="1" x14ac:dyDescent="0.25">
      <c r="B65" s="85">
        <v>5</v>
      </c>
      <c r="C65" s="632" t="s">
        <v>42</v>
      </c>
      <c r="D65" s="633"/>
      <c r="E65" s="634"/>
      <c r="F65" s="138">
        <v>0</v>
      </c>
      <c r="G65" s="139"/>
      <c r="H65" s="338"/>
      <c r="I65" s="390">
        <v>0</v>
      </c>
      <c r="J65" s="139"/>
      <c r="K65" s="391"/>
      <c r="L65" s="375">
        <v>0</v>
      </c>
      <c r="M65" s="139"/>
      <c r="N65" s="378"/>
      <c r="O65" s="375">
        <v>0</v>
      </c>
      <c r="P65" s="139"/>
      <c r="Q65" s="378"/>
      <c r="S65" s="401"/>
      <c r="U65" s="401"/>
    </row>
    <row r="66" spans="2:21" s="76" customFormat="1" ht="18" customHeight="1" x14ac:dyDescent="0.25">
      <c r="B66" s="85">
        <v>6</v>
      </c>
      <c r="C66" s="632" t="s">
        <v>43</v>
      </c>
      <c r="D66" s="633"/>
      <c r="E66" s="634"/>
      <c r="F66" s="138">
        <v>700000</v>
      </c>
      <c r="G66" s="139">
        <v>2</v>
      </c>
      <c r="H66" s="338">
        <f>+G66*F66</f>
        <v>1400000</v>
      </c>
      <c r="I66" s="390">
        <v>700000</v>
      </c>
      <c r="J66" s="139">
        <v>2</v>
      </c>
      <c r="K66" s="391">
        <f>+J66*I66</f>
        <v>1400000</v>
      </c>
      <c r="L66" s="375">
        <v>700000</v>
      </c>
      <c r="M66" s="139">
        <v>2</v>
      </c>
      <c r="N66" s="378">
        <f>+M66*L66</f>
        <v>1400000</v>
      </c>
      <c r="O66" s="375">
        <v>700000</v>
      </c>
      <c r="P66" s="139">
        <v>2</v>
      </c>
      <c r="Q66" s="378">
        <f>+P66*O66</f>
        <v>1400000</v>
      </c>
      <c r="S66" s="401"/>
      <c r="U66" s="401"/>
    </row>
    <row r="67" spans="2:21" s="76" customFormat="1" ht="18" customHeight="1" x14ac:dyDescent="0.25">
      <c r="B67" s="85">
        <v>7</v>
      </c>
      <c r="C67" s="621" t="s">
        <v>44</v>
      </c>
      <c r="D67" s="621"/>
      <c r="E67" s="621"/>
      <c r="F67" s="138">
        <v>0</v>
      </c>
      <c r="G67" s="138"/>
      <c r="H67" s="139"/>
      <c r="I67" s="390">
        <v>0</v>
      </c>
      <c r="J67" s="138"/>
      <c r="K67" s="392"/>
      <c r="L67" s="375">
        <v>0</v>
      </c>
      <c r="M67" s="138"/>
      <c r="N67" s="138"/>
      <c r="O67" s="375">
        <v>0</v>
      </c>
      <c r="P67" s="138"/>
      <c r="Q67" s="138"/>
      <c r="S67" s="401"/>
      <c r="U67" s="401"/>
    </row>
    <row r="68" spans="2:21" s="76" customFormat="1" ht="18" customHeight="1" thickBot="1" x14ac:dyDescent="0.3">
      <c r="B68" s="206">
        <v>8</v>
      </c>
      <c r="C68" s="691" t="s">
        <v>210</v>
      </c>
      <c r="D68" s="692"/>
      <c r="E68" s="693"/>
      <c r="F68" s="227">
        <v>0</v>
      </c>
      <c r="G68" s="227"/>
      <c r="H68" s="386"/>
      <c r="I68" s="393">
        <v>0</v>
      </c>
      <c r="J68" s="227"/>
      <c r="K68" s="394"/>
      <c r="L68" s="388">
        <v>0</v>
      </c>
      <c r="M68" s="227"/>
      <c r="N68" s="226"/>
      <c r="O68" s="388">
        <v>0</v>
      </c>
      <c r="P68" s="227"/>
      <c r="Q68" s="226"/>
      <c r="S68" s="401"/>
      <c r="U68" s="401"/>
    </row>
    <row r="69" spans="2:21" s="76" customFormat="1" ht="24.95" customHeight="1" thickTop="1" x14ac:dyDescent="0.25">
      <c r="B69" s="146" t="s">
        <v>206</v>
      </c>
      <c r="C69" s="353"/>
      <c r="D69" s="353"/>
      <c r="E69" s="353"/>
      <c r="F69" s="98"/>
      <c r="G69" s="354"/>
      <c r="H69" s="387">
        <f>SUM(H61:H68)</f>
        <v>1700000</v>
      </c>
      <c r="I69" s="395"/>
      <c r="J69" s="354"/>
      <c r="K69" s="396">
        <f>SUM(K61:K68)</f>
        <v>1700000</v>
      </c>
      <c r="L69" s="98"/>
      <c r="M69" s="354"/>
      <c r="N69" s="380">
        <f>SUM(N61:N68)</f>
        <v>1700000</v>
      </c>
      <c r="O69" s="98"/>
      <c r="P69" s="354"/>
      <c r="Q69" s="380">
        <f>SUM(Q61:Q68)</f>
        <v>1700000</v>
      </c>
      <c r="S69" s="401"/>
      <c r="U69" s="401"/>
    </row>
    <row r="70" spans="2:21" s="76" customFormat="1" ht="9.9499999999999993" customHeight="1" x14ac:dyDescent="0.25">
      <c r="B70" s="66"/>
      <c r="C70" s="67"/>
      <c r="D70" s="67"/>
      <c r="E70" s="67"/>
      <c r="F70" s="67"/>
      <c r="G70" s="67"/>
      <c r="H70" s="276"/>
      <c r="I70" s="67"/>
      <c r="J70" s="67"/>
      <c r="K70" s="276"/>
      <c r="L70" s="67"/>
      <c r="M70" s="67"/>
      <c r="N70" s="276"/>
      <c r="O70" s="67"/>
      <c r="P70" s="67"/>
      <c r="Q70" s="276"/>
      <c r="S70" s="401"/>
      <c r="U70" s="401"/>
    </row>
    <row r="71" spans="2:21" s="76" customFormat="1" ht="30" customHeight="1" x14ac:dyDescent="0.25">
      <c r="B71" s="66"/>
      <c r="C71" s="67"/>
      <c r="D71" s="67"/>
      <c r="E71" s="67"/>
      <c r="F71" s="67"/>
      <c r="G71" s="67"/>
      <c r="H71" s="379">
        <f>+H69+H57</f>
        <v>13700000</v>
      </c>
      <c r="I71" s="67"/>
      <c r="J71" s="67"/>
      <c r="K71" s="379">
        <f>+K69+K57</f>
        <v>10250000</v>
      </c>
      <c r="L71" s="67"/>
      <c r="M71" s="67"/>
      <c r="N71" s="379">
        <f>+N69+N57</f>
        <v>7325000</v>
      </c>
      <c r="O71" s="67"/>
      <c r="P71" s="67"/>
      <c r="Q71" s="379">
        <f>+Q69+Q57</f>
        <v>7925000</v>
      </c>
      <c r="S71" s="401"/>
      <c r="U71" s="401"/>
    </row>
    <row r="72" spans="2:21" s="76" customFormat="1" ht="30" customHeight="1" x14ac:dyDescent="0.25">
      <c r="B72" s="66"/>
      <c r="C72" s="67"/>
      <c r="D72" s="67"/>
      <c r="E72" s="67"/>
      <c r="F72" s="67"/>
      <c r="G72" s="67"/>
      <c r="H72" s="397"/>
      <c r="I72" s="67"/>
      <c r="J72" s="67"/>
      <c r="K72" s="397"/>
      <c r="L72" s="67"/>
      <c r="M72" s="67"/>
      <c r="N72" s="397"/>
      <c r="Q72" s="77"/>
      <c r="S72" s="401"/>
      <c r="U72" s="401"/>
    </row>
    <row r="73" spans="2:21" s="76" customFormat="1" ht="20.100000000000001" customHeight="1" x14ac:dyDescent="0.25">
      <c r="B73" s="66"/>
      <c r="C73" s="67"/>
      <c r="D73" s="67"/>
      <c r="E73" s="67"/>
      <c r="F73" s="67"/>
      <c r="G73" s="67"/>
      <c r="J73" s="67"/>
      <c r="K73" s="93"/>
      <c r="L73" s="86"/>
      <c r="M73" s="86"/>
      <c r="O73" s="129"/>
      <c r="P73" s="129"/>
      <c r="Q73" s="108"/>
      <c r="S73" s="401"/>
      <c r="U73" s="401"/>
    </row>
    <row r="74" spans="2:21" s="76" customFormat="1" ht="24.95" customHeight="1" x14ac:dyDescent="0.25">
      <c r="B74" s="367" t="s">
        <v>72</v>
      </c>
      <c r="C74" s="368"/>
      <c r="D74" s="368"/>
      <c r="E74" s="369"/>
      <c r="F74" s="369"/>
      <c r="G74" s="369"/>
      <c r="H74" s="369"/>
      <c r="I74" s="369"/>
      <c r="J74" s="369"/>
      <c r="K74" s="370"/>
      <c r="L74" s="370"/>
      <c r="M74" s="371"/>
      <c r="N74" s="371"/>
      <c r="O74" s="371"/>
      <c r="P74" s="371"/>
      <c r="Q74" s="372"/>
      <c r="R74" s="107"/>
      <c r="S74" s="401"/>
      <c r="U74" s="401"/>
    </row>
    <row r="75" spans="2:21" s="105" customFormat="1" ht="20.100000000000001" customHeight="1" x14ac:dyDescent="0.25">
      <c r="B75" s="684" t="s">
        <v>1</v>
      </c>
      <c r="C75" s="686" t="s">
        <v>195</v>
      </c>
      <c r="D75" s="687"/>
      <c r="E75" s="687"/>
      <c r="F75" s="688"/>
      <c r="G75" s="647" t="s">
        <v>51</v>
      </c>
      <c r="H75" s="648"/>
      <c r="I75" s="648"/>
      <c r="J75" s="649"/>
      <c r="K75" s="647" t="s">
        <v>196</v>
      </c>
      <c r="L75" s="649"/>
      <c r="M75" s="647" t="s">
        <v>39</v>
      </c>
      <c r="N75" s="649"/>
      <c r="O75" s="682"/>
      <c r="P75" s="682"/>
      <c r="Q75" s="683"/>
      <c r="R75" s="682"/>
      <c r="S75" s="405"/>
      <c r="U75" s="405"/>
    </row>
    <row r="76" spans="2:21" s="105" customFormat="1" ht="20.100000000000001" customHeight="1" thickBot="1" x14ac:dyDescent="0.3">
      <c r="B76" s="685"/>
      <c r="C76" s="689" t="s">
        <v>197</v>
      </c>
      <c r="D76" s="690"/>
      <c r="E76" s="689" t="s">
        <v>198</v>
      </c>
      <c r="F76" s="690"/>
      <c r="G76" s="650"/>
      <c r="H76" s="651"/>
      <c r="I76" s="651"/>
      <c r="J76" s="652"/>
      <c r="K76" s="650"/>
      <c r="L76" s="652"/>
      <c r="M76" s="650"/>
      <c r="N76" s="652"/>
      <c r="O76" s="682"/>
      <c r="P76" s="682"/>
      <c r="Q76" s="683"/>
      <c r="R76" s="682"/>
      <c r="S76" s="405"/>
      <c r="U76" s="405"/>
    </row>
    <row r="77" spans="2:21" s="92" customFormat="1" ht="99.95" customHeight="1" thickTop="1" x14ac:dyDescent="0.25">
      <c r="B77" s="341">
        <v>1</v>
      </c>
      <c r="C77" s="622">
        <f>+'TAHAP 1'!C13</f>
        <v>45630</v>
      </c>
      <c r="D77" s="623"/>
      <c r="E77" s="622">
        <f>+'TAHAP 1'!F13</f>
        <v>45632</v>
      </c>
      <c r="F77" s="623"/>
      <c r="G77" s="644" t="s">
        <v>261</v>
      </c>
      <c r="H77" s="645"/>
      <c r="I77" s="645"/>
      <c r="J77" s="646"/>
      <c r="K77" s="635" t="s">
        <v>254</v>
      </c>
      <c r="L77" s="636"/>
      <c r="M77" s="344"/>
      <c r="N77" s="342">
        <v>1464000</v>
      </c>
      <c r="O77" s="136"/>
      <c r="P77" s="136"/>
      <c r="Q77" s="137"/>
      <c r="R77" s="135"/>
      <c r="S77" s="406"/>
      <c r="U77" s="406"/>
    </row>
    <row r="78" spans="2:21" s="92" customFormat="1" ht="60" customHeight="1" x14ac:dyDescent="0.25">
      <c r="B78" s="140">
        <v>2</v>
      </c>
      <c r="C78" s="626">
        <f>+'TAHAP 1'!C14</f>
        <v>45630</v>
      </c>
      <c r="D78" s="627"/>
      <c r="E78" s="626">
        <f>+'TAHAP 1'!F14</f>
        <v>45632</v>
      </c>
      <c r="F78" s="627"/>
      <c r="G78" s="702" t="s">
        <v>255</v>
      </c>
      <c r="H78" s="703"/>
      <c r="I78" s="703"/>
      <c r="J78" s="704"/>
      <c r="K78" s="699" t="s">
        <v>256</v>
      </c>
      <c r="L78" s="700"/>
      <c r="M78" s="700"/>
      <c r="N78" s="701"/>
      <c r="O78" s="136"/>
      <c r="P78" s="136"/>
      <c r="Q78" s="137"/>
      <c r="R78" s="135"/>
      <c r="S78" s="406"/>
      <c r="U78" s="406"/>
    </row>
    <row r="79" spans="2:21" s="92" customFormat="1" ht="99.95" customHeight="1" x14ac:dyDescent="0.25">
      <c r="B79" s="335">
        <v>3</v>
      </c>
      <c r="C79" s="626">
        <f>+'TAHAP 1'!C15</f>
        <v>45630</v>
      </c>
      <c r="D79" s="627"/>
      <c r="E79" s="626">
        <f>+'TAHAP 1'!F15</f>
        <v>45632</v>
      </c>
      <c r="F79" s="627"/>
      <c r="G79" s="702" t="s">
        <v>260</v>
      </c>
      <c r="H79" s="703"/>
      <c r="I79" s="703"/>
      <c r="J79" s="704"/>
      <c r="K79" s="705" t="s">
        <v>258</v>
      </c>
      <c r="L79" s="706"/>
      <c r="M79" s="345"/>
      <c r="N79" s="343">
        <v>780000</v>
      </c>
      <c r="O79" s="136"/>
      <c r="P79" s="136"/>
      <c r="Q79" s="137"/>
      <c r="R79" s="135"/>
      <c r="S79" s="406"/>
      <c r="U79" s="406"/>
    </row>
    <row r="80" spans="2:21" s="92" customFormat="1" ht="120" customHeight="1" x14ac:dyDescent="0.25">
      <c r="B80" s="335">
        <v>4</v>
      </c>
      <c r="C80" s="628">
        <f>+'TAHAP 1'!C15</f>
        <v>45630</v>
      </c>
      <c r="D80" s="629"/>
      <c r="E80" s="628">
        <f>+'TAHAP 1'!F15</f>
        <v>45632</v>
      </c>
      <c r="F80" s="629"/>
      <c r="G80" s="694" t="s">
        <v>259</v>
      </c>
      <c r="H80" s="695"/>
      <c r="I80" s="695"/>
      <c r="J80" s="696"/>
      <c r="K80" s="697" t="s">
        <v>257</v>
      </c>
      <c r="L80" s="698"/>
      <c r="M80" s="345"/>
      <c r="N80" s="343">
        <v>613000</v>
      </c>
      <c r="O80" s="136"/>
      <c r="P80" s="136"/>
      <c r="Q80" s="137"/>
      <c r="R80" s="135"/>
      <c r="S80" s="406"/>
      <c r="U80" s="406"/>
    </row>
    <row r="81" spans="2:21" s="92" customFormat="1" ht="21.95" customHeight="1" x14ac:dyDescent="0.25">
      <c r="B81" s="131"/>
      <c r="C81" s="132"/>
      <c r="D81" s="132"/>
      <c r="E81" s="132"/>
      <c r="F81" s="132"/>
      <c r="G81" s="201" t="str">
        <f>+G77</f>
        <v>Novotel Jakarta Mangga Dua Square
Jalan Gunung Sahari Raya No 1, Mangga Besar - West Jakarta, Jakarta, 14420, Indonesia.
CI/CO : 04 - 06 Dec (02 Malam)
Deluxe : IDR 1.464.000/room/night include breakfast</v>
      </c>
      <c r="H81" s="112"/>
      <c r="I81" s="112"/>
      <c r="J81" s="112"/>
      <c r="K81" s="112"/>
      <c r="L81" s="112"/>
      <c r="M81" s="112"/>
      <c r="N81" s="133"/>
      <c r="O81" s="133"/>
      <c r="P81" s="133"/>
      <c r="Q81" s="229"/>
      <c r="R81" s="135"/>
      <c r="S81" s="406"/>
      <c r="U81" s="406"/>
    </row>
    <row r="82" spans="2:21" s="92" customFormat="1" ht="21.95" customHeight="1" x14ac:dyDescent="0.25">
      <c r="B82" s="131"/>
      <c r="C82" s="132"/>
      <c r="D82" s="132"/>
      <c r="E82" s="132"/>
      <c r="F82" s="132"/>
      <c r="G82" s="112"/>
      <c r="H82" s="112"/>
      <c r="I82" s="112"/>
      <c r="J82" s="112"/>
      <c r="K82" s="112"/>
      <c r="L82" s="112"/>
      <c r="M82" s="112"/>
      <c r="N82" s="133"/>
      <c r="O82" s="133"/>
      <c r="P82" s="133"/>
      <c r="Q82" s="134"/>
      <c r="R82" s="130"/>
      <c r="S82" s="406"/>
      <c r="U82" s="406"/>
    </row>
    <row r="83" spans="2:21" s="92" customFormat="1" ht="21.95" customHeight="1" thickBot="1" x14ac:dyDescent="0.3">
      <c r="B83" s="131"/>
      <c r="C83" s="620" t="s">
        <v>3</v>
      </c>
      <c r="D83" s="620"/>
      <c r="E83" s="365" t="s">
        <v>204</v>
      </c>
      <c r="F83" s="365" t="s">
        <v>202</v>
      </c>
      <c r="G83" s="365" t="s">
        <v>203</v>
      </c>
      <c r="H83" s="365" t="s">
        <v>182</v>
      </c>
      <c r="I83" s="365" t="s">
        <v>78</v>
      </c>
      <c r="J83" s="366" t="s">
        <v>41</v>
      </c>
      <c r="K83" s="366" t="s">
        <v>41</v>
      </c>
      <c r="L83" s="112"/>
      <c r="M83" s="112"/>
      <c r="N83" s="133"/>
      <c r="O83" s="463"/>
      <c r="P83" s="463"/>
      <c r="Q83" s="464"/>
      <c r="R83" s="135"/>
      <c r="S83" s="406"/>
      <c r="U83" s="406"/>
    </row>
    <row r="84" spans="2:21" s="92" customFormat="1" ht="21.95" customHeight="1" thickTop="1" x14ac:dyDescent="0.25">
      <c r="B84" s="131"/>
      <c r="C84" s="619" t="str">
        <f>+C37</f>
        <v>PUDJI SRI SAPUTRI</v>
      </c>
      <c r="D84" s="619"/>
      <c r="E84" s="363" t="str">
        <f>+K80</f>
        <v>Superior Twin</v>
      </c>
      <c r="F84" s="364">
        <v>1</v>
      </c>
      <c r="G84" s="364">
        <v>2</v>
      </c>
      <c r="H84" s="360">
        <f>+N80</f>
        <v>613000</v>
      </c>
      <c r="I84" s="340">
        <v>0</v>
      </c>
      <c r="J84" s="361">
        <f>+F84*G84*H84</f>
        <v>1226000</v>
      </c>
      <c r="K84" s="617">
        <f>SUM(J84:J88)</f>
        <v>6130000</v>
      </c>
      <c r="L84" s="112"/>
      <c r="M84" s="112"/>
      <c r="N84" s="133"/>
      <c r="O84" s="76"/>
      <c r="P84" s="76"/>
      <c r="Q84" s="77"/>
      <c r="R84" s="135"/>
      <c r="S84" s="406"/>
      <c r="U84" s="406"/>
    </row>
    <row r="85" spans="2:21" s="92" customFormat="1" ht="21.95" customHeight="1" x14ac:dyDescent="0.25">
      <c r="B85" s="131"/>
      <c r="C85" s="619" t="str">
        <f t="shared" ref="C85:C88" si="2">+C38</f>
        <v>AGIL ZHEGA PRASETYA</v>
      </c>
      <c r="D85" s="619"/>
      <c r="E85" s="231" t="str">
        <f>+K80</f>
        <v>Superior Twin</v>
      </c>
      <c r="F85" s="232">
        <v>1</v>
      </c>
      <c r="G85" s="232">
        <v>2</v>
      </c>
      <c r="H85" s="362">
        <f>+N80</f>
        <v>613000</v>
      </c>
      <c r="I85" s="228">
        <v>0</v>
      </c>
      <c r="J85" s="361">
        <f t="shared" ref="J85:J88" si="3">+F85*G85*H85</f>
        <v>1226000</v>
      </c>
      <c r="K85" s="617"/>
      <c r="L85" s="112"/>
      <c r="M85" s="112"/>
      <c r="N85" s="133"/>
      <c r="O85" s="76"/>
      <c r="P85" s="76"/>
      <c r="Q85" s="77"/>
      <c r="R85" s="135"/>
      <c r="S85" s="406"/>
      <c r="U85" s="406"/>
    </row>
    <row r="86" spans="2:21" s="92" customFormat="1" ht="21.95" customHeight="1" x14ac:dyDescent="0.25">
      <c r="B86" s="131"/>
      <c r="C86" s="619" t="str">
        <f t="shared" si="2"/>
        <v>MUNHAMIR</v>
      </c>
      <c r="D86" s="619"/>
      <c r="E86" s="231" t="str">
        <f>+K80</f>
        <v>Superior Twin</v>
      </c>
      <c r="F86" s="232">
        <v>1</v>
      </c>
      <c r="G86" s="232">
        <v>2</v>
      </c>
      <c r="H86" s="362">
        <f>+N80</f>
        <v>613000</v>
      </c>
      <c r="I86" s="228">
        <v>0</v>
      </c>
      <c r="J86" s="361">
        <f t="shared" si="3"/>
        <v>1226000</v>
      </c>
      <c r="K86" s="617"/>
      <c r="L86" s="112"/>
      <c r="M86" s="112"/>
      <c r="N86" s="133"/>
      <c r="O86" s="76"/>
      <c r="P86" s="76"/>
      <c r="Q86" s="77"/>
      <c r="R86" s="135"/>
      <c r="S86" s="406"/>
      <c r="U86" s="406"/>
    </row>
    <row r="87" spans="2:21" s="92" customFormat="1" ht="21.95" customHeight="1" x14ac:dyDescent="0.25">
      <c r="B87" s="131"/>
      <c r="C87" s="619" t="str">
        <f t="shared" si="2"/>
        <v>ADITYA FAHRIZAL</v>
      </c>
      <c r="D87" s="619"/>
      <c r="E87" s="231" t="str">
        <f>+K80</f>
        <v>Superior Twin</v>
      </c>
      <c r="F87" s="232">
        <v>1</v>
      </c>
      <c r="G87" s="232">
        <v>2</v>
      </c>
      <c r="H87" s="362">
        <f>+N80</f>
        <v>613000</v>
      </c>
      <c r="I87" s="228">
        <v>0</v>
      </c>
      <c r="J87" s="361">
        <f t="shared" si="3"/>
        <v>1226000</v>
      </c>
      <c r="K87" s="617"/>
      <c r="L87" s="112"/>
      <c r="M87" s="112"/>
      <c r="N87" s="133"/>
      <c r="O87" s="76"/>
      <c r="P87" s="76"/>
      <c r="Q87" s="77"/>
      <c r="R87" s="135"/>
      <c r="S87" s="406"/>
      <c r="U87" s="406"/>
    </row>
    <row r="88" spans="2:21" s="92" customFormat="1" ht="21.95" customHeight="1" x14ac:dyDescent="0.25">
      <c r="B88" s="131"/>
      <c r="C88" s="619" t="str">
        <f t="shared" si="2"/>
        <v>SUPRIYANTO</v>
      </c>
      <c r="D88" s="619"/>
      <c r="E88" s="231" t="str">
        <f>+K80</f>
        <v>Superior Twin</v>
      </c>
      <c r="F88" s="232">
        <v>1</v>
      </c>
      <c r="G88" s="232">
        <v>2</v>
      </c>
      <c r="H88" s="362">
        <f>+N80</f>
        <v>613000</v>
      </c>
      <c r="I88" s="228">
        <v>0</v>
      </c>
      <c r="J88" s="361">
        <f t="shared" si="3"/>
        <v>1226000</v>
      </c>
      <c r="K88" s="618"/>
      <c r="L88" s="112"/>
      <c r="M88" s="112"/>
      <c r="N88" s="133"/>
      <c r="O88" s="76"/>
      <c r="P88" s="76"/>
      <c r="Q88" s="77"/>
      <c r="R88" s="135"/>
      <c r="S88" s="406"/>
      <c r="U88" s="406"/>
    </row>
    <row r="89" spans="2:21" s="76" customFormat="1" ht="21.95" customHeight="1" thickBot="1" x14ac:dyDescent="0.3">
      <c r="B89" s="83"/>
      <c r="C89" s="84"/>
      <c r="D89" s="84"/>
      <c r="E89" s="94"/>
      <c r="F89" s="94"/>
      <c r="G89" s="94"/>
      <c r="H89" s="94"/>
      <c r="I89" s="94"/>
      <c r="J89" s="230">
        <f>+J86</f>
        <v>1226000</v>
      </c>
      <c r="K89" s="95"/>
      <c r="L89" s="95"/>
      <c r="M89" s="96"/>
      <c r="N89" s="96"/>
      <c r="O89" s="144"/>
      <c r="P89" s="144"/>
      <c r="Q89" s="145"/>
      <c r="S89" s="401"/>
      <c r="T89" s="106"/>
      <c r="U89" s="401"/>
    </row>
    <row r="90" spans="2:21" ht="15" customHeight="1" thickTop="1" x14ac:dyDescent="0.25">
      <c r="B90" s="656" t="s">
        <v>110</v>
      </c>
      <c r="C90" s="657"/>
      <c r="D90" s="657"/>
      <c r="E90" s="657"/>
      <c r="F90" s="658"/>
      <c r="G90" s="663"/>
      <c r="H90" s="665" t="s">
        <v>160</v>
      </c>
      <c r="I90" s="666"/>
      <c r="J90" s="671" t="s">
        <v>171</v>
      </c>
      <c r="K90" s="671"/>
      <c r="L90" s="87">
        <v>45118</v>
      </c>
      <c r="M90" s="64" t="s">
        <v>55</v>
      </c>
      <c r="N90" s="64"/>
      <c r="O90" s="596"/>
      <c r="P90" s="597"/>
      <c r="Q90" s="64"/>
    </row>
    <row r="91" spans="2:21" ht="15" customHeight="1" x14ac:dyDescent="0.25">
      <c r="B91" s="659"/>
      <c r="C91" s="657"/>
      <c r="D91" s="657"/>
      <c r="E91" s="657"/>
      <c r="F91" s="658"/>
      <c r="G91" s="663"/>
      <c r="H91" s="667"/>
      <c r="I91" s="668"/>
      <c r="J91" s="671" t="s">
        <v>168</v>
      </c>
      <c r="K91" s="671"/>
      <c r="L91" s="88">
        <v>44702</v>
      </c>
      <c r="M91" s="4" t="s">
        <v>55</v>
      </c>
      <c r="N91" s="4"/>
      <c r="O91" s="592"/>
      <c r="P91" s="593"/>
      <c r="Q91" s="4"/>
    </row>
    <row r="92" spans="2:21" ht="15" customHeight="1" x14ac:dyDescent="0.25">
      <c r="B92" s="659"/>
      <c r="C92" s="657"/>
      <c r="D92" s="657"/>
      <c r="E92" s="657"/>
      <c r="F92" s="658"/>
      <c r="G92" s="663"/>
      <c r="H92" s="667"/>
      <c r="I92" s="668"/>
      <c r="J92" s="671" t="s">
        <v>167</v>
      </c>
      <c r="K92" s="671"/>
      <c r="L92" s="88">
        <v>44314</v>
      </c>
      <c r="M92" s="4" t="s">
        <v>55</v>
      </c>
      <c r="N92" s="4">
        <v>3</v>
      </c>
      <c r="O92" s="592">
        <f>+L90</f>
        <v>45118</v>
      </c>
      <c r="P92" s="593"/>
      <c r="Q92" s="4" t="s">
        <v>57</v>
      </c>
    </row>
    <row r="93" spans="2:21" ht="15" customHeight="1" x14ac:dyDescent="0.25">
      <c r="B93" s="659"/>
      <c r="C93" s="657"/>
      <c r="D93" s="657"/>
      <c r="E93" s="657"/>
      <c r="F93" s="658"/>
      <c r="G93" s="663"/>
      <c r="H93" s="667"/>
      <c r="I93" s="668"/>
      <c r="J93" s="671" t="s">
        <v>166</v>
      </c>
      <c r="K93" s="671"/>
      <c r="L93" s="88">
        <v>44147</v>
      </c>
      <c r="M93" s="4" t="s">
        <v>55</v>
      </c>
      <c r="N93" s="4">
        <v>2</v>
      </c>
      <c r="O93" s="592">
        <v>44702</v>
      </c>
      <c r="P93" s="593"/>
      <c r="Q93" s="4" t="s">
        <v>170</v>
      </c>
    </row>
    <row r="94" spans="2:21" ht="15" customHeight="1" x14ac:dyDescent="0.25">
      <c r="B94" s="659"/>
      <c r="C94" s="657"/>
      <c r="D94" s="657"/>
      <c r="E94" s="657"/>
      <c r="F94" s="658"/>
      <c r="G94" s="663"/>
      <c r="H94" s="667"/>
      <c r="I94" s="668"/>
      <c r="J94" s="671" t="s">
        <v>109</v>
      </c>
      <c r="K94" s="671"/>
      <c r="L94" s="88">
        <v>45113</v>
      </c>
      <c r="M94" s="4" t="s">
        <v>169</v>
      </c>
      <c r="N94" s="4">
        <v>1</v>
      </c>
      <c r="O94" s="592">
        <v>44314</v>
      </c>
      <c r="P94" s="593"/>
      <c r="Q94" s="4" t="s">
        <v>57</v>
      </c>
    </row>
    <row r="95" spans="2:21" s="3" customFormat="1" ht="15" customHeight="1" x14ac:dyDescent="0.25">
      <c r="B95" s="660"/>
      <c r="C95" s="661"/>
      <c r="D95" s="661"/>
      <c r="E95" s="661"/>
      <c r="F95" s="662"/>
      <c r="G95" s="664"/>
      <c r="H95" s="669"/>
      <c r="I95" s="670"/>
      <c r="J95" s="655" t="s">
        <v>107</v>
      </c>
      <c r="K95" s="655"/>
      <c r="L95" s="16" t="s">
        <v>5</v>
      </c>
      <c r="M95" s="16" t="s">
        <v>104</v>
      </c>
      <c r="N95" s="16" t="s">
        <v>105</v>
      </c>
      <c r="O95" s="547" t="s">
        <v>106</v>
      </c>
      <c r="P95" s="549"/>
      <c r="Q95" s="16" t="s">
        <v>104</v>
      </c>
      <c r="S95" s="407"/>
      <c r="U95" s="407"/>
    </row>
  </sheetData>
  <mergeCells count="94">
    <mergeCell ref="G80:J80"/>
    <mergeCell ref="K80:L80"/>
    <mergeCell ref="C79:D79"/>
    <mergeCell ref="E79:F79"/>
    <mergeCell ref="K78:N78"/>
    <mergeCell ref="G79:J79"/>
    <mergeCell ref="K79:L79"/>
    <mergeCell ref="E78:F78"/>
    <mergeCell ref="G78:J78"/>
    <mergeCell ref="R75:R76"/>
    <mergeCell ref="O75:Q76"/>
    <mergeCell ref="K75:L76"/>
    <mergeCell ref="M75:N76"/>
    <mergeCell ref="B33:E33"/>
    <mergeCell ref="G33:I33"/>
    <mergeCell ref="B75:B76"/>
    <mergeCell ref="C75:F75"/>
    <mergeCell ref="E76:F76"/>
    <mergeCell ref="C76:D76"/>
    <mergeCell ref="C68:E68"/>
    <mergeCell ref="C56:E56"/>
    <mergeCell ref="C65:E65"/>
    <mergeCell ref="B3:I6"/>
    <mergeCell ref="M3:Q5"/>
    <mergeCell ref="B10:D10"/>
    <mergeCell ref="M10:N10"/>
    <mergeCell ref="O10:Q10"/>
    <mergeCell ref="J95:K95"/>
    <mergeCell ref="B90:F95"/>
    <mergeCell ref="G90:G95"/>
    <mergeCell ref="H90:I95"/>
    <mergeCell ref="J90:K90"/>
    <mergeCell ref="J91:K91"/>
    <mergeCell ref="J92:K92"/>
    <mergeCell ref="J93:K93"/>
    <mergeCell ref="J94:K94"/>
    <mergeCell ref="K77:L77"/>
    <mergeCell ref="I55:K55"/>
    <mergeCell ref="L55:N55"/>
    <mergeCell ref="C60:E60"/>
    <mergeCell ref="E49:J49"/>
    <mergeCell ref="G77:J77"/>
    <mergeCell ref="G75:J76"/>
    <mergeCell ref="N48:N49"/>
    <mergeCell ref="E48:J48"/>
    <mergeCell ref="C83:D83"/>
    <mergeCell ref="C67:E67"/>
    <mergeCell ref="E77:F77"/>
    <mergeCell ref="C77:D77"/>
    <mergeCell ref="C37:F37"/>
    <mergeCell ref="C41:F41"/>
    <mergeCell ref="C48:D48"/>
    <mergeCell ref="C49:D49"/>
    <mergeCell ref="C47:D47"/>
    <mergeCell ref="C39:F39"/>
    <mergeCell ref="C78:D78"/>
    <mergeCell ref="C80:D80"/>
    <mergeCell ref="E80:F80"/>
    <mergeCell ref="F55:H55"/>
    <mergeCell ref="C61:E61"/>
    <mergeCell ref="C66:E66"/>
    <mergeCell ref="K84:K88"/>
    <mergeCell ref="C88:D88"/>
    <mergeCell ref="C84:D84"/>
    <mergeCell ref="C86:D86"/>
    <mergeCell ref="C85:D85"/>
    <mergeCell ref="C87:D87"/>
    <mergeCell ref="C31:E31"/>
    <mergeCell ref="G26:I26"/>
    <mergeCell ref="C25:E25"/>
    <mergeCell ref="H36"/>
    <mergeCell ref="C29:E29"/>
    <mergeCell ref="P2:Q2"/>
    <mergeCell ref="P6:Q6"/>
    <mergeCell ref="O90:P90"/>
    <mergeCell ref="O91:P91"/>
    <mergeCell ref="C22:E22"/>
    <mergeCell ref="C23:E23"/>
    <mergeCell ref="B26:E26"/>
    <mergeCell ref="B44:Q45"/>
    <mergeCell ref="E47:J47"/>
    <mergeCell ref="C36:F36"/>
    <mergeCell ref="C40:F40"/>
    <mergeCell ref="B42:G42"/>
    <mergeCell ref="C38:F38"/>
    <mergeCell ref="C30:E30"/>
    <mergeCell ref="C32:E32"/>
    <mergeCell ref="C24:E24"/>
    <mergeCell ref="O92:P92"/>
    <mergeCell ref="O93:P93"/>
    <mergeCell ref="O94:P94"/>
    <mergeCell ref="O95:P95"/>
    <mergeCell ref="O55:Q55"/>
    <mergeCell ref="O83:Q83"/>
  </mergeCells>
  <printOptions horizontalCentered="1" verticalCentered="1"/>
  <pageMargins left="0" right="0" top="0" bottom="0" header="0" footer="0"/>
  <pageSetup paperSize="9" scale="42"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AB62"/>
  <sheetViews>
    <sheetView showGridLines="0" zoomScale="80" zoomScaleNormal="80" workbookViewId="0">
      <selection activeCell="AA33" sqref="AA33"/>
    </sheetView>
  </sheetViews>
  <sheetFormatPr defaultRowHeight="15" x14ac:dyDescent="0.25"/>
  <cols>
    <col min="1" max="1" width="1.7109375" style="1" customWidth="1"/>
    <col min="2" max="2" width="6.7109375" style="1" customWidth="1"/>
    <col min="3" max="3" width="16.7109375" style="2" customWidth="1"/>
    <col min="4" max="5" width="2.7109375" style="2" customWidth="1"/>
    <col min="6" max="6" width="16.7109375" style="2" customWidth="1"/>
    <col min="7" max="7" width="8.7109375" style="1" customWidth="1"/>
    <col min="8" max="11" width="7.7109375" style="1" customWidth="1"/>
    <col min="12" max="13" width="8.7109375" style="1" customWidth="1"/>
    <col min="14" max="14" width="14.7109375" style="1" customWidth="1"/>
    <col min="15" max="15" width="16.7109375" style="1" customWidth="1"/>
    <col min="16" max="18" width="14.7109375" style="1" customWidth="1"/>
    <col min="19" max="19" width="16.7109375" style="1" customWidth="1"/>
    <col min="20" max="23" width="7.7109375" style="1" customWidth="1"/>
    <col min="24" max="24" width="1.7109375" style="1" customWidth="1"/>
    <col min="25" max="54" width="15.7109375" style="1" customWidth="1"/>
    <col min="55" max="16384" width="9.140625" style="1"/>
  </cols>
  <sheetData>
    <row r="1" spans="2:23" x14ac:dyDescent="0.25">
      <c r="W1" s="63" t="s">
        <v>116</v>
      </c>
    </row>
    <row r="2" spans="2:23" ht="20.100000000000001" customHeight="1" x14ac:dyDescent="0.25">
      <c r="B2" s="51" t="s">
        <v>0</v>
      </c>
      <c r="C2" s="47"/>
      <c r="D2" s="47"/>
      <c r="E2" s="47"/>
      <c r="F2" s="47"/>
      <c r="G2" s="52"/>
      <c r="H2" s="52"/>
      <c r="I2" s="52"/>
      <c r="J2" s="52"/>
      <c r="K2" s="53" t="s">
        <v>60</v>
      </c>
      <c r="L2" s="54" t="s">
        <v>61</v>
      </c>
      <c r="M2" s="55"/>
      <c r="N2" s="55" t="s">
        <v>164</v>
      </c>
      <c r="O2" s="55"/>
      <c r="P2" s="55"/>
      <c r="Q2" s="56"/>
      <c r="R2" s="4" t="s">
        <v>66</v>
      </c>
      <c r="S2" s="4" t="s">
        <v>65</v>
      </c>
      <c r="T2" s="457" t="s">
        <v>54</v>
      </c>
      <c r="U2" s="458"/>
      <c r="V2" s="457" t="s">
        <v>53</v>
      </c>
      <c r="W2" s="458"/>
    </row>
    <row r="3" spans="2:23" ht="20.100000000000001" customHeight="1" x14ac:dyDescent="0.25">
      <c r="B3" s="752" t="s">
        <v>165</v>
      </c>
      <c r="C3" s="753"/>
      <c r="D3" s="753"/>
      <c r="E3" s="753"/>
      <c r="F3" s="753"/>
      <c r="G3" s="753"/>
      <c r="H3" s="753"/>
      <c r="I3" s="753"/>
      <c r="J3" s="753"/>
      <c r="K3" s="754"/>
      <c r="L3" s="57" t="s">
        <v>5</v>
      </c>
      <c r="M3" s="58"/>
      <c r="N3" s="58" t="s">
        <v>185</v>
      </c>
      <c r="O3" s="58"/>
      <c r="P3" s="58"/>
      <c r="Q3" s="59"/>
      <c r="R3" s="459" t="s">
        <v>158</v>
      </c>
      <c r="S3" s="460"/>
      <c r="T3" s="460"/>
      <c r="U3" s="460"/>
      <c r="V3" s="460"/>
      <c r="W3" s="461"/>
    </row>
    <row r="4" spans="2:23" ht="20.100000000000001" customHeight="1" x14ac:dyDescent="0.25">
      <c r="B4" s="755"/>
      <c r="C4" s="756"/>
      <c r="D4" s="756"/>
      <c r="E4" s="756"/>
      <c r="F4" s="756"/>
      <c r="G4" s="756"/>
      <c r="H4" s="756"/>
      <c r="I4" s="756"/>
      <c r="J4" s="756"/>
      <c r="K4" s="757"/>
      <c r="L4" s="57" t="s">
        <v>62</v>
      </c>
      <c r="M4" s="58"/>
      <c r="N4" s="58" t="s">
        <v>163</v>
      </c>
      <c r="O4" s="58"/>
      <c r="P4" s="58"/>
      <c r="Q4" s="59"/>
      <c r="R4" s="462"/>
      <c r="S4" s="463"/>
      <c r="T4" s="463"/>
      <c r="U4" s="463"/>
      <c r="V4" s="463"/>
      <c r="W4" s="464"/>
    </row>
    <row r="5" spans="2:23" ht="20.100000000000001" customHeight="1" x14ac:dyDescent="0.25">
      <c r="B5" s="755"/>
      <c r="C5" s="756"/>
      <c r="D5" s="756"/>
      <c r="E5" s="756"/>
      <c r="F5" s="756"/>
      <c r="G5" s="756"/>
      <c r="H5" s="756"/>
      <c r="I5" s="756"/>
      <c r="J5" s="756"/>
      <c r="K5" s="757"/>
      <c r="L5" s="57" t="s">
        <v>159</v>
      </c>
      <c r="M5" s="58"/>
      <c r="N5" s="58" t="s">
        <v>162</v>
      </c>
      <c r="O5" s="58"/>
      <c r="P5" s="58"/>
      <c r="Q5" s="59"/>
      <c r="R5" s="465"/>
      <c r="S5" s="466"/>
      <c r="T5" s="466"/>
      <c r="U5" s="466"/>
      <c r="V5" s="466"/>
      <c r="W5" s="467"/>
    </row>
    <row r="6" spans="2:23" ht="20.100000000000001" customHeight="1" x14ac:dyDescent="0.25">
      <c r="B6" s="758"/>
      <c r="C6" s="759"/>
      <c r="D6" s="759"/>
      <c r="E6" s="759"/>
      <c r="F6" s="759"/>
      <c r="G6" s="759"/>
      <c r="H6" s="759"/>
      <c r="I6" s="759"/>
      <c r="J6" s="759"/>
      <c r="K6" s="760"/>
      <c r="L6" s="60" t="s">
        <v>64</v>
      </c>
      <c r="M6" s="61"/>
      <c r="N6" s="61" t="s">
        <v>222</v>
      </c>
      <c r="O6" s="61"/>
      <c r="P6" s="61"/>
      <c r="Q6" s="62"/>
      <c r="R6" s="4" t="s">
        <v>67</v>
      </c>
      <c r="S6" s="4" t="s">
        <v>57</v>
      </c>
      <c r="T6" s="457" t="s">
        <v>56</v>
      </c>
      <c r="U6" s="458"/>
      <c r="V6" s="457" t="s">
        <v>55</v>
      </c>
      <c r="W6" s="458"/>
    </row>
    <row r="7" spans="2:23" s="157" customFormat="1" ht="15" customHeight="1" x14ac:dyDescent="0.3">
      <c r="B7" s="154"/>
      <c r="C7" s="155"/>
      <c r="D7" s="155"/>
      <c r="E7" s="155"/>
      <c r="F7" s="156"/>
      <c r="G7" s="156"/>
      <c r="H7" s="156"/>
      <c r="I7" s="156"/>
      <c r="W7" s="158"/>
    </row>
    <row r="8" spans="2:23" s="157" customFormat="1" ht="15" customHeight="1" x14ac:dyDescent="0.3">
      <c r="B8" s="154"/>
      <c r="C8" s="155"/>
      <c r="D8" s="155"/>
      <c r="E8" s="155"/>
      <c r="F8" s="155"/>
      <c r="G8" s="155"/>
      <c r="H8" s="155"/>
      <c r="I8" s="155"/>
      <c r="W8" s="158"/>
    </row>
    <row r="9" spans="2:23" s="164" customFormat="1" ht="39.950000000000003" customHeight="1" x14ac:dyDescent="0.35">
      <c r="B9" s="159" t="s">
        <v>8</v>
      </c>
      <c r="C9" s="160"/>
      <c r="D9" s="160"/>
      <c r="E9" s="160"/>
      <c r="F9" s="160"/>
      <c r="G9" s="160"/>
      <c r="H9" s="160"/>
      <c r="I9" s="161" t="str">
        <f>+'TAHAP 1'!G8</f>
        <v>: (JIE) Jl. BENYAMIN SUEB, PADEMANGAN TIM, KEC. PADEMANGAN, JAKARTA UTARA</v>
      </c>
      <c r="J9" s="160"/>
      <c r="K9" s="160"/>
      <c r="L9" s="160"/>
      <c r="M9" s="160"/>
      <c r="N9" s="160"/>
      <c r="O9" s="160"/>
      <c r="P9" s="399"/>
      <c r="Q9" s="399"/>
      <c r="R9" s="399"/>
      <c r="S9" s="399"/>
      <c r="T9" s="399"/>
      <c r="U9" s="399"/>
      <c r="V9" s="399"/>
      <c r="W9" s="163"/>
    </row>
    <row r="10" spans="2:23" s="164" customFormat="1" ht="39.950000000000003" customHeight="1" x14ac:dyDescent="0.35">
      <c r="B10" s="198" t="s">
        <v>9</v>
      </c>
      <c r="C10" s="165"/>
      <c r="D10" s="165"/>
      <c r="E10" s="165"/>
      <c r="F10" s="165"/>
      <c r="G10" s="165"/>
      <c r="H10" s="165"/>
      <c r="I10" s="161" t="str">
        <f>+'TAHAP 1'!G9</f>
        <v>: PAMERAN TEKNOLOGI INDUSTRI</v>
      </c>
      <c r="J10" s="165"/>
      <c r="K10" s="165"/>
      <c r="L10" s="165"/>
      <c r="M10" s="165"/>
      <c r="N10" s="165"/>
      <c r="O10" s="165"/>
      <c r="P10" s="162"/>
      <c r="Q10" s="162"/>
      <c r="R10" s="162"/>
      <c r="S10" s="162"/>
      <c r="T10" s="162"/>
      <c r="U10" s="162"/>
      <c r="V10" s="162"/>
      <c r="W10" s="163"/>
    </row>
    <row r="11" spans="2:23" s="168" customFormat="1" ht="20.100000000000001" customHeight="1" x14ac:dyDescent="0.25">
      <c r="B11" s="166"/>
      <c r="C11" s="167"/>
      <c r="D11" s="167"/>
      <c r="E11" s="167"/>
      <c r="F11" s="167"/>
      <c r="N11" s="169"/>
      <c r="O11" s="169"/>
      <c r="P11" s="169"/>
      <c r="Q11" s="169"/>
      <c r="R11" s="169"/>
      <c r="S11" s="169"/>
      <c r="T11" s="169"/>
      <c r="U11" s="169"/>
      <c r="V11" s="169"/>
      <c r="W11" s="170"/>
    </row>
    <row r="12" spans="2:23" s="168" customFormat="1" ht="20.100000000000001" customHeight="1" x14ac:dyDescent="0.25">
      <c r="B12" s="166"/>
      <c r="C12" s="167"/>
      <c r="D12" s="167"/>
      <c r="E12" s="167"/>
      <c r="F12" s="167"/>
      <c r="N12" s="169"/>
      <c r="O12" s="169"/>
      <c r="P12" s="169"/>
      <c r="Q12" s="169"/>
      <c r="R12" s="169"/>
      <c r="S12" s="169"/>
      <c r="T12" s="169"/>
      <c r="U12" s="169"/>
      <c r="V12" s="169"/>
      <c r="W12" s="170"/>
    </row>
    <row r="13" spans="2:23" s="168" customFormat="1" ht="20.100000000000001" customHeight="1" x14ac:dyDescent="0.25">
      <c r="B13" s="166"/>
      <c r="C13" s="167"/>
      <c r="D13" s="167"/>
      <c r="E13" s="167"/>
      <c r="F13" s="167"/>
      <c r="N13" s="169"/>
      <c r="O13" s="169"/>
      <c r="P13" s="169"/>
      <c r="Q13" s="169"/>
      <c r="R13" s="169"/>
      <c r="S13" s="169"/>
      <c r="T13" s="169"/>
      <c r="U13" s="169"/>
      <c r="V13" s="169"/>
      <c r="W13" s="170"/>
    </row>
    <row r="14" spans="2:23" s="169" customFormat="1" ht="24.95" customHeight="1" x14ac:dyDescent="0.25">
      <c r="B14" s="171" t="s">
        <v>176</v>
      </c>
      <c r="C14" s="172"/>
      <c r="D14" s="172"/>
      <c r="E14" s="172"/>
      <c r="F14" s="172"/>
      <c r="W14" s="173"/>
    </row>
    <row r="15" spans="2:23" s="176" customFormat="1" ht="24.95" customHeight="1" x14ac:dyDescent="0.25">
      <c r="B15" s="761" t="s">
        <v>1</v>
      </c>
      <c r="C15" s="764" t="s">
        <v>5</v>
      </c>
      <c r="D15" s="765"/>
      <c r="E15" s="765"/>
      <c r="F15" s="766"/>
      <c r="G15" s="764" t="s">
        <v>4</v>
      </c>
      <c r="H15" s="766"/>
      <c r="I15" s="764" t="s">
        <v>59</v>
      </c>
      <c r="J15" s="766"/>
      <c r="K15" s="731" t="s">
        <v>2</v>
      </c>
      <c r="L15" s="733"/>
      <c r="M15" s="731" t="s">
        <v>3</v>
      </c>
      <c r="N15" s="732"/>
      <c r="O15" s="733"/>
      <c r="P15" s="174">
        <v>1</v>
      </c>
      <c r="Q15" s="174">
        <v>2</v>
      </c>
      <c r="R15" s="174">
        <v>3</v>
      </c>
      <c r="S15" s="174">
        <v>4</v>
      </c>
      <c r="T15" s="786">
        <v>5</v>
      </c>
      <c r="U15" s="787"/>
      <c r="V15" s="175"/>
      <c r="W15" s="785"/>
    </row>
    <row r="16" spans="2:23" s="176" customFormat="1" ht="16.5" customHeight="1" x14ac:dyDescent="0.25">
      <c r="B16" s="762"/>
      <c r="C16" s="767"/>
      <c r="D16" s="768"/>
      <c r="E16" s="768"/>
      <c r="F16" s="769"/>
      <c r="G16" s="767"/>
      <c r="H16" s="769"/>
      <c r="I16" s="767"/>
      <c r="J16" s="769"/>
      <c r="K16" s="734"/>
      <c r="L16" s="736"/>
      <c r="M16" s="734"/>
      <c r="N16" s="735"/>
      <c r="O16" s="736"/>
      <c r="P16" s="740" t="s">
        <v>186</v>
      </c>
      <c r="Q16" s="715" t="s">
        <v>189</v>
      </c>
      <c r="R16" s="715" t="s">
        <v>207</v>
      </c>
      <c r="S16" s="715" t="s">
        <v>177</v>
      </c>
      <c r="T16" s="788" t="s">
        <v>178</v>
      </c>
      <c r="U16" s="789"/>
      <c r="V16" s="175"/>
      <c r="W16" s="785"/>
    </row>
    <row r="17" spans="2:28" s="176" customFormat="1" ht="16.5" customHeight="1" x14ac:dyDescent="0.25">
      <c r="B17" s="762"/>
      <c r="C17" s="767"/>
      <c r="D17" s="768"/>
      <c r="E17" s="768"/>
      <c r="F17" s="769"/>
      <c r="G17" s="767"/>
      <c r="H17" s="769"/>
      <c r="I17" s="767"/>
      <c r="J17" s="769"/>
      <c r="K17" s="734"/>
      <c r="L17" s="736"/>
      <c r="M17" s="734"/>
      <c r="N17" s="735"/>
      <c r="O17" s="736"/>
      <c r="P17" s="741"/>
      <c r="Q17" s="716"/>
      <c r="R17" s="716"/>
      <c r="S17" s="716"/>
      <c r="T17" s="790"/>
      <c r="U17" s="791"/>
      <c r="V17" s="175"/>
      <c r="W17" s="785"/>
    </row>
    <row r="18" spans="2:28" s="176" customFormat="1" ht="17.100000000000001" customHeight="1" x14ac:dyDescent="0.25">
      <c r="B18" s="763"/>
      <c r="C18" s="770"/>
      <c r="D18" s="771"/>
      <c r="E18" s="771"/>
      <c r="F18" s="772"/>
      <c r="G18" s="770"/>
      <c r="H18" s="772"/>
      <c r="I18" s="770"/>
      <c r="J18" s="772"/>
      <c r="K18" s="737"/>
      <c r="L18" s="739"/>
      <c r="M18" s="737"/>
      <c r="N18" s="738"/>
      <c r="O18" s="739"/>
      <c r="P18" s="742"/>
      <c r="Q18" s="717"/>
      <c r="R18" s="717"/>
      <c r="S18" s="717"/>
      <c r="T18" s="792"/>
      <c r="U18" s="793"/>
      <c r="V18" s="175"/>
      <c r="W18" s="785"/>
    </row>
    <row r="19" spans="2:28" s="177" customFormat="1" ht="84.95" customHeight="1" x14ac:dyDescent="0.2">
      <c r="B19" s="199">
        <v>1</v>
      </c>
      <c r="C19" s="178">
        <f>+'TAHAP 1'!C13</f>
        <v>45630</v>
      </c>
      <c r="D19" s="707" t="s">
        <v>6</v>
      </c>
      <c r="E19" s="707"/>
      <c r="F19" s="179">
        <f>+'TAHAP 1'!E13:F13</f>
        <v>45632</v>
      </c>
      <c r="G19" s="708" t="str">
        <f>+'TAHAP 1'!G13:H13</f>
        <v>PE</v>
      </c>
      <c r="H19" s="709"/>
      <c r="I19" s="710" t="str">
        <f>+'TAHAP 1'!I13:J13</f>
        <v>SPV</v>
      </c>
      <c r="J19" s="711"/>
      <c r="K19" s="708">
        <f>+'TAHAP 1'!K13:L13</f>
        <v>284</v>
      </c>
      <c r="L19" s="709"/>
      <c r="M19" s="712" t="str">
        <f>+'TAHAP 1'!M13</f>
        <v>PUDJI SRI SAPUTRI</v>
      </c>
      <c r="N19" s="713"/>
      <c r="O19" s="714"/>
      <c r="P19" s="349" t="s">
        <v>246</v>
      </c>
      <c r="Q19" s="398" t="s">
        <v>7</v>
      </c>
      <c r="R19" s="349" t="s">
        <v>268</v>
      </c>
      <c r="S19" s="747" t="s">
        <v>231</v>
      </c>
      <c r="T19" s="777" t="s">
        <v>221</v>
      </c>
      <c r="U19" s="778"/>
      <c r="V19" s="157"/>
      <c r="W19" s="180"/>
      <c r="Y19" s="181"/>
      <c r="Z19" s="181"/>
      <c r="AA19" s="181"/>
      <c r="AB19" s="181"/>
    </row>
    <row r="20" spans="2:28" s="177" customFormat="1" ht="84.95" customHeight="1" x14ac:dyDescent="0.2">
      <c r="B20" s="199">
        <v>2</v>
      </c>
      <c r="C20" s="178">
        <f>+'TAHAP 1'!C14</f>
        <v>45630</v>
      </c>
      <c r="D20" s="707" t="s">
        <v>6</v>
      </c>
      <c r="E20" s="707"/>
      <c r="F20" s="179">
        <f>+'TAHAP 1'!E14:F14</f>
        <v>45632</v>
      </c>
      <c r="G20" s="708" t="str">
        <f>+'TAHAP 1'!G14:H14</f>
        <v>QA</v>
      </c>
      <c r="H20" s="709"/>
      <c r="I20" s="710" t="str">
        <f>+'TAHAP 1'!I14:J14</f>
        <v>SPV</v>
      </c>
      <c r="J20" s="711"/>
      <c r="K20" s="708">
        <f>+'TAHAP 1'!K14:L14</f>
        <v>12027</v>
      </c>
      <c r="L20" s="709"/>
      <c r="M20" s="712" t="str">
        <f>+'TAHAP 1'!M14</f>
        <v>AGIL ZHEGA PRASETYA</v>
      </c>
      <c r="N20" s="713"/>
      <c r="O20" s="714"/>
      <c r="P20" s="349" t="s">
        <v>264</v>
      </c>
      <c r="Q20" s="398" t="s">
        <v>7</v>
      </c>
      <c r="R20" s="747" t="s">
        <v>230</v>
      </c>
      <c r="S20" s="784"/>
      <c r="T20" s="779"/>
      <c r="U20" s="780"/>
      <c r="V20" s="157"/>
      <c r="W20" s="180"/>
      <c r="Y20" s="181"/>
      <c r="Z20" s="181"/>
      <c r="AA20" s="181"/>
      <c r="AB20" s="181"/>
    </row>
    <row r="21" spans="2:28" s="177" customFormat="1" ht="84.95" customHeight="1" x14ac:dyDescent="0.2">
      <c r="B21" s="199">
        <v>3</v>
      </c>
      <c r="C21" s="178">
        <f>+'TAHAP 1'!C15</f>
        <v>45630</v>
      </c>
      <c r="D21" s="707" t="s">
        <v>6</v>
      </c>
      <c r="E21" s="707"/>
      <c r="F21" s="179">
        <f>+'TAHAP 1'!E15:F15</f>
        <v>45632</v>
      </c>
      <c r="G21" s="708" t="str">
        <f>+'TAHAP 1'!G15:H15</f>
        <v>QA</v>
      </c>
      <c r="H21" s="709"/>
      <c r="I21" s="710" t="str">
        <f>+'TAHAP 1'!I15:J15</f>
        <v>SPV</v>
      </c>
      <c r="J21" s="711"/>
      <c r="K21" s="708">
        <f>+'TAHAP 1'!K15:L15</f>
        <v>7094</v>
      </c>
      <c r="L21" s="709"/>
      <c r="M21" s="712" t="str">
        <f>+'TAHAP 1'!M15</f>
        <v>MUNHAMIR</v>
      </c>
      <c r="N21" s="713"/>
      <c r="O21" s="714"/>
      <c r="P21" s="349" t="s">
        <v>265</v>
      </c>
      <c r="Q21" s="398" t="s">
        <v>7</v>
      </c>
      <c r="R21" s="748"/>
      <c r="S21" s="784"/>
      <c r="T21" s="779"/>
      <c r="U21" s="780"/>
      <c r="V21" s="157"/>
      <c r="W21" s="180"/>
      <c r="Y21" s="181"/>
      <c r="Z21" s="181"/>
      <c r="AA21" s="181"/>
      <c r="AB21" s="181"/>
    </row>
    <row r="22" spans="2:28" s="177" customFormat="1" ht="84.95" customHeight="1" x14ac:dyDescent="0.2">
      <c r="B22" s="199">
        <v>4</v>
      </c>
      <c r="C22" s="178">
        <f>+'TAHAP 1'!C16</f>
        <v>45630</v>
      </c>
      <c r="D22" s="707" t="s">
        <v>6</v>
      </c>
      <c r="E22" s="707"/>
      <c r="F22" s="179">
        <f>+'TAHAP 1'!E16:F16</f>
        <v>45632</v>
      </c>
      <c r="G22" s="708" t="str">
        <f>+'TAHAP 1'!G16:H16</f>
        <v>NYS</v>
      </c>
      <c r="H22" s="709"/>
      <c r="I22" s="710" t="str">
        <f>+'TAHAP 1'!I16:J16</f>
        <v>SPV</v>
      </c>
      <c r="J22" s="711"/>
      <c r="K22" s="708">
        <f>+'TAHAP 1'!K16:L16</f>
        <v>13647</v>
      </c>
      <c r="L22" s="709"/>
      <c r="M22" s="712" t="str">
        <f>+'TAHAP 1'!M16</f>
        <v>ADITYA FAHRIZAL</v>
      </c>
      <c r="N22" s="713"/>
      <c r="O22" s="714"/>
      <c r="P22" s="349" t="s">
        <v>266</v>
      </c>
      <c r="Q22" s="398" t="s">
        <v>7</v>
      </c>
      <c r="R22" s="349" t="s">
        <v>229</v>
      </c>
      <c r="S22" s="784"/>
      <c r="T22" s="779"/>
      <c r="U22" s="780"/>
      <c r="V22" s="157"/>
      <c r="W22" s="180"/>
      <c r="Y22" s="181"/>
      <c r="Z22" s="181"/>
      <c r="AA22" s="181"/>
      <c r="AB22" s="181"/>
    </row>
    <row r="23" spans="2:28" s="177" customFormat="1" ht="84.95" customHeight="1" x14ac:dyDescent="0.2">
      <c r="B23" s="199">
        <v>5</v>
      </c>
      <c r="C23" s="178">
        <f>+'TAHAP 1'!C17</f>
        <v>45630</v>
      </c>
      <c r="D23" s="876" t="s">
        <v>6</v>
      </c>
      <c r="E23" s="876"/>
      <c r="F23" s="410">
        <f>+'TAHAP 1'!E17:F17</f>
        <v>45632</v>
      </c>
      <c r="G23" s="877" t="str">
        <f>+'TAHAP 1'!G17:H17</f>
        <v>PRD</v>
      </c>
      <c r="H23" s="878"/>
      <c r="I23" s="879" t="str">
        <f>+'TAHAP 1'!I17:J17</f>
        <v>LL</v>
      </c>
      <c r="J23" s="880"/>
      <c r="K23" s="877">
        <f>+'TAHAP 1'!K17:L17</f>
        <v>5550</v>
      </c>
      <c r="L23" s="878"/>
      <c r="M23" s="749" t="str">
        <f>+'TAHAP 1'!M17</f>
        <v>SUPRIYANTO</v>
      </c>
      <c r="N23" s="750"/>
      <c r="O23" s="751"/>
      <c r="P23" s="207" t="s">
        <v>267</v>
      </c>
      <c r="Q23" s="207" t="s">
        <v>228</v>
      </c>
      <c r="R23" s="207" t="s">
        <v>225</v>
      </c>
      <c r="S23" s="748"/>
      <c r="T23" s="781"/>
      <c r="U23" s="782"/>
      <c r="V23" s="157"/>
      <c r="W23" s="180"/>
      <c r="Y23" s="181"/>
      <c r="Z23" s="181"/>
      <c r="AA23" s="181"/>
      <c r="AB23" s="181"/>
    </row>
    <row r="24" spans="2:28" s="168" customFormat="1" ht="18.75" x14ac:dyDescent="0.25">
      <c r="B24" s="166"/>
      <c r="C24" s="167"/>
      <c r="D24" s="167"/>
      <c r="E24" s="167"/>
      <c r="F24" s="167"/>
      <c r="W24" s="170"/>
      <c r="Z24" s="181"/>
    </row>
    <row r="25" spans="2:28" s="168" customFormat="1" x14ac:dyDescent="0.25">
      <c r="B25" s="166"/>
      <c r="C25" s="167"/>
      <c r="D25" s="167"/>
      <c r="E25" s="167"/>
      <c r="F25" s="167"/>
      <c r="W25" s="170"/>
    </row>
    <row r="26" spans="2:28" s="168" customFormat="1" x14ac:dyDescent="0.25">
      <c r="B26" s="166"/>
      <c r="C26" s="167"/>
      <c r="D26" s="167"/>
      <c r="E26" s="167"/>
      <c r="F26" s="167"/>
      <c r="W26" s="170"/>
    </row>
    <row r="27" spans="2:28" s="168" customFormat="1" x14ac:dyDescent="0.25">
      <c r="B27" s="166"/>
      <c r="C27" s="167"/>
      <c r="D27" s="167"/>
      <c r="E27" s="167"/>
      <c r="F27" s="167"/>
      <c r="W27" s="170"/>
    </row>
    <row r="28" spans="2:28" s="172" customFormat="1" ht="21.95" customHeight="1" x14ac:dyDescent="0.25">
      <c r="B28" s="870" t="s">
        <v>180</v>
      </c>
      <c r="C28" s="871"/>
      <c r="D28" s="871"/>
      <c r="E28" s="871"/>
      <c r="F28" s="871"/>
      <c r="G28" s="871"/>
      <c r="H28" s="871"/>
      <c r="I28" s="871"/>
      <c r="J28" s="871"/>
      <c r="K28" s="872"/>
      <c r="L28" s="722" t="s">
        <v>181</v>
      </c>
      <c r="M28" s="723"/>
      <c r="N28" s="724"/>
      <c r="O28" s="722" t="s">
        <v>199</v>
      </c>
      <c r="P28" s="723"/>
      <c r="Q28" s="723"/>
      <c r="R28" s="724"/>
      <c r="S28" s="783" t="s">
        <v>37</v>
      </c>
      <c r="T28" s="783"/>
      <c r="U28" s="783"/>
      <c r="V28" s="783"/>
      <c r="W28" s="182"/>
    </row>
    <row r="29" spans="2:28" s="172" customFormat="1" ht="21.95" customHeight="1" x14ac:dyDescent="0.25">
      <c r="B29" s="870"/>
      <c r="C29" s="871"/>
      <c r="D29" s="871"/>
      <c r="E29" s="871"/>
      <c r="F29" s="871"/>
      <c r="G29" s="871"/>
      <c r="H29" s="871"/>
      <c r="I29" s="871"/>
      <c r="J29" s="871"/>
      <c r="K29" s="872"/>
      <c r="L29" s="212"/>
      <c r="M29" s="213"/>
      <c r="N29" s="214"/>
      <c r="O29" s="743" t="s">
        <v>269</v>
      </c>
      <c r="P29" s="744"/>
      <c r="Q29" s="745" t="s">
        <v>214</v>
      </c>
      <c r="R29" s="746"/>
      <c r="S29" s="725" t="s">
        <v>270</v>
      </c>
      <c r="T29" s="773"/>
      <c r="U29" s="773"/>
      <c r="V29" s="726"/>
      <c r="W29" s="182"/>
    </row>
    <row r="30" spans="2:28" s="172" customFormat="1" ht="30" customHeight="1" x14ac:dyDescent="0.25">
      <c r="B30" s="870"/>
      <c r="C30" s="871"/>
      <c r="D30" s="871"/>
      <c r="E30" s="871"/>
      <c r="F30" s="871"/>
      <c r="G30" s="871"/>
      <c r="H30" s="871"/>
      <c r="I30" s="871"/>
      <c r="J30" s="871"/>
      <c r="K30" s="872"/>
      <c r="L30" s="212"/>
      <c r="M30" s="213"/>
      <c r="N30" s="214"/>
      <c r="O30" s="725" t="s">
        <v>271</v>
      </c>
      <c r="P30" s="726"/>
      <c r="Q30" s="718" t="s">
        <v>7</v>
      </c>
      <c r="R30" s="719"/>
      <c r="S30" s="727"/>
      <c r="T30" s="774"/>
      <c r="U30" s="774"/>
      <c r="V30" s="728"/>
      <c r="W30" s="182"/>
    </row>
    <row r="31" spans="2:28" s="172" customFormat="1" ht="30" customHeight="1" x14ac:dyDescent="0.25">
      <c r="B31" s="870"/>
      <c r="C31" s="871"/>
      <c r="D31" s="871"/>
      <c r="E31" s="871"/>
      <c r="F31" s="871"/>
      <c r="G31" s="871"/>
      <c r="H31" s="871"/>
      <c r="I31" s="871"/>
      <c r="J31" s="871"/>
      <c r="K31" s="872"/>
      <c r="L31" s="212"/>
      <c r="M31" s="213"/>
      <c r="N31" s="214"/>
      <c r="O31" s="727"/>
      <c r="P31" s="728"/>
      <c r="Q31" s="718"/>
      <c r="R31" s="719"/>
      <c r="S31" s="727"/>
      <c r="T31" s="774"/>
      <c r="U31" s="774"/>
      <c r="V31" s="728"/>
      <c r="W31" s="182"/>
    </row>
    <row r="32" spans="2:28" s="172" customFormat="1" ht="30" customHeight="1" x14ac:dyDescent="0.25">
      <c r="B32" s="870"/>
      <c r="C32" s="871"/>
      <c r="D32" s="871"/>
      <c r="E32" s="871"/>
      <c r="F32" s="871"/>
      <c r="G32" s="871"/>
      <c r="H32" s="871"/>
      <c r="I32" s="871"/>
      <c r="J32" s="871"/>
      <c r="K32" s="872"/>
      <c r="L32" s="212"/>
      <c r="M32" s="213"/>
      <c r="N32" s="214"/>
      <c r="O32" s="727"/>
      <c r="P32" s="728"/>
      <c r="Q32" s="718"/>
      <c r="R32" s="719"/>
      <c r="S32" s="727"/>
      <c r="T32" s="774"/>
      <c r="U32" s="774"/>
      <c r="V32" s="728"/>
      <c r="W32" s="182"/>
    </row>
    <row r="33" spans="2:23" s="172" customFormat="1" ht="30" customHeight="1" x14ac:dyDescent="0.25">
      <c r="B33" s="873"/>
      <c r="C33" s="874"/>
      <c r="D33" s="874"/>
      <c r="E33" s="874"/>
      <c r="F33" s="874"/>
      <c r="G33" s="874"/>
      <c r="H33" s="874"/>
      <c r="I33" s="874"/>
      <c r="J33" s="874"/>
      <c r="K33" s="875"/>
      <c r="L33" s="215"/>
      <c r="M33" s="216"/>
      <c r="N33" s="217"/>
      <c r="O33" s="729"/>
      <c r="P33" s="730"/>
      <c r="Q33" s="720"/>
      <c r="R33" s="721"/>
      <c r="S33" s="729"/>
      <c r="T33" s="775"/>
      <c r="U33" s="775"/>
      <c r="V33" s="730"/>
      <c r="W33" s="182"/>
    </row>
    <row r="34" spans="2:23" s="172" customFormat="1" ht="50.1" customHeight="1" x14ac:dyDescent="0.25">
      <c r="B34" s="183" t="s">
        <v>1</v>
      </c>
      <c r="C34" s="734" t="s">
        <v>3</v>
      </c>
      <c r="D34" s="735"/>
      <c r="E34" s="735"/>
      <c r="F34" s="736"/>
      <c r="G34" s="183" t="s">
        <v>2</v>
      </c>
      <c r="H34" s="767" t="s">
        <v>157</v>
      </c>
      <c r="I34" s="768"/>
      <c r="J34" s="768"/>
      <c r="K34" s="769"/>
      <c r="L34" s="863" t="s">
        <v>182</v>
      </c>
      <c r="M34" s="864"/>
      <c r="N34" s="184" t="s">
        <v>190</v>
      </c>
      <c r="O34" s="185" t="s">
        <v>183</v>
      </c>
      <c r="P34" s="185" t="s">
        <v>190</v>
      </c>
      <c r="Q34" s="185" t="s">
        <v>183</v>
      </c>
      <c r="R34" s="185" t="s">
        <v>190</v>
      </c>
      <c r="S34" s="211" t="s">
        <v>183</v>
      </c>
      <c r="T34" s="776" t="s">
        <v>190</v>
      </c>
      <c r="U34" s="776"/>
      <c r="V34" s="776"/>
      <c r="W34" s="182" t="s">
        <v>201</v>
      </c>
    </row>
    <row r="35" spans="2:23" s="235" customFormat="1" ht="39.950000000000003" customHeight="1" x14ac:dyDescent="0.25">
      <c r="B35" s="236">
        <v>1</v>
      </c>
      <c r="C35" s="237" t="str">
        <f>+'TAHAP 1'!M13</f>
        <v>PUDJI SRI SAPUTRI</v>
      </c>
      <c r="D35" s="238"/>
      <c r="E35" s="238"/>
      <c r="F35" s="239"/>
      <c r="G35" s="236">
        <f>+'TAHAP 1'!K13</f>
        <v>284</v>
      </c>
      <c r="H35" s="867"/>
      <c r="I35" s="868"/>
      <c r="J35" s="868"/>
      <c r="K35" s="869"/>
      <c r="L35" s="794">
        <f>+'TAHAP 2.2 (Rincian)'!H37</f>
        <v>285000</v>
      </c>
      <c r="M35" s="795"/>
      <c r="N35" s="855">
        <v>45627</v>
      </c>
      <c r="O35" s="860">
        <f>+'TAHAP 2.2 (Rincian)'!Q71</f>
        <v>7925000</v>
      </c>
      <c r="P35" s="855">
        <v>45627</v>
      </c>
      <c r="Q35" s="852">
        <v>0</v>
      </c>
      <c r="R35" s="849" t="s">
        <v>7</v>
      </c>
      <c r="S35" s="240">
        <f>+'TAHAP 2.2 (Rincian)'!J84</f>
        <v>1226000</v>
      </c>
      <c r="T35" s="840">
        <v>45627</v>
      </c>
      <c r="U35" s="841"/>
      <c r="V35" s="842"/>
      <c r="W35" s="241"/>
    </row>
    <row r="36" spans="2:23" s="235" customFormat="1" ht="39.950000000000003" customHeight="1" x14ac:dyDescent="0.25">
      <c r="B36" s="236">
        <v>2</v>
      </c>
      <c r="C36" s="237" t="str">
        <f>+'TAHAP 1'!M14</f>
        <v>AGIL ZHEGA PRASETYA</v>
      </c>
      <c r="D36" s="238"/>
      <c r="E36" s="238"/>
      <c r="F36" s="239"/>
      <c r="G36" s="236">
        <f>+'TAHAP 1'!K14</f>
        <v>12027</v>
      </c>
      <c r="H36" s="867"/>
      <c r="I36" s="868"/>
      <c r="J36" s="868"/>
      <c r="K36" s="869"/>
      <c r="L36" s="794">
        <f>+'TAHAP 2.2 (Rincian)'!H38</f>
        <v>285000</v>
      </c>
      <c r="M36" s="795"/>
      <c r="N36" s="856"/>
      <c r="O36" s="861"/>
      <c r="P36" s="856"/>
      <c r="Q36" s="853"/>
      <c r="R36" s="850"/>
      <c r="S36" s="240">
        <f>+'TAHAP 2.2 (Rincian)'!J85</f>
        <v>1226000</v>
      </c>
      <c r="T36" s="843"/>
      <c r="U36" s="844"/>
      <c r="V36" s="845"/>
      <c r="W36" s="241"/>
    </row>
    <row r="37" spans="2:23" s="235" customFormat="1" ht="39.950000000000003" customHeight="1" x14ac:dyDescent="0.25">
      <c r="B37" s="236">
        <v>3</v>
      </c>
      <c r="C37" s="237" t="str">
        <f>+'TAHAP 1'!M15</f>
        <v>MUNHAMIR</v>
      </c>
      <c r="D37" s="238"/>
      <c r="E37" s="238"/>
      <c r="F37" s="239"/>
      <c r="G37" s="236">
        <f>+'TAHAP 1'!K15</f>
        <v>7094</v>
      </c>
      <c r="H37" s="346"/>
      <c r="I37" s="347"/>
      <c r="J37" s="347"/>
      <c r="K37" s="348"/>
      <c r="L37" s="794">
        <f>+'TAHAP 2.2 (Rincian)'!H39</f>
        <v>285000</v>
      </c>
      <c r="M37" s="795"/>
      <c r="N37" s="856"/>
      <c r="O37" s="861"/>
      <c r="P37" s="856"/>
      <c r="Q37" s="853"/>
      <c r="R37" s="850"/>
      <c r="S37" s="240">
        <f>+'TAHAP 2.2 (Rincian)'!J86</f>
        <v>1226000</v>
      </c>
      <c r="T37" s="843"/>
      <c r="U37" s="844"/>
      <c r="V37" s="845"/>
      <c r="W37" s="241"/>
    </row>
    <row r="38" spans="2:23" s="235" customFormat="1" ht="39.950000000000003" customHeight="1" x14ac:dyDescent="0.25">
      <c r="B38" s="236">
        <v>4</v>
      </c>
      <c r="C38" s="237" t="str">
        <f>+'TAHAP 1'!M16</f>
        <v>ADITYA FAHRIZAL</v>
      </c>
      <c r="D38" s="238"/>
      <c r="E38" s="238"/>
      <c r="F38" s="239"/>
      <c r="G38" s="236">
        <f>+'TAHAP 1'!K16</f>
        <v>13647</v>
      </c>
      <c r="H38" s="867"/>
      <c r="I38" s="868"/>
      <c r="J38" s="868"/>
      <c r="K38" s="869"/>
      <c r="L38" s="794">
        <f>+'TAHAP 2.2 (Rincian)'!H40</f>
        <v>285000</v>
      </c>
      <c r="M38" s="795"/>
      <c r="N38" s="856"/>
      <c r="O38" s="861"/>
      <c r="P38" s="856"/>
      <c r="Q38" s="853"/>
      <c r="R38" s="850"/>
      <c r="S38" s="240">
        <f>+'TAHAP 2.2 (Rincian)'!J87</f>
        <v>1226000</v>
      </c>
      <c r="T38" s="843"/>
      <c r="U38" s="844"/>
      <c r="V38" s="845"/>
      <c r="W38" s="241"/>
    </row>
    <row r="39" spans="2:23" s="235" customFormat="1" ht="39.950000000000003" customHeight="1" thickBot="1" x14ac:dyDescent="0.3">
      <c r="B39" s="242">
        <v>5</v>
      </c>
      <c r="C39" s="243" t="str">
        <f>+'TAHAP 1'!M17</f>
        <v>SUPRIYANTO</v>
      </c>
      <c r="D39" s="244"/>
      <c r="E39" s="244"/>
      <c r="F39" s="245"/>
      <c r="G39" s="242">
        <f>+'TAHAP 1'!K17</f>
        <v>5550</v>
      </c>
      <c r="H39" s="251"/>
      <c r="I39" s="252"/>
      <c r="J39" s="252"/>
      <c r="K39" s="253"/>
      <c r="L39" s="865">
        <f>+'TAHAP 2.2 (Rincian)'!H41</f>
        <v>225000</v>
      </c>
      <c r="M39" s="866"/>
      <c r="N39" s="857"/>
      <c r="O39" s="862"/>
      <c r="P39" s="857"/>
      <c r="Q39" s="854"/>
      <c r="R39" s="851"/>
      <c r="S39" s="246">
        <f>+'TAHAP 2.2 (Rincian)'!J88</f>
        <v>1226000</v>
      </c>
      <c r="T39" s="846"/>
      <c r="U39" s="847"/>
      <c r="V39" s="848"/>
      <c r="W39" s="241"/>
    </row>
    <row r="40" spans="2:23" s="247" customFormat="1" ht="35.1" customHeight="1" thickTop="1" x14ac:dyDescent="0.25">
      <c r="B40" s="859" t="s">
        <v>175</v>
      </c>
      <c r="C40" s="859"/>
      <c r="D40" s="859"/>
      <c r="E40" s="859"/>
      <c r="F40" s="859"/>
      <c r="G40" s="859"/>
      <c r="H40" s="859"/>
      <c r="I40" s="859"/>
      <c r="J40" s="859"/>
      <c r="K40" s="859"/>
      <c r="L40" s="858">
        <f>SUM(L35:M39)</f>
        <v>1365000</v>
      </c>
      <c r="M40" s="858"/>
      <c r="N40" s="858"/>
      <c r="O40" s="858">
        <f>SUM(O35:O39)</f>
        <v>7925000</v>
      </c>
      <c r="P40" s="858"/>
      <c r="Q40" s="858">
        <f>SUM(Q35:Q39)</f>
        <v>0</v>
      </c>
      <c r="R40" s="858"/>
      <c r="S40" s="858">
        <f>SUM(S35:S39)</f>
        <v>6130000</v>
      </c>
      <c r="T40" s="858"/>
      <c r="U40" s="858"/>
      <c r="V40" s="858"/>
      <c r="W40" s="248"/>
    </row>
    <row r="41" spans="2:23" s="235" customFormat="1" ht="45" customHeight="1" x14ac:dyDescent="0.25">
      <c r="B41" s="839" t="s">
        <v>12</v>
      </c>
      <c r="C41" s="839"/>
      <c r="D41" s="839"/>
      <c r="E41" s="839"/>
      <c r="F41" s="839"/>
      <c r="G41" s="839"/>
      <c r="H41" s="839"/>
      <c r="I41" s="839"/>
      <c r="J41" s="839"/>
      <c r="K41" s="839"/>
      <c r="L41" s="826">
        <f>SUM(L40:V40)</f>
        <v>15420000</v>
      </c>
      <c r="M41" s="826"/>
      <c r="N41" s="826"/>
      <c r="O41" s="826"/>
      <c r="P41" s="826"/>
      <c r="Q41" s="826"/>
      <c r="R41" s="826"/>
      <c r="S41" s="826"/>
      <c r="T41" s="826"/>
      <c r="U41" s="826"/>
      <c r="V41" s="826"/>
      <c r="W41" s="241"/>
    </row>
    <row r="42" spans="2:23" s="168" customFormat="1" ht="20.100000000000001" customHeight="1" x14ac:dyDescent="0.25">
      <c r="B42" s="166"/>
      <c r="C42" s="167"/>
      <c r="D42" s="167"/>
      <c r="E42" s="167"/>
      <c r="F42" s="167"/>
      <c r="W42" s="170"/>
    </row>
    <row r="43" spans="2:23" s="168" customFormat="1" ht="20.100000000000001" customHeight="1" x14ac:dyDescent="0.25">
      <c r="B43" s="817" t="s">
        <v>209</v>
      </c>
      <c r="C43" s="818"/>
      <c r="D43" s="818"/>
      <c r="E43" s="818"/>
      <c r="F43" s="818"/>
      <c r="G43" s="818"/>
      <c r="H43" s="818"/>
      <c r="I43" s="818"/>
      <c r="J43" s="818"/>
      <c r="K43" s="818"/>
      <c r="L43" s="818"/>
      <c r="M43" s="818"/>
      <c r="N43" s="818"/>
      <c r="O43" s="818"/>
      <c r="P43" s="818"/>
      <c r="Q43" s="818"/>
      <c r="R43" s="819"/>
      <c r="S43" s="186"/>
      <c r="T43" s="827" t="s">
        <v>208</v>
      </c>
      <c r="U43" s="828"/>
      <c r="V43" s="829"/>
      <c r="W43" s="170"/>
    </row>
    <row r="44" spans="2:23" s="168" customFormat="1" ht="20.100000000000001" customHeight="1" x14ac:dyDescent="0.25">
      <c r="B44" s="820"/>
      <c r="C44" s="821"/>
      <c r="D44" s="821"/>
      <c r="E44" s="821"/>
      <c r="F44" s="821"/>
      <c r="G44" s="821"/>
      <c r="H44" s="821"/>
      <c r="I44" s="821"/>
      <c r="J44" s="821"/>
      <c r="K44" s="821"/>
      <c r="L44" s="821"/>
      <c r="M44" s="821"/>
      <c r="N44" s="821"/>
      <c r="O44" s="821"/>
      <c r="P44" s="821"/>
      <c r="Q44" s="821"/>
      <c r="R44" s="822"/>
      <c r="S44" s="186"/>
      <c r="T44" s="830"/>
      <c r="U44" s="831"/>
      <c r="V44" s="832"/>
      <c r="W44" s="170"/>
    </row>
    <row r="45" spans="2:23" s="168" customFormat="1" ht="20.100000000000001" customHeight="1" x14ac:dyDescent="0.25">
      <c r="B45" s="820"/>
      <c r="C45" s="821"/>
      <c r="D45" s="821"/>
      <c r="E45" s="821"/>
      <c r="F45" s="821"/>
      <c r="G45" s="821"/>
      <c r="H45" s="821"/>
      <c r="I45" s="821"/>
      <c r="J45" s="821"/>
      <c r="K45" s="821"/>
      <c r="L45" s="821"/>
      <c r="M45" s="821"/>
      <c r="N45" s="821"/>
      <c r="O45" s="821"/>
      <c r="P45" s="821"/>
      <c r="Q45" s="821"/>
      <c r="R45" s="822"/>
      <c r="S45" s="186"/>
      <c r="T45" s="833"/>
      <c r="U45" s="834"/>
      <c r="V45" s="835"/>
      <c r="W45" s="170"/>
    </row>
    <row r="46" spans="2:23" s="168" customFormat="1" ht="20.100000000000001" customHeight="1" x14ac:dyDescent="0.25">
      <c r="B46" s="820"/>
      <c r="C46" s="821"/>
      <c r="D46" s="821"/>
      <c r="E46" s="821"/>
      <c r="F46" s="821"/>
      <c r="G46" s="821"/>
      <c r="H46" s="821"/>
      <c r="I46" s="821"/>
      <c r="J46" s="821"/>
      <c r="K46" s="821"/>
      <c r="L46" s="821"/>
      <c r="M46" s="821"/>
      <c r="N46" s="821"/>
      <c r="O46" s="821"/>
      <c r="P46" s="821"/>
      <c r="Q46" s="821"/>
      <c r="R46" s="822"/>
      <c r="S46" s="186"/>
      <c r="T46" s="777" t="s">
        <v>179</v>
      </c>
      <c r="U46" s="836"/>
      <c r="V46" s="778"/>
      <c r="W46" s="170"/>
    </row>
    <row r="47" spans="2:23" s="169" customFormat="1" ht="20.100000000000001" customHeight="1" x14ac:dyDescent="0.25">
      <c r="B47" s="820"/>
      <c r="C47" s="821"/>
      <c r="D47" s="821"/>
      <c r="E47" s="821"/>
      <c r="F47" s="821"/>
      <c r="G47" s="821"/>
      <c r="H47" s="821"/>
      <c r="I47" s="821"/>
      <c r="J47" s="821"/>
      <c r="K47" s="821"/>
      <c r="L47" s="821"/>
      <c r="M47" s="821"/>
      <c r="N47" s="821"/>
      <c r="O47" s="821"/>
      <c r="P47" s="821"/>
      <c r="Q47" s="821"/>
      <c r="R47" s="822"/>
      <c r="S47" s="186"/>
      <c r="T47" s="779"/>
      <c r="U47" s="837"/>
      <c r="V47" s="780"/>
      <c r="W47" s="173"/>
    </row>
    <row r="48" spans="2:23" s="169" customFormat="1" ht="20.100000000000001" customHeight="1" x14ac:dyDescent="0.25">
      <c r="B48" s="820"/>
      <c r="C48" s="821"/>
      <c r="D48" s="821"/>
      <c r="E48" s="821"/>
      <c r="F48" s="821"/>
      <c r="G48" s="821"/>
      <c r="H48" s="821"/>
      <c r="I48" s="821"/>
      <c r="J48" s="821"/>
      <c r="K48" s="821"/>
      <c r="L48" s="821"/>
      <c r="M48" s="821"/>
      <c r="N48" s="821"/>
      <c r="O48" s="821"/>
      <c r="P48" s="821"/>
      <c r="Q48" s="821"/>
      <c r="R48" s="822"/>
      <c r="S48" s="186"/>
      <c r="T48" s="779"/>
      <c r="U48" s="837"/>
      <c r="V48" s="780"/>
      <c r="W48" s="187"/>
    </row>
    <row r="49" spans="1:24" s="169" customFormat="1" ht="20.100000000000001" customHeight="1" x14ac:dyDescent="0.25">
      <c r="B49" s="823"/>
      <c r="C49" s="824"/>
      <c r="D49" s="824"/>
      <c r="E49" s="824"/>
      <c r="F49" s="824"/>
      <c r="G49" s="824"/>
      <c r="H49" s="824"/>
      <c r="I49" s="824"/>
      <c r="J49" s="824"/>
      <c r="K49" s="824"/>
      <c r="L49" s="824"/>
      <c r="M49" s="824"/>
      <c r="N49" s="824"/>
      <c r="O49" s="824"/>
      <c r="P49" s="824"/>
      <c r="Q49" s="824"/>
      <c r="R49" s="825"/>
      <c r="S49" s="186"/>
      <c r="T49" s="781"/>
      <c r="U49" s="838"/>
      <c r="V49" s="782"/>
      <c r="W49" s="187"/>
    </row>
    <row r="50" spans="1:24" s="169" customFormat="1" ht="15.75" x14ac:dyDescent="0.25">
      <c r="B50" s="188"/>
      <c r="C50" s="189"/>
      <c r="D50" s="189"/>
      <c r="E50" s="189"/>
      <c r="F50" s="189"/>
      <c r="G50" s="189"/>
      <c r="H50" s="189"/>
      <c r="I50" s="189"/>
      <c r="J50" s="189"/>
      <c r="K50" s="189"/>
      <c r="L50" s="189"/>
      <c r="M50" s="189"/>
      <c r="N50" s="189"/>
      <c r="O50" s="189"/>
      <c r="P50" s="189"/>
      <c r="Q50" s="189"/>
      <c r="R50" s="172"/>
      <c r="T50" s="190"/>
      <c r="U50" s="190"/>
      <c r="V50" s="190"/>
      <c r="W50" s="191"/>
    </row>
    <row r="51" spans="1:24" s="169" customFormat="1" ht="15.75" x14ac:dyDescent="0.25">
      <c r="B51" s="188"/>
      <c r="C51" s="189"/>
      <c r="D51" s="189"/>
      <c r="E51" s="189"/>
      <c r="F51" s="189"/>
      <c r="G51" s="189"/>
      <c r="H51" s="189"/>
      <c r="I51" s="189"/>
      <c r="J51" s="189"/>
      <c r="K51" s="189"/>
      <c r="L51" s="189"/>
      <c r="M51" s="189"/>
      <c r="N51" s="189"/>
      <c r="O51" s="189"/>
      <c r="P51" s="189"/>
      <c r="Q51" s="189"/>
      <c r="R51" s="172"/>
      <c r="T51" s="190"/>
      <c r="U51" s="190"/>
      <c r="V51" s="190"/>
      <c r="W51" s="191"/>
    </row>
    <row r="52" spans="1:24" s="169" customFormat="1" ht="15.75" x14ac:dyDescent="0.25">
      <c r="B52" s="188"/>
      <c r="C52" s="189"/>
      <c r="D52" s="189"/>
      <c r="E52" s="189"/>
      <c r="F52" s="189"/>
      <c r="G52" s="189"/>
      <c r="H52" s="189"/>
      <c r="I52" s="189"/>
      <c r="J52" s="189"/>
      <c r="K52" s="189"/>
      <c r="L52" s="189"/>
      <c r="M52" s="189"/>
      <c r="N52" s="189"/>
      <c r="O52" s="189"/>
      <c r="P52" s="189"/>
      <c r="Q52" s="189"/>
      <c r="R52" s="172"/>
      <c r="T52" s="190"/>
      <c r="U52" s="190"/>
      <c r="V52" s="190"/>
      <c r="W52" s="191"/>
    </row>
    <row r="53" spans="1:24" s="169" customFormat="1" ht="15.75" x14ac:dyDescent="0.25">
      <c r="B53" s="188"/>
      <c r="C53" s="189"/>
      <c r="D53" s="189"/>
      <c r="E53" s="189"/>
      <c r="F53" s="189"/>
      <c r="G53" s="189"/>
      <c r="H53" s="189"/>
      <c r="I53" s="189"/>
      <c r="J53" s="189"/>
      <c r="K53" s="189"/>
      <c r="L53" s="189"/>
      <c r="M53" s="189"/>
      <c r="N53" s="189"/>
      <c r="O53" s="189"/>
      <c r="P53" s="189"/>
      <c r="Q53" s="189"/>
      <c r="R53" s="172"/>
      <c r="T53" s="190"/>
      <c r="U53" s="190"/>
      <c r="V53" s="190"/>
      <c r="W53" s="191"/>
    </row>
    <row r="54" spans="1:24" s="169" customFormat="1" ht="16.5" thickBot="1" x14ac:dyDescent="0.3">
      <c r="B54" s="192"/>
      <c r="C54" s="193"/>
      <c r="D54" s="194"/>
      <c r="E54" s="193"/>
      <c r="F54" s="193"/>
      <c r="G54" s="195"/>
      <c r="H54" s="195"/>
      <c r="I54" s="195"/>
      <c r="J54" s="195"/>
      <c r="K54" s="195"/>
      <c r="L54" s="195"/>
      <c r="M54" s="195"/>
      <c r="N54" s="195"/>
      <c r="O54" s="195"/>
      <c r="P54" s="195"/>
      <c r="Q54" s="195"/>
      <c r="R54" s="195"/>
      <c r="S54" s="195"/>
      <c r="T54" s="196"/>
      <c r="U54" s="196"/>
      <c r="V54" s="196"/>
      <c r="W54" s="197"/>
    </row>
    <row r="55" spans="1:24" ht="20.100000000000001" customHeight="1" thickTop="1" x14ac:dyDescent="0.25">
      <c r="B55" s="656" t="s">
        <v>110</v>
      </c>
      <c r="C55" s="657"/>
      <c r="D55" s="657"/>
      <c r="E55" s="657"/>
      <c r="F55" s="658"/>
      <c r="G55" s="663"/>
      <c r="H55" s="799"/>
      <c r="I55" s="667" t="s">
        <v>160</v>
      </c>
      <c r="J55" s="801"/>
      <c r="K55" s="801"/>
      <c r="L55" s="802"/>
      <c r="M55" s="64">
        <v>4</v>
      </c>
      <c r="N55" s="807" t="s">
        <v>171</v>
      </c>
      <c r="O55" s="808"/>
      <c r="P55" s="809"/>
      <c r="Q55" s="87">
        <v>45118</v>
      </c>
      <c r="R55" s="64" t="s">
        <v>55</v>
      </c>
      <c r="S55" s="64"/>
      <c r="T55" s="813"/>
      <c r="U55" s="814"/>
      <c r="V55" s="815"/>
      <c r="W55" s="64"/>
    </row>
    <row r="56" spans="1:24" ht="20.100000000000001" customHeight="1" x14ac:dyDescent="0.25">
      <c r="B56" s="659"/>
      <c r="C56" s="657"/>
      <c r="D56" s="657"/>
      <c r="E56" s="657"/>
      <c r="F56" s="658"/>
      <c r="G56" s="663"/>
      <c r="H56" s="799"/>
      <c r="I56" s="803"/>
      <c r="J56" s="801"/>
      <c r="K56" s="801"/>
      <c r="L56" s="802"/>
      <c r="M56" s="4">
        <v>3</v>
      </c>
      <c r="N56" s="810" t="s">
        <v>168</v>
      </c>
      <c r="O56" s="811"/>
      <c r="P56" s="812"/>
      <c r="Q56" s="88">
        <v>44702</v>
      </c>
      <c r="R56" s="4" t="s">
        <v>55</v>
      </c>
      <c r="S56" s="4"/>
      <c r="T56" s="592"/>
      <c r="U56" s="816"/>
      <c r="V56" s="593"/>
      <c r="W56" s="4"/>
    </row>
    <row r="57" spans="1:24" ht="20.100000000000001" customHeight="1" x14ac:dyDescent="0.25">
      <c r="B57" s="659"/>
      <c r="C57" s="657"/>
      <c r="D57" s="657"/>
      <c r="E57" s="657"/>
      <c r="F57" s="658"/>
      <c r="G57" s="663"/>
      <c r="H57" s="799"/>
      <c r="I57" s="803"/>
      <c r="J57" s="801"/>
      <c r="K57" s="801"/>
      <c r="L57" s="802"/>
      <c r="M57" s="4">
        <v>2</v>
      </c>
      <c r="N57" s="810" t="s">
        <v>167</v>
      </c>
      <c r="O57" s="811"/>
      <c r="P57" s="812"/>
      <c r="Q57" s="88">
        <v>44314</v>
      </c>
      <c r="R57" s="4" t="s">
        <v>55</v>
      </c>
      <c r="S57" s="4">
        <v>3</v>
      </c>
      <c r="T57" s="592">
        <f>+Q55</f>
        <v>45118</v>
      </c>
      <c r="U57" s="816"/>
      <c r="V57" s="593"/>
      <c r="W57" s="4" t="s">
        <v>57</v>
      </c>
    </row>
    <row r="58" spans="1:24" ht="20.100000000000001" customHeight="1" x14ac:dyDescent="0.25">
      <c r="B58" s="659"/>
      <c r="C58" s="657"/>
      <c r="D58" s="657"/>
      <c r="E58" s="657"/>
      <c r="F58" s="658"/>
      <c r="G58" s="663"/>
      <c r="H58" s="799"/>
      <c r="I58" s="803"/>
      <c r="J58" s="801"/>
      <c r="K58" s="801"/>
      <c r="L58" s="802"/>
      <c r="M58" s="4">
        <v>1</v>
      </c>
      <c r="N58" s="810" t="s">
        <v>166</v>
      </c>
      <c r="O58" s="811"/>
      <c r="P58" s="812"/>
      <c r="Q58" s="88">
        <v>44147</v>
      </c>
      <c r="R58" s="4" t="s">
        <v>55</v>
      </c>
      <c r="S58" s="4">
        <v>2</v>
      </c>
      <c r="T58" s="592">
        <v>44702</v>
      </c>
      <c r="U58" s="816"/>
      <c r="V58" s="593"/>
      <c r="W58" s="4" t="s">
        <v>170</v>
      </c>
    </row>
    <row r="59" spans="1:24" ht="20.100000000000001" customHeight="1" x14ac:dyDescent="0.25">
      <c r="B59" s="659"/>
      <c r="C59" s="657"/>
      <c r="D59" s="657"/>
      <c r="E59" s="657"/>
      <c r="F59" s="658"/>
      <c r="G59" s="663"/>
      <c r="H59" s="799"/>
      <c r="I59" s="803"/>
      <c r="J59" s="801"/>
      <c r="K59" s="801"/>
      <c r="L59" s="802"/>
      <c r="M59" s="4">
        <v>0</v>
      </c>
      <c r="N59" s="810" t="s">
        <v>109</v>
      </c>
      <c r="O59" s="811"/>
      <c r="P59" s="812"/>
      <c r="Q59" s="88">
        <v>45113</v>
      </c>
      <c r="R59" s="4" t="s">
        <v>169</v>
      </c>
      <c r="S59" s="4">
        <v>1</v>
      </c>
      <c r="T59" s="592">
        <v>44314</v>
      </c>
      <c r="U59" s="816"/>
      <c r="V59" s="593"/>
      <c r="W59" s="4" t="s">
        <v>57</v>
      </c>
    </row>
    <row r="60" spans="1:24" s="3" customFormat="1" ht="20.100000000000001" customHeight="1" x14ac:dyDescent="0.25">
      <c r="B60" s="660"/>
      <c r="C60" s="661"/>
      <c r="D60" s="661"/>
      <c r="E60" s="661"/>
      <c r="F60" s="662"/>
      <c r="G60" s="664"/>
      <c r="H60" s="800"/>
      <c r="I60" s="804"/>
      <c r="J60" s="805"/>
      <c r="K60" s="805"/>
      <c r="L60" s="806"/>
      <c r="M60" s="16" t="s">
        <v>108</v>
      </c>
      <c r="N60" s="796" t="s">
        <v>107</v>
      </c>
      <c r="O60" s="797"/>
      <c r="P60" s="798"/>
      <c r="Q60" s="89" t="s">
        <v>5</v>
      </c>
      <c r="R60" s="16" t="s">
        <v>104</v>
      </c>
      <c r="S60" s="16" t="s">
        <v>105</v>
      </c>
      <c r="T60" s="547" t="s">
        <v>106</v>
      </c>
      <c r="U60" s="548"/>
      <c r="V60" s="549"/>
      <c r="W60" s="16" t="s">
        <v>104</v>
      </c>
    </row>
    <row r="61" spans="1:24" s="12" customFormat="1" ht="16.5" thickBot="1" x14ac:dyDescent="0.3">
      <c r="A61" s="49"/>
      <c r="B61" s="49"/>
      <c r="C61" s="50"/>
      <c r="D61" s="50"/>
      <c r="E61" s="50"/>
      <c r="F61" s="50"/>
      <c r="G61" s="49"/>
      <c r="H61" s="49"/>
      <c r="I61" s="49"/>
      <c r="J61" s="49"/>
      <c r="K61" s="49"/>
      <c r="L61" s="49"/>
      <c r="M61" s="49"/>
      <c r="N61" s="49"/>
      <c r="O61" s="49"/>
      <c r="P61" s="49"/>
      <c r="Q61" s="49"/>
      <c r="R61" s="49"/>
      <c r="S61" s="49"/>
      <c r="T61" s="49"/>
      <c r="U61" s="49"/>
      <c r="V61" s="49"/>
      <c r="W61" s="49"/>
      <c r="X61" s="49"/>
    </row>
    <row r="62" spans="1:24" ht="15.75" thickTop="1" x14ac:dyDescent="0.25">
      <c r="W62" s="63"/>
    </row>
  </sheetData>
  <mergeCells count="100">
    <mergeCell ref="G22:H22"/>
    <mergeCell ref="I22:J22"/>
    <mergeCell ref="K22:L22"/>
    <mergeCell ref="M22:O22"/>
    <mergeCell ref="L28:N28"/>
    <mergeCell ref="B28:K33"/>
    <mergeCell ref="D23:E23"/>
    <mergeCell ref="K23:L23"/>
    <mergeCell ref="G23:H23"/>
    <mergeCell ref="I23:J23"/>
    <mergeCell ref="D22:E22"/>
    <mergeCell ref="B40:K40"/>
    <mergeCell ref="L40:N40"/>
    <mergeCell ref="O40:P40"/>
    <mergeCell ref="Q40:R40"/>
    <mergeCell ref="C34:F34"/>
    <mergeCell ref="O35:O39"/>
    <mergeCell ref="H34:K34"/>
    <mergeCell ref="L34:M34"/>
    <mergeCell ref="L35:M35"/>
    <mergeCell ref="N35:N39"/>
    <mergeCell ref="L39:M39"/>
    <mergeCell ref="H35:K35"/>
    <mergeCell ref="H36:K36"/>
    <mergeCell ref="L36:M36"/>
    <mergeCell ref="H38:K38"/>
    <mergeCell ref="L38:M38"/>
    <mergeCell ref="T35:V39"/>
    <mergeCell ref="R35:R39"/>
    <mergeCell ref="Q35:Q39"/>
    <mergeCell ref="P35:P39"/>
    <mergeCell ref="S40:V40"/>
    <mergeCell ref="B43:R49"/>
    <mergeCell ref="L41:V41"/>
    <mergeCell ref="T43:V45"/>
    <mergeCell ref="T46:V49"/>
    <mergeCell ref="B41:K41"/>
    <mergeCell ref="L37:M37"/>
    <mergeCell ref="T60:V60"/>
    <mergeCell ref="N60:P60"/>
    <mergeCell ref="B55:F60"/>
    <mergeCell ref="G55:H60"/>
    <mergeCell ref="I55:L60"/>
    <mergeCell ref="N55:P55"/>
    <mergeCell ref="N56:P56"/>
    <mergeCell ref="N57:P57"/>
    <mergeCell ref="N58:P58"/>
    <mergeCell ref="N59:P59"/>
    <mergeCell ref="T55:V55"/>
    <mergeCell ref="T56:V56"/>
    <mergeCell ref="T58:V58"/>
    <mergeCell ref="T59:V59"/>
    <mergeCell ref="T57:V57"/>
    <mergeCell ref="V2:W2"/>
    <mergeCell ref="V6:W6"/>
    <mergeCell ref="T6:U6"/>
    <mergeCell ref="T2:U2"/>
    <mergeCell ref="W15:W18"/>
    <mergeCell ref="T15:U15"/>
    <mergeCell ref="T16:U18"/>
    <mergeCell ref="R3:W5"/>
    <mergeCell ref="S16:S18"/>
    <mergeCell ref="R16:R18"/>
    <mergeCell ref="S29:V33"/>
    <mergeCell ref="T34:V34"/>
    <mergeCell ref="T19:U23"/>
    <mergeCell ref="S28:V28"/>
    <mergeCell ref="S19:S23"/>
    <mergeCell ref="B3:K6"/>
    <mergeCell ref="B15:B18"/>
    <mergeCell ref="C15:F18"/>
    <mergeCell ref="K15:L18"/>
    <mergeCell ref="D19:E19"/>
    <mergeCell ref="G15:H18"/>
    <mergeCell ref="I15:J18"/>
    <mergeCell ref="G19:H19"/>
    <mergeCell ref="I19:J19"/>
    <mergeCell ref="K19:L19"/>
    <mergeCell ref="Q16:Q18"/>
    <mergeCell ref="Q30:R33"/>
    <mergeCell ref="O28:R28"/>
    <mergeCell ref="O30:P31"/>
    <mergeCell ref="O32:P33"/>
    <mergeCell ref="M15:O18"/>
    <mergeCell ref="P16:P18"/>
    <mergeCell ref="O29:P29"/>
    <mergeCell ref="Q29:R29"/>
    <mergeCell ref="M19:O19"/>
    <mergeCell ref="R20:R21"/>
    <mergeCell ref="M23:O23"/>
    <mergeCell ref="D20:E20"/>
    <mergeCell ref="G20:H20"/>
    <mergeCell ref="I20:J20"/>
    <mergeCell ref="K20:L20"/>
    <mergeCell ref="M20:O20"/>
    <mergeCell ref="D21:E21"/>
    <mergeCell ref="G21:H21"/>
    <mergeCell ref="I21:J21"/>
    <mergeCell ref="K21:L21"/>
    <mergeCell ref="M21:O21"/>
  </mergeCells>
  <printOptions horizontalCentered="1"/>
  <pageMargins left="0" right="0" top="1" bottom="0" header="1" footer="0"/>
  <pageSetup paperSize="9" scale="44"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F6415-DE16-478D-B92C-68C73519B490}">
  <dimension ref="A1:D15"/>
  <sheetViews>
    <sheetView tabSelected="1" workbookViewId="0">
      <selection activeCell="M28" sqref="M28"/>
    </sheetView>
  </sheetViews>
  <sheetFormatPr defaultRowHeight="15" x14ac:dyDescent="0.25"/>
  <cols>
    <col min="1" max="1" width="40.28515625" style="266" bestFit="1" customWidth="1"/>
    <col min="2" max="2" width="10.5703125" style="266" bestFit="1" customWidth="1"/>
    <col min="3" max="3" width="9.140625" style="266"/>
    <col min="4" max="4" width="13.28515625" style="266" bestFit="1" customWidth="1"/>
    <col min="5" max="16384" width="9.140625" style="266"/>
  </cols>
  <sheetData>
    <row r="1" spans="1:4" x14ac:dyDescent="0.25">
      <c r="A1" s="266" t="s">
        <v>273</v>
      </c>
    </row>
    <row r="3" spans="1:4" x14ac:dyDescent="0.25">
      <c r="A3" s="411" t="s">
        <v>274</v>
      </c>
      <c r="B3" s="412">
        <v>750000</v>
      </c>
      <c r="C3" s="413">
        <v>2</v>
      </c>
      <c r="D3" s="417">
        <f>B3*C3</f>
        <v>1500000</v>
      </c>
    </row>
    <row r="4" spans="1:4" x14ac:dyDescent="0.25">
      <c r="A4" s="414" t="s">
        <v>275</v>
      </c>
      <c r="B4" s="415">
        <v>1100000</v>
      </c>
      <c r="C4" s="416">
        <v>2</v>
      </c>
      <c r="D4" s="417">
        <f t="shared" ref="D4:D8" si="0">B4*C4</f>
        <v>2200000</v>
      </c>
    </row>
    <row r="5" spans="1:4" x14ac:dyDescent="0.25">
      <c r="A5" s="411" t="s">
        <v>276</v>
      </c>
      <c r="B5" s="412">
        <v>1100000</v>
      </c>
      <c r="C5" s="413">
        <v>2</v>
      </c>
      <c r="D5" s="417">
        <f t="shared" si="0"/>
        <v>2200000</v>
      </c>
    </row>
    <row r="6" spans="1:4" x14ac:dyDescent="0.25">
      <c r="A6" s="414" t="s">
        <v>277</v>
      </c>
      <c r="B6" s="415">
        <v>150000</v>
      </c>
      <c r="C6" s="416">
        <v>2</v>
      </c>
      <c r="D6" s="417">
        <f t="shared" si="0"/>
        <v>300000</v>
      </c>
    </row>
    <row r="7" spans="1:4" x14ac:dyDescent="0.25">
      <c r="A7" s="414" t="s">
        <v>278</v>
      </c>
      <c r="B7" s="415">
        <v>200000</v>
      </c>
      <c r="C7" s="416">
        <v>1</v>
      </c>
      <c r="D7" s="417">
        <f t="shared" si="0"/>
        <v>200000</v>
      </c>
    </row>
    <row r="8" spans="1:4" x14ac:dyDescent="0.25">
      <c r="A8" s="414" t="s">
        <v>279</v>
      </c>
      <c r="B8" s="415">
        <v>250000</v>
      </c>
      <c r="C8" s="416">
        <v>2</v>
      </c>
      <c r="D8" s="417">
        <f t="shared" si="0"/>
        <v>500000</v>
      </c>
    </row>
    <row r="9" spans="1:4" x14ac:dyDescent="0.25">
      <c r="D9" s="418">
        <f>SUM(D3:D8)</f>
        <v>6900000</v>
      </c>
    </row>
    <row r="10" spans="1:4" x14ac:dyDescent="0.25">
      <c r="D10" s="417"/>
    </row>
    <row r="11" spans="1:4" x14ac:dyDescent="0.25">
      <c r="A11" s="411" t="s">
        <v>280</v>
      </c>
      <c r="B11" s="412">
        <v>1200000</v>
      </c>
      <c r="C11" s="413">
        <v>2</v>
      </c>
      <c r="D11" s="417">
        <f t="shared" ref="D11" si="1">B11*C11</f>
        <v>2400000</v>
      </c>
    </row>
    <row r="15" spans="1:4" x14ac:dyDescent="0.25">
      <c r="D15" s="266">
        <f>11690500-6900000</f>
        <v>4790500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TAHAP 1</vt:lpstr>
      <vt:lpstr>TAHAP 2.2 (Rincian)</vt:lpstr>
      <vt:lpstr>TAHAP 2.1 (SPD)</vt:lpstr>
      <vt:lpstr>Sheet1</vt:lpstr>
      <vt:lpstr>'TAHAP 1'!Print_Area</vt:lpstr>
      <vt:lpstr>'TAHAP 2.1 (SPD)'!Print_Area</vt:lpstr>
      <vt:lpstr>'TAHAP 2.2 (Rincian)'!Print_Area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NYS-10</cp:lastModifiedBy>
  <cp:lastPrinted>2024-12-03T04:26:45Z</cp:lastPrinted>
  <dcterms:created xsi:type="dcterms:W3CDTF">2023-06-18T02:33:15Z</dcterms:created>
  <dcterms:modified xsi:type="dcterms:W3CDTF">2024-12-10T09:23:32Z</dcterms:modified>
</cp:coreProperties>
</file>