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 DATA\PUTRI MEI E\3. TERM 83\2. DATA SCAN\4. SCAN PERJALANAN DINAS\3. SEPTEMBER\"/>
    </mc:Choice>
  </mc:AlternateContent>
  <xr:revisionPtr revIDLastSave="0" documentId="8_{8BBE1445-A6B8-4662-99E2-3C5C07DF1647}" xr6:coauthVersionLast="47" xr6:coauthVersionMax="47" xr10:uidLastSave="{00000000-0000-0000-0000-000000000000}"/>
  <bookViews>
    <workbookView xWindow="-120" yWindow="-120" windowWidth="29040" windowHeight="15840" xr2:uid="{3C8EFE4B-4B76-4C76-8A39-62846599FF78}"/>
  </bookViews>
  <sheets>
    <sheet name="3 Okt-1 Nov 2023" sheetId="1" r:id="rId1"/>
  </sheets>
  <definedNames>
    <definedName name="_xlnm.Print_Area" localSheetId="0">'3 Okt-1 Nov 2023'!$A$1:$U$49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8" i="1" l="1"/>
  <c r="Z40" i="1" s="1"/>
  <c r="F25" i="1"/>
  <c r="R13" i="1"/>
  <c r="F13" i="1"/>
  <c r="R12" i="1"/>
  <c r="F12" i="1"/>
  <c r="R11" i="1"/>
  <c r="R14" i="1" s="1"/>
  <c r="F11" i="1"/>
  <c r="F14" i="1" s="1"/>
  <c r="R10" i="1"/>
  <c r="F10" i="1"/>
</calcChain>
</file>

<file path=xl/sharedStrings.xml><?xml version="1.0" encoding="utf-8"?>
<sst xmlns="http://schemas.openxmlformats.org/spreadsheetml/2006/main" count="154" uniqueCount="55">
  <si>
    <t>RINCIAN BIAYA SORTIR DAN REWORK KE THAILAND 3 OKTOBER - 1 NOVEMBER 2023</t>
  </si>
  <si>
    <t xml:space="preserve">1. </t>
  </si>
  <si>
    <t xml:space="preserve">UPD + Biaya Hotel + Uang Cadangan </t>
  </si>
  <si>
    <t>LUNCH</t>
  </si>
  <si>
    <t>DINNER</t>
  </si>
  <si>
    <t>Option 1</t>
  </si>
  <si>
    <t>Uang saku</t>
  </si>
  <si>
    <t>SAMI</t>
  </si>
  <si>
    <t>Option 2</t>
  </si>
  <si>
    <t>Uang makan</t>
  </si>
  <si>
    <t>OK</t>
  </si>
  <si>
    <t>Pagi : Hotel</t>
  </si>
  <si>
    <t>Debit Note</t>
  </si>
  <si>
    <t>Siang : TAP-B</t>
  </si>
  <si>
    <t>3 Oktober-1 November 2023</t>
  </si>
  <si>
    <t>Malam: TAP-B</t>
  </si>
  <si>
    <t xml:space="preserve">Plan </t>
  </si>
  <si>
    <t>No.</t>
  </si>
  <si>
    <t xml:space="preserve">Item </t>
  </si>
  <si>
    <t>Day</t>
  </si>
  <si>
    <t>Price</t>
  </si>
  <si>
    <t>Amount</t>
  </si>
  <si>
    <t>PR</t>
  </si>
  <si>
    <t>USD</t>
  </si>
  <si>
    <t>Uang Saku</t>
  </si>
  <si>
    <t>Sebelum berangkat</t>
  </si>
  <si>
    <t xml:space="preserve">Sebelum berangkat.
Hanya hari Libur </t>
  </si>
  <si>
    <t>Hotel+ Breakfast</t>
  </si>
  <si>
    <t>Cadangan untuk hotel</t>
  </si>
  <si>
    <t>Sesuai actual- setelah selesai Perjalanan Dinas</t>
  </si>
  <si>
    <t>Cadangan</t>
  </si>
  <si>
    <t xml:space="preserve">Total </t>
  </si>
  <si>
    <t>Noted:</t>
  </si>
  <si>
    <t>- Biaya Hotel adalah Estimasi- Pertanggungjawaban menyesuaikan nilai tukar USD ke Baht saat pembayaran ke Hotel. (Bisa naik/ turun)</t>
  </si>
  <si>
    <t>- Uang cadangan dikembalikan jika tidak digunakan dalam bentuk USD / Rupiah</t>
  </si>
  <si>
    <t xml:space="preserve">- Pertanggung jawaban uang cadangan+hotel harus ada Notta </t>
  </si>
  <si>
    <t>- Option 1 : UPD(Uang saku+ makan siang+ malam), Makan pagi sudah include dengan biaya hotel</t>
  </si>
  <si>
    <t>- Option 2 : Jika request makan siang dan malam di siapkan TAP-B. Kemudian TAP-B menagihkan ke SAMI sebagai Debit Note jadi tidak mendapat uang makan cash.</t>
  </si>
  <si>
    <t>Hari</t>
  </si>
  <si>
    <t>Keterangan</t>
  </si>
  <si>
    <t>Makan siang+ Malam</t>
  </si>
  <si>
    <t>Uang Makan diberikan sebelum berangkat</t>
  </si>
  <si>
    <t xml:space="preserve">Actual Penagihan </t>
  </si>
  <si>
    <t xml:space="preserve">Debit Note dari TAP-B
Sesuai hari kerja </t>
  </si>
  <si>
    <t>Pick up from Airport &amp; Daily Working</t>
  </si>
  <si>
    <t>Debit Note dari TAP-B</t>
  </si>
  <si>
    <t>Biaya Urgent Work Permit</t>
  </si>
  <si>
    <t xml:space="preserve">Silahkan informasi ke GA Option yang akan dipilih </t>
  </si>
  <si>
    <t>Mengetahui</t>
  </si>
  <si>
    <t>Approved</t>
  </si>
  <si>
    <t>Checked</t>
  </si>
  <si>
    <t>Prepared</t>
  </si>
  <si>
    <t>AWI</t>
  </si>
  <si>
    <t>FYH</t>
  </si>
  <si>
    <t>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</si>
</sst>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3" borderId="0" xfId="0" applyFill="1"/>
    <xf numFmtId="0" fontId="0" fillId="0" borderId="1" xfId="0" applyBorder="1"/>
    <xf numFmtId="14" fontId="0" fillId="0" borderId="1" xfId="0" applyNumberFormat="1" applyBorder="1"/>
    <xf numFmtId="0" fontId="0" fillId="4" borderId="1" xfId="0" applyFill="1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1" fontId="0" fillId="0" borderId="1" xfId="1" applyFont="1" applyBorder="1" applyAlignment="1">
      <alignment horizontal="left" vertical="center"/>
    </xf>
    <xf numFmtId="41" fontId="0" fillId="0" borderId="0" xfId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41" fontId="0" fillId="0" borderId="1" xfId="1" applyFont="1" applyBorder="1" applyAlignment="1">
      <alignment vertical="center"/>
    </xf>
    <xf numFmtId="41" fontId="0" fillId="0" borderId="0" xfId="1" applyFont="1" applyBorder="1"/>
    <xf numFmtId="2" fontId="0" fillId="0" borderId="1" xfId="0" applyNumberForma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41" fontId="0" fillId="0" borderId="0" xfId="1" applyFont="1" applyBorder="1" applyAlignment="1">
      <alignment horizontal="left" vertical="center" wrapText="1"/>
    </xf>
    <xf numFmtId="41" fontId="2" fillId="0" borderId="1" xfId="1" applyFont="1" applyBorder="1"/>
    <xf numFmtId="41" fontId="2" fillId="0" borderId="0" xfId="1" applyFont="1" applyBorder="1"/>
    <xf numFmtId="41" fontId="0" fillId="0" borderId="0" xfId="1" applyFont="1"/>
    <xf numFmtId="0" fontId="0" fillId="0" borderId="0" xfId="0" quotePrefix="1"/>
    <xf numFmtId="41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1" fontId="0" fillId="0" borderId="0" xfId="1" applyFont="1" applyBorder="1" applyAlignment="1">
      <alignment horizontal="center"/>
    </xf>
    <xf numFmtId="14" fontId="0" fillId="0" borderId="0" xfId="0" applyNumberFormat="1"/>
    <xf numFmtId="1" fontId="2" fillId="0" borderId="1" xfId="0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1" fontId="0" fillId="0" borderId="1" xfId="1" applyFont="1" applyBorder="1" applyAlignment="1">
      <alignment horizontal="left" vertical="center" wrapText="1"/>
    </xf>
    <xf numFmtId="41" fontId="0" fillId="0" borderId="2" xfId="1" applyFont="1" applyBorder="1" applyAlignment="1">
      <alignment horizontal="left" vertical="center" wrapText="1"/>
    </xf>
    <xf numFmtId="41" fontId="0" fillId="0" borderId="9" xfId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41" fontId="0" fillId="0" borderId="2" xfId="1" applyFont="1" applyBorder="1" applyAlignment="1">
      <alignment horizontal="left" vertical="center"/>
    </xf>
    <xf numFmtId="41" fontId="0" fillId="0" borderId="9" xfId="1" applyFont="1" applyBorder="1" applyAlignment="1">
      <alignment horizontal="left" vertical="center"/>
    </xf>
    <xf numFmtId="41" fontId="0" fillId="0" borderId="1" xfId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EFBE.967B2DA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22411</xdr:colOff>
      <xdr:row>48</xdr:row>
      <xdr:rowOff>164317</xdr:rowOff>
    </xdr:from>
    <xdr:to>
      <xdr:col>11</xdr:col>
      <xdr:colOff>795617</xdr:colOff>
      <xdr:row>75</xdr:row>
      <xdr:rowOff>144556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998E6C-EA79-4125-986F-DF4AF0C6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011" y="10698967"/>
          <a:ext cx="8650381" cy="5123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6724-C209-4070-876B-9D5B0CF485FA}">
  <sheetPr>
    <pageSetUpPr fitToPage="1"/>
  </sheetPr>
  <dimension ref="A1:Z114"/>
  <sheetViews>
    <sheetView tabSelected="1" zoomScale="85" zoomScaleNormal="85" workbookViewId="0">
      <selection activeCell="K23" sqref="K23"/>
    </sheetView>
  </sheetViews>
  <sheetFormatPr defaultRowHeight="15" x14ac:dyDescent="0.25"/>
  <cols>
    <col min="2" max="2" width="5.7109375" customWidth="1"/>
    <col min="3" max="3" width="19.140625" bestFit="1" customWidth="1"/>
    <col min="4" max="8" width="12.7109375" customWidth="1"/>
    <col min="9" max="9" width="10" customWidth="1"/>
    <col min="10" max="12" width="12.7109375" customWidth="1"/>
    <col min="13" max="13" width="5.140625" customWidth="1"/>
    <col min="14" max="14" width="5.7109375" customWidth="1"/>
    <col min="15" max="15" width="19.140625" bestFit="1" customWidth="1"/>
    <col min="16" max="16" width="12.7109375" customWidth="1"/>
    <col min="17" max="17" width="13.7109375" customWidth="1"/>
    <col min="18" max="18" width="13.42578125" customWidth="1"/>
    <col min="19" max="19" width="12.7109375" customWidth="1"/>
    <col min="20" max="20" width="14.28515625" customWidth="1"/>
    <col min="21" max="21" width="5" customWidth="1"/>
    <col min="23" max="23" width="9.140625" customWidth="1"/>
    <col min="25" max="25" width="10.5703125" bestFit="1" customWidth="1"/>
    <col min="26" max="26" width="15.7109375" customWidth="1"/>
  </cols>
  <sheetData>
    <row r="1" spans="1:24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5.75" x14ac:dyDescent="0.25">
      <c r="A2" s="2" t="s">
        <v>1</v>
      </c>
      <c r="B2" s="2"/>
      <c r="C2" t="s">
        <v>2</v>
      </c>
      <c r="K2" s="3" t="s">
        <v>3</v>
      </c>
      <c r="L2" s="3" t="s">
        <v>4</v>
      </c>
      <c r="O2" s="4"/>
    </row>
    <row r="3" spans="1:24" x14ac:dyDescent="0.25">
      <c r="C3" s="5" t="s">
        <v>5</v>
      </c>
      <c r="E3" s="6" t="s">
        <v>6</v>
      </c>
      <c r="F3" s="6" t="s">
        <v>7</v>
      </c>
      <c r="J3" s="7">
        <v>45202</v>
      </c>
      <c r="K3" s="8"/>
      <c r="L3" s="8"/>
      <c r="O3" s="5" t="s">
        <v>8</v>
      </c>
      <c r="Q3" s="6" t="s">
        <v>6</v>
      </c>
      <c r="R3" s="6" t="s">
        <v>7</v>
      </c>
      <c r="X3" s="9"/>
    </row>
    <row r="4" spans="1:24" x14ac:dyDescent="0.25">
      <c r="E4" s="6" t="s">
        <v>9</v>
      </c>
      <c r="F4" s="6" t="s">
        <v>7</v>
      </c>
      <c r="J4" s="7">
        <v>45203</v>
      </c>
      <c r="K4" s="3" t="s">
        <v>10</v>
      </c>
      <c r="L4" s="3" t="s">
        <v>10</v>
      </c>
      <c r="Q4" s="10" t="s">
        <v>9</v>
      </c>
      <c r="R4" s="11" t="s">
        <v>11</v>
      </c>
      <c r="S4" s="54" t="s">
        <v>12</v>
      </c>
      <c r="X4" s="9"/>
    </row>
    <row r="5" spans="1:24" x14ac:dyDescent="0.25">
      <c r="J5" s="7">
        <v>45204</v>
      </c>
      <c r="K5" s="3" t="s">
        <v>10</v>
      </c>
      <c r="L5" s="3" t="s">
        <v>10</v>
      </c>
      <c r="R5" s="11" t="s">
        <v>13</v>
      </c>
      <c r="S5" s="54"/>
      <c r="X5" s="9"/>
    </row>
    <row r="6" spans="1:24" x14ac:dyDescent="0.25">
      <c r="B6" t="s">
        <v>14</v>
      </c>
      <c r="J6" s="7">
        <v>45205</v>
      </c>
      <c r="K6" s="3" t="s">
        <v>10</v>
      </c>
      <c r="L6" s="3" t="s">
        <v>10</v>
      </c>
      <c r="O6" t="s">
        <v>14</v>
      </c>
      <c r="R6" s="11" t="s">
        <v>15</v>
      </c>
      <c r="S6" s="54"/>
      <c r="X6" s="9"/>
    </row>
    <row r="7" spans="1:24" x14ac:dyDescent="0.25">
      <c r="J7" s="7">
        <v>45206</v>
      </c>
      <c r="K7" s="3" t="s">
        <v>10</v>
      </c>
      <c r="L7" s="3" t="s">
        <v>10</v>
      </c>
      <c r="O7" t="s">
        <v>16</v>
      </c>
      <c r="X7" s="9"/>
    </row>
    <row r="8" spans="1:24" x14ac:dyDescent="0.25">
      <c r="B8" s="54" t="s">
        <v>17</v>
      </c>
      <c r="C8" s="58" t="s">
        <v>18</v>
      </c>
      <c r="D8" s="58" t="s">
        <v>19</v>
      </c>
      <c r="E8" s="13" t="s">
        <v>20</v>
      </c>
      <c r="F8" s="14" t="s">
        <v>21</v>
      </c>
      <c r="G8" s="60" t="s">
        <v>22</v>
      </c>
      <c r="H8" s="61"/>
      <c r="I8" s="15"/>
      <c r="J8" s="7">
        <v>45207</v>
      </c>
      <c r="K8" s="8"/>
      <c r="L8" s="8"/>
      <c r="N8" s="64" t="s">
        <v>17</v>
      </c>
      <c r="O8" s="65" t="s">
        <v>18</v>
      </c>
      <c r="P8" s="65" t="s">
        <v>19</v>
      </c>
      <c r="Q8" s="16" t="s">
        <v>20</v>
      </c>
      <c r="R8" s="17" t="s">
        <v>21</v>
      </c>
      <c r="S8" s="67" t="s">
        <v>22</v>
      </c>
      <c r="T8" s="68"/>
      <c r="U8" s="18"/>
    </row>
    <row r="9" spans="1:24" x14ac:dyDescent="0.25">
      <c r="B9" s="54"/>
      <c r="C9" s="59"/>
      <c r="D9" s="59"/>
      <c r="E9" s="13" t="s">
        <v>23</v>
      </c>
      <c r="F9" s="13" t="s">
        <v>23</v>
      </c>
      <c r="G9" s="62"/>
      <c r="H9" s="63"/>
      <c r="I9" s="15"/>
      <c r="J9" s="7">
        <v>45208</v>
      </c>
      <c r="K9" s="3" t="s">
        <v>10</v>
      </c>
      <c r="L9" s="3" t="s">
        <v>10</v>
      </c>
      <c r="N9" s="64"/>
      <c r="O9" s="66"/>
      <c r="P9" s="66"/>
      <c r="Q9" s="16" t="s">
        <v>23</v>
      </c>
      <c r="R9" s="16" t="s">
        <v>23</v>
      </c>
      <c r="S9" s="69"/>
      <c r="T9" s="70"/>
      <c r="U9" s="18"/>
    </row>
    <row r="10" spans="1:24" ht="30" customHeight="1" x14ac:dyDescent="0.25">
      <c r="B10" s="12">
        <v>1</v>
      </c>
      <c r="C10" s="19" t="s">
        <v>24</v>
      </c>
      <c r="D10" s="20">
        <v>30</v>
      </c>
      <c r="E10" s="20">
        <v>20</v>
      </c>
      <c r="F10" s="21">
        <f>D10*E10</f>
        <v>600</v>
      </c>
      <c r="G10" s="55" t="s">
        <v>25</v>
      </c>
      <c r="H10" s="56"/>
      <c r="I10" s="22"/>
      <c r="J10" s="7">
        <v>45209</v>
      </c>
      <c r="K10" s="3" t="s">
        <v>10</v>
      </c>
      <c r="L10" s="3" t="s">
        <v>10</v>
      </c>
      <c r="N10" s="12">
        <v>1</v>
      </c>
      <c r="O10" s="23" t="s">
        <v>24</v>
      </c>
      <c r="P10" s="12">
        <v>30</v>
      </c>
      <c r="Q10" s="23">
        <v>20</v>
      </c>
      <c r="R10" s="24">
        <f>P10*Q10</f>
        <v>600</v>
      </c>
      <c r="S10" s="57" t="s">
        <v>25</v>
      </c>
      <c r="T10" s="57"/>
      <c r="U10" s="25"/>
    </row>
    <row r="11" spans="1:24" ht="30" customHeight="1" x14ac:dyDescent="0.25">
      <c r="B11" s="12">
        <v>2</v>
      </c>
      <c r="C11" s="19" t="s">
        <v>9</v>
      </c>
      <c r="D11" s="20">
        <v>30</v>
      </c>
      <c r="E11" s="20">
        <v>30</v>
      </c>
      <c r="F11" s="21">
        <f>D11*E11</f>
        <v>900</v>
      </c>
      <c r="G11" s="55" t="s">
        <v>25</v>
      </c>
      <c r="H11" s="56"/>
      <c r="I11" s="22"/>
      <c r="J11" s="7">
        <v>45210</v>
      </c>
      <c r="K11" s="3" t="s">
        <v>10</v>
      </c>
      <c r="L11" s="3" t="s">
        <v>10</v>
      </c>
      <c r="N11" s="12">
        <v>2</v>
      </c>
      <c r="O11" s="23" t="s">
        <v>9</v>
      </c>
      <c r="P11" s="12">
        <v>6</v>
      </c>
      <c r="Q11" s="23">
        <v>30</v>
      </c>
      <c r="R11" s="24">
        <f>P11*Q11</f>
        <v>180</v>
      </c>
      <c r="S11" s="49" t="s">
        <v>26</v>
      </c>
      <c r="T11" s="57"/>
      <c r="U11" s="25"/>
    </row>
    <row r="12" spans="1:24" ht="30" customHeight="1" x14ac:dyDescent="0.25">
      <c r="B12" s="12">
        <v>3</v>
      </c>
      <c r="C12" s="19" t="s">
        <v>27</v>
      </c>
      <c r="D12" s="23"/>
      <c r="E12" s="26"/>
      <c r="F12" s="21">
        <f>D12*E12</f>
        <v>0</v>
      </c>
      <c r="G12" s="55" t="s">
        <v>25</v>
      </c>
      <c r="H12" s="56"/>
      <c r="I12" s="22"/>
      <c r="J12" s="7">
        <v>45211</v>
      </c>
      <c r="K12" s="3" t="s">
        <v>10</v>
      </c>
      <c r="L12" s="3" t="s">
        <v>10</v>
      </c>
      <c r="N12" s="12">
        <v>3</v>
      </c>
      <c r="O12" s="23" t="s">
        <v>27</v>
      </c>
      <c r="P12" s="12"/>
      <c r="Q12" s="27"/>
      <c r="R12" s="24">
        <f>P12*Q12</f>
        <v>0</v>
      </c>
      <c r="S12" s="57" t="s">
        <v>25</v>
      </c>
      <c r="T12" s="57"/>
      <c r="U12" s="25"/>
    </row>
    <row r="13" spans="1:24" ht="30" customHeight="1" x14ac:dyDescent="0.25">
      <c r="B13" s="12">
        <v>4</v>
      </c>
      <c r="C13" s="28" t="s">
        <v>28</v>
      </c>
      <c r="D13" s="20">
        <v>1</v>
      </c>
      <c r="E13" s="21">
        <v>500</v>
      </c>
      <c r="F13" s="21">
        <f>+D13*E13</f>
        <v>500</v>
      </c>
      <c r="G13" s="50" t="s">
        <v>29</v>
      </c>
      <c r="H13" s="51"/>
      <c r="I13" s="29"/>
      <c r="J13" s="7">
        <v>45212</v>
      </c>
      <c r="K13" s="3" t="s">
        <v>10</v>
      </c>
      <c r="L13" s="3" t="s">
        <v>10</v>
      </c>
      <c r="N13" s="12">
        <v>4</v>
      </c>
      <c r="O13" s="23" t="s">
        <v>30</v>
      </c>
      <c r="P13" s="12">
        <v>1</v>
      </c>
      <c r="Q13" s="24">
        <v>620</v>
      </c>
      <c r="R13" s="24">
        <f>+P13*Q13</f>
        <v>620</v>
      </c>
      <c r="S13" s="49" t="s">
        <v>29</v>
      </c>
      <c r="T13" s="49"/>
      <c r="U13" s="25"/>
    </row>
    <row r="14" spans="1:24" x14ac:dyDescent="0.25">
      <c r="C14" s="52" t="s">
        <v>31</v>
      </c>
      <c r="D14" s="53"/>
      <c r="E14" s="13" t="s">
        <v>23</v>
      </c>
      <c r="F14" s="30">
        <f>SUM(F10:F13)</f>
        <v>2000</v>
      </c>
      <c r="G14" s="31"/>
      <c r="H14" s="32"/>
      <c r="I14" s="32"/>
      <c r="J14" s="7">
        <v>45213</v>
      </c>
      <c r="K14" s="3" t="s">
        <v>10</v>
      </c>
      <c r="L14" s="3" t="s">
        <v>10</v>
      </c>
      <c r="N14" s="32"/>
      <c r="O14" s="52" t="s">
        <v>31</v>
      </c>
      <c r="P14" s="53"/>
      <c r="Q14" s="13" t="s">
        <v>23</v>
      </c>
      <c r="R14" s="30">
        <f>SUM(R10:R13)</f>
        <v>1400</v>
      </c>
      <c r="S14" s="25"/>
      <c r="T14" s="25"/>
      <c r="U14" s="32"/>
    </row>
    <row r="15" spans="1:24" x14ac:dyDescent="0.25">
      <c r="J15" s="7">
        <v>45214</v>
      </c>
      <c r="K15" s="8"/>
      <c r="L15" s="8"/>
    </row>
    <row r="16" spans="1:24" x14ac:dyDescent="0.25">
      <c r="A16" t="s">
        <v>32</v>
      </c>
      <c r="J16" s="7">
        <v>45215</v>
      </c>
      <c r="K16" s="3" t="s">
        <v>10</v>
      </c>
      <c r="L16" s="3" t="s">
        <v>10</v>
      </c>
    </row>
    <row r="17" spans="1:25" x14ac:dyDescent="0.25">
      <c r="A17" s="33" t="s">
        <v>33</v>
      </c>
      <c r="B17" s="33"/>
      <c r="J17" s="7">
        <v>45216</v>
      </c>
      <c r="K17" s="3" t="s">
        <v>10</v>
      </c>
      <c r="L17" s="3" t="s">
        <v>10</v>
      </c>
      <c r="R17" s="34"/>
    </row>
    <row r="18" spans="1:25" x14ac:dyDescent="0.25">
      <c r="A18" s="33" t="s">
        <v>34</v>
      </c>
      <c r="B18" s="33"/>
      <c r="H18" s="32"/>
      <c r="I18" s="32"/>
      <c r="J18" s="7">
        <v>45217</v>
      </c>
      <c r="K18" s="3" t="s">
        <v>10</v>
      </c>
      <c r="L18" s="3" t="s">
        <v>10</v>
      </c>
      <c r="M18" s="32"/>
      <c r="N18" s="32"/>
      <c r="O18" s="32"/>
      <c r="P18" s="32"/>
      <c r="Q18" s="32"/>
      <c r="R18" s="32"/>
      <c r="S18" s="32"/>
      <c r="T18" s="32"/>
      <c r="U18" s="32"/>
    </row>
    <row r="19" spans="1:25" x14ac:dyDescent="0.25">
      <c r="A19" s="33" t="s">
        <v>35</v>
      </c>
      <c r="B19" s="33"/>
      <c r="J19" s="7">
        <v>45218</v>
      </c>
      <c r="K19" s="3" t="s">
        <v>10</v>
      </c>
      <c r="L19" s="3" t="s">
        <v>10</v>
      </c>
      <c r="R19" s="32"/>
    </row>
    <row r="20" spans="1:25" x14ac:dyDescent="0.25">
      <c r="A20" s="33" t="s">
        <v>36</v>
      </c>
      <c r="B20" s="33"/>
      <c r="J20" s="7">
        <v>45219</v>
      </c>
      <c r="K20" s="3" t="s">
        <v>10</v>
      </c>
      <c r="L20" s="3" t="s">
        <v>10</v>
      </c>
      <c r="R20" s="34"/>
      <c r="S20" s="34"/>
    </row>
    <row r="21" spans="1:25" x14ac:dyDescent="0.25">
      <c r="A21" s="33" t="s">
        <v>37</v>
      </c>
      <c r="B21" s="33"/>
      <c r="J21" s="7">
        <v>45220</v>
      </c>
      <c r="K21" s="3" t="s">
        <v>10</v>
      </c>
      <c r="L21" s="3" t="s">
        <v>10</v>
      </c>
      <c r="S21" s="34"/>
    </row>
    <row r="22" spans="1:25" x14ac:dyDescent="0.25">
      <c r="J22" s="7">
        <v>45221</v>
      </c>
      <c r="K22" s="3" t="s">
        <v>10</v>
      </c>
      <c r="L22" s="3" t="s">
        <v>10</v>
      </c>
    </row>
    <row r="23" spans="1:25" x14ac:dyDescent="0.25">
      <c r="C23" s="5" t="s">
        <v>5</v>
      </c>
      <c r="J23" s="7">
        <v>45222</v>
      </c>
      <c r="K23" s="8"/>
      <c r="L23" s="8"/>
      <c r="O23" s="5" t="s">
        <v>8</v>
      </c>
    </row>
    <row r="24" spans="1:25" x14ac:dyDescent="0.25">
      <c r="B24" s="23" t="s">
        <v>17</v>
      </c>
      <c r="C24" s="6" t="s">
        <v>18</v>
      </c>
      <c r="D24" s="12" t="s">
        <v>38</v>
      </c>
      <c r="E24" s="35" t="s">
        <v>20</v>
      </c>
      <c r="F24" s="12" t="s">
        <v>21</v>
      </c>
      <c r="G24" s="54" t="s">
        <v>39</v>
      </c>
      <c r="H24" s="54"/>
      <c r="I24" s="18"/>
      <c r="J24" s="7">
        <v>45223</v>
      </c>
      <c r="K24" s="3" t="s">
        <v>10</v>
      </c>
      <c r="L24" s="3" t="s">
        <v>10</v>
      </c>
      <c r="N24" s="23" t="s">
        <v>17</v>
      </c>
      <c r="O24" s="6" t="s">
        <v>18</v>
      </c>
      <c r="P24" s="12" t="s">
        <v>38</v>
      </c>
      <c r="Q24" s="35" t="s">
        <v>20</v>
      </c>
      <c r="R24" s="12" t="s">
        <v>21</v>
      </c>
      <c r="S24" s="54" t="s">
        <v>39</v>
      </c>
      <c r="T24" s="54"/>
      <c r="Y24" s="32"/>
    </row>
    <row r="25" spans="1:25" ht="30" customHeight="1" x14ac:dyDescent="0.25">
      <c r="B25" s="12">
        <v>1</v>
      </c>
      <c r="C25" s="36" t="s">
        <v>40</v>
      </c>
      <c r="D25" s="12">
        <v>30</v>
      </c>
      <c r="E25" s="12">
        <v>30</v>
      </c>
      <c r="F25" s="37">
        <f>D25*E25</f>
        <v>900</v>
      </c>
      <c r="G25" s="49" t="s">
        <v>41</v>
      </c>
      <c r="H25" s="49"/>
      <c r="I25" s="29"/>
      <c r="J25" s="7">
        <v>45224</v>
      </c>
      <c r="K25" s="3" t="s">
        <v>10</v>
      </c>
      <c r="L25" s="3" t="s">
        <v>10</v>
      </c>
      <c r="N25" s="12">
        <v>1</v>
      </c>
      <c r="O25" s="36" t="s">
        <v>40</v>
      </c>
      <c r="P25" s="12">
        <v>24</v>
      </c>
      <c r="Q25" s="35" t="s">
        <v>42</v>
      </c>
      <c r="R25" s="24">
        <v>0</v>
      </c>
      <c r="S25" s="50" t="s">
        <v>43</v>
      </c>
      <c r="T25" s="51"/>
      <c r="Y25" s="32"/>
    </row>
    <row r="26" spans="1:25" ht="30" customHeight="1" x14ac:dyDescent="0.25">
      <c r="B26" s="12">
        <v>2</v>
      </c>
      <c r="C26" s="36" t="s">
        <v>44</v>
      </c>
      <c r="D26" s="12">
        <v>24</v>
      </c>
      <c r="E26" s="35" t="s">
        <v>42</v>
      </c>
      <c r="F26" s="35" t="s">
        <v>42</v>
      </c>
      <c r="G26" s="49" t="s">
        <v>45</v>
      </c>
      <c r="H26" s="49"/>
      <c r="I26" s="29"/>
      <c r="J26" s="7">
        <v>45225</v>
      </c>
      <c r="K26" s="3" t="s">
        <v>10</v>
      </c>
      <c r="L26" s="3" t="s">
        <v>10</v>
      </c>
      <c r="N26" s="12">
        <v>2</v>
      </c>
      <c r="O26" s="36" t="s">
        <v>44</v>
      </c>
      <c r="P26" s="12">
        <v>24</v>
      </c>
      <c r="Q26" s="35" t="s">
        <v>42</v>
      </c>
      <c r="R26" s="38"/>
      <c r="S26" s="49" t="s">
        <v>45</v>
      </c>
      <c r="T26" s="49"/>
      <c r="Y26" s="32"/>
    </row>
    <row r="27" spans="1:25" ht="30" x14ac:dyDescent="0.25">
      <c r="B27" s="12">
        <v>3</v>
      </c>
      <c r="C27" s="36" t="s">
        <v>46</v>
      </c>
      <c r="D27" s="12">
        <v>2</v>
      </c>
      <c r="E27" s="35" t="s">
        <v>42</v>
      </c>
      <c r="F27" s="35" t="s">
        <v>42</v>
      </c>
      <c r="G27" s="49" t="s">
        <v>45</v>
      </c>
      <c r="H27" s="49"/>
      <c r="I27" s="29"/>
      <c r="J27" s="7">
        <v>45226</v>
      </c>
      <c r="K27" s="3" t="s">
        <v>10</v>
      </c>
      <c r="L27" s="3" t="s">
        <v>10</v>
      </c>
      <c r="N27" s="12">
        <v>3</v>
      </c>
      <c r="O27" s="36" t="s">
        <v>46</v>
      </c>
      <c r="P27" s="12">
        <v>2</v>
      </c>
      <c r="Q27" s="35" t="s">
        <v>42</v>
      </c>
      <c r="R27" s="38"/>
      <c r="S27" s="49" t="s">
        <v>45</v>
      </c>
      <c r="T27" s="49"/>
      <c r="Y27" s="32"/>
    </row>
    <row r="28" spans="1:25" x14ac:dyDescent="0.25">
      <c r="B28" s="18"/>
      <c r="C28" s="39"/>
      <c r="D28" s="18"/>
      <c r="E28" s="40"/>
      <c r="F28" s="41"/>
      <c r="G28" s="29"/>
      <c r="H28" s="29"/>
      <c r="I28" s="29"/>
      <c r="J28" s="7">
        <v>45227</v>
      </c>
      <c r="K28" s="3" t="s">
        <v>10</v>
      </c>
      <c r="L28" s="3" t="s">
        <v>10</v>
      </c>
      <c r="N28" s="18"/>
      <c r="O28" s="39"/>
      <c r="P28" s="18"/>
      <c r="Q28" s="40"/>
      <c r="R28" s="25"/>
      <c r="S28" s="29"/>
      <c r="T28" s="29"/>
      <c r="Y28" s="32"/>
    </row>
    <row r="29" spans="1:25" x14ac:dyDescent="0.25">
      <c r="B29" s="18"/>
      <c r="C29" s="39"/>
      <c r="D29" s="18"/>
      <c r="E29" s="40"/>
      <c r="F29" s="41"/>
      <c r="G29" s="29"/>
      <c r="H29" s="29"/>
      <c r="I29" s="29"/>
      <c r="J29" s="7">
        <v>45228</v>
      </c>
      <c r="K29" s="8"/>
      <c r="L29" s="8"/>
      <c r="N29" s="18"/>
      <c r="O29" s="39"/>
      <c r="P29" s="18"/>
      <c r="Q29" s="40"/>
      <c r="R29" s="25"/>
      <c r="S29" s="29"/>
      <c r="T29" s="29"/>
      <c r="Y29" s="32"/>
    </row>
    <row r="30" spans="1:25" x14ac:dyDescent="0.25">
      <c r="B30" s="18"/>
      <c r="C30" s="39"/>
      <c r="D30" s="18"/>
      <c r="E30" s="40"/>
      <c r="F30" s="41"/>
      <c r="G30" s="29"/>
      <c r="H30" s="29"/>
      <c r="I30" s="29"/>
      <c r="J30" s="7">
        <v>45229</v>
      </c>
      <c r="K30" s="3" t="s">
        <v>10</v>
      </c>
      <c r="L30" s="3" t="s">
        <v>10</v>
      </c>
      <c r="N30" s="18"/>
      <c r="O30" s="39"/>
      <c r="P30" s="18"/>
      <c r="Q30" s="40"/>
      <c r="R30" s="25"/>
      <c r="S30" s="29"/>
      <c r="T30" s="29"/>
      <c r="Y30" s="32"/>
    </row>
    <row r="31" spans="1:25" x14ac:dyDescent="0.25">
      <c r="B31" s="18"/>
      <c r="C31" s="39"/>
      <c r="D31" s="18"/>
      <c r="E31" s="40"/>
      <c r="F31" s="41"/>
      <c r="G31" s="29"/>
      <c r="H31" s="29"/>
      <c r="I31" s="29"/>
      <c r="J31" s="7">
        <v>45230</v>
      </c>
      <c r="K31" s="3" t="s">
        <v>10</v>
      </c>
      <c r="L31" s="3" t="s">
        <v>10</v>
      </c>
      <c r="N31" s="18"/>
      <c r="O31" s="39"/>
      <c r="P31" s="18"/>
      <c r="Q31" s="40"/>
      <c r="R31" s="25"/>
      <c r="S31" s="29"/>
      <c r="T31" s="29"/>
      <c r="Y31" s="32"/>
    </row>
    <row r="32" spans="1:25" x14ac:dyDescent="0.25">
      <c r="C32" s="39"/>
      <c r="D32" s="18"/>
      <c r="E32" s="40"/>
      <c r="F32" s="41"/>
      <c r="G32" s="29"/>
      <c r="H32" s="29"/>
      <c r="I32" s="29"/>
      <c r="J32" s="7">
        <v>45231</v>
      </c>
      <c r="K32" s="8"/>
      <c r="L32" s="8"/>
      <c r="M32" s="29"/>
      <c r="O32" s="39"/>
      <c r="P32" s="18"/>
      <c r="Q32" s="40"/>
      <c r="R32" s="25"/>
      <c r="S32" s="29"/>
      <c r="T32" s="29"/>
      <c r="Y32" s="32"/>
    </row>
    <row r="33" spans="3:26" x14ac:dyDescent="0.25">
      <c r="C33" s="39"/>
      <c r="D33" s="18"/>
      <c r="E33" s="40"/>
      <c r="F33" s="41"/>
      <c r="G33" s="29"/>
      <c r="H33" s="29"/>
      <c r="I33" s="29"/>
      <c r="J33" s="42"/>
      <c r="K33" s="43">
        <v>24</v>
      </c>
      <c r="L33" s="43">
        <v>24</v>
      </c>
      <c r="M33" s="42"/>
      <c r="O33" s="39"/>
      <c r="P33" s="18"/>
      <c r="Q33" s="40"/>
      <c r="R33" s="25"/>
      <c r="S33" s="29"/>
      <c r="T33" s="29"/>
      <c r="Y33" s="32"/>
    </row>
    <row r="34" spans="3:26" x14ac:dyDescent="0.25">
      <c r="C34" s="39"/>
      <c r="D34" s="18"/>
      <c r="E34" s="40"/>
      <c r="F34" s="41"/>
      <c r="G34" s="29"/>
      <c r="H34" s="29"/>
      <c r="I34" s="29"/>
      <c r="J34" s="42"/>
      <c r="K34" s="42"/>
      <c r="L34" s="42"/>
      <c r="M34" s="42"/>
      <c r="O34" s="39"/>
      <c r="P34" s="18"/>
      <c r="Q34" s="40"/>
      <c r="R34" s="25"/>
      <c r="S34" s="29"/>
      <c r="T34" s="29"/>
      <c r="Y34" s="32"/>
    </row>
    <row r="35" spans="3:26" x14ac:dyDescent="0.25">
      <c r="C35" s="44"/>
      <c r="D35" s="45"/>
      <c r="E35" s="45"/>
      <c r="F35" s="41"/>
      <c r="G35" s="41"/>
      <c r="H35" t="s">
        <v>47</v>
      </c>
      <c r="O35" s="44"/>
      <c r="P35" s="45"/>
      <c r="Q35" s="46"/>
      <c r="R35" s="25"/>
      <c r="S35" s="25"/>
      <c r="T35" s="25"/>
      <c r="Y35" s="32"/>
    </row>
    <row r="36" spans="3:26" x14ac:dyDescent="0.25">
      <c r="C36" s="44"/>
      <c r="D36" s="45"/>
      <c r="E36" s="45"/>
      <c r="F36" s="41"/>
      <c r="G36" s="41"/>
      <c r="H36" s="5" t="s">
        <v>5</v>
      </c>
      <c r="I36" s="5"/>
      <c r="J36" s="5"/>
      <c r="K36" s="5"/>
      <c r="L36" s="5"/>
      <c r="M36" s="5"/>
      <c r="O36" s="44"/>
      <c r="P36" s="45"/>
      <c r="Q36" s="46"/>
      <c r="R36" s="25"/>
      <c r="S36" s="25"/>
      <c r="T36" s="5" t="s">
        <v>8</v>
      </c>
      <c r="Y36" s="32"/>
    </row>
    <row r="37" spans="3:26" x14ac:dyDescent="0.25">
      <c r="C37" s="44"/>
      <c r="D37" s="45"/>
      <c r="E37" s="45"/>
      <c r="F37" s="41"/>
      <c r="G37" s="41"/>
      <c r="H37" s="47"/>
      <c r="I37" s="45"/>
      <c r="J37" s="45"/>
      <c r="K37" s="45"/>
      <c r="L37" s="45"/>
      <c r="M37" s="45"/>
      <c r="O37" s="44"/>
      <c r="P37" s="45"/>
      <c r="Q37" s="45"/>
      <c r="R37" s="45"/>
      <c r="S37" s="41"/>
      <c r="T37" s="47"/>
      <c r="Y37" s="32"/>
    </row>
    <row r="38" spans="3:26" x14ac:dyDescent="0.25">
      <c r="C38" s="44"/>
      <c r="D38" s="45"/>
      <c r="E38" s="45"/>
      <c r="F38" s="41"/>
      <c r="G38" s="41"/>
      <c r="H38" s="47"/>
      <c r="I38" s="45"/>
      <c r="J38" s="45"/>
      <c r="K38" s="45"/>
      <c r="L38" s="45"/>
      <c r="M38" s="45"/>
      <c r="O38" s="44"/>
      <c r="P38" s="45"/>
      <c r="Q38" s="45"/>
      <c r="R38" s="45"/>
      <c r="S38" s="41"/>
      <c r="T38" s="47"/>
      <c r="Y38" s="32"/>
      <c r="Z38">
        <f>1600*8</f>
        <v>12800</v>
      </c>
    </row>
    <row r="39" spans="3:26" x14ac:dyDescent="0.25">
      <c r="D39" s="45"/>
      <c r="E39" s="45"/>
      <c r="F39" s="41"/>
      <c r="G39" s="41"/>
      <c r="H39" s="47"/>
      <c r="I39" s="45"/>
      <c r="J39" s="45"/>
      <c r="K39" s="45"/>
      <c r="L39" s="45"/>
      <c r="M39" s="45"/>
      <c r="O39" s="44"/>
      <c r="P39" s="45"/>
      <c r="Q39" s="45"/>
      <c r="R39" s="45"/>
      <c r="S39" s="41"/>
      <c r="T39" s="47"/>
      <c r="Y39" s="32"/>
      <c r="Z39">
        <v>1200</v>
      </c>
    </row>
    <row r="40" spans="3:26" x14ac:dyDescent="0.25">
      <c r="C40" s="44"/>
      <c r="D40" s="45"/>
      <c r="E40" s="45"/>
      <c r="F40" s="41"/>
      <c r="G40" s="41"/>
      <c r="H40" s="3"/>
      <c r="I40" s="45"/>
      <c r="J40" s="45"/>
      <c r="K40" s="45"/>
      <c r="L40" s="45"/>
      <c r="M40" s="45"/>
      <c r="O40" s="44"/>
      <c r="P40" s="45"/>
      <c r="Q40" s="46"/>
      <c r="R40" s="25"/>
      <c r="S40" s="25"/>
      <c r="T40" s="3"/>
      <c r="Y40" s="32"/>
      <c r="Z40">
        <f>+Z38+Z39</f>
        <v>14000</v>
      </c>
    </row>
    <row r="41" spans="3:26" x14ac:dyDescent="0.25">
      <c r="C41" s="44"/>
      <c r="D41" s="45"/>
      <c r="E41" s="45"/>
      <c r="F41" s="41"/>
      <c r="G41" s="41"/>
      <c r="O41" s="44"/>
      <c r="P41" s="45"/>
      <c r="Q41" s="46"/>
      <c r="R41" s="25"/>
      <c r="S41" s="25"/>
      <c r="Y41" s="32"/>
    </row>
    <row r="42" spans="3:26" x14ac:dyDescent="0.25">
      <c r="C42" s="44"/>
      <c r="D42" s="45"/>
      <c r="E42" s="45"/>
      <c r="F42" s="41"/>
      <c r="G42" s="41"/>
      <c r="O42" s="44"/>
      <c r="P42" s="45"/>
      <c r="Q42" s="46"/>
      <c r="R42" s="25" t="s">
        <v>48</v>
      </c>
      <c r="S42" s="25"/>
      <c r="Y42" s="32"/>
    </row>
    <row r="43" spans="3:26" x14ac:dyDescent="0.25">
      <c r="P43" s="45"/>
      <c r="Q43" s="46"/>
      <c r="R43" s="3" t="s">
        <v>49</v>
      </c>
      <c r="S43" s="3" t="s">
        <v>50</v>
      </c>
      <c r="T43" s="3" t="s">
        <v>51</v>
      </c>
    </row>
    <row r="44" spans="3:26" x14ac:dyDescent="0.25">
      <c r="P44" s="45"/>
      <c r="Q44" s="46"/>
      <c r="R44" s="47"/>
      <c r="S44" s="47"/>
      <c r="T44" s="47"/>
    </row>
    <row r="45" spans="3:26" x14ac:dyDescent="0.25">
      <c r="P45" s="45"/>
      <c r="Q45" s="46"/>
      <c r="R45" s="47"/>
      <c r="S45" s="47"/>
      <c r="T45" s="47"/>
    </row>
    <row r="46" spans="3:26" x14ac:dyDescent="0.25">
      <c r="P46" s="45"/>
      <c r="Q46" s="46"/>
      <c r="R46" s="47"/>
      <c r="S46" s="47"/>
      <c r="T46" s="47"/>
    </row>
    <row r="47" spans="3:26" x14ac:dyDescent="0.25">
      <c r="P47" s="45"/>
      <c r="Q47" s="46"/>
      <c r="R47" s="3" t="s">
        <v>52</v>
      </c>
      <c r="S47" s="3" t="s">
        <v>53</v>
      </c>
      <c r="T47" s="3" t="s">
        <v>54</v>
      </c>
    </row>
    <row r="48" spans="3:26" x14ac:dyDescent="0.25">
      <c r="P48" s="45"/>
      <c r="Q48" s="46"/>
      <c r="R48" s="7"/>
      <c r="S48" s="7"/>
      <c r="T48" s="7"/>
    </row>
    <row r="49" spans="2:13" x14ac:dyDescent="0.25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</row>
    <row r="50" spans="2:13" x14ac:dyDescent="0.25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</row>
    <row r="51" spans="2:13" x14ac:dyDescent="0.25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</row>
    <row r="52" spans="2:13" x14ac:dyDescent="0.25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</row>
    <row r="53" spans="2:13" x14ac:dyDescent="0.25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  <row r="54" spans="2:13" x14ac:dyDescent="0.25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</row>
    <row r="55" spans="2:13" x14ac:dyDescent="0.25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</row>
    <row r="56" spans="2:13" x14ac:dyDescent="0.25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</row>
    <row r="57" spans="2:13" x14ac:dyDescent="0.25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</row>
    <row r="58" spans="2:13" x14ac:dyDescent="0.25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</row>
    <row r="59" spans="2:13" x14ac:dyDescent="0.25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</row>
    <row r="60" spans="2:13" x14ac:dyDescent="0.25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</row>
    <row r="61" spans="2:13" x14ac:dyDescent="0.25"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</row>
    <row r="62" spans="2:13" x14ac:dyDescent="0.25"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</row>
    <row r="63" spans="2:13" x14ac:dyDescent="0.25"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</row>
    <row r="64" spans="2:13" x14ac:dyDescent="0.25"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</row>
    <row r="65" spans="2:13" x14ac:dyDescent="0.25"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</row>
    <row r="66" spans="2:13" x14ac:dyDescent="0.25"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</row>
    <row r="67" spans="2:13" x14ac:dyDescent="0.25"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</row>
    <row r="68" spans="2:13" x14ac:dyDescent="0.25"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</row>
    <row r="69" spans="2:13" x14ac:dyDescent="0.25"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</row>
    <row r="70" spans="2:13" x14ac:dyDescent="0.25"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</row>
    <row r="71" spans="2:13" x14ac:dyDescent="0.25"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</row>
    <row r="72" spans="2:13" x14ac:dyDescent="0.25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</row>
    <row r="73" spans="2:13" x14ac:dyDescent="0.25"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</row>
    <row r="74" spans="2:13" x14ac:dyDescent="0.25"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</row>
    <row r="75" spans="2:13" x14ac:dyDescent="0.25"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</row>
    <row r="76" spans="2:13" x14ac:dyDescent="0.25"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</row>
    <row r="77" spans="2:13" x14ac:dyDescent="0.25"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</row>
    <row r="78" spans="2:13" x14ac:dyDescent="0.25"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</row>
    <row r="79" spans="2:13" x14ac:dyDescent="0.25"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</row>
    <row r="80" spans="2:13" x14ac:dyDescent="0.25"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</row>
    <row r="81" spans="2:13" x14ac:dyDescent="0.25"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</row>
    <row r="82" spans="2:13" x14ac:dyDescent="0.25"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</row>
    <row r="83" spans="2:13" x14ac:dyDescent="0.25"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</row>
    <row r="84" spans="2:13" x14ac:dyDescent="0.25"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</row>
    <row r="85" spans="2:13" x14ac:dyDescent="0.25"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</row>
    <row r="86" spans="2:13" x14ac:dyDescent="0.25"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</row>
    <row r="87" spans="2:13" x14ac:dyDescent="0.25"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</row>
    <row r="88" spans="2:13" x14ac:dyDescent="0.25"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</row>
    <row r="89" spans="2:13" x14ac:dyDescent="0.25"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</row>
    <row r="90" spans="2:13" x14ac:dyDescent="0.25"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</row>
    <row r="91" spans="2:13" x14ac:dyDescent="0.25"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</row>
    <row r="92" spans="2:13" x14ac:dyDescent="0.25"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</row>
    <row r="93" spans="2:13" x14ac:dyDescent="0.25"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</row>
    <row r="94" spans="2:13" x14ac:dyDescent="0.25"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</row>
    <row r="95" spans="2:13" x14ac:dyDescent="0.25"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</row>
    <row r="96" spans="2:13" x14ac:dyDescent="0.25"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</row>
    <row r="97" spans="2:13" x14ac:dyDescent="0.25"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</row>
    <row r="98" spans="2:13" x14ac:dyDescent="0.25"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</row>
    <row r="99" spans="2:13" x14ac:dyDescent="0.25"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</row>
    <row r="100" spans="2:13" x14ac:dyDescent="0.25"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</row>
    <row r="101" spans="2:13" x14ac:dyDescent="0.25"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</row>
    <row r="102" spans="2:13" x14ac:dyDescent="0.25"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</row>
    <row r="103" spans="2:13" x14ac:dyDescent="0.25"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</row>
    <row r="104" spans="2:13" x14ac:dyDescent="0.25"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</row>
    <row r="105" spans="2:13" x14ac:dyDescent="0.25"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</row>
    <row r="106" spans="2:13" x14ac:dyDescent="0.25"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</row>
    <row r="107" spans="2:13" x14ac:dyDescent="0.25"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</row>
    <row r="108" spans="2:13" x14ac:dyDescent="0.25"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</row>
    <row r="109" spans="2:13" x14ac:dyDescent="0.25"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</row>
    <row r="110" spans="2:13" x14ac:dyDescent="0.25"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</row>
    <row r="111" spans="2:13" x14ac:dyDescent="0.25"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</row>
    <row r="112" spans="2:13" x14ac:dyDescent="0.25"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</row>
    <row r="113" spans="2:13" x14ac:dyDescent="0.25"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</row>
    <row r="114" spans="2:13" x14ac:dyDescent="0.25"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</row>
  </sheetData>
  <mergeCells count="33">
    <mergeCell ref="S4:S6"/>
    <mergeCell ref="B8:B9"/>
    <mergeCell ref="C8:C9"/>
    <mergeCell ref="D8:D9"/>
    <mergeCell ref="G8:H9"/>
    <mergeCell ref="N8:N9"/>
    <mergeCell ref="O8:O9"/>
    <mergeCell ref="P8:P9"/>
    <mergeCell ref="S8:T9"/>
    <mergeCell ref="G10:H10"/>
    <mergeCell ref="S10:T10"/>
    <mergeCell ref="G11:H11"/>
    <mergeCell ref="S11:T11"/>
    <mergeCell ref="G12:H12"/>
    <mergeCell ref="S12:T12"/>
    <mergeCell ref="G13:H13"/>
    <mergeCell ref="S13:T13"/>
    <mergeCell ref="C14:D14"/>
    <mergeCell ref="O14:P14"/>
    <mergeCell ref="G24:H24"/>
    <mergeCell ref="S24:T24"/>
    <mergeCell ref="B49:M114"/>
    <mergeCell ref="G25:H25"/>
    <mergeCell ref="S25:T25"/>
    <mergeCell ref="G26:H26"/>
    <mergeCell ref="S26:T26"/>
    <mergeCell ref="G27:H27"/>
    <mergeCell ref="S27:T27"/>
    <mergeCell ref="H37:H39"/>
    <mergeCell ref="T37:T39"/>
    <mergeCell ref="R44:R46"/>
    <mergeCell ref="S44:S46"/>
    <mergeCell ref="T44:T46"/>
  </mergeCells>
  <pageMargins left="0.7" right="0.7" top="0.75" bottom="0.75" header="0.3" footer="0.3"/>
  <pageSetup paperSize="9" scale="52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 Okt-1 Nov 2023</vt:lpstr>
      <vt:lpstr>'3 Okt-1 Nov 2023'!Print_Area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GA-03@sami.co.id</dc:creator>
  <cp:lastModifiedBy>prd-10</cp:lastModifiedBy>
  <dcterms:created xsi:type="dcterms:W3CDTF">2023-09-26T03:16:25Z</dcterms:created>
  <dcterms:modified xsi:type="dcterms:W3CDTF">2023-09-27T00:56:24Z</dcterms:modified>
</cp:coreProperties>
</file>