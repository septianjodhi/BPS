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ARING DATA SAMI-55\TERM 82 MIKI\Lampiran potong pph 21\"/>
    </mc:Choice>
  </mc:AlternateContent>
  <xr:revisionPtr revIDLastSave="0" documentId="13_ncr:1_{530066CA-B34F-4906-BD24-A0863F324021}" xr6:coauthVersionLast="47" xr6:coauthVersionMax="47" xr10:uidLastSave="{00000000-0000-0000-0000-000000000000}"/>
  <bookViews>
    <workbookView xWindow="-120" yWindow="-120" windowWidth="24240" windowHeight="13140" xr2:uid="{63001820-00E1-4B60-81AF-0BC64441B20E}"/>
  </bookViews>
  <sheets>
    <sheet name="INHOUSE KLINIK JUL 2022" sheetId="1" r:id="rId1"/>
  </sheets>
  <externalReferences>
    <externalReference r:id="rId2"/>
  </externalReferences>
  <definedNames>
    <definedName name="Excel_BuiltIn__FilterDatabase_1" localSheetId="0">#REF!</definedName>
    <definedName name="Excel_BuiltIn__FilterDatabase_1">#REF!</definedName>
    <definedName name="_xlnm.Print_Area" localSheetId="0">'INHOUSE KLINIK JUL 2022'!$A$1:$N$62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8" i="1" l="1"/>
  <c r="I8" i="1" s="1"/>
  <c r="K8" i="1" s="1"/>
  <c r="J7" i="1"/>
  <c r="G7" i="1"/>
  <c r="I7" i="1" s="1"/>
  <c r="K7" i="1" s="1"/>
  <c r="G6" i="1"/>
  <c r="J6" i="1" s="1"/>
  <c r="G9" i="1" l="1"/>
  <c r="I6" i="1"/>
  <c r="K6" i="1" s="1"/>
  <c r="L9" i="1" s="1"/>
  <c r="F10" i="1" s="1"/>
  <c r="L15" i="1" l="1"/>
  <c r="P11" i="1"/>
  <c r="P12" i="1" s="1"/>
</calcChain>
</file>

<file path=xl/sharedStrings.xml><?xml version="1.0" encoding="utf-8"?>
<sst xmlns="http://schemas.openxmlformats.org/spreadsheetml/2006/main" count="105" uniqueCount="69">
  <si>
    <t>RINCIAN INVOICE  NALA MEDICAL CENTER</t>
  </si>
  <si>
    <t>Tgl Terima Inv :</t>
  </si>
  <si>
    <t>NO</t>
  </si>
  <si>
    <t>NO.INVOICE</t>
  </si>
  <si>
    <t>KETERANGAN</t>
  </si>
  <si>
    <t>QTY</t>
  </si>
  <si>
    <t>DPP
(HARGA DASAR)</t>
  </si>
  <si>
    <t xml:space="preserve">TOTAL </t>
  </si>
  <si>
    <t>PPN</t>
  </si>
  <si>
    <t xml:space="preserve">DPP + PPN </t>
  </si>
  <si>
    <t>PPH 23
(2% *DPP)</t>
  </si>
  <si>
    <t>TOTAL</t>
  </si>
  <si>
    <t>FAKTUR PAJAK</t>
  </si>
  <si>
    <t>1969/INV/NMC/VI/22</t>
  </si>
  <si>
    <t>DOKTER</t>
  </si>
  <si>
    <t>PERAWAT</t>
  </si>
  <si>
    <t xml:space="preserve">PENUNJANG </t>
  </si>
  <si>
    <t>Total</t>
  </si>
  <si>
    <t>GRAND TOTAL</t>
  </si>
  <si>
    <t>RUMUS PENGERJAAN :</t>
  </si>
  <si>
    <t>Nominal di Voucher Paying</t>
  </si>
  <si>
    <t>NOTE :</t>
  </si>
  <si>
    <t>User memotong budget di STP harga sebelum kena PPN (pajak penambahan nilai 10%)</t>
  </si>
  <si>
    <t xml:space="preserve">RINCIAN PEMOTONGAN PAJAK </t>
  </si>
  <si>
    <r>
      <t xml:space="preserve">beri tanda centang </t>
    </r>
    <r>
      <rPr>
        <sz val="11"/>
        <color theme="1"/>
        <rFont val="Calibri"/>
        <family val="2"/>
      </rPr>
      <t xml:space="preserve"> untuk kolom yang akan di isi</t>
    </r>
  </si>
  <si>
    <t>ü</t>
  </si>
  <si>
    <t>TANDA</t>
  </si>
  <si>
    <t>PERATURAN PEMERINTAH</t>
  </si>
  <si>
    <t>DESKRIPSI JASA</t>
  </si>
  <si>
    <t>UNDANG UNDANG PPH NO. 36 TAHUN 2018</t>
  </si>
  <si>
    <t>Sewa dan Penghasilan lain sehubungan dengan penggunaan harta</t>
  </si>
  <si>
    <t>Jasa Teknik</t>
  </si>
  <si>
    <t>Jasa Konsultan</t>
  </si>
  <si>
    <t>PMK 141/PMK.03/2015</t>
  </si>
  <si>
    <t>Jasa Perancang Kota dan Arsitektur Landscape</t>
  </si>
  <si>
    <t>Jasa Pengolahan Limbah</t>
  </si>
  <si>
    <t>Jasa Penyedia Tenaga Kerja dan/atau Tenaga Ahli (outsourcing services)</t>
  </si>
  <si>
    <t>Jasa Perantara dan/atau Keagenan</t>
  </si>
  <si>
    <t>Jasa Sehubungan Dengan Software atau Hardware atau Sistem Komputer, Termasuk Perawatan, Pemeliharaan dan Perbaikan</t>
  </si>
  <si>
    <t>Jasa Pembuatan dan/atau Pengelolaan Website</t>
  </si>
  <si>
    <t>Jasa Internet Termasuk Sambungannya</t>
  </si>
  <si>
    <t>Jasa Penyimpanan, Pengolahan dan/atau Penyaluran Data Informasi, dan/atau Program</t>
  </si>
  <si>
    <t>Jasa Instalasi/Pemasangan Mesin</t>
  </si>
  <si>
    <t>Jasa Perawatan/Perbaikan</t>
  </si>
  <si>
    <t>Jasa Perawatan Kendaraan dan/atau Alat Transportasi Darat, Laut dan Udara</t>
  </si>
  <si>
    <t>Jasa Penyelidikan dan Keamanan</t>
  </si>
  <si>
    <t>Jasa Penyelenggaraan Kegiatan atau Event Organizer</t>
  </si>
  <si>
    <t>Jasa Pembasmian Hama</t>
  </si>
  <si>
    <t>Jasa Kebersihan atau Cleaning Service</t>
  </si>
  <si>
    <t>Jasa Sedot Septic Tank</t>
  </si>
  <si>
    <t>Jasa Pemeliharaan Kolam</t>
  </si>
  <si>
    <t>Jasa Katering atau Tata Boga</t>
  </si>
  <si>
    <t>Jasa Freight Forwarding</t>
  </si>
  <si>
    <t>Jasa Pengurusan Dokumen</t>
  </si>
  <si>
    <t>Jasa Pengelolaan Parkir</t>
  </si>
  <si>
    <t>Jasa Penyondiran Tanah</t>
  </si>
  <si>
    <t>Jasa Penyiapan dan/atau Pengolahan Lahan</t>
  </si>
  <si>
    <t>Jasa Pembibitan dan/atau Penanaman Bibit</t>
  </si>
  <si>
    <t>Jasa Pemeliharaan Tanaman</t>
  </si>
  <si>
    <t>Jasa Pemanenan</t>
  </si>
  <si>
    <t>Jasa Dekorasi</t>
  </si>
  <si>
    <t>Jasa Penerjemahan</t>
  </si>
  <si>
    <t>Jasa Pengangkutan/Ekspedisi Kecuali yang Telah Diatur Dalam Pasal 15 Undang-Undang Pajak Penghasilan</t>
  </si>
  <si>
    <t>Jasa Pengangkutan Melalui Jalur Pipa</t>
  </si>
  <si>
    <t>Jasa Pelatihan dan/atau Kursus</t>
  </si>
  <si>
    <t>Jasa Sertifikasi</t>
  </si>
  <si>
    <t>Jasa Survey</t>
  </si>
  <si>
    <t>Imbalan sehubungan dengan jasa, pekerjaan dan kegiatan</t>
  </si>
  <si>
    <t>KETERANGAN : TAGIHAN INHOUSE KLINIK BULAN JULI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</si>
</sst>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_(* #,##0_);_(* \(#,##0\);_(* &quot;-&quot;_);_(@_)"/>
    <numFmt numFmtId="167" formatCode="[$-409]dd\-mmm\-yy;@"/>
    <numFmt numFmtId="168" formatCode="[$-409]d\-mmm\-yy;@"/>
    <numFmt numFmtId="169" formatCode="_-[$Rp-421]* #,##0_ ;_-[$Rp-421]* \-#,##0\ ;_-[$Rp-421]* &quot;-&quot;_ ;_-@_ 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Hobo Std"/>
      <family val="2"/>
    </font>
    <font>
      <b/>
      <i/>
      <sz val="14"/>
      <name val="Hobo Std"/>
      <family val="2"/>
    </font>
    <font>
      <b/>
      <i/>
      <sz val="12"/>
      <name val="Hobo Std"/>
      <family val="2"/>
    </font>
    <font>
      <sz val="11"/>
      <name val="Hobo Std"/>
      <family val="2"/>
    </font>
    <font>
      <b/>
      <sz val="18"/>
      <name val="Hobo Std"/>
      <family val="2"/>
    </font>
    <font>
      <b/>
      <sz val="18"/>
      <color theme="1"/>
      <name val="Hobo Std"/>
      <family val="2"/>
    </font>
    <font>
      <b/>
      <sz val="18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i/>
      <sz val="14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12"/>
      <name val="Calibri"/>
      <family val="2"/>
      <scheme val="minor"/>
    </font>
    <font>
      <sz val="1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Wingdings"/>
      <charset val="2"/>
    </font>
    <font>
      <b/>
      <sz val="14"/>
      <color theme="1"/>
      <name val="Calibri"/>
      <family val="2"/>
      <scheme val="minor"/>
    </font>
    <font>
      <sz val="14"/>
      <color theme="1"/>
      <name val="Times New Roman"/>
      <family val="1"/>
    </font>
    <font>
      <sz val="14"/>
      <color theme="1"/>
      <name val="Wingdings"/>
      <charset val="2"/>
    </font>
    <font>
      <sz val="9"/>
      <color theme="1"/>
      <name val="Times New Roman"/>
      <family val="1"/>
    </font>
    <font>
      <sz val="20"/>
      <color theme="1"/>
      <name val="Times New Roman"/>
      <family val="1"/>
    </font>
    <font>
      <sz val="11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slantDashDot">
        <color auto="1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</cellStyleXfs>
  <cellXfs count="155">
    <xf numFmtId="0" fontId="0" fillId="0" borderId="0" xfId="0"/>
    <xf numFmtId="165" fontId="1" fillId="0" borderId="0" xfId="1" applyNumberFormat="1" applyFont="1" applyFill="1" applyAlignment="1">
      <alignment vertical="center"/>
    </xf>
    <xf numFmtId="0" fontId="0" fillId="0" borderId="0" xfId="1" applyNumberFormat="1" applyFont="1" applyAlignment="1">
      <alignment horizontal="center" vertical="center"/>
    </xf>
    <xf numFmtId="165" fontId="0" fillId="0" borderId="0" xfId="1" applyNumberFormat="1" applyFont="1" applyAlignment="1">
      <alignment vertical="center"/>
    </xf>
    <xf numFmtId="165" fontId="0" fillId="0" borderId="0" xfId="1" applyNumberFormat="1" applyFont="1" applyAlignment="1">
      <alignment horizontal="center" vertical="center"/>
    </xf>
    <xf numFmtId="165" fontId="0" fillId="0" borderId="0" xfId="1" applyNumberFormat="1" applyFont="1" applyFill="1" applyAlignment="1">
      <alignment vertical="center"/>
    </xf>
    <xf numFmtId="165" fontId="2" fillId="2" borderId="0" xfId="1" applyNumberFormat="1" applyFont="1" applyFill="1" applyAlignment="1">
      <alignment horizontal="center" vertical="center"/>
    </xf>
    <xf numFmtId="0" fontId="3" fillId="0" borderId="1" xfId="1" applyNumberFormat="1" applyFont="1" applyBorder="1" applyAlignment="1">
      <alignment horizontal="left" vertical="center"/>
    </xf>
    <xf numFmtId="166" fontId="0" fillId="0" borderId="2" xfId="2" applyFont="1" applyBorder="1" applyAlignment="1">
      <alignment vertical="center"/>
    </xf>
    <xf numFmtId="165" fontId="0" fillId="0" borderId="2" xfId="1" applyNumberFormat="1" applyFont="1" applyBorder="1" applyAlignment="1">
      <alignment vertical="center"/>
    </xf>
    <xf numFmtId="166" fontId="4" fillId="0" borderId="2" xfId="2" applyFont="1" applyBorder="1" applyAlignment="1">
      <alignment vertical="center"/>
    </xf>
    <xf numFmtId="166" fontId="4" fillId="0" borderId="3" xfId="2" applyFont="1" applyBorder="1" applyAlignment="1">
      <alignment vertical="center"/>
    </xf>
    <xf numFmtId="166" fontId="4" fillId="0" borderId="0" xfId="2" applyFont="1" applyFill="1" applyBorder="1" applyAlignment="1">
      <alignment horizontal="right" vertical="center"/>
    </xf>
    <xf numFmtId="0" fontId="5" fillId="0" borderId="4" xfId="1" applyNumberFormat="1" applyFont="1" applyBorder="1" applyAlignment="1">
      <alignment horizontal="left" vertical="center" wrapText="1"/>
    </xf>
    <xf numFmtId="0" fontId="5" fillId="0" borderId="0" xfId="1" applyNumberFormat="1" applyFont="1" applyBorder="1" applyAlignment="1">
      <alignment horizontal="left" vertical="center" wrapText="1"/>
    </xf>
    <xf numFmtId="0" fontId="5" fillId="0" borderId="0" xfId="1" applyNumberFormat="1" applyFont="1" applyBorder="1" applyAlignment="1">
      <alignment horizontal="left" vertical="center" wrapText="1"/>
    </xf>
    <xf numFmtId="166" fontId="6" fillId="0" borderId="0" xfId="2" applyFont="1" applyBorder="1" applyAlignment="1">
      <alignment horizontal="center" vertical="center"/>
    </xf>
    <xf numFmtId="167" fontId="6" fillId="0" borderId="5" xfId="2" applyNumberFormat="1" applyFont="1" applyBorder="1" applyAlignment="1">
      <alignment horizontal="center" vertical="center"/>
    </xf>
    <xf numFmtId="168" fontId="6" fillId="0" borderId="0" xfId="2" applyNumberFormat="1" applyFont="1" applyFill="1" applyBorder="1" applyAlignment="1">
      <alignment horizontal="left" vertical="center"/>
    </xf>
    <xf numFmtId="165" fontId="6" fillId="0" borderId="0" xfId="1" applyNumberFormat="1" applyFont="1" applyAlignment="1">
      <alignment vertical="center"/>
    </xf>
    <xf numFmtId="0" fontId="5" fillId="0" borderId="6" xfId="1" applyNumberFormat="1" applyFont="1" applyBorder="1" applyAlignment="1">
      <alignment horizontal="left" vertical="center" wrapText="1"/>
    </xf>
    <xf numFmtId="0" fontId="5" fillId="0" borderId="7" xfId="1" applyNumberFormat="1" applyFont="1" applyBorder="1" applyAlignment="1">
      <alignment horizontal="left" vertical="center" wrapText="1"/>
    </xf>
    <xf numFmtId="166" fontId="6" fillId="0" borderId="5" xfId="2" applyFont="1" applyBorder="1" applyAlignment="1">
      <alignment vertical="center"/>
    </xf>
    <xf numFmtId="166" fontId="6" fillId="0" borderId="0" xfId="2" applyFont="1" applyFill="1" applyBorder="1" applyAlignment="1">
      <alignment vertical="center"/>
    </xf>
    <xf numFmtId="165" fontId="1" fillId="0" borderId="0" xfId="1" applyNumberFormat="1" applyFont="1" applyFill="1" applyAlignment="1">
      <alignment vertical="center" wrapText="1"/>
    </xf>
    <xf numFmtId="0" fontId="7" fillId="3" borderId="8" xfId="1" applyNumberFormat="1" applyFont="1" applyFill="1" applyBorder="1" applyAlignment="1">
      <alignment horizontal="center" vertical="center" wrapText="1"/>
    </xf>
    <xf numFmtId="166" fontId="7" fillId="3" borderId="9" xfId="2" applyFont="1" applyFill="1" applyBorder="1" applyAlignment="1">
      <alignment horizontal="center" vertical="center" wrapText="1"/>
    </xf>
    <xf numFmtId="166" fontId="7" fillId="3" borderId="9" xfId="2" applyFont="1" applyFill="1" applyBorder="1" applyAlignment="1">
      <alignment horizontal="center" vertical="center" wrapText="1"/>
    </xf>
    <xf numFmtId="166" fontId="7" fillId="3" borderId="10" xfId="2" applyFont="1" applyFill="1" applyBorder="1" applyAlignment="1">
      <alignment horizontal="center" vertical="center" wrapText="1"/>
    </xf>
    <xf numFmtId="166" fontId="2" fillId="0" borderId="0" xfId="2" applyFont="1" applyFill="1" applyBorder="1" applyAlignment="1">
      <alignment horizontal="center" vertical="center" wrapText="1"/>
    </xf>
    <xf numFmtId="165" fontId="0" fillId="0" borderId="0" xfId="1" applyNumberFormat="1" applyFont="1" applyAlignment="1">
      <alignment vertical="center" wrapText="1"/>
    </xf>
    <xf numFmtId="0" fontId="1" fillId="0" borderId="8" xfId="1" applyNumberFormat="1" applyFont="1" applyBorder="1" applyAlignment="1">
      <alignment horizontal="center" vertical="center"/>
    </xf>
    <xf numFmtId="165" fontId="0" fillId="0" borderId="11" xfId="1" quotePrefix="1" applyNumberFormat="1" applyFont="1" applyBorder="1" applyAlignment="1">
      <alignment horizontal="center" vertical="center"/>
    </xf>
    <xf numFmtId="165" fontId="0" fillId="0" borderId="9" xfId="1" quotePrefix="1" applyNumberFormat="1" applyFont="1" applyBorder="1" applyAlignment="1">
      <alignment vertical="center"/>
    </xf>
    <xf numFmtId="169" fontId="8" fillId="0" borderId="9" xfId="3" applyNumberFormat="1" applyFont="1" applyBorder="1" applyAlignment="1">
      <alignment horizontal="center" vertical="center"/>
    </xf>
    <xf numFmtId="169" fontId="1" fillId="0" borderId="9" xfId="1" applyNumberFormat="1" applyFont="1" applyBorder="1" applyAlignment="1">
      <alignment vertical="center"/>
    </xf>
    <xf numFmtId="169" fontId="1" fillId="0" borderId="2" xfId="1" applyNumberFormat="1" applyFont="1" applyBorder="1" applyAlignment="1">
      <alignment horizontal="center" vertical="center"/>
    </xf>
    <xf numFmtId="169" fontId="1" fillId="0" borderId="3" xfId="1" applyNumberFormat="1" applyFont="1" applyBorder="1" applyAlignment="1">
      <alignment horizontal="center" vertical="center"/>
    </xf>
    <xf numFmtId="169" fontId="2" fillId="0" borderId="0" xfId="1" applyNumberFormat="1" applyFont="1" applyFill="1" applyBorder="1" applyAlignment="1">
      <alignment vertical="center"/>
    </xf>
    <xf numFmtId="165" fontId="1" fillId="0" borderId="0" xfId="1" applyNumberFormat="1" applyFont="1" applyAlignment="1">
      <alignment vertical="center"/>
    </xf>
    <xf numFmtId="169" fontId="1" fillId="0" borderId="0" xfId="1" applyNumberFormat="1" applyFont="1" applyBorder="1" applyAlignment="1">
      <alignment horizontal="center" vertical="center"/>
    </xf>
    <xf numFmtId="169" fontId="1" fillId="0" borderId="5" xfId="1" applyNumberFormat="1" applyFont="1" applyBorder="1" applyAlignment="1">
      <alignment horizontal="center" vertical="center"/>
    </xf>
    <xf numFmtId="169" fontId="1" fillId="0" borderId="7" xfId="1" applyNumberFormat="1" applyFont="1" applyBorder="1" applyAlignment="1">
      <alignment horizontal="center" vertical="center"/>
    </xf>
    <xf numFmtId="169" fontId="1" fillId="0" borderId="12" xfId="1" applyNumberFormat="1" applyFont="1" applyBorder="1" applyAlignment="1">
      <alignment horizontal="center" vertical="center"/>
    </xf>
    <xf numFmtId="165" fontId="9" fillId="0" borderId="0" xfId="1" applyNumberFormat="1" applyFont="1" applyFill="1" applyAlignment="1">
      <alignment vertical="center"/>
    </xf>
    <xf numFmtId="165" fontId="10" fillId="0" borderId="8" xfId="1" applyNumberFormat="1" applyFont="1" applyBorder="1" applyAlignment="1">
      <alignment horizontal="center" vertical="center"/>
    </xf>
    <xf numFmtId="165" fontId="10" fillId="0" borderId="9" xfId="1" applyNumberFormat="1" applyFont="1" applyBorder="1" applyAlignment="1">
      <alignment horizontal="center" vertical="center"/>
    </xf>
    <xf numFmtId="165" fontId="10" fillId="0" borderId="9" xfId="1" applyNumberFormat="1" applyFont="1" applyBorder="1" applyAlignment="1">
      <alignment horizontal="center" vertical="center"/>
    </xf>
    <xf numFmtId="169" fontId="11" fillId="0" borderId="9" xfId="3" applyNumberFormat="1" applyFont="1" applyBorder="1" applyAlignment="1">
      <alignment horizontal="center" vertical="center"/>
    </xf>
    <xf numFmtId="165" fontId="12" fillId="4" borderId="9" xfId="1" applyNumberFormat="1" applyFont="1" applyFill="1" applyBorder="1" applyAlignment="1">
      <alignment vertical="center"/>
    </xf>
    <xf numFmtId="169" fontId="11" fillId="0" borderId="9" xfId="3" applyNumberFormat="1" applyFont="1" applyBorder="1" applyAlignment="1">
      <alignment horizontal="center" vertical="center"/>
    </xf>
    <xf numFmtId="169" fontId="11" fillId="0" borderId="10" xfId="3" applyNumberFormat="1" applyFont="1" applyBorder="1" applyAlignment="1">
      <alignment horizontal="center" vertical="center"/>
    </xf>
    <xf numFmtId="165" fontId="9" fillId="0" borderId="0" xfId="1" applyNumberFormat="1" applyFont="1" applyFill="1" applyBorder="1" applyAlignment="1">
      <alignment vertical="center"/>
    </xf>
    <xf numFmtId="165" fontId="9" fillId="0" borderId="0" xfId="1" applyNumberFormat="1" applyFont="1" applyAlignment="1">
      <alignment vertical="center"/>
    </xf>
    <xf numFmtId="165" fontId="13" fillId="0" borderId="8" xfId="1" applyNumberFormat="1" applyFont="1" applyBorder="1" applyAlignment="1">
      <alignment horizontal="center" vertical="center"/>
    </xf>
    <xf numFmtId="165" fontId="13" fillId="0" borderId="9" xfId="1" applyNumberFormat="1" applyFont="1" applyBorder="1" applyAlignment="1">
      <alignment horizontal="center" vertical="center"/>
    </xf>
    <xf numFmtId="165" fontId="13" fillId="0" borderId="9" xfId="1" applyNumberFormat="1" applyFont="1" applyBorder="1" applyAlignment="1">
      <alignment horizontal="center" vertical="center"/>
    </xf>
    <xf numFmtId="169" fontId="13" fillId="0" borderId="9" xfId="1" applyNumberFormat="1" applyFont="1" applyBorder="1" applyAlignment="1">
      <alignment horizontal="center" vertical="center"/>
    </xf>
    <xf numFmtId="169" fontId="13" fillId="0" borderId="10" xfId="1" applyNumberFormat="1" applyFont="1" applyBorder="1" applyAlignment="1">
      <alignment horizontal="center" vertical="center"/>
    </xf>
    <xf numFmtId="169" fontId="14" fillId="0" borderId="0" xfId="1" applyNumberFormat="1" applyFont="1" applyFill="1" applyBorder="1" applyAlignment="1">
      <alignment horizontal="center" vertical="center"/>
    </xf>
    <xf numFmtId="165" fontId="15" fillId="0" borderId="4" xfId="1" applyNumberFormat="1" applyFont="1" applyBorder="1" applyAlignment="1">
      <alignment horizontal="center" vertical="center"/>
    </xf>
    <xf numFmtId="165" fontId="15" fillId="0" borderId="0" xfId="1" applyNumberFormat="1" applyFont="1" applyBorder="1" applyAlignment="1">
      <alignment horizontal="center" vertical="center"/>
    </xf>
    <xf numFmtId="169" fontId="15" fillId="0" borderId="0" xfId="1" applyNumberFormat="1" applyFont="1" applyBorder="1" applyAlignment="1">
      <alignment horizontal="center" vertical="center"/>
    </xf>
    <xf numFmtId="169" fontId="15" fillId="0" borderId="5" xfId="1" applyNumberFormat="1" applyFont="1" applyBorder="1" applyAlignment="1">
      <alignment horizontal="center" vertical="center"/>
    </xf>
    <xf numFmtId="169" fontId="16" fillId="0" borderId="0" xfId="1" applyNumberFormat="1" applyFont="1" applyFill="1" applyBorder="1" applyAlignment="1">
      <alignment horizontal="center" vertical="center"/>
    </xf>
    <xf numFmtId="0" fontId="17" fillId="0" borderId="1" xfId="1" applyNumberFormat="1" applyFont="1" applyBorder="1" applyAlignment="1">
      <alignment horizontal="left" vertical="center"/>
    </xf>
    <xf numFmtId="165" fontId="18" fillId="0" borderId="2" xfId="1" applyNumberFormat="1" applyFont="1" applyBorder="1" applyAlignment="1">
      <alignment vertical="center"/>
    </xf>
    <xf numFmtId="165" fontId="8" fillId="0" borderId="2" xfId="1" applyNumberFormat="1" applyFont="1" applyBorder="1" applyAlignment="1">
      <alignment vertical="center"/>
    </xf>
    <xf numFmtId="165" fontId="8" fillId="0" borderId="2" xfId="1" applyNumberFormat="1" applyFont="1" applyBorder="1" applyAlignment="1">
      <alignment horizontal="center" vertical="center"/>
    </xf>
    <xf numFmtId="165" fontId="8" fillId="0" borderId="3" xfId="1" applyNumberFormat="1" applyFont="1" applyBorder="1" applyAlignment="1">
      <alignment vertical="center"/>
    </xf>
    <xf numFmtId="165" fontId="0" fillId="0" borderId="0" xfId="1" applyNumberFormat="1" applyFont="1" applyFill="1" applyBorder="1" applyAlignment="1">
      <alignment vertical="center"/>
    </xf>
    <xf numFmtId="0" fontId="18" fillId="0" borderId="4" xfId="1" applyNumberFormat="1" applyFont="1" applyBorder="1" applyAlignment="1">
      <alignment horizontal="left" vertical="center"/>
    </xf>
    <xf numFmtId="165" fontId="18" fillId="0" borderId="0" xfId="1" quotePrefix="1" applyNumberFormat="1" applyFont="1" applyBorder="1" applyAlignment="1">
      <alignment horizontal="center" vertical="center"/>
    </xf>
    <xf numFmtId="165" fontId="18" fillId="0" borderId="0" xfId="1" quotePrefix="1" applyNumberFormat="1" applyFont="1" applyBorder="1" applyAlignment="1">
      <alignment horizontal="center" vertical="center"/>
    </xf>
    <xf numFmtId="0" fontId="18" fillId="0" borderId="0" xfId="1" applyNumberFormat="1" applyFont="1" applyBorder="1" applyAlignment="1">
      <alignment horizontal="right" vertical="center"/>
    </xf>
    <xf numFmtId="165" fontId="18" fillId="0" borderId="0" xfId="1" applyNumberFormat="1" applyFont="1" applyBorder="1" applyAlignment="1">
      <alignment horizontal="center" vertical="center"/>
    </xf>
    <xf numFmtId="165" fontId="18" fillId="0" borderId="5" xfId="1" applyNumberFormat="1" applyFont="1" applyBorder="1" applyAlignment="1">
      <alignment horizontal="center" vertical="center"/>
    </xf>
    <xf numFmtId="165" fontId="19" fillId="0" borderId="0" xfId="1" applyNumberFormat="1" applyFont="1" applyFill="1" applyBorder="1" applyAlignment="1">
      <alignment vertical="center"/>
    </xf>
    <xf numFmtId="165" fontId="18" fillId="0" borderId="7" xfId="1" quotePrefix="1" applyNumberFormat="1" applyFont="1" applyBorder="1" applyAlignment="1">
      <alignment horizontal="center" vertical="center"/>
    </xf>
    <xf numFmtId="165" fontId="8" fillId="0" borderId="0" xfId="1" applyNumberFormat="1" applyFont="1" applyBorder="1" applyAlignment="1">
      <alignment vertical="center"/>
    </xf>
    <xf numFmtId="165" fontId="18" fillId="0" borderId="7" xfId="1" applyNumberFormat="1" applyFont="1" applyBorder="1" applyAlignment="1">
      <alignment horizontal="center" vertical="center"/>
    </xf>
    <xf numFmtId="165" fontId="18" fillId="0" borderId="12" xfId="1" applyNumberFormat="1" applyFont="1" applyBorder="1" applyAlignment="1">
      <alignment horizontal="center" vertical="center"/>
    </xf>
    <xf numFmtId="165" fontId="4" fillId="0" borderId="0" xfId="1" applyNumberFormat="1" applyFont="1" applyFill="1" applyAlignment="1">
      <alignment vertical="center"/>
    </xf>
    <xf numFmtId="0" fontId="20" fillId="0" borderId="4" xfId="1" applyNumberFormat="1" applyFont="1" applyBorder="1" applyAlignment="1">
      <alignment horizontal="left" vertical="center"/>
    </xf>
    <xf numFmtId="165" fontId="20" fillId="0" borderId="0" xfId="1" quotePrefix="1" applyNumberFormat="1" applyFont="1" applyBorder="1" applyAlignment="1">
      <alignment horizontal="center" vertical="center"/>
    </xf>
    <xf numFmtId="165" fontId="20" fillId="0" borderId="0" xfId="1" quotePrefix="1" applyNumberFormat="1" applyFont="1" applyBorder="1" applyAlignment="1">
      <alignment horizontal="center" vertical="center"/>
    </xf>
    <xf numFmtId="165" fontId="20" fillId="0" borderId="0" xfId="1" applyNumberFormat="1" applyFont="1" applyBorder="1" applyAlignment="1">
      <alignment vertical="center"/>
    </xf>
    <xf numFmtId="165" fontId="21" fillId="0" borderId="2" xfId="1" applyNumberFormat="1" applyFont="1" applyBorder="1" applyAlignment="1">
      <alignment horizontal="center" vertical="center"/>
    </xf>
    <xf numFmtId="165" fontId="21" fillId="0" borderId="3" xfId="1" applyNumberFormat="1" applyFont="1" applyBorder="1" applyAlignment="1">
      <alignment horizontal="center" vertical="center"/>
    </xf>
    <xf numFmtId="165" fontId="4" fillId="0" borderId="0" xfId="1" applyNumberFormat="1" applyFont="1" applyFill="1" applyBorder="1" applyAlignment="1">
      <alignment vertical="center"/>
    </xf>
    <xf numFmtId="165" fontId="4" fillId="0" borderId="0" xfId="1" applyNumberFormat="1" applyFont="1" applyAlignment="1">
      <alignment vertical="center"/>
    </xf>
    <xf numFmtId="0" fontId="19" fillId="0" borderId="6" xfId="1" applyNumberFormat="1" applyFont="1" applyBorder="1" applyAlignment="1">
      <alignment horizontal="left" vertical="center"/>
    </xf>
    <xf numFmtId="165" fontId="19" fillId="0" borderId="7" xfId="1" quotePrefix="1" applyNumberFormat="1" applyFont="1" applyBorder="1" applyAlignment="1">
      <alignment horizontal="right" vertical="center"/>
    </xf>
    <xf numFmtId="165" fontId="19" fillId="0" borderId="7" xfId="1" applyNumberFormat="1" applyFont="1" applyBorder="1" applyAlignment="1">
      <alignment vertical="center"/>
    </xf>
    <xf numFmtId="165" fontId="19" fillId="0" borderId="7" xfId="1" applyNumberFormat="1" applyFont="1" applyBorder="1" applyAlignment="1">
      <alignment horizontal="center" vertical="center"/>
    </xf>
    <xf numFmtId="165" fontId="19" fillId="0" borderId="12" xfId="1" applyNumberFormat="1" applyFont="1" applyBorder="1" applyAlignment="1">
      <alignment vertical="center"/>
    </xf>
    <xf numFmtId="0" fontId="2" fillId="3" borderId="4" xfId="1" applyNumberFormat="1" applyFont="1" applyFill="1" applyBorder="1" applyAlignment="1">
      <alignment horizontal="center" vertical="center"/>
    </xf>
    <xf numFmtId="165" fontId="2" fillId="3" borderId="0" xfId="1" applyNumberFormat="1" applyFont="1" applyFill="1" applyBorder="1" applyAlignment="1">
      <alignment vertical="center"/>
    </xf>
    <xf numFmtId="165" fontId="0" fillId="3" borderId="0" xfId="1" applyNumberFormat="1" applyFont="1" applyFill="1" applyBorder="1" applyAlignment="1">
      <alignment vertical="center"/>
    </xf>
    <xf numFmtId="169" fontId="22" fillId="0" borderId="0" xfId="3" applyNumberFormat="1" applyFont="1" applyAlignment="1">
      <alignment horizontal="center" vertical="center"/>
    </xf>
    <xf numFmtId="165" fontId="0" fillId="0" borderId="5" xfId="1" applyNumberFormat="1" applyFont="1" applyBorder="1" applyAlignment="1">
      <alignment vertical="center"/>
    </xf>
    <xf numFmtId="0" fontId="2" fillId="3" borderId="13" xfId="1" applyNumberFormat="1" applyFont="1" applyFill="1" applyBorder="1" applyAlignment="1">
      <alignment horizontal="center" vertical="center"/>
    </xf>
    <xf numFmtId="165" fontId="2" fillId="3" borderId="14" xfId="1" applyNumberFormat="1" applyFont="1" applyFill="1" applyBorder="1" applyAlignment="1">
      <alignment vertical="center"/>
    </xf>
    <xf numFmtId="165" fontId="0" fillId="3" borderId="14" xfId="1" applyNumberFormat="1" applyFont="1" applyFill="1" applyBorder="1" applyAlignment="1">
      <alignment vertical="center"/>
    </xf>
    <xf numFmtId="0" fontId="0" fillId="0" borderId="4" xfId="1" applyNumberFormat="1" applyFont="1" applyBorder="1" applyAlignment="1">
      <alignment horizontal="center" vertical="center"/>
    </xf>
    <xf numFmtId="165" fontId="0" fillId="0" borderId="0" xfId="1" applyNumberFormat="1" applyFont="1" applyBorder="1" applyAlignment="1">
      <alignment vertical="center"/>
    </xf>
    <xf numFmtId="165" fontId="23" fillId="0" borderId="0" xfId="1" applyNumberFormat="1" applyFont="1" applyBorder="1" applyAlignment="1">
      <alignment vertical="center"/>
    </xf>
    <xf numFmtId="169" fontId="24" fillId="0" borderId="0" xfId="3" applyNumberFormat="1" applyFont="1" applyAlignment="1">
      <alignment horizontal="center" vertical="center"/>
    </xf>
    <xf numFmtId="165" fontId="23" fillId="0" borderId="5" xfId="1" applyNumberFormat="1" applyFont="1" applyBorder="1" applyAlignment="1">
      <alignment vertical="center"/>
    </xf>
    <xf numFmtId="165" fontId="24" fillId="0" borderId="0" xfId="1" applyNumberFormat="1" applyFont="1" applyFill="1" applyBorder="1" applyAlignment="1">
      <alignment vertical="center"/>
    </xf>
    <xf numFmtId="0" fontId="25" fillId="0" borderId="4" xfId="1" applyNumberFormat="1" applyFont="1" applyBorder="1" applyAlignment="1">
      <alignment horizontal="left" vertical="center"/>
    </xf>
    <xf numFmtId="165" fontId="23" fillId="0" borderId="0" xfId="1" applyNumberFormat="1" applyFont="1" applyBorder="1" applyAlignment="1">
      <alignment horizontal="center" vertical="center"/>
    </xf>
    <xf numFmtId="165" fontId="26" fillId="0" borderId="0" xfId="1" applyNumberFormat="1" applyFont="1" applyFill="1" applyBorder="1" applyAlignment="1">
      <alignment vertical="center"/>
    </xf>
    <xf numFmtId="0" fontId="0" fillId="0" borderId="4" xfId="1" applyNumberFormat="1" applyFont="1" applyBorder="1" applyAlignment="1">
      <alignment horizontal="left" vertical="center"/>
    </xf>
    <xf numFmtId="165" fontId="0" fillId="0" borderId="0" xfId="1" applyNumberFormat="1" applyFont="1" applyBorder="1" applyAlignment="1">
      <alignment horizontal="center" vertical="center"/>
    </xf>
    <xf numFmtId="0" fontId="28" fillId="0" borderId="8" xfId="1" applyNumberFormat="1" applyFont="1" applyBorder="1" applyAlignment="1">
      <alignment horizontal="center" vertical="center"/>
    </xf>
    <xf numFmtId="165" fontId="1" fillId="0" borderId="0" xfId="1" applyNumberFormat="1" applyFont="1" applyFill="1" applyAlignment="1">
      <alignment horizontal="center" vertical="center" wrapText="1"/>
    </xf>
    <xf numFmtId="165" fontId="7" fillId="3" borderId="9" xfId="1" applyNumberFormat="1" applyFont="1" applyFill="1" applyBorder="1" applyAlignment="1">
      <alignment horizontal="center" vertical="center" wrapText="1"/>
    </xf>
    <xf numFmtId="165" fontId="7" fillId="3" borderId="9" xfId="1" applyNumberFormat="1" applyFont="1" applyFill="1" applyBorder="1" applyAlignment="1">
      <alignment horizontal="center" vertical="center" wrapText="1"/>
    </xf>
    <xf numFmtId="165" fontId="29" fillId="3" borderId="9" xfId="1" applyNumberFormat="1" applyFont="1" applyFill="1" applyBorder="1" applyAlignment="1">
      <alignment horizontal="center" vertical="center" wrapText="1"/>
    </xf>
    <xf numFmtId="165" fontId="29" fillId="3" borderId="10" xfId="1" applyNumberFormat="1" applyFont="1" applyFill="1" applyBorder="1" applyAlignment="1">
      <alignment horizontal="center" vertical="center" wrapText="1"/>
    </xf>
    <xf numFmtId="165" fontId="2" fillId="0" borderId="0" xfId="1" applyNumberFormat="1" applyFont="1" applyFill="1" applyBorder="1" applyAlignment="1">
      <alignment horizontal="center" vertical="center" wrapText="1"/>
    </xf>
    <xf numFmtId="165" fontId="0" fillId="0" borderId="0" xfId="1" applyNumberFormat="1" applyFont="1" applyAlignment="1">
      <alignment horizontal="center" vertical="center" wrapText="1"/>
    </xf>
    <xf numFmtId="0" fontId="28" fillId="5" borderId="8" xfId="1" applyNumberFormat="1" applyFont="1" applyFill="1" applyBorder="1" applyAlignment="1">
      <alignment horizontal="center" vertical="center"/>
    </xf>
    <xf numFmtId="166" fontId="0" fillId="5" borderId="9" xfId="2" applyFont="1" applyFill="1" applyBorder="1" applyAlignment="1">
      <alignment horizontal="left" vertical="center"/>
    </xf>
    <xf numFmtId="166" fontId="0" fillId="5" borderId="9" xfId="2" applyFont="1" applyFill="1" applyBorder="1" applyAlignment="1">
      <alignment horizontal="left" vertical="center"/>
    </xf>
    <xf numFmtId="166" fontId="0" fillId="5" borderId="9" xfId="2" applyFont="1" applyFill="1" applyBorder="1" applyAlignment="1">
      <alignment vertical="center"/>
    </xf>
    <xf numFmtId="166" fontId="0" fillId="5" borderId="10" xfId="2" applyFont="1" applyFill="1" applyBorder="1" applyAlignment="1">
      <alignment vertical="center"/>
    </xf>
    <xf numFmtId="166" fontId="0" fillId="0" borderId="0" xfId="2" applyFont="1" applyFill="1" applyBorder="1" applyAlignment="1">
      <alignment horizontal="left" vertical="center"/>
    </xf>
    <xf numFmtId="0" fontId="30" fillId="0" borderId="8" xfId="3" applyFont="1" applyBorder="1" applyAlignment="1">
      <alignment horizontal="center" vertical="center"/>
    </xf>
    <xf numFmtId="166" fontId="0" fillId="0" borderId="9" xfId="2" applyFont="1" applyBorder="1" applyAlignment="1">
      <alignment horizontal="left" vertical="center"/>
    </xf>
    <xf numFmtId="166" fontId="0" fillId="0" borderId="9" xfId="2" applyFont="1" applyBorder="1" applyAlignment="1">
      <alignment horizontal="left" vertical="center"/>
    </xf>
    <xf numFmtId="166" fontId="0" fillId="6" borderId="9" xfId="2" applyFont="1" applyFill="1" applyBorder="1" applyAlignment="1">
      <alignment vertical="center"/>
    </xf>
    <xf numFmtId="166" fontId="0" fillId="6" borderId="10" xfId="2" applyFont="1" applyFill="1" applyBorder="1" applyAlignment="1">
      <alignment vertical="center"/>
    </xf>
    <xf numFmtId="166" fontId="0" fillId="0" borderId="9" xfId="2" applyFont="1" applyBorder="1" applyAlignment="1">
      <alignment vertical="center"/>
    </xf>
    <xf numFmtId="165" fontId="0" fillId="0" borderId="9" xfId="1" applyNumberFormat="1" applyFont="1" applyBorder="1" applyAlignment="1">
      <alignment vertical="center"/>
    </xf>
    <xf numFmtId="166" fontId="0" fillId="6" borderId="9" xfId="2" applyFont="1" applyFill="1" applyBorder="1" applyAlignment="1">
      <alignment horizontal="left" vertical="center" wrapText="1"/>
    </xf>
    <xf numFmtId="166" fontId="0" fillId="6" borderId="10" xfId="2" applyFont="1" applyFill="1" applyBorder="1" applyAlignment="1">
      <alignment horizontal="left" vertical="center" wrapText="1"/>
    </xf>
    <xf numFmtId="166" fontId="0" fillId="0" borderId="0" xfId="2" applyFont="1" applyFill="1" applyBorder="1" applyAlignment="1">
      <alignment horizontal="left" vertical="center" wrapText="1"/>
    </xf>
    <xf numFmtId="0" fontId="31" fillId="0" borderId="8" xfId="3" applyFont="1" applyBorder="1" applyAlignment="1">
      <alignment horizontal="center" vertical="center"/>
    </xf>
    <xf numFmtId="166" fontId="0" fillId="0" borderId="9" xfId="2" applyFont="1" applyFill="1" applyBorder="1" applyAlignment="1">
      <alignment vertical="center"/>
    </xf>
    <xf numFmtId="165" fontId="0" fillId="0" borderId="9" xfId="1" applyNumberFormat="1" applyFont="1" applyFill="1" applyBorder="1" applyAlignment="1">
      <alignment vertical="center"/>
    </xf>
    <xf numFmtId="166" fontId="0" fillId="0" borderId="10" xfId="2" applyFont="1" applyFill="1" applyBorder="1" applyAlignment="1">
      <alignment vertical="center"/>
    </xf>
    <xf numFmtId="0" fontId="32" fillId="0" borderId="8" xfId="3" applyFont="1" applyBorder="1" applyAlignment="1">
      <alignment horizontal="center" vertical="center"/>
    </xf>
    <xf numFmtId="0" fontId="33" fillId="0" borderId="8" xfId="3" applyFont="1" applyBorder="1" applyAlignment="1">
      <alignment horizontal="center" vertical="center"/>
    </xf>
    <xf numFmtId="0" fontId="34" fillId="0" borderId="8" xfId="3" applyFont="1" applyBorder="1" applyAlignment="1">
      <alignment horizontal="center" vertical="center"/>
    </xf>
    <xf numFmtId="0" fontId="32" fillId="0" borderId="0" xfId="3" applyFont="1" applyAlignment="1">
      <alignment horizontal="center" vertical="center"/>
    </xf>
    <xf numFmtId="166" fontId="0" fillId="0" borderId="0" xfId="2" applyFont="1" applyAlignment="1">
      <alignment vertical="center"/>
    </xf>
    <xf numFmtId="166" fontId="0" fillId="0" borderId="0" xfId="2" applyFont="1" applyFill="1" applyAlignment="1">
      <alignment vertical="center"/>
    </xf>
    <xf numFmtId="165" fontId="1" fillId="0" borderId="15" xfId="1" applyNumberFormat="1" applyFont="1" applyFill="1" applyBorder="1" applyAlignment="1">
      <alignment vertical="center"/>
    </xf>
    <xf numFmtId="0" fontId="32" fillId="0" borderId="15" xfId="3" applyFont="1" applyBorder="1" applyAlignment="1">
      <alignment horizontal="center" vertical="center"/>
    </xf>
    <xf numFmtId="166" fontId="0" fillId="0" borderId="15" xfId="2" applyFont="1" applyBorder="1" applyAlignment="1">
      <alignment vertical="center"/>
    </xf>
    <xf numFmtId="165" fontId="0" fillId="0" borderId="15" xfId="1" applyNumberFormat="1" applyFont="1" applyBorder="1" applyAlignment="1">
      <alignment vertical="center"/>
    </xf>
    <xf numFmtId="165" fontId="0" fillId="0" borderId="15" xfId="1" applyNumberFormat="1" applyFont="1" applyBorder="1" applyAlignment="1">
      <alignment horizontal="center" vertical="center"/>
    </xf>
    <xf numFmtId="166" fontId="0" fillId="0" borderId="15" xfId="2" applyFont="1" applyFill="1" applyBorder="1" applyAlignment="1">
      <alignment vertical="center"/>
    </xf>
  </cellXfs>
  <cellStyles count="4">
    <cellStyle name="Comma [0] 2" xfId="2" xr:uid="{4C3D474C-C24E-470A-95A0-D84B6E9730A7}"/>
    <cellStyle name="Comma 2" xfId="1" xr:uid="{A6D53194-AFF2-4C8C-89AB-0454274A691A}"/>
    <cellStyle name="Normal" xfId="0" builtinId="0"/>
    <cellStyle name="Normal 2" xfId="3" xr:uid="{4C25AC3C-BA55-4491-9FF5-007F7A867D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DATA%20SAMI-55/1.%20TERM%2081%20JOB%20MIKI/1.%20DAILY%20JOB/LAMPIRAN%20POTONG%20PPH%20TERM%2081/z.%20LAIN%20-LAIN%20summary%20inv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HL (2)"/>
      <sheetName val="DHL"/>
      <sheetName val="APSARI"/>
      <sheetName val="19 (2)"/>
      <sheetName val="19"/>
      <sheetName val="INHOUSE KLINIK (4)"/>
      <sheetName val="INHOUSE KLINIK (3)"/>
      <sheetName val="INHOUSE KLINIK (2)"/>
      <sheetName val="INHOUSE KLINIK"/>
      <sheetName val="Apartemen"/>
      <sheetName val="LIM TV"/>
      <sheetName val="INDOSAT"/>
      <sheetName val="YAMATO"/>
      <sheetName val="ASSA RENT (5)"/>
      <sheetName val="ASSA RENT (4)"/>
      <sheetName val="DEA COPIER"/>
      <sheetName val="FPC INDONESIA (18)"/>
      <sheetName val="FPC INDONESIA (17)"/>
      <sheetName val="FPC INDONESIA (16)"/>
      <sheetName val="FPC INDONESIA (15)"/>
      <sheetName val="FPC INDONESIA (14)"/>
      <sheetName val="FPC INDONESIA (13)"/>
      <sheetName val="FPC INDONESIA (10)"/>
      <sheetName val="FPC INDONESIA (12)"/>
      <sheetName val="FPC INDONESIA (11)"/>
      <sheetName val="FPC INDONESIA (9)"/>
      <sheetName val="FPC INDONESIA (8)"/>
      <sheetName val="FPC INDONESIA (7)"/>
      <sheetName val="FPC INDONESIA (6)"/>
      <sheetName val="FPC INDONESIA (5)"/>
      <sheetName val="FPC INDONESIA (4)"/>
      <sheetName val="FPC INDONESIA (3)"/>
      <sheetName val="FPC INDONESIA (2)"/>
      <sheetName val="SAKURA (2)"/>
      <sheetName val="SAKURA"/>
      <sheetName val="FPC INDONESI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E5622-FF44-4B64-9F55-0F939B3018F3}">
  <sheetPr>
    <pageSetUpPr fitToPage="1"/>
  </sheetPr>
  <dimension ref="A1:P63"/>
  <sheetViews>
    <sheetView tabSelected="1" zoomScale="85" zoomScaleNormal="85" workbookViewId="0">
      <selection activeCell="I15" sqref="I15"/>
    </sheetView>
  </sheetViews>
  <sheetFormatPr defaultRowHeight="15"/>
  <cols>
    <col min="1" max="1" width="3.7109375" style="1" customWidth="1"/>
    <col min="2" max="2" width="8" style="2" customWidth="1"/>
    <col min="3" max="3" width="26.85546875" style="3" customWidth="1"/>
    <col min="4" max="4" width="14.5703125" style="3" customWidth="1"/>
    <col min="5" max="5" width="6.85546875" style="3" customWidth="1"/>
    <col min="6" max="11" width="18.7109375" style="3" customWidth="1"/>
    <col min="12" max="12" width="9.7109375" style="4" customWidth="1"/>
    <col min="13" max="13" width="24.7109375" style="3" customWidth="1"/>
    <col min="14" max="14" width="2.7109375" style="5" customWidth="1"/>
    <col min="15" max="15" width="9.140625" style="3"/>
    <col min="16" max="16" width="11.5703125" style="3" bestFit="1" customWidth="1"/>
    <col min="17" max="16384" width="9.140625" style="3"/>
  </cols>
  <sheetData>
    <row r="1" spans="1:16" ht="9.9499999999999993" customHeight="1"/>
    <row r="2" spans="1:16" ht="31.5">
      <c r="A2" s="6">
        <v>1</v>
      </c>
      <c r="B2" s="7" t="s">
        <v>0</v>
      </c>
      <c r="C2" s="8"/>
      <c r="D2" s="8"/>
      <c r="E2" s="8"/>
      <c r="F2" s="8"/>
      <c r="G2" s="8"/>
      <c r="H2" s="9"/>
      <c r="I2" s="9"/>
      <c r="J2" s="9"/>
      <c r="K2" s="9"/>
      <c r="L2" s="10"/>
      <c r="M2" s="11" t="s">
        <v>1</v>
      </c>
      <c r="N2" s="12"/>
    </row>
    <row r="3" spans="1:16" s="19" customFormat="1" ht="24.95" customHeight="1">
      <c r="A3" s="1"/>
      <c r="B3" s="13" t="s">
        <v>68</v>
      </c>
      <c r="C3" s="14"/>
      <c r="D3" s="14"/>
      <c r="E3" s="14"/>
      <c r="F3" s="14"/>
      <c r="G3" s="14"/>
      <c r="H3" s="14"/>
      <c r="I3" s="15"/>
      <c r="J3" s="15"/>
      <c r="K3" s="15"/>
      <c r="L3" s="16"/>
      <c r="M3" s="17">
        <v>44728</v>
      </c>
      <c r="N3" s="18"/>
    </row>
    <row r="4" spans="1:16" s="19" customFormat="1" ht="24.95" customHeight="1">
      <c r="A4" s="1"/>
      <c r="B4" s="20"/>
      <c r="C4" s="21"/>
      <c r="D4" s="21"/>
      <c r="E4" s="21"/>
      <c r="F4" s="21"/>
      <c r="G4" s="21"/>
      <c r="H4" s="21"/>
      <c r="I4" s="15"/>
      <c r="J4" s="15"/>
      <c r="K4" s="15"/>
      <c r="L4" s="16"/>
      <c r="M4" s="22"/>
      <c r="N4" s="23"/>
    </row>
    <row r="5" spans="1:16" s="30" customFormat="1" ht="45" customHeight="1">
      <c r="A5" s="24"/>
      <c r="B5" s="25" t="s">
        <v>2</v>
      </c>
      <c r="C5" s="26" t="s">
        <v>3</v>
      </c>
      <c r="D5" s="26" t="s">
        <v>4</v>
      </c>
      <c r="E5" s="26" t="s">
        <v>5</v>
      </c>
      <c r="F5" s="26" t="s">
        <v>6</v>
      </c>
      <c r="G5" s="26" t="s">
        <v>7</v>
      </c>
      <c r="H5" s="26" t="s">
        <v>8</v>
      </c>
      <c r="I5" s="26" t="s">
        <v>9</v>
      </c>
      <c r="J5" s="26" t="s">
        <v>10</v>
      </c>
      <c r="K5" s="26" t="s">
        <v>11</v>
      </c>
      <c r="L5" s="27" t="s">
        <v>12</v>
      </c>
      <c r="M5" s="28"/>
      <c r="N5" s="29"/>
    </row>
    <row r="6" spans="1:16" s="39" customFormat="1" ht="30" customHeight="1">
      <c r="A6" s="1"/>
      <c r="B6" s="31">
        <v>1</v>
      </c>
      <c r="C6" s="32" t="s">
        <v>13</v>
      </c>
      <c r="D6" s="33" t="s">
        <v>14</v>
      </c>
      <c r="E6" s="33">
        <v>1</v>
      </c>
      <c r="F6" s="34">
        <v>4060000</v>
      </c>
      <c r="G6" s="34">
        <f>+E6*F6</f>
        <v>4060000</v>
      </c>
      <c r="H6" s="35"/>
      <c r="I6" s="35">
        <f>+G6+H6</f>
        <v>4060000</v>
      </c>
      <c r="J6" s="35">
        <f>0.02*G6</f>
        <v>81200</v>
      </c>
      <c r="K6" s="35">
        <f>+I6-J6</f>
        <v>3978800</v>
      </c>
      <c r="L6" s="36"/>
      <c r="M6" s="37"/>
      <c r="N6" s="38"/>
    </row>
    <row r="7" spans="1:16" s="39" customFormat="1" ht="30" customHeight="1">
      <c r="A7" s="1"/>
      <c r="B7" s="31">
        <v>2</v>
      </c>
      <c r="C7" s="32"/>
      <c r="D7" s="33" t="s">
        <v>15</v>
      </c>
      <c r="E7" s="33">
        <v>3</v>
      </c>
      <c r="F7" s="34">
        <v>3150000</v>
      </c>
      <c r="G7" s="34">
        <f t="shared" ref="G7:G8" si="0">+E7*F7</f>
        <v>9450000</v>
      </c>
      <c r="H7" s="35"/>
      <c r="I7" s="35">
        <f t="shared" ref="I7:I8" si="1">+G7+H7</f>
        <v>9450000</v>
      </c>
      <c r="J7" s="35">
        <f>0.02*G7</f>
        <v>189000</v>
      </c>
      <c r="K7" s="35">
        <f t="shared" ref="K7" si="2">+I7-J7</f>
        <v>9261000</v>
      </c>
      <c r="L7" s="40"/>
      <c r="M7" s="41"/>
      <c r="N7" s="38"/>
    </row>
    <row r="8" spans="1:16" s="39" customFormat="1" ht="30" customHeight="1">
      <c r="A8" s="1"/>
      <c r="B8" s="31">
        <v>3</v>
      </c>
      <c r="C8" s="32"/>
      <c r="D8" s="33" t="s">
        <v>16</v>
      </c>
      <c r="E8" s="33">
        <v>1</v>
      </c>
      <c r="F8" s="34">
        <v>4990000</v>
      </c>
      <c r="G8" s="34">
        <f t="shared" si="0"/>
        <v>4990000</v>
      </c>
      <c r="H8" s="35"/>
      <c r="I8" s="35">
        <f t="shared" si="1"/>
        <v>4990000</v>
      </c>
      <c r="J8" s="35">
        <v>0</v>
      </c>
      <c r="K8" s="35">
        <f>+I8-J8</f>
        <v>4990000</v>
      </c>
      <c r="L8" s="42"/>
      <c r="M8" s="43"/>
      <c r="N8" s="38"/>
    </row>
    <row r="9" spans="1:16" s="53" customFormat="1" ht="24.95" customHeight="1">
      <c r="A9" s="44"/>
      <c r="B9" s="45" t="s">
        <v>17</v>
      </c>
      <c r="C9" s="46"/>
      <c r="D9" s="47"/>
      <c r="E9" s="47"/>
      <c r="F9" s="48"/>
      <c r="G9" s="48">
        <f>SUM(G6:G8)</f>
        <v>18500000</v>
      </c>
      <c r="H9" s="49"/>
      <c r="I9" s="49"/>
      <c r="J9" s="49"/>
      <c r="K9" s="49"/>
      <c r="L9" s="50">
        <f>SUM(K6:K8)</f>
        <v>18229800</v>
      </c>
      <c r="M9" s="51"/>
      <c r="N9" s="52"/>
    </row>
    <row r="10" spans="1:16" s="53" customFormat="1" ht="30" customHeight="1">
      <c r="A10" s="44"/>
      <c r="B10" s="54" t="s">
        <v>18</v>
      </c>
      <c r="C10" s="55"/>
      <c r="D10" s="56"/>
      <c r="E10" s="56"/>
      <c r="F10" s="57">
        <f>+L9</f>
        <v>18229800</v>
      </c>
      <c r="G10" s="57"/>
      <c r="H10" s="57"/>
      <c r="I10" s="57"/>
      <c r="J10" s="57"/>
      <c r="K10" s="57"/>
      <c r="L10" s="57"/>
      <c r="M10" s="58"/>
      <c r="N10" s="59"/>
      <c r="P10" s="53">
        <v>3229900</v>
      </c>
    </row>
    <row r="11" spans="1:16" ht="9.9499999999999993" customHeight="1">
      <c r="B11" s="60"/>
      <c r="C11" s="61"/>
      <c r="D11" s="61"/>
      <c r="E11" s="61"/>
      <c r="F11" s="62"/>
      <c r="G11" s="62"/>
      <c r="H11" s="62"/>
      <c r="I11" s="62"/>
      <c r="J11" s="62"/>
      <c r="K11" s="62"/>
      <c r="L11" s="62"/>
      <c r="M11" s="63"/>
      <c r="N11" s="64"/>
      <c r="P11" s="3">
        <f>+P10-F10</f>
        <v>-14999900</v>
      </c>
    </row>
    <row r="12" spans="1:16" ht="24.95" customHeight="1">
      <c r="B12" s="65" t="s">
        <v>19</v>
      </c>
      <c r="C12" s="66"/>
      <c r="D12" s="66"/>
      <c r="E12" s="66"/>
      <c r="F12" s="66"/>
      <c r="G12" s="66"/>
      <c r="H12" s="67"/>
      <c r="I12" s="67"/>
      <c r="J12" s="67"/>
      <c r="K12" s="67"/>
      <c r="L12" s="68"/>
      <c r="M12" s="69"/>
      <c r="N12" s="70"/>
      <c r="P12" s="3">
        <f>+P10-P11</f>
        <v>18229800</v>
      </c>
    </row>
    <row r="13" spans="1:16" ht="20.100000000000001" customHeight="1">
      <c r="B13" s="71"/>
      <c r="C13" s="72"/>
      <c r="D13" s="72"/>
      <c r="E13" s="72"/>
      <c r="F13" s="72"/>
      <c r="G13" s="73"/>
      <c r="H13" s="74"/>
      <c r="I13" s="74"/>
      <c r="J13" s="74"/>
      <c r="K13" s="74"/>
      <c r="L13" s="75"/>
      <c r="M13" s="76"/>
      <c r="N13" s="77"/>
    </row>
    <row r="14" spans="1:16" ht="20.100000000000001" customHeight="1">
      <c r="B14" s="71"/>
      <c r="C14" s="78"/>
      <c r="D14" s="78"/>
      <c r="E14" s="78"/>
      <c r="F14" s="78"/>
      <c r="G14" s="73"/>
      <c r="H14" s="79"/>
      <c r="I14" s="79"/>
      <c r="J14" s="79"/>
      <c r="K14" s="79"/>
      <c r="L14" s="80"/>
      <c r="M14" s="81"/>
      <c r="N14" s="77"/>
    </row>
    <row r="15" spans="1:16" s="90" customFormat="1" ht="23.1" customHeight="1">
      <c r="A15" s="82"/>
      <c r="B15" s="83"/>
      <c r="C15" s="84" t="s">
        <v>20</v>
      </c>
      <c r="D15" s="84"/>
      <c r="E15" s="84"/>
      <c r="F15" s="84"/>
      <c r="G15" s="85"/>
      <c r="H15" s="86"/>
      <c r="I15" s="86"/>
      <c r="J15" s="86"/>
      <c r="K15" s="86"/>
      <c r="L15" s="87">
        <f>F10</f>
        <v>18229800</v>
      </c>
      <c r="M15" s="88"/>
      <c r="N15" s="89"/>
    </row>
    <row r="16" spans="1:16" ht="9.9499999999999993" customHeight="1">
      <c r="B16" s="91"/>
      <c r="C16" s="92"/>
      <c r="D16" s="92"/>
      <c r="E16" s="92"/>
      <c r="F16" s="93"/>
      <c r="G16" s="93"/>
      <c r="H16" s="93"/>
      <c r="I16" s="93"/>
      <c r="J16" s="93"/>
      <c r="K16" s="93"/>
      <c r="L16" s="94"/>
      <c r="M16" s="95"/>
      <c r="N16" s="77"/>
    </row>
    <row r="17" spans="1:14" ht="20.100000000000001" customHeight="1">
      <c r="B17" s="96" t="s">
        <v>21</v>
      </c>
      <c r="C17" s="97"/>
      <c r="D17" s="97"/>
      <c r="E17" s="97"/>
      <c r="F17" s="97"/>
      <c r="G17" s="97"/>
      <c r="H17" s="98"/>
      <c r="I17" s="98"/>
      <c r="J17" s="98"/>
      <c r="K17" s="98"/>
      <c r="L17" s="99"/>
      <c r="M17" s="100"/>
      <c r="N17" s="70"/>
    </row>
    <row r="18" spans="1:14" ht="20.100000000000001" customHeight="1" thickBot="1">
      <c r="B18" s="101">
        <v>1</v>
      </c>
      <c r="C18" s="102" t="s">
        <v>22</v>
      </c>
      <c r="D18" s="102"/>
      <c r="E18" s="102"/>
      <c r="F18" s="102"/>
      <c r="G18" s="102"/>
      <c r="H18" s="103"/>
      <c r="I18" s="98"/>
      <c r="J18" s="98"/>
      <c r="K18" s="98"/>
      <c r="L18" s="99"/>
      <c r="M18" s="100"/>
      <c r="N18" s="70"/>
    </row>
    <row r="19" spans="1:14" ht="20.100000000000001" customHeight="1">
      <c r="B19" s="104"/>
      <c r="C19" s="105"/>
      <c r="D19" s="105"/>
      <c r="E19" s="105"/>
      <c r="F19" s="105"/>
      <c r="G19" s="105"/>
      <c r="H19" s="106"/>
      <c r="I19" s="106"/>
      <c r="J19" s="106"/>
      <c r="K19" s="106"/>
      <c r="L19" s="107"/>
      <c r="M19" s="108"/>
      <c r="N19" s="109"/>
    </row>
    <row r="20" spans="1:14" ht="20.100000000000001" customHeight="1">
      <c r="B20" s="110" t="s">
        <v>23</v>
      </c>
      <c r="C20" s="105"/>
      <c r="D20" s="105"/>
      <c r="E20" s="105"/>
      <c r="F20" s="105"/>
      <c r="G20" s="105"/>
      <c r="H20" s="106"/>
      <c r="I20" s="106"/>
      <c r="J20" s="106"/>
      <c r="K20" s="106"/>
      <c r="L20" s="111"/>
      <c r="M20" s="108"/>
      <c r="N20" s="112"/>
    </row>
    <row r="21" spans="1:14" ht="20.100000000000001" customHeight="1">
      <c r="B21" s="113" t="s">
        <v>24</v>
      </c>
      <c r="C21" s="105"/>
      <c r="D21" s="105"/>
      <c r="E21" s="105"/>
      <c r="F21" s="105"/>
      <c r="G21" s="105"/>
      <c r="H21" s="105"/>
      <c r="I21" s="105"/>
      <c r="J21" s="105"/>
      <c r="K21" s="105"/>
      <c r="L21" s="114"/>
      <c r="M21" s="100"/>
      <c r="N21" s="70"/>
    </row>
    <row r="22" spans="1:14" ht="20.100000000000001" customHeight="1">
      <c r="B22" s="115" t="s">
        <v>25</v>
      </c>
      <c r="C22" s="105"/>
      <c r="D22" s="105"/>
      <c r="E22" s="105"/>
      <c r="F22" s="105"/>
      <c r="G22" s="105"/>
      <c r="H22" s="105"/>
      <c r="I22" s="105"/>
      <c r="J22" s="105"/>
      <c r="K22" s="105"/>
      <c r="L22" s="114"/>
      <c r="M22" s="100"/>
      <c r="N22" s="70"/>
    </row>
    <row r="23" spans="1:14" ht="5.0999999999999996" customHeight="1">
      <c r="B23" s="104"/>
      <c r="C23" s="105"/>
      <c r="D23" s="105"/>
      <c r="E23" s="105"/>
      <c r="F23" s="105"/>
      <c r="G23" s="105"/>
      <c r="H23" s="105"/>
      <c r="I23" s="105"/>
      <c r="J23" s="105"/>
      <c r="K23" s="105"/>
      <c r="L23" s="114"/>
      <c r="M23" s="100"/>
      <c r="N23" s="70"/>
    </row>
    <row r="24" spans="1:14" s="122" customFormat="1" ht="35.1" customHeight="1">
      <c r="A24" s="116"/>
      <c r="B24" s="25" t="s">
        <v>26</v>
      </c>
      <c r="C24" s="117" t="s">
        <v>27</v>
      </c>
      <c r="D24" s="117"/>
      <c r="E24" s="117"/>
      <c r="F24" s="117"/>
      <c r="G24" s="118"/>
      <c r="H24" s="119" t="s">
        <v>28</v>
      </c>
      <c r="I24" s="119"/>
      <c r="J24" s="119"/>
      <c r="K24" s="119"/>
      <c r="L24" s="119"/>
      <c r="M24" s="120"/>
      <c r="N24" s="121"/>
    </row>
    <row r="25" spans="1:14" ht="20.100000000000001" customHeight="1">
      <c r="B25" s="123" t="s">
        <v>25</v>
      </c>
      <c r="C25" s="124" t="s">
        <v>29</v>
      </c>
      <c r="D25" s="124"/>
      <c r="E25" s="124"/>
      <c r="F25" s="124"/>
      <c r="G25" s="125"/>
      <c r="H25" s="126" t="s">
        <v>30</v>
      </c>
      <c r="I25" s="126"/>
      <c r="J25" s="126"/>
      <c r="K25" s="126"/>
      <c r="L25" s="126"/>
      <c r="M25" s="127"/>
      <c r="N25" s="128"/>
    </row>
    <row r="26" spans="1:14" ht="20.100000000000001" customHeight="1">
      <c r="B26" s="129"/>
      <c r="C26" s="130" t="s">
        <v>29</v>
      </c>
      <c r="D26" s="130"/>
      <c r="E26" s="130"/>
      <c r="F26" s="130"/>
      <c r="G26" s="131"/>
      <c r="H26" s="132" t="s">
        <v>31</v>
      </c>
      <c r="I26" s="132"/>
      <c r="J26" s="132"/>
      <c r="K26" s="132"/>
      <c r="L26" s="132"/>
      <c r="M26" s="133"/>
      <c r="N26" s="128"/>
    </row>
    <row r="27" spans="1:14" ht="20.100000000000001" customHeight="1">
      <c r="B27" s="129"/>
      <c r="C27" s="130" t="s">
        <v>29</v>
      </c>
      <c r="D27" s="130"/>
      <c r="E27" s="130"/>
      <c r="F27" s="130"/>
      <c r="G27" s="131"/>
      <c r="H27" s="132" t="s">
        <v>32</v>
      </c>
      <c r="I27" s="132"/>
      <c r="J27" s="132"/>
      <c r="K27" s="132"/>
      <c r="L27" s="132"/>
      <c r="M27" s="133"/>
      <c r="N27" s="128"/>
    </row>
    <row r="28" spans="1:14" ht="20.100000000000001" customHeight="1">
      <c r="B28" s="129"/>
      <c r="C28" s="130" t="s">
        <v>33</v>
      </c>
      <c r="D28" s="130"/>
      <c r="E28" s="130"/>
      <c r="F28" s="130"/>
      <c r="G28" s="131"/>
      <c r="H28" s="132" t="s">
        <v>34</v>
      </c>
      <c r="I28" s="132"/>
      <c r="J28" s="132"/>
      <c r="K28" s="132"/>
      <c r="L28" s="132"/>
      <c r="M28" s="133"/>
      <c r="N28" s="128"/>
    </row>
    <row r="29" spans="1:14" ht="20.100000000000001" customHeight="1">
      <c r="B29" s="129"/>
      <c r="C29" s="134" t="s">
        <v>33</v>
      </c>
      <c r="D29" s="134"/>
      <c r="E29" s="134"/>
      <c r="F29" s="135"/>
      <c r="G29" s="135"/>
      <c r="H29" s="132" t="s">
        <v>35</v>
      </c>
      <c r="I29" s="132"/>
      <c r="J29" s="132"/>
      <c r="K29" s="132"/>
      <c r="L29" s="132"/>
      <c r="M29" s="133"/>
      <c r="N29" s="128"/>
    </row>
    <row r="30" spans="1:14" ht="20.100000000000001" customHeight="1">
      <c r="B30" s="129"/>
      <c r="C30" s="134" t="s">
        <v>33</v>
      </c>
      <c r="D30" s="134"/>
      <c r="E30" s="134"/>
      <c r="F30" s="135"/>
      <c r="G30" s="135"/>
      <c r="H30" s="132" t="s">
        <v>36</v>
      </c>
      <c r="I30" s="132"/>
      <c r="J30" s="132"/>
      <c r="K30" s="132"/>
      <c r="L30" s="132"/>
      <c r="M30" s="133"/>
      <c r="N30" s="128"/>
    </row>
    <row r="31" spans="1:14" ht="20.100000000000001" customHeight="1">
      <c r="B31" s="129"/>
      <c r="C31" s="134" t="s">
        <v>33</v>
      </c>
      <c r="D31" s="134"/>
      <c r="E31" s="134"/>
      <c r="F31" s="135"/>
      <c r="G31" s="135"/>
      <c r="H31" s="132" t="s">
        <v>37</v>
      </c>
      <c r="I31" s="132"/>
      <c r="J31" s="132"/>
      <c r="K31" s="132"/>
      <c r="L31" s="132"/>
      <c r="M31" s="133"/>
      <c r="N31" s="128"/>
    </row>
    <row r="32" spans="1:14" ht="35.1" customHeight="1">
      <c r="B32" s="129"/>
      <c r="C32" s="134" t="s">
        <v>33</v>
      </c>
      <c r="D32" s="134"/>
      <c r="E32" s="134"/>
      <c r="F32" s="135"/>
      <c r="G32" s="135"/>
      <c r="H32" s="136" t="s">
        <v>38</v>
      </c>
      <c r="I32" s="136"/>
      <c r="J32" s="136"/>
      <c r="K32" s="136"/>
      <c r="L32" s="136"/>
      <c r="M32" s="137"/>
      <c r="N32" s="138"/>
    </row>
    <row r="33" spans="1:14" ht="20.100000000000001" customHeight="1">
      <c r="B33" s="129"/>
      <c r="C33" s="134" t="s">
        <v>33</v>
      </c>
      <c r="D33" s="134"/>
      <c r="E33" s="134"/>
      <c r="F33" s="135"/>
      <c r="G33" s="135"/>
      <c r="H33" s="132" t="s">
        <v>39</v>
      </c>
      <c r="I33" s="132"/>
      <c r="J33" s="132"/>
      <c r="K33" s="132"/>
      <c r="L33" s="132"/>
      <c r="M33" s="133"/>
      <c r="N33" s="128"/>
    </row>
    <row r="34" spans="1:14" s="5" customFormat="1" ht="20.100000000000001" customHeight="1">
      <c r="A34" s="1"/>
      <c r="B34" s="139"/>
      <c r="C34" s="140" t="s">
        <v>33</v>
      </c>
      <c r="D34" s="140"/>
      <c r="E34" s="140"/>
      <c r="F34" s="141"/>
      <c r="G34" s="141"/>
      <c r="H34" s="140" t="s">
        <v>40</v>
      </c>
      <c r="I34" s="140"/>
      <c r="J34" s="140"/>
      <c r="K34" s="140"/>
      <c r="L34" s="140"/>
      <c r="M34" s="142"/>
      <c r="N34" s="128"/>
    </row>
    <row r="35" spans="1:14" ht="20.100000000000001" customHeight="1">
      <c r="B35" s="129"/>
      <c r="C35" s="134" t="s">
        <v>33</v>
      </c>
      <c r="D35" s="134"/>
      <c r="E35" s="134"/>
      <c r="F35" s="135"/>
      <c r="G35" s="135"/>
      <c r="H35" s="132" t="s">
        <v>41</v>
      </c>
      <c r="I35" s="132"/>
      <c r="J35" s="132"/>
      <c r="K35" s="132"/>
      <c r="L35" s="132"/>
      <c r="M35" s="133"/>
      <c r="N35" s="128"/>
    </row>
    <row r="36" spans="1:14" ht="20.100000000000001" customHeight="1">
      <c r="B36" s="129"/>
      <c r="C36" s="134" t="s">
        <v>33</v>
      </c>
      <c r="D36" s="134"/>
      <c r="E36" s="134"/>
      <c r="F36" s="135"/>
      <c r="G36" s="135"/>
      <c r="H36" s="132" t="s">
        <v>42</v>
      </c>
      <c r="I36" s="132"/>
      <c r="J36" s="132"/>
      <c r="K36" s="132"/>
      <c r="L36" s="132"/>
      <c r="M36" s="133"/>
      <c r="N36" s="128"/>
    </row>
    <row r="37" spans="1:14" ht="20.100000000000001" customHeight="1">
      <c r="B37" s="129"/>
      <c r="C37" s="134" t="s">
        <v>33</v>
      </c>
      <c r="D37" s="134"/>
      <c r="E37" s="134"/>
      <c r="F37" s="135"/>
      <c r="G37" s="135"/>
      <c r="H37" s="132" t="s">
        <v>43</v>
      </c>
      <c r="I37" s="132"/>
      <c r="J37" s="132"/>
      <c r="K37" s="132"/>
      <c r="L37" s="132"/>
      <c r="M37" s="133"/>
      <c r="N37" s="128"/>
    </row>
    <row r="38" spans="1:14" ht="20.100000000000001" customHeight="1">
      <c r="B38" s="129"/>
      <c r="C38" s="134" t="s">
        <v>33</v>
      </c>
      <c r="D38" s="134"/>
      <c r="E38" s="134"/>
      <c r="F38" s="135"/>
      <c r="G38" s="135"/>
      <c r="H38" s="132" t="s">
        <v>44</v>
      </c>
      <c r="I38" s="132"/>
      <c r="J38" s="132"/>
      <c r="K38" s="132"/>
      <c r="L38" s="132"/>
      <c r="M38" s="133"/>
      <c r="N38" s="128"/>
    </row>
    <row r="39" spans="1:14" ht="20.100000000000001" customHeight="1">
      <c r="B39" s="129"/>
      <c r="C39" s="134" t="s">
        <v>33</v>
      </c>
      <c r="D39" s="134"/>
      <c r="E39" s="134"/>
      <c r="F39" s="135"/>
      <c r="G39" s="135"/>
      <c r="H39" s="132" t="s">
        <v>45</v>
      </c>
      <c r="I39" s="132"/>
      <c r="J39" s="132"/>
      <c r="K39" s="132"/>
      <c r="L39" s="132"/>
      <c r="M39" s="133"/>
      <c r="N39" s="128"/>
    </row>
    <row r="40" spans="1:14" ht="20.100000000000001" customHeight="1">
      <c r="B40" s="129"/>
      <c r="C40" s="134" t="s">
        <v>33</v>
      </c>
      <c r="D40" s="134"/>
      <c r="E40" s="134"/>
      <c r="F40" s="135"/>
      <c r="G40" s="135"/>
      <c r="H40" s="132" t="s">
        <v>46</v>
      </c>
      <c r="I40" s="132"/>
      <c r="J40" s="132"/>
      <c r="K40" s="132"/>
      <c r="L40" s="132"/>
      <c r="M40" s="133"/>
      <c r="N40" s="128"/>
    </row>
    <row r="41" spans="1:14" ht="20.100000000000001" customHeight="1">
      <c r="B41" s="129"/>
      <c r="C41" s="134" t="s">
        <v>33</v>
      </c>
      <c r="D41" s="134"/>
      <c r="E41" s="134"/>
      <c r="F41" s="135"/>
      <c r="G41" s="135"/>
      <c r="H41" s="132" t="s">
        <v>47</v>
      </c>
      <c r="I41" s="132"/>
      <c r="J41" s="132"/>
      <c r="K41" s="132"/>
      <c r="L41" s="132"/>
      <c r="M41" s="133"/>
      <c r="N41" s="128"/>
    </row>
    <row r="42" spans="1:14" ht="20.100000000000001" customHeight="1">
      <c r="B42" s="143"/>
      <c r="C42" s="134" t="s">
        <v>33</v>
      </c>
      <c r="D42" s="134"/>
      <c r="E42" s="134"/>
      <c r="F42" s="135"/>
      <c r="G42" s="135"/>
      <c r="H42" s="132" t="s">
        <v>48</v>
      </c>
      <c r="I42" s="132"/>
      <c r="J42" s="132"/>
      <c r="K42" s="132"/>
      <c r="L42" s="132"/>
      <c r="M42" s="133"/>
      <c r="N42" s="128"/>
    </row>
    <row r="43" spans="1:14" ht="20.100000000000001" customHeight="1">
      <c r="B43" s="129"/>
      <c r="C43" s="134" t="s">
        <v>33</v>
      </c>
      <c r="D43" s="134"/>
      <c r="E43" s="134"/>
      <c r="F43" s="135"/>
      <c r="G43" s="135"/>
      <c r="H43" s="132" t="s">
        <v>49</v>
      </c>
      <c r="I43" s="132"/>
      <c r="J43" s="132"/>
      <c r="K43" s="132"/>
      <c r="L43" s="132"/>
      <c r="M43" s="133"/>
      <c r="N43" s="128"/>
    </row>
    <row r="44" spans="1:14" ht="20.100000000000001" customHeight="1">
      <c r="B44" s="129"/>
      <c r="C44" s="134" t="s">
        <v>33</v>
      </c>
      <c r="D44" s="134"/>
      <c r="E44" s="134"/>
      <c r="F44" s="135"/>
      <c r="G44" s="135"/>
      <c r="H44" s="132" t="s">
        <v>50</v>
      </c>
      <c r="I44" s="132"/>
      <c r="J44" s="132"/>
      <c r="K44" s="132"/>
      <c r="L44" s="132"/>
      <c r="M44" s="133"/>
      <c r="N44" s="128"/>
    </row>
    <row r="45" spans="1:14" ht="20.100000000000001" customHeight="1">
      <c r="B45" s="129"/>
      <c r="C45" s="134" t="s">
        <v>33</v>
      </c>
      <c r="D45" s="134"/>
      <c r="E45" s="134"/>
      <c r="F45" s="135"/>
      <c r="G45" s="135"/>
      <c r="H45" s="132" t="s">
        <v>51</v>
      </c>
      <c r="I45" s="132"/>
      <c r="J45" s="132"/>
      <c r="K45" s="132"/>
      <c r="L45" s="132"/>
      <c r="M45" s="133"/>
      <c r="N45" s="128"/>
    </row>
    <row r="46" spans="1:14" ht="20.100000000000001" customHeight="1">
      <c r="B46" s="129"/>
      <c r="C46" s="134" t="s">
        <v>33</v>
      </c>
      <c r="D46" s="134"/>
      <c r="E46" s="134"/>
      <c r="F46" s="135"/>
      <c r="G46" s="135"/>
      <c r="H46" s="132" t="s">
        <v>52</v>
      </c>
      <c r="I46" s="132"/>
      <c r="J46" s="132"/>
      <c r="K46" s="132"/>
      <c r="L46" s="132"/>
      <c r="M46" s="133"/>
      <c r="N46" s="128"/>
    </row>
    <row r="47" spans="1:14" ht="20.100000000000001" customHeight="1">
      <c r="B47" s="129"/>
      <c r="C47" s="134" t="s">
        <v>33</v>
      </c>
      <c r="D47" s="134"/>
      <c r="E47" s="134"/>
      <c r="F47" s="135"/>
      <c r="G47" s="135"/>
      <c r="H47" s="132" t="s">
        <v>53</v>
      </c>
      <c r="I47" s="132"/>
      <c r="J47" s="132"/>
      <c r="K47" s="132"/>
      <c r="L47" s="132"/>
      <c r="M47" s="133"/>
      <c r="N47" s="128"/>
    </row>
    <row r="48" spans="1:14" ht="20.100000000000001" customHeight="1">
      <c r="B48" s="129"/>
      <c r="C48" s="134" t="s">
        <v>33</v>
      </c>
      <c r="D48" s="134"/>
      <c r="E48" s="134"/>
      <c r="F48" s="135"/>
      <c r="G48" s="135"/>
      <c r="H48" s="132" t="s">
        <v>54</v>
      </c>
      <c r="I48" s="132"/>
      <c r="J48" s="132"/>
      <c r="K48" s="132"/>
      <c r="L48" s="132"/>
      <c r="M48" s="133"/>
      <c r="N48" s="128"/>
    </row>
    <row r="49" spans="1:14" ht="20.100000000000001" customHeight="1">
      <c r="B49" s="129"/>
      <c r="C49" s="134" t="s">
        <v>33</v>
      </c>
      <c r="D49" s="134"/>
      <c r="E49" s="134"/>
      <c r="F49" s="135"/>
      <c r="G49" s="135"/>
      <c r="H49" s="132" t="s">
        <v>55</v>
      </c>
      <c r="I49" s="132"/>
      <c r="J49" s="132"/>
      <c r="K49" s="132"/>
      <c r="L49" s="132"/>
      <c r="M49" s="133"/>
      <c r="N49" s="128"/>
    </row>
    <row r="50" spans="1:14" ht="20.100000000000001" customHeight="1">
      <c r="B50" s="129"/>
      <c r="C50" s="134" t="s">
        <v>33</v>
      </c>
      <c r="D50" s="134"/>
      <c r="E50" s="134"/>
      <c r="F50" s="135"/>
      <c r="G50" s="135"/>
      <c r="H50" s="132" t="s">
        <v>56</v>
      </c>
      <c r="I50" s="132"/>
      <c r="J50" s="132"/>
      <c r="K50" s="132"/>
      <c r="L50" s="132"/>
      <c r="M50" s="133"/>
      <c r="N50" s="128"/>
    </row>
    <row r="51" spans="1:14" ht="20.100000000000001" customHeight="1">
      <c r="B51" s="129"/>
      <c r="C51" s="134" t="s">
        <v>33</v>
      </c>
      <c r="D51" s="134"/>
      <c r="E51" s="134"/>
      <c r="F51" s="135"/>
      <c r="G51" s="135"/>
      <c r="H51" s="132" t="s">
        <v>57</v>
      </c>
      <c r="I51" s="132"/>
      <c r="J51" s="132"/>
      <c r="K51" s="132"/>
      <c r="L51" s="132"/>
      <c r="M51" s="133"/>
      <c r="N51" s="128"/>
    </row>
    <row r="52" spans="1:14" ht="20.100000000000001" customHeight="1">
      <c r="B52" s="129"/>
      <c r="C52" s="134" t="s">
        <v>33</v>
      </c>
      <c r="D52" s="134"/>
      <c r="E52" s="134"/>
      <c r="F52" s="135"/>
      <c r="G52" s="135"/>
      <c r="H52" s="132" t="s">
        <v>58</v>
      </c>
      <c r="I52" s="132"/>
      <c r="J52" s="132"/>
      <c r="K52" s="132"/>
      <c r="L52" s="132"/>
      <c r="M52" s="133"/>
      <c r="N52" s="128"/>
    </row>
    <row r="53" spans="1:14" ht="20.100000000000001" customHeight="1">
      <c r="B53" s="129"/>
      <c r="C53" s="134" t="s">
        <v>33</v>
      </c>
      <c r="D53" s="134"/>
      <c r="E53" s="134"/>
      <c r="F53" s="135"/>
      <c r="G53" s="135"/>
      <c r="H53" s="132" t="s">
        <v>59</v>
      </c>
      <c r="I53" s="132"/>
      <c r="J53" s="132"/>
      <c r="K53" s="132"/>
      <c r="L53" s="132"/>
      <c r="M53" s="133"/>
      <c r="N53" s="128"/>
    </row>
    <row r="54" spans="1:14" ht="20.100000000000001" customHeight="1">
      <c r="B54" s="129"/>
      <c r="C54" s="134" t="s">
        <v>33</v>
      </c>
      <c r="D54" s="134"/>
      <c r="E54" s="134"/>
      <c r="F54" s="135"/>
      <c r="G54" s="135"/>
      <c r="H54" s="132" t="s">
        <v>60</v>
      </c>
      <c r="I54" s="132"/>
      <c r="J54" s="132"/>
      <c r="K54" s="132"/>
      <c r="L54" s="132"/>
      <c r="M54" s="133"/>
      <c r="N54" s="128"/>
    </row>
    <row r="55" spans="1:14" ht="20.100000000000001" customHeight="1">
      <c r="B55" s="129"/>
      <c r="C55" s="134" t="s">
        <v>33</v>
      </c>
      <c r="D55" s="134"/>
      <c r="E55" s="134"/>
      <c r="F55" s="135"/>
      <c r="G55" s="135"/>
      <c r="H55" s="132" t="s">
        <v>61</v>
      </c>
      <c r="I55" s="132"/>
      <c r="J55" s="132"/>
      <c r="K55" s="132"/>
      <c r="L55" s="132"/>
      <c r="M55" s="133"/>
      <c r="N55" s="128"/>
    </row>
    <row r="56" spans="1:14" ht="20.100000000000001" customHeight="1">
      <c r="B56" s="129"/>
      <c r="C56" s="134" t="s">
        <v>33</v>
      </c>
      <c r="D56" s="134"/>
      <c r="E56" s="134"/>
      <c r="F56" s="135"/>
      <c r="G56" s="135"/>
      <c r="H56" s="136" t="s">
        <v>62</v>
      </c>
      <c r="I56" s="136"/>
      <c r="J56" s="136"/>
      <c r="K56" s="136"/>
      <c r="L56" s="136"/>
      <c r="M56" s="137"/>
      <c r="N56" s="138"/>
    </row>
    <row r="57" spans="1:14" ht="20.100000000000001" customHeight="1">
      <c r="B57" s="129"/>
      <c r="C57" s="134" t="s">
        <v>33</v>
      </c>
      <c r="D57" s="134"/>
      <c r="E57" s="134"/>
      <c r="F57" s="135"/>
      <c r="G57" s="135"/>
      <c r="H57" s="132" t="s">
        <v>63</v>
      </c>
      <c r="I57" s="132"/>
      <c r="J57" s="132"/>
      <c r="K57" s="132"/>
      <c r="L57" s="132"/>
      <c r="M57" s="133"/>
      <c r="N57" s="128"/>
    </row>
    <row r="58" spans="1:14" ht="20.100000000000001" customHeight="1">
      <c r="B58" s="129"/>
      <c r="C58" s="134" t="s">
        <v>33</v>
      </c>
      <c r="D58" s="134"/>
      <c r="E58" s="134"/>
      <c r="F58" s="135"/>
      <c r="G58" s="135"/>
      <c r="H58" s="132" t="s">
        <v>64</v>
      </c>
      <c r="I58" s="132"/>
      <c r="J58" s="132"/>
      <c r="K58" s="132"/>
      <c r="L58" s="132"/>
      <c r="M58" s="133"/>
      <c r="N58" s="128"/>
    </row>
    <row r="59" spans="1:14" ht="20.100000000000001" customHeight="1">
      <c r="B59" s="129"/>
      <c r="C59" s="134" t="s">
        <v>33</v>
      </c>
      <c r="D59" s="134"/>
      <c r="E59" s="134"/>
      <c r="F59" s="135"/>
      <c r="G59" s="135"/>
      <c r="H59" s="132" t="s">
        <v>65</v>
      </c>
      <c r="I59" s="132"/>
      <c r="J59" s="132"/>
      <c r="K59" s="132"/>
      <c r="L59" s="132"/>
      <c r="M59" s="133"/>
      <c r="N59" s="128"/>
    </row>
    <row r="60" spans="1:14" ht="20.100000000000001" customHeight="1">
      <c r="B60" s="144"/>
      <c r="C60" s="134" t="s">
        <v>33</v>
      </c>
      <c r="D60" s="134"/>
      <c r="E60" s="134"/>
      <c r="F60" s="135"/>
      <c r="G60" s="135"/>
      <c r="H60" s="132" t="s">
        <v>66</v>
      </c>
      <c r="I60" s="132"/>
      <c r="J60" s="132"/>
      <c r="K60" s="132"/>
      <c r="L60" s="132"/>
      <c r="M60" s="133"/>
      <c r="N60" s="128"/>
    </row>
    <row r="61" spans="1:14" ht="20.100000000000001" customHeight="1">
      <c r="B61" s="145"/>
      <c r="C61" s="134" t="s">
        <v>33</v>
      </c>
      <c r="D61" s="134"/>
      <c r="E61" s="134"/>
      <c r="F61" s="135"/>
      <c r="G61" s="135"/>
      <c r="H61" s="132" t="s">
        <v>67</v>
      </c>
      <c r="I61" s="132"/>
      <c r="J61" s="132"/>
      <c r="K61" s="132"/>
      <c r="L61" s="132"/>
      <c r="M61" s="133"/>
      <c r="N61" s="128"/>
    </row>
    <row r="62" spans="1:14" ht="15" customHeight="1" thickBot="1">
      <c r="B62" s="146"/>
      <c r="C62" s="147"/>
      <c r="D62" s="147"/>
      <c r="E62" s="147"/>
      <c r="F62" s="147"/>
      <c r="G62" s="147"/>
      <c r="M62" s="147"/>
      <c r="N62" s="148"/>
    </row>
    <row r="63" spans="1:14" s="152" customFormat="1">
      <c r="A63" s="149"/>
      <c r="B63" s="150"/>
      <c r="C63" s="151"/>
      <c r="D63" s="151"/>
      <c r="E63" s="151"/>
      <c r="F63" s="151"/>
      <c r="G63" s="151"/>
      <c r="L63" s="153"/>
      <c r="M63" s="151"/>
      <c r="N63" s="154"/>
    </row>
  </sheetData>
  <mergeCells count="22">
    <mergeCell ref="C27:F27"/>
    <mergeCell ref="C28:F28"/>
    <mergeCell ref="H32:M32"/>
    <mergeCell ref="H56:M56"/>
    <mergeCell ref="C15:F15"/>
    <mergeCell ref="L15:M15"/>
    <mergeCell ref="C24:F24"/>
    <mergeCell ref="H24:M24"/>
    <mergeCell ref="C25:F25"/>
    <mergeCell ref="C26:F26"/>
    <mergeCell ref="B10:C10"/>
    <mergeCell ref="F10:M10"/>
    <mergeCell ref="C13:F13"/>
    <mergeCell ref="L13:M13"/>
    <mergeCell ref="C14:F14"/>
    <mergeCell ref="L14:M14"/>
    <mergeCell ref="B3:H4"/>
    <mergeCell ref="L5:M5"/>
    <mergeCell ref="C6:C8"/>
    <mergeCell ref="L6:M8"/>
    <mergeCell ref="B9:C9"/>
    <mergeCell ref="L9:M9"/>
  </mergeCells>
  <printOptions horizontalCentered="1"/>
  <pageMargins left="0.19685039370078741" right="0.19685039370078741" top="0" bottom="0" header="0" footer="0"/>
  <pageSetup paperSize="9" scale="4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INHOUSE KLINIK JUL 2022</vt:lpstr>
      <vt:lpstr>'INHOUSE KLINIK JUL 2022'!Print_Area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GA-03</dc:creator>
  <cp:lastModifiedBy>GA-03</cp:lastModifiedBy>
  <dcterms:created xsi:type="dcterms:W3CDTF">2022-06-21T01:02:25Z</dcterms:created>
  <dcterms:modified xsi:type="dcterms:W3CDTF">2022-06-21T01:03:41Z</dcterms:modified>
</cp:coreProperties>
</file>