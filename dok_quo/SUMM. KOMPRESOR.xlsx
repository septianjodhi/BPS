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ATANE LP BPI\TERM 83\ALL DEPT\INVEST TERM 83\SEPTEMBER INVEST\3. KOMPRESOR\terbaru tyangki 5000\"/>
    </mc:Choice>
  </mc:AlternateContent>
  <bookViews>
    <workbookView xWindow="0" yWindow="0" windowWidth="28845" windowHeight="11550"/>
  </bookViews>
  <sheets>
    <sheet name="UNIT" sheetId="3" r:id="rId1"/>
    <sheet name="JASA" sheetId="1" r:id="rId2"/>
    <sheet name="Sheet1" sheetId="2" r:id="rId3"/>
  </sheets>
  <definedNames>
    <definedName name="_xlnm.Print_Area" localSheetId="1">JASA!$A$1:$U$87</definedName>
    <definedName name="_xlnm.Print_Area" localSheetId="2">Sheet1!$A$1:$F$22</definedName>
    <definedName name="_xlnm.Print_Area" localSheetId="0">UNIT!$A$1:$U$86</definedName>
    <definedName name="SUMMARY" localSheetId="1">#REF!</definedName>
    <definedName name="SUMMARY" localSheetId="0">#REF!</definedName>
    <definedName name="SUMMARY">#REF!</definedName>
    <definedName name="Tbl_master" localSheetId="1">#REF!</definedName>
    <definedName name="Tbl_master" localSheetId="0">#REF!</definedName>
    <definedName name="Tbl_maste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2" l="1"/>
  <c r="Q49" i="1"/>
  <c r="Q48" i="3"/>
  <c r="E21" i="2"/>
  <c r="F10" i="2"/>
  <c r="F22" i="2"/>
  <c r="F25" i="2" s="1"/>
  <c r="D22" i="2"/>
  <c r="C22" i="2"/>
  <c r="D10" i="2"/>
  <c r="I48" i="3"/>
  <c r="L46" i="3"/>
  <c r="M48" i="3"/>
  <c r="E48" i="3"/>
  <c r="L43" i="3"/>
  <c r="P43" i="3"/>
  <c r="T43" i="3"/>
  <c r="E49" i="1" l="1"/>
  <c r="I49" i="1"/>
  <c r="L47" i="1"/>
  <c r="S42" i="3"/>
  <c r="T42" i="3" s="1"/>
  <c r="T44" i="3" s="1"/>
  <c r="T45" i="3" s="1"/>
  <c r="O42" i="3"/>
  <c r="P42" i="3" s="1"/>
  <c r="P44" i="3" s="1"/>
  <c r="P45" i="3" s="1"/>
  <c r="K42" i="3"/>
  <c r="L42" i="3" s="1"/>
  <c r="G42" i="3"/>
  <c r="H42" i="3" s="1"/>
  <c r="T41" i="3"/>
  <c r="P41" i="3"/>
  <c r="L41" i="3"/>
  <c r="H41" i="3"/>
  <c r="L44" i="3" l="1"/>
  <c r="H44" i="3"/>
  <c r="H45" i="3" s="1"/>
  <c r="F36" i="2"/>
  <c r="F37" i="2" s="1"/>
  <c r="S43" i="1"/>
  <c r="T43" i="1" s="1"/>
  <c r="O44" i="1"/>
  <c r="P44" i="1" s="1"/>
  <c r="O43" i="1" l="1"/>
  <c r="P43" i="1" l="1"/>
  <c r="T44" i="1" l="1"/>
  <c r="T41" i="1"/>
  <c r="T42" i="1"/>
  <c r="P42" i="1"/>
  <c r="O41" i="1"/>
  <c r="P41" i="1" s="1"/>
  <c r="P45" i="1" s="1"/>
  <c r="P46" i="1" s="1"/>
  <c r="T45" i="1" l="1"/>
  <c r="T46" i="1" s="1"/>
  <c r="L41" i="1"/>
  <c r="L45" i="1" s="1"/>
  <c r="G43" i="1"/>
  <c r="H43" i="1" s="1"/>
  <c r="H41" i="1"/>
  <c r="H42" i="1"/>
  <c r="H45" i="1" l="1"/>
  <c r="H47" i="1"/>
  <c r="E22" i="2" l="1"/>
  <c r="E24" i="2"/>
</calcChain>
</file>

<file path=xl/sharedStrings.xml><?xml version="1.0" encoding="utf-8"?>
<sst xmlns="http://schemas.openxmlformats.org/spreadsheetml/2006/main" count="677" uniqueCount="186">
  <si>
    <t>PT.SEMARANG AUTOCOMP MANUFACTURING INDONESIA</t>
  </si>
  <si>
    <t>CHECKSHEET/FORM</t>
  </si>
  <si>
    <t>NO. DOKUMEN</t>
  </si>
  <si>
    <t>: 019/PGA/GA/FORM/SPS/REV.3/V/2021</t>
  </si>
  <si>
    <t>APPROVED</t>
  </si>
  <si>
    <t>CHECKED</t>
  </si>
  <si>
    <t>PREPARED</t>
  </si>
  <si>
    <t>FORM SUMMARY PERBANDINGAN HARGA SUPPLIER</t>
  </si>
  <si>
    <t>REVISI</t>
  </si>
  <si>
    <t>: 5</t>
  </si>
  <si>
    <t>TANGGAL</t>
  </si>
  <si>
    <t>: 21 September 2021</t>
  </si>
  <si>
    <t>HALAMAN</t>
  </si>
  <si>
    <t>: 1</t>
  </si>
  <si>
    <t>MASA BERLAKU</t>
  </si>
  <si>
    <t>: 20 September 2021</t>
  </si>
  <si>
    <t>AWI</t>
  </si>
  <si>
    <t>FYH</t>
  </si>
  <si>
    <t>BPI</t>
  </si>
  <si>
    <t>Wais</t>
  </si>
  <si>
    <t xml:space="preserve">Permintaan User </t>
  </si>
  <si>
    <t>Tujuan Permintaan</t>
  </si>
  <si>
    <r>
      <t>Kategori Yang Ditawarkan (</t>
    </r>
    <r>
      <rPr>
        <b/>
        <sz val="18"/>
        <color indexed="8"/>
        <rFont val="Calibri"/>
        <family val="2"/>
      </rPr>
      <t>√)</t>
    </r>
  </si>
  <si>
    <t xml:space="preserve">Tempat </t>
  </si>
  <si>
    <t>Barang</t>
  </si>
  <si>
    <t>Pekerjaan</t>
  </si>
  <si>
    <t>Tanggal</t>
  </si>
  <si>
    <t>√</t>
  </si>
  <si>
    <t>NO.</t>
  </si>
  <si>
    <t>ITEM</t>
  </si>
  <si>
    <t>VENDOR I</t>
  </si>
  <si>
    <t>VENDOR II</t>
  </si>
  <si>
    <t>VENDOR III</t>
  </si>
  <si>
    <t>VENDOR IV</t>
  </si>
  <si>
    <t>DATA PERUSAHAAN</t>
  </si>
  <si>
    <t>Nama Perusahaan/Vendor</t>
  </si>
  <si>
    <t>Alamat/Lokasi Perusahaan</t>
  </si>
  <si>
    <t>Contact Person</t>
  </si>
  <si>
    <t>Nama Pic</t>
  </si>
  <si>
    <t>Email</t>
  </si>
  <si>
    <t>No. Tlp/Hp</t>
  </si>
  <si>
    <t>STATUS REGISTER SUPPLIER</t>
  </si>
  <si>
    <t>LEGALITAS</t>
  </si>
  <si>
    <t>a. NPWP Badan Usaha</t>
  </si>
  <si>
    <t>b. NIB OSS RBA</t>
  </si>
  <si>
    <t>c. KTP Direktur</t>
  </si>
  <si>
    <t>d. SPPKP(Surat Pengukuhan Pengusaha Kena Pajak)</t>
  </si>
  <si>
    <t>e. Scan Akte Pendirian + Scan Kemenkumham</t>
  </si>
  <si>
    <t>f. Scan Akte Perubahan + Scan Kemenkumham(Jika Ada)</t>
  </si>
  <si>
    <t>g. MSDS(Jika Mengirimkan Barang yang mengandung B3)</t>
  </si>
  <si>
    <t>h. SKA (Sertifikat Keahlian)</t>
  </si>
  <si>
    <t>x</t>
  </si>
  <si>
    <t>i. IPTB (Izin Pelaku Teknis Bangunan)</t>
  </si>
  <si>
    <t>SPESIFIKASI YANG DIMINTA USER :</t>
  </si>
  <si>
    <t>MENGETAHUI USER</t>
  </si>
  <si>
    <t>NAMA:</t>
  </si>
  <si>
    <t>DATE:</t>
  </si>
  <si>
    <t>HARGA</t>
  </si>
  <si>
    <t>a. Barang</t>
  </si>
  <si>
    <t>JENIS,QTY &amp; HARGA</t>
  </si>
  <si>
    <t>JENIS</t>
  </si>
  <si>
    <t>QTY</t>
  </si>
  <si>
    <t>TOTAL</t>
  </si>
  <si>
    <t>UNIT</t>
  </si>
  <si>
    <t>Sub Total</t>
  </si>
  <si>
    <t>b. Jasa</t>
  </si>
  <si>
    <t>Total Keseluruhan</t>
  </si>
  <si>
    <t>NEGO 1</t>
  </si>
  <si>
    <t>NEGO 2</t>
  </si>
  <si>
    <t xml:space="preserve">NET </t>
  </si>
  <si>
    <t>TAHAP PEMBAYARAN</t>
  </si>
  <si>
    <t>a. Tahap pertama(DP)</t>
  </si>
  <si>
    <t>X</t>
  </si>
  <si>
    <t>b. Tahap kedua</t>
  </si>
  <si>
    <t>c. Tahap ketiga</t>
  </si>
  <si>
    <t>d. Tempo 30 Hari</t>
  </si>
  <si>
    <t>DELIVERY/JANGKA WAKTU PROSES</t>
  </si>
  <si>
    <t>RUANG LINGKUP PEKERJAAN</t>
  </si>
  <si>
    <t>a. Pengadaan Barang kebutuhan building</t>
  </si>
  <si>
    <t>b. Pengadaan Barang-barang kebutuhan elektrikal</t>
  </si>
  <si>
    <t>GARANSI</t>
  </si>
  <si>
    <t>Unit Barang</t>
  </si>
  <si>
    <t>Jasa Pekerjaan</t>
  </si>
  <si>
    <t>STATUS BARANG</t>
  </si>
  <si>
    <t>KATEGORI KERJASAMA(√)</t>
  </si>
  <si>
    <t>Dengan Kontrak</t>
  </si>
  <si>
    <t>Tanpa Kontrak</t>
  </si>
  <si>
    <t>CHECK LIST INTERVIEW</t>
  </si>
  <si>
    <t>YA/TIDAK(KETERANGAN)</t>
  </si>
  <si>
    <t>a. Apakah Anda Karyawan PT. SAMI ?</t>
  </si>
  <si>
    <t>Tidak</t>
  </si>
  <si>
    <t>b. Apakah Ada Hubungan Keluarga dengan Purchasing?</t>
  </si>
  <si>
    <t>c. Apakah Ada Hubungan Keluarga dengan Pejabat Setempat?</t>
  </si>
  <si>
    <t>d. Apakah Perusahaan anda saat ini bermasalah dengan Hukum?</t>
  </si>
  <si>
    <t>e. Hasil pekerjaan sebelumnya direkomendasikan/tidak ?</t>
  </si>
  <si>
    <t>Ya</t>
  </si>
  <si>
    <t>f. Apakah Perusahaan anda rutin melaporkan pajak?</t>
  </si>
  <si>
    <t>g. Jawaban yang anda Berikan ini Jujur?</t>
  </si>
  <si>
    <t xml:space="preserve">APPROVED
</t>
  </si>
  <si>
    <t>SPV LP</t>
  </si>
  <si>
    <t>MGR</t>
  </si>
  <si>
    <t>NB : Approve untuk Supplier yang dipilih</t>
  </si>
  <si>
    <t xml:space="preserve">NOTE :  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</si>
  <si>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</si>
  <si>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t xml:space="preserve">Referensi Prosedur/WI/OS/IS/ : 
</t>
    </r>
    <r>
      <rPr>
        <sz val="11"/>
        <color theme="1"/>
        <rFont val="Calibri"/>
        <family val="2"/>
        <charset val="1"/>
        <scheme val="minor"/>
      </rPr>
      <t>- OP-SMN-P.02 : Prosedur Pengadaan Barang &amp; Jasa</t>
    </r>
  </si>
  <si>
    <t>Penambahan history negosiasi</t>
  </si>
  <si>
    <t>New Format</t>
  </si>
  <si>
    <t>Renny</t>
  </si>
  <si>
    <t>Perubahan isi</t>
  </si>
  <si>
    <t>New Release</t>
  </si>
  <si>
    <t>REV.</t>
  </si>
  <si>
    <t>ISI PERUBAHAN</t>
  </si>
  <si>
    <t>PIC</t>
  </si>
  <si>
    <t>REVIEW</t>
  </si>
  <si>
    <t>:KOMPRESOR</t>
  </si>
  <si>
    <t>:PENGADAAN KOMPRESOR UNIT</t>
  </si>
  <si>
    <t>PT. DELTA SINERGI SEKAWAN</t>
  </si>
  <si>
    <t>PT. CITRA AIRINDO ABADI</t>
  </si>
  <si>
    <t>PT. ASAHI SYNCHROTECH INDONESIA</t>
  </si>
  <si>
    <t>PT. TAIYO SINAR RAYA TEKNIK</t>
  </si>
  <si>
    <t>JL. JEND S PARMAN PALMERAH JAKARTA BARAT</t>
  </si>
  <si>
    <t>TAMANSARI MAJAPAHIT BLOK B1 NO. 3A PEDURUNGAN</t>
  </si>
  <si>
    <t>JL. JEND. SUDIRMAN KAV 3 JAKARTA</t>
  </si>
  <si>
    <t>Jl. Jend. Sudirman No. 5 RT. 5/RW 3 Senayan</t>
  </si>
  <si>
    <t>BP. KELVIN</t>
  </si>
  <si>
    <t>BP. WEBAS</t>
  </si>
  <si>
    <t>BP. SULAM</t>
  </si>
  <si>
    <t>BP. AGUNG</t>
  </si>
  <si>
    <t>kelvin@deltasinergi.co.id</t>
  </si>
  <si>
    <t>sales.smg1.ac@thecitragroup.com</t>
  </si>
  <si>
    <t>web@synchrotech.co.id</t>
  </si>
  <si>
    <t>agungwijaya@tsrt.co.id</t>
  </si>
  <si>
    <t>081311661747</t>
  </si>
  <si>
    <t>02246733097</t>
  </si>
  <si>
    <t>021-5724011</t>
  </si>
  <si>
    <t>021 5253400</t>
  </si>
  <si>
    <t>Terdaftar No. 276</t>
  </si>
  <si>
    <t>Terdaftar No. 263</t>
  </si>
  <si>
    <t>Terdaftar No. 287</t>
  </si>
  <si>
    <t>Terdaftar No. 190</t>
  </si>
  <si>
    <t>AIR DRYER HAS-150A5</t>
  </si>
  <si>
    <t>KOMPRESOR HITACHI 110KW</t>
  </si>
  <si>
    <t xml:space="preserve"> - UNIT KOMPRESOR 110 KW</t>
  </si>
  <si>
    <t xml:space="preserve"> - AIR DRYER HAS-150A5</t>
  </si>
  <si>
    <t xml:space="preserve"> - INSTALASI PIPA DIDALAM RUANGAN KOMPRESOR</t>
  </si>
  <si>
    <t>LOT</t>
  </si>
  <si>
    <t xml:space="preserve"> - INSTALASI KABEL DIDALAM RUANGAN KOMPRESOR</t>
  </si>
  <si>
    <t xml:space="preserve"> - INSTALASI PIPA KE TANGKI</t>
  </si>
  <si>
    <t>SUDAH TERMASUK DI INSTALASI</t>
  </si>
  <si>
    <t xml:space="preserve"> - BIAYA  TENAGA KERJA &amp; BIAYA OPERASIONAL</t>
  </si>
  <si>
    <t>c. Pengadaan Jasa Maintenance Building dan Kompresor</t>
  </si>
  <si>
    <t>1 TAHUN</t>
  </si>
  <si>
    <t>BIAYA SUDAH TERMASUK</t>
  </si>
  <si>
    <t>PT. SEMARANG AUTOCOMP MANUFACTURING INDONESIA</t>
  </si>
  <si>
    <t>RINCIAN PERHITUNGAN PEKERJAAN KOMPRESOR</t>
  </si>
  <si>
    <t>NO</t>
  </si>
  <si>
    <t>DESCRIPTION</t>
  </si>
  <si>
    <t>MATERIAL</t>
  </si>
  <si>
    <t xml:space="preserve"> - UNIT KOMPRESOR</t>
  </si>
  <si>
    <t xml:space="preserve"> - UNIT DRYER</t>
  </si>
  <si>
    <t xml:space="preserve"> - JASA KONTRUKSI PEMINDAHAN UNIT LAMA</t>
  </si>
  <si>
    <t xml:space="preserve"> - JASA INSTALASI PIPA DALAM</t>
  </si>
  <si>
    <t xml:space="preserve"> - JASA INSTALASI PIPA KE TANGKI</t>
  </si>
  <si>
    <t xml:space="preserve"> - JASA INSTALASI KABEL DALAM KOMPRESOR</t>
  </si>
  <si>
    <t>PT. TAIYO SINAR RAYA TEKNISI</t>
  </si>
  <si>
    <t xml:space="preserve"> - MATERIAL KABEL PANEL</t>
  </si>
  <si>
    <t>V</t>
  </si>
  <si>
    <t xml:space="preserve"> - JASA KONSTRUKSI DUDUKAN TANGKI</t>
  </si>
  <si>
    <t>INDENT UNIT 5 - 6 BULAN</t>
  </si>
  <si>
    <t>6 BULAN</t>
  </si>
  <si>
    <t>INDENT</t>
  </si>
  <si>
    <t xml:space="preserve"> - MATERIAL PIPA DALAM DAN KEARAH TANGKI</t>
  </si>
  <si>
    <t xml:space="preserve"> - PIPA GALVANIS 4"</t>
  </si>
  <si>
    <t xml:space="preserve"> - TANGKI 5000LITER</t>
  </si>
  <si>
    <t>TANGKI 5000LITER</t>
  </si>
  <si>
    <t>:20 SEPTEMBER 2023</t>
  </si>
  <si>
    <t xml:space="preserve"> - UNIT TANGKI 5000</t>
  </si>
  <si>
    <t>HARGA UNIT KOMPRESOR,DRYER &amp; TANGKI</t>
  </si>
  <si>
    <t>HARGA JASA INSTALASI(MATERIAL PIPA &amp; KABEL)</t>
  </si>
  <si>
    <t>MATERIAL &amp; JASA INSTALASI</t>
  </si>
  <si>
    <t>NET HARGA</t>
  </si>
  <si>
    <t>:INSTALASI ROOM KOMPRESOR</t>
  </si>
  <si>
    <t>INSTALASI PIPA DIDALAM RUANGAN KOMPRESOR</t>
  </si>
  <si>
    <t>INSTALASI KABEL DIDALAM RUANGAN KOMPRESOR</t>
  </si>
  <si>
    <t>TOTAL HARGA</t>
  </si>
  <si>
    <t>INSTALASI PIPA KE TANGKI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</si>
</sst>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5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8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0"/>
      <color rgb="FF0000CC"/>
      <name val="Comic Sans MS"/>
      <family val="4"/>
    </font>
    <font>
      <sz val="12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b/>
      <sz val="20"/>
      <color theme="1"/>
      <name val="Arial"/>
      <family val="2"/>
    </font>
    <font>
      <i/>
      <sz val="20"/>
      <name val="Calibri"/>
      <family val="2"/>
      <scheme val="minor"/>
    </font>
    <font>
      <b/>
      <u/>
      <sz val="20"/>
      <name val="Arial"/>
      <family val="2"/>
    </font>
    <font>
      <b/>
      <u/>
      <sz val="12"/>
      <name val="Arial"/>
      <family val="2"/>
    </font>
    <font>
      <sz val="20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"/>
      <name val="Arial"/>
      <family val="2"/>
    </font>
    <font>
      <i/>
      <sz val="20"/>
      <color rgb="FF0000FF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  <font>
      <b/>
      <sz val="12"/>
      <color rgb="FFF1C232"/>
      <name val="Comic Sans MS"/>
      <family val="4"/>
    </font>
    <font>
      <i/>
      <sz val="20"/>
      <color theme="1"/>
      <name val="Arial"/>
      <family val="2"/>
    </font>
    <font>
      <u/>
      <sz val="16"/>
      <color theme="10"/>
      <name val="Calibri"/>
      <family val="2"/>
      <scheme val="minor"/>
    </font>
    <font>
      <b/>
      <sz val="16"/>
      <name val="Arial"/>
      <family val="2"/>
    </font>
    <font>
      <sz val="16"/>
      <color theme="1"/>
      <name val="Arial"/>
      <family val="2"/>
    </font>
    <font>
      <sz val="12"/>
      <color rgb="FF0B5394"/>
      <name val="Georgia"/>
      <family val="1"/>
    </font>
    <font>
      <sz val="22"/>
      <color theme="1"/>
      <name val="Arial"/>
      <family val="2"/>
    </font>
    <font>
      <b/>
      <sz val="22"/>
      <name val="Arial"/>
      <family val="2"/>
    </font>
    <font>
      <b/>
      <sz val="20"/>
      <name val="Calibri"/>
      <family val="2"/>
      <scheme val="minor"/>
    </font>
    <font>
      <sz val="20"/>
      <color theme="1"/>
      <name val="Calibri"/>
      <family val="2"/>
    </font>
    <font>
      <sz val="18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18"/>
      <color theme="1"/>
      <name val="Arial"/>
      <family val="2"/>
    </font>
    <font>
      <sz val="20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0" fontId="2" fillId="0" borderId="0"/>
    <xf numFmtId="0" fontId="12" fillId="0" borderId="0"/>
    <xf numFmtId="0" fontId="3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03">
    <xf numFmtId="0" fontId="0" fillId="0" borderId="0" xfId="0"/>
    <xf numFmtId="0" fontId="2" fillId="0" borderId="0" xfId="1"/>
    <xf numFmtId="0" fontId="6" fillId="0" borderId="0" xfId="1" applyFont="1"/>
    <xf numFmtId="0" fontId="2" fillId="0" borderId="0" xfId="1" applyBorder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1" fillId="0" borderId="0" xfId="1" applyFont="1" applyBorder="1" applyAlignment="1">
      <alignment horizontal="center" vertical="center"/>
    </xf>
    <xf numFmtId="0" fontId="16" fillId="0" borderId="0" xfId="1" applyFont="1"/>
    <xf numFmtId="0" fontId="10" fillId="0" borderId="22" xfId="0" applyFont="1" applyBorder="1" applyAlignment="1">
      <alignment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center" vertical="center"/>
    </xf>
    <xf numFmtId="0" fontId="16" fillId="0" borderId="22" xfId="1" applyFont="1" applyBorder="1" applyAlignment="1">
      <alignment horizontal="left" vertical="center"/>
    </xf>
    <xf numFmtId="0" fontId="16" fillId="0" borderId="15" xfId="1" applyFont="1" applyBorder="1"/>
    <xf numFmtId="0" fontId="17" fillId="0" borderId="25" xfId="1" applyFont="1" applyFill="1" applyBorder="1" applyAlignment="1">
      <alignment horizontal="left"/>
    </xf>
    <xf numFmtId="0" fontId="18" fillId="0" borderId="25" xfId="1" applyFont="1" applyFill="1" applyBorder="1"/>
    <xf numFmtId="0" fontId="19" fillId="0" borderId="0" xfId="1" applyFont="1" applyFill="1" applyBorder="1"/>
    <xf numFmtId="0" fontId="19" fillId="0" borderId="0" xfId="1" applyFont="1" applyBorder="1"/>
    <xf numFmtId="0" fontId="19" fillId="0" borderId="0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20" fillId="0" borderId="0" xfId="1" applyFont="1" applyBorder="1"/>
    <xf numFmtId="0" fontId="16" fillId="0" borderId="0" xfId="1" applyFont="1" applyBorder="1"/>
    <xf numFmtId="0" fontId="2" fillId="0" borderId="16" xfId="1" applyBorder="1"/>
    <xf numFmtId="0" fontId="21" fillId="0" borderId="0" xfId="1" applyFont="1" applyBorder="1" applyAlignment="1">
      <alignment horizontal="left"/>
    </xf>
    <xf numFmtId="0" fontId="21" fillId="0" borderId="0" xfId="1" applyFont="1" applyBorder="1" applyAlignment="1">
      <alignment horizontal="center"/>
    </xf>
    <xf numFmtId="0" fontId="11" fillId="0" borderId="0" xfId="1" applyFont="1" applyFill="1" applyBorder="1"/>
    <xf numFmtId="0" fontId="11" fillId="0" borderId="0" xfId="1" applyFont="1" applyBorder="1"/>
    <xf numFmtId="0" fontId="23" fillId="0" borderId="7" xfId="1" applyFont="1" applyBorder="1" applyAlignment="1">
      <alignment horizontal="center" vertical="center"/>
    </xf>
    <xf numFmtId="0" fontId="23" fillId="0" borderId="0" xfId="1" applyFont="1" applyBorder="1" applyAlignment="1">
      <alignment horizontal="center" vertical="center"/>
    </xf>
    <xf numFmtId="0" fontId="24" fillId="0" borderId="7" xfId="1" applyFont="1" applyBorder="1" applyAlignment="1">
      <alignment horizontal="center"/>
    </xf>
    <xf numFmtId="0" fontId="24" fillId="0" borderId="0" xfId="1" applyFont="1" applyBorder="1" applyAlignment="1">
      <alignment horizontal="center"/>
    </xf>
    <xf numFmtId="0" fontId="25" fillId="0" borderId="0" xfId="1" applyFont="1" applyFill="1" applyBorder="1" applyAlignment="1">
      <alignment horizontal="left"/>
    </xf>
    <xf numFmtId="0" fontId="21" fillId="0" borderId="7" xfId="1" applyFont="1" applyBorder="1" applyAlignment="1">
      <alignment horizontal="center" vertical="center"/>
    </xf>
    <xf numFmtId="0" fontId="17" fillId="0" borderId="3" xfId="1" applyFont="1" applyBorder="1" applyAlignment="1">
      <alignment horizontal="left" vertical="center"/>
    </xf>
    <xf numFmtId="0" fontId="17" fillId="0" borderId="5" xfId="1" applyFont="1" applyBorder="1" applyAlignment="1">
      <alignment horizontal="center" vertical="center"/>
    </xf>
    <xf numFmtId="0" fontId="26" fillId="0" borderId="9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26" fillId="0" borderId="5" xfId="1" applyFont="1" applyBorder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26" fillId="0" borderId="8" xfId="1" applyFont="1" applyBorder="1" applyAlignment="1">
      <alignment horizontal="center" vertical="center"/>
    </xf>
    <xf numFmtId="0" fontId="10" fillId="0" borderId="0" xfId="1" applyFont="1"/>
    <xf numFmtId="0" fontId="29" fillId="0" borderId="16" xfId="1" applyFont="1" applyBorder="1" applyAlignment="1">
      <alignment vertical="top"/>
    </xf>
    <xf numFmtId="0" fontId="29" fillId="0" borderId="0" xfId="1" applyFont="1" applyBorder="1" applyAlignment="1">
      <alignment vertical="top"/>
    </xf>
    <xf numFmtId="0" fontId="30" fillId="0" borderId="0" xfId="1" applyFont="1" applyBorder="1"/>
    <xf numFmtId="0" fontId="28" fillId="0" borderId="0" xfId="1" applyFont="1" applyBorder="1" applyAlignment="1">
      <alignment vertical="center"/>
    </xf>
    <xf numFmtId="0" fontId="32" fillId="0" borderId="16" xfId="1" applyFont="1" applyBorder="1" applyAlignment="1">
      <alignment horizontal="center" vertical="top"/>
    </xf>
    <xf numFmtId="0" fontId="32" fillId="0" borderId="0" xfId="1" applyFont="1" applyBorder="1" applyAlignment="1">
      <alignment horizontal="center" vertical="top"/>
    </xf>
    <xf numFmtId="0" fontId="10" fillId="0" borderId="0" xfId="1" applyFont="1" applyBorder="1"/>
    <xf numFmtId="0" fontId="27" fillId="0" borderId="3" xfId="1" applyFont="1" applyFill="1" applyBorder="1" applyAlignment="1">
      <alignment vertical="center"/>
    </xf>
    <xf numFmtId="0" fontId="35" fillId="0" borderId="3" xfId="3" applyFont="1" applyBorder="1" applyAlignment="1">
      <alignment horizontal="left" vertical="center"/>
    </xf>
    <xf numFmtId="0" fontId="36" fillId="0" borderId="4" xfId="1" applyFont="1" applyBorder="1"/>
    <xf numFmtId="0" fontId="37" fillId="0" borderId="5" xfId="1" applyFont="1" applyBorder="1" applyAlignment="1">
      <alignment horizontal="center" vertical="center"/>
    </xf>
    <xf numFmtId="0" fontId="37" fillId="0" borderId="6" xfId="1" applyFont="1" applyBorder="1" applyAlignment="1">
      <alignment horizontal="center" vertical="center"/>
    </xf>
    <xf numFmtId="0" fontId="37" fillId="0" borderId="8" xfId="1" applyFont="1" applyBorder="1" applyAlignment="1">
      <alignment horizontal="center" vertical="center"/>
    </xf>
    <xf numFmtId="0" fontId="35" fillId="0" borderId="0" xfId="3" applyFont="1" applyBorder="1" applyAlignment="1">
      <alignment horizontal="left" vertical="top"/>
    </xf>
    <xf numFmtId="0" fontId="38" fillId="0" borderId="0" xfId="1" applyFont="1" applyBorder="1" applyAlignment="1">
      <alignment horizontal="center" vertical="center"/>
    </xf>
    <xf numFmtId="0" fontId="30" fillId="0" borderId="16" xfId="1" applyFont="1" applyBorder="1"/>
    <xf numFmtId="0" fontId="10" fillId="0" borderId="16" xfId="1" applyFont="1" applyBorder="1"/>
    <xf numFmtId="0" fontId="39" fillId="0" borderId="0" xfId="1" applyFont="1" applyAlignment="1">
      <alignment vertical="center"/>
    </xf>
    <xf numFmtId="0" fontId="40" fillId="0" borderId="0" xfId="1" applyFont="1" applyBorder="1"/>
    <xf numFmtId="0" fontId="26" fillId="0" borderId="0" xfId="1" applyFont="1" applyBorder="1" applyAlignment="1">
      <alignment horizontal="center" vertical="center"/>
    </xf>
    <xf numFmtId="0" fontId="41" fillId="0" borderId="3" xfId="3" quotePrefix="1" applyFont="1" applyBorder="1" applyAlignment="1">
      <alignment horizontal="left" vertical="center"/>
    </xf>
    <xf numFmtId="0" fontId="42" fillId="0" borderId="4" xfId="1" applyFont="1" applyBorder="1" applyAlignment="1">
      <alignment horizontal="center" vertical="center"/>
    </xf>
    <xf numFmtId="0" fontId="42" fillId="0" borderId="5" xfId="1" applyFont="1" applyBorder="1" applyAlignment="1">
      <alignment horizontal="left" vertical="center"/>
    </xf>
    <xf numFmtId="0" fontId="43" fillId="0" borderId="4" xfId="1" applyFont="1" applyBorder="1"/>
    <xf numFmtId="0" fontId="42" fillId="0" borderId="5" xfId="1" applyFont="1" applyBorder="1" applyAlignment="1">
      <alignment horizontal="center" vertical="center"/>
    </xf>
    <xf numFmtId="0" fontId="41" fillId="0" borderId="4" xfId="3" quotePrefix="1" applyFont="1" applyBorder="1" applyAlignment="1">
      <alignment horizontal="left" vertical="center"/>
    </xf>
    <xf numFmtId="0" fontId="42" fillId="0" borderId="4" xfId="1" applyFont="1" applyBorder="1" applyAlignment="1">
      <alignment horizontal="left" vertical="center"/>
    </xf>
    <xf numFmtId="0" fontId="43" fillId="0" borderId="5" xfId="1" applyFont="1" applyBorder="1" applyAlignment="1">
      <alignment horizontal="left" vertical="center"/>
    </xf>
    <xf numFmtId="0" fontId="44" fillId="0" borderId="0" xfId="1" applyFont="1" applyAlignment="1">
      <alignment vertical="center"/>
    </xf>
    <xf numFmtId="0" fontId="45" fillId="0" borderId="0" xfId="1" applyFont="1" applyBorder="1"/>
    <xf numFmtId="0" fontId="46" fillId="0" borderId="0" xfId="1" applyFont="1" applyBorder="1" applyAlignment="1">
      <alignment horizontal="center" vertical="center"/>
    </xf>
    <xf numFmtId="0" fontId="37" fillId="0" borderId="20" xfId="1" quotePrefix="1" applyFont="1" applyBorder="1" applyAlignment="1">
      <alignment horizontal="left"/>
    </xf>
    <xf numFmtId="0" fontId="37" fillId="0" borderId="22" xfId="1" applyFont="1" applyBorder="1" applyAlignment="1">
      <alignment horizontal="center"/>
    </xf>
    <xf numFmtId="0" fontId="37" fillId="0" borderId="21" xfId="1" applyFont="1" applyBorder="1" applyAlignment="1">
      <alignment horizontal="center"/>
    </xf>
    <xf numFmtId="0" fontId="30" fillId="0" borderId="22" xfId="1" applyFont="1" applyBorder="1"/>
    <xf numFmtId="0" fontId="37" fillId="0" borderId="4" xfId="1" applyFont="1" applyBorder="1" applyAlignment="1">
      <alignment horizontal="center"/>
    </xf>
    <xf numFmtId="0" fontId="37" fillId="0" borderId="5" xfId="1" applyFont="1" applyBorder="1" applyAlignment="1">
      <alignment horizontal="center"/>
    </xf>
    <xf numFmtId="0" fontId="37" fillId="0" borderId="22" xfId="1" quotePrefix="1" applyFont="1" applyBorder="1" applyAlignment="1">
      <alignment horizontal="left"/>
    </xf>
    <xf numFmtId="0" fontId="30" fillId="0" borderId="21" xfId="1" applyFont="1" applyBorder="1"/>
    <xf numFmtId="0" fontId="32" fillId="0" borderId="16" xfId="1" applyFont="1" applyBorder="1" applyAlignment="1">
      <alignment horizontal="center"/>
    </xf>
    <xf numFmtId="0" fontId="37" fillId="0" borderId="0" xfId="1" applyFont="1" applyBorder="1" applyAlignment="1">
      <alignment horizontal="center"/>
    </xf>
    <xf numFmtId="0" fontId="17" fillId="0" borderId="7" xfId="1" applyFont="1" applyBorder="1" applyAlignment="1">
      <alignment horizontal="center" vertical="center"/>
    </xf>
    <xf numFmtId="0" fontId="47" fillId="0" borderId="3" xfId="1" applyFont="1" applyFill="1" applyBorder="1" applyAlignment="1">
      <alignment vertical="center"/>
    </xf>
    <xf numFmtId="38" fontId="30" fillId="0" borderId="4" xfId="1" applyNumberFormat="1" applyFont="1" applyBorder="1" applyAlignment="1">
      <alignment horizontal="center"/>
    </xf>
    <xf numFmtId="0" fontId="33" fillId="0" borderId="3" xfId="1" applyFont="1" applyFill="1" applyBorder="1" applyAlignment="1">
      <alignment horizontal="left"/>
    </xf>
    <xf numFmtId="0" fontId="33" fillId="0" borderId="5" xfId="1" applyFont="1" applyFill="1" applyBorder="1" applyAlignment="1">
      <alignment horizontal="left"/>
    </xf>
    <xf numFmtId="14" fontId="47" fillId="0" borderId="9" xfId="1" applyNumberFormat="1" applyFont="1" applyFill="1" applyBorder="1" applyAlignment="1">
      <alignment vertical="center"/>
    </xf>
    <xf numFmtId="14" fontId="47" fillId="0" borderId="6" xfId="1" applyNumberFormat="1" applyFont="1" applyFill="1" applyBorder="1" applyAlignment="1">
      <alignment vertical="center"/>
    </xf>
    <xf numFmtId="14" fontId="30" fillId="0" borderId="6" xfId="1" applyNumberFormat="1" applyFont="1" applyBorder="1" applyAlignment="1">
      <alignment horizontal="center"/>
    </xf>
    <xf numFmtId="14" fontId="30" fillId="0" borderId="8" xfId="1" applyNumberFormat="1" applyFont="1" applyBorder="1" applyAlignment="1">
      <alignment horizontal="center"/>
    </xf>
    <xf numFmtId="0" fontId="18" fillId="0" borderId="15" xfId="1" applyFont="1" applyBorder="1" applyAlignment="1">
      <alignment vertical="top"/>
    </xf>
    <xf numFmtId="0" fontId="17" fillId="0" borderId="0" xfId="1" applyFont="1" applyBorder="1"/>
    <xf numFmtId="0" fontId="30" fillId="0" borderId="0" xfId="1" applyFont="1" applyBorder="1" applyAlignment="1">
      <alignment horizontal="center"/>
    </xf>
    <xf numFmtId="0" fontId="30" fillId="0" borderId="16" xfId="1" applyFont="1" applyBorder="1" applyAlignment="1">
      <alignment horizontal="center"/>
    </xf>
    <xf numFmtId="0" fontId="5" fillId="0" borderId="0" xfId="1" applyFont="1" applyBorder="1"/>
    <xf numFmtId="0" fontId="18" fillId="0" borderId="20" xfId="1" applyFont="1" applyBorder="1" applyAlignment="1">
      <alignment vertical="top"/>
    </xf>
    <xf numFmtId="0" fontId="17" fillId="0" borderId="22" xfId="1" applyFont="1" applyFill="1" applyBorder="1" applyAlignment="1">
      <alignment vertical="center"/>
    </xf>
    <xf numFmtId="0" fontId="30" fillId="0" borderId="22" xfId="1" applyFont="1" applyBorder="1" applyAlignment="1">
      <alignment horizontal="center"/>
    </xf>
    <xf numFmtId="0" fontId="30" fillId="0" borderId="21" xfId="1" applyFont="1" applyBorder="1" applyAlignment="1">
      <alignment horizontal="center"/>
    </xf>
    <xf numFmtId="0" fontId="30" fillId="0" borderId="0" xfId="1" applyFont="1"/>
    <xf numFmtId="0" fontId="30" fillId="0" borderId="5" xfId="1" applyFont="1" applyBorder="1"/>
    <xf numFmtId="164" fontId="30" fillId="0" borderId="7" xfId="4" applyNumberFormat="1" applyFont="1" applyBorder="1" applyAlignment="1">
      <alignment horizontal="center" vertical="center"/>
    </xf>
    <xf numFmtId="3" fontId="30" fillId="0" borderId="7" xfId="1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 vertical="center"/>
    </xf>
    <xf numFmtId="0" fontId="33" fillId="0" borderId="3" xfId="1" applyFont="1" applyFill="1" applyBorder="1" applyAlignment="1"/>
    <xf numFmtId="0" fontId="33" fillId="0" borderId="5" xfId="1" applyFont="1" applyFill="1" applyBorder="1" applyAlignment="1"/>
    <xf numFmtId="164" fontId="49" fillId="0" borderId="7" xfId="4" applyNumberFormat="1" applyFont="1" applyBorder="1" applyAlignment="1">
      <alignment horizontal="center"/>
    </xf>
    <xf numFmtId="164" fontId="49" fillId="0" borderId="7" xfId="4" applyNumberFormat="1" applyFont="1" applyBorder="1" applyAlignment="1"/>
    <xf numFmtId="3" fontId="49" fillId="0" borderId="7" xfId="1" applyNumberFormat="1" applyFont="1" applyBorder="1" applyAlignment="1">
      <alignment horizontal="right"/>
    </xf>
    <xf numFmtId="3" fontId="49" fillId="0" borderId="8" xfId="1" applyNumberFormat="1" applyFont="1" applyBorder="1" applyAlignment="1">
      <alignment horizontal="right"/>
    </xf>
    <xf numFmtId="0" fontId="17" fillId="0" borderId="19" xfId="1" applyFont="1" applyBorder="1" applyAlignment="1">
      <alignment horizontal="center" vertical="top"/>
    </xf>
    <xf numFmtId="164" fontId="49" fillId="0" borderId="3" xfId="4" applyNumberFormat="1" applyFont="1" applyBorder="1" applyAlignment="1">
      <alignment horizontal="center"/>
    </xf>
    <xf numFmtId="164" fontId="49" fillId="0" borderId="4" xfId="4" applyNumberFormat="1" applyFont="1" applyBorder="1" applyAlignment="1">
      <alignment horizontal="center"/>
    </xf>
    <xf numFmtId="164" fontId="49" fillId="0" borderId="6" xfId="4" applyNumberFormat="1" applyFont="1" applyBorder="1" applyAlignment="1">
      <alignment horizontal="center"/>
    </xf>
    <xf numFmtId="3" fontId="49" fillId="0" borderId="21" xfId="1" applyNumberFormat="1" applyFont="1" applyBorder="1" applyAlignment="1">
      <alignment horizontal="right"/>
    </xf>
    <xf numFmtId="3" fontId="49" fillId="0" borderId="22" xfId="1" applyNumberFormat="1" applyFont="1" applyBorder="1" applyAlignment="1">
      <alignment horizontal="right"/>
    </xf>
    <xf numFmtId="3" fontId="49" fillId="0" borderId="5" xfId="1" applyNumberFormat="1" applyFont="1" applyBorder="1" applyAlignment="1">
      <alignment horizontal="right"/>
    </xf>
    <xf numFmtId="164" fontId="49" fillId="0" borderId="4" xfId="4" applyNumberFormat="1" applyFont="1" applyBorder="1" applyAlignment="1"/>
    <xf numFmtId="3" fontId="49" fillId="0" borderId="6" xfId="1" applyNumberFormat="1" applyFont="1" applyBorder="1" applyAlignment="1">
      <alignment horizontal="right"/>
    </xf>
    <xf numFmtId="3" fontId="49" fillId="0" borderId="4" xfId="1" applyNumberFormat="1" applyFont="1" applyBorder="1" applyAlignment="1">
      <alignment horizontal="right"/>
    </xf>
    <xf numFmtId="0" fontId="17" fillId="0" borderId="15" xfId="1" applyFont="1" applyFill="1" applyBorder="1" applyAlignment="1">
      <alignment horizontal="left" vertical="center"/>
    </xf>
    <xf numFmtId="0" fontId="5" fillId="0" borderId="0" xfId="1" applyFont="1"/>
    <xf numFmtId="164" fontId="30" fillId="0" borderId="3" xfId="4" applyNumberFormat="1" applyFont="1" applyFill="1" applyBorder="1" applyAlignment="1"/>
    <xf numFmtId="164" fontId="30" fillId="0" borderId="4" xfId="4" applyNumberFormat="1" applyFont="1" applyFill="1" applyBorder="1" applyAlignment="1"/>
    <xf numFmtId="164" fontId="30" fillId="0" borderId="4" xfId="4" applyNumberFormat="1" applyFont="1" applyFill="1" applyBorder="1" applyAlignment="1">
      <alignment horizontal="center"/>
    </xf>
    <xf numFmtId="3" fontId="26" fillId="0" borderId="21" xfId="1" applyNumberFormat="1" applyFont="1" applyFill="1" applyBorder="1" applyAlignment="1">
      <alignment horizontal="right"/>
    </xf>
    <xf numFmtId="38" fontId="26" fillId="0" borderId="21" xfId="1" applyNumberFormat="1" applyFont="1" applyFill="1" applyBorder="1" applyAlignment="1">
      <alignment horizontal="right"/>
    </xf>
    <xf numFmtId="38" fontId="26" fillId="0" borderId="0" xfId="1" applyNumberFormat="1" applyFont="1" applyFill="1" applyBorder="1" applyAlignment="1">
      <alignment horizontal="right"/>
    </xf>
    <xf numFmtId="164" fontId="30" fillId="0" borderId="15" xfId="4" applyNumberFormat="1" applyFont="1" applyFill="1" applyBorder="1" applyAlignment="1"/>
    <xf numFmtId="164" fontId="30" fillId="0" borderId="0" xfId="4" applyNumberFormat="1" applyFont="1" applyFill="1" applyBorder="1" applyAlignment="1"/>
    <xf numFmtId="164" fontId="30" fillId="0" borderId="0" xfId="4" applyNumberFormat="1" applyFont="1" applyFill="1" applyBorder="1" applyAlignment="1">
      <alignment horizontal="center"/>
    </xf>
    <xf numFmtId="3" fontId="26" fillId="0" borderId="16" xfId="1" applyNumberFormat="1" applyFont="1" applyFill="1" applyBorder="1" applyAlignment="1">
      <alignment horizontal="right"/>
    </xf>
    <xf numFmtId="0" fontId="17" fillId="0" borderId="7" xfId="1" applyFont="1" applyBorder="1" applyAlignment="1">
      <alignment horizontal="center"/>
    </xf>
    <xf numFmtId="0" fontId="33" fillId="0" borderId="3" xfId="1" applyFont="1" applyFill="1" applyBorder="1"/>
    <xf numFmtId="0" fontId="5" fillId="0" borderId="5" xfId="1" applyFont="1" applyBorder="1"/>
    <xf numFmtId="0" fontId="33" fillId="0" borderId="15" xfId="1" applyFont="1" applyFill="1" applyBorder="1"/>
    <xf numFmtId="0" fontId="33" fillId="0" borderId="9" xfId="1" applyFont="1" applyFill="1" applyBorder="1"/>
    <xf numFmtId="0" fontId="5" fillId="0" borderId="8" xfId="1" applyFont="1" applyBorder="1"/>
    <xf numFmtId="0" fontId="17" fillId="0" borderId="3" xfId="1" applyFont="1" applyBorder="1" applyAlignment="1">
      <alignment horizontal="center"/>
    </xf>
    <xf numFmtId="0" fontId="17" fillId="0" borderId="15" xfId="1" applyFont="1" applyFill="1" applyBorder="1" applyAlignment="1">
      <alignment vertical="center"/>
    </xf>
    <xf numFmtId="3" fontId="10" fillId="0" borderId="0" xfId="1" applyNumberFormat="1" applyFont="1"/>
    <xf numFmtId="0" fontId="17" fillId="0" borderId="1" xfId="1" applyFont="1" applyBorder="1" applyAlignment="1">
      <alignment horizontal="center" vertical="center"/>
    </xf>
    <xf numFmtId="0" fontId="17" fillId="0" borderId="3" xfId="1" applyFont="1" applyFill="1" applyBorder="1" applyAlignment="1">
      <alignment vertical="center"/>
    </xf>
    <xf numFmtId="164" fontId="30" fillId="0" borderId="3" xfId="1" applyNumberFormat="1" applyFont="1" applyBorder="1" applyAlignment="1">
      <alignment horizontal="center" vertical="top" wrapText="1"/>
    </xf>
    <xf numFmtId="0" fontId="30" fillId="0" borderId="4" xfId="1" applyFont="1" applyBorder="1" applyAlignment="1">
      <alignment horizontal="center" vertical="top" wrapText="1"/>
    </xf>
    <xf numFmtId="0" fontId="30" fillId="0" borderId="21" xfId="1" applyFont="1" applyBorder="1" applyAlignment="1">
      <alignment horizontal="center" vertical="top" wrapText="1"/>
    </xf>
    <xf numFmtId="0" fontId="30" fillId="0" borderId="22" xfId="1" applyFont="1" applyBorder="1" applyAlignment="1">
      <alignment horizontal="center" vertical="top" wrapText="1"/>
    </xf>
    <xf numFmtId="0" fontId="33" fillId="0" borderId="3" xfId="1" applyFont="1" applyFill="1" applyBorder="1" applyAlignment="1">
      <alignment vertical="center"/>
    </xf>
    <xf numFmtId="0" fontId="33" fillId="0" borderId="15" xfId="1" applyFont="1" applyFill="1" applyBorder="1" applyAlignment="1">
      <alignment vertical="center"/>
    </xf>
    <xf numFmtId="164" fontId="26" fillId="0" borderId="4" xfId="4" applyNumberFormat="1" applyFont="1" applyFill="1" applyBorder="1" applyAlignment="1">
      <alignment horizontal="center"/>
    </xf>
    <xf numFmtId="0" fontId="33" fillId="0" borderId="7" xfId="1" applyFont="1" applyFill="1" applyBorder="1"/>
    <xf numFmtId="0" fontId="18" fillId="0" borderId="3" xfId="1" applyFont="1" applyBorder="1" applyAlignment="1">
      <alignment horizontal="left" vertical="center"/>
    </xf>
    <xf numFmtId="0" fontId="33" fillId="0" borderId="5" xfId="1" applyFont="1" applyFill="1" applyBorder="1"/>
    <xf numFmtId="164" fontId="30" fillId="0" borderId="3" xfId="1" applyNumberFormat="1" applyFont="1" applyBorder="1" applyAlignment="1">
      <alignment horizontal="center" vertical="center" wrapText="1"/>
    </xf>
    <xf numFmtId="164" fontId="30" fillId="0" borderId="4" xfId="1" applyNumberFormat="1" applyFont="1" applyBorder="1" applyAlignment="1">
      <alignment horizontal="center" vertical="center" wrapText="1"/>
    </xf>
    <xf numFmtId="164" fontId="30" fillId="0" borderId="5" xfId="1" applyNumberFormat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left" vertical="center"/>
    </xf>
    <xf numFmtId="0" fontId="33" fillId="0" borderId="16" xfId="1" applyFont="1" applyFill="1" applyBorder="1"/>
    <xf numFmtId="0" fontId="51" fillId="2" borderId="8" xfId="1" applyFont="1" applyFill="1" applyBorder="1" applyAlignment="1">
      <alignment vertical="top"/>
    </xf>
    <xf numFmtId="0" fontId="52" fillId="0" borderId="9" xfId="1" applyFont="1" applyFill="1" applyBorder="1" applyAlignment="1">
      <alignment vertical="center"/>
    </xf>
    <xf numFmtId="0" fontId="52" fillId="0" borderId="6" xfId="1" applyFont="1" applyFill="1" applyBorder="1" applyAlignment="1">
      <alignment horizontal="center" vertical="center"/>
    </xf>
    <xf numFmtId="164" fontId="52" fillId="0" borderId="8" xfId="4" applyNumberFormat="1" applyFont="1" applyFill="1" applyBorder="1" applyAlignment="1">
      <alignment horizontal="center"/>
    </xf>
    <xf numFmtId="164" fontId="52" fillId="0" borderId="9" xfId="4" applyNumberFormat="1" applyFont="1" applyFill="1" applyBorder="1" applyAlignment="1">
      <alignment horizontal="center"/>
    </xf>
    <xf numFmtId="164" fontId="52" fillId="0" borderId="6" xfId="4" applyNumberFormat="1" applyFont="1" applyFill="1" applyBorder="1" applyAlignment="1">
      <alignment horizontal="center"/>
    </xf>
    <xf numFmtId="164" fontId="52" fillId="0" borderId="8" xfId="4" applyNumberFormat="1" applyFont="1" applyFill="1" applyBorder="1"/>
    <xf numFmtId="164" fontId="2" fillId="0" borderId="0" xfId="1" applyNumberFormat="1"/>
    <xf numFmtId="0" fontId="51" fillId="2" borderId="15" xfId="1" applyFont="1" applyFill="1" applyBorder="1" applyAlignment="1">
      <alignment vertical="top"/>
    </xf>
    <xf numFmtId="0" fontId="51" fillId="2" borderId="0" xfId="1" applyFont="1" applyFill="1" applyBorder="1" applyAlignment="1">
      <alignment vertical="top"/>
    </xf>
    <xf numFmtId="0" fontId="51" fillId="2" borderId="16" xfId="1" applyFont="1" applyFill="1" applyBorder="1" applyAlignment="1">
      <alignment vertical="top"/>
    </xf>
    <xf numFmtId="0" fontId="52" fillId="0" borderId="20" xfId="1" applyFont="1" applyFill="1" applyBorder="1" applyAlignment="1">
      <alignment vertical="center"/>
    </xf>
    <xf numFmtId="0" fontId="52" fillId="0" borderId="22" xfId="1" applyFont="1" applyFill="1" applyBorder="1" applyAlignment="1">
      <alignment horizontal="center" vertical="center"/>
    </xf>
    <xf numFmtId="164" fontId="52" fillId="0" borderId="21" xfId="4" applyNumberFormat="1" applyFont="1" applyFill="1" applyBorder="1" applyAlignment="1">
      <alignment horizontal="center"/>
    </xf>
    <xf numFmtId="164" fontId="52" fillId="0" borderId="20" xfId="4" applyNumberFormat="1" applyFont="1" applyFill="1" applyBorder="1" applyAlignment="1">
      <alignment horizontal="center"/>
    </xf>
    <xf numFmtId="164" fontId="52" fillId="0" borderId="22" xfId="4" applyNumberFormat="1" applyFont="1" applyFill="1" applyBorder="1" applyAlignment="1">
      <alignment horizontal="center"/>
    </xf>
    <xf numFmtId="164" fontId="52" fillId="0" borderId="21" xfId="1" applyNumberFormat="1" applyFont="1" applyFill="1" applyBorder="1"/>
    <xf numFmtId="0" fontId="52" fillId="0" borderId="9" xfId="1" applyFont="1" applyFill="1" applyBorder="1" applyAlignment="1">
      <alignment horizontal="center" vertical="center"/>
    </xf>
    <xf numFmtId="164" fontId="52" fillId="0" borderId="8" xfId="1" applyNumberFormat="1" applyFont="1" applyFill="1" applyBorder="1"/>
    <xf numFmtId="0" fontId="53" fillId="2" borderId="20" xfId="1" applyFont="1" applyFill="1" applyBorder="1" applyAlignment="1">
      <alignment vertical="top"/>
    </xf>
    <xf numFmtId="0" fontId="51" fillId="2" borderId="22" xfId="1" applyFont="1" applyFill="1" applyBorder="1" applyAlignment="1">
      <alignment vertical="top"/>
    </xf>
    <xf numFmtId="0" fontId="51" fillId="2" borderId="21" xfId="1" applyFont="1" applyFill="1" applyBorder="1" applyAlignment="1">
      <alignment vertical="top"/>
    </xf>
    <xf numFmtId="0" fontId="52" fillId="0" borderId="20" xfId="1" applyFont="1" applyFill="1" applyBorder="1" applyAlignment="1">
      <alignment horizontal="center" vertical="center"/>
    </xf>
    <xf numFmtId="0" fontId="50" fillId="0" borderId="3" xfId="1" applyFont="1" applyBorder="1" applyAlignment="1">
      <alignment vertical="top"/>
    </xf>
    <xf numFmtId="0" fontId="2" fillId="0" borderId="4" xfId="1" applyBorder="1"/>
    <xf numFmtId="0" fontId="2" fillId="0" borderId="5" xfId="1" applyBorder="1"/>
    <xf numFmtId="0" fontId="2" fillId="0" borderId="3" xfId="1" applyBorder="1"/>
    <xf numFmtId="0" fontId="2" fillId="0" borderId="21" xfId="1" applyBorder="1"/>
    <xf numFmtId="0" fontId="0" fillId="0" borderId="7" xfId="0" applyFont="1" applyBorder="1" applyAlignment="1">
      <alignment horizontal="center" vertical="center"/>
    </xf>
    <xf numFmtId="165" fontId="0" fillId="0" borderId="7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7" fillId="0" borderId="0" xfId="4" applyNumberFormat="1" applyFont="1"/>
    <xf numFmtId="0" fontId="17" fillId="0" borderId="19" xfId="1" applyFont="1" applyBorder="1" applyAlignment="1">
      <alignment horizontal="center" vertical="top"/>
    </xf>
    <xf numFmtId="0" fontId="54" fillId="0" borderId="0" xfId="0" applyFont="1"/>
    <xf numFmtId="0" fontId="11" fillId="0" borderId="0" xfId="0" applyFont="1"/>
    <xf numFmtId="0" fontId="16" fillId="0" borderId="0" xfId="0" applyFont="1"/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16" fillId="0" borderId="7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7" xfId="0" applyFont="1" applyFill="1" applyBorder="1" applyAlignment="1">
      <alignment vertical="center"/>
    </xf>
    <xf numFmtId="164" fontId="21" fillId="0" borderId="7" xfId="5" applyNumberFormat="1" applyFont="1" applyBorder="1" applyAlignment="1">
      <alignment vertical="center"/>
    </xf>
    <xf numFmtId="164" fontId="52" fillId="0" borderId="9" xfId="4" applyNumberFormat="1" applyFont="1" applyFill="1" applyBorder="1" applyAlignment="1">
      <alignment horizontal="center"/>
    </xf>
    <xf numFmtId="164" fontId="52" fillId="0" borderId="6" xfId="4" applyNumberFormat="1" applyFont="1" applyFill="1" applyBorder="1" applyAlignment="1">
      <alignment horizontal="center"/>
    </xf>
    <xf numFmtId="164" fontId="52" fillId="0" borderId="8" xfId="4" applyNumberFormat="1" applyFont="1" applyFill="1" applyBorder="1" applyAlignment="1">
      <alignment horizontal="center"/>
    </xf>
    <xf numFmtId="164" fontId="52" fillId="0" borderId="20" xfId="4" applyNumberFormat="1" applyFont="1" applyFill="1" applyBorder="1" applyAlignment="1">
      <alignment horizontal="center"/>
    </xf>
    <xf numFmtId="164" fontId="52" fillId="0" borderId="22" xfId="4" applyNumberFormat="1" applyFont="1" applyFill="1" applyBorder="1" applyAlignment="1">
      <alignment horizontal="center"/>
    </xf>
    <xf numFmtId="164" fontId="52" fillId="0" borderId="21" xfId="4" applyNumberFormat="1" applyFont="1" applyFill="1" applyBorder="1" applyAlignment="1">
      <alignment horizontal="center"/>
    </xf>
    <xf numFmtId="0" fontId="30" fillId="0" borderId="3" xfId="1" applyFont="1" applyBorder="1" applyAlignment="1">
      <alignment horizontal="center"/>
    </xf>
    <xf numFmtId="0" fontId="30" fillId="0" borderId="4" xfId="1" applyFont="1" applyBorder="1" applyAlignment="1">
      <alignment horizontal="center"/>
    </xf>
    <xf numFmtId="0" fontId="30" fillId="0" borderId="5" xfId="1" applyFont="1" applyBorder="1" applyAlignment="1">
      <alignment horizontal="center"/>
    </xf>
    <xf numFmtId="164" fontId="30" fillId="0" borderId="3" xfId="1" applyNumberFormat="1" applyFont="1" applyBorder="1" applyAlignment="1">
      <alignment horizontal="center" vertical="center" wrapText="1"/>
    </xf>
    <xf numFmtId="164" fontId="30" fillId="0" borderId="4" xfId="1" applyNumberFormat="1" applyFont="1" applyBorder="1" applyAlignment="1">
      <alignment horizontal="center" vertical="center" wrapText="1"/>
    </xf>
    <xf numFmtId="164" fontId="30" fillId="0" borderId="5" xfId="1" applyNumberFormat="1" applyFont="1" applyBorder="1" applyAlignment="1">
      <alignment horizontal="center" vertical="center" wrapText="1"/>
    </xf>
    <xf numFmtId="164" fontId="26" fillId="0" borderId="4" xfId="4" applyNumberFormat="1" applyFont="1" applyFill="1" applyBorder="1" applyAlignment="1">
      <alignment horizontal="center"/>
    </xf>
    <xf numFmtId="164" fontId="30" fillId="0" borderId="4" xfId="4" applyNumberFormat="1" applyFont="1" applyFill="1" applyBorder="1" applyAlignment="1">
      <alignment horizontal="center"/>
    </xf>
    <xf numFmtId="0" fontId="17" fillId="0" borderId="19" xfId="1" applyFont="1" applyBorder="1" applyAlignment="1">
      <alignment horizontal="center" vertical="top"/>
    </xf>
    <xf numFmtId="0" fontId="17" fillId="0" borderId="1" xfId="1" applyFont="1" applyBorder="1" applyAlignment="1">
      <alignment horizontal="center" vertical="center"/>
    </xf>
    <xf numFmtId="0" fontId="30" fillId="0" borderId="22" xfId="1" applyFont="1" applyBorder="1" applyAlignment="1">
      <alignment horizontal="center"/>
    </xf>
    <xf numFmtId="0" fontId="30" fillId="0" borderId="21" xfId="1" applyFont="1" applyBorder="1" applyAlignment="1">
      <alignment horizontal="center"/>
    </xf>
    <xf numFmtId="0" fontId="33" fillId="0" borderId="3" xfId="1" applyFont="1" applyFill="1" applyBorder="1" applyAlignment="1">
      <alignment horizontal="left"/>
    </xf>
    <xf numFmtId="0" fontId="33" fillId="0" borderId="5" xfId="1" applyFont="1" applyFill="1" applyBorder="1" applyAlignment="1">
      <alignment horizontal="left"/>
    </xf>
    <xf numFmtId="3" fontId="49" fillId="0" borderId="3" xfId="1" applyNumberFormat="1" applyFont="1" applyBorder="1" applyAlignment="1">
      <alignment horizontal="center"/>
    </xf>
    <xf numFmtId="3" fontId="49" fillId="0" borderId="4" xfId="1" applyNumberFormat="1" applyFont="1" applyBorder="1" applyAlignment="1">
      <alignment horizontal="center"/>
    </xf>
    <xf numFmtId="3" fontId="49" fillId="0" borderId="5" xfId="1" applyNumberFormat="1" applyFont="1" applyBorder="1" applyAlignment="1">
      <alignment horizontal="center"/>
    </xf>
    <xf numFmtId="38" fontId="30" fillId="0" borderId="4" xfId="1" applyNumberFormat="1" applyFont="1" applyBorder="1" applyAlignment="1">
      <alignment horizontal="center"/>
    </xf>
    <xf numFmtId="0" fontId="10" fillId="0" borderId="7" xfId="0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6" fillId="0" borderId="22" xfId="1" applyFont="1" applyBorder="1" applyAlignment="1">
      <alignment horizontal="left" vertical="center"/>
    </xf>
    <xf numFmtId="164" fontId="0" fillId="0" borderId="0" xfId="5" applyNumberFormat="1" applyFont="1"/>
    <xf numFmtId="0" fontId="0" fillId="0" borderId="7" xfId="0" applyBorder="1"/>
    <xf numFmtId="164" fontId="0" fillId="0" borderId="0" xfId="0" applyNumberFormat="1"/>
    <xf numFmtId="164" fontId="21" fillId="2" borderId="7" xfId="0" applyNumberFormat="1" applyFont="1" applyFill="1" applyBorder="1"/>
    <xf numFmtId="164" fontId="21" fillId="4" borderId="7" xfId="0" applyNumberFormat="1" applyFont="1" applyFill="1" applyBorder="1"/>
    <xf numFmtId="164" fontId="21" fillId="4" borderId="7" xfId="5" applyNumberFormat="1" applyFont="1" applyFill="1" applyBorder="1" applyAlignment="1">
      <alignment vertical="center"/>
    </xf>
    <xf numFmtId="0" fontId="3" fillId="3" borderId="9" xfId="2" applyFont="1" applyFill="1" applyBorder="1" applyAlignment="1">
      <alignment horizontal="left" vertical="center" wrapText="1"/>
    </xf>
    <xf numFmtId="0" fontId="3" fillId="3" borderId="6" xfId="2" applyFont="1" applyFill="1" applyBorder="1" applyAlignment="1">
      <alignment horizontal="left" vertical="center" wrapText="1"/>
    </xf>
    <xf numFmtId="0" fontId="3" fillId="3" borderId="8" xfId="2" applyFont="1" applyFill="1" applyBorder="1" applyAlignment="1">
      <alignment horizontal="left" vertical="center" wrapText="1"/>
    </xf>
    <xf numFmtId="0" fontId="3" fillId="3" borderId="15" xfId="2" applyFont="1" applyFill="1" applyBorder="1" applyAlignment="1">
      <alignment horizontal="left" vertical="center" wrapText="1"/>
    </xf>
    <xf numFmtId="0" fontId="3" fillId="3" borderId="0" xfId="2" applyFont="1" applyFill="1" applyBorder="1" applyAlignment="1">
      <alignment horizontal="left" vertical="center" wrapText="1"/>
    </xf>
    <xf numFmtId="0" fontId="3" fillId="3" borderId="16" xfId="2" applyFont="1" applyFill="1" applyBorder="1" applyAlignment="1">
      <alignment horizontal="left" vertical="center" wrapText="1"/>
    </xf>
    <xf numFmtId="0" fontId="3" fillId="3" borderId="20" xfId="2" applyFont="1" applyFill="1" applyBorder="1" applyAlignment="1">
      <alignment horizontal="left" vertical="center" wrapText="1"/>
    </xf>
    <xf numFmtId="0" fontId="3" fillId="3" borderId="22" xfId="2" applyFont="1" applyFill="1" applyBorder="1" applyAlignment="1">
      <alignment horizontal="left" vertical="center" wrapText="1"/>
    </xf>
    <xf numFmtId="0" fontId="3" fillId="3" borderId="21" xfId="2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2" fillId="0" borderId="1" xfId="1" applyFont="1" applyFill="1" applyBorder="1" applyAlignment="1">
      <alignment horizontal="center" vertical="center"/>
    </xf>
    <xf numFmtId="0" fontId="52" fillId="0" borderId="2" xfId="1" applyFont="1" applyFill="1" applyBorder="1" applyAlignment="1">
      <alignment horizontal="center" vertical="center"/>
    </xf>
    <xf numFmtId="164" fontId="52" fillId="0" borderId="9" xfId="4" applyNumberFormat="1" applyFont="1" applyFill="1" applyBorder="1" applyAlignment="1">
      <alignment horizontal="center"/>
    </xf>
    <xf numFmtId="164" fontId="52" fillId="0" borderId="6" xfId="4" applyNumberFormat="1" applyFont="1" applyFill="1" applyBorder="1" applyAlignment="1">
      <alignment horizontal="center"/>
    </xf>
    <xf numFmtId="164" fontId="52" fillId="0" borderId="8" xfId="4" applyNumberFormat="1" applyFont="1" applyFill="1" applyBorder="1" applyAlignment="1">
      <alignment horizontal="center"/>
    </xf>
    <xf numFmtId="164" fontId="52" fillId="0" borderId="20" xfId="4" applyNumberFormat="1" applyFont="1" applyFill="1" applyBorder="1" applyAlignment="1">
      <alignment horizontal="center"/>
    </xf>
    <xf numFmtId="164" fontId="52" fillId="0" borderId="22" xfId="4" applyNumberFormat="1" applyFont="1" applyFill="1" applyBorder="1" applyAlignment="1">
      <alignment horizontal="center"/>
    </xf>
    <xf numFmtId="164" fontId="52" fillId="0" borderId="21" xfId="4" applyNumberFormat="1" applyFont="1" applyFill="1" applyBorder="1" applyAlignment="1">
      <alignment horizontal="center"/>
    </xf>
    <xf numFmtId="0" fontId="30" fillId="0" borderId="3" xfId="1" applyFont="1" applyBorder="1" applyAlignment="1">
      <alignment horizontal="center"/>
    </xf>
    <xf numFmtId="0" fontId="30" fillId="0" borderId="4" xfId="1" applyFont="1" applyBorder="1" applyAlignment="1">
      <alignment horizontal="center"/>
    </xf>
    <xf numFmtId="0" fontId="30" fillId="0" borderId="5" xfId="1" applyFont="1" applyBorder="1" applyAlignment="1">
      <alignment horizontal="center"/>
    </xf>
    <xf numFmtId="0" fontId="50" fillId="2" borderId="9" xfId="1" applyFont="1" applyFill="1" applyBorder="1" applyAlignment="1">
      <alignment horizontal="left" vertical="top" wrapText="1"/>
    </xf>
    <xf numFmtId="0" fontId="50" fillId="2" borderId="6" xfId="1" applyFont="1" applyFill="1" applyBorder="1" applyAlignment="1">
      <alignment horizontal="left" vertical="top" wrapText="1"/>
    </xf>
    <xf numFmtId="0" fontId="52" fillId="0" borderId="1" xfId="1" applyFont="1" applyFill="1" applyBorder="1" applyAlignment="1">
      <alignment horizontal="center" vertical="center" wrapText="1"/>
    </xf>
    <xf numFmtId="0" fontId="52" fillId="0" borderId="2" xfId="1" applyFont="1" applyFill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164" fontId="26" fillId="0" borderId="3" xfId="4" applyNumberFormat="1" applyFont="1" applyFill="1" applyBorder="1" applyAlignment="1">
      <alignment horizontal="center"/>
    </xf>
    <xf numFmtId="164" fontId="26" fillId="0" borderId="4" xfId="4" applyNumberFormat="1" applyFont="1" applyFill="1" applyBorder="1" applyAlignment="1">
      <alignment horizontal="center"/>
    </xf>
    <xf numFmtId="164" fontId="26" fillId="0" borderId="5" xfId="4" applyNumberFormat="1" applyFont="1" applyFill="1" applyBorder="1" applyAlignment="1">
      <alignment horizontal="center"/>
    </xf>
    <xf numFmtId="0" fontId="17" fillId="0" borderId="1" xfId="1" applyFont="1" applyBorder="1" applyAlignment="1">
      <alignment horizontal="center" vertical="top"/>
    </xf>
    <xf numFmtId="0" fontId="17" fillId="0" borderId="19" xfId="1" applyFont="1" applyBorder="1" applyAlignment="1">
      <alignment horizontal="center" vertical="top"/>
    </xf>
    <xf numFmtId="0" fontId="17" fillId="0" borderId="2" xfId="1" applyFont="1" applyBorder="1" applyAlignment="1">
      <alignment horizontal="center" vertical="top"/>
    </xf>
    <xf numFmtId="164" fontId="30" fillId="0" borderId="3" xfId="1" applyNumberFormat="1" applyFont="1" applyBorder="1" applyAlignment="1">
      <alignment horizontal="center" vertical="center" wrapText="1"/>
    </xf>
    <xf numFmtId="164" fontId="30" fillId="0" borderId="4" xfId="1" applyNumberFormat="1" applyFont="1" applyBorder="1" applyAlignment="1">
      <alignment horizontal="center" vertical="center" wrapText="1"/>
    </xf>
    <xf numFmtId="164" fontId="30" fillId="0" borderId="5" xfId="1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164" fontId="30" fillId="0" borderId="3" xfId="4" applyNumberFormat="1" applyFont="1" applyFill="1" applyBorder="1" applyAlignment="1">
      <alignment horizontal="center"/>
    </xf>
    <xf numFmtId="164" fontId="30" fillId="0" borderId="4" xfId="4" applyNumberFormat="1" applyFont="1" applyFill="1" applyBorder="1" applyAlignment="1">
      <alignment horizontal="center"/>
    </xf>
    <xf numFmtId="164" fontId="30" fillId="0" borderId="5" xfId="4" applyNumberFormat="1" applyFont="1" applyFill="1" applyBorder="1" applyAlignment="1">
      <alignment horizontal="center"/>
    </xf>
    <xf numFmtId="3" fontId="55" fillId="4" borderId="3" xfId="1" applyNumberFormat="1" applyFont="1" applyFill="1" applyBorder="1" applyAlignment="1">
      <alignment horizontal="center"/>
    </xf>
    <xf numFmtId="3" fontId="55" fillId="4" borderId="4" xfId="1" applyNumberFormat="1" applyFont="1" applyFill="1" applyBorder="1" applyAlignment="1">
      <alignment horizontal="center"/>
    </xf>
    <xf numFmtId="3" fontId="55" fillId="4" borderId="5" xfId="1" applyNumberFormat="1" applyFont="1" applyFill="1" applyBorder="1" applyAlignment="1">
      <alignment horizontal="center"/>
    </xf>
    <xf numFmtId="0" fontId="17" fillId="0" borderId="3" xfId="1" applyFont="1" applyBorder="1" applyAlignment="1">
      <alignment horizontal="left" vertical="top"/>
    </xf>
    <xf numFmtId="0" fontId="17" fillId="0" borderId="4" xfId="1" applyFont="1" applyBorder="1" applyAlignment="1">
      <alignment horizontal="left" vertical="top"/>
    </xf>
    <xf numFmtId="0" fontId="27" fillId="0" borderId="3" xfId="1" applyFont="1" applyFill="1" applyBorder="1" applyAlignment="1">
      <alignment horizontal="left" vertical="center"/>
    </xf>
    <xf numFmtId="0" fontId="27" fillId="0" borderId="5" xfId="1" applyFont="1" applyFill="1" applyBorder="1" applyAlignment="1">
      <alignment horizontal="left" vertical="center"/>
    </xf>
    <xf numFmtId="0" fontId="33" fillId="0" borderId="3" xfId="1" applyFont="1" applyFill="1" applyBorder="1" applyAlignment="1">
      <alignment horizontal="left"/>
    </xf>
    <xf numFmtId="0" fontId="33" fillId="0" borderId="5" xfId="1" applyFont="1" applyFill="1" applyBorder="1" applyAlignment="1">
      <alignment horizontal="left"/>
    </xf>
    <xf numFmtId="3" fontId="49" fillId="0" borderId="3" xfId="1" applyNumberFormat="1" applyFont="1" applyBorder="1" applyAlignment="1">
      <alignment horizontal="center"/>
    </xf>
    <xf numFmtId="3" fontId="49" fillId="0" borderId="4" xfId="1" applyNumberFormat="1" applyFont="1" applyBorder="1" applyAlignment="1">
      <alignment horizontal="center"/>
    </xf>
    <xf numFmtId="3" fontId="49" fillId="0" borderId="5" xfId="1" applyNumberFormat="1" applyFont="1" applyBorder="1" applyAlignment="1">
      <alignment horizontal="center"/>
    </xf>
    <xf numFmtId="38" fontId="30" fillId="0" borderId="3" xfId="1" applyNumberFormat="1" applyFont="1" applyBorder="1" applyAlignment="1">
      <alignment horizontal="center"/>
    </xf>
    <xf numFmtId="38" fontId="30" fillId="0" borderId="4" xfId="1" applyNumberFormat="1" applyFont="1" applyBorder="1" applyAlignment="1">
      <alignment horizontal="center"/>
    </xf>
    <xf numFmtId="38" fontId="30" fillId="0" borderId="5" xfId="1" applyNumberFormat="1" applyFont="1" applyBorder="1" applyAlignment="1">
      <alignment horizontal="center"/>
    </xf>
    <xf numFmtId="0" fontId="26" fillId="0" borderId="3" xfId="1" applyFont="1" applyBorder="1" applyAlignment="1">
      <alignment horizontal="center"/>
    </xf>
    <xf numFmtId="0" fontId="26" fillId="0" borderId="4" xfId="1" applyFont="1" applyBorder="1" applyAlignment="1">
      <alignment horizontal="center"/>
    </xf>
    <xf numFmtId="0" fontId="26" fillId="0" borderId="5" xfId="1" applyFont="1" applyBorder="1" applyAlignment="1">
      <alignment horizontal="center"/>
    </xf>
    <xf numFmtId="0" fontId="30" fillId="0" borderId="9" xfId="1" applyFont="1" applyBorder="1" applyAlignment="1">
      <alignment horizontal="center"/>
    </xf>
    <xf numFmtId="0" fontId="30" fillId="0" borderId="6" xfId="1" applyFont="1" applyBorder="1" applyAlignment="1">
      <alignment horizontal="center"/>
    </xf>
    <xf numFmtId="0" fontId="30" fillId="0" borderId="8" xfId="1" applyFont="1" applyBorder="1" applyAlignment="1">
      <alignment horizontal="center"/>
    </xf>
    <xf numFmtId="0" fontId="30" fillId="0" borderId="20" xfId="1" applyFont="1" applyBorder="1" applyAlignment="1">
      <alignment horizontal="center"/>
    </xf>
    <xf numFmtId="0" fontId="30" fillId="0" borderId="22" xfId="1" applyFont="1" applyBorder="1" applyAlignment="1">
      <alignment horizontal="center"/>
    </xf>
    <xf numFmtId="0" fontId="30" fillId="0" borderId="21" xfId="1" applyFont="1" applyBorder="1" applyAlignment="1">
      <alignment horizontal="center"/>
    </xf>
    <xf numFmtId="0" fontId="26" fillId="0" borderId="3" xfId="1" applyFont="1" applyFill="1" applyBorder="1" applyAlignment="1">
      <alignment horizontal="left" vertical="center"/>
    </xf>
    <xf numFmtId="0" fontId="26" fillId="0" borderId="4" xfId="1" applyFont="1" applyFill="1" applyBorder="1" applyAlignment="1">
      <alignment horizontal="left" vertical="center"/>
    </xf>
    <xf numFmtId="0" fontId="26" fillId="0" borderId="5" xfId="1" applyFont="1" applyFill="1" applyBorder="1" applyAlignment="1">
      <alignment horizontal="left" vertical="center"/>
    </xf>
    <xf numFmtId="38" fontId="48" fillId="0" borderId="3" xfId="1" applyNumberFormat="1" applyFont="1" applyBorder="1" applyAlignment="1">
      <alignment horizontal="center"/>
    </xf>
    <xf numFmtId="38" fontId="48" fillId="0" borderId="4" xfId="1" applyNumberFormat="1" applyFont="1" applyBorder="1" applyAlignment="1">
      <alignment horizontal="center"/>
    </xf>
    <xf numFmtId="38" fontId="48" fillId="0" borderId="5" xfId="1" applyNumberFormat="1" applyFont="1" applyBorder="1" applyAlignment="1">
      <alignment horizontal="center"/>
    </xf>
    <xf numFmtId="38" fontId="24" fillId="0" borderId="3" xfId="1" applyNumberFormat="1" applyFont="1" applyBorder="1" applyAlignment="1">
      <alignment horizontal="center"/>
    </xf>
    <xf numFmtId="38" fontId="24" fillId="0" borderId="4" xfId="1" applyNumberFormat="1" applyFont="1" applyBorder="1" applyAlignment="1">
      <alignment horizontal="center"/>
    </xf>
    <xf numFmtId="38" fontId="24" fillId="0" borderId="5" xfId="1" applyNumberFormat="1" applyFont="1" applyBorder="1" applyAlignment="1">
      <alignment horizontal="center"/>
    </xf>
    <xf numFmtId="0" fontId="33" fillId="0" borderId="1" xfId="1" applyFont="1" applyBorder="1" applyAlignment="1">
      <alignment horizontal="left" vertical="center"/>
    </xf>
    <xf numFmtId="0" fontId="33" fillId="0" borderId="19" xfId="1" applyFont="1" applyBorder="1" applyAlignment="1">
      <alignment horizontal="left" vertical="center"/>
    </xf>
    <xf numFmtId="0" fontId="33" fillId="0" borderId="2" xfId="1" applyFont="1" applyBorder="1" applyAlignment="1">
      <alignment horizontal="left" vertical="center"/>
    </xf>
    <xf numFmtId="0" fontId="17" fillId="0" borderId="3" xfId="1" applyFont="1" applyFill="1" applyBorder="1" applyAlignment="1">
      <alignment horizontal="left" vertical="center"/>
    </xf>
    <xf numFmtId="0" fontId="17" fillId="0" borderId="5" xfId="1" applyFont="1" applyFill="1" applyBorder="1" applyAlignment="1">
      <alignment horizontal="left" vertical="center"/>
    </xf>
    <xf numFmtId="0" fontId="30" fillId="0" borderId="3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30" fillId="0" borderId="5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top" wrapText="1"/>
    </xf>
    <xf numFmtId="0" fontId="28" fillId="0" borderId="4" xfId="1" applyFont="1" applyBorder="1" applyAlignment="1">
      <alignment horizontal="center" vertical="top" wrapText="1"/>
    </xf>
    <xf numFmtId="0" fontId="28" fillId="0" borderId="5" xfId="1" applyFont="1" applyBorder="1" applyAlignment="1">
      <alignment horizontal="center" vertical="top" wrapText="1"/>
    </xf>
    <xf numFmtId="0" fontId="27" fillId="0" borderId="3" xfId="1" applyFont="1" applyFill="1" applyBorder="1" applyAlignment="1">
      <alignment horizontal="left" vertical="center" wrapText="1"/>
    </xf>
    <xf numFmtId="0" fontId="27" fillId="0" borderId="5" xfId="1" applyFont="1" applyFill="1" applyBorder="1" applyAlignment="1">
      <alignment horizontal="left" vertical="center" wrapText="1"/>
    </xf>
    <xf numFmtId="0" fontId="31" fillId="0" borderId="3" xfId="1" applyFont="1" applyBorder="1" applyAlignment="1">
      <alignment horizontal="left" vertical="top" wrapText="1"/>
    </xf>
    <xf numFmtId="0" fontId="31" fillId="0" borderId="4" xfId="1" applyFont="1" applyBorder="1" applyAlignment="1">
      <alignment horizontal="left" vertical="top" wrapText="1"/>
    </xf>
    <xf numFmtId="0" fontId="31" fillId="0" borderId="5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15" fillId="0" borderId="15" xfId="1" quotePrefix="1" applyFont="1" applyBorder="1" applyAlignment="1">
      <alignment horizontal="center" vertical="center"/>
    </xf>
    <xf numFmtId="0" fontId="15" fillId="0" borderId="0" xfId="1" quotePrefix="1" applyFont="1" applyBorder="1" applyAlignment="1">
      <alignment horizontal="center" vertical="center"/>
    </xf>
    <xf numFmtId="0" fontId="15" fillId="0" borderId="16" xfId="1" quotePrefix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6" fillId="0" borderId="22" xfId="1" applyFont="1" applyBorder="1" applyAlignment="1">
      <alignment horizontal="left" vertical="center"/>
    </xf>
    <xf numFmtId="0" fontId="16" fillId="0" borderId="2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3" fillId="3" borderId="9" xfId="2" applyFont="1" applyFill="1" applyBorder="1" applyAlignment="1">
      <alignment horizontal="center" vertical="center" wrapText="1"/>
    </xf>
    <xf numFmtId="0" fontId="13" fillId="3" borderId="6" xfId="2" applyFont="1" applyFill="1" applyBorder="1" applyAlignment="1">
      <alignment horizontal="center" vertical="center" wrapText="1"/>
    </xf>
    <xf numFmtId="0" fontId="13" fillId="3" borderId="10" xfId="2" applyFont="1" applyFill="1" applyBorder="1" applyAlignment="1">
      <alignment horizontal="center" vertical="center" wrapText="1"/>
    </xf>
    <xf numFmtId="0" fontId="13" fillId="3" borderId="15" xfId="2" applyFont="1" applyFill="1" applyBorder="1" applyAlignment="1">
      <alignment horizontal="center" vertical="center" wrapText="1"/>
    </xf>
    <xf numFmtId="0" fontId="13" fillId="3" borderId="0" xfId="2" applyFont="1" applyFill="1" applyBorder="1" applyAlignment="1">
      <alignment horizontal="center" vertical="center" wrapText="1"/>
    </xf>
    <xf numFmtId="0" fontId="13" fillId="3" borderId="17" xfId="2" applyFont="1" applyFill="1" applyBorder="1" applyAlignment="1">
      <alignment horizontal="center" vertical="center" wrapText="1"/>
    </xf>
    <xf numFmtId="0" fontId="13" fillId="3" borderId="20" xfId="2" applyFont="1" applyFill="1" applyBorder="1" applyAlignment="1">
      <alignment horizontal="center" vertical="center" wrapText="1"/>
    </xf>
    <xf numFmtId="0" fontId="13" fillId="3" borderId="22" xfId="2" applyFont="1" applyFill="1" applyBorder="1" applyAlignment="1">
      <alignment horizontal="center" vertical="center" wrapText="1"/>
    </xf>
    <xf numFmtId="0" fontId="13" fillId="3" borderId="23" xfId="2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4" fillId="0" borderId="9" xfId="0" quotePrefix="1" applyFont="1" applyFill="1" applyBorder="1" applyAlignment="1">
      <alignment horizontal="center" vertical="center"/>
    </xf>
    <xf numFmtId="0" fontId="14" fillId="0" borderId="8" xfId="0" quotePrefix="1" applyFont="1" applyFill="1" applyBorder="1" applyAlignment="1">
      <alignment horizontal="center" vertical="center"/>
    </xf>
    <xf numFmtId="0" fontId="14" fillId="0" borderId="15" xfId="0" quotePrefix="1" applyFont="1" applyFill="1" applyBorder="1" applyAlignment="1">
      <alignment horizontal="center" vertical="center"/>
    </xf>
    <xf numFmtId="0" fontId="14" fillId="0" borderId="16" xfId="0" quotePrefix="1" applyFont="1" applyFill="1" applyBorder="1" applyAlignment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/>
    </xf>
    <xf numFmtId="0" fontId="14" fillId="0" borderId="19" xfId="0" quotePrefix="1" applyFont="1" applyFill="1" applyBorder="1" applyAlignment="1">
      <alignment horizontal="center" vertical="center"/>
    </xf>
    <xf numFmtId="0" fontId="14" fillId="0" borderId="2" xfId="0" quotePrefix="1" applyFont="1" applyFill="1" applyBorder="1" applyAlignment="1">
      <alignment horizontal="center" vertical="center"/>
    </xf>
    <xf numFmtId="164" fontId="49" fillId="0" borderId="3" xfId="4" applyNumberFormat="1" applyFont="1" applyBorder="1" applyAlignment="1">
      <alignment horizontal="center"/>
    </xf>
    <xf numFmtId="164" fontId="49" fillId="0" borderId="4" xfId="4" applyNumberFormat="1" applyFont="1" applyBorder="1" applyAlignment="1">
      <alignment horizontal="center"/>
    </xf>
    <xf numFmtId="164" fontId="49" fillId="0" borderId="5" xfId="4" applyNumberFormat="1" applyFont="1" applyBorder="1" applyAlignment="1">
      <alignment horizontal="center"/>
    </xf>
    <xf numFmtId="164" fontId="56" fillId="0" borderId="3" xfId="4" applyNumberFormat="1" applyFont="1" applyBorder="1" applyAlignment="1">
      <alignment horizontal="center"/>
    </xf>
    <xf numFmtId="164" fontId="56" fillId="0" borderId="4" xfId="4" applyNumberFormat="1" applyFont="1" applyBorder="1" applyAlignment="1">
      <alignment horizontal="center"/>
    </xf>
    <xf numFmtId="164" fontId="56" fillId="0" borderId="5" xfId="4" applyNumberFormat="1" applyFont="1" applyBorder="1" applyAlignment="1">
      <alignment horizontal="center"/>
    </xf>
    <xf numFmtId="0" fontId="57" fillId="0" borderId="7" xfId="0" applyFont="1" applyBorder="1" applyAlignment="1">
      <alignment horizontal="center"/>
    </xf>
  </cellXfs>
  <cellStyles count="6">
    <cellStyle name="Comma" xfId="5" builtinId="3"/>
    <cellStyle name="Comma 2" xfId="4"/>
    <cellStyle name="Hyperlink 2" xfId="3"/>
    <cellStyle name="Normal" xfId="0" builtinId="0"/>
    <cellStyle name="Normal 24" xfId="1"/>
    <cellStyle name="Normal 3" xfId="2"/>
  </cellStyles>
  <dxfs count="3"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3</xdr:row>
      <xdr:rowOff>114300</xdr:rowOff>
    </xdr:from>
    <xdr:to>
      <xdr:col>7</xdr:col>
      <xdr:colOff>1228725</xdr:colOff>
      <xdr:row>6</xdr:row>
      <xdr:rowOff>171450</xdr:rowOff>
    </xdr:to>
    <xdr:pic>
      <xdr:nvPicPr>
        <xdr:cNvPr id="2" name="Picture 9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5" t="31770" r="39063" b="36458"/>
        <a:stretch>
          <a:fillRect/>
        </a:stretch>
      </xdr:blipFill>
      <xdr:spPr bwMode="auto">
        <a:xfrm>
          <a:off x="11496675" y="733425"/>
          <a:ext cx="11049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1629776</xdr:colOff>
      <xdr:row>2</xdr:row>
      <xdr:rowOff>0</xdr:rowOff>
    </xdr:from>
    <xdr:to>
      <xdr:col>17</xdr:col>
      <xdr:colOff>502226</xdr:colOff>
      <xdr:row>7</xdr:row>
      <xdr:rowOff>34637</xdr:rowOff>
    </xdr:to>
    <xdr:pic>
      <xdr:nvPicPr>
        <xdr:cNvPr id="3" name="Picture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37" b="7117"/>
        <a:stretch/>
      </xdr:blipFill>
      <xdr:spPr bwMode="auto">
        <a:xfrm>
          <a:off x="18317576" y="381000"/>
          <a:ext cx="6778200" cy="1463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619125</xdr:colOff>
      <xdr:row>79</xdr:row>
      <xdr:rowOff>123825</xdr:rowOff>
    </xdr:from>
    <xdr:to>
      <xdr:col>6</xdr:col>
      <xdr:colOff>808759</xdr:colOff>
      <xdr:row>84</xdr:row>
      <xdr:rowOff>95250</xdr:rowOff>
    </xdr:to>
    <xdr:pic>
      <xdr:nvPicPr>
        <xdr:cNvPr id="4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38804850"/>
          <a:ext cx="923059" cy="1019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3</xdr:row>
      <xdr:rowOff>114300</xdr:rowOff>
    </xdr:from>
    <xdr:to>
      <xdr:col>7</xdr:col>
      <xdr:colOff>1228725</xdr:colOff>
      <xdr:row>6</xdr:row>
      <xdr:rowOff>171450</xdr:rowOff>
    </xdr:to>
    <xdr:pic>
      <xdr:nvPicPr>
        <xdr:cNvPr id="2" name="Picture 9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5" t="31770" r="39063" b="36458"/>
        <a:stretch>
          <a:fillRect/>
        </a:stretch>
      </xdr:blipFill>
      <xdr:spPr bwMode="auto">
        <a:xfrm>
          <a:off x="11172825" y="733425"/>
          <a:ext cx="11049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36503</xdr:colOff>
      <xdr:row>1</xdr:row>
      <xdr:rowOff>138545</xdr:rowOff>
    </xdr:from>
    <xdr:to>
      <xdr:col>17</xdr:col>
      <xdr:colOff>554181</xdr:colOff>
      <xdr:row>6</xdr:row>
      <xdr:rowOff>173182</xdr:rowOff>
    </xdr:to>
    <xdr:pic>
      <xdr:nvPicPr>
        <xdr:cNvPr id="3" name="Picture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37" b="7117"/>
        <a:stretch/>
      </xdr:blipFill>
      <xdr:spPr bwMode="auto">
        <a:xfrm>
          <a:off x="18376458" y="329045"/>
          <a:ext cx="6786859" cy="1472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619125</xdr:colOff>
      <xdr:row>80</xdr:row>
      <xdr:rowOff>123825</xdr:rowOff>
    </xdr:from>
    <xdr:to>
      <xdr:col>6</xdr:col>
      <xdr:colOff>808759</xdr:colOff>
      <xdr:row>85</xdr:row>
      <xdr:rowOff>95250</xdr:rowOff>
    </xdr:to>
    <xdr:pic>
      <xdr:nvPicPr>
        <xdr:cNvPr id="4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35633025"/>
          <a:ext cx="923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guh.iman21@gmail.com" TargetMode="External"/><Relationship Id="rId2" Type="http://schemas.openxmlformats.org/officeDocument/2006/relationships/hyperlink" Target="mailto:teguh.iman21@gmail.com" TargetMode="External"/><Relationship Id="rId1" Type="http://schemas.openxmlformats.org/officeDocument/2006/relationships/hyperlink" Target="mailto:tonywaeyoo@yahoo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guh.iman21@gmail.com" TargetMode="External"/><Relationship Id="rId2" Type="http://schemas.openxmlformats.org/officeDocument/2006/relationships/hyperlink" Target="mailto:teguh.iman21@gmail.com" TargetMode="External"/><Relationship Id="rId1" Type="http://schemas.openxmlformats.org/officeDocument/2006/relationships/hyperlink" Target="mailto:tonywaeyoo@yahoo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6"/>
  <sheetViews>
    <sheetView showGridLines="0" tabSelected="1" view="pageBreakPreview" topLeftCell="A28" zoomScale="55" zoomScaleNormal="85" zoomScaleSheetLayoutView="55" workbookViewId="0">
      <selection activeCell="D34" sqref="D34"/>
    </sheetView>
  </sheetViews>
  <sheetFormatPr defaultRowHeight="15" x14ac:dyDescent="0.25"/>
  <cols>
    <col min="1" max="1" width="3" style="1" customWidth="1"/>
    <col min="2" max="2" width="6.140625" style="1" customWidth="1"/>
    <col min="3" max="3" width="35" style="1" customWidth="1"/>
    <col min="4" max="4" width="73" style="1" customWidth="1"/>
    <col min="5" max="5" width="14.140625" style="1" customWidth="1"/>
    <col min="6" max="6" width="11" style="1" customWidth="1"/>
    <col min="7" max="7" width="28.28515625" style="1" customWidth="1"/>
    <col min="8" max="8" width="24.7109375" style="1" customWidth="1"/>
    <col min="9" max="9" width="15" style="1" customWidth="1"/>
    <col min="10" max="10" width="12.5703125" style="1" bestFit="1" customWidth="1"/>
    <col min="11" max="11" width="27.42578125" style="1" customWidth="1"/>
    <col min="12" max="12" width="24.7109375" style="1" customWidth="1"/>
    <col min="13" max="13" width="16.28515625" style="1" customWidth="1"/>
    <col min="14" max="14" width="11" style="1" customWidth="1"/>
    <col min="15" max="15" width="23.85546875" style="1" customWidth="1"/>
    <col min="16" max="16" width="27.7109375" style="1" customWidth="1"/>
    <col min="17" max="17" width="15" style="1" customWidth="1"/>
    <col min="18" max="18" width="8.85546875" style="1" customWidth="1"/>
    <col min="19" max="19" width="23.7109375" style="1" customWidth="1"/>
    <col min="20" max="20" width="26.85546875" style="1" customWidth="1"/>
    <col min="21" max="22" width="2.7109375" style="1" customWidth="1"/>
    <col min="23" max="23" width="14.28515625" style="1" bestFit="1" customWidth="1"/>
    <col min="24" max="24" width="15.28515625" style="1" bestFit="1" customWidth="1"/>
    <col min="25" max="25" width="16.28515625" style="1" customWidth="1"/>
    <col min="26" max="16384" width="9.140625" style="1"/>
  </cols>
  <sheetData>
    <row r="1" spans="1:27" x14ac:dyDescent="0.25">
      <c r="B1" s="368">
        <v>6</v>
      </c>
    </row>
    <row r="2" spans="1:27" x14ac:dyDescent="0.25">
      <c r="B2" s="369"/>
      <c r="C2" s="2"/>
      <c r="L2" s="3"/>
      <c r="M2" s="3"/>
      <c r="N2" s="3"/>
      <c r="O2" s="3"/>
      <c r="P2" s="3"/>
      <c r="Q2" s="3"/>
      <c r="R2" s="3"/>
      <c r="S2" s="3"/>
      <c r="T2" s="3"/>
    </row>
    <row r="3" spans="1:27" ht="18.75" x14ac:dyDescent="0.25">
      <c r="B3" s="4" t="s">
        <v>0</v>
      </c>
      <c r="C3" s="5"/>
      <c r="D3" s="5"/>
      <c r="E3" s="5"/>
      <c r="F3" s="5"/>
      <c r="G3" s="5"/>
      <c r="H3" s="6" t="s">
        <v>1</v>
      </c>
      <c r="I3" s="7" t="s">
        <v>2</v>
      </c>
      <c r="J3" s="7" t="s">
        <v>3</v>
      </c>
      <c r="K3" s="7"/>
      <c r="L3" s="7"/>
      <c r="M3" s="234" t="s">
        <v>4</v>
      </c>
      <c r="N3" s="363" t="s">
        <v>4</v>
      </c>
      <c r="O3" s="363"/>
      <c r="P3" s="234" t="s">
        <v>5</v>
      </c>
      <c r="Q3" s="364" t="s">
        <v>6</v>
      </c>
      <c r="R3" s="365"/>
      <c r="S3" s="235"/>
      <c r="T3" s="370"/>
      <c r="U3" s="371"/>
    </row>
    <row r="4" spans="1:27" ht="31.5" customHeight="1" x14ac:dyDescent="0.25">
      <c r="B4" s="372" t="s">
        <v>7</v>
      </c>
      <c r="C4" s="373"/>
      <c r="D4" s="373"/>
      <c r="E4" s="373"/>
      <c r="F4" s="373"/>
      <c r="G4" s="374"/>
      <c r="H4" s="381"/>
      <c r="I4" s="10" t="s">
        <v>8</v>
      </c>
      <c r="J4" s="11" t="s">
        <v>9</v>
      </c>
      <c r="K4" s="11"/>
      <c r="L4" s="12"/>
      <c r="M4" s="384"/>
      <c r="N4" s="387"/>
      <c r="O4" s="388"/>
      <c r="P4" s="393"/>
      <c r="Q4" s="387"/>
      <c r="R4" s="388"/>
      <c r="S4" s="358"/>
      <c r="T4" s="359"/>
      <c r="U4" s="360"/>
    </row>
    <row r="5" spans="1:27" ht="31.5" customHeight="1" x14ac:dyDescent="0.25">
      <c r="B5" s="375"/>
      <c r="C5" s="376"/>
      <c r="D5" s="376"/>
      <c r="E5" s="376"/>
      <c r="F5" s="376"/>
      <c r="G5" s="377"/>
      <c r="H5" s="382"/>
      <c r="I5" s="10" t="s">
        <v>10</v>
      </c>
      <c r="J5" s="11" t="s">
        <v>11</v>
      </c>
      <c r="K5" s="11"/>
      <c r="L5" s="12"/>
      <c r="M5" s="385"/>
      <c r="N5" s="389"/>
      <c r="O5" s="390"/>
      <c r="P5" s="394"/>
      <c r="Q5" s="389"/>
      <c r="R5" s="390"/>
      <c r="S5" s="358"/>
      <c r="T5" s="359"/>
      <c r="U5" s="360"/>
    </row>
    <row r="6" spans="1:27" ht="15.75" customHeight="1" x14ac:dyDescent="0.25">
      <c r="B6" s="375"/>
      <c r="C6" s="376"/>
      <c r="D6" s="376"/>
      <c r="E6" s="376"/>
      <c r="F6" s="376"/>
      <c r="G6" s="377"/>
      <c r="H6" s="382"/>
      <c r="I6" s="10" t="s">
        <v>12</v>
      </c>
      <c r="J6" s="11" t="s">
        <v>13</v>
      </c>
      <c r="K6" s="11"/>
      <c r="L6" s="12"/>
      <c r="M6" s="386"/>
      <c r="N6" s="391"/>
      <c r="O6" s="392"/>
      <c r="P6" s="395"/>
      <c r="Q6" s="391"/>
      <c r="R6" s="392"/>
      <c r="S6" s="237"/>
      <c r="T6" s="361"/>
      <c r="U6" s="362"/>
    </row>
    <row r="7" spans="1:27" ht="15" customHeight="1" x14ac:dyDescent="0.3">
      <c r="A7" s="14"/>
      <c r="B7" s="378"/>
      <c r="C7" s="379"/>
      <c r="D7" s="379"/>
      <c r="E7" s="379"/>
      <c r="F7" s="379"/>
      <c r="G7" s="380"/>
      <c r="H7" s="383"/>
      <c r="I7" s="15" t="s">
        <v>14</v>
      </c>
      <c r="J7" s="16" t="s">
        <v>15</v>
      </c>
      <c r="K7" s="17"/>
      <c r="L7" s="17"/>
      <c r="M7" s="234" t="s">
        <v>16</v>
      </c>
      <c r="N7" s="363" t="s">
        <v>17</v>
      </c>
      <c r="O7" s="363"/>
      <c r="P7" s="234" t="s">
        <v>18</v>
      </c>
      <c r="Q7" s="364" t="s">
        <v>19</v>
      </c>
      <c r="R7" s="365"/>
      <c r="S7" s="238"/>
      <c r="T7" s="366"/>
      <c r="U7" s="367"/>
    </row>
    <row r="8" spans="1:27" ht="30" customHeight="1" x14ac:dyDescent="0.4">
      <c r="A8" s="14"/>
      <c r="B8" s="19"/>
      <c r="C8" s="20" t="s">
        <v>20</v>
      </c>
      <c r="D8" s="21" t="s">
        <v>114</v>
      </c>
      <c r="E8" s="22"/>
      <c r="F8" s="23"/>
      <c r="G8" s="24"/>
      <c r="H8" s="25"/>
      <c r="I8" s="25"/>
      <c r="J8" s="25"/>
      <c r="K8" s="26"/>
      <c r="L8" s="27"/>
      <c r="M8" s="27"/>
      <c r="N8" s="27"/>
      <c r="O8" s="27"/>
      <c r="P8" s="27"/>
      <c r="Q8" s="27"/>
      <c r="R8" s="3"/>
      <c r="S8" s="3"/>
      <c r="T8" s="3"/>
      <c r="U8" s="28"/>
    </row>
    <row r="9" spans="1:27" ht="30" customHeight="1" x14ac:dyDescent="0.4">
      <c r="A9" s="14"/>
      <c r="B9" s="19"/>
      <c r="C9" s="20" t="s">
        <v>21</v>
      </c>
      <c r="D9" s="21" t="s">
        <v>115</v>
      </c>
      <c r="E9" s="22"/>
      <c r="F9" s="23"/>
      <c r="G9" s="24"/>
      <c r="H9" s="25"/>
      <c r="I9" s="25"/>
      <c r="J9" s="25"/>
      <c r="K9" s="29" t="s">
        <v>22</v>
      </c>
      <c r="L9" s="30"/>
      <c r="M9" s="30"/>
      <c r="N9" s="30"/>
      <c r="O9" s="30"/>
      <c r="P9" s="30"/>
      <c r="Q9" s="27"/>
      <c r="R9" s="3"/>
      <c r="S9" s="3"/>
      <c r="T9" s="3"/>
      <c r="U9" s="28"/>
    </row>
    <row r="10" spans="1:27" ht="30" customHeight="1" x14ac:dyDescent="0.4">
      <c r="A10" s="14"/>
      <c r="B10" s="19"/>
      <c r="C10" s="20" t="s">
        <v>23</v>
      </c>
      <c r="D10" s="21" t="s">
        <v>114</v>
      </c>
      <c r="E10" s="31"/>
      <c r="F10" s="32"/>
      <c r="G10" s="25"/>
      <c r="H10" s="25"/>
      <c r="I10" s="25"/>
      <c r="J10" s="25"/>
      <c r="K10" s="33" t="s">
        <v>24</v>
      </c>
      <c r="L10" s="33" t="s">
        <v>25</v>
      </c>
      <c r="M10" s="34"/>
      <c r="N10" s="34"/>
      <c r="O10" s="34"/>
      <c r="P10" s="34"/>
      <c r="Q10" s="27"/>
      <c r="R10" s="3"/>
      <c r="S10" s="3"/>
      <c r="T10" s="3"/>
      <c r="U10" s="28"/>
    </row>
    <row r="11" spans="1:27" ht="30" customHeight="1" x14ac:dyDescent="0.4">
      <c r="A11" s="14"/>
      <c r="B11" s="19"/>
      <c r="C11" s="20" t="s">
        <v>26</v>
      </c>
      <c r="D11" s="21" t="s">
        <v>175</v>
      </c>
      <c r="E11" s="32"/>
      <c r="F11" s="32"/>
      <c r="G11" s="25"/>
      <c r="H11" s="25"/>
      <c r="I11" s="25"/>
      <c r="J11" s="25"/>
      <c r="K11" s="35"/>
      <c r="L11" s="35" t="s">
        <v>27</v>
      </c>
      <c r="M11" s="36"/>
      <c r="N11" s="36"/>
      <c r="O11" s="36"/>
      <c r="P11" s="36"/>
      <c r="Q11" s="27"/>
      <c r="R11" s="3"/>
      <c r="S11" s="3"/>
      <c r="T11" s="3"/>
      <c r="U11" s="28"/>
    </row>
    <row r="12" spans="1:27" ht="9.9499999999999993" customHeight="1" x14ac:dyDescent="0.35">
      <c r="A12" s="14"/>
      <c r="B12" s="19"/>
      <c r="C12" s="37"/>
      <c r="D12" s="22"/>
      <c r="E12" s="32"/>
      <c r="F12" s="32"/>
      <c r="G12" s="25"/>
      <c r="H12" s="25"/>
      <c r="I12" s="25"/>
      <c r="J12" s="25"/>
      <c r="K12" s="27"/>
      <c r="L12" s="27"/>
      <c r="M12" s="27"/>
      <c r="N12" s="27"/>
      <c r="O12" s="27"/>
      <c r="P12" s="27"/>
      <c r="Q12" s="27"/>
      <c r="R12" s="3"/>
      <c r="S12" s="3"/>
      <c r="T12" s="3"/>
      <c r="U12" s="28"/>
    </row>
    <row r="13" spans="1:27" ht="56.25" customHeight="1" x14ac:dyDescent="0.25">
      <c r="B13" s="236" t="s">
        <v>28</v>
      </c>
      <c r="C13" s="354" t="s">
        <v>29</v>
      </c>
      <c r="D13" s="355"/>
      <c r="E13" s="356" t="s">
        <v>30</v>
      </c>
      <c r="F13" s="356"/>
      <c r="G13" s="356"/>
      <c r="H13" s="356"/>
      <c r="I13" s="356" t="s">
        <v>31</v>
      </c>
      <c r="J13" s="356"/>
      <c r="K13" s="356"/>
      <c r="L13" s="356"/>
      <c r="M13" s="356" t="s">
        <v>32</v>
      </c>
      <c r="N13" s="356"/>
      <c r="O13" s="356"/>
      <c r="P13" s="356"/>
      <c r="Q13" s="354" t="s">
        <v>33</v>
      </c>
      <c r="R13" s="357"/>
      <c r="S13" s="357"/>
      <c r="T13" s="355"/>
      <c r="U13" s="28"/>
    </row>
    <row r="14" spans="1:27" ht="35.1" customHeight="1" x14ac:dyDescent="0.25">
      <c r="B14" s="293">
        <v>1</v>
      </c>
      <c r="C14" s="39" t="s">
        <v>34</v>
      </c>
      <c r="D14" s="40"/>
      <c r="E14" s="41"/>
      <c r="F14" s="42"/>
      <c r="G14" s="42"/>
      <c r="H14" s="43"/>
      <c r="I14" s="41"/>
      <c r="J14" s="44"/>
      <c r="K14" s="44"/>
      <c r="L14" s="45"/>
      <c r="M14" s="44"/>
      <c r="N14" s="44"/>
      <c r="O14" s="44"/>
      <c r="P14" s="44"/>
      <c r="Q14" s="44"/>
      <c r="R14" s="44"/>
      <c r="S14" s="44"/>
      <c r="T14" s="45"/>
      <c r="U14" s="28"/>
      <c r="Y14" s="3"/>
      <c r="Z14" s="3"/>
      <c r="AA14" s="3"/>
    </row>
    <row r="15" spans="1:27" s="46" customFormat="1" ht="57" customHeight="1" x14ac:dyDescent="0.35">
      <c r="B15" s="294"/>
      <c r="C15" s="349" t="s">
        <v>35</v>
      </c>
      <c r="D15" s="350"/>
      <c r="E15" s="346" t="s">
        <v>116</v>
      </c>
      <c r="F15" s="347"/>
      <c r="G15" s="347"/>
      <c r="H15" s="348"/>
      <c r="I15" s="346" t="s">
        <v>117</v>
      </c>
      <c r="J15" s="347"/>
      <c r="K15" s="347"/>
      <c r="L15" s="348"/>
      <c r="M15" s="346" t="s">
        <v>118</v>
      </c>
      <c r="N15" s="347"/>
      <c r="O15" s="347"/>
      <c r="P15" s="348"/>
      <c r="Q15" s="346" t="s">
        <v>119</v>
      </c>
      <c r="R15" s="347"/>
      <c r="S15" s="347"/>
      <c r="T15" s="348"/>
      <c r="U15" s="47"/>
      <c r="V15" s="48"/>
      <c r="Y15" s="49"/>
      <c r="Z15" s="49"/>
      <c r="AA15" s="50"/>
    </row>
    <row r="16" spans="1:27" s="46" customFormat="1" ht="78" customHeight="1" x14ac:dyDescent="0.25">
      <c r="B16" s="294"/>
      <c r="C16" s="349" t="s">
        <v>36</v>
      </c>
      <c r="D16" s="350"/>
      <c r="E16" s="351" t="s">
        <v>120</v>
      </c>
      <c r="F16" s="352"/>
      <c r="G16" s="352"/>
      <c r="H16" s="353"/>
      <c r="I16" s="351" t="s">
        <v>121</v>
      </c>
      <c r="J16" s="352"/>
      <c r="K16" s="352"/>
      <c r="L16" s="353"/>
      <c r="M16" s="351" t="s">
        <v>122</v>
      </c>
      <c r="N16" s="352"/>
      <c r="O16" s="352"/>
      <c r="P16" s="353"/>
      <c r="Q16" s="351" t="s">
        <v>123</v>
      </c>
      <c r="R16" s="352"/>
      <c r="S16" s="352"/>
      <c r="T16" s="353"/>
      <c r="U16" s="51"/>
      <c r="V16" s="52"/>
      <c r="Y16" s="53"/>
      <c r="Z16" s="53"/>
      <c r="AA16" s="53"/>
    </row>
    <row r="17" spans="2:27" s="46" customFormat="1" ht="35.1" customHeight="1" x14ac:dyDescent="0.35">
      <c r="B17" s="294"/>
      <c r="C17" s="338" t="s">
        <v>37</v>
      </c>
      <c r="D17" s="54" t="s">
        <v>38</v>
      </c>
      <c r="E17" s="55" t="s">
        <v>124</v>
      </c>
      <c r="F17" s="42"/>
      <c r="G17" s="42"/>
      <c r="H17" s="43"/>
      <c r="I17" s="55" t="s">
        <v>125</v>
      </c>
      <c r="J17" s="56"/>
      <c r="K17" s="56"/>
      <c r="L17" s="57"/>
      <c r="M17" s="55" t="s">
        <v>126</v>
      </c>
      <c r="N17" s="58"/>
      <c r="O17" s="58"/>
      <c r="P17" s="59"/>
      <c r="Q17" s="60" t="s">
        <v>127</v>
      </c>
      <c r="R17" s="61"/>
      <c r="S17" s="61"/>
      <c r="T17" s="62"/>
      <c r="U17" s="63"/>
      <c r="V17" s="64"/>
      <c r="Y17" s="65"/>
      <c r="Z17" s="65"/>
      <c r="AA17" s="66"/>
    </row>
    <row r="18" spans="2:27" s="46" customFormat="1" ht="35.1" customHeight="1" x14ac:dyDescent="0.35">
      <c r="B18" s="294"/>
      <c r="C18" s="339"/>
      <c r="D18" s="54" t="s">
        <v>39</v>
      </c>
      <c r="E18" s="67" t="s">
        <v>128</v>
      </c>
      <c r="F18" s="68"/>
      <c r="G18" s="68"/>
      <c r="H18" s="69"/>
      <c r="I18" s="67" t="s">
        <v>129</v>
      </c>
      <c r="J18" s="70"/>
      <c r="K18" s="70"/>
      <c r="L18" s="71"/>
      <c r="M18" s="67" t="s">
        <v>130</v>
      </c>
      <c r="N18" s="68"/>
      <c r="O18" s="68"/>
      <c r="P18" s="71"/>
      <c r="Q18" s="72" t="s">
        <v>131</v>
      </c>
      <c r="R18" s="73"/>
      <c r="S18" s="73"/>
      <c r="T18" s="74"/>
      <c r="U18" s="51"/>
      <c r="V18" s="75"/>
      <c r="Y18" s="76"/>
      <c r="Z18" s="76"/>
      <c r="AA18" s="77"/>
    </row>
    <row r="19" spans="2:27" s="46" customFormat="1" ht="35.1" customHeight="1" x14ac:dyDescent="0.4">
      <c r="B19" s="295"/>
      <c r="C19" s="340"/>
      <c r="D19" s="54" t="s">
        <v>40</v>
      </c>
      <c r="E19" s="78" t="s">
        <v>132</v>
      </c>
      <c r="F19" s="79"/>
      <c r="G19" s="79"/>
      <c r="H19" s="80"/>
      <c r="I19" s="78" t="s">
        <v>133</v>
      </c>
      <c r="J19" s="81"/>
      <c r="K19" s="81"/>
      <c r="L19" s="80"/>
      <c r="M19" s="78" t="s">
        <v>134</v>
      </c>
      <c r="N19" s="82"/>
      <c r="O19" s="82"/>
      <c r="P19" s="83"/>
      <c r="Q19" s="84" t="s">
        <v>135</v>
      </c>
      <c r="R19" s="79"/>
      <c r="S19" s="79"/>
      <c r="T19" s="85"/>
      <c r="U19" s="86"/>
      <c r="V19" s="75"/>
      <c r="Y19" s="49"/>
      <c r="Z19" s="49"/>
      <c r="AA19" s="87"/>
    </row>
    <row r="20" spans="2:27" s="46" customFormat="1" ht="35.1" customHeight="1" x14ac:dyDescent="0.35">
      <c r="B20" s="88">
        <v>2</v>
      </c>
      <c r="C20" s="89" t="s">
        <v>41</v>
      </c>
      <c r="D20" s="89"/>
      <c r="E20" s="281" t="s">
        <v>136</v>
      </c>
      <c r="F20" s="282"/>
      <c r="G20" s="282"/>
      <c r="H20" s="283"/>
      <c r="I20" s="281" t="s">
        <v>137</v>
      </c>
      <c r="J20" s="282"/>
      <c r="K20" s="282"/>
      <c r="L20" s="283"/>
      <c r="M20" s="281" t="s">
        <v>138</v>
      </c>
      <c r="N20" s="282"/>
      <c r="O20" s="282"/>
      <c r="P20" s="283"/>
      <c r="Q20" s="281" t="s">
        <v>139</v>
      </c>
      <c r="R20" s="282"/>
      <c r="S20" s="282"/>
      <c r="T20" s="283"/>
      <c r="U20" s="63"/>
      <c r="V20" s="75"/>
      <c r="Y20" s="53"/>
      <c r="Z20" s="53"/>
      <c r="AA20" s="53"/>
    </row>
    <row r="21" spans="2:27" s="46" customFormat="1" ht="35.1" customHeight="1" x14ac:dyDescent="0.35">
      <c r="B21" s="293">
        <v>3</v>
      </c>
      <c r="C21" s="341" t="s">
        <v>42</v>
      </c>
      <c r="D21" s="342"/>
      <c r="E21" s="281"/>
      <c r="F21" s="282"/>
      <c r="G21" s="282"/>
      <c r="H21" s="283"/>
      <c r="I21" s="317"/>
      <c r="J21" s="318"/>
      <c r="K21" s="318"/>
      <c r="L21" s="319"/>
      <c r="M21" s="233"/>
      <c r="N21" s="233"/>
      <c r="O21" s="233"/>
      <c r="P21" s="233"/>
      <c r="Q21" s="343"/>
      <c r="R21" s="344"/>
      <c r="S21" s="344"/>
      <c r="T21" s="345"/>
      <c r="U21" s="63"/>
      <c r="Y21" s="53"/>
      <c r="Z21" s="53"/>
      <c r="AA21" s="53"/>
    </row>
    <row r="22" spans="2:27" s="46" customFormat="1" ht="35.1" customHeight="1" x14ac:dyDescent="0.4">
      <c r="B22" s="294"/>
      <c r="C22" s="312" t="s">
        <v>43</v>
      </c>
      <c r="D22" s="313"/>
      <c r="E22" s="332" t="s">
        <v>27</v>
      </c>
      <c r="F22" s="333"/>
      <c r="G22" s="333"/>
      <c r="H22" s="334"/>
      <c r="I22" s="332" t="s">
        <v>27</v>
      </c>
      <c r="J22" s="333"/>
      <c r="K22" s="333"/>
      <c r="L22" s="334"/>
      <c r="M22" s="332" t="s">
        <v>27</v>
      </c>
      <c r="N22" s="333"/>
      <c r="O22" s="333"/>
      <c r="P22" s="334"/>
      <c r="Q22" s="332" t="s">
        <v>27</v>
      </c>
      <c r="R22" s="333"/>
      <c r="S22" s="333"/>
      <c r="T22" s="334"/>
      <c r="U22" s="63"/>
      <c r="Y22" s="53"/>
      <c r="Z22" s="53"/>
      <c r="AA22" s="53"/>
    </row>
    <row r="23" spans="2:27" s="46" customFormat="1" ht="35.1" customHeight="1" x14ac:dyDescent="0.4">
      <c r="B23" s="294"/>
      <c r="C23" s="228" t="s">
        <v>44</v>
      </c>
      <c r="D23" s="229"/>
      <c r="E23" s="332" t="s">
        <v>27</v>
      </c>
      <c r="F23" s="333"/>
      <c r="G23" s="333"/>
      <c r="H23" s="334"/>
      <c r="I23" s="335" t="s">
        <v>27</v>
      </c>
      <c r="J23" s="336"/>
      <c r="K23" s="336"/>
      <c r="L23" s="337"/>
      <c r="M23" s="335" t="s">
        <v>27</v>
      </c>
      <c r="N23" s="336"/>
      <c r="O23" s="336"/>
      <c r="P23" s="337"/>
      <c r="Q23" s="332" t="s">
        <v>27</v>
      </c>
      <c r="R23" s="333"/>
      <c r="S23" s="333"/>
      <c r="T23" s="334"/>
      <c r="U23" s="63"/>
    </row>
    <row r="24" spans="2:27" s="46" customFormat="1" ht="35.1" customHeight="1" x14ac:dyDescent="0.4">
      <c r="B24" s="294"/>
      <c r="C24" s="228" t="s">
        <v>45</v>
      </c>
      <c r="D24" s="229"/>
      <c r="E24" s="332" t="s">
        <v>27</v>
      </c>
      <c r="F24" s="333"/>
      <c r="G24" s="333"/>
      <c r="H24" s="334"/>
      <c r="I24" s="332" t="s">
        <v>27</v>
      </c>
      <c r="J24" s="333"/>
      <c r="K24" s="333"/>
      <c r="L24" s="334"/>
      <c r="M24" s="332" t="s">
        <v>27</v>
      </c>
      <c r="N24" s="333"/>
      <c r="O24" s="333"/>
      <c r="P24" s="334"/>
      <c r="Q24" s="332" t="s">
        <v>27</v>
      </c>
      <c r="R24" s="333"/>
      <c r="S24" s="333"/>
      <c r="T24" s="334"/>
      <c r="U24" s="63"/>
    </row>
    <row r="25" spans="2:27" s="46" customFormat="1" ht="35.1" customHeight="1" x14ac:dyDescent="0.4">
      <c r="B25" s="294"/>
      <c r="C25" s="228" t="s">
        <v>46</v>
      </c>
      <c r="D25" s="229"/>
      <c r="E25" s="332" t="s">
        <v>27</v>
      </c>
      <c r="F25" s="333"/>
      <c r="G25" s="333"/>
      <c r="H25" s="334"/>
      <c r="I25" s="332" t="s">
        <v>27</v>
      </c>
      <c r="J25" s="333"/>
      <c r="K25" s="333"/>
      <c r="L25" s="334"/>
      <c r="M25" s="332" t="s">
        <v>27</v>
      </c>
      <c r="N25" s="333"/>
      <c r="O25" s="333"/>
      <c r="P25" s="334"/>
      <c r="Q25" s="332" t="s">
        <v>27</v>
      </c>
      <c r="R25" s="333"/>
      <c r="S25" s="333"/>
      <c r="T25" s="334"/>
      <c r="U25" s="63"/>
    </row>
    <row r="26" spans="2:27" s="46" customFormat="1" ht="35.1" customHeight="1" x14ac:dyDescent="0.4">
      <c r="B26" s="294"/>
      <c r="C26" s="228" t="s">
        <v>47</v>
      </c>
      <c r="D26" s="229"/>
      <c r="E26" s="332" t="s">
        <v>27</v>
      </c>
      <c r="F26" s="333"/>
      <c r="G26" s="333"/>
      <c r="H26" s="334"/>
      <c r="I26" s="332" t="s">
        <v>27</v>
      </c>
      <c r="J26" s="333"/>
      <c r="K26" s="333"/>
      <c r="L26" s="334"/>
      <c r="M26" s="332" t="s">
        <v>27</v>
      </c>
      <c r="N26" s="333"/>
      <c r="O26" s="333"/>
      <c r="P26" s="334"/>
      <c r="Q26" s="332" t="s">
        <v>27</v>
      </c>
      <c r="R26" s="333"/>
      <c r="S26" s="333"/>
      <c r="T26" s="334"/>
      <c r="U26" s="63"/>
    </row>
    <row r="27" spans="2:27" s="46" customFormat="1" ht="35.1" customHeight="1" x14ac:dyDescent="0.4">
      <c r="B27" s="294"/>
      <c r="C27" s="228" t="s">
        <v>48</v>
      </c>
      <c r="D27" s="229"/>
      <c r="E27" s="332" t="s">
        <v>27</v>
      </c>
      <c r="F27" s="333"/>
      <c r="G27" s="333"/>
      <c r="H27" s="334"/>
      <c r="I27" s="332" t="s">
        <v>27</v>
      </c>
      <c r="J27" s="333"/>
      <c r="K27" s="333"/>
      <c r="L27" s="334"/>
      <c r="M27" s="332" t="s">
        <v>27</v>
      </c>
      <c r="N27" s="333"/>
      <c r="O27" s="333"/>
      <c r="P27" s="334"/>
      <c r="Q27" s="332" t="s">
        <v>27</v>
      </c>
      <c r="R27" s="333"/>
      <c r="S27" s="333"/>
      <c r="T27" s="334"/>
      <c r="U27" s="63"/>
    </row>
    <row r="28" spans="2:27" s="46" customFormat="1" ht="35.1" customHeight="1" x14ac:dyDescent="0.4">
      <c r="B28" s="294"/>
      <c r="C28" s="228" t="s">
        <v>49</v>
      </c>
      <c r="D28" s="229"/>
      <c r="E28" s="332" t="s">
        <v>27</v>
      </c>
      <c r="F28" s="333"/>
      <c r="G28" s="333"/>
      <c r="H28" s="334"/>
      <c r="I28" s="332" t="s">
        <v>27</v>
      </c>
      <c r="J28" s="333"/>
      <c r="K28" s="333"/>
      <c r="L28" s="334"/>
      <c r="M28" s="332" t="s">
        <v>27</v>
      </c>
      <c r="N28" s="333"/>
      <c r="O28" s="333"/>
      <c r="P28" s="334"/>
      <c r="Q28" s="332" t="s">
        <v>27</v>
      </c>
      <c r="R28" s="333"/>
      <c r="S28" s="333"/>
      <c r="T28" s="334"/>
      <c r="U28" s="63"/>
    </row>
    <row r="29" spans="2:27" s="46" customFormat="1" ht="35.1" customHeight="1" x14ac:dyDescent="0.4">
      <c r="B29" s="294"/>
      <c r="C29" s="228" t="s">
        <v>50</v>
      </c>
      <c r="D29" s="229"/>
      <c r="E29" s="317" t="s">
        <v>51</v>
      </c>
      <c r="F29" s="318"/>
      <c r="G29" s="318"/>
      <c r="H29" s="319"/>
      <c r="I29" s="317" t="s">
        <v>51</v>
      </c>
      <c r="J29" s="318"/>
      <c r="K29" s="318"/>
      <c r="L29" s="319"/>
      <c r="M29" s="317" t="s">
        <v>51</v>
      </c>
      <c r="N29" s="318"/>
      <c r="O29" s="318"/>
      <c r="P29" s="319"/>
      <c r="Q29" s="317" t="s">
        <v>51</v>
      </c>
      <c r="R29" s="318"/>
      <c r="S29" s="318"/>
      <c r="T29" s="319"/>
      <c r="U29" s="63"/>
    </row>
    <row r="30" spans="2:27" s="46" customFormat="1" ht="35.1" customHeight="1" x14ac:dyDescent="0.4">
      <c r="B30" s="295"/>
      <c r="C30" s="312" t="s">
        <v>52</v>
      </c>
      <c r="D30" s="313"/>
      <c r="E30" s="317" t="s">
        <v>51</v>
      </c>
      <c r="F30" s="318"/>
      <c r="G30" s="318"/>
      <c r="H30" s="319"/>
      <c r="I30" s="317" t="s">
        <v>51</v>
      </c>
      <c r="J30" s="318"/>
      <c r="K30" s="318"/>
      <c r="L30" s="319"/>
      <c r="M30" s="317" t="s">
        <v>51</v>
      </c>
      <c r="N30" s="318"/>
      <c r="O30" s="318"/>
      <c r="P30" s="319"/>
      <c r="Q30" s="317" t="s">
        <v>51</v>
      </c>
      <c r="R30" s="318"/>
      <c r="S30" s="318"/>
      <c r="T30" s="319"/>
      <c r="U30" s="63"/>
    </row>
    <row r="31" spans="2:27" s="46" customFormat="1" ht="35.1" customHeight="1" x14ac:dyDescent="0.35">
      <c r="B31" s="293">
        <v>5</v>
      </c>
      <c r="C31" s="93" t="s">
        <v>53</v>
      </c>
      <c r="D31" s="94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  <c r="U31" s="63"/>
    </row>
    <row r="32" spans="2:27" s="46" customFormat="1" ht="35.1" customHeight="1" x14ac:dyDescent="0.4">
      <c r="B32" s="294"/>
      <c r="C32" s="97" t="s">
        <v>141</v>
      </c>
      <c r="D32" s="98"/>
      <c r="E32" s="99"/>
      <c r="F32" s="99"/>
      <c r="G32" s="320" t="s">
        <v>54</v>
      </c>
      <c r="H32" s="321"/>
      <c r="I32" s="321"/>
      <c r="J32" s="322"/>
      <c r="K32" s="99"/>
      <c r="L32" s="99"/>
      <c r="M32" s="99"/>
      <c r="N32" s="99"/>
      <c r="O32" s="99"/>
      <c r="P32" s="99"/>
      <c r="Q32" s="99"/>
      <c r="R32" s="99"/>
      <c r="S32" s="99"/>
      <c r="T32" s="100"/>
      <c r="U32" s="63"/>
    </row>
    <row r="33" spans="2:21" s="46" customFormat="1" ht="35.1" customHeight="1" x14ac:dyDescent="0.4">
      <c r="B33" s="294"/>
      <c r="C33" s="97" t="s">
        <v>140</v>
      </c>
      <c r="D33" s="98"/>
      <c r="E33" s="99"/>
      <c r="F33" s="99"/>
      <c r="G33" s="323"/>
      <c r="H33" s="324"/>
      <c r="I33" s="324"/>
      <c r="J33" s="325"/>
      <c r="K33" s="99"/>
      <c r="L33" s="99"/>
      <c r="M33" s="99"/>
      <c r="N33" s="99"/>
      <c r="O33" s="99"/>
      <c r="P33" s="99"/>
      <c r="Q33" s="99"/>
      <c r="R33" s="99"/>
      <c r="S33" s="99"/>
      <c r="T33" s="100"/>
      <c r="U33" s="63"/>
    </row>
    <row r="34" spans="2:21" s="46" customFormat="1" ht="35.1" customHeight="1" x14ac:dyDescent="0.4">
      <c r="B34" s="294"/>
      <c r="C34" s="97" t="s">
        <v>174</v>
      </c>
      <c r="D34" s="101"/>
      <c r="E34" s="99"/>
      <c r="F34" s="99"/>
      <c r="G34" s="326"/>
      <c r="H34" s="327"/>
      <c r="I34" s="327"/>
      <c r="J34" s="328"/>
      <c r="K34" s="99"/>
      <c r="L34" s="99"/>
      <c r="M34" s="99"/>
      <c r="N34" s="99"/>
      <c r="O34" s="99"/>
      <c r="P34" s="99"/>
      <c r="Q34" s="99"/>
      <c r="R34" s="99"/>
      <c r="S34" s="99"/>
      <c r="T34" s="100"/>
      <c r="U34" s="63"/>
    </row>
    <row r="35" spans="2:21" s="46" customFormat="1" ht="35.1" customHeight="1" x14ac:dyDescent="0.4">
      <c r="B35" s="294"/>
      <c r="C35" s="97"/>
      <c r="D35" s="101"/>
      <c r="E35" s="99"/>
      <c r="F35" s="99"/>
      <c r="G35" s="329" t="s">
        <v>55</v>
      </c>
      <c r="H35" s="330"/>
      <c r="I35" s="330"/>
      <c r="J35" s="331"/>
      <c r="K35" s="99"/>
      <c r="L35" s="99"/>
      <c r="M35" s="99"/>
      <c r="N35" s="99"/>
      <c r="O35" s="99"/>
      <c r="P35" s="99"/>
      <c r="Q35" s="99"/>
      <c r="R35" s="99"/>
      <c r="S35" s="99"/>
      <c r="T35" s="100"/>
      <c r="U35" s="63"/>
    </row>
    <row r="36" spans="2:21" s="46" customFormat="1" ht="35.1" customHeight="1" x14ac:dyDescent="0.4">
      <c r="B36" s="294"/>
      <c r="C36" s="97"/>
      <c r="D36" s="101"/>
      <c r="E36" s="99"/>
      <c r="F36" s="99"/>
      <c r="G36" s="329" t="s">
        <v>56</v>
      </c>
      <c r="H36" s="330"/>
      <c r="I36" s="330"/>
      <c r="J36" s="331"/>
      <c r="K36" s="99"/>
      <c r="L36" s="99"/>
      <c r="M36" s="99"/>
      <c r="N36" s="99"/>
      <c r="O36" s="99"/>
      <c r="P36" s="99"/>
      <c r="Q36" s="99"/>
      <c r="R36" s="99"/>
      <c r="S36" s="99"/>
      <c r="T36" s="100"/>
      <c r="U36" s="63"/>
    </row>
    <row r="37" spans="2:21" s="46" customFormat="1" ht="35.1" customHeight="1" x14ac:dyDescent="0.35">
      <c r="B37" s="295"/>
      <c r="C37" s="102"/>
      <c r="D37" s="103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7"/>
      <c r="U37" s="63"/>
    </row>
    <row r="38" spans="2:21" s="46" customFormat="1" ht="35.1" customHeight="1" x14ac:dyDescent="0.35">
      <c r="B38" s="293">
        <v>6</v>
      </c>
      <c r="C38" s="308" t="s">
        <v>57</v>
      </c>
      <c r="D38" s="309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7"/>
      <c r="U38" s="63"/>
    </row>
    <row r="39" spans="2:21" s="46" customFormat="1" ht="35.1" customHeight="1" x14ac:dyDescent="0.35">
      <c r="B39" s="294"/>
      <c r="C39" s="310" t="s">
        <v>58</v>
      </c>
      <c r="D39" s="311"/>
      <c r="E39" s="216"/>
      <c r="F39" s="217"/>
      <c r="G39" s="217"/>
      <c r="H39" s="218"/>
      <c r="I39" s="216"/>
      <c r="J39" s="217"/>
      <c r="K39" s="217"/>
      <c r="L39" s="218"/>
      <c r="M39" s="217"/>
      <c r="N39" s="217"/>
      <c r="O39" s="217"/>
      <c r="P39" s="217"/>
      <c r="Q39" s="217"/>
      <c r="R39" s="217"/>
      <c r="S39" s="217"/>
      <c r="T39" s="218"/>
      <c r="U39" s="63"/>
    </row>
    <row r="40" spans="2:21" s="46" customFormat="1" ht="35.1" customHeight="1" x14ac:dyDescent="0.4">
      <c r="B40" s="294"/>
      <c r="C40" s="312" t="s">
        <v>59</v>
      </c>
      <c r="D40" s="313"/>
      <c r="E40" s="108" t="s">
        <v>60</v>
      </c>
      <c r="F40" s="108" t="s">
        <v>61</v>
      </c>
      <c r="G40" s="109" t="s">
        <v>57</v>
      </c>
      <c r="H40" s="109" t="s">
        <v>62</v>
      </c>
      <c r="I40" s="108" t="s">
        <v>60</v>
      </c>
      <c r="J40" s="108" t="s">
        <v>61</v>
      </c>
      <c r="K40" s="109" t="s">
        <v>57</v>
      </c>
      <c r="L40" s="109" t="s">
        <v>62</v>
      </c>
      <c r="M40" s="108" t="s">
        <v>60</v>
      </c>
      <c r="N40" s="108" t="s">
        <v>61</v>
      </c>
      <c r="O40" s="109" t="s">
        <v>57</v>
      </c>
      <c r="P40" s="109" t="s">
        <v>62</v>
      </c>
      <c r="Q40" s="110" t="s">
        <v>60</v>
      </c>
      <c r="R40" s="108" t="s">
        <v>61</v>
      </c>
      <c r="S40" s="109" t="s">
        <v>57</v>
      </c>
      <c r="T40" s="109" t="s">
        <v>62</v>
      </c>
      <c r="U40" s="63"/>
    </row>
    <row r="41" spans="2:21" s="46" customFormat="1" ht="35.1" customHeight="1" x14ac:dyDescent="0.4">
      <c r="B41" s="294"/>
      <c r="C41" s="111" t="s">
        <v>142</v>
      </c>
      <c r="D41" s="112"/>
      <c r="E41" s="113" t="s">
        <v>63</v>
      </c>
      <c r="F41" s="114">
        <v>1</v>
      </c>
      <c r="G41" s="115">
        <v>1100000000</v>
      </c>
      <c r="H41" s="115">
        <f>F41*G41</f>
        <v>1100000000</v>
      </c>
      <c r="I41" s="113" t="s">
        <v>63</v>
      </c>
      <c r="J41" s="114">
        <v>1</v>
      </c>
      <c r="K41" s="115">
        <v>716800000</v>
      </c>
      <c r="L41" s="115">
        <f>J41*K41</f>
        <v>716800000</v>
      </c>
      <c r="M41" s="113" t="s">
        <v>63</v>
      </c>
      <c r="N41" s="114">
        <v>1</v>
      </c>
      <c r="O41" s="115">
        <v>1738012000</v>
      </c>
      <c r="P41" s="115">
        <f>N41*O41</f>
        <v>1738012000</v>
      </c>
      <c r="Q41" s="113" t="s">
        <v>63</v>
      </c>
      <c r="R41" s="114">
        <v>1</v>
      </c>
      <c r="S41" s="115">
        <v>840072000</v>
      </c>
      <c r="T41" s="115">
        <f>R41*S41</f>
        <v>840072000</v>
      </c>
      <c r="U41" s="63"/>
    </row>
    <row r="42" spans="2:21" s="46" customFormat="1" ht="35.1" customHeight="1" x14ac:dyDescent="0.4">
      <c r="B42" s="294"/>
      <c r="C42" s="111" t="s">
        <v>143</v>
      </c>
      <c r="D42" s="112"/>
      <c r="E42" s="113" t="s">
        <v>63</v>
      </c>
      <c r="F42" s="114">
        <v>1</v>
      </c>
      <c r="G42" s="115">
        <f>400000000+50000000+61000000</f>
        <v>511000000</v>
      </c>
      <c r="H42" s="115">
        <f t="shared" ref="H42" si="0">F42*G42</f>
        <v>511000000</v>
      </c>
      <c r="I42" s="113" t="s">
        <v>63</v>
      </c>
      <c r="J42" s="114">
        <v>1</v>
      </c>
      <c r="K42" s="115">
        <f>285200000+35200000+38800000</f>
        <v>359200000</v>
      </c>
      <c r="L42" s="115">
        <f t="shared" ref="L42:L43" si="1">J42*K42</f>
        <v>359200000</v>
      </c>
      <c r="M42" s="113" t="s">
        <v>63</v>
      </c>
      <c r="N42" s="114">
        <v>1</v>
      </c>
      <c r="O42" s="115">
        <f>225443800+45005800+60975600</f>
        <v>331425200</v>
      </c>
      <c r="P42" s="115">
        <f>O42*N42</f>
        <v>331425200</v>
      </c>
      <c r="Q42" s="113" t="s">
        <v>63</v>
      </c>
      <c r="R42" s="114">
        <v>1</v>
      </c>
      <c r="S42" s="115">
        <f>322000000+39760000+43680000</f>
        <v>405440000</v>
      </c>
      <c r="T42" s="115">
        <f t="shared" ref="T42:T43" si="2">R42*S42</f>
        <v>405440000</v>
      </c>
      <c r="U42" s="63"/>
    </row>
    <row r="43" spans="2:21" s="46" customFormat="1" ht="35.1" customHeight="1" x14ac:dyDescent="0.4">
      <c r="B43" s="294"/>
      <c r="C43" s="111" t="s">
        <v>173</v>
      </c>
      <c r="D43" s="112"/>
      <c r="E43" s="314" t="s">
        <v>148</v>
      </c>
      <c r="F43" s="315"/>
      <c r="G43" s="315"/>
      <c r="H43" s="316"/>
      <c r="I43" s="113" t="s">
        <v>63</v>
      </c>
      <c r="J43" s="114">
        <v>1</v>
      </c>
      <c r="K43" s="115">
        <v>105000000</v>
      </c>
      <c r="L43" s="115">
        <f t="shared" si="1"/>
        <v>105000000</v>
      </c>
      <c r="M43" s="113" t="s">
        <v>63</v>
      </c>
      <c r="N43" s="114">
        <v>1</v>
      </c>
      <c r="O43" s="114">
        <v>165200200</v>
      </c>
      <c r="P43" s="114">
        <f>N43*O43</f>
        <v>165200200</v>
      </c>
      <c r="Q43" s="113" t="s">
        <v>63</v>
      </c>
      <c r="R43" s="114">
        <v>1</v>
      </c>
      <c r="S43" s="115">
        <v>96880000</v>
      </c>
      <c r="T43" s="115">
        <f t="shared" si="2"/>
        <v>96880000</v>
      </c>
      <c r="U43" s="63"/>
    </row>
    <row r="44" spans="2:21" s="46" customFormat="1" ht="35.1" customHeight="1" x14ac:dyDescent="0.4">
      <c r="B44" s="294"/>
      <c r="C44" s="111" t="s">
        <v>64</v>
      </c>
      <c r="D44" s="112"/>
      <c r="E44" s="230"/>
      <c r="F44" s="231"/>
      <c r="G44" s="231"/>
      <c r="H44" s="232">
        <f>H41+H42</f>
        <v>1611000000</v>
      </c>
      <c r="I44" s="113"/>
      <c r="J44" s="114"/>
      <c r="K44" s="115"/>
      <c r="L44" s="115">
        <f>SUM(L41:L43)</f>
        <v>1181000000</v>
      </c>
      <c r="M44" s="113"/>
      <c r="N44" s="114"/>
      <c r="O44" s="115"/>
      <c r="P44" s="115">
        <f>P41+P42+P43</f>
        <v>2234637400</v>
      </c>
      <c r="Q44" s="113"/>
      <c r="R44" s="114"/>
      <c r="S44" s="115"/>
      <c r="T44" s="115">
        <f>SUM(T41:T43)</f>
        <v>1342392000</v>
      </c>
      <c r="U44" s="63"/>
    </row>
    <row r="45" spans="2:21" s="46" customFormat="1" ht="35.1" customHeight="1" x14ac:dyDescent="0.4">
      <c r="B45" s="224"/>
      <c r="C45" s="111" t="s">
        <v>66</v>
      </c>
      <c r="D45" s="112"/>
      <c r="E45" s="118"/>
      <c r="F45" s="124"/>
      <c r="G45" s="125"/>
      <c r="H45" s="121">
        <f>H44</f>
        <v>1611000000</v>
      </c>
      <c r="I45" s="118"/>
      <c r="J45" s="124"/>
      <c r="K45" s="125"/>
      <c r="L45" s="121">
        <v>1181000000</v>
      </c>
      <c r="M45" s="122"/>
      <c r="N45" s="122"/>
      <c r="O45" s="122"/>
      <c r="P45" s="122">
        <f>P44-O45</f>
        <v>2234637400</v>
      </c>
      <c r="Q45" s="118"/>
      <c r="R45" s="124"/>
      <c r="S45" s="126"/>
      <c r="T45" s="123">
        <f>T44-S45</f>
        <v>1342392000</v>
      </c>
      <c r="U45" s="63"/>
    </row>
    <row r="46" spans="2:21" s="46" customFormat="1" ht="35.1" customHeight="1" x14ac:dyDescent="0.4">
      <c r="B46" s="224"/>
      <c r="C46" s="111" t="s">
        <v>67</v>
      </c>
      <c r="D46" s="112"/>
      <c r="E46" s="118"/>
      <c r="F46" s="119"/>
      <c r="G46" s="120"/>
      <c r="H46" s="121">
        <v>1550000000</v>
      </c>
      <c r="I46" s="118"/>
      <c r="J46" s="119"/>
      <c r="K46" s="120"/>
      <c r="L46" s="121">
        <f>L45</f>
        <v>1181000000</v>
      </c>
      <c r="M46" s="122"/>
      <c r="N46" s="122"/>
      <c r="O46" s="122"/>
      <c r="P46" s="122">
        <v>2122905530</v>
      </c>
      <c r="Q46" s="118"/>
      <c r="R46" s="119"/>
      <c r="S46" s="119"/>
      <c r="T46" s="123">
        <v>1275272400</v>
      </c>
      <c r="U46" s="63"/>
    </row>
    <row r="47" spans="2:21" s="46" customFormat="1" ht="35.1" customHeight="1" x14ac:dyDescent="0.4">
      <c r="B47" s="224"/>
      <c r="C47" s="111" t="s">
        <v>68</v>
      </c>
      <c r="D47" s="112"/>
      <c r="E47" s="118"/>
      <c r="F47" s="119"/>
      <c r="G47" s="120"/>
      <c r="H47" s="121"/>
      <c r="I47" s="118"/>
      <c r="J47" s="119"/>
      <c r="K47" s="120"/>
      <c r="L47" s="121"/>
      <c r="M47" s="122"/>
      <c r="N47" s="122"/>
      <c r="O47" s="122"/>
      <c r="P47" s="122"/>
      <c r="Q47" s="118"/>
      <c r="R47" s="119"/>
      <c r="S47" s="119"/>
      <c r="T47" s="123">
        <v>1243364400</v>
      </c>
      <c r="U47" s="63"/>
    </row>
    <row r="48" spans="2:21" s="46" customFormat="1" ht="54.75" customHeight="1" x14ac:dyDescent="0.6">
      <c r="B48" s="224"/>
      <c r="C48" s="111" t="s">
        <v>69</v>
      </c>
      <c r="D48" s="229"/>
      <c r="E48" s="305">
        <f>H46</f>
        <v>1550000000</v>
      </c>
      <c r="F48" s="306"/>
      <c r="G48" s="306"/>
      <c r="H48" s="307"/>
      <c r="I48" s="305">
        <f>L46</f>
        <v>1181000000</v>
      </c>
      <c r="J48" s="306"/>
      <c r="K48" s="306"/>
      <c r="L48" s="307"/>
      <c r="M48" s="305">
        <f>P46</f>
        <v>2122905530</v>
      </c>
      <c r="N48" s="306"/>
      <c r="O48" s="306"/>
      <c r="P48" s="307"/>
      <c r="Q48" s="305">
        <f>T47</f>
        <v>1243364400</v>
      </c>
      <c r="R48" s="306"/>
      <c r="S48" s="306"/>
      <c r="T48" s="307"/>
      <c r="U48" s="63"/>
    </row>
    <row r="49" spans="2:25" s="46" customFormat="1" ht="35.1" customHeight="1" x14ac:dyDescent="0.4">
      <c r="B49" s="88">
        <v>7</v>
      </c>
      <c r="C49" s="127" t="s">
        <v>70</v>
      </c>
      <c r="D49" s="128"/>
      <c r="E49" s="129"/>
      <c r="F49" s="130"/>
      <c r="G49" s="223"/>
      <c r="H49" s="132"/>
      <c r="I49" s="129"/>
      <c r="J49" s="130"/>
      <c r="K49" s="223"/>
      <c r="L49" s="133"/>
      <c r="M49" s="134"/>
      <c r="N49" s="134"/>
      <c r="O49" s="134"/>
      <c r="P49" s="134"/>
      <c r="Q49" s="135"/>
      <c r="R49" s="136"/>
      <c r="S49" s="137"/>
      <c r="T49" s="138"/>
      <c r="U49" s="63"/>
    </row>
    <row r="50" spans="2:25" s="46" customFormat="1" ht="35.1" customHeight="1" x14ac:dyDescent="0.4">
      <c r="B50" s="139"/>
      <c r="C50" s="140" t="s">
        <v>71</v>
      </c>
      <c r="D50" s="141"/>
      <c r="E50" s="302" t="s">
        <v>72</v>
      </c>
      <c r="F50" s="303"/>
      <c r="G50" s="303"/>
      <c r="H50" s="304"/>
      <c r="I50" s="302" t="s">
        <v>72</v>
      </c>
      <c r="J50" s="303"/>
      <c r="K50" s="303"/>
      <c r="L50" s="304"/>
      <c r="M50" s="302" t="s">
        <v>72</v>
      </c>
      <c r="N50" s="303"/>
      <c r="O50" s="303"/>
      <c r="P50" s="304"/>
      <c r="Q50" s="302" t="s">
        <v>72</v>
      </c>
      <c r="R50" s="303"/>
      <c r="S50" s="303"/>
      <c r="T50" s="304"/>
      <c r="U50" s="63"/>
    </row>
    <row r="51" spans="2:25" s="46" customFormat="1" ht="35.1" customHeight="1" x14ac:dyDescent="0.4">
      <c r="B51" s="139"/>
      <c r="C51" s="142" t="s">
        <v>73</v>
      </c>
      <c r="D51" s="128"/>
      <c r="E51" s="302" t="s">
        <v>72</v>
      </c>
      <c r="F51" s="303"/>
      <c r="G51" s="303"/>
      <c r="H51" s="304"/>
      <c r="I51" s="302" t="s">
        <v>72</v>
      </c>
      <c r="J51" s="303"/>
      <c r="K51" s="303"/>
      <c r="L51" s="304"/>
      <c r="M51" s="302" t="s">
        <v>72</v>
      </c>
      <c r="N51" s="303"/>
      <c r="O51" s="303"/>
      <c r="P51" s="304"/>
      <c r="Q51" s="302" t="s">
        <v>72</v>
      </c>
      <c r="R51" s="303"/>
      <c r="S51" s="303"/>
      <c r="T51" s="304"/>
      <c r="U51" s="63"/>
    </row>
    <row r="52" spans="2:25" s="46" customFormat="1" ht="35.1" customHeight="1" x14ac:dyDescent="0.4">
      <c r="B52" s="139"/>
      <c r="C52" s="143" t="s">
        <v>74</v>
      </c>
      <c r="D52" s="144"/>
      <c r="E52" s="302" t="s">
        <v>72</v>
      </c>
      <c r="F52" s="303"/>
      <c r="G52" s="303"/>
      <c r="H52" s="304"/>
      <c r="I52" s="302" t="s">
        <v>72</v>
      </c>
      <c r="J52" s="303"/>
      <c r="K52" s="303"/>
      <c r="L52" s="304"/>
      <c r="M52" s="302" t="s">
        <v>72</v>
      </c>
      <c r="N52" s="303"/>
      <c r="O52" s="303"/>
      <c r="P52" s="304"/>
      <c r="Q52" s="302" t="s">
        <v>72</v>
      </c>
      <c r="R52" s="303"/>
      <c r="S52" s="303"/>
      <c r="T52" s="304"/>
      <c r="U52" s="63"/>
    </row>
    <row r="53" spans="2:25" s="46" customFormat="1" ht="35.1" customHeight="1" x14ac:dyDescent="0.4">
      <c r="B53" s="145"/>
      <c r="C53" s="140" t="s">
        <v>75</v>
      </c>
      <c r="D53" s="141"/>
      <c r="E53" s="290" t="s">
        <v>27</v>
      </c>
      <c r="F53" s="291"/>
      <c r="G53" s="291"/>
      <c r="H53" s="292"/>
      <c r="I53" s="290" t="s">
        <v>27</v>
      </c>
      <c r="J53" s="291"/>
      <c r="K53" s="291"/>
      <c r="L53" s="292"/>
      <c r="M53" s="290" t="s">
        <v>27</v>
      </c>
      <c r="N53" s="291"/>
      <c r="O53" s="291"/>
      <c r="P53" s="292"/>
      <c r="Q53" s="290" t="s">
        <v>27</v>
      </c>
      <c r="R53" s="291"/>
      <c r="S53" s="291"/>
      <c r="T53" s="292"/>
      <c r="U53" s="63"/>
    </row>
    <row r="54" spans="2:25" s="46" customFormat="1" ht="72.75" customHeight="1" x14ac:dyDescent="0.4">
      <c r="B54" s="88">
        <v>8</v>
      </c>
      <c r="C54" s="146" t="s">
        <v>76</v>
      </c>
      <c r="D54" s="128"/>
      <c r="E54" s="296" t="s">
        <v>168</v>
      </c>
      <c r="F54" s="297"/>
      <c r="G54" s="297"/>
      <c r="H54" s="298"/>
      <c r="I54" s="296" t="s">
        <v>168</v>
      </c>
      <c r="J54" s="297"/>
      <c r="K54" s="297"/>
      <c r="L54" s="298"/>
      <c r="M54" s="296" t="s">
        <v>168</v>
      </c>
      <c r="N54" s="297"/>
      <c r="O54" s="297"/>
      <c r="P54" s="298"/>
      <c r="Q54" s="296" t="s">
        <v>168</v>
      </c>
      <c r="R54" s="297"/>
      <c r="S54" s="297"/>
      <c r="T54" s="298"/>
      <c r="U54" s="63"/>
      <c r="W54" s="147"/>
    </row>
    <row r="55" spans="2:25" s="46" customFormat="1" ht="35.1" customHeight="1" x14ac:dyDescent="0.4">
      <c r="B55" s="225">
        <v>9</v>
      </c>
      <c r="C55" s="149" t="s">
        <v>77</v>
      </c>
      <c r="D55" s="141"/>
      <c r="E55" s="150"/>
      <c r="F55" s="151"/>
      <c r="G55" s="151"/>
      <c r="H55" s="152"/>
      <c r="I55" s="150"/>
      <c r="J55" s="151"/>
      <c r="K55" s="151"/>
      <c r="L55" s="152"/>
      <c r="M55" s="153"/>
      <c r="N55" s="153"/>
      <c r="O55" s="153"/>
      <c r="P55" s="153"/>
      <c r="Q55" s="150"/>
      <c r="R55" s="151"/>
      <c r="S55" s="151"/>
      <c r="T55" s="152"/>
      <c r="U55" s="63"/>
      <c r="W55" s="147"/>
    </row>
    <row r="56" spans="2:25" s="46" customFormat="1" ht="34.5" customHeight="1" x14ac:dyDescent="0.4">
      <c r="B56" s="225"/>
      <c r="C56" s="154" t="s">
        <v>78</v>
      </c>
      <c r="D56" s="141"/>
      <c r="E56" s="290" t="s">
        <v>27</v>
      </c>
      <c r="F56" s="291"/>
      <c r="G56" s="291"/>
      <c r="H56" s="292"/>
      <c r="I56" s="290" t="s">
        <v>27</v>
      </c>
      <c r="J56" s="291"/>
      <c r="K56" s="291"/>
      <c r="L56" s="292"/>
      <c r="M56" s="290" t="s">
        <v>27</v>
      </c>
      <c r="N56" s="291"/>
      <c r="O56" s="291"/>
      <c r="P56" s="292"/>
      <c r="Q56" s="290" t="s">
        <v>27</v>
      </c>
      <c r="R56" s="291"/>
      <c r="S56" s="291"/>
      <c r="T56" s="292"/>
      <c r="U56" s="63"/>
      <c r="W56" s="147"/>
    </row>
    <row r="57" spans="2:25" s="46" customFormat="1" ht="35.1" customHeight="1" x14ac:dyDescent="0.4">
      <c r="B57" s="225"/>
      <c r="C57" s="154" t="s">
        <v>79</v>
      </c>
      <c r="D57" s="141"/>
      <c r="E57" s="290" t="s">
        <v>27</v>
      </c>
      <c r="F57" s="291"/>
      <c r="G57" s="291"/>
      <c r="H57" s="292"/>
      <c r="I57" s="290" t="s">
        <v>27</v>
      </c>
      <c r="J57" s="291"/>
      <c r="K57" s="291"/>
      <c r="L57" s="292"/>
      <c r="M57" s="290" t="s">
        <v>27</v>
      </c>
      <c r="N57" s="291"/>
      <c r="O57" s="291"/>
      <c r="P57" s="292"/>
      <c r="Q57" s="290" t="s">
        <v>27</v>
      </c>
      <c r="R57" s="291"/>
      <c r="S57" s="291"/>
      <c r="T57" s="292"/>
      <c r="U57" s="63"/>
      <c r="W57" s="147"/>
    </row>
    <row r="58" spans="2:25" s="46" customFormat="1" ht="35.1" customHeight="1" x14ac:dyDescent="0.4">
      <c r="B58" s="225"/>
      <c r="C58" s="155" t="s">
        <v>150</v>
      </c>
      <c r="D58" s="128"/>
      <c r="E58" s="290" t="s">
        <v>27</v>
      </c>
      <c r="F58" s="291"/>
      <c r="G58" s="291"/>
      <c r="H58" s="292"/>
      <c r="I58" s="290" t="s">
        <v>27</v>
      </c>
      <c r="J58" s="291"/>
      <c r="K58" s="291"/>
      <c r="L58" s="292"/>
      <c r="M58" s="290" t="s">
        <v>27</v>
      </c>
      <c r="N58" s="291"/>
      <c r="O58" s="291"/>
      <c r="P58" s="292"/>
      <c r="Q58" s="290" t="s">
        <v>27</v>
      </c>
      <c r="R58" s="291"/>
      <c r="S58" s="291"/>
      <c r="T58" s="292"/>
      <c r="U58" s="63"/>
      <c r="W58" s="147"/>
    </row>
    <row r="59" spans="2:25" s="46" customFormat="1" ht="35.1" customHeight="1" x14ac:dyDescent="0.4">
      <c r="B59" s="225"/>
      <c r="C59" s="154"/>
      <c r="D59" s="141"/>
      <c r="E59" s="290"/>
      <c r="F59" s="291"/>
      <c r="G59" s="291"/>
      <c r="H59" s="292"/>
      <c r="I59" s="290"/>
      <c r="J59" s="291"/>
      <c r="K59" s="291"/>
      <c r="L59" s="292"/>
      <c r="M59" s="222"/>
      <c r="N59" s="222"/>
      <c r="O59" s="222"/>
      <c r="P59" s="222"/>
      <c r="Q59" s="290"/>
      <c r="R59" s="291"/>
      <c r="S59" s="291"/>
      <c r="T59" s="292"/>
      <c r="U59" s="63"/>
      <c r="W59" s="147"/>
    </row>
    <row r="60" spans="2:25" s="46" customFormat="1" ht="35.1" customHeight="1" x14ac:dyDescent="0.4">
      <c r="B60" s="299">
        <v>10</v>
      </c>
      <c r="C60" s="300" t="s">
        <v>80</v>
      </c>
      <c r="D60" s="157" t="s">
        <v>81</v>
      </c>
      <c r="E60" s="296" t="s">
        <v>151</v>
      </c>
      <c r="F60" s="297"/>
      <c r="G60" s="297"/>
      <c r="H60" s="298"/>
      <c r="I60" s="296" t="s">
        <v>151</v>
      </c>
      <c r="J60" s="297"/>
      <c r="K60" s="297"/>
      <c r="L60" s="298"/>
      <c r="M60" s="296" t="s">
        <v>151</v>
      </c>
      <c r="N60" s="297"/>
      <c r="O60" s="297"/>
      <c r="P60" s="298"/>
      <c r="Q60" s="296" t="s">
        <v>151</v>
      </c>
      <c r="R60" s="297"/>
      <c r="S60" s="297"/>
      <c r="T60" s="298"/>
      <c r="U60" s="63"/>
      <c r="W60" s="147"/>
    </row>
    <row r="61" spans="2:25" s="46" customFormat="1" ht="35.1" customHeight="1" x14ac:dyDescent="0.4">
      <c r="B61" s="289"/>
      <c r="C61" s="301"/>
      <c r="D61" s="157" t="s">
        <v>82</v>
      </c>
      <c r="E61" s="296" t="s">
        <v>169</v>
      </c>
      <c r="F61" s="297"/>
      <c r="G61" s="297"/>
      <c r="H61" s="298"/>
      <c r="I61" s="296" t="s">
        <v>169</v>
      </c>
      <c r="J61" s="297"/>
      <c r="K61" s="297"/>
      <c r="L61" s="298"/>
      <c r="M61" s="296" t="s">
        <v>169</v>
      </c>
      <c r="N61" s="297"/>
      <c r="O61" s="297"/>
      <c r="P61" s="298"/>
      <c r="Q61" s="296" t="s">
        <v>169</v>
      </c>
      <c r="R61" s="297"/>
      <c r="S61" s="297"/>
      <c r="T61" s="298"/>
      <c r="U61" s="63"/>
    </row>
    <row r="62" spans="2:25" s="46" customFormat="1" ht="48" customHeight="1" x14ac:dyDescent="0.4">
      <c r="B62" s="88">
        <v>11</v>
      </c>
      <c r="C62" s="158" t="s">
        <v>83</v>
      </c>
      <c r="D62" s="159"/>
      <c r="E62" s="296" t="s">
        <v>170</v>
      </c>
      <c r="F62" s="297"/>
      <c r="G62" s="297"/>
      <c r="H62" s="298"/>
      <c r="I62" s="296" t="s">
        <v>170</v>
      </c>
      <c r="J62" s="297"/>
      <c r="K62" s="297"/>
      <c r="L62" s="298"/>
      <c r="M62" s="296" t="s">
        <v>170</v>
      </c>
      <c r="N62" s="297"/>
      <c r="O62" s="297"/>
      <c r="P62" s="298"/>
      <c r="Q62" s="296" t="s">
        <v>170</v>
      </c>
      <c r="R62" s="297"/>
      <c r="S62" s="297"/>
      <c r="T62" s="298"/>
      <c r="U62" s="63"/>
      <c r="Y62" s="46" t="s">
        <v>27</v>
      </c>
    </row>
    <row r="63" spans="2:25" s="46" customFormat="1" ht="35.25" customHeight="1" x14ac:dyDescent="0.4">
      <c r="B63" s="288">
        <v>12</v>
      </c>
      <c r="C63" s="158" t="s">
        <v>84</v>
      </c>
      <c r="D63" s="159"/>
      <c r="E63" s="219"/>
      <c r="F63" s="220"/>
      <c r="G63" s="220"/>
      <c r="H63" s="221"/>
      <c r="I63" s="219"/>
      <c r="J63" s="220"/>
      <c r="K63" s="220"/>
      <c r="L63" s="221"/>
      <c r="M63" s="219"/>
      <c r="N63" s="220"/>
      <c r="O63" s="220"/>
      <c r="P63" s="221"/>
      <c r="Q63" s="219"/>
      <c r="R63" s="220"/>
      <c r="S63" s="220"/>
      <c r="T63" s="221"/>
      <c r="U63" s="63"/>
    </row>
    <row r="64" spans="2:25" s="46" customFormat="1" ht="34.5" customHeight="1" x14ac:dyDescent="0.4">
      <c r="B64" s="288"/>
      <c r="C64" s="158" t="s">
        <v>85</v>
      </c>
      <c r="D64" s="159"/>
      <c r="E64" s="290" t="s">
        <v>27</v>
      </c>
      <c r="F64" s="291"/>
      <c r="G64" s="291"/>
      <c r="H64" s="292"/>
      <c r="I64" s="290" t="s">
        <v>27</v>
      </c>
      <c r="J64" s="291"/>
      <c r="K64" s="291"/>
      <c r="L64" s="292"/>
      <c r="M64" s="290" t="s">
        <v>27</v>
      </c>
      <c r="N64" s="291"/>
      <c r="O64" s="291"/>
      <c r="P64" s="292"/>
      <c r="Q64" s="290" t="s">
        <v>27</v>
      </c>
      <c r="R64" s="291"/>
      <c r="S64" s="291"/>
      <c r="T64" s="292"/>
      <c r="U64" s="63"/>
    </row>
    <row r="65" spans="1:22" s="46" customFormat="1" ht="34.5" customHeight="1" x14ac:dyDescent="0.4">
      <c r="B65" s="289"/>
      <c r="C65" s="158" t="s">
        <v>86</v>
      </c>
      <c r="D65" s="159"/>
      <c r="E65" s="219"/>
      <c r="F65" s="220"/>
      <c r="G65" s="220"/>
      <c r="H65" s="221"/>
      <c r="I65" s="219"/>
      <c r="J65" s="220"/>
      <c r="K65" s="220"/>
      <c r="L65" s="221"/>
      <c r="M65" s="219"/>
      <c r="N65" s="220"/>
      <c r="O65" s="220"/>
      <c r="P65" s="221"/>
      <c r="Q65" s="219"/>
      <c r="R65" s="220"/>
      <c r="S65" s="220"/>
      <c r="T65" s="221"/>
      <c r="U65" s="63"/>
    </row>
    <row r="66" spans="1:22" s="46" customFormat="1" ht="35.1" customHeight="1" x14ac:dyDescent="0.4">
      <c r="B66" s="293">
        <v>13</v>
      </c>
      <c r="C66" s="158" t="s">
        <v>87</v>
      </c>
      <c r="D66" s="159"/>
      <c r="E66" s="281" t="s">
        <v>88</v>
      </c>
      <c r="F66" s="282"/>
      <c r="G66" s="282"/>
      <c r="H66" s="283"/>
      <c r="I66" s="281" t="s">
        <v>88</v>
      </c>
      <c r="J66" s="282"/>
      <c r="K66" s="282"/>
      <c r="L66" s="283"/>
      <c r="M66" s="281" t="s">
        <v>88</v>
      </c>
      <c r="N66" s="282"/>
      <c r="O66" s="282"/>
      <c r="P66" s="283"/>
      <c r="Q66" s="281" t="s">
        <v>88</v>
      </c>
      <c r="R66" s="282"/>
      <c r="S66" s="282"/>
      <c r="T66" s="283"/>
      <c r="U66" s="63"/>
    </row>
    <row r="67" spans="1:22" s="46" customFormat="1" ht="35.1" customHeight="1" x14ac:dyDescent="0.4">
      <c r="B67" s="294"/>
      <c r="C67" s="163" t="s">
        <v>89</v>
      </c>
      <c r="D67" s="164"/>
      <c r="E67" s="281" t="s">
        <v>90</v>
      </c>
      <c r="F67" s="282"/>
      <c r="G67" s="282"/>
      <c r="H67" s="283"/>
      <c r="I67" s="281" t="s">
        <v>90</v>
      </c>
      <c r="J67" s="282"/>
      <c r="K67" s="282"/>
      <c r="L67" s="283"/>
      <c r="M67" s="281" t="s">
        <v>90</v>
      </c>
      <c r="N67" s="282"/>
      <c r="O67" s="282"/>
      <c r="P67" s="283"/>
      <c r="Q67" s="281" t="s">
        <v>90</v>
      </c>
      <c r="R67" s="282"/>
      <c r="S67" s="282"/>
      <c r="T67" s="283"/>
      <c r="U67" s="63"/>
    </row>
    <row r="68" spans="1:22" s="46" customFormat="1" ht="35.1" customHeight="1" x14ac:dyDescent="0.4">
      <c r="B68" s="294"/>
      <c r="C68" s="158" t="s">
        <v>91</v>
      </c>
      <c r="D68" s="159"/>
      <c r="E68" s="281" t="s">
        <v>90</v>
      </c>
      <c r="F68" s="282"/>
      <c r="G68" s="282"/>
      <c r="H68" s="283"/>
      <c r="I68" s="281" t="s">
        <v>90</v>
      </c>
      <c r="J68" s="282"/>
      <c r="K68" s="282"/>
      <c r="L68" s="283"/>
      <c r="M68" s="281" t="s">
        <v>90</v>
      </c>
      <c r="N68" s="282"/>
      <c r="O68" s="282"/>
      <c r="P68" s="283"/>
      <c r="Q68" s="281" t="s">
        <v>90</v>
      </c>
      <c r="R68" s="282"/>
      <c r="S68" s="282"/>
      <c r="T68" s="283"/>
      <c r="U68" s="63"/>
    </row>
    <row r="69" spans="1:22" s="46" customFormat="1" ht="35.1" customHeight="1" x14ac:dyDescent="0.4">
      <c r="B69" s="294"/>
      <c r="C69" s="158" t="s">
        <v>92</v>
      </c>
      <c r="D69" s="164"/>
      <c r="E69" s="281" t="s">
        <v>90</v>
      </c>
      <c r="F69" s="282"/>
      <c r="G69" s="282"/>
      <c r="H69" s="283"/>
      <c r="I69" s="281" t="s">
        <v>90</v>
      </c>
      <c r="J69" s="282"/>
      <c r="K69" s="282"/>
      <c r="L69" s="283"/>
      <c r="M69" s="281" t="s">
        <v>90</v>
      </c>
      <c r="N69" s="282"/>
      <c r="O69" s="282"/>
      <c r="P69" s="283"/>
      <c r="Q69" s="281" t="s">
        <v>90</v>
      </c>
      <c r="R69" s="282"/>
      <c r="S69" s="282"/>
      <c r="T69" s="283"/>
      <c r="U69" s="63"/>
    </row>
    <row r="70" spans="1:22" s="46" customFormat="1" ht="35.1" customHeight="1" x14ac:dyDescent="0.4">
      <c r="B70" s="294"/>
      <c r="C70" s="158" t="s">
        <v>93</v>
      </c>
      <c r="D70" s="159"/>
      <c r="E70" s="281" t="s">
        <v>90</v>
      </c>
      <c r="F70" s="282"/>
      <c r="G70" s="282"/>
      <c r="H70" s="283"/>
      <c r="I70" s="281" t="s">
        <v>90</v>
      </c>
      <c r="J70" s="282"/>
      <c r="K70" s="282"/>
      <c r="L70" s="283"/>
      <c r="M70" s="281" t="s">
        <v>90</v>
      </c>
      <c r="N70" s="282"/>
      <c r="O70" s="282"/>
      <c r="P70" s="283"/>
      <c r="Q70" s="281" t="s">
        <v>90</v>
      </c>
      <c r="R70" s="282"/>
      <c r="S70" s="282"/>
      <c r="T70" s="283"/>
      <c r="U70" s="63"/>
    </row>
    <row r="71" spans="1:22" s="46" customFormat="1" ht="35.1" customHeight="1" x14ac:dyDescent="0.4">
      <c r="B71" s="294"/>
      <c r="C71" s="158" t="s">
        <v>94</v>
      </c>
      <c r="D71" s="159"/>
      <c r="E71" s="281" t="s">
        <v>95</v>
      </c>
      <c r="F71" s="282"/>
      <c r="G71" s="282"/>
      <c r="H71" s="283"/>
      <c r="I71" s="281" t="s">
        <v>95</v>
      </c>
      <c r="J71" s="282"/>
      <c r="K71" s="282"/>
      <c r="L71" s="283"/>
      <c r="M71" s="281" t="s">
        <v>95</v>
      </c>
      <c r="N71" s="282"/>
      <c r="O71" s="282"/>
      <c r="P71" s="283"/>
      <c r="Q71" s="281" t="s">
        <v>95</v>
      </c>
      <c r="R71" s="282"/>
      <c r="S71" s="282"/>
      <c r="T71" s="283"/>
      <c r="U71" s="63"/>
    </row>
    <row r="72" spans="1:22" s="46" customFormat="1" ht="35.1" customHeight="1" x14ac:dyDescent="0.4">
      <c r="B72" s="294"/>
      <c r="C72" s="158" t="s">
        <v>96</v>
      </c>
      <c r="D72" s="159"/>
      <c r="E72" s="281" t="s">
        <v>95</v>
      </c>
      <c r="F72" s="282"/>
      <c r="G72" s="282"/>
      <c r="H72" s="283"/>
      <c r="I72" s="281" t="s">
        <v>95</v>
      </c>
      <c r="J72" s="282"/>
      <c r="K72" s="282"/>
      <c r="L72" s="283"/>
      <c r="M72" s="281" t="s">
        <v>95</v>
      </c>
      <c r="N72" s="282"/>
      <c r="O72" s="282"/>
      <c r="P72" s="283"/>
      <c r="Q72" s="281" t="s">
        <v>95</v>
      </c>
      <c r="R72" s="282"/>
      <c r="S72" s="282"/>
      <c r="T72" s="283"/>
      <c r="U72" s="63"/>
    </row>
    <row r="73" spans="1:22" s="46" customFormat="1" ht="35.1" customHeight="1" x14ac:dyDescent="0.4">
      <c r="B73" s="295"/>
      <c r="C73" s="163" t="s">
        <v>97</v>
      </c>
      <c r="D73" s="164"/>
      <c r="E73" s="281" t="s">
        <v>95</v>
      </c>
      <c r="F73" s="282"/>
      <c r="G73" s="282"/>
      <c r="H73" s="283"/>
      <c r="I73" s="281" t="s">
        <v>95</v>
      </c>
      <c r="J73" s="282"/>
      <c r="K73" s="282"/>
      <c r="L73" s="283"/>
      <c r="M73" s="281" t="s">
        <v>95</v>
      </c>
      <c r="N73" s="282"/>
      <c r="O73" s="282"/>
      <c r="P73" s="283"/>
      <c r="Q73" s="281" t="s">
        <v>95</v>
      </c>
      <c r="R73" s="282"/>
      <c r="S73" s="282"/>
      <c r="T73" s="283"/>
      <c r="U73" s="63"/>
    </row>
    <row r="74" spans="1:22" ht="20.100000000000001" customHeight="1" x14ac:dyDescent="0.25">
      <c r="B74" s="284" t="s">
        <v>98</v>
      </c>
      <c r="C74" s="285"/>
      <c r="D74" s="165"/>
      <c r="E74" s="286" t="s">
        <v>99</v>
      </c>
      <c r="F74" s="166"/>
      <c r="G74" s="167"/>
      <c r="H74" s="212"/>
      <c r="I74" s="286" t="s">
        <v>99</v>
      </c>
      <c r="J74" s="210"/>
      <c r="K74" s="211"/>
      <c r="L74" s="212"/>
      <c r="M74" s="286" t="s">
        <v>99</v>
      </c>
      <c r="N74" s="275"/>
      <c r="O74" s="276"/>
      <c r="P74" s="277"/>
      <c r="Q74" s="286" t="s">
        <v>99</v>
      </c>
      <c r="R74" s="167"/>
      <c r="S74" s="167"/>
      <c r="T74" s="171"/>
      <c r="U74" s="28"/>
      <c r="V74" s="172"/>
    </row>
    <row r="75" spans="1:22" ht="39.75" customHeight="1" x14ac:dyDescent="0.25">
      <c r="B75" s="173"/>
      <c r="C75" s="174"/>
      <c r="D75" s="175"/>
      <c r="E75" s="287"/>
      <c r="F75" s="176"/>
      <c r="G75" s="177"/>
      <c r="H75" s="215"/>
      <c r="I75" s="287"/>
      <c r="J75" s="213"/>
      <c r="K75" s="214"/>
      <c r="L75" s="215"/>
      <c r="M75" s="287"/>
      <c r="N75" s="278"/>
      <c r="O75" s="279"/>
      <c r="P75" s="280"/>
      <c r="Q75" s="287"/>
      <c r="R75" s="177"/>
      <c r="S75" s="177"/>
      <c r="T75" s="181"/>
      <c r="U75" s="28"/>
    </row>
    <row r="76" spans="1:22" ht="33" customHeight="1" x14ac:dyDescent="0.25">
      <c r="B76" s="173"/>
      <c r="C76" s="174"/>
      <c r="D76" s="175"/>
      <c r="E76" s="273" t="s">
        <v>100</v>
      </c>
      <c r="F76" s="182"/>
      <c r="G76" s="167"/>
      <c r="H76" s="212"/>
      <c r="I76" s="273" t="s">
        <v>100</v>
      </c>
      <c r="J76" s="210"/>
      <c r="K76" s="211"/>
      <c r="L76" s="212"/>
      <c r="M76" s="273" t="s">
        <v>100</v>
      </c>
      <c r="N76" s="275"/>
      <c r="O76" s="276"/>
      <c r="P76" s="277"/>
      <c r="Q76" s="273" t="s">
        <v>100</v>
      </c>
      <c r="R76" s="182"/>
      <c r="S76" s="167"/>
      <c r="T76" s="183"/>
      <c r="U76" s="28"/>
    </row>
    <row r="77" spans="1:22" ht="29.25" customHeight="1" x14ac:dyDescent="0.25">
      <c r="B77" s="184" t="s">
        <v>101</v>
      </c>
      <c r="C77" s="185"/>
      <c r="D77" s="186"/>
      <c r="E77" s="274"/>
      <c r="F77" s="187"/>
      <c r="G77" s="177"/>
      <c r="H77" s="215"/>
      <c r="I77" s="274"/>
      <c r="J77" s="213"/>
      <c r="K77" s="214"/>
      <c r="L77" s="215"/>
      <c r="M77" s="274"/>
      <c r="N77" s="278"/>
      <c r="O77" s="279"/>
      <c r="P77" s="280"/>
      <c r="Q77" s="274"/>
      <c r="R77" s="187"/>
      <c r="S77" s="177"/>
      <c r="T77" s="181"/>
      <c r="U77" s="28"/>
    </row>
    <row r="78" spans="1:22" ht="73.5" customHeight="1" x14ac:dyDescent="0.25">
      <c r="A78" s="3"/>
      <c r="B78" s="188" t="s">
        <v>102</v>
      </c>
      <c r="C78" s="189"/>
      <c r="D78" s="190"/>
      <c r="E78" s="191"/>
      <c r="F78" s="189"/>
      <c r="G78" s="189"/>
      <c r="H78" s="190"/>
      <c r="I78" s="191"/>
      <c r="J78" s="189"/>
      <c r="K78" s="189"/>
      <c r="L78" s="190"/>
      <c r="M78" s="189"/>
      <c r="N78" s="189"/>
      <c r="O78" s="189"/>
      <c r="P78" s="189"/>
      <c r="Q78" s="191"/>
      <c r="R78" s="189"/>
      <c r="S78" s="189"/>
      <c r="T78" s="190"/>
      <c r="U78" s="192"/>
    </row>
    <row r="80" spans="1:22" s="195" customFormat="1" ht="17.100000000000001" customHeight="1" x14ac:dyDescent="0.25">
      <c r="B80" s="245" t="s">
        <v>103</v>
      </c>
      <c r="C80" s="246"/>
      <c r="D80" s="246"/>
      <c r="E80" s="247"/>
      <c r="F80" s="254"/>
      <c r="G80" s="255"/>
      <c r="H80" s="260" t="s">
        <v>104</v>
      </c>
      <c r="I80" s="261"/>
      <c r="J80" s="262"/>
      <c r="K80" s="193">
        <v>4</v>
      </c>
      <c r="L80" s="269" t="s">
        <v>105</v>
      </c>
      <c r="M80" s="270"/>
      <c r="N80" s="194">
        <v>44460</v>
      </c>
      <c r="O80" s="193" t="s">
        <v>17</v>
      </c>
      <c r="P80" s="193"/>
      <c r="Q80" s="194"/>
      <c r="R80" s="193"/>
    </row>
    <row r="81" spans="2:19" s="195" customFormat="1" ht="17.100000000000001" customHeight="1" x14ac:dyDescent="0.25">
      <c r="B81" s="248"/>
      <c r="C81" s="249"/>
      <c r="D81" s="249"/>
      <c r="E81" s="250"/>
      <c r="F81" s="256"/>
      <c r="G81" s="257"/>
      <c r="H81" s="263"/>
      <c r="I81" s="264"/>
      <c r="J81" s="265"/>
      <c r="K81" s="193">
        <v>3</v>
      </c>
      <c r="L81" s="269" t="s">
        <v>106</v>
      </c>
      <c r="M81" s="270"/>
      <c r="N81" s="194">
        <v>44326</v>
      </c>
      <c r="O81" s="193" t="s">
        <v>107</v>
      </c>
      <c r="P81" s="193"/>
      <c r="Q81" s="194"/>
      <c r="R81" s="193"/>
    </row>
    <row r="82" spans="2:19" s="195" customFormat="1" ht="17.100000000000001" customHeight="1" x14ac:dyDescent="0.25">
      <c r="B82" s="248"/>
      <c r="C82" s="249"/>
      <c r="D82" s="249"/>
      <c r="E82" s="250"/>
      <c r="F82" s="256"/>
      <c r="G82" s="257"/>
      <c r="H82" s="263"/>
      <c r="I82" s="264"/>
      <c r="J82" s="265"/>
      <c r="K82" s="193">
        <v>2</v>
      </c>
      <c r="L82" s="269" t="s">
        <v>108</v>
      </c>
      <c r="M82" s="270"/>
      <c r="N82" s="194">
        <v>44273</v>
      </c>
      <c r="O82" s="193" t="s">
        <v>18</v>
      </c>
      <c r="P82" s="193"/>
      <c r="Q82" s="194"/>
      <c r="R82" s="193"/>
    </row>
    <row r="83" spans="2:19" s="195" customFormat="1" ht="17.100000000000001" customHeight="1" x14ac:dyDescent="0.25">
      <c r="B83" s="248"/>
      <c r="C83" s="249"/>
      <c r="D83" s="249"/>
      <c r="E83" s="250"/>
      <c r="F83" s="256"/>
      <c r="G83" s="257"/>
      <c r="H83" s="263"/>
      <c r="I83" s="264"/>
      <c r="J83" s="265"/>
      <c r="K83" s="193">
        <v>1</v>
      </c>
      <c r="L83" s="269" t="s">
        <v>108</v>
      </c>
      <c r="M83" s="270"/>
      <c r="N83" s="194">
        <v>44166</v>
      </c>
      <c r="O83" s="193" t="s">
        <v>18</v>
      </c>
      <c r="P83" s="193">
        <v>2</v>
      </c>
      <c r="Q83" s="194">
        <v>44460</v>
      </c>
      <c r="R83" s="193" t="s">
        <v>17</v>
      </c>
    </row>
    <row r="84" spans="2:19" s="195" customFormat="1" ht="17.100000000000001" customHeight="1" x14ac:dyDescent="0.25">
      <c r="B84" s="248"/>
      <c r="C84" s="249"/>
      <c r="D84" s="249"/>
      <c r="E84" s="250"/>
      <c r="F84" s="256"/>
      <c r="G84" s="257"/>
      <c r="H84" s="263"/>
      <c r="I84" s="264"/>
      <c r="J84" s="265"/>
      <c r="K84" s="193">
        <v>0</v>
      </c>
      <c r="L84" s="269" t="s">
        <v>109</v>
      </c>
      <c r="M84" s="270"/>
      <c r="N84" s="194">
        <v>44165</v>
      </c>
      <c r="O84" s="193" t="s">
        <v>18</v>
      </c>
      <c r="P84" s="193">
        <v>1</v>
      </c>
      <c r="Q84" s="194">
        <v>44326</v>
      </c>
      <c r="R84" s="193" t="s">
        <v>17</v>
      </c>
    </row>
    <row r="85" spans="2:19" s="197" customFormat="1" ht="17.100000000000001" customHeight="1" x14ac:dyDescent="0.25">
      <c r="B85" s="251"/>
      <c r="C85" s="252"/>
      <c r="D85" s="252"/>
      <c r="E85" s="253"/>
      <c r="F85" s="258"/>
      <c r="G85" s="259"/>
      <c r="H85" s="266"/>
      <c r="I85" s="267"/>
      <c r="J85" s="268"/>
      <c r="K85" s="196" t="s">
        <v>110</v>
      </c>
      <c r="L85" s="271" t="s">
        <v>111</v>
      </c>
      <c r="M85" s="272"/>
      <c r="N85" s="196" t="s">
        <v>10</v>
      </c>
      <c r="O85" s="196" t="s">
        <v>112</v>
      </c>
      <c r="P85" s="196" t="s">
        <v>113</v>
      </c>
      <c r="Q85" s="196" t="s">
        <v>10</v>
      </c>
      <c r="R85" s="196" t="s">
        <v>112</v>
      </c>
    </row>
    <row r="94" spans="2:19" x14ac:dyDescent="0.25">
      <c r="S94" s="198"/>
    </row>
    <row r="95" spans="2:19" x14ac:dyDescent="0.25">
      <c r="S95" s="198"/>
    </row>
    <row r="96" spans="2:19" x14ac:dyDescent="0.25">
      <c r="S96" s="172"/>
    </row>
  </sheetData>
  <mergeCells count="201">
    <mergeCell ref="S4:S5"/>
    <mergeCell ref="T4:U5"/>
    <mergeCell ref="T6:U6"/>
    <mergeCell ref="N7:O7"/>
    <mergeCell ref="Q7:R7"/>
    <mergeCell ref="T7:U7"/>
    <mergeCell ref="B1:B2"/>
    <mergeCell ref="N3:O3"/>
    <mergeCell ref="Q3:R3"/>
    <mergeCell ref="T3:U3"/>
    <mergeCell ref="B4:G7"/>
    <mergeCell ref="H4:H7"/>
    <mergeCell ref="M4:M6"/>
    <mergeCell ref="N4:O6"/>
    <mergeCell ref="P4:P6"/>
    <mergeCell ref="Q4:R6"/>
    <mergeCell ref="Q15:T15"/>
    <mergeCell ref="C16:D16"/>
    <mergeCell ref="E16:H16"/>
    <mergeCell ref="I16:L16"/>
    <mergeCell ref="M16:P16"/>
    <mergeCell ref="Q16:T16"/>
    <mergeCell ref="C13:D13"/>
    <mergeCell ref="E13:H13"/>
    <mergeCell ref="I13:L13"/>
    <mergeCell ref="M13:P13"/>
    <mergeCell ref="Q13:T13"/>
    <mergeCell ref="C15:D15"/>
    <mergeCell ref="E15:H15"/>
    <mergeCell ref="I15:L15"/>
    <mergeCell ref="M15:P15"/>
    <mergeCell ref="C17:C19"/>
    <mergeCell ref="E20:H20"/>
    <mergeCell ref="I20:L20"/>
    <mergeCell ref="M20:P20"/>
    <mergeCell ref="Q20:T20"/>
    <mergeCell ref="B21:B30"/>
    <mergeCell ref="C21:D21"/>
    <mergeCell ref="E21:H21"/>
    <mergeCell ref="I21:L21"/>
    <mergeCell ref="Q21:T21"/>
    <mergeCell ref="B14:B19"/>
    <mergeCell ref="C22:D22"/>
    <mergeCell ref="E22:H22"/>
    <mergeCell ref="I22:L22"/>
    <mergeCell ref="M22:P22"/>
    <mergeCell ref="Q22:T22"/>
    <mergeCell ref="E23:H23"/>
    <mergeCell ref="I23:L23"/>
    <mergeCell ref="M23:P23"/>
    <mergeCell ref="Q23:T23"/>
    <mergeCell ref="E26:H26"/>
    <mergeCell ref="I26:L26"/>
    <mergeCell ref="M26:P26"/>
    <mergeCell ref="Q26:T26"/>
    <mergeCell ref="E27:H27"/>
    <mergeCell ref="I27:L27"/>
    <mergeCell ref="M27:P27"/>
    <mergeCell ref="Q27:T27"/>
    <mergeCell ref="E24:H24"/>
    <mergeCell ref="I24:L24"/>
    <mergeCell ref="M24:P24"/>
    <mergeCell ref="Q24:T24"/>
    <mergeCell ref="E25:H25"/>
    <mergeCell ref="I25:L25"/>
    <mergeCell ref="M25:P25"/>
    <mergeCell ref="Q25:T25"/>
    <mergeCell ref="Q30:T30"/>
    <mergeCell ref="B31:B37"/>
    <mergeCell ref="G32:J32"/>
    <mergeCell ref="G33:J34"/>
    <mergeCell ref="G35:J35"/>
    <mergeCell ref="G36:J36"/>
    <mergeCell ref="E28:H28"/>
    <mergeCell ref="I28:L28"/>
    <mergeCell ref="M28:P28"/>
    <mergeCell ref="Q28:T28"/>
    <mergeCell ref="E29:H29"/>
    <mergeCell ref="I29:L29"/>
    <mergeCell ref="M29:P29"/>
    <mergeCell ref="Q29:T29"/>
    <mergeCell ref="B38:B44"/>
    <mergeCell ref="C38:D38"/>
    <mergeCell ref="C39:D39"/>
    <mergeCell ref="C40:D40"/>
    <mergeCell ref="E43:H43"/>
    <mergeCell ref="C30:D30"/>
    <mergeCell ref="E30:H30"/>
    <mergeCell ref="I30:L30"/>
    <mergeCell ref="M30:P30"/>
    <mergeCell ref="Q48:T48"/>
    <mergeCell ref="E50:H50"/>
    <mergeCell ref="I50:L50"/>
    <mergeCell ref="M50:P50"/>
    <mergeCell ref="Q50:T50"/>
    <mergeCell ref="E51:H51"/>
    <mergeCell ref="I51:L51"/>
    <mergeCell ref="M51:P51"/>
    <mergeCell ref="Q51:T51"/>
    <mergeCell ref="E48:H48"/>
    <mergeCell ref="I48:L48"/>
    <mergeCell ref="M48:P48"/>
    <mergeCell ref="E54:H54"/>
    <mergeCell ref="I54:L54"/>
    <mergeCell ref="M54:P54"/>
    <mergeCell ref="Q54:T54"/>
    <mergeCell ref="E56:H56"/>
    <mergeCell ref="I56:L56"/>
    <mergeCell ref="M56:P56"/>
    <mergeCell ref="Q56:T56"/>
    <mergeCell ref="E52:H52"/>
    <mergeCell ref="I52:L52"/>
    <mergeCell ref="M52:P52"/>
    <mergeCell ref="Q52:T52"/>
    <mergeCell ref="E53:H53"/>
    <mergeCell ref="I53:L53"/>
    <mergeCell ref="M53:P53"/>
    <mergeCell ref="Q53:T53"/>
    <mergeCell ref="B60:B61"/>
    <mergeCell ref="C60:C61"/>
    <mergeCell ref="E60:H60"/>
    <mergeCell ref="I60:L60"/>
    <mergeCell ref="M60:P60"/>
    <mergeCell ref="Q60:T60"/>
    <mergeCell ref="E61:H61"/>
    <mergeCell ref="E57:H57"/>
    <mergeCell ref="I57:L57"/>
    <mergeCell ref="M57:P57"/>
    <mergeCell ref="Q57:T57"/>
    <mergeCell ref="E58:H58"/>
    <mergeCell ref="I58:L58"/>
    <mergeCell ref="M58:P58"/>
    <mergeCell ref="Q58:T58"/>
    <mergeCell ref="I61:L61"/>
    <mergeCell ref="M61:P61"/>
    <mergeCell ref="Q61:T61"/>
    <mergeCell ref="E62:H62"/>
    <mergeCell ref="I62:L62"/>
    <mergeCell ref="M62:P62"/>
    <mergeCell ref="Q62:T62"/>
    <mergeCell ref="E59:H59"/>
    <mergeCell ref="I59:L59"/>
    <mergeCell ref="Q59:T59"/>
    <mergeCell ref="B63:B65"/>
    <mergeCell ref="E64:H64"/>
    <mergeCell ref="I64:L64"/>
    <mergeCell ref="M64:P64"/>
    <mergeCell ref="Q64:T64"/>
    <mergeCell ref="B66:B73"/>
    <mergeCell ref="E66:H66"/>
    <mergeCell ref="I66:L66"/>
    <mergeCell ref="M66:P66"/>
    <mergeCell ref="Q66:T66"/>
    <mergeCell ref="E69:H69"/>
    <mergeCell ref="I69:L69"/>
    <mergeCell ref="M69:P69"/>
    <mergeCell ref="Q69:T69"/>
    <mergeCell ref="E70:H70"/>
    <mergeCell ref="I70:L70"/>
    <mergeCell ref="M70:P70"/>
    <mergeCell ref="Q70:T70"/>
    <mergeCell ref="E67:H67"/>
    <mergeCell ref="I67:L67"/>
    <mergeCell ref="M67:P67"/>
    <mergeCell ref="Q67:T67"/>
    <mergeCell ref="E68:H68"/>
    <mergeCell ref="I68:L68"/>
    <mergeCell ref="M68:P68"/>
    <mergeCell ref="Q68:T68"/>
    <mergeCell ref="B74:C74"/>
    <mergeCell ref="E74:E75"/>
    <mergeCell ref="I74:I75"/>
    <mergeCell ref="M74:M75"/>
    <mergeCell ref="N74:P75"/>
    <mergeCell ref="Q74:Q75"/>
    <mergeCell ref="E71:H71"/>
    <mergeCell ref="I71:L71"/>
    <mergeCell ref="M71:P71"/>
    <mergeCell ref="Q71:T71"/>
    <mergeCell ref="E72:H72"/>
    <mergeCell ref="I72:L72"/>
    <mergeCell ref="M72:P72"/>
    <mergeCell ref="Q72:T72"/>
    <mergeCell ref="E76:E77"/>
    <mergeCell ref="I76:I77"/>
    <mergeCell ref="M76:M77"/>
    <mergeCell ref="N76:P77"/>
    <mergeCell ref="Q76:Q77"/>
    <mergeCell ref="E73:H73"/>
    <mergeCell ref="I73:L73"/>
    <mergeCell ref="M73:P73"/>
    <mergeCell ref="Q73:T73"/>
    <mergeCell ref="B80:E85"/>
    <mergeCell ref="F80:G85"/>
    <mergeCell ref="H80:J85"/>
    <mergeCell ref="L80:M80"/>
    <mergeCell ref="L81:M81"/>
    <mergeCell ref="L82:M82"/>
    <mergeCell ref="L83:M83"/>
    <mergeCell ref="L84:M84"/>
    <mergeCell ref="L85:M85"/>
  </mergeCells>
  <conditionalFormatting sqref="C32">
    <cfRule type="expression" dxfId="2" priority="2" stopIfTrue="1">
      <formula>$C$32=0</formula>
    </cfRule>
  </conditionalFormatting>
  <conditionalFormatting sqref="C33:C35">
    <cfRule type="expression" dxfId="1" priority="1" stopIfTrue="1">
      <formula>$C$32=0</formula>
    </cfRule>
  </conditionalFormatting>
  <hyperlinks>
    <hyperlink ref="E18" r:id="rId1" display="tonywaeyoo@yahoo.com"/>
    <hyperlink ref="I18" r:id="rId2" display="teguh.iman21@gmail.com"/>
    <hyperlink ref="M18" r:id="rId3" display="teguh.iman21@gmail.com"/>
  </hyperlinks>
  <printOptions horizontalCentered="1"/>
  <pageMargins left="0" right="0" top="0.25" bottom="0" header="0" footer="0"/>
  <pageSetup paperSize="9" scale="23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7"/>
  <sheetViews>
    <sheetView showGridLines="0" view="pageBreakPreview" topLeftCell="A46" zoomScale="55" zoomScaleNormal="85" zoomScaleSheetLayoutView="55" workbookViewId="0">
      <selection activeCell="C34" sqref="C34"/>
    </sheetView>
  </sheetViews>
  <sheetFormatPr defaultRowHeight="15" x14ac:dyDescent="0.25"/>
  <cols>
    <col min="1" max="1" width="3" style="1" customWidth="1"/>
    <col min="2" max="2" width="6.140625" style="1" customWidth="1"/>
    <col min="3" max="3" width="35" style="1" customWidth="1"/>
    <col min="4" max="4" width="73" style="1" customWidth="1"/>
    <col min="5" max="5" width="14.140625" style="1" customWidth="1"/>
    <col min="6" max="6" width="11" style="1" customWidth="1"/>
    <col min="7" max="7" width="28.28515625" style="1" customWidth="1"/>
    <col min="8" max="8" width="24.7109375" style="1" customWidth="1"/>
    <col min="9" max="9" width="15" style="1" customWidth="1"/>
    <col min="10" max="10" width="12.5703125" style="1" bestFit="1" customWidth="1"/>
    <col min="11" max="11" width="27.42578125" style="1" customWidth="1"/>
    <col min="12" max="12" width="24.7109375" style="1" customWidth="1"/>
    <col min="13" max="13" width="16.28515625" style="1" customWidth="1"/>
    <col min="14" max="14" width="11" style="1" customWidth="1"/>
    <col min="15" max="15" width="23.85546875" style="1" customWidth="1"/>
    <col min="16" max="16" width="27.7109375" style="1" customWidth="1"/>
    <col min="17" max="17" width="15" style="1" customWidth="1"/>
    <col min="18" max="18" width="8.85546875" style="1" customWidth="1"/>
    <col min="19" max="19" width="23.7109375" style="1" customWidth="1"/>
    <col min="20" max="20" width="26.85546875" style="1" customWidth="1"/>
    <col min="21" max="22" width="2.7109375" style="1" customWidth="1"/>
    <col min="23" max="23" width="14.28515625" style="1" bestFit="1" customWidth="1"/>
    <col min="24" max="24" width="15.28515625" style="1" bestFit="1" customWidth="1"/>
    <col min="25" max="25" width="16.28515625" style="1" customWidth="1"/>
    <col min="26" max="16384" width="9.140625" style="1"/>
  </cols>
  <sheetData>
    <row r="1" spans="1:27" x14ac:dyDescent="0.25">
      <c r="B1" s="368">
        <v>6</v>
      </c>
    </row>
    <row r="2" spans="1:27" x14ac:dyDescent="0.25">
      <c r="B2" s="369"/>
      <c r="C2" s="2"/>
      <c r="L2" s="3"/>
      <c r="M2" s="3"/>
      <c r="N2" s="3"/>
      <c r="O2" s="3"/>
      <c r="P2" s="3"/>
      <c r="Q2" s="3"/>
      <c r="R2" s="3"/>
      <c r="S2" s="3"/>
      <c r="T2" s="3"/>
    </row>
    <row r="3" spans="1:27" ht="18.75" x14ac:dyDescent="0.25">
      <c r="B3" s="4" t="s">
        <v>0</v>
      </c>
      <c r="C3" s="5"/>
      <c r="D3" s="5"/>
      <c r="E3" s="5"/>
      <c r="F3" s="5"/>
      <c r="G3" s="5"/>
      <c r="H3" s="6" t="s">
        <v>1</v>
      </c>
      <c r="I3" s="7" t="s">
        <v>2</v>
      </c>
      <c r="J3" s="7" t="s">
        <v>3</v>
      </c>
      <c r="K3" s="7"/>
      <c r="L3" s="7"/>
      <c r="M3" s="8" t="s">
        <v>4</v>
      </c>
      <c r="N3" s="363" t="s">
        <v>4</v>
      </c>
      <c r="O3" s="363"/>
      <c r="P3" s="8" t="s">
        <v>5</v>
      </c>
      <c r="Q3" s="364" t="s">
        <v>6</v>
      </c>
      <c r="R3" s="365"/>
      <c r="S3" s="9"/>
      <c r="T3" s="370"/>
      <c r="U3" s="371"/>
    </row>
    <row r="4" spans="1:27" ht="31.5" customHeight="1" x14ac:dyDescent="0.25">
      <c r="B4" s="372" t="s">
        <v>7</v>
      </c>
      <c r="C4" s="373"/>
      <c r="D4" s="373"/>
      <c r="E4" s="373"/>
      <c r="F4" s="373"/>
      <c r="G4" s="374"/>
      <c r="H4" s="381"/>
      <c r="I4" s="10" t="s">
        <v>8</v>
      </c>
      <c r="J4" s="11" t="s">
        <v>9</v>
      </c>
      <c r="K4" s="11"/>
      <c r="L4" s="12"/>
      <c r="M4" s="384"/>
      <c r="N4" s="387"/>
      <c r="O4" s="388"/>
      <c r="P4" s="393"/>
      <c r="Q4" s="387"/>
      <c r="R4" s="388"/>
      <c r="S4" s="358"/>
      <c r="T4" s="359"/>
      <c r="U4" s="360"/>
    </row>
    <row r="5" spans="1:27" ht="31.5" customHeight="1" x14ac:dyDescent="0.25">
      <c r="B5" s="375"/>
      <c r="C5" s="376"/>
      <c r="D5" s="376"/>
      <c r="E5" s="376"/>
      <c r="F5" s="376"/>
      <c r="G5" s="377"/>
      <c r="H5" s="382"/>
      <c r="I5" s="10" t="s">
        <v>10</v>
      </c>
      <c r="J5" s="11" t="s">
        <v>11</v>
      </c>
      <c r="K5" s="11"/>
      <c r="L5" s="12"/>
      <c r="M5" s="385"/>
      <c r="N5" s="389"/>
      <c r="O5" s="390"/>
      <c r="P5" s="394"/>
      <c r="Q5" s="389"/>
      <c r="R5" s="390"/>
      <c r="S5" s="358"/>
      <c r="T5" s="359"/>
      <c r="U5" s="360"/>
    </row>
    <row r="6" spans="1:27" ht="15.75" customHeight="1" x14ac:dyDescent="0.25">
      <c r="B6" s="375"/>
      <c r="C6" s="376"/>
      <c r="D6" s="376"/>
      <c r="E6" s="376"/>
      <c r="F6" s="376"/>
      <c r="G6" s="377"/>
      <c r="H6" s="382"/>
      <c r="I6" s="10" t="s">
        <v>12</v>
      </c>
      <c r="J6" s="11" t="s">
        <v>13</v>
      </c>
      <c r="K6" s="11"/>
      <c r="L6" s="12"/>
      <c r="M6" s="386"/>
      <c r="N6" s="391"/>
      <c r="O6" s="392"/>
      <c r="P6" s="395"/>
      <c r="Q6" s="391"/>
      <c r="R6" s="392"/>
      <c r="S6" s="13"/>
      <c r="T6" s="361"/>
      <c r="U6" s="362"/>
    </row>
    <row r="7" spans="1:27" ht="15" customHeight="1" x14ac:dyDescent="0.3">
      <c r="A7" s="14"/>
      <c r="B7" s="378"/>
      <c r="C7" s="379"/>
      <c r="D7" s="379"/>
      <c r="E7" s="379"/>
      <c r="F7" s="379"/>
      <c r="G7" s="380"/>
      <c r="H7" s="383"/>
      <c r="I7" s="15" t="s">
        <v>14</v>
      </c>
      <c r="J7" s="16" t="s">
        <v>15</v>
      </c>
      <c r="K7" s="17"/>
      <c r="L7" s="17"/>
      <c r="M7" s="8" t="s">
        <v>16</v>
      </c>
      <c r="N7" s="363" t="s">
        <v>17</v>
      </c>
      <c r="O7" s="363"/>
      <c r="P7" s="8" t="s">
        <v>18</v>
      </c>
      <c r="Q7" s="364" t="s">
        <v>19</v>
      </c>
      <c r="R7" s="365"/>
      <c r="S7" s="18"/>
      <c r="T7" s="366"/>
      <c r="U7" s="367"/>
    </row>
    <row r="8" spans="1:27" ht="30" customHeight="1" x14ac:dyDescent="0.4">
      <c r="A8" s="14"/>
      <c r="B8" s="19"/>
      <c r="C8" s="20" t="s">
        <v>20</v>
      </c>
      <c r="D8" s="21" t="s">
        <v>181</v>
      </c>
      <c r="E8" s="22"/>
      <c r="F8" s="23"/>
      <c r="G8" s="24"/>
      <c r="H8" s="25"/>
      <c r="I8" s="25"/>
      <c r="J8" s="25"/>
      <c r="K8" s="26"/>
      <c r="L8" s="27"/>
      <c r="M8" s="27"/>
      <c r="N8" s="27"/>
      <c r="O8" s="27"/>
      <c r="P8" s="27"/>
      <c r="Q8" s="27"/>
      <c r="R8" s="3"/>
      <c r="S8" s="3"/>
      <c r="T8" s="3"/>
      <c r="U8" s="28"/>
    </row>
    <row r="9" spans="1:27" ht="30" customHeight="1" x14ac:dyDescent="0.4">
      <c r="A9" s="14"/>
      <c r="B9" s="19"/>
      <c r="C9" s="20" t="s">
        <v>21</v>
      </c>
      <c r="D9" s="21" t="s">
        <v>115</v>
      </c>
      <c r="E9" s="22"/>
      <c r="F9" s="23"/>
      <c r="G9" s="24"/>
      <c r="H9" s="25"/>
      <c r="I9" s="25"/>
      <c r="J9" s="25"/>
      <c r="K9" s="29" t="s">
        <v>22</v>
      </c>
      <c r="L9" s="30"/>
      <c r="M9" s="30"/>
      <c r="N9" s="30"/>
      <c r="O9" s="30"/>
      <c r="P9" s="30"/>
      <c r="Q9" s="27"/>
      <c r="R9" s="3"/>
      <c r="S9" s="3"/>
      <c r="T9" s="3"/>
      <c r="U9" s="28"/>
    </row>
    <row r="10" spans="1:27" ht="30" customHeight="1" x14ac:dyDescent="0.4">
      <c r="A10" s="14"/>
      <c r="B10" s="19"/>
      <c r="C10" s="20" t="s">
        <v>23</v>
      </c>
      <c r="D10" s="21" t="s">
        <v>114</v>
      </c>
      <c r="E10" s="31"/>
      <c r="F10" s="32"/>
      <c r="G10" s="25"/>
      <c r="H10" s="25"/>
      <c r="I10" s="25"/>
      <c r="J10" s="25"/>
      <c r="K10" s="33" t="s">
        <v>24</v>
      </c>
      <c r="L10" s="33" t="s">
        <v>25</v>
      </c>
      <c r="M10" s="34"/>
      <c r="N10" s="34"/>
      <c r="O10" s="34"/>
      <c r="P10" s="34"/>
      <c r="Q10" s="27"/>
      <c r="R10" s="3"/>
      <c r="S10" s="3"/>
      <c r="T10" s="3"/>
      <c r="U10" s="28"/>
    </row>
    <row r="11" spans="1:27" ht="30" customHeight="1" x14ac:dyDescent="0.4">
      <c r="A11" s="14"/>
      <c r="B11" s="19"/>
      <c r="C11" s="20" t="s">
        <v>26</v>
      </c>
      <c r="D11" s="21" t="s">
        <v>175</v>
      </c>
      <c r="E11" s="32"/>
      <c r="F11" s="32"/>
      <c r="G11" s="25"/>
      <c r="H11" s="25"/>
      <c r="I11" s="25"/>
      <c r="J11" s="25"/>
      <c r="K11" s="35"/>
      <c r="L11" s="35" t="s">
        <v>27</v>
      </c>
      <c r="M11" s="36"/>
      <c r="N11" s="36"/>
      <c r="O11" s="36"/>
      <c r="P11" s="36"/>
      <c r="Q11" s="27"/>
      <c r="R11" s="3"/>
      <c r="S11" s="3"/>
      <c r="T11" s="3"/>
      <c r="U11" s="28"/>
    </row>
    <row r="12" spans="1:27" ht="9.9499999999999993" customHeight="1" x14ac:dyDescent="0.35">
      <c r="A12" s="14"/>
      <c r="B12" s="19"/>
      <c r="C12" s="37"/>
      <c r="D12" s="22"/>
      <c r="E12" s="32"/>
      <c r="F12" s="32"/>
      <c r="G12" s="25"/>
      <c r="H12" s="25"/>
      <c r="I12" s="25"/>
      <c r="J12" s="25"/>
      <c r="K12" s="27"/>
      <c r="L12" s="27"/>
      <c r="M12" s="27"/>
      <c r="N12" s="27"/>
      <c r="O12" s="27"/>
      <c r="P12" s="27"/>
      <c r="Q12" s="27"/>
      <c r="R12" s="3"/>
      <c r="S12" s="3"/>
      <c r="T12" s="3"/>
      <c r="U12" s="28"/>
    </row>
    <row r="13" spans="1:27" ht="56.25" customHeight="1" x14ac:dyDescent="0.25">
      <c r="B13" s="38" t="s">
        <v>28</v>
      </c>
      <c r="C13" s="354" t="s">
        <v>29</v>
      </c>
      <c r="D13" s="355"/>
      <c r="E13" s="356" t="s">
        <v>30</v>
      </c>
      <c r="F13" s="356"/>
      <c r="G13" s="356"/>
      <c r="H13" s="356"/>
      <c r="I13" s="356" t="s">
        <v>31</v>
      </c>
      <c r="J13" s="356"/>
      <c r="K13" s="356"/>
      <c r="L13" s="356"/>
      <c r="M13" s="356" t="s">
        <v>32</v>
      </c>
      <c r="N13" s="356"/>
      <c r="O13" s="356"/>
      <c r="P13" s="356"/>
      <c r="Q13" s="354" t="s">
        <v>33</v>
      </c>
      <c r="R13" s="357"/>
      <c r="S13" s="357"/>
      <c r="T13" s="355"/>
      <c r="U13" s="28"/>
    </row>
    <row r="14" spans="1:27" ht="35.1" customHeight="1" x14ac:dyDescent="0.25">
      <c r="B14" s="293">
        <v>1</v>
      </c>
      <c r="C14" s="39" t="s">
        <v>34</v>
      </c>
      <c r="D14" s="40"/>
      <c r="E14" s="41"/>
      <c r="F14" s="42"/>
      <c r="G14" s="42"/>
      <c r="H14" s="43"/>
      <c r="I14" s="41"/>
      <c r="J14" s="44"/>
      <c r="K14" s="44"/>
      <c r="L14" s="45"/>
      <c r="M14" s="44"/>
      <c r="N14" s="44"/>
      <c r="O14" s="44"/>
      <c r="P14" s="44"/>
      <c r="Q14" s="44"/>
      <c r="R14" s="44"/>
      <c r="S14" s="44"/>
      <c r="T14" s="45"/>
      <c r="U14" s="28"/>
      <c r="Y14" s="3"/>
      <c r="Z14" s="3"/>
      <c r="AA14" s="3"/>
    </row>
    <row r="15" spans="1:27" s="46" customFormat="1" ht="57" customHeight="1" x14ac:dyDescent="0.35">
      <c r="B15" s="294"/>
      <c r="C15" s="349" t="s">
        <v>35</v>
      </c>
      <c r="D15" s="350"/>
      <c r="E15" s="346" t="s">
        <v>116</v>
      </c>
      <c r="F15" s="347"/>
      <c r="G15" s="347"/>
      <c r="H15" s="348"/>
      <c r="I15" s="346" t="s">
        <v>117</v>
      </c>
      <c r="J15" s="347"/>
      <c r="K15" s="347"/>
      <c r="L15" s="348"/>
      <c r="M15" s="346" t="s">
        <v>118</v>
      </c>
      <c r="N15" s="347"/>
      <c r="O15" s="347"/>
      <c r="P15" s="348"/>
      <c r="Q15" s="346" t="s">
        <v>119</v>
      </c>
      <c r="R15" s="347"/>
      <c r="S15" s="347"/>
      <c r="T15" s="348"/>
      <c r="U15" s="47"/>
      <c r="V15" s="48"/>
      <c r="Y15" s="49"/>
      <c r="Z15" s="49"/>
      <c r="AA15" s="50"/>
    </row>
    <row r="16" spans="1:27" s="46" customFormat="1" ht="78" customHeight="1" x14ac:dyDescent="0.25">
      <c r="B16" s="294"/>
      <c r="C16" s="349" t="s">
        <v>36</v>
      </c>
      <c r="D16" s="350"/>
      <c r="E16" s="351" t="s">
        <v>120</v>
      </c>
      <c r="F16" s="352"/>
      <c r="G16" s="352"/>
      <c r="H16" s="353"/>
      <c r="I16" s="351" t="s">
        <v>121</v>
      </c>
      <c r="J16" s="352"/>
      <c r="K16" s="352"/>
      <c r="L16" s="353"/>
      <c r="M16" s="351" t="s">
        <v>122</v>
      </c>
      <c r="N16" s="352"/>
      <c r="O16" s="352"/>
      <c r="P16" s="353"/>
      <c r="Q16" s="351" t="s">
        <v>123</v>
      </c>
      <c r="R16" s="352"/>
      <c r="S16" s="352"/>
      <c r="T16" s="353"/>
      <c r="U16" s="51"/>
      <c r="V16" s="52"/>
      <c r="Y16" s="53"/>
      <c r="Z16" s="53"/>
      <c r="AA16" s="53"/>
    </row>
    <row r="17" spans="2:27" s="46" customFormat="1" ht="35.1" customHeight="1" x14ac:dyDescent="0.35">
      <c r="B17" s="294"/>
      <c r="C17" s="338" t="s">
        <v>37</v>
      </c>
      <c r="D17" s="54" t="s">
        <v>38</v>
      </c>
      <c r="E17" s="55" t="s">
        <v>124</v>
      </c>
      <c r="F17" s="42"/>
      <c r="G17" s="42"/>
      <c r="H17" s="43"/>
      <c r="I17" s="55" t="s">
        <v>125</v>
      </c>
      <c r="J17" s="56"/>
      <c r="K17" s="56"/>
      <c r="L17" s="57"/>
      <c r="M17" s="55" t="s">
        <v>126</v>
      </c>
      <c r="N17" s="58"/>
      <c r="O17" s="58"/>
      <c r="P17" s="59"/>
      <c r="Q17" s="60" t="s">
        <v>127</v>
      </c>
      <c r="R17" s="61"/>
      <c r="S17" s="61"/>
      <c r="T17" s="62"/>
      <c r="U17" s="63"/>
      <c r="V17" s="64"/>
      <c r="Y17" s="65"/>
      <c r="Z17" s="65"/>
      <c r="AA17" s="66"/>
    </row>
    <row r="18" spans="2:27" s="46" customFormat="1" ht="35.1" customHeight="1" x14ac:dyDescent="0.35">
      <c r="B18" s="294"/>
      <c r="C18" s="339"/>
      <c r="D18" s="54" t="s">
        <v>39</v>
      </c>
      <c r="E18" s="67" t="s">
        <v>128</v>
      </c>
      <c r="F18" s="68"/>
      <c r="G18" s="68"/>
      <c r="H18" s="69"/>
      <c r="I18" s="67" t="s">
        <v>129</v>
      </c>
      <c r="J18" s="70"/>
      <c r="K18" s="70"/>
      <c r="L18" s="71"/>
      <c r="M18" s="67" t="s">
        <v>130</v>
      </c>
      <c r="N18" s="68"/>
      <c r="O18" s="68"/>
      <c r="P18" s="71"/>
      <c r="Q18" s="72" t="s">
        <v>131</v>
      </c>
      <c r="R18" s="73"/>
      <c r="S18" s="73"/>
      <c r="T18" s="74"/>
      <c r="U18" s="51"/>
      <c r="V18" s="75"/>
      <c r="Y18" s="76"/>
      <c r="Z18" s="76"/>
      <c r="AA18" s="77"/>
    </row>
    <row r="19" spans="2:27" s="46" customFormat="1" ht="35.1" customHeight="1" x14ac:dyDescent="0.4">
      <c r="B19" s="295"/>
      <c r="C19" s="340"/>
      <c r="D19" s="54" t="s">
        <v>40</v>
      </c>
      <c r="E19" s="78" t="s">
        <v>132</v>
      </c>
      <c r="F19" s="79"/>
      <c r="G19" s="79"/>
      <c r="H19" s="80"/>
      <c r="I19" s="78" t="s">
        <v>133</v>
      </c>
      <c r="J19" s="81"/>
      <c r="K19" s="81"/>
      <c r="L19" s="80"/>
      <c r="M19" s="78" t="s">
        <v>134</v>
      </c>
      <c r="N19" s="82"/>
      <c r="O19" s="82"/>
      <c r="P19" s="83"/>
      <c r="Q19" s="84" t="s">
        <v>135</v>
      </c>
      <c r="R19" s="79"/>
      <c r="S19" s="79"/>
      <c r="T19" s="85"/>
      <c r="U19" s="86"/>
      <c r="V19" s="75"/>
      <c r="Y19" s="49"/>
      <c r="Z19" s="49"/>
      <c r="AA19" s="87"/>
    </row>
    <row r="20" spans="2:27" s="46" customFormat="1" ht="35.1" customHeight="1" x14ac:dyDescent="0.35">
      <c r="B20" s="88">
        <v>2</v>
      </c>
      <c r="C20" s="89" t="s">
        <v>41</v>
      </c>
      <c r="D20" s="89"/>
      <c r="E20" s="281" t="s">
        <v>136</v>
      </c>
      <c r="F20" s="282"/>
      <c r="G20" s="282"/>
      <c r="H20" s="283"/>
      <c r="I20" s="281" t="s">
        <v>137</v>
      </c>
      <c r="J20" s="282"/>
      <c r="K20" s="282"/>
      <c r="L20" s="283"/>
      <c r="M20" s="281" t="s">
        <v>138</v>
      </c>
      <c r="N20" s="282"/>
      <c r="O20" s="282"/>
      <c r="P20" s="283"/>
      <c r="Q20" s="281" t="s">
        <v>139</v>
      </c>
      <c r="R20" s="282"/>
      <c r="S20" s="282"/>
      <c r="T20" s="283"/>
      <c r="U20" s="63"/>
      <c r="V20" s="75"/>
      <c r="Y20" s="53"/>
      <c r="Z20" s="53"/>
      <c r="AA20" s="53"/>
    </row>
    <row r="21" spans="2:27" s="46" customFormat="1" ht="35.1" customHeight="1" x14ac:dyDescent="0.35">
      <c r="B21" s="293">
        <v>3</v>
      </c>
      <c r="C21" s="341" t="s">
        <v>42</v>
      </c>
      <c r="D21" s="342"/>
      <c r="E21" s="281"/>
      <c r="F21" s="282"/>
      <c r="G21" s="282"/>
      <c r="H21" s="283"/>
      <c r="I21" s="317"/>
      <c r="J21" s="318"/>
      <c r="K21" s="318"/>
      <c r="L21" s="319"/>
      <c r="M21" s="90"/>
      <c r="N21" s="90"/>
      <c r="O21" s="90"/>
      <c r="P21" s="90"/>
      <c r="Q21" s="343"/>
      <c r="R21" s="344"/>
      <c r="S21" s="344"/>
      <c r="T21" s="345"/>
      <c r="U21" s="63"/>
      <c r="Y21" s="53"/>
      <c r="Z21" s="53"/>
      <c r="AA21" s="53"/>
    </row>
    <row r="22" spans="2:27" s="46" customFormat="1" ht="35.1" customHeight="1" x14ac:dyDescent="0.4">
      <c r="B22" s="294"/>
      <c r="C22" s="312" t="s">
        <v>43</v>
      </c>
      <c r="D22" s="313"/>
      <c r="E22" s="332" t="s">
        <v>27</v>
      </c>
      <c r="F22" s="333"/>
      <c r="G22" s="333"/>
      <c r="H22" s="334"/>
      <c r="I22" s="332" t="s">
        <v>27</v>
      </c>
      <c r="J22" s="333"/>
      <c r="K22" s="333"/>
      <c r="L22" s="334"/>
      <c r="M22" s="332" t="s">
        <v>27</v>
      </c>
      <c r="N22" s="333"/>
      <c r="O22" s="333"/>
      <c r="P22" s="334"/>
      <c r="Q22" s="332" t="s">
        <v>27</v>
      </c>
      <c r="R22" s="333"/>
      <c r="S22" s="333"/>
      <c r="T22" s="334"/>
      <c r="U22" s="63"/>
      <c r="Y22" s="53"/>
      <c r="Z22" s="53"/>
      <c r="AA22" s="53"/>
    </row>
    <row r="23" spans="2:27" s="46" customFormat="1" ht="35.1" customHeight="1" x14ac:dyDescent="0.4">
      <c r="B23" s="294"/>
      <c r="C23" s="91" t="s">
        <v>44</v>
      </c>
      <c r="D23" s="92"/>
      <c r="E23" s="332" t="s">
        <v>27</v>
      </c>
      <c r="F23" s="333"/>
      <c r="G23" s="333"/>
      <c r="H23" s="334"/>
      <c r="I23" s="335" t="s">
        <v>27</v>
      </c>
      <c r="J23" s="336"/>
      <c r="K23" s="336"/>
      <c r="L23" s="337"/>
      <c r="M23" s="335" t="s">
        <v>27</v>
      </c>
      <c r="N23" s="336"/>
      <c r="O23" s="336"/>
      <c r="P23" s="337"/>
      <c r="Q23" s="332" t="s">
        <v>27</v>
      </c>
      <c r="R23" s="333"/>
      <c r="S23" s="333"/>
      <c r="T23" s="334"/>
      <c r="U23" s="63"/>
    </row>
    <row r="24" spans="2:27" s="46" customFormat="1" ht="35.1" customHeight="1" x14ac:dyDescent="0.4">
      <c r="B24" s="294"/>
      <c r="C24" s="91" t="s">
        <v>45</v>
      </c>
      <c r="D24" s="92"/>
      <c r="E24" s="332" t="s">
        <v>27</v>
      </c>
      <c r="F24" s="333"/>
      <c r="G24" s="333"/>
      <c r="H24" s="334"/>
      <c r="I24" s="332" t="s">
        <v>27</v>
      </c>
      <c r="J24" s="333"/>
      <c r="K24" s="333"/>
      <c r="L24" s="334"/>
      <c r="M24" s="332" t="s">
        <v>27</v>
      </c>
      <c r="N24" s="333"/>
      <c r="O24" s="333"/>
      <c r="P24" s="334"/>
      <c r="Q24" s="332" t="s">
        <v>27</v>
      </c>
      <c r="R24" s="333"/>
      <c r="S24" s="333"/>
      <c r="T24" s="334"/>
      <c r="U24" s="63"/>
    </row>
    <row r="25" spans="2:27" s="46" customFormat="1" ht="35.1" customHeight="1" x14ac:dyDescent="0.4">
      <c r="B25" s="294"/>
      <c r="C25" s="91" t="s">
        <v>46</v>
      </c>
      <c r="D25" s="92"/>
      <c r="E25" s="332" t="s">
        <v>27</v>
      </c>
      <c r="F25" s="333"/>
      <c r="G25" s="333"/>
      <c r="H25" s="334"/>
      <c r="I25" s="332" t="s">
        <v>27</v>
      </c>
      <c r="J25" s="333"/>
      <c r="K25" s="333"/>
      <c r="L25" s="334"/>
      <c r="M25" s="332" t="s">
        <v>27</v>
      </c>
      <c r="N25" s="333"/>
      <c r="O25" s="333"/>
      <c r="P25" s="334"/>
      <c r="Q25" s="332" t="s">
        <v>27</v>
      </c>
      <c r="R25" s="333"/>
      <c r="S25" s="333"/>
      <c r="T25" s="334"/>
      <c r="U25" s="63"/>
    </row>
    <row r="26" spans="2:27" s="46" customFormat="1" ht="35.1" customHeight="1" x14ac:dyDescent="0.4">
      <c r="B26" s="294"/>
      <c r="C26" s="91" t="s">
        <v>47</v>
      </c>
      <c r="D26" s="92"/>
      <c r="E26" s="332" t="s">
        <v>27</v>
      </c>
      <c r="F26" s="333"/>
      <c r="G26" s="333"/>
      <c r="H26" s="334"/>
      <c r="I26" s="332" t="s">
        <v>27</v>
      </c>
      <c r="J26" s="333"/>
      <c r="K26" s="333"/>
      <c r="L26" s="334"/>
      <c r="M26" s="332" t="s">
        <v>27</v>
      </c>
      <c r="N26" s="333"/>
      <c r="O26" s="333"/>
      <c r="P26" s="334"/>
      <c r="Q26" s="332" t="s">
        <v>27</v>
      </c>
      <c r="R26" s="333"/>
      <c r="S26" s="333"/>
      <c r="T26" s="334"/>
      <c r="U26" s="63"/>
    </row>
    <row r="27" spans="2:27" s="46" customFormat="1" ht="35.1" customHeight="1" x14ac:dyDescent="0.4">
      <c r="B27" s="294"/>
      <c r="C27" s="91" t="s">
        <v>48</v>
      </c>
      <c r="D27" s="92"/>
      <c r="E27" s="332" t="s">
        <v>27</v>
      </c>
      <c r="F27" s="333"/>
      <c r="G27" s="333"/>
      <c r="H27" s="334"/>
      <c r="I27" s="332" t="s">
        <v>27</v>
      </c>
      <c r="J27" s="333"/>
      <c r="K27" s="333"/>
      <c r="L27" s="334"/>
      <c r="M27" s="332" t="s">
        <v>27</v>
      </c>
      <c r="N27" s="333"/>
      <c r="O27" s="333"/>
      <c r="P27" s="334"/>
      <c r="Q27" s="332" t="s">
        <v>27</v>
      </c>
      <c r="R27" s="333"/>
      <c r="S27" s="333"/>
      <c r="T27" s="334"/>
      <c r="U27" s="63"/>
    </row>
    <row r="28" spans="2:27" s="46" customFormat="1" ht="35.1" customHeight="1" x14ac:dyDescent="0.4">
      <c r="B28" s="294"/>
      <c r="C28" s="91" t="s">
        <v>49</v>
      </c>
      <c r="D28" s="92"/>
      <c r="E28" s="332" t="s">
        <v>27</v>
      </c>
      <c r="F28" s="333"/>
      <c r="G28" s="333"/>
      <c r="H28" s="334"/>
      <c r="I28" s="332" t="s">
        <v>27</v>
      </c>
      <c r="J28" s="333"/>
      <c r="K28" s="333"/>
      <c r="L28" s="334"/>
      <c r="M28" s="332" t="s">
        <v>27</v>
      </c>
      <c r="N28" s="333"/>
      <c r="O28" s="333"/>
      <c r="P28" s="334"/>
      <c r="Q28" s="332" t="s">
        <v>27</v>
      </c>
      <c r="R28" s="333"/>
      <c r="S28" s="333"/>
      <c r="T28" s="334"/>
      <c r="U28" s="63"/>
    </row>
    <row r="29" spans="2:27" s="46" customFormat="1" ht="35.1" customHeight="1" x14ac:dyDescent="0.4">
      <c r="B29" s="294"/>
      <c r="C29" s="91" t="s">
        <v>50</v>
      </c>
      <c r="D29" s="92"/>
      <c r="E29" s="317" t="s">
        <v>51</v>
      </c>
      <c r="F29" s="318"/>
      <c r="G29" s="318"/>
      <c r="H29" s="319"/>
      <c r="I29" s="317" t="s">
        <v>51</v>
      </c>
      <c r="J29" s="318"/>
      <c r="K29" s="318"/>
      <c r="L29" s="319"/>
      <c r="M29" s="317" t="s">
        <v>51</v>
      </c>
      <c r="N29" s="318"/>
      <c r="O29" s="318"/>
      <c r="P29" s="319"/>
      <c r="Q29" s="317" t="s">
        <v>51</v>
      </c>
      <c r="R29" s="318"/>
      <c r="S29" s="318"/>
      <c r="T29" s="319"/>
      <c r="U29" s="63"/>
    </row>
    <row r="30" spans="2:27" s="46" customFormat="1" ht="35.1" customHeight="1" x14ac:dyDescent="0.4">
      <c r="B30" s="295"/>
      <c r="C30" s="312" t="s">
        <v>52</v>
      </c>
      <c r="D30" s="313"/>
      <c r="E30" s="317" t="s">
        <v>51</v>
      </c>
      <c r="F30" s="318"/>
      <c r="G30" s="318"/>
      <c r="H30" s="319"/>
      <c r="I30" s="317" t="s">
        <v>51</v>
      </c>
      <c r="J30" s="318"/>
      <c r="K30" s="318"/>
      <c r="L30" s="319"/>
      <c r="M30" s="317" t="s">
        <v>51</v>
      </c>
      <c r="N30" s="318"/>
      <c r="O30" s="318"/>
      <c r="P30" s="319"/>
      <c r="Q30" s="317" t="s">
        <v>51</v>
      </c>
      <c r="R30" s="318"/>
      <c r="S30" s="318"/>
      <c r="T30" s="319"/>
      <c r="U30" s="63"/>
    </row>
    <row r="31" spans="2:27" s="46" customFormat="1" ht="35.1" customHeight="1" x14ac:dyDescent="0.35">
      <c r="B31" s="293">
        <v>5</v>
      </c>
      <c r="C31" s="93" t="s">
        <v>53</v>
      </c>
      <c r="D31" s="94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  <c r="U31" s="63"/>
    </row>
    <row r="32" spans="2:27" s="46" customFormat="1" ht="35.1" customHeight="1" x14ac:dyDescent="0.4">
      <c r="B32" s="294"/>
      <c r="C32" s="97" t="s">
        <v>182</v>
      </c>
      <c r="D32" s="98"/>
      <c r="E32" s="99"/>
      <c r="F32" s="99"/>
      <c r="G32" s="320" t="s">
        <v>54</v>
      </c>
      <c r="H32" s="321"/>
      <c r="I32" s="321"/>
      <c r="J32" s="322"/>
      <c r="K32" s="99"/>
      <c r="L32" s="99"/>
      <c r="M32" s="99"/>
      <c r="N32" s="99"/>
      <c r="O32" s="99"/>
      <c r="P32" s="99"/>
      <c r="Q32" s="99"/>
      <c r="R32" s="99"/>
      <c r="S32" s="99"/>
      <c r="T32" s="100"/>
      <c r="U32" s="63"/>
    </row>
    <row r="33" spans="2:21" s="46" customFormat="1" ht="35.1" customHeight="1" x14ac:dyDescent="0.4">
      <c r="B33" s="294"/>
      <c r="C33" s="97" t="s">
        <v>183</v>
      </c>
      <c r="D33" s="98"/>
      <c r="E33" s="99"/>
      <c r="F33" s="99"/>
      <c r="G33" s="323"/>
      <c r="H33" s="324"/>
      <c r="I33" s="324"/>
      <c r="J33" s="325"/>
      <c r="K33" s="99"/>
      <c r="L33" s="99"/>
      <c r="M33" s="99"/>
      <c r="N33" s="99"/>
      <c r="O33" s="99"/>
      <c r="P33" s="99"/>
      <c r="Q33" s="99"/>
      <c r="R33" s="99"/>
      <c r="S33" s="99"/>
      <c r="T33" s="100"/>
      <c r="U33" s="63"/>
    </row>
    <row r="34" spans="2:21" s="46" customFormat="1" ht="35.1" customHeight="1" x14ac:dyDescent="0.4">
      <c r="B34" s="294"/>
      <c r="C34" s="97" t="s">
        <v>185</v>
      </c>
      <c r="D34" s="101"/>
      <c r="E34" s="99"/>
      <c r="F34" s="99"/>
      <c r="G34" s="326"/>
      <c r="H34" s="327"/>
      <c r="I34" s="327"/>
      <c r="J34" s="328"/>
      <c r="K34" s="99"/>
      <c r="L34" s="99"/>
      <c r="M34" s="99"/>
      <c r="N34" s="99"/>
      <c r="O34" s="99"/>
      <c r="P34" s="99"/>
      <c r="Q34" s="99"/>
      <c r="R34" s="99"/>
      <c r="S34" s="99"/>
      <c r="T34" s="100"/>
      <c r="U34" s="63"/>
    </row>
    <row r="35" spans="2:21" s="46" customFormat="1" ht="35.1" customHeight="1" x14ac:dyDescent="0.4">
      <c r="B35" s="294"/>
      <c r="C35" s="97"/>
      <c r="D35" s="101"/>
      <c r="E35" s="99"/>
      <c r="F35" s="99"/>
      <c r="G35" s="329" t="s">
        <v>55</v>
      </c>
      <c r="H35" s="330"/>
      <c r="I35" s="330"/>
      <c r="J35" s="331"/>
      <c r="K35" s="99"/>
      <c r="L35" s="99"/>
      <c r="M35" s="99"/>
      <c r="N35" s="99"/>
      <c r="O35" s="99"/>
      <c r="P35" s="99"/>
      <c r="Q35" s="99"/>
      <c r="R35" s="99"/>
      <c r="S35" s="99"/>
      <c r="T35" s="100"/>
      <c r="U35" s="63"/>
    </row>
    <row r="36" spans="2:21" s="46" customFormat="1" ht="35.1" customHeight="1" x14ac:dyDescent="0.4">
      <c r="B36" s="294"/>
      <c r="C36" s="97"/>
      <c r="D36" s="101"/>
      <c r="E36" s="99"/>
      <c r="F36" s="99"/>
      <c r="G36" s="329" t="s">
        <v>56</v>
      </c>
      <c r="H36" s="330"/>
      <c r="I36" s="330"/>
      <c r="J36" s="331"/>
      <c r="K36" s="99"/>
      <c r="L36" s="99"/>
      <c r="M36" s="99"/>
      <c r="N36" s="99"/>
      <c r="O36" s="99"/>
      <c r="P36" s="99"/>
      <c r="Q36" s="99"/>
      <c r="R36" s="99"/>
      <c r="S36" s="99"/>
      <c r="T36" s="100"/>
      <c r="U36" s="63"/>
    </row>
    <row r="37" spans="2:21" s="46" customFormat="1" ht="35.1" customHeight="1" x14ac:dyDescent="0.35">
      <c r="B37" s="295"/>
      <c r="C37" s="102"/>
      <c r="D37" s="103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5"/>
      <c r="U37" s="63"/>
    </row>
    <row r="38" spans="2:21" s="46" customFormat="1" ht="35.1" customHeight="1" x14ac:dyDescent="0.35">
      <c r="B38" s="293">
        <v>6</v>
      </c>
      <c r="C38" s="308" t="s">
        <v>57</v>
      </c>
      <c r="D38" s="309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7"/>
      <c r="U38" s="63"/>
    </row>
    <row r="39" spans="2:21" s="46" customFormat="1" ht="35.1" customHeight="1" x14ac:dyDescent="0.4">
      <c r="B39" s="294"/>
      <c r="C39" s="111" t="s">
        <v>65</v>
      </c>
      <c r="D39" s="112"/>
      <c r="E39" s="113"/>
      <c r="F39" s="114"/>
      <c r="G39" s="116"/>
      <c r="H39" s="115"/>
      <c r="I39" s="113"/>
      <c r="J39" s="114"/>
      <c r="K39" s="115"/>
      <c r="L39" s="115"/>
      <c r="M39" s="115"/>
      <c r="N39" s="115"/>
      <c r="O39" s="115"/>
      <c r="P39" s="115"/>
      <c r="Q39" s="113"/>
      <c r="R39" s="114"/>
      <c r="S39" s="115"/>
      <c r="T39" s="115"/>
      <c r="U39" s="63"/>
    </row>
    <row r="40" spans="2:21" s="46" customFormat="1" ht="35.1" customHeight="1" x14ac:dyDescent="0.4">
      <c r="B40" s="294"/>
      <c r="C40" s="312" t="s">
        <v>59</v>
      </c>
      <c r="D40" s="313"/>
      <c r="E40" s="108" t="s">
        <v>60</v>
      </c>
      <c r="F40" s="108" t="s">
        <v>61</v>
      </c>
      <c r="G40" s="109" t="s">
        <v>57</v>
      </c>
      <c r="H40" s="109" t="s">
        <v>62</v>
      </c>
      <c r="I40" s="108" t="s">
        <v>60</v>
      </c>
      <c r="J40" s="108" t="s">
        <v>61</v>
      </c>
      <c r="K40" s="109" t="s">
        <v>57</v>
      </c>
      <c r="L40" s="109" t="s">
        <v>62</v>
      </c>
      <c r="M40" s="108" t="s">
        <v>60</v>
      </c>
      <c r="N40" s="108" t="s">
        <v>61</v>
      </c>
      <c r="O40" s="109" t="s">
        <v>57</v>
      </c>
      <c r="P40" s="109" t="s">
        <v>62</v>
      </c>
      <c r="Q40" s="110" t="s">
        <v>60</v>
      </c>
      <c r="R40" s="108" t="s">
        <v>61</v>
      </c>
      <c r="S40" s="109" t="s">
        <v>57</v>
      </c>
      <c r="T40" s="109" t="s">
        <v>62</v>
      </c>
      <c r="U40" s="63"/>
    </row>
    <row r="41" spans="2:21" s="46" customFormat="1" ht="35.1" customHeight="1" x14ac:dyDescent="0.4">
      <c r="B41" s="294"/>
      <c r="C41" s="111" t="s">
        <v>144</v>
      </c>
      <c r="D41" s="112"/>
      <c r="E41" s="113" t="s">
        <v>145</v>
      </c>
      <c r="F41" s="114">
        <v>1</v>
      </c>
      <c r="G41" s="115">
        <v>330000000</v>
      </c>
      <c r="H41" s="115">
        <f t="shared" ref="H41:H43" si="0">F41*G41</f>
        <v>330000000</v>
      </c>
      <c r="I41" s="113" t="s">
        <v>145</v>
      </c>
      <c r="J41" s="114">
        <v>1</v>
      </c>
      <c r="K41" s="115">
        <v>849500000</v>
      </c>
      <c r="L41" s="115">
        <f t="shared" ref="L41" si="1">J41*K41</f>
        <v>849500000</v>
      </c>
      <c r="M41" s="113" t="s">
        <v>145</v>
      </c>
      <c r="N41" s="114">
        <v>1</v>
      </c>
      <c r="O41" s="115">
        <f>2698357530-2069437200</f>
        <v>628920330</v>
      </c>
      <c r="P41" s="115">
        <f>N41*O41</f>
        <v>628920330</v>
      </c>
      <c r="Q41" s="113" t="s">
        <v>145</v>
      </c>
      <c r="R41" s="114">
        <v>1</v>
      </c>
      <c r="S41" s="115">
        <v>335925272</v>
      </c>
      <c r="T41" s="115">
        <f>R41*S41</f>
        <v>335925272</v>
      </c>
      <c r="U41" s="63"/>
    </row>
    <row r="42" spans="2:21" s="46" customFormat="1" ht="35.1" customHeight="1" x14ac:dyDescent="0.4">
      <c r="B42" s="294"/>
      <c r="C42" s="111" t="s">
        <v>146</v>
      </c>
      <c r="D42" s="112"/>
      <c r="E42" s="113" t="s">
        <v>145</v>
      </c>
      <c r="F42" s="114">
        <v>1</v>
      </c>
      <c r="G42" s="115">
        <v>165000000</v>
      </c>
      <c r="H42" s="115">
        <f t="shared" si="0"/>
        <v>165000000</v>
      </c>
      <c r="I42" s="399" t="s">
        <v>152</v>
      </c>
      <c r="J42" s="400"/>
      <c r="K42" s="400"/>
      <c r="L42" s="401"/>
      <c r="M42" s="113" t="s">
        <v>145</v>
      </c>
      <c r="N42" s="114">
        <v>1</v>
      </c>
      <c r="O42" s="115">
        <v>275402020</v>
      </c>
      <c r="P42" s="115">
        <f>N42*O42</f>
        <v>275402020</v>
      </c>
      <c r="Q42" s="113" t="s">
        <v>145</v>
      </c>
      <c r="R42" s="114">
        <v>1</v>
      </c>
      <c r="S42" s="115">
        <v>312038940</v>
      </c>
      <c r="T42" s="115">
        <f>R42*S42</f>
        <v>312038940</v>
      </c>
      <c r="U42" s="63"/>
    </row>
    <row r="43" spans="2:21" s="46" customFormat="1" ht="35.1" customHeight="1" x14ac:dyDescent="0.4">
      <c r="B43" s="294"/>
      <c r="C43" s="111" t="s">
        <v>147</v>
      </c>
      <c r="D43" s="112"/>
      <c r="E43" s="113" t="s">
        <v>145</v>
      </c>
      <c r="F43" s="114">
        <v>1</v>
      </c>
      <c r="G43" s="115">
        <f>15000000+25000000+125000000+32000000+42000000</f>
        <v>239000000</v>
      </c>
      <c r="H43" s="115">
        <f t="shared" si="0"/>
        <v>239000000</v>
      </c>
      <c r="I43" s="399" t="s">
        <v>152</v>
      </c>
      <c r="J43" s="400"/>
      <c r="K43" s="400"/>
      <c r="L43" s="401"/>
      <c r="M43" s="113" t="s">
        <v>145</v>
      </c>
      <c r="N43" s="114">
        <v>1</v>
      </c>
      <c r="O43" s="115">
        <f>97442050+127624200+20000000</f>
        <v>245066250</v>
      </c>
      <c r="P43" s="115">
        <f>N43*O43</f>
        <v>245066250</v>
      </c>
      <c r="Q43" s="113" t="s">
        <v>145</v>
      </c>
      <c r="R43" s="114">
        <v>1</v>
      </c>
      <c r="S43" s="115">
        <f>2474300000-2210579430</f>
        <v>263720570</v>
      </c>
      <c r="T43" s="115">
        <f>R43*S43</f>
        <v>263720570</v>
      </c>
      <c r="U43" s="63"/>
    </row>
    <row r="44" spans="2:21" s="46" customFormat="1" ht="35.1" customHeight="1" x14ac:dyDescent="0.4">
      <c r="B44" s="294"/>
      <c r="C44" s="111" t="s">
        <v>149</v>
      </c>
      <c r="D44" s="112"/>
      <c r="E44" s="399" t="s">
        <v>152</v>
      </c>
      <c r="F44" s="400"/>
      <c r="G44" s="400"/>
      <c r="H44" s="401"/>
      <c r="I44" s="399" t="s">
        <v>152</v>
      </c>
      <c r="J44" s="400"/>
      <c r="K44" s="400"/>
      <c r="L44" s="401"/>
      <c r="M44" s="114" t="s">
        <v>145</v>
      </c>
      <c r="N44" s="114">
        <v>1</v>
      </c>
      <c r="O44" s="114">
        <f>3923000000-3384026000</f>
        <v>538974000</v>
      </c>
      <c r="P44" s="114">
        <f>N44*O44</f>
        <v>538974000</v>
      </c>
      <c r="Q44" s="113" t="s">
        <v>145</v>
      </c>
      <c r="R44" s="114">
        <v>1</v>
      </c>
      <c r="S44" s="115">
        <v>220223218</v>
      </c>
      <c r="T44" s="115">
        <f>R44*S44</f>
        <v>220223218</v>
      </c>
      <c r="U44" s="63"/>
    </row>
    <row r="45" spans="2:21" s="46" customFormat="1" ht="35.1" customHeight="1" x14ac:dyDescent="0.4">
      <c r="B45" s="294"/>
      <c r="C45" s="111" t="s">
        <v>64</v>
      </c>
      <c r="D45" s="112"/>
      <c r="E45" s="396"/>
      <c r="F45" s="397"/>
      <c r="G45" s="398"/>
      <c r="H45" s="115">
        <f>SUM(H41:H44)</f>
        <v>734000000</v>
      </c>
      <c r="I45" s="396"/>
      <c r="J45" s="397"/>
      <c r="K45" s="398"/>
      <c r="L45" s="115">
        <f>L41</f>
        <v>849500000</v>
      </c>
      <c r="M45" s="314"/>
      <c r="N45" s="315"/>
      <c r="O45" s="316"/>
      <c r="P45" s="115">
        <f>P41+P42+P43+P44</f>
        <v>1688362600</v>
      </c>
      <c r="Q45" s="396"/>
      <c r="R45" s="397"/>
      <c r="S45" s="398"/>
      <c r="T45" s="115">
        <f>T41+T42+T43+T44</f>
        <v>1131908000</v>
      </c>
      <c r="U45" s="63"/>
    </row>
    <row r="46" spans="2:21" s="46" customFormat="1" ht="35.1" customHeight="1" x14ac:dyDescent="0.4">
      <c r="B46" s="199"/>
      <c r="C46" s="111" t="s">
        <v>66</v>
      </c>
      <c r="D46" s="112"/>
      <c r="E46" s="118"/>
      <c r="F46" s="124"/>
      <c r="G46" s="125"/>
      <c r="H46" s="121">
        <v>733000000</v>
      </c>
      <c r="I46" s="118"/>
      <c r="J46" s="124"/>
      <c r="K46" s="125"/>
      <c r="L46" s="121">
        <v>840000000</v>
      </c>
      <c r="M46" s="122"/>
      <c r="N46" s="122"/>
      <c r="O46" s="122"/>
      <c r="P46" s="122">
        <f>P45-O46</f>
        <v>1688362600</v>
      </c>
      <c r="Q46" s="118"/>
      <c r="R46" s="124"/>
      <c r="S46" s="126"/>
      <c r="T46" s="123">
        <f>T45</f>
        <v>1131908000</v>
      </c>
      <c r="U46" s="63"/>
    </row>
    <row r="47" spans="2:21" s="46" customFormat="1" ht="35.1" customHeight="1" x14ac:dyDescent="0.4">
      <c r="B47" s="117"/>
      <c r="C47" s="111" t="s">
        <v>67</v>
      </c>
      <c r="D47" s="112"/>
      <c r="E47" s="118"/>
      <c r="F47" s="119"/>
      <c r="G47" s="120"/>
      <c r="H47" s="121">
        <f>H46</f>
        <v>733000000</v>
      </c>
      <c r="I47" s="118"/>
      <c r="J47" s="119"/>
      <c r="K47" s="120"/>
      <c r="L47" s="121">
        <f>L46</f>
        <v>840000000</v>
      </c>
      <c r="M47" s="122"/>
      <c r="N47" s="122"/>
      <c r="O47" s="122"/>
      <c r="P47" s="122">
        <v>1603000000</v>
      </c>
      <c r="Q47" s="118"/>
      <c r="R47" s="119"/>
      <c r="S47" s="119"/>
      <c r="T47" s="123">
        <v>1100000000</v>
      </c>
      <c r="U47" s="63"/>
    </row>
    <row r="48" spans="2:21" s="46" customFormat="1" ht="35.1" customHeight="1" x14ac:dyDescent="0.4">
      <c r="B48" s="117"/>
      <c r="C48" s="111" t="s">
        <v>68</v>
      </c>
      <c r="D48" s="112"/>
      <c r="E48" s="118"/>
      <c r="F48" s="119"/>
      <c r="G48" s="120"/>
      <c r="H48" s="121"/>
      <c r="I48" s="118"/>
      <c r="J48" s="119"/>
      <c r="K48" s="120"/>
      <c r="L48" s="121"/>
      <c r="M48" s="122"/>
      <c r="N48" s="122"/>
      <c r="O48" s="122"/>
      <c r="P48" s="122"/>
      <c r="Q48" s="118"/>
      <c r="R48" s="119"/>
      <c r="S48" s="119"/>
      <c r="T48" s="123">
        <v>906635600</v>
      </c>
      <c r="U48" s="63"/>
    </row>
    <row r="49" spans="2:25" s="46" customFormat="1" ht="54.75" customHeight="1" x14ac:dyDescent="0.6">
      <c r="B49" s="117"/>
      <c r="C49" s="111" t="s">
        <v>69</v>
      </c>
      <c r="D49" s="92"/>
      <c r="E49" s="305">
        <f>730000000</f>
        <v>730000000</v>
      </c>
      <c r="F49" s="306"/>
      <c r="G49" s="306"/>
      <c r="H49" s="307"/>
      <c r="I49" s="305">
        <f>L47</f>
        <v>840000000</v>
      </c>
      <c r="J49" s="306"/>
      <c r="K49" s="306"/>
      <c r="L49" s="307"/>
      <c r="M49" s="305">
        <v>1600000000</v>
      </c>
      <c r="N49" s="306"/>
      <c r="O49" s="306"/>
      <c r="P49" s="307"/>
      <c r="Q49" s="305">
        <f>T48</f>
        <v>906635600</v>
      </c>
      <c r="R49" s="306"/>
      <c r="S49" s="306"/>
      <c r="T49" s="307"/>
      <c r="U49" s="63"/>
    </row>
    <row r="50" spans="2:25" s="46" customFormat="1" ht="35.1" customHeight="1" x14ac:dyDescent="0.4">
      <c r="B50" s="88">
        <v>7</v>
      </c>
      <c r="C50" s="127" t="s">
        <v>70</v>
      </c>
      <c r="D50" s="128"/>
      <c r="E50" s="129"/>
      <c r="F50" s="130"/>
      <c r="G50" s="131"/>
      <c r="H50" s="132"/>
      <c r="I50" s="129"/>
      <c r="J50" s="130"/>
      <c r="K50" s="131"/>
      <c r="L50" s="133"/>
      <c r="M50" s="134"/>
      <c r="N50" s="134"/>
      <c r="O50" s="134"/>
      <c r="P50" s="134"/>
      <c r="Q50" s="135"/>
      <c r="R50" s="136"/>
      <c r="S50" s="137"/>
      <c r="T50" s="138"/>
      <c r="U50" s="63"/>
    </row>
    <row r="51" spans="2:25" s="46" customFormat="1" ht="35.1" customHeight="1" x14ac:dyDescent="0.4">
      <c r="B51" s="139"/>
      <c r="C51" s="140" t="s">
        <v>71</v>
      </c>
      <c r="D51" s="141"/>
      <c r="E51" s="302" t="s">
        <v>72</v>
      </c>
      <c r="F51" s="303"/>
      <c r="G51" s="303"/>
      <c r="H51" s="304"/>
      <c r="I51" s="302" t="s">
        <v>72</v>
      </c>
      <c r="J51" s="303"/>
      <c r="K51" s="303"/>
      <c r="L51" s="304"/>
      <c r="M51" s="302" t="s">
        <v>72</v>
      </c>
      <c r="N51" s="303"/>
      <c r="O51" s="303"/>
      <c r="P51" s="304"/>
      <c r="Q51" s="302" t="s">
        <v>72</v>
      </c>
      <c r="R51" s="303"/>
      <c r="S51" s="303"/>
      <c r="T51" s="304"/>
      <c r="U51" s="63"/>
    </row>
    <row r="52" spans="2:25" s="46" customFormat="1" ht="35.1" customHeight="1" x14ac:dyDescent="0.4">
      <c r="B52" s="139"/>
      <c r="C52" s="142" t="s">
        <v>73</v>
      </c>
      <c r="D52" s="128"/>
      <c r="E52" s="302" t="s">
        <v>72</v>
      </c>
      <c r="F52" s="303"/>
      <c r="G52" s="303"/>
      <c r="H52" s="304"/>
      <c r="I52" s="302" t="s">
        <v>72</v>
      </c>
      <c r="J52" s="303"/>
      <c r="K52" s="303"/>
      <c r="L52" s="304"/>
      <c r="M52" s="302" t="s">
        <v>72</v>
      </c>
      <c r="N52" s="303"/>
      <c r="O52" s="303"/>
      <c r="P52" s="304"/>
      <c r="Q52" s="302" t="s">
        <v>72</v>
      </c>
      <c r="R52" s="303"/>
      <c r="S52" s="303"/>
      <c r="T52" s="304"/>
      <c r="U52" s="63"/>
    </row>
    <row r="53" spans="2:25" s="46" customFormat="1" ht="35.1" customHeight="1" x14ac:dyDescent="0.4">
      <c r="B53" s="139"/>
      <c r="C53" s="143" t="s">
        <v>74</v>
      </c>
      <c r="D53" s="144"/>
      <c r="E53" s="302" t="s">
        <v>72</v>
      </c>
      <c r="F53" s="303"/>
      <c r="G53" s="303"/>
      <c r="H53" s="304"/>
      <c r="I53" s="302" t="s">
        <v>72</v>
      </c>
      <c r="J53" s="303"/>
      <c r="K53" s="303"/>
      <c r="L53" s="304"/>
      <c r="M53" s="302" t="s">
        <v>72</v>
      </c>
      <c r="N53" s="303"/>
      <c r="O53" s="303"/>
      <c r="P53" s="304"/>
      <c r="Q53" s="302" t="s">
        <v>72</v>
      </c>
      <c r="R53" s="303"/>
      <c r="S53" s="303"/>
      <c r="T53" s="304"/>
      <c r="U53" s="63"/>
    </row>
    <row r="54" spans="2:25" s="46" customFormat="1" ht="35.1" customHeight="1" x14ac:dyDescent="0.4">
      <c r="B54" s="145"/>
      <c r="C54" s="140" t="s">
        <v>75</v>
      </c>
      <c r="D54" s="141"/>
      <c r="E54" s="290" t="s">
        <v>27</v>
      </c>
      <c r="F54" s="291"/>
      <c r="G54" s="291"/>
      <c r="H54" s="292"/>
      <c r="I54" s="290" t="s">
        <v>27</v>
      </c>
      <c r="J54" s="291"/>
      <c r="K54" s="291"/>
      <c r="L54" s="292"/>
      <c r="M54" s="290" t="s">
        <v>27</v>
      </c>
      <c r="N54" s="291"/>
      <c r="O54" s="291"/>
      <c r="P54" s="292"/>
      <c r="Q54" s="290" t="s">
        <v>27</v>
      </c>
      <c r="R54" s="291"/>
      <c r="S54" s="291"/>
      <c r="T54" s="292"/>
      <c r="U54" s="63"/>
    </row>
    <row r="55" spans="2:25" s="46" customFormat="1" ht="72.75" customHeight="1" x14ac:dyDescent="0.4">
      <c r="B55" s="88">
        <v>8</v>
      </c>
      <c r="C55" s="146" t="s">
        <v>76</v>
      </c>
      <c r="D55" s="128"/>
      <c r="E55" s="296" t="s">
        <v>168</v>
      </c>
      <c r="F55" s="297"/>
      <c r="G55" s="297"/>
      <c r="H55" s="298"/>
      <c r="I55" s="296" t="s">
        <v>168</v>
      </c>
      <c r="J55" s="297"/>
      <c r="K55" s="297"/>
      <c r="L55" s="298"/>
      <c r="M55" s="296" t="s">
        <v>168</v>
      </c>
      <c r="N55" s="297"/>
      <c r="O55" s="297"/>
      <c r="P55" s="298"/>
      <c r="Q55" s="296" t="s">
        <v>168</v>
      </c>
      <c r="R55" s="297"/>
      <c r="S55" s="297"/>
      <c r="T55" s="298"/>
      <c r="U55" s="63"/>
      <c r="W55" s="147"/>
    </row>
    <row r="56" spans="2:25" s="46" customFormat="1" ht="35.1" customHeight="1" x14ac:dyDescent="0.4">
      <c r="B56" s="148">
        <v>9</v>
      </c>
      <c r="C56" s="149" t="s">
        <v>77</v>
      </c>
      <c r="D56" s="141"/>
      <c r="E56" s="150"/>
      <c r="F56" s="151"/>
      <c r="G56" s="151"/>
      <c r="H56" s="152"/>
      <c r="I56" s="150"/>
      <c r="J56" s="151"/>
      <c r="K56" s="151"/>
      <c r="L56" s="152"/>
      <c r="M56" s="153"/>
      <c r="N56" s="153"/>
      <c r="O56" s="153"/>
      <c r="P56" s="153"/>
      <c r="Q56" s="150"/>
      <c r="R56" s="151"/>
      <c r="S56" s="151"/>
      <c r="T56" s="152"/>
      <c r="U56" s="63"/>
      <c r="W56" s="147"/>
    </row>
    <row r="57" spans="2:25" s="46" customFormat="1" ht="34.5" customHeight="1" x14ac:dyDescent="0.4">
      <c r="B57" s="148"/>
      <c r="C57" s="154" t="s">
        <v>78</v>
      </c>
      <c r="D57" s="141"/>
      <c r="E57" s="290" t="s">
        <v>27</v>
      </c>
      <c r="F57" s="291"/>
      <c r="G57" s="291"/>
      <c r="H57" s="292"/>
      <c r="I57" s="290" t="s">
        <v>27</v>
      </c>
      <c r="J57" s="291"/>
      <c r="K57" s="291"/>
      <c r="L57" s="292"/>
      <c r="M57" s="290" t="s">
        <v>27</v>
      </c>
      <c r="N57" s="291"/>
      <c r="O57" s="291"/>
      <c r="P57" s="292"/>
      <c r="Q57" s="290" t="s">
        <v>27</v>
      </c>
      <c r="R57" s="291"/>
      <c r="S57" s="291"/>
      <c r="T57" s="292"/>
      <c r="U57" s="63"/>
      <c r="W57" s="147"/>
    </row>
    <row r="58" spans="2:25" s="46" customFormat="1" ht="35.1" customHeight="1" x14ac:dyDescent="0.4">
      <c r="B58" s="148"/>
      <c r="C58" s="154" t="s">
        <v>79</v>
      </c>
      <c r="D58" s="141"/>
      <c r="E58" s="290" t="s">
        <v>27</v>
      </c>
      <c r="F58" s="291"/>
      <c r="G58" s="291"/>
      <c r="H58" s="292"/>
      <c r="I58" s="290" t="s">
        <v>27</v>
      </c>
      <c r="J58" s="291"/>
      <c r="K58" s="291"/>
      <c r="L58" s="292"/>
      <c r="M58" s="290" t="s">
        <v>27</v>
      </c>
      <c r="N58" s="291"/>
      <c r="O58" s="291"/>
      <c r="P58" s="292"/>
      <c r="Q58" s="290" t="s">
        <v>27</v>
      </c>
      <c r="R58" s="291"/>
      <c r="S58" s="291"/>
      <c r="T58" s="292"/>
      <c r="U58" s="63"/>
      <c r="W58" s="147"/>
    </row>
    <row r="59" spans="2:25" s="46" customFormat="1" ht="35.1" customHeight="1" x14ac:dyDescent="0.4">
      <c r="B59" s="148"/>
      <c r="C59" s="155" t="s">
        <v>150</v>
      </c>
      <c r="D59" s="128"/>
      <c r="E59" s="290" t="s">
        <v>27</v>
      </c>
      <c r="F59" s="291"/>
      <c r="G59" s="291"/>
      <c r="H59" s="292"/>
      <c r="I59" s="290" t="s">
        <v>27</v>
      </c>
      <c r="J59" s="291"/>
      <c r="K59" s="291"/>
      <c r="L59" s="292"/>
      <c r="M59" s="290" t="s">
        <v>27</v>
      </c>
      <c r="N59" s="291"/>
      <c r="O59" s="291"/>
      <c r="P59" s="292"/>
      <c r="Q59" s="290" t="s">
        <v>27</v>
      </c>
      <c r="R59" s="291"/>
      <c r="S59" s="291"/>
      <c r="T59" s="292"/>
      <c r="U59" s="63"/>
      <c r="W59" s="147"/>
    </row>
    <row r="60" spans="2:25" s="46" customFormat="1" ht="35.1" customHeight="1" x14ac:dyDescent="0.4">
      <c r="B60" s="148"/>
      <c r="C60" s="154"/>
      <c r="D60" s="141"/>
      <c r="E60" s="290"/>
      <c r="F60" s="291"/>
      <c r="G60" s="291"/>
      <c r="H60" s="292"/>
      <c r="I60" s="290"/>
      <c r="J60" s="291"/>
      <c r="K60" s="291"/>
      <c r="L60" s="292"/>
      <c r="M60" s="156"/>
      <c r="N60" s="156"/>
      <c r="O60" s="156"/>
      <c r="P60" s="156"/>
      <c r="Q60" s="290"/>
      <c r="R60" s="291"/>
      <c r="S60" s="291"/>
      <c r="T60" s="292"/>
      <c r="U60" s="63"/>
      <c r="W60" s="147"/>
    </row>
    <row r="61" spans="2:25" s="46" customFormat="1" ht="35.1" customHeight="1" x14ac:dyDescent="0.4">
      <c r="B61" s="299">
        <v>10</v>
      </c>
      <c r="C61" s="300" t="s">
        <v>80</v>
      </c>
      <c r="D61" s="157" t="s">
        <v>81</v>
      </c>
      <c r="E61" s="296" t="s">
        <v>151</v>
      </c>
      <c r="F61" s="297"/>
      <c r="G61" s="297"/>
      <c r="H61" s="298"/>
      <c r="I61" s="296" t="s">
        <v>151</v>
      </c>
      <c r="J61" s="297"/>
      <c r="K61" s="297"/>
      <c r="L61" s="298"/>
      <c r="M61" s="296" t="s">
        <v>151</v>
      </c>
      <c r="N61" s="297"/>
      <c r="O61" s="297"/>
      <c r="P61" s="298"/>
      <c r="Q61" s="296" t="s">
        <v>151</v>
      </c>
      <c r="R61" s="297"/>
      <c r="S61" s="297"/>
      <c r="T61" s="298"/>
      <c r="U61" s="63"/>
      <c r="W61" s="147"/>
    </row>
    <row r="62" spans="2:25" s="46" customFormat="1" ht="35.1" customHeight="1" x14ac:dyDescent="0.4">
      <c r="B62" s="289"/>
      <c r="C62" s="301"/>
      <c r="D62" s="157" t="s">
        <v>82</v>
      </c>
      <c r="E62" s="296" t="s">
        <v>169</v>
      </c>
      <c r="F62" s="297"/>
      <c r="G62" s="297"/>
      <c r="H62" s="298"/>
      <c r="I62" s="296" t="s">
        <v>169</v>
      </c>
      <c r="J62" s="297"/>
      <c r="K62" s="297"/>
      <c r="L62" s="298"/>
      <c r="M62" s="296" t="s">
        <v>169</v>
      </c>
      <c r="N62" s="297"/>
      <c r="O62" s="297"/>
      <c r="P62" s="298"/>
      <c r="Q62" s="296" t="s">
        <v>169</v>
      </c>
      <c r="R62" s="297"/>
      <c r="S62" s="297"/>
      <c r="T62" s="298"/>
      <c r="U62" s="63"/>
    </row>
    <row r="63" spans="2:25" s="46" customFormat="1" ht="48" customHeight="1" x14ac:dyDescent="0.4">
      <c r="B63" s="88">
        <v>11</v>
      </c>
      <c r="C63" s="158" t="s">
        <v>83</v>
      </c>
      <c r="D63" s="159"/>
      <c r="E63" s="296" t="s">
        <v>170</v>
      </c>
      <c r="F63" s="297"/>
      <c r="G63" s="297"/>
      <c r="H63" s="298"/>
      <c r="I63" s="296" t="s">
        <v>170</v>
      </c>
      <c r="J63" s="297"/>
      <c r="K63" s="297"/>
      <c r="L63" s="298"/>
      <c r="M63" s="296" t="s">
        <v>170</v>
      </c>
      <c r="N63" s="297"/>
      <c r="O63" s="297"/>
      <c r="P63" s="298"/>
      <c r="Q63" s="296" t="s">
        <v>170</v>
      </c>
      <c r="R63" s="297"/>
      <c r="S63" s="297"/>
      <c r="T63" s="298"/>
      <c r="U63" s="63"/>
      <c r="Y63" s="46" t="s">
        <v>27</v>
      </c>
    </row>
    <row r="64" spans="2:25" s="46" customFormat="1" ht="35.25" customHeight="1" x14ac:dyDescent="0.4">
      <c r="B64" s="288">
        <v>12</v>
      </c>
      <c r="C64" s="158" t="s">
        <v>84</v>
      </c>
      <c r="D64" s="159"/>
      <c r="E64" s="160"/>
      <c r="F64" s="161"/>
      <c r="G64" s="161"/>
      <c r="H64" s="162"/>
      <c r="I64" s="160"/>
      <c r="J64" s="161"/>
      <c r="K64" s="161"/>
      <c r="L64" s="162"/>
      <c r="M64" s="160"/>
      <c r="N64" s="161"/>
      <c r="O64" s="161"/>
      <c r="P64" s="162"/>
      <c r="Q64" s="160"/>
      <c r="R64" s="161"/>
      <c r="S64" s="161"/>
      <c r="T64" s="162"/>
      <c r="U64" s="63"/>
    </row>
    <row r="65" spans="1:22" s="46" customFormat="1" ht="34.5" customHeight="1" x14ac:dyDescent="0.4">
      <c r="B65" s="288"/>
      <c r="C65" s="158" t="s">
        <v>85</v>
      </c>
      <c r="D65" s="159"/>
      <c r="E65" s="290" t="s">
        <v>27</v>
      </c>
      <c r="F65" s="291"/>
      <c r="G65" s="291"/>
      <c r="H65" s="292"/>
      <c r="I65" s="290" t="s">
        <v>27</v>
      </c>
      <c r="J65" s="291"/>
      <c r="K65" s="291"/>
      <c r="L65" s="292"/>
      <c r="M65" s="290" t="s">
        <v>27</v>
      </c>
      <c r="N65" s="291"/>
      <c r="O65" s="291"/>
      <c r="P65" s="292"/>
      <c r="Q65" s="290" t="s">
        <v>27</v>
      </c>
      <c r="R65" s="291"/>
      <c r="S65" s="291"/>
      <c r="T65" s="292"/>
      <c r="U65" s="63"/>
    </row>
    <row r="66" spans="1:22" s="46" customFormat="1" ht="34.5" customHeight="1" x14ac:dyDescent="0.4">
      <c r="B66" s="289"/>
      <c r="C66" s="158" t="s">
        <v>86</v>
      </c>
      <c r="D66" s="159"/>
      <c r="E66" s="160"/>
      <c r="F66" s="161"/>
      <c r="G66" s="161"/>
      <c r="H66" s="162"/>
      <c r="I66" s="160"/>
      <c r="J66" s="161"/>
      <c r="K66" s="161"/>
      <c r="L66" s="162"/>
      <c r="M66" s="160"/>
      <c r="N66" s="161"/>
      <c r="O66" s="161"/>
      <c r="P66" s="162"/>
      <c r="Q66" s="160"/>
      <c r="R66" s="161"/>
      <c r="S66" s="161"/>
      <c r="T66" s="162"/>
      <c r="U66" s="63"/>
    </row>
    <row r="67" spans="1:22" s="46" customFormat="1" ht="35.1" customHeight="1" x14ac:dyDescent="0.4">
      <c r="B67" s="293">
        <v>13</v>
      </c>
      <c r="C67" s="158" t="s">
        <v>87</v>
      </c>
      <c r="D67" s="159"/>
      <c r="E67" s="281" t="s">
        <v>88</v>
      </c>
      <c r="F67" s="282"/>
      <c r="G67" s="282"/>
      <c r="H67" s="283"/>
      <c r="I67" s="281" t="s">
        <v>88</v>
      </c>
      <c r="J67" s="282"/>
      <c r="K67" s="282"/>
      <c r="L67" s="283"/>
      <c r="M67" s="281" t="s">
        <v>88</v>
      </c>
      <c r="N67" s="282"/>
      <c r="O67" s="282"/>
      <c r="P67" s="283"/>
      <c r="Q67" s="281" t="s">
        <v>88</v>
      </c>
      <c r="R67" s="282"/>
      <c r="S67" s="282"/>
      <c r="T67" s="283"/>
      <c r="U67" s="63"/>
    </row>
    <row r="68" spans="1:22" s="46" customFormat="1" ht="35.1" customHeight="1" x14ac:dyDescent="0.4">
      <c r="B68" s="294"/>
      <c r="C68" s="163" t="s">
        <v>89</v>
      </c>
      <c r="D68" s="164"/>
      <c r="E68" s="281" t="s">
        <v>90</v>
      </c>
      <c r="F68" s="282"/>
      <c r="G68" s="282"/>
      <c r="H68" s="283"/>
      <c r="I68" s="281" t="s">
        <v>90</v>
      </c>
      <c r="J68" s="282"/>
      <c r="K68" s="282"/>
      <c r="L68" s="283"/>
      <c r="M68" s="281" t="s">
        <v>90</v>
      </c>
      <c r="N68" s="282"/>
      <c r="O68" s="282"/>
      <c r="P68" s="283"/>
      <c r="Q68" s="281" t="s">
        <v>90</v>
      </c>
      <c r="R68" s="282"/>
      <c r="S68" s="282"/>
      <c r="T68" s="283"/>
      <c r="U68" s="63"/>
    </row>
    <row r="69" spans="1:22" s="46" customFormat="1" ht="35.1" customHeight="1" x14ac:dyDescent="0.4">
      <c r="B69" s="294"/>
      <c r="C69" s="158" t="s">
        <v>91</v>
      </c>
      <c r="D69" s="159"/>
      <c r="E69" s="281" t="s">
        <v>90</v>
      </c>
      <c r="F69" s="282"/>
      <c r="G69" s="282"/>
      <c r="H69" s="283"/>
      <c r="I69" s="281" t="s">
        <v>90</v>
      </c>
      <c r="J69" s="282"/>
      <c r="K69" s="282"/>
      <c r="L69" s="283"/>
      <c r="M69" s="281" t="s">
        <v>90</v>
      </c>
      <c r="N69" s="282"/>
      <c r="O69" s="282"/>
      <c r="P69" s="283"/>
      <c r="Q69" s="281" t="s">
        <v>90</v>
      </c>
      <c r="R69" s="282"/>
      <c r="S69" s="282"/>
      <c r="T69" s="283"/>
      <c r="U69" s="63"/>
    </row>
    <row r="70" spans="1:22" s="46" customFormat="1" ht="35.1" customHeight="1" x14ac:dyDescent="0.4">
      <c r="B70" s="294"/>
      <c r="C70" s="158" t="s">
        <v>92</v>
      </c>
      <c r="D70" s="164"/>
      <c r="E70" s="281" t="s">
        <v>90</v>
      </c>
      <c r="F70" s="282"/>
      <c r="G70" s="282"/>
      <c r="H70" s="283"/>
      <c r="I70" s="281" t="s">
        <v>90</v>
      </c>
      <c r="J70" s="282"/>
      <c r="K70" s="282"/>
      <c r="L70" s="283"/>
      <c r="M70" s="281" t="s">
        <v>90</v>
      </c>
      <c r="N70" s="282"/>
      <c r="O70" s="282"/>
      <c r="P70" s="283"/>
      <c r="Q70" s="281" t="s">
        <v>90</v>
      </c>
      <c r="R70" s="282"/>
      <c r="S70" s="282"/>
      <c r="T70" s="283"/>
      <c r="U70" s="63"/>
    </row>
    <row r="71" spans="1:22" s="46" customFormat="1" ht="35.1" customHeight="1" x14ac:dyDescent="0.4">
      <c r="B71" s="294"/>
      <c r="C71" s="158" t="s">
        <v>93</v>
      </c>
      <c r="D71" s="159"/>
      <c r="E71" s="281" t="s">
        <v>90</v>
      </c>
      <c r="F71" s="282"/>
      <c r="G71" s="282"/>
      <c r="H71" s="283"/>
      <c r="I71" s="281" t="s">
        <v>90</v>
      </c>
      <c r="J71" s="282"/>
      <c r="K71" s="282"/>
      <c r="L71" s="283"/>
      <c r="M71" s="281" t="s">
        <v>90</v>
      </c>
      <c r="N71" s="282"/>
      <c r="O71" s="282"/>
      <c r="P71" s="283"/>
      <c r="Q71" s="281" t="s">
        <v>90</v>
      </c>
      <c r="R71" s="282"/>
      <c r="S71" s="282"/>
      <c r="T71" s="283"/>
      <c r="U71" s="63"/>
    </row>
    <row r="72" spans="1:22" s="46" customFormat="1" ht="35.1" customHeight="1" x14ac:dyDescent="0.4">
      <c r="B72" s="294"/>
      <c r="C72" s="158" t="s">
        <v>94</v>
      </c>
      <c r="D72" s="159"/>
      <c r="E72" s="281" t="s">
        <v>95</v>
      </c>
      <c r="F72" s="282"/>
      <c r="G72" s="282"/>
      <c r="H72" s="283"/>
      <c r="I72" s="281" t="s">
        <v>95</v>
      </c>
      <c r="J72" s="282"/>
      <c r="K72" s="282"/>
      <c r="L72" s="283"/>
      <c r="M72" s="281" t="s">
        <v>95</v>
      </c>
      <c r="N72" s="282"/>
      <c r="O72" s="282"/>
      <c r="P72" s="283"/>
      <c r="Q72" s="281" t="s">
        <v>95</v>
      </c>
      <c r="R72" s="282"/>
      <c r="S72" s="282"/>
      <c r="T72" s="283"/>
      <c r="U72" s="63"/>
    </row>
    <row r="73" spans="1:22" s="46" customFormat="1" ht="35.1" customHeight="1" x14ac:dyDescent="0.4">
      <c r="B73" s="294"/>
      <c r="C73" s="158" t="s">
        <v>96</v>
      </c>
      <c r="D73" s="159"/>
      <c r="E73" s="281" t="s">
        <v>95</v>
      </c>
      <c r="F73" s="282"/>
      <c r="G73" s="282"/>
      <c r="H73" s="283"/>
      <c r="I73" s="281" t="s">
        <v>95</v>
      </c>
      <c r="J73" s="282"/>
      <c r="K73" s="282"/>
      <c r="L73" s="283"/>
      <c r="M73" s="281" t="s">
        <v>95</v>
      </c>
      <c r="N73" s="282"/>
      <c r="O73" s="282"/>
      <c r="P73" s="283"/>
      <c r="Q73" s="281" t="s">
        <v>95</v>
      </c>
      <c r="R73" s="282"/>
      <c r="S73" s="282"/>
      <c r="T73" s="283"/>
      <c r="U73" s="63"/>
    </row>
    <row r="74" spans="1:22" s="46" customFormat="1" ht="35.1" customHeight="1" x14ac:dyDescent="0.4">
      <c r="B74" s="295"/>
      <c r="C74" s="163" t="s">
        <v>97</v>
      </c>
      <c r="D74" s="164"/>
      <c r="E74" s="281" t="s">
        <v>95</v>
      </c>
      <c r="F74" s="282"/>
      <c r="G74" s="282"/>
      <c r="H74" s="283"/>
      <c r="I74" s="281" t="s">
        <v>95</v>
      </c>
      <c r="J74" s="282"/>
      <c r="K74" s="282"/>
      <c r="L74" s="283"/>
      <c r="M74" s="281" t="s">
        <v>95</v>
      </c>
      <c r="N74" s="282"/>
      <c r="O74" s="282"/>
      <c r="P74" s="283"/>
      <c r="Q74" s="281" t="s">
        <v>95</v>
      </c>
      <c r="R74" s="282"/>
      <c r="S74" s="282"/>
      <c r="T74" s="283"/>
      <c r="U74" s="63"/>
    </row>
    <row r="75" spans="1:22" ht="20.100000000000001" customHeight="1" x14ac:dyDescent="0.25">
      <c r="B75" s="284" t="s">
        <v>98</v>
      </c>
      <c r="C75" s="285"/>
      <c r="D75" s="165"/>
      <c r="E75" s="286" t="s">
        <v>99</v>
      </c>
      <c r="F75" s="166"/>
      <c r="G75" s="167"/>
      <c r="H75" s="168"/>
      <c r="I75" s="286" t="s">
        <v>99</v>
      </c>
      <c r="J75" s="169"/>
      <c r="K75" s="170"/>
      <c r="L75" s="168"/>
      <c r="M75" s="286" t="s">
        <v>99</v>
      </c>
      <c r="N75" s="275"/>
      <c r="O75" s="276"/>
      <c r="P75" s="277"/>
      <c r="Q75" s="286" t="s">
        <v>99</v>
      </c>
      <c r="R75" s="167"/>
      <c r="S75" s="167"/>
      <c r="T75" s="171"/>
      <c r="U75" s="28"/>
      <c r="V75" s="172"/>
    </row>
    <row r="76" spans="1:22" ht="39.75" customHeight="1" x14ac:dyDescent="0.25">
      <c r="B76" s="173"/>
      <c r="C76" s="174"/>
      <c r="D76" s="175"/>
      <c r="E76" s="287"/>
      <c r="F76" s="176"/>
      <c r="G76" s="177"/>
      <c r="H76" s="178"/>
      <c r="I76" s="287"/>
      <c r="J76" s="179"/>
      <c r="K76" s="180"/>
      <c r="L76" s="178"/>
      <c r="M76" s="287"/>
      <c r="N76" s="278"/>
      <c r="O76" s="279"/>
      <c r="P76" s="280"/>
      <c r="Q76" s="287"/>
      <c r="R76" s="177"/>
      <c r="S76" s="177"/>
      <c r="T76" s="181"/>
      <c r="U76" s="28"/>
    </row>
    <row r="77" spans="1:22" ht="33" customHeight="1" x14ac:dyDescent="0.25">
      <c r="B77" s="173"/>
      <c r="C77" s="174"/>
      <c r="D77" s="175"/>
      <c r="E77" s="273" t="s">
        <v>100</v>
      </c>
      <c r="F77" s="182"/>
      <c r="G77" s="167"/>
      <c r="H77" s="168"/>
      <c r="I77" s="273" t="s">
        <v>100</v>
      </c>
      <c r="J77" s="169"/>
      <c r="K77" s="170"/>
      <c r="L77" s="168"/>
      <c r="M77" s="273" t="s">
        <v>100</v>
      </c>
      <c r="N77" s="275"/>
      <c r="O77" s="276"/>
      <c r="P77" s="277"/>
      <c r="Q77" s="273" t="s">
        <v>100</v>
      </c>
      <c r="R77" s="182"/>
      <c r="S77" s="167"/>
      <c r="T77" s="183"/>
      <c r="U77" s="28"/>
    </row>
    <row r="78" spans="1:22" ht="29.25" customHeight="1" x14ac:dyDescent="0.25">
      <c r="B78" s="184" t="s">
        <v>101</v>
      </c>
      <c r="C78" s="185"/>
      <c r="D78" s="186"/>
      <c r="E78" s="274"/>
      <c r="F78" s="187"/>
      <c r="G78" s="177"/>
      <c r="H78" s="178"/>
      <c r="I78" s="274"/>
      <c r="J78" s="179"/>
      <c r="K78" s="180"/>
      <c r="L78" s="178"/>
      <c r="M78" s="274"/>
      <c r="N78" s="278"/>
      <c r="O78" s="279"/>
      <c r="P78" s="280"/>
      <c r="Q78" s="274"/>
      <c r="R78" s="187"/>
      <c r="S78" s="177"/>
      <c r="T78" s="181"/>
      <c r="U78" s="28"/>
    </row>
    <row r="79" spans="1:22" ht="73.5" customHeight="1" x14ac:dyDescent="0.25">
      <c r="A79" s="3"/>
      <c r="B79" s="188" t="s">
        <v>102</v>
      </c>
      <c r="C79" s="189"/>
      <c r="D79" s="190"/>
      <c r="E79" s="191"/>
      <c r="F79" s="189"/>
      <c r="G79" s="189"/>
      <c r="H79" s="190"/>
      <c r="I79" s="191"/>
      <c r="J79" s="189"/>
      <c r="K79" s="189"/>
      <c r="L79" s="190"/>
      <c r="M79" s="189"/>
      <c r="N79" s="189"/>
      <c r="O79" s="189"/>
      <c r="P79" s="189"/>
      <c r="Q79" s="191"/>
      <c r="R79" s="189"/>
      <c r="S79" s="189"/>
      <c r="T79" s="190"/>
      <c r="U79" s="192"/>
    </row>
    <row r="81" spans="2:19" s="195" customFormat="1" ht="17.100000000000001" customHeight="1" x14ac:dyDescent="0.25">
      <c r="B81" s="245" t="s">
        <v>103</v>
      </c>
      <c r="C81" s="246"/>
      <c r="D81" s="246"/>
      <c r="E81" s="247"/>
      <c r="F81" s="254"/>
      <c r="G81" s="255"/>
      <c r="H81" s="260" t="s">
        <v>104</v>
      </c>
      <c r="I81" s="261"/>
      <c r="J81" s="262"/>
      <c r="K81" s="193">
        <v>4</v>
      </c>
      <c r="L81" s="269" t="s">
        <v>105</v>
      </c>
      <c r="M81" s="270"/>
      <c r="N81" s="194">
        <v>44460</v>
      </c>
      <c r="O81" s="193" t="s">
        <v>17</v>
      </c>
      <c r="P81" s="193"/>
      <c r="Q81" s="194"/>
      <c r="R81" s="193"/>
    </row>
    <row r="82" spans="2:19" s="195" customFormat="1" ht="17.100000000000001" customHeight="1" x14ac:dyDescent="0.25">
      <c r="B82" s="248"/>
      <c r="C82" s="249"/>
      <c r="D82" s="249"/>
      <c r="E82" s="250"/>
      <c r="F82" s="256"/>
      <c r="G82" s="257"/>
      <c r="H82" s="263"/>
      <c r="I82" s="264"/>
      <c r="J82" s="265"/>
      <c r="K82" s="193">
        <v>3</v>
      </c>
      <c r="L82" s="269" t="s">
        <v>106</v>
      </c>
      <c r="M82" s="270"/>
      <c r="N82" s="194">
        <v>44326</v>
      </c>
      <c r="O82" s="193" t="s">
        <v>107</v>
      </c>
      <c r="P82" s="193"/>
      <c r="Q82" s="194"/>
      <c r="R82" s="193"/>
    </row>
    <row r="83" spans="2:19" s="195" customFormat="1" ht="17.100000000000001" customHeight="1" x14ac:dyDescent="0.25">
      <c r="B83" s="248"/>
      <c r="C83" s="249"/>
      <c r="D83" s="249"/>
      <c r="E83" s="250"/>
      <c r="F83" s="256"/>
      <c r="G83" s="257"/>
      <c r="H83" s="263"/>
      <c r="I83" s="264"/>
      <c r="J83" s="265"/>
      <c r="K83" s="193">
        <v>2</v>
      </c>
      <c r="L83" s="269" t="s">
        <v>108</v>
      </c>
      <c r="M83" s="270"/>
      <c r="N83" s="194">
        <v>44273</v>
      </c>
      <c r="O83" s="193" t="s">
        <v>18</v>
      </c>
      <c r="P83" s="193"/>
      <c r="Q83" s="194"/>
      <c r="R83" s="193"/>
    </row>
    <row r="84" spans="2:19" s="195" customFormat="1" ht="17.100000000000001" customHeight="1" x14ac:dyDescent="0.25">
      <c r="B84" s="248"/>
      <c r="C84" s="249"/>
      <c r="D84" s="249"/>
      <c r="E84" s="250"/>
      <c r="F84" s="256"/>
      <c r="G84" s="257"/>
      <c r="H84" s="263"/>
      <c r="I84" s="264"/>
      <c r="J84" s="265"/>
      <c r="K84" s="193">
        <v>1</v>
      </c>
      <c r="L84" s="269" t="s">
        <v>108</v>
      </c>
      <c r="M84" s="270"/>
      <c r="N84" s="194">
        <v>44166</v>
      </c>
      <c r="O84" s="193" t="s">
        <v>18</v>
      </c>
      <c r="P84" s="193">
        <v>2</v>
      </c>
      <c r="Q84" s="194">
        <v>44460</v>
      </c>
      <c r="R84" s="193" t="s">
        <v>17</v>
      </c>
    </row>
    <row r="85" spans="2:19" s="195" customFormat="1" ht="17.100000000000001" customHeight="1" x14ac:dyDescent="0.25">
      <c r="B85" s="248"/>
      <c r="C85" s="249"/>
      <c r="D85" s="249"/>
      <c r="E85" s="250"/>
      <c r="F85" s="256"/>
      <c r="G85" s="257"/>
      <c r="H85" s="263"/>
      <c r="I85" s="264"/>
      <c r="J85" s="265"/>
      <c r="K85" s="193">
        <v>0</v>
      </c>
      <c r="L85" s="269" t="s">
        <v>109</v>
      </c>
      <c r="M85" s="270"/>
      <c r="N85" s="194">
        <v>44165</v>
      </c>
      <c r="O85" s="193" t="s">
        <v>18</v>
      </c>
      <c r="P85" s="193">
        <v>1</v>
      </c>
      <c r="Q85" s="194">
        <v>44326</v>
      </c>
      <c r="R85" s="193" t="s">
        <v>17</v>
      </c>
    </row>
    <row r="86" spans="2:19" s="197" customFormat="1" ht="17.100000000000001" customHeight="1" x14ac:dyDescent="0.25">
      <c r="B86" s="251"/>
      <c r="C86" s="252"/>
      <c r="D86" s="252"/>
      <c r="E86" s="253"/>
      <c r="F86" s="258"/>
      <c r="G86" s="259"/>
      <c r="H86" s="266"/>
      <c r="I86" s="267"/>
      <c r="J86" s="268"/>
      <c r="K86" s="196" t="s">
        <v>110</v>
      </c>
      <c r="L86" s="271" t="s">
        <v>111</v>
      </c>
      <c r="M86" s="272"/>
      <c r="N86" s="196" t="s">
        <v>10</v>
      </c>
      <c r="O86" s="196" t="s">
        <v>112</v>
      </c>
      <c r="P86" s="196" t="s">
        <v>113</v>
      </c>
      <c r="Q86" s="196" t="s">
        <v>10</v>
      </c>
      <c r="R86" s="196" t="s">
        <v>112</v>
      </c>
    </row>
    <row r="95" spans="2:19" x14ac:dyDescent="0.25">
      <c r="S95" s="198"/>
    </row>
    <row r="96" spans="2:19" x14ac:dyDescent="0.25">
      <c r="S96" s="198"/>
    </row>
    <row r="97" spans="19:19" x14ac:dyDescent="0.25">
      <c r="S97" s="172"/>
    </row>
  </sheetData>
  <mergeCells count="207">
    <mergeCell ref="Q53:T53"/>
    <mergeCell ref="E23:H23"/>
    <mergeCell ref="I23:L23"/>
    <mergeCell ref="M23:P23"/>
    <mergeCell ref="Q23:T23"/>
    <mergeCell ref="M13:P13"/>
    <mergeCell ref="Q13:T13"/>
    <mergeCell ref="E65:H65"/>
    <mergeCell ref="I65:L65"/>
    <mergeCell ref="M65:P65"/>
    <mergeCell ref="Q65:T65"/>
    <mergeCell ref="I49:L49"/>
    <mergeCell ref="E55:H55"/>
    <mergeCell ref="I55:L55"/>
    <mergeCell ref="M55:P55"/>
    <mergeCell ref="Q55:T55"/>
    <mergeCell ref="E57:H57"/>
    <mergeCell ref="Q26:T26"/>
    <mergeCell ref="E27:H27"/>
    <mergeCell ref="I27:L27"/>
    <mergeCell ref="C15:D15"/>
    <mergeCell ref="E15:H15"/>
    <mergeCell ref="I15:L15"/>
    <mergeCell ref="M15:P15"/>
    <mergeCell ref="C17:C19"/>
    <mergeCell ref="E20:H20"/>
    <mergeCell ref="I20:L20"/>
    <mergeCell ref="M20:P20"/>
    <mergeCell ref="Q20:T20"/>
    <mergeCell ref="C16:D16"/>
    <mergeCell ref="E16:H16"/>
    <mergeCell ref="I16:L16"/>
    <mergeCell ref="M16:P16"/>
    <mergeCell ref="Q16:T16"/>
    <mergeCell ref="Q15:T15"/>
    <mergeCell ref="C13:D13"/>
    <mergeCell ref="E13:H13"/>
    <mergeCell ref="I13:L13"/>
    <mergeCell ref="S4:S5"/>
    <mergeCell ref="T4:U5"/>
    <mergeCell ref="T6:U6"/>
    <mergeCell ref="N7:O7"/>
    <mergeCell ref="Q7:R7"/>
    <mergeCell ref="T7:U7"/>
    <mergeCell ref="B1:B2"/>
    <mergeCell ref="N3:O3"/>
    <mergeCell ref="Q3:R3"/>
    <mergeCell ref="T3:U3"/>
    <mergeCell ref="B4:G7"/>
    <mergeCell ref="H4:H7"/>
    <mergeCell ref="M4:M6"/>
    <mergeCell ref="N4:O6"/>
    <mergeCell ref="P4:P6"/>
    <mergeCell ref="Q4:R6"/>
    <mergeCell ref="B21:B30"/>
    <mergeCell ref="C21:D21"/>
    <mergeCell ref="E21:H21"/>
    <mergeCell ref="I21:L21"/>
    <mergeCell ref="Q21:T21"/>
    <mergeCell ref="B14:B19"/>
    <mergeCell ref="E24:H24"/>
    <mergeCell ref="I24:L24"/>
    <mergeCell ref="M24:P24"/>
    <mergeCell ref="Q24:T24"/>
    <mergeCell ref="E25:H25"/>
    <mergeCell ref="I25:L25"/>
    <mergeCell ref="M25:P25"/>
    <mergeCell ref="Q25:T25"/>
    <mergeCell ref="C22:D22"/>
    <mergeCell ref="E22:H22"/>
    <mergeCell ref="I22:L22"/>
    <mergeCell ref="M22:P22"/>
    <mergeCell ref="Q22:T22"/>
    <mergeCell ref="M29:P29"/>
    <mergeCell ref="Q29:T29"/>
    <mergeCell ref="E26:H26"/>
    <mergeCell ref="I26:L26"/>
    <mergeCell ref="M26:P26"/>
    <mergeCell ref="M27:P27"/>
    <mergeCell ref="Q27:T27"/>
    <mergeCell ref="C30:D30"/>
    <mergeCell ref="E30:H30"/>
    <mergeCell ref="I30:L30"/>
    <mergeCell ref="M30:P30"/>
    <mergeCell ref="Q30:T30"/>
    <mergeCell ref="E28:H28"/>
    <mergeCell ref="I28:L28"/>
    <mergeCell ref="M28:P28"/>
    <mergeCell ref="Q28:T28"/>
    <mergeCell ref="E29:H29"/>
    <mergeCell ref="I29:L29"/>
    <mergeCell ref="B31:B37"/>
    <mergeCell ref="G32:J32"/>
    <mergeCell ref="G33:J34"/>
    <mergeCell ref="G35:J35"/>
    <mergeCell ref="G36:J36"/>
    <mergeCell ref="I51:L51"/>
    <mergeCell ref="M51:P51"/>
    <mergeCell ref="Q51:T51"/>
    <mergeCell ref="E52:H52"/>
    <mergeCell ref="I52:L52"/>
    <mergeCell ref="M52:P52"/>
    <mergeCell ref="Q52:T52"/>
    <mergeCell ref="B38:B45"/>
    <mergeCell ref="C38:D38"/>
    <mergeCell ref="C40:D40"/>
    <mergeCell ref="E51:H51"/>
    <mergeCell ref="I42:L42"/>
    <mergeCell ref="I43:L43"/>
    <mergeCell ref="M49:P49"/>
    <mergeCell ref="E49:H49"/>
    <mergeCell ref="Q49:T49"/>
    <mergeCell ref="I74:L74"/>
    <mergeCell ref="Q54:T54"/>
    <mergeCell ref="B61:B62"/>
    <mergeCell ref="C61:C62"/>
    <mergeCell ref="E61:H61"/>
    <mergeCell ref="I61:L61"/>
    <mergeCell ref="M61:P61"/>
    <mergeCell ref="Q61:T61"/>
    <mergeCell ref="E62:H62"/>
    <mergeCell ref="E58:H58"/>
    <mergeCell ref="I58:L58"/>
    <mergeCell ref="M58:P58"/>
    <mergeCell ref="Q58:T58"/>
    <mergeCell ref="E59:H59"/>
    <mergeCell ref="I59:L59"/>
    <mergeCell ref="M59:P59"/>
    <mergeCell ref="Q59:T59"/>
    <mergeCell ref="I62:L62"/>
    <mergeCell ref="M62:P62"/>
    <mergeCell ref="Q62:T62"/>
    <mergeCell ref="M57:P57"/>
    <mergeCell ref="Q57:T57"/>
    <mergeCell ref="I57:L57"/>
    <mergeCell ref="Q70:T70"/>
    <mergeCell ref="Q63:T63"/>
    <mergeCell ref="E60:H60"/>
    <mergeCell ref="I60:L60"/>
    <mergeCell ref="Q60:T60"/>
    <mergeCell ref="B64:B66"/>
    <mergeCell ref="B67:B74"/>
    <mergeCell ref="E67:H67"/>
    <mergeCell ref="I67:L67"/>
    <mergeCell ref="M67:P67"/>
    <mergeCell ref="Q67:T67"/>
    <mergeCell ref="E68:H68"/>
    <mergeCell ref="I68:L68"/>
    <mergeCell ref="M68:P68"/>
    <mergeCell ref="Q68:T68"/>
    <mergeCell ref="E71:H71"/>
    <mergeCell ref="I71:L71"/>
    <mergeCell ref="M71:P71"/>
    <mergeCell ref="Q71:T71"/>
    <mergeCell ref="E72:H72"/>
    <mergeCell ref="I72:L72"/>
    <mergeCell ref="M72:P72"/>
    <mergeCell ref="Q73:T73"/>
    <mergeCell ref="E74:H74"/>
    <mergeCell ref="M74:P74"/>
    <mergeCell ref="E44:H44"/>
    <mergeCell ref="E45:G45"/>
    <mergeCell ref="Q77:Q78"/>
    <mergeCell ref="B81:E86"/>
    <mergeCell ref="F81:G86"/>
    <mergeCell ref="H81:J86"/>
    <mergeCell ref="L81:M81"/>
    <mergeCell ref="L82:M82"/>
    <mergeCell ref="B75:C75"/>
    <mergeCell ref="E75:E76"/>
    <mergeCell ref="I75:I76"/>
    <mergeCell ref="M75:M76"/>
    <mergeCell ref="N75:P76"/>
    <mergeCell ref="Q75:Q76"/>
    <mergeCell ref="Q74:T74"/>
    <mergeCell ref="Q72:T72"/>
    <mergeCell ref="E69:H69"/>
    <mergeCell ref="I69:L69"/>
    <mergeCell ref="M69:P69"/>
    <mergeCell ref="Q69:T69"/>
    <mergeCell ref="E70:H70"/>
    <mergeCell ref="I70:L70"/>
    <mergeCell ref="M70:P70"/>
    <mergeCell ref="I45:K45"/>
    <mergeCell ref="M45:O45"/>
    <mergeCell ref="Q45:S45"/>
    <mergeCell ref="I44:L44"/>
    <mergeCell ref="L83:M83"/>
    <mergeCell ref="L84:M84"/>
    <mergeCell ref="L85:M85"/>
    <mergeCell ref="L86:M86"/>
    <mergeCell ref="E77:E78"/>
    <mergeCell ref="I77:I78"/>
    <mergeCell ref="M77:M78"/>
    <mergeCell ref="N77:P78"/>
    <mergeCell ref="E73:H73"/>
    <mergeCell ref="I73:L73"/>
    <mergeCell ref="M73:P73"/>
    <mergeCell ref="E63:H63"/>
    <mergeCell ref="I63:L63"/>
    <mergeCell ref="M63:P63"/>
    <mergeCell ref="E54:H54"/>
    <mergeCell ref="I54:L54"/>
    <mergeCell ref="M54:P54"/>
    <mergeCell ref="E53:H53"/>
    <mergeCell ref="I53:L53"/>
    <mergeCell ref="M53:P53"/>
  </mergeCells>
  <conditionalFormatting sqref="C32:C35">
    <cfRule type="expression" dxfId="0" priority="6" stopIfTrue="1">
      <formula>#REF!=0</formula>
    </cfRule>
  </conditionalFormatting>
  <hyperlinks>
    <hyperlink ref="E18" r:id="rId1" display="tonywaeyoo@yahoo.com"/>
    <hyperlink ref="I18" r:id="rId2" display="teguh.iman21@gmail.com"/>
    <hyperlink ref="M18" r:id="rId3" display="teguh.iman21@gmail.com"/>
  </hyperlinks>
  <printOptions horizontalCentered="1"/>
  <pageMargins left="0" right="0" top="0.25" bottom="0" header="0" footer="0"/>
  <pageSetup paperSize="9" scale="23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workbookViewId="0">
      <selection sqref="A1:F22"/>
    </sheetView>
  </sheetViews>
  <sheetFormatPr defaultRowHeight="15" x14ac:dyDescent="0.25"/>
  <cols>
    <col min="2" max="2" width="57" customWidth="1"/>
    <col min="3" max="4" width="23.42578125" bestFit="1" customWidth="1"/>
    <col min="5" max="5" width="24.140625" customWidth="1"/>
    <col min="6" max="6" width="23.42578125" bestFit="1" customWidth="1"/>
  </cols>
  <sheetData>
    <row r="1" spans="1:6" x14ac:dyDescent="0.25">
      <c r="A1" s="200" t="s">
        <v>153</v>
      </c>
    </row>
    <row r="3" spans="1:6" ht="18.75" x14ac:dyDescent="0.3">
      <c r="A3" s="201" t="s">
        <v>154</v>
      </c>
      <c r="B3" s="202"/>
      <c r="C3" s="202"/>
      <c r="D3" s="202"/>
      <c r="E3" s="202"/>
      <c r="F3" s="202"/>
    </row>
    <row r="4" spans="1:6" ht="56.25" customHeight="1" x14ac:dyDescent="0.3">
      <c r="A4" s="203" t="s">
        <v>155</v>
      </c>
      <c r="B4" s="203" t="s">
        <v>156</v>
      </c>
      <c r="C4" s="204" t="s">
        <v>116</v>
      </c>
      <c r="D4" s="204" t="s">
        <v>117</v>
      </c>
      <c r="E4" s="204" t="s">
        <v>118</v>
      </c>
      <c r="F4" s="204" t="s">
        <v>164</v>
      </c>
    </row>
    <row r="5" spans="1:6" ht="18.75" x14ac:dyDescent="0.3">
      <c r="A5" s="205">
        <v>1</v>
      </c>
      <c r="B5" s="206" t="s">
        <v>157</v>
      </c>
      <c r="C5" s="206"/>
      <c r="D5" s="206"/>
      <c r="E5" s="206"/>
      <c r="F5" s="206"/>
    </row>
    <row r="6" spans="1:6" ht="18.75" x14ac:dyDescent="0.3">
      <c r="A6" s="205"/>
      <c r="B6" s="206" t="s">
        <v>158</v>
      </c>
      <c r="C6" s="205" t="s">
        <v>166</v>
      </c>
      <c r="D6" s="205" t="s">
        <v>166</v>
      </c>
      <c r="E6" s="205" t="s">
        <v>166</v>
      </c>
      <c r="F6" s="205" t="s">
        <v>166</v>
      </c>
    </row>
    <row r="7" spans="1:6" ht="18.75" x14ac:dyDescent="0.3">
      <c r="A7" s="205"/>
      <c r="B7" s="206" t="s">
        <v>159</v>
      </c>
      <c r="C7" s="205" t="s">
        <v>166</v>
      </c>
      <c r="D7" s="205" t="s">
        <v>166</v>
      </c>
      <c r="E7" s="205" t="s">
        <v>166</v>
      </c>
      <c r="F7" s="205" t="s">
        <v>166</v>
      </c>
    </row>
    <row r="8" spans="1:6" ht="18.75" x14ac:dyDescent="0.3">
      <c r="A8" s="205"/>
      <c r="B8" s="206" t="s">
        <v>176</v>
      </c>
      <c r="C8" s="205" t="s">
        <v>166</v>
      </c>
      <c r="D8" s="205" t="s">
        <v>166</v>
      </c>
      <c r="E8" s="205" t="s">
        <v>166</v>
      </c>
      <c r="F8" s="205" t="s">
        <v>166</v>
      </c>
    </row>
    <row r="9" spans="1:6" ht="32.25" customHeight="1" x14ac:dyDescent="0.25">
      <c r="A9" s="207"/>
      <c r="B9" s="208" t="s">
        <v>177</v>
      </c>
      <c r="C9" s="209">
        <v>1611000000</v>
      </c>
      <c r="D9" s="209">
        <v>1181000000</v>
      </c>
      <c r="E9" s="209">
        <v>2234637400</v>
      </c>
      <c r="F9" s="209">
        <v>1342392000</v>
      </c>
    </row>
    <row r="10" spans="1:6" ht="26.25" x14ac:dyDescent="0.4">
      <c r="A10" s="402" t="s">
        <v>180</v>
      </c>
      <c r="B10" s="402"/>
      <c r="C10" s="243">
        <v>1550000000</v>
      </c>
      <c r="D10" s="243">
        <f>D9</f>
        <v>1181000000</v>
      </c>
      <c r="E10" s="243">
        <v>2122905530</v>
      </c>
      <c r="F10" s="243">
        <f>1275272400-31908000</f>
        <v>1243364400</v>
      </c>
    </row>
    <row r="11" spans="1:6" ht="18.75" x14ac:dyDescent="0.3">
      <c r="A11" s="205">
        <v>2</v>
      </c>
      <c r="B11" s="206" t="s">
        <v>179</v>
      </c>
      <c r="C11" s="240"/>
      <c r="D11" s="240"/>
      <c r="E11" s="240"/>
      <c r="F11" s="240"/>
    </row>
    <row r="12" spans="1:6" ht="18.75" x14ac:dyDescent="0.3">
      <c r="A12" s="205"/>
      <c r="B12" s="206" t="s">
        <v>165</v>
      </c>
      <c r="C12" s="205" t="s">
        <v>166</v>
      </c>
      <c r="D12" s="205" t="s">
        <v>166</v>
      </c>
      <c r="E12" s="205" t="s">
        <v>166</v>
      </c>
      <c r="F12" s="205" t="s">
        <v>166</v>
      </c>
    </row>
    <row r="13" spans="1:6" ht="18.75" x14ac:dyDescent="0.3">
      <c r="A13" s="205"/>
      <c r="B13" s="206" t="s">
        <v>171</v>
      </c>
      <c r="C13" s="205" t="s">
        <v>166</v>
      </c>
      <c r="D13" s="205" t="s">
        <v>166</v>
      </c>
      <c r="E13" s="205" t="s">
        <v>166</v>
      </c>
      <c r="F13" s="205" t="s">
        <v>166</v>
      </c>
    </row>
    <row r="14" spans="1:6" ht="18.75" x14ac:dyDescent="0.3">
      <c r="A14" s="205"/>
      <c r="B14" s="206" t="s">
        <v>172</v>
      </c>
      <c r="C14" s="205" t="s">
        <v>166</v>
      </c>
      <c r="D14" s="205" t="s">
        <v>166</v>
      </c>
      <c r="E14" s="205" t="s">
        <v>166</v>
      </c>
      <c r="F14" s="205" t="s">
        <v>166</v>
      </c>
    </row>
    <row r="15" spans="1:6" ht="18.75" x14ac:dyDescent="0.3">
      <c r="A15" s="205"/>
      <c r="B15" s="206" t="s">
        <v>160</v>
      </c>
      <c r="C15" s="205" t="s">
        <v>166</v>
      </c>
      <c r="D15" s="205" t="s">
        <v>166</v>
      </c>
      <c r="E15" s="205" t="s">
        <v>166</v>
      </c>
      <c r="F15" s="205" t="s">
        <v>166</v>
      </c>
    </row>
    <row r="16" spans="1:6" ht="18.75" x14ac:dyDescent="0.3">
      <c r="A16" s="205"/>
      <c r="B16" s="206" t="s">
        <v>161</v>
      </c>
      <c r="C16" s="205" t="s">
        <v>166</v>
      </c>
      <c r="D16" s="205" t="s">
        <v>166</v>
      </c>
      <c r="E16" s="205" t="s">
        <v>166</v>
      </c>
      <c r="F16" s="205" t="s">
        <v>166</v>
      </c>
    </row>
    <row r="17" spans="1:10" ht="18.75" x14ac:dyDescent="0.3">
      <c r="A17" s="205"/>
      <c r="B17" s="206" t="s">
        <v>162</v>
      </c>
      <c r="C17" s="205" t="s">
        <v>166</v>
      </c>
      <c r="D17" s="205" t="s">
        <v>166</v>
      </c>
      <c r="E17" s="205" t="s">
        <v>166</v>
      </c>
      <c r="F17" s="205" t="s">
        <v>166</v>
      </c>
    </row>
    <row r="18" spans="1:10" ht="18.75" x14ac:dyDescent="0.3">
      <c r="A18" s="205"/>
      <c r="B18" s="206" t="s">
        <v>167</v>
      </c>
      <c r="C18" s="205" t="s">
        <v>166</v>
      </c>
      <c r="D18" s="205" t="s">
        <v>166</v>
      </c>
      <c r="E18" s="205" t="s">
        <v>166</v>
      </c>
      <c r="F18" s="205" t="s">
        <v>166</v>
      </c>
    </row>
    <row r="19" spans="1:10" ht="18.75" x14ac:dyDescent="0.3">
      <c r="A19" s="205"/>
      <c r="B19" s="206" t="s">
        <v>163</v>
      </c>
      <c r="C19" s="205" t="s">
        <v>166</v>
      </c>
      <c r="D19" s="205" t="s">
        <v>166</v>
      </c>
      <c r="E19" s="205" t="s">
        <v>166</v>
      </c>
      <c r="F19" s="205" t="s">
        <v>166</v>
      </c>
    </row>
    <row r="20" spans="1:10" ht="32.25" customHeight="1" x14ac:dyDescent="0.25">
      <c r="A20" s="207"/>
      <c r="B20" s="208" t="s">
        <v>178</v>
      </c>
      <c r="C20" s="209">
        <v>734000000</v>
      </c>
      <c r="D20" s="209">
        <v>849500000</v>
      </c>
      <c r="E20" s="209">
        <v>1688362600</v>
      </c>
      <c r="F20" s="209">
        <v>1131908000</v>
      </c>
    </row>
    <row r="21" spans="1:10" ht="26.25" x14ac:dyDescent="0.4">
      <c r="A21" s="402" t="s">
        <v>180</v>
      </c>
      <c r="B21" s="402"/>
      <c r="C21" s="244">
        <v>730000000</v>
      </c>
      <c r="D21" s="243">
        <v>840000000</v>
      </c>
      <c r="E21" s="243">
        <f>1600000000-222905530</f>
        <v>1377094470</v>
      </c>
      <c r="F21" s="243">
        <v>906635600</v>
      </c>
    </row>
    <row r="22" spans="1:10" ht="26.25" x14ac:dyDescent="0.4">
      <c r="A22" s="402" t="s">
        <v>184</v>
      </c>
      <c r="B22" s="402"/>
      <c r="C22" s="242">
        <f>C10+C21</f>
        <v>2280000000</v>
      </c>
      <c r="D22" s="242">
        <f>D10+D21</f>
        <v>2021000000</v>
      </c>
      <c r="E22" s="242">
        <f>E10+E21</f>
        <v>3500000000</v>
      </c>
      <c r="F22" s="242">
        <f>F10+F21</f>
        <v>2150000000</v>
      </c>
      <c r="J22">
        <f>18500*2</f>
        <v>37000</v>
      </c>
    </row>
    <row r="24" spans="1:10" x14ac:dyDescent="0.25">
      <c r="E24" s="239">
        <f>E22-3500000000</f>
        <v>0</v>
      </c>
    </row>
    <row r="25" spans="1:10" x14ac:dyDescent="0.25">
      <c r="F25" s="241">
        <f>F22-2150000000</f>
        <v>0</v>
      </c>
    </row>
    <row r="27" spans="1:10" x14ac:dyDescent="0.25">
      <c r="F27" s="241"/>
    </row>
    <row r="36" spans="6:6" x14ac:dyDescent="0.25">
      <c r="F36">
        <f>20000+30000</f>
        <v>50000</v>
      </c>
    </row>
    <row r="37" spans="6:6" x14ac:dyDescent="0.25">
      <c r="F37">
        <f>F36*9</f>
        <v>450000</v>
      </c>
    </row>
  </sheetData>
  <mergeCells count="3">
    <mergeCell ref="A21:B21"/>
    <mergeCell ref="A10:B10"/>
    <mergeCell ref="A22:B22"/>
  </mergeCells>
  <pageMargins left="0.7" right="0.7" top="0.75" bottom="0.75" header="0.3" footer="0.3"/>
  <pageSetup paperSize="9" scale="8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UNIT</vt:lpstr>
      <vt:lpstr>JASA</vt:lpstr>
      <vt:lpstr>Sheet1</vt:lpstr>
      <vt:lpstr>JASA!Print_Area</vt:lpstr>
      <vt:lpstr>Sheet1!Print_Area</vt:lpstr>
      <vt:lpstr>UNIT!Print_Area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cp:lastPrinted>2023-09-22T08:30:12Z</cp:lastPrinted>
  <dcterms:created xsi:type="dcterms:W3CDTF">2023-08-23T08:42:08Z</dcterms:created>
  <dcterms:modified xsi:type="dcterms:W3CDTF">2023-09-22T08:30:28Z</dcterms:modified>
</cp:coreProperties>
</file>