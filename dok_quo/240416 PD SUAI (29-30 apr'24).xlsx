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PP-06\Downloads\Pengisian Visitor Information &amp; Setting Ruangan (Untuk GA)\"/>
    </mc:Choice>
  </mc:AlternateContent>
  <xr:revisionPtr revIDLastSave="0" documentId="13_ncr:1_{64B503A0-6046-46CE-A9CF-FD0EAC89C939}" xr6:coauthVersionLast="47" xr6:coauthVersionMax="47" xr10:uidLastSave="{00000000-0000-0000-0000-000000000000}"/>
  <bookViews>
    <workbookView xWindow="-120" yWindow="-120" windowWidth="29040" windowHeight="15720" tabRatio="761" activeTab="4" xr2:uid="{00000000-000D-0000-FFFF-FFFF00000000}"/>
  </bookViews>
  <sheets>
    <sheet name="MAR'24 (SUAI DES ke APR)" sheetId="29" r:id="rId1"/>
    <sheet name="Souvenir" sheetId="24" r:id="rId2"/>
    <sheet name="TAHAP 1" sheetId="30" r:id="rId3"/>
    <sheet name="TAPAH 2.2 (Rincian)" sheetId="31" r:id="rId4"/>
    <sheet name="TAHAP 2.1 (SPD)" sheetId="3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___b1" hidden="1">'[1]S-PLAN'!$I$1293:$P$1293</definedName>
    <definedName name="______b2" hidden="1">'[1]S-PLAN'!$I$1293:$P$1293</definedName>
    <definedName name="______b3" hidden="1">'[1]S-PLAN'!$I$1293:$P$1293</definedName>
    <definedName name="______PL1" hidden="1">'[1]S-PLAN'!$I$582:$P$582</definedName>
    <definedName name="_____b1" hidden="1">'[1]S-PLAN'!$I$1293:$P$1293</definedName>
    <definedName name="_____b2" hidden="1">'[1]S-PLAN'!$I$1293:$P$1293</definedName>
    <definedName name="_____b3" hidden="1">'[1]S-PLAN'!$I$1293:$P$1293</definedName>
    <definedName name="_____PL1" hidden="1">'[1]S-PLAN'!$I$582:$P$582</definedName>
    <definedName name="____b1" hidden="1">'[1]S-PLAN'!$I$1293:$P$1293</definedName>
    <definedName name="____b2" hidden="1">'[1]S-PLAN'!$I$1293:$P$1293</definedName>
    <definedName name="____b3" hidden="1">'[1]S-PLAN'!$I$1293:$P$1293</definedName>
    <definedName name="____PL1" hidden="1">'[1]S-PLAN'!$I$582:$P$582</definedName>
    <definedName name="___b1" hidden="1">'[1]S-PLAN'!$I$1293:$P$1293</definedName>
    <definedName name="___b2" hidden="1">'[1]S-PLAN'!$I$1293:$P$1293</definedName>
    <definedName name="___b3" hidden="1">'[1]S-PLAN'!$I$1293:$P$1293</definedName>
    <definedName name="___PL1" hidden="1">'[1]S-PLAN'!$I$582:$P$582</definedName>
    <definedName name="__123Graph_AAMOUNT" hidden="1">#REF!</definedName>
    <definedName name="__123Graph_ACOT" hidden="1">#REF!</definedName>
    <definedName name="__123Graph_ALOCA" hidden="1">#REF!</definedName>
    <definedName name="__123Graph_AWIRE" hidden="1">#REF!</definedName>
    <definedName name="__123Graph_BAMOUNT" hidden="1">#REF!</definedName>
    <definedName name="__123Graph_BCOT" hidden="1">#REF!</definedName>
    <definedName name="__123Graph_BWIRE" hidden="1">#REF!</definedName>
    <definedName name="__123Graph_CAMOUNT" hidden="1">#REF!</definedName>
    <definedName name="__123Graph_CCOT" hidden="1">#REF!</definedName>
    <definedName name="__123Graph_CWIRE" hidden="1">#REF!</definedName>
    <definedName name="__123Graph_D" hidden="1">'[2]MAT-IN'!#REF!</definedName>
    <definedName name="__123Graph_DAMOUNT" hidden="1">#REF!</definedName>
    <definedName name="__123Graph_DWIRE" hidden="1">#REF!</definedName>
    <definedName name="__123Graph_EWIRE" hidden="1">#REF!</definedName>
    <definedName name="__123Graph_XLOCA" hidden="1">#REF!</definedName>
    <definedName name="__b1" hidden="1">'[1]S-PLAN'!$I$1293:$P$1293</definedName>
    <definedName name="__b2" hidden="1">'[1]S-PLAN'!$I$1293:$P$1293</definedName>
    <definedName name="__b3" hidden="1">'[1]S-PLAN'!$I$1293:$P$1293</definedName>
    <definedName name="__PL1" hidden="1">'[1]S-PLAN'!$I$582:$P$582</definedName>
    <definedName name="__sa１" hidden="1">#REF!</definedName>
    <definedName name="__VF2">#REF!</definedName>
    <definedName name="_1__123Graph_Aｸﾞﾗﾌ_1" hidden="1">#REF!</definedName>
    <definedName name="_1Excel_BuiltIn_Print_Titles_1_1">'[3]SA-1.1'!#REF!</definedName>
    <definedName name="_2__123Graph_Bｸﾞﾗﾌ_1" hidden="1">#REF!</definedName>
    <definedName name="_26_1生_CROSS_クエリー1">#REF!</definedName>
    <definedName name="_28_出庫リスト_クエリー">#REF!</definedName>
    <definedName name="_3__123Graph_Cｸﾞﾗﾌ_1" hidden="1">#REF!</definedName>
    <definedName name="_4__123Graph_Dｸﾞﾗﾌ_1" hidden="1">#REF!</definedName>
    <definedName name="_5__123Graph_Eｸﾞﾗﾌ_1" hidden="1">#REF!</definedName>
    <definedName name="_b1" hidden="1">'[1]S-PLAN'!$I$1293:$P$1293</definedName>
    <definedName name="_b2" hidden="1">'[1]S-PLAN'!$I$1293:$P$1293</definedName>
    <definedName name="_b3" hidden="1">'[1]S-PLAN'!$I$1293:$P$1293</definedName>
    <definedName name="_Dist_Bin" hidden="1">'[2]MAT-IN'!#REF!</definedName>
    <definedName name="_Dist_Values" hidden="1">'[2]MAT-IN'!#REF!</definedName>
    <definedName name="_Fill" hidden="1">#REF!</definedName>
    <definedName name="_xlnm._FilterDatabase" hidden="1">[4]ＷＦ権限プロファイル!$A$3:$AH$116</definedName>
    <definedName name="_Key1" hidden="1">#REF!</definedName>
    <definedName name="_Key2" hidden="1">[5]原単位表!#REF!</definedName>
    <definedName name="_Order1" hidden="1">255</definedName>
    <definedName name="_Order2" hidden="1">0</definedName>
    <definedName name="_Parse_Out" hidden="1">[6]SPTOBAT!#REF!</definedName>
    <definedName name="_PL1" hidden="1">'[1]S-PLAN'!$I$582:$P$582</definedName>
    <definedName name="_pp2_313_クエリー">#REF!</definedName>
    <definedName name="_Q">[7]_MISSION!$T$1:$BI$245</definedName>
    <definedName name="_Regression_X" hidden="1">#REF!</definedName>
    <definedName name="_sa１" hidden="1">#REF!</definedName>
    <definedName name="_Sort" hidden="1">#REF!</definedName>
    <definedName name="_Table1_In1" hidden="1">#REF!</definedName>
    <definedName name="_Table1_Out" hidden="1">#REF!</definedName>
    <definedName name="_生新規部品ﾘｽﾄ_クエリー">#REF!</definedName>
    <definedName name="⑤2" hidden="1">{"'TOYOTA'!$A$1:$R$26"}</definedName>
    <definedName name="a" localSheetId="0">#REF!</definedName>
    <definedName name="A" hidden="1">#REF!</definedName>
    <definedName name="A_K1出庫リスト">#REF!</definedName>
    <definedName name="A7_UPL">#REF!</definedName>
    <definedName name="aaa" hidden="1">#REF!</definedName>
    <definedName name="aaaa" hidden="1">#REF!</definedName>
    <definedName name="abs" hidden="1">#REF!</definedName>
    <definedName name="Access_Button" hidden="1">"業務96下修_DATA_List"</definedName>
    <definedName name="AccessDatabase" hidden="1">"C:\WINDOWS\Personal\COMMODITY  GROUP  FOR   VX - 133  &amp;   149.mdb"</definedName>
    <definedName name="ada" hidden="1">[8]MYZK02!$I$531:$P$531</definedName>
    <definedName name="air" hidden="1">'[9]702'!#REF!</definedName>
    <definedName name="AS" hidden="1">[10]サイズリスト!#REF!</definedName>
    <definedName name="AS2DocOpenMode" hidden="1">"AS2DocumentEdit"</definedName>
    <definedName name="ase" hidden="1">[8]MYZK02!$I$811:$P$811</definedName>
    <definedName name="asew" hidden="1">[8]MYZK02!$I$1259:$P$1259</definedName>
    <definedName name="ASSET_TYPE">[11]System!$A$32:$A$34</definedName>
    <definedName name="aw" hidden="1">[8]MYZK02!$I$1302:$P$1302</definedName>
    <definedName name="awa" hidden="1">[8]MYZK02!$I$1307:$P$1307</definedName>
    <definedName name="awae" hidden="1">[8]MYZK02!$I$1129:$P$1129</definedName>
    <definedName name="awew" hidden="1">[8]MYZK02!$I$1293:$P$1293</definedName>
    <definedName name="awf" hidden="1">'[1]S-PLAN'!$I$1293:$P$1293</definedName>
    <definedName name="awse" hidden="1">[8]MYZK02!$I$1306:$P$1306</definedName>
    <definedName name="B9_">#N/A</definedName>
    <definedName name="bbb" hidden="1">#REF!</definedName>
    <definedName name="ccc" hidden="1">#REF!</definedName>
    <definedName name="CETAKUNITKERJA_5">"'file:///D:/DATA-E/My Dokuments/Dept Prod C/Manpower/DATABASE local/DAFTAR UNIT KERJA PROD DOMESTIC REV.xls'#$DETAIL.$#REF!$#REF!"</definedName>
    <definedName name="Cir." hidden="1">'[12]702'!#REF!</definedName>
    <definedName name="CONCEPT">[11]System!$A$255:$A$256</definedName>
    <definedName name="COST_DEPT_CLS_CD">[11]System!$A$20:$A$25</definedName>
    <definedName name="D">[13]外注計算!$E$5</definedName>
    <definedName name="ｄ" hidden="1">#REF!</definedName>
    <definedName name="D_Version" hidden="1">[14]_RemoteViewSysMain!$H$3</definedName>
    <definedName name="D10_">#N/A</definedName>
    <definedName name="D2_" localSheetId="0">#REF!</definedName>
    <definedName name="D2_">#REF!</definedName>
    <definedName name="D9_">#N/A</definedName>
    <definedName name="DASARDATABASE_12">"$'Meninggalkan Pekerjaan'.$#REF!$#REF!:$#REF!$#REF!"</definedName>
    <definedName name="DASARNAMABASE">"$#REF!.$B$10:$F$3608"</definedName>
    <definedName name="DASARNAMABASE_10">"$#REF!.$B$10:$F$3608"</definedName>
    <definedName name="DASARNIKBASE">"$#REF!.$C$10:$F$3608"</definedName>
    <definedName name="DASARNIKBASE_10">"$#REF!.$C$10:$F$3608"</definedName>
    <definedName name="data">"$#REF!.$A$10:$AB$3608"</definedName>
    <definedName name="data_10">"$#REF!.$A$10:$AB$3608"</definedName>
    <definedName name="ddd" hidden="1">#REF!</definedName>
    <definedName name="DEHRFH">#REF!</definedName>
    <definedName name="des" hidden="1">[8]MYZK02!$I$1305:$P$1305</definedName>
    <definedName name="dew" hidden="1">[8]MYZK02!$I$1293:$P$1293</definedName>
    <definedName name="DISP_LANG_CANDIDATE">[11]System!$C$42:$C$44</definedName>
    <definedName name="DROPDOWNLIST">[11]System!$A$218:$A$252</definedName>
    <definedName name="dwa" hidden="1">[8]MYZK02!$I$828:$P$828</definedName>
    <definedName name="E">#N/A</definedName>
    <definedName name="ECRN2">[15]メーカー検索!#REF!</definedName>
    <definedName name="EDIX" hidden="1">#REF!</definedName>
    <definedName name="Entity">[16]LIST!$A$4:$A$38</definedName>
    <definedName name="esese" hidden="1">[17]トピックス!#REF!</definedName>
    <definedName name="ew" hidden="1">[8]MYZK02!$I$809:$P$809</definedName>
    <definedName name="ewa" hidden="1">[8]MYZK02!$I$1304:$P$1304</definedName>
    <definedName name="ewaw" hidden="1">[8]MYZK02!$I$1293:$P$1293</definedName>
    <definedName name="ewg" hidden="1">[8]MYZK02!$I$1308:$P$1308</definedName>
    <definedName name="ewq" hidden="1">[8]MYZK02!$K$75:$P$75</definedName>
    <definedName name="Excel_BuiltIn__FilterDatabase_1">#REF!</definedName>
    <definedName name="Excel_BuiltIn__FilterDatabase_1_1">#REF!</definedName>
    <definedName name="Excel_BuiltIn__FilterDatabase_12_1">"$'Meninggalkan Pekerjaan'.$#REF!$#REF!:$#REF!$#REF!"</definedName>
    <definedName name="Excel_BuiltIn_Criteria_12_1">"$'Meninggalkan Pekerjaan'.$#REF!$#REF!:$#REF!$#REF!"</definedName>
    <definedName name="Excel_BuiltIn_Extract_12">"$'Meninggalkan Pekerjaan'.$#REF!$#REF!:$#REF!$#REF!"</definedName>
    <definedName name="Excel_BuiltIn_Print_Area_2">#REF!</definedName>
    <definedName name="Excel_BuiltIn_Print_Area_2_1">#REF!</definedName>
    <definedName name="Excel_BuiltIn_Print_Titles_1">#REF!</definedName>
    <definedName name="EXPDOM_DEST_CARMKR">[11]System!$A$184:$A$213</definedName>
    <definedName name="fea" hidden="1">[8]MYZK02!$K$1259:$P$1259</definedName>
    <definedName name="feaw" hidden="1">[8]MYZK02!$I$601:$P$601</definedName>
    <definedName name="fes" hidden="1">[8]MYZK02!$I$811:$P$811</definedName>
    <definedName name="fesa" hidden="1">[8]MYZK02!$I$812:$P$812</definedName>
    <definedName name="FIX_VAR_CD">[11]System!$A$28:$A$29</definedName>
    <definedName name="Fo" hidden="1">'[9]702'!#REF!</definedName>
    <definedName name="G_LEADER">"$#REF!.$B$67:$AB$263"</definedName>
    <definedName name="G_LEADER_10">"$#REF!.$B$67:$AB$263"</definedName>
    <definedName name="ges" hidden="1">[8]MYZK02!$I$595:$P$595</definedName>
    <definedName name="GHJ">#REF!</definedName>
    <definedName name="H" hidden="1">#REF!</definedName>
    <definedName name="HFM_RCR027">[11]System!$C$52</definedName>
    <definedName name="HFM_RCR028">[11]System!$C$53</definedName>
    <definedName name="HFM_RCR029">[11]System!$C$54</definedName>
    <definedName name="HFM_RCR030">[11]System!$C$55</definedName>
    <definedName name="HFM_RCR035">[11]System!$C$56</definedName>
    <definedName name="HFM_RCR037">[11]System!$C$57</definedName>
    <definedName name="HFM_RCR038">[11]System!$C$58</definedName>
    <definedName name="HFM_RCR039">[11]System!$C$59</definedName>
    <definedName name="HFM_RCR040">[11]System!$C$60</definedName>
    <definedName name="HFM_RCR041">[11]System!$C$61</definedName>
    <definedName name="HFM_RCR042">[11]System!$C$62</definedName>
    <definedName name="HFM_RCR043">[11]System!$C$63</definedName>
    <definedName name="HFM_RPL025">[11]System!$C$124</definedName>
    <definedName name="HFM_RPL026">[11]System!$C$125</definedName>
    <definedName name="HFM_RPL027">[11]System!$C$126</definedName>
    <definedName name="HFM_RPL030">[11]System!$C$127</definedName>
    <definedName name="HFM_RPL031">[11]System!$C$128</definedName>
    <definedName name="HFM_RPL051">[11]System!$C$129</definedName>
    <definedName name="HFM_RPL053">[11]System!$C$130</definedName>
    <definedName name="HFM_RPL058">[11]System!$C$131</definedName>
    <definedName name="HTML_CodePage" hidden="1">932</definedName>
    <definedName name="HTML_Control" hidden="1">{"'部署一覧'!$A$1384:$G$1490"}</definedName>
    <definedName name="HTML_Control1" hidden="1">{"'部署一覧'!$A$1384:$G$1490"}</definedName>
    <definedName name="HTML_Description" hidden="1">""</definedName>
    <definedName name="HTML_Email" hidden="1">""</definedName>
    <definedName name="HTML_Header" hidden="1">"部署番号表『化工品』"</definedName>
    <definedName name="HTML_LastUpdate" hidden="1">"2004/01/20"</definedName>
    <definedName name="HTML_LineAfter" hidden="1">FALSE</definedName>
    <definedName name="HTML_LineBefore" hidden="1">FALSE</definedName>
    <definedName name="HTML_Name" hidden="1">"(株)ブリヂストン"</definedName>
    <definedName name="HTML_OBDlg2" hidden="1">TRUE</definedName>
    <definedName name="HTML_OBDlg4" hidden="1">TRUE</definedName>
    <definedName name="HTML_OS" hidden="1">0</definedName>
    <definedName name="HTML_PathFile" hidden="1">"E:\0116_9.htm"</definedName>
    <definedName name="HTML_Title" hidden="1">"部署番号表"</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10_1" hidden="1">"[BU000201.xls]部署一覧!$A$1173:$G$1366"</definedName>
    <definedName name="HTML10_10" hidden="1">""</definedName>
    <definedName name="HTML10_11" hidden="1">1</definedName>
    <definedName name="HTML10_12" hidden="1">"E:\0201_8.htm"</definedName>
    <definedName name="HTML10_2" hidden="1">1</definedName>
    <definedName name="HTML10_3" hidden="1">"部署番号表"</definedName>
    <definedName name="HTML10_4" hidden="1">"部署番号表『化工品』"</definedName>
    <definedName name="HTML10_5" hidden="1">""</definedName>
    <definedName name="HTML10_6" hidden="1">-4146</definedName>
    <definedName name="HTML10_7" hidden="1">-4146</definedName>
    <definedName name="HTML10_8" hidden="1">"2000/02/03"</definedName>
    <definedName name="HTML10_9" hidden="1">"株式会社ブリヂストン"</definedName>
    <definedName name="HTML100_1" hidden="1">"[BU001116.xls]部署一覧!$A$1043:$G$1096"</definedName>
    <definedName name="HTML100_10" hidden="1">""</definedName>
    <definedName name="HTML100_11" hidden="1">1</definedName>
    <definedName name="HTML100_12" hidden="1">"E:\1116_7.htm"</definedName>
    <definedName name="HTML100_2" hidden="1">1</definedName>
    <definedName name="HTML100_3" hidden="1">"部署番号表"</definedName>
    <definedName name="HTML100_4" hidden="1">"部署番号表『工場』"</definedName>
    <definedName name="HTML100_5" hidden="1">""</definedName>
    <definedName name="HTML100_6" hidden="1">-4146</definedName>
    <definedName name="HTML100_7" hidden="1">-4146</definedName>
    <definedName name="HTML100_8" hidden="1">"2000/11/17"</definedName>
    <definedName name="HTML100_9" hidden="1">"株式会社ブリヂストン"</definedName>
    <definedName name="HTML101_1" hidden="1">"[BU001116.xls]部署一覧!$A$1108:$G$1294"</definedName>
    <definedName name="HTML101_10" hidden="1">""</definedName>
    <definedName name="HTML101_11" hidden="1">1</definedName>
    <definedName name="HTML101_12" hidden="1">"E:\1116_8.htm"</definedName>
    <definedName name="HTML101_2" hidden="1">1</definedName>
    <definedName name="HTML101_3" hidden="1">"部署番号表"</definedName>
    <definedName name="HTML101_4" hidden="1">"部署番号表『化工品』"</definedName>
    <definedName name="HTML101_5" hidden="1">""</definedName>
    <definedName name="HTML101_6" hidden="1">-4146</definedName>
    <definedName name="HTML101_7" hidden="1">-4146</definedName>
    <definedName name="HTML101_8" hidden="1">"2000/11/17"</definedName>
    <definedName name="HTML101_9" hidden="1">"株式会社ブリヂストン"</definedName>
    <definedName name="HTML102_1" hidden="1">"[BU001116.xls]部署一覧!$A$1303:$G$1386"</definedName>
    <definedName name="HTML102_10" hidden="1">""</definedName>
    <definedName name="HTML102_11" hidden="1">1</definedName>
    <definedName name="HTML102_12" hidden="1">"E:\1116_9.htm"</definedName>
    <definedName name="HTML102_2" hidden="1">1</definedName>
    <definedName name="HTML102_3" hidden="1">"部署番号表"</definedName>
    <definedName name="HTML102_4" hidden="1">"部署番号表『化工品』"</definedName>
    <definedName name="HTML102_5" hidden="1">""</definedName>
    <definedName name="HTML102_6" hidden="1">-4146</definedName>
    <definedName name="HTML102_7" hidden="1">-4146</definedName>
    <definedName name="HTML102_8" hidden="1">"2000/11/17"</definedName>
    <definedName name="HTML102_9" hidden="1">"株式会社ブリヂストン"</definedName>
    <definedName name="HTML103_1" hidden="1">"[BU001201.xls]部署一覧!$A$6:$G$187"</definedName>
    <definedName name="HTML103_10" hidden="1">""</definedName>
    <definedName name="HTML103_11" hidden="1">1</definedName>
    <definedName name="HTML103_12" hidden="1">"E:\1201_1.htm"</definedName>
    <definedName name="HTML103_2" hidden="1">1</definedName>
    <definedName name="HTML103_3" hidden="1">"部署番号表"</definedName>
    <definedName name="HTML103_4" hidden="1">"部署番号表『本社』"</definedName>
    <definedName name="HTML103_5" hidden="1">""</definedName>
    <definedName name="HTML103_6" hidden="1">-4146</definedName>
    <definedName name="HTML103_7" hidden="1">-4146</definedName>
    <definedName name="HTML103_8" hidden="1">"2000/12/05"</definedName>
    <definedName name="HTML103_9" hidden="1">"株式会社ブリヂストン"</definedName>
    <definedName name="HTML104_1" hidden="1">"[BU001201.xls]部署一覧!$A$198:$G$370"</definedName>
    <definedName name="HTML104_10" hidden="1">""</definedName>
    <definedName name="HTML104_11" hidden="1">1</definedName>
    <definedName name="HTML104_12" hidden="1">"E:\1201_2.htm"</definedName>
    <definedName name="HTML104_2" hidden="1">1</definedName>
    <definedName name="HTML104_3" hidden="1">"部署番号表"</definedName>
    <definedName name="HTML104_4" hidden="1">"部署番号表『本社』"</definedName>
    <definedName name="HTML104_5" hidden="1">""</definedName>
    <definedName name="HTML104_6" hidden="1">-4146</definedName>
    <definedName name="HTML104_7" hidden="1">-4146</definedName>
    <definedName name="HTML104_8" hidden="1">"2000/12/05"</definedName>
    <definedName name="HTML104_9" hidden="1">"株式会社ブリヂストン"</definedName>
    <definedName name="HTML105_1" hidden="1">"[BU001201.xls]部署一覧!$A$393:$G$640"</definedName>
    <definedName name="HTML105_10" hidden="1">""</definedName>
    <definedName name="HTML105_11" hidden="1">1</definedName>
    <definedName name="HTML105_12" hidden="1">"E:\1201_3.htm"</definedName>
    <definedName name="HTML105_2" hidden="1">1</definedName>
    <definedName name="HTML105_3" hidden="1">"部署番号表"</definedName>
    <definedName name="HTML105_4" hidden="1">"部署番号表『小平』"</definedName>
    <definedName name="HTML105_5" hidden="1">""</definedName>
    <definedName name="HTML105_6" hidden="1">-4146</definedName>
    <definedName name="HTML105_7" hidden="1">-4146</definedName>
    <definedName name="HTML105_8" hidden="1">"2000/12/05"</definedName>
    <definedName name="HTML105_9" hidden="1">"株式会社ブリヂストン"</definedName>
    <definedName name="HTML106_1" hidden="1">"[BU001201.xls]部署一覧!$A$653:$G$853"</definedName>
    <definedName name="HTML106_10" hidden="1">""</definedName>
    <definedName name="HTML106_11" hidden="1">1</definedName>
    <definedName name="HTML106_12" hidden="1">"E:\1201_4.htm"</definedName>
    <definedName name="HTML106_2" hidden="1">1</definedName>
    <definedName name="HTML106_3" hidden="1">"部署番号表"</definedName>
    <definedName name="HTML106_4" hidden="1">"部署番号表『小平』"</definedName>
    <definedName name="HTML106_5" hidden="1">""</definedName>
    <definedName name="HTML106_6" hidden="1">-4146</definedName>
    <definedName name="HTML106_7" hidden="1">-4146</definedName>
    <definedName name="HTML106_8" hidden="1">"2000/12/05"</definedName>
    <definedName name="HTML106_9" hidden="1">"株式会社ブリヂストン"</definedName>
    <definedName name="HTML107_1" hidden="1">"[BU001201.xls]部署一覧!$A$856:$G$929"</definedName>
    <definedName name="HTML107_10" hidden="1">""</definedName>
    <definedName name="HTML107_11" hidden="1">1</definedName>
    <definedName name="HTML107_12" hidden="1">"E:\1201_5.htm"</definedName>
    <definedName name="HTML107_2" hidden="1">1</definedName>
    <definedName name="HTML107_3" hidden="1">"部署番号表"</definedName>
    <definedName name="HTML107_4" hidden="1">"部署番号表『工場』"</definedName>
    <definedName name="HTML107_5" hidden="1">""</definedName>
    <definedName name="HTML107_6" hidden="1">-4146</definedName>
    <definedName name="HTML107_7" hidden="1">-4146</definedName>
    <definedName name="HTML107_8" hidden="1">"2000/12/05"</definedName>
    <definedName name="HTML107_9" hidden="1">"株式会社ブリヂストン"</definedName>
    <definedName name="HTML108_1" hidden="1">"[BU001201.xls]部署一覧!$A$933:$G$1055"</definedName>
    <definedName name="HTML108_10" hidden="1">""</definedName>
    <definedName name="HTML108_11" hidden="1">1</definedName>
    <definedName name="HTML108_12" hidden="1">"E:\1201_6.htm"</definedName>
    <definedName name="HTML108_2" hidden="1">1</definedName>
    <definedName name="HTML108_3" hidden="1">"部署番号表"</definedName>
    <definedName name="HTML108_4" hidden="1">"部署番号表『工場』"</definedName>
    <definedName name="HTML108_5" hidden="1">""</definedName>
    <definedName name="HTML108_6" hidden="1">-4146</definedName>
    <definedName name="HTML108_7" hidden="1">-4146</definedName>
    <definedName name="HTML108_8" hidden="1">"2000/12/05"</definedName>
    <definedName name="HTML108_9" hidden="1">"株式会社ブリヂストン"</definedName>
    <definedName name="HTML109_1" hidden="1">"[BU001201.xls]部署一覧!$A$1058:$G$1120"</definedName>
    <definedName name="HTML109_10" hidden="1">""</definedName>
    <definedName name="HTML109_11" hidden="1">1</definedName>
    <definedName name="HTML109_12" hidden="1">"E:\1201_7.htm"</definedName>
    <definedName name="HTML109_2" hidden="1">1</definedName>
    <definedName name="HTML109_3" hidden="1">"部署番号表"</definedName>
    <definedName name="HTML109_4" hidden="1">"部署番号表『工場』"</definedName>
    <definedName name="HTML109_5" hidden="1">""</definedName>
    <definedName name="HTML109_6" hidden="1">-4146</definedName>
    <definedName name="HTML109_7" hidden="1">-4146</definedName>
    <definedName name="HTML109_8" hidden="1">"2000/12/05"</definedName>
    <definedName name="HTML109_9" hidden="1">"株式会社ブリヂストン"</definedName>
    <definedName name="HTML11_1" hidden="1">"[BU000201.xls]部署一覧!$A$1368:$G$1452"</definedName>
    <definedName name="HTML11_10" hidden="1">""</definedName>
    <definedName name="HTML11_11" hidden="1">1</definedName>
    <definedName name="HTML11_12" hidden="1">"E:\0201_9.htm"</definedName>
    <definedName name="HTML11_2" hidden="1">1</definedName>
    <definedName name="HTML11_3" hidden="1">"部署番号表"</definedName>
    <definedName name="HTML11_4" hidden="1">"部署番号表『化工品』"</definedName>
    <definedName name="HTML11_5" hidden="1">""</definedName>
    <definedName name="HTML11_6" hidden="1">-4146</definedName>
    <definedName name="HTML11_7" hidden="1">-4146</definedName>
    <definedName name="HTML11_8" hidden="1">"2000/02/03"</definedName>
    <definedName name="HTML11_9" hidden="1">"株式会社ブリヂストン"</definedName>
    <definedName name="HTML110_1" hidden="1">"[BU001201.xls]部署一覧!$A$1123:$G$1327"</definedName>
    <definedName name="HTML110_10" hidden="1">""</definedName>
    <definedName name="HTML110_11" hidden="1">1</definedName>
    <definedName name="HTML110_12" hidden="1">"E:\1201_8.htm"</definedName>
    <definedName name="HTML110_2" hidden="1">1</definedName>
    <definedName name="HTML110_3" hidden="1">"部署番号表"</definedName>
    <definedName name="HTML110_4" hidden="1">"部署番号表『化工品』"</definedName>
    <definedName name="HTML110_5" hidden="1">""</definedName>
    <definedName name="HTML110_6" hidden="1">-4146</definedName>
    <definedName name="HTML110_7" hidden="1">-4146</definedName>
    <definedName name="HTML110_8" hidden="1">"2000/12/05"</definedName>
    <definedName name="HTML110_9" hidden="1">"株式会社ブリヂストン"</definedName>
    <definedName name="HTML111_1" hidden="1">"[BU001201.xls]部署一覧!$A$1331:$G$1394"</definedName>
    <definedName name="HTML111_10" hidden="1">""</definedName>
    <definedName name="HTML111_11" hidden="1">1</definedName>
    <definedName name="HTML111_12" hidden="1">"E:\1201_9.htm"</definedName>
    <definedName name="HTML111_2" hidden="1">1</definedName>
    <definedName name="HTML111_3" hidden="1">"部署番号表"</definedName>
    <definedName name="HTML111_4" hidden="1">"部署番号表『化工品』"</definedName>
    <definedName name="HTML111_5" hidden="1">""</definedName>
    <definedName name="HTML111_6" hidden="1">-4146</definedName>
    <definedName name="HTML111_7" hidden="1">-4146</definedName>
    <definedName name="HTML111_8" hidden="1">"2000/12/05"</definedName>
    <definedName name="HTML111_9" hidden="1">"株式会社ブリヂストン"</definedName>
    <definedName name="HTML112_1" hidden="1">"[BU20010101.xls]部署一覧!$A$6:$G$191"</definedName>
    <definedName name="HTML112_10" hidden="1">""</definedName>
    <definedName name="HTML112_11" hidden="1">1</definedName>
    <definedName name="HTML112_12" hidden="1">"E:\0101_1.htm"</definedName>
    <definedName name="HTML112_2" hidden="1">1</definedName>
    <definedName name="HTML112_3" hidden="1">"部署番号表"</definedName>
    <definedName name="HTML112_4" hidden="1">"部署番号表『本社』"</definedName>
    <definedName name="HTML112_5" hidden="1">""</definedName>
    <definedName name="HTML112_6" hidden="1">-4146</definedName>
    <definedName name="HTML112_7" hidden="1">-4146</definedName>
    <definedName name="HTML112_8" hidden="1">"2001/01/12"</definedName>
    <definedName name="HTML112_9" hidden="1">"株式会社ブリヂストン"</definedName>
    <definedName name="HTML113_1" hidden="1">"[BU20010101.xls]部署一覧!$A$198:$G$371"</definedName>
    <definedName name="HTML113_10" hidden="1">""</definedName>
    <definedName name="HTML113_11" hidden="1">1</definedName>
    <definedName name="HTML113_12" hidden="1">"E:\0101_2.htm"</definedName>
    <definedName name="HTML113_2" hidden="1">1</definedName>
    <definedName name="HTML113_3" hidden="1">"部署番号表"</definedName>
    <definedName name="HTML113_4" hidden="1">"部署番号表『本社』"</definedName>
    <definedName name="HTML113_5" hidden="1">""</definedName>
    <definedName name="HTML113_6" hidden="1">-4146</definedName>
    <definedName name="HTML113_7" hidden="1">-4146</definedName>
    <definedName name="HTML113_8" hidden="1">"2001/01/12"</definedName>
    <definedName name="HTML113_9" hidden="1">"株式会社ブリヂストン"</definedName>
    <definedName name="HTML114_1" hidden="1">"[BU20010101.xls]部署一覧!$A$393:$G$642"</definedName>
    <definedName name="HTML114_10" hidden="1">""</definedName>
    <definedName name="HTML114_11" hidden="1">1</definedName>
    <definedName name="HTML114_12" hidden="1">"E:\0101_3.htm"</definedName>
    <definedName name="HTML114_2" hidden="1">1</definedName>
    <definedName name="HTML114_3" hidden="1">"部署番号表"</definedName>
    <definedName name="HTML114_4" hidden="1">"部署番号表『小平』"</definedName>
    <definedName name="HTML114_5" hidden="1">""</definedName>
    <definedName name="HTML114_6" hidden="1">-4146</definedName>
    <definedName name="HTML114_7" hidden="1">-4146</definedName>
    <definedName name="HTML114_8" hidden="1">"2001/01/12"</definedName>
    <definedName name="HTML114_9" hidden="1">"株式会社ブリヂストン"</definedName>
    <definedName name="HTML115_1" hidden="1">"[BU20010101.xls]部署一覧!$A$653:$G$854"</definedName>
    <definedName name="HTML115_10" hidden="1">""</definedName>
    <definedName name="HTML115_11" hidden="1">1</definedName>
    <definedName name="HTML115_12" hidden="1">"E:\0101_4.htm"</definedName>
    <definedName name="HTML115_2" hidden="1">1</definedName>
    <definedName name="HTML115_3" hidden="1">"部署番号表"</definedName>
    <definedName name="HTML115_4" hidden="1">"部署番号表『小平』"</definedName>
    <definedName name="HTML115_5" hidden="1">""</definedName>
    <definedName name="HTML115_6" hidden="1">-4146</definedName>
    <definedName name="HTML115_7" hidden="1">-4146</definedName>
    <definedName name="HTML115_8" hidden="1">"2001/01/12"</definedName>
    <definedName name="HTML115_9" hidden="1">"株式会社ブリヂストン"</definedName>
    <definedName name="HTML116_1" hidden="1">"[BU20010101.xls]部署一覧!$A$857:$G$929"</definedName>
    <definedName name="HTML116_10" hidden="1">""</definedName>
    <definedName name="HTML116_11" hidden="1">1</definedName>
    <definedName name="HTML116_12" hidden="1">"E:\0101_5.htm"</definedName>
    <definedName name="HTML116_2" hidden="1">1</definedName>
    <definedName name="HTML116_3" hidden="1">"部署番号表"</definedName>
    <definedName name="HTML116_4" hidden="1">"部署番号表『工場』"</definedName>
    <definedName name="HTML116_5" hidden="1">""</definedName>
    <definedName name="HTML116_6" hidden="1">-4146</definedName>
    <definedName name="HTML116_7" hidden="1">-4146</definedName>
    <definedName name="HTML116_8" hidden="1">"2001/01/12"</definedName>
    <definedName name="HTML116_9" hidden="1">"株式会社ブリヂストン"</definedName>
    <definedName name="HTML117_1" hidden="1">"[BU20010101.xls]部署一覧!$A$933:$G$1056"</definedName>
    <definedName name="HTML117_10" hidden="1">""</definedName>
    <definedName name="HTML117_11" hidden="1">1</definedName>
    <definedName name="HTML117_12" hidden="1">"E:\0101_6.htm"</definedName>
    <definedName name="HTML117_2" hidden="1">1</definedName>
    <definedName name="HTML117_3" hidden="1">"部署番号表"</definedName>
    <definedName name="HTML117_4" hidden="1">"部署番号表『工場』"</definedName>
    <definedName name="HTML117_5" hidden="1">""</definedName>
    <definedName name="HTML117_6" hidden="1">-4146</definedName>
    <definedName name="HTML117_7" hidden="1">-4146</definedName>
    <definedName name="HTML117_8" hidden="1">"2001/01/12"</definedName>
    <definedName name="HTML117_9" hidden="1">"株式会社ブリヂストン"</definedName>
    <definedName name="HTML118_1" hidden="1">"[BU20010101.xls]部署一覧!$A$1059:$G$1119"</definedName>
    <definedName name="HTML118_10" hidden="1">""</definedName>
    <definedName name="HTML118_11" hidden="1">1</definedName>
    <definedName name="HTML118_12" hidden="1">"E:\0101_7.htm"</definedName>
    <definedName name="HTML118_2" hidden="1">1</definedName>
    <definedName name="HTML118_3" hidden="1">"部署番号表"</definedName>
    <definedName name="HTML118_4" hidden="1">"部署番号表『工場』"</definedName>
    <definedName name="HTML118_5" hidden="1">""</definedName>
    <definedName name="HTML118_6" hidden="1">-4146</definedName>
    <definedName name="HTML118_7" hidden="1">-4146</definedName>
    <definedName name="HTML118_8" hidden="1">"2001/01/12"</definedName>
    <definedName name="HTML118_9" hidden="1">"株式会社ブリヂストン"</definedName>
    <definedName name="HTML119_1" hidden="1">"[BU20010101.xls]部署一覧!$A$1122:$G$1326"</definedName>
    <definedName name="HTML119_10" hidden="1">""</definedName>
    <definedName name="HTML119_11" hidden="1">1</definedName>
    <definedName name="HTML119_12" hidden="1">"E:\0101_8.htm"</definedName>
    <definedName name="HTML119_2" hidden="1">1</definedName>
    <definedName name="HTML119_3" hidden="1">"部署番号表"</definedName>
    <definedName name="HTML119_4" hidden="1">"部署番号表『化工品』"</definedName>
    <definedName name="HTML119_5" hidden="1">""</definedName>
    <definedName name="HTML119_6" hidden="1">-4146</definedName>
    <definedName name="HTML119_7" hidden="1">-4146</definedName>
    <definedName name="HTML119_8" hidden="1">"2001/01/12"</definedName>
    <definedName name="HTML119_9" hidden="1">"株式会社ブリヂストン"</definedName>
    <definedName name="HTML12_1" hidden="1">"[BU000301.xls]部署一覧!$A$6:$G$209"</definedName>
    <definedName name="HTML12_10" hidden="1">""</definedName>
    <definedName name="HTML12_11" hidden="1">1</definedName>
    <definedName name="HTML12_12" hidden="1">"E:\0301_1.htm"</definedName>
    <definedName name="HTML12_2" hidden="1">1</definedName>
    <definedName name="HTML12_3" hidden="1">"部署番号表"</definedName>
    <definedName name="HTML12_4" hidden="1">"部署番号表『本社』"</definedName>
    <definedName name="HTML12_5" hidden="1">""</definedName>
    <definedName name="HTML12_6" hidden="1">-4146</definedName>
    <definedName name="HTML12_7" hidden="1">-4146</definedName>
    <definedName name="HTML12_8" hidden="1">"2000/03/03"</definedName>
    <definedName name="HTML12_9" hidden="1">"株式会社ブリヂストン"</definedName>
    <definedName name="HTML120_1" hidden="1">"[BU20010101.xls]部署一覧!$A$1328:$G$1395"</definedName>
    <definedName name="HTML120_10" hidden="1">""</definedName>
    <definedName name="HTML120_11" hidden="1">1</definedName>
    <definedName name="HTML120_12" hidden="1">"E:\0101_9.htm"</definedName>
    <definedName name="HTML120_2" hidden="1">1</definedName>
    <definedName name="HTML120_3" hidden="1">"部署番号表"</definedName>
    <definedName name="HTML120_4" hidden="1">"部署番号表『化工品』"</definedName>
    <definedName name="HTML120_5" hidden="1">""</definedName>
    <definedName name="HTML120_6" hidden="1">-4146</definedName>
    <definedName name="HTML120_7" hidden="1">-4146</definedName>
    <definedName name="HTML120_8" hidden="1">"2001/01/12"</definedName>
    <definedName name="HTML120_9" hidden="1">"株式会社ブリヂストン"</definedName>
    <definedName name="HTML121_1" hidden="1">"[BU20010201.xls]部署一覧!$A$361:$G$616"</definedName>
    <definedName name="HTML121_10" hidden="1">""</definedName>
    <definedName name="HTML121_11" hidden="1">1</definedName>
    <definedName name="HTML121_12" hidden="1">"E:\0201_3.htm"</definedName>
    <definedName name="HTML121_2" hidden="1">1</definedName>
    <definedName name="HTML121_3" hidden="1">"部署番号表"</definedName>
    <definedName name="HTML121_4" hidden="1">"部署番号表『小平』"</definedName>
    <definedName name="HTML121_5" hidden="1">""</definedName>
    <definedName name="HTML121_6" hidden="1">-4146</definedName>
    <definedName name="HTML121_7" hidden="1">-4146</definedName>
    <definedName name="HTML121_8" hidden="1">"2001/02/06"</definedName>
    <definedName name="HTML121_9" hidden="1">"株式会社ブリヂストン"</definedName>
    <definedName name="HTML122_1" hidden="1">"[BU20010301.xls]部署一覧!$A$6:$G$193"</definedName>
    <definedName name="HTML122_10" hidden="1">""</definedName>
    <definedName name="HTML122_11" hidden="1">1</definedName>
    <definedName name="HTML122_12" hidden="1">"E:\0301_1.htm"</definedName>
    <definedName name="HTML122_2" hidden="1">1</definedName>
    <definedName name="HTML122_3" hidden="1">"部署番号表"</definedName>
    <definedName name="HTML122_4" hidden="1">"部署番号表『本社』"</definedName>
    <definedName name="HTML122_5" hidden="1">""</definedName>
    <definedName name="HTML122_6" hidden="1">-4146</definedName>
    <definedName name="HTML122_7" hidden="1">-4146</definedName>
    <definedName name="HTML122_8" hidden="1">"2001/03/06"</definedName>
    <definedName name="HTML122_9" hidden="1">"株式会社ブリヂストン"</definedName>
    <definedName name="HTML123_1" hidden="1">"[BU20010301.xls]部署一覧!$A$198:$G$359"</definedName>
    <definedName name="HTML123_10" hidden="1">""</definedName>
    <definedName name="HTML123_11" hidden="1">1</definedName>
    <definedName name="HTML123_12" hidden="1">"E:\0301_2.htm"</definedName>
    <definedName name="HTML123_2" hidden="1">1</definedName>
    <definedName name="HTML123_3" hidden="1">"部署番号表"</definedName>
    <definedName name="HTML123_4" hidden="1">"部署番号表『本社』"</definedName>
    <definedName name="HTML123_5" hidden="1">""</definedName>
    <definedName name="HTML123_6" hidden="1">-4146</definedName>
    <definedName name="HTML123_7" hidden="1">-4146</definedName>
    <definedName name="HTML123_8" hidden="1">"2001/03/06"</definedName>
    <definedName name="HTML123_9" hidden="1">"株式会社ブリヂストン"</definedName>
    <definedName name="HTML124_1" hidden="1">"[BU20010301.xls]部署一覧!$A$362:$G$630"</definedName>
    <definedName name="HTML124_10" hidden="1">""</definedName>
    <definedName name="HTML124_11" hidden="1">1</definedName>
    <definedName name="HTML124_12" hidden="1">"E:\0301_3.htm"</definedName>
    <definedName name="HTML124_2" hidden="1">1</definedName>
    <definedName name="HTML124_3" hidden="1">"部署番号表"</definedName>
    <definedName name="HTML124_4" hidden="1">"部署番号表『小平』"</definedName>
    <definedName name="HTML124_5" hidden="1">""</definedName>
    <definedName name="HTML124_6" hidden="1">-4146</definedName>
    <definedName name="HTML124_7" hidden="1">-4146</definedName>
    <definedName name="HTML124_8" hidden="1">"2001/03/06"</definedName>
    <definedName name="HTML124_9" hidden="1">"株式会社ブリヂストン"</definedName>
    <definedName name="HTML125_1" hidden="1">"[BU20010301.xls]部署一覧!$A$633:$G$821"</definedName>
    <definedName name="HTML125_10" hidden="1">""</definedName>
    <definedName name="HTML125_11" hidden="1">1</definedName>
    <definedName name="HTML125_12" hidden="1">"E:\0301_4.htm"</definedName>
    <definedName name="HTML125_2" hidden="1">1</definedName>
    <definedName name="HTML125_3" hidden="1">"部署番号表"</definedName>
    <definedName name="HTML125_4" hidden="1">"部署番号表『小平』"</definedName>
    <definedName name="HTML125_5" hidden="1">""</definedName>
    <definedName name="HTML125_6" hidden="1">-4146</definedName>
    <definedName name="HTML125_7" hidden="1">-4146</definedName>
    <definedName name="HTML125_8" hidden="1">"2001/03/06"</definedName>
    <definedName name="HTML125_9" hidden="1">"株式会社ブリヂストン"</definedName>
    <definedName name="HTML126_1" hidden="1">"[BU20010301.xls]部署一覧!$A$824:$G$899"</definedName>
    <definedName name="HTML126_10" hidden="1">""</definedName>
    <definedName name="HTML126_11" hidden="1">1</definedName>
    <definedName name="HTML126_12" hidden="1">"E:\0301_5.htm"</definedName>
    <definedName name="HTML126_2" hidden="1">1</definedName>
    <definedName name="HTML126_3" hidden="1">"部署番号表"</definedName>
    <definedName name="HTML126_4" hidden="1">"部署番号表『工場』"</definedName>
    <definedName name="HTML126_5" hidden="1">""</definedName>
    <definedName name="HTML126_6" hidden="1">-4146</definedName>
    <definedName name="HTML126_7" hidden="1">-4146</definedName>
    <definedName name="HTML126_8" hidden="1">"2001/03/06"</definedName>
    <definedName name="HTML126_9" hidden="1">"株式会社ブリヂストン"</definedName>
    <definedName name="HTML127_1" hidden="1">"[BU20010301.xls]部署一覧!$A$913:$G$1014"</definedName>
    <definedName name="HTML127_10" hidden="1">""</definedName>
    <definedName name="HTML127_11" hidden="1">1</definedName>
    <definedName name="HTML127_12" hidden="1">"E:\0301_6.htm"</definedName>
    <definedName name="HTML127_2" hidden="1">1</definedName>
    <definedName name="HTML127_3" hidden="1">"部署番号表"</definedName>
    <definedName name="HTML127_4" hidden="1">"部署番号表『工場』"</definedName>
    <definedName name="HTML127_5" hidden="1">""</definedName>
    <definedName name="HTML127_6" hidden="1">-4146</definedName>
    <definedName name="HTML127_7" hidden="1">-4146</definedName>
    <definedName name="HTML127_8" hidden="1">"2001/03/06"</definedName>
    <definedName name="HTML127_9" hidden="1">"株式会社ブリヂストン"</definedName>
    <definedName name="HTML128_1" hidden="1">"[BU20010301.xls]部署一覧!$A$1017:$G$1068"</definedName>
    <definedName name="HTML128_10" hidden="1">""</definedName>
    <definedName name="HTML128_11" hidden="1">1</definedName>
    <definedName name="HTML128_12" hidden="1">"E:\0301_7.htm"</definedName>
    <definedName name="HTML128_2" hidden="1">1</definedName>
    <definedName name="HTML128_3" hidden="1">"部署番号表"</definedName>
    <definedName name="HTML128_4" hidden="1">"部署番号表『工場』"</definedName>
    <definedName name="HTML128_5" hidden="1">""</definedName>
    <definedName name="HTML128_6" hidden="1">-4146</definedName>
    <definedName name="HTML128_7" hidden="1">-4146</definedName>
    <definedName name="HTML128_8" hidden="1">"2001/03/06"</definedName>
    <definedName name="HTML128_9" hidden="1">"株式会社ブリヂストン"</definedName>
    <definedName name="HTML129_1" hidden="1">"[BU20010301.xls]部署一覧!$A$1071:$G$1274"</definedName>
    <definedName name="HTML129_10" hidden="1">""</definedName>
    <definedName name="HTML129_11" hidden="1">1</definedName>
    <definedName name="HTML129_12" hidden="1">"E:\0301_8.htm"</definedName>
    <definedName name="HTML129_2" hidden="1">1</definedName>
    <definedName name="HTML129_3" hidden="1">"部署番号表"</definedName>
    <definedName name="HTML129_4" hidden="1">"部署番号表『化工品』"</definedName>
    <definedName name="HTML129_5" hidden="1">""</definedName>
    <definedName name="HTML129_6" hidden="1">-4146</definedName>
    <definedName name="HTML129_7" hidden="1">-4146</definedName>
    <definedName name="HTML129_8" hidden="1">"2001/03/06"</definedName>
    <definedName name="HTML129_9" hidden="1">"株式会社ブリヂストン"</definedName>
    <definedName name="HTML13_1" hidden="1">"[BU000301.xls]部署一覧!$A$211:$G$383"</definedName>
    <definedName name="HTML13_10" hidden="1">""</definedName>
    <definedName name="HTML13_11" hidden="1">1</definedName>
    <definedName name="HTML13_12" hidden="1">"E:\0301_2.htm"</definedName>
    <definedName name="HTML13_2" hidden="1">1</definedName>
    <definedName name="HTML13_3" hidden="1">"部署番号表"</definedName>
    <definedName name="HTML13_4" hidden="1">"部署番号表『本社』"</definedName>
    <definedName name="HTML13_5" hidden="1">""</definedName>
    <definedName name="HTML13_6" hidden="1">-4146</definedName>
    <definedName name="HTML13_7" hidden="1">-4146</definedName>
    <definedName name="HTML13_8" hidden="1">"2000/03/03"</definedName>
    <definedName name="HTML13_9" hidden="1">"株式会社ブリヂストン"</definedName>
    <definedName name="HTML130_1" hidden="1">"[BU20010301.xls]部署一覧!$A$1277:$G$1344"</definedName>
    <definedName name="HTML130_10" hidden="1">""</definedName>
    <definedName name="HTML130_11" hidden="1">1</definedName>
    <definedName name="HTML130_12" hidden="1">"E:\0301_9.htm"</definedName>
    <definedName name="HTML130_2" hidden="1">1</definedName>
    <definedName name="HTML130_3" hidden="1">"部署番号表"</definedName>
    <definedName name="HTML130_4" hidden="1">"部署番号表『化工品』"</definedName>
    <definedName name="HTML130_5" hidden="1">""</definedName>
    <definedName name="HTML130_6" hidden="1">-4146</definedName>
    <definedName name="HTML130_7" hidden="1">-4146</definedName>
    <definedName name="HTML130_8" hidden="1">"2001/03/06"</definedName>
    <definedName name="HTML130_9" hidden="1">"株式会社ブリヂストン"</definedName>
    <definedName name="HTML131_1" hidden="1">"[BU20010401.xls]部署一覧!$A$6:$G$193"</definedName>
    <definedName name="HTML131_10" hidden="1">""</definedName>
    <definedName name="HTML131_11" hidden="1">1</definedName>
    <definedName name="HTML131_12" hidden="1">"E:\0401_1.htm"</definedName>
    <definedName name="HTML131_2" hidden="1">1</definedName>
    <definedName name="HTML131_3" hidden="1">"部署番号表"</definedName>
    <definedName name="HTML131_4" hidden="1">"部署番号表『本社』"</definedName>
    <definedName name="HTML131_5" hidden="1">""</definedName>
    <definedName name="HTML131_6" hidden="1">-4146</definedName>
    <definedName name="HTML131_7" hidden="1">-4146</definedName>
    <definedName name="HTML131_8" hidden="1">"2001/04/09"</definedName>
    <definedName name="HTML131_9" hidden="1">"株式会社ブリヂストン"</definedName>
    <definedName name="HTML132_1" hidden="1">"[BU20010401.xls]部署一覧!$A$198:$G$373"</definedName>
    <definedName name="HTML132_10" hidden="1">""</definedName>
    <definedName name="HTML132_11" hidden="1">1</definedName>
    <definedName name="HTML132_12" hidden="1">"E:\0401_2.htm"</definedName>
    <definedName name="HTML132_2" hidden="1">1</definedName>
    <definedName name="HTML132_3" hidden="1">"部署番号表"</definedName>
    <definedName name="HTML132_4" hidden="1">"部署番号表『本社』"</definedName>
    <definedName name="HTML132_5" hidden="1">""</definedName>
    <definedName name="HTML132_6" hidden="1">-4146</definedName>
    <definedName name="HTML132_7" hidden="1">-4146</definedName>
    <definedName name="HTML132_8" hidden="1">"2001/04/09"</definedName>
    <definedName name="HTML132_9" hidden="1">"株式会社ブリヂストン"</definedName>
    <definedName name="HTML133_1" hidden="1">"[BU20010401.xls]部署一覧!$A$376:$G$630"</definedName>
    <definedName name="HTML133_10" hidden="1">""</definedName>
    <definedName name="HTML133_11" hidden="1">1</definedName>
    <definedName name="HTML133_12" hidden="1">"E:\0401_3.htm"</definedName>
    <definedName name="HTML133_2" hidden="1">1</definedName>
    <definedName name="HTML133_3" hidden="1">"部署番号表"</definedName>
    <definedName name="HTML133_4" hidden="1">"部署番号表『小平』"</definedName>
    <definedName name="HTML133_5" hidden="1">""</definedName>
    <definedName name="HTML133_6" hidden="1">-4146</definedName>
    <definedName name="HTML133_7" hidden="1">-4146</definedName>
    <definedName name="HTML133_8" hidden="1">"2001/04/09"</definedName>
    <definedName name="HTML133_9" hidden="1">"株式会社ブリヂストン"</definedName>
    <definedName name="HTML134_1" hidden="1">"[BU20010401.xls]部署一覧!$A$633:$G$822"</definedName>
    <definedName name="HTML134_10" hidden="1">""</definedName>
    <definedName name="HTML134_11" hidden="1">1</definedName>
    <definedName name="HTML134_12" hidden="1">"E:\0401_4.htm"</definedName>
    <definedName name="HTML134_2" hidden="1">1</definedName>
    <definedName name="HTML134_3" hidden="1">"部署番号表"</definedName>
    <definedName name="HTML134_4" hidden="1">"部署番号表『小平』"</definedName>
    <definedName name="HTML134_5" hidden="1">""</definedName>
    <definedName name="HTML134_6" hidden="1">-4146</definedName>
    <definedName name="HTML134_7" hidden="1">-4146</definedName>
    <definedName name="HTML134_8" hidden="1">"2001/04/09"</definedName>
    <definedName name="HTML134_9" hidden="1">"株式会社ブリヂストン"</definedName>
    <definedName name="HTML135_1" hidden="1">"[BU20010401.xls]部署一覧!$A$825:$G$900"</definedName>
    <definedName name="HTML135_10" hidden="1">""</definedName>
    <definedName name="HTML135_11" hidden="1">1</definedName>
    <definedName name="HTML135_12" hidden="1">"E:\0401_5.htm"</definedName>
    <definedName name="HTML135_2" hidden="1">1</definedName>
    <definedName name="HTML135_3" hidden="1">"部署番号表"</definedName>
    <definedName name="HTML135_4" hidden="1">"部署番号表『工場』"</definedName>
    <definedName name="HTML135_5" hidden="1">""</definedName>
    <definedName name="HTML135_6" hidden="1">-4146</definedName>
    <definedName name="HTML135_7" hidden="1">-4146</definedName>
    <definedName name="HTML135_8" hidden="1">"2001/04/09"</definedName>
    <definedName name="HTML135_9" hidden="1">"株式会社ブリヂストン"</definedName>
    <definedName name="HTML136_1" hidden="1">"[BU20010401.xls]部署一覧!$A$913:$G$1014"</definedName>
    <definedName name="HTML136_10" hidden="1">""</definedName>
    <definedName name="HTML136_11" hidden="1">1</definedName>
    <definedName name="HTML136_12" hidden="1">"E:\0401_6.htm"</definedName>
    <definedName name="HTML136_2" hidden="1">1</definedName>
    <definedName name="HTML136_3" hidden="1">"部署番号表"</definedName>
    <definedName name="HTML136_4" hidden="1">"部署番号表『工場』"</definedName>
    <definedName name="HTML136_5" hidden="1">""</definedName>
    <definedName name="HTML136_6" hidden="1">-4146</definedName>
    <definedName name="HTML136_7" hidden="1">-4146</definedName>
    <definedName name="HTML136_8" hidden="1">"2001/04/09"</definedName>
    <definedName name="HTML136_9" hidden="1">"株式会社ブリヂストン"</definedName>
    <definedName name="HTML137_1" hidden="1">"[BU20010401.xls]部署一覧!$A$1017:$G$1068"</definedName>
    <definedName name="HTML137_10" hidden="1">""</definedName>
    <definedName name="HTML137_11" hidden="1">1</definedName>
    <definedName name="HTML137_12" hidden="1">"E:\0401_7.htm"</definedName>
    <definedName name="HTML137_2" hidden="1">1</definedName>
    <definedName name="HTML137_3" hidden="1">"部署番号表"</definedName>
    <definedName name="HTML137_4" hidden="1">"部署番号表『工場』"</definedName>
    <definedName name="HTML137_5" hidden="1">""</definedName>
    <definedName name="HTML137_6" hidden="1">-4146</definedName>
    <definedName name="HTML137_7" hidden="1">-4146</definedName>
    <definedName name="HTML137_8" hidden="1">"2001/04/09"</definedName>
    <definedName name="HTML137_9" hidden="1">"株式会社ブリヂストン"</definedName>
    <definedName name="HTML138_1" hidden="1">"[BU20010401.xls]部署一覧!$A$1071:$G$1274"</definedName>
    <definedName name="HTML138_10" hidden="1">""</definedName>
    <definedName name="HTML138_11" hidden="1">1</definedName>
    <definedName name="HTML138_12" hidden="1">"E:\0401_8.htm"</definedName>
    <definedName name="HTML138_2" hidden="1">1</definedName>
    <definedName name="HTML138_3" hidden="1">"部署番号表"</definedName>
    <definedName name="HTML138_4" hidden="1">"部署番号表『化工品』"</definedName>
    <definedName name="HTML138_5" hidden="1">""</definedName>
    <definedName name="HTML138_6" hidden="1">-4146</definedName>
    <definedName name="HTML138_7" hidden="1">-4146</definedName>
    <definedName name="HTML138_8" hidden="1">"2001/04/09"</definedName>
    <definedName name="HTML138_9" hidden="1">"株式会社ブリヂストン"</definedName>
    <definedName name="HTML139_1" hidden="1">"[BU20010401.xls]部署一覧!$A$1277:$G$1345"</definedName>
    <definedName name="HTML139_10" hidden="1">""</definedName>
    <definedName name="HTML139_11" hidden="1">1</definedName>
    <definedName name="HTML139_12" hidden="1">"E:\0401_9.htm"</definedName>
    <definedName name="HTML139_2" hidden="1">1</definedName>
    <definedName name="HTML139_3" hidden="1">"部署番号表"</definedName>
    <definedName name="HTML139_4" hidden="1">"部署番号表『化工品』"</definedName>
    <definedName name="HTML139_5" hidden="1">""</definedName>
    <definedName name="HTML139_6" hidden="1">-4146</definedName>
    <definedName name="HTML139_7" hidden="1">-4146</definedName>
    <definedName name="HTML139_8" hidden="1">"2001/04/09"</definedName>
    <definedName name="HTML139_9" hidden="1">"株式会社ブリヂストン"</definedName>
    <definedName name="HTML14_1" hidden="1">"[BU000301.xls]部署一覧!$A$393:$G$664"</definedName>
    <definedName name="HTML14_10" hidden="1">""</definedName>
    <definedName name="HTML14_11" hidden="1">1</definedName>
    <definedName name="HTML14_12" hidden="1">"E:\0301_3.htm"</definedName>
    <definedName name="HTML14_2" hidden="1">1</definedName>
    <definedName name="HTML14_3" hidden="1">"部署番号表"</definedName>
    <definedName name="HTML14_4" hidden="1">"部署番号表『小平』"</definedName>
    <definedName name="HTML14_5" hidden="1">""</definedName>
    <definedName name="HTML14_6" hidden="1">-4146</definedName>
    <definedName name="HTML14_7" hidden="1">-4146</definedName>
    <definedName name="HTML14_8" hidden="1">"2000/03/03"</definedName>
    <definedName name="HTML14_9" hidden="1">"株式会社ブリヂストン"</definedName>
    <definedName name="HTML140_1" hidden="1">"[BU20011001.xls]部署一覧!$A$6:$G$211"</definedName>
    <definedName name="HTML140_10" hidden="1">""</definedName>
    <definedName name="HTML140_11" hidden="1">1</definedName>
    <definedName name="HTML140_12" hidden="1">"E:\1001_1.htm"</definedName>
    <definedName name="HTML140_2" hidden="1">1</definedName>
    <definedName name="HTML140_3" hidden="1">"部署番号表"</definedName>
    <definedName name="HTML140_4" hidden="1">"部署番号表『本社』"</definedName>
    <definedName name="HTML140_5" hidden="1">""</definedName>
    <definedName name="HTML140_6" hidden="1">-4146</definedName>
    <definedName name="HTML140_7" hidden="1">-4146</definedName>
    <definedName name="HTML140_8" hidden="1">"2001/10/09"</definedName>
    <definedName name="HTML140_9" hidden="1">"株式会社ブリヂストン"</definedName>
    <definedName name="HTML141_1" hidden="1">"[BU20011001.xls]部署一覧!$A$214:$G$387"</definedName>
    <definedName name="HTML141_10" hidden="1">""</definedName>
    <definedName name="HTML141_11" hidden="1">1</definedName>
    <definedName name="HTML141_12" hidden="1">"E:\1001_2.htm"</definedName>
    <definedName name="HTML141_2" hidden="1">1</definedName>
    <definedName name="HTML141_3" hidden="1">"部署番号表"</definedName>
    <definedName name="HTML141_4" hidden="1">"部署番号表『本社』"</definedName>
    <definedName name="HTML141_5" hidden="1">""</definedName>
    <definedName name="HTML141_6" hidden="1">-4146</definedName>
    <definedName name="HTML141_7" hidden="1">-4146</definedName>
    <definedName name="HTML141_8" hidden="1">"2001/10/09"</definedName>
    <definedName name="HTML141_9" hidden="1">"株式会社ブリヂストン"</definedName>
    <definedName name="HTML142_1" hidden="1">"[BU20011001.xls]部署一覧!$A$393:$G$660"</definedName>
    <definedName name="HTML142_10" hidden="1">""</definedName>
    <definedName name="HTML142_11" hidden="1">1</definedName>
    <definedName name="HTML142_12" hidden="1">"E:\1001_3.htm"</definedName>
    <definedName name="HTML142_2" hidden="1">1</definedName>
    <definedName name="HTML142_3" hidden="1">"部署番号表"</definedName>
    <definedName name="HTML142_4" hidden="1">"部署番号表『小平』"</definedName>
    <definedName name="HTML142_5" hidden="1">""</definedName>
    <definedName name="HTML142_6" hidden="1">-4146</definedName>
    <definedName name="HTML142_7" hidden="1">-4146</definedName>
    <definedName name="HTML142_8" hidden="1">"2001/10/09"</definedName>
    <definedName name="HTML142_9" hidden="1">"株式会社ブリヂストン"</definedName>
    <definedName name="HTML143_1" hidden="1">"[BU20011001.xls]部署一覧!$A$663:$G$868"</definedName>
    <definedName name="HTML143_10" hidden="1">""</definedName>
    <definedName name="HTML143_11" hidden="1">1</definedName>
    <definedName name="HTML143_12" hidden="1">"E:\1001_4.htm"</definedName>
    <definedName name="HTML143_2" hidden="1">1</definedName>
    <definedName name="HTML143_3" hidden="1">"部署番号表"</definedName>
    <definedName name="HTML143_4" hidden="1">"部署番号表『小平』"</definedName>
    <definedName name="HTML143_5" hidden="1">""</definedName>
    <definedName name="HTML143_6" hidden="1">-4146</definedName>
    <definedName name="HTML143_7" hidden="1">-4146</definedName>
    <definedName name="HTML143_8" hidden="1">"2001/10/09"</definedName>
    <definedName name="HTML143_9" hidden="1">"株式会社ブリヂストン"</definedName>
    <definedName name="HTML144_1" hidden="1">"[BU20011001.xls]部署一覧!$A$871:$G$943"</definedName>
    <definedName name="HTML144_10" hidden="1">""</definedName>
    <definedName name="HTML144_11" hidden="1">1</definedName>
    <definedName name="HTML144_12" hidden="1">"E:\1001_5.htm"</definedName>
    <definedName name="HTML144_2" hidden="1">1</definedName>
    <definedName name="HTML144_3" hidden="1">"部署番号表"</definedName>
    <definedName name="HTML144_4" hidden="1">"部署番号表『工場』"</definedName>
    <definedName name="HTML144_5" hidden="1">""</definedName>
    <definedName name="HTML144_6" hidden="1">-4146</definedName>
    <definedName name="HTML144_7" hidden="1">-4146</definedName>
    <definedName name="HTML144_8" hidden="1">"2001/10/09"</definedName>
    <definedName name="HTML144_9" hidden="1">"株式会社ブリヂストン"</definedName>
    <definedName name="HTML145_1" hidden="1">"[BU20011001.xls]部署一覧!$A$946:$G$1053"</definedName>
    <definedName name="HTML145_10" hidden="1">""</definedName>
    <definedName name="HTML145_11" hidden="1">1</definedName>
    <definedName name="HTML145_12" hidden="1">"E:\1001_6.htm"</definedName>
    <definedName name="HTML145_2" hidden="1">1</definedName>
    <definedName name="HTML145_3" hidden="1">"部署番号表"</definedName>
    <definedName name="HTML145_4" hidden="1">"部署番号表『工場』"</definedName>
    <definedName name="HTML145_5" hidden="1">""</definedName>
    <definedName name="HTML145_6" hidden="1">-4146</definedName>
    <definedName name="HTML145_7" hidden="1">-4146</definedName>
    <definedName name="HTML145_8" hidden="1">"2001/10/09"</definedName>
    <definedName name="HTML145_9" hidden="1">"株式会社ブリヂストン"</definedName>
    <definedName name="HTML146_1" hidden="1">"[BU20011001.xls]部署一覧!$A$1056:$G$1106"</definedName>
    <definedName name="HTML146_10" hidden="1">""</definedName>
    <definedName name="HTML146_11" hidden="1">1</definedName>
    <definedName name="HTML146_12" hidden="1">"E:\1001_7.htm"</definedName>
    <definedName name="HTML146_2" hidden="1">1</definedName>
    <definedName name="HTML146_3" hidden="1">"部署番号表"</definedName>
    <definedName name="HTML146_4" hidden="1">"部署番号表『工場』"</definedName>
    <definedName name="HTML146_5" hidden="1">""</definedName>
    <definedName name="HTML146_6" hidden="1">-4146</definedName>
    <definedName name="HTML146_7" hidden="1">-4146</definedName>
    <definedName name="HTML146_8" hidden="1">"2001/10/09"</definedName>
    <definedName name="HTML146_9" hidden="1">"株式会社ブリヂストン"</definedName>
    <definedName name="HTML147_1" hidden="1">"[BU20011001.xls]部署一覧!$A$1108:$G$1311"</definedName>
    <definedName name="HTML147_10" hidden="1">""</definedName>
    <definedName name="HTML147_11" hidden="1">1</definedName>
    <definedName name="HTML147_12" hidden="1">"E:\1001_8.htm"</definedName>
    <definedName name="HTML147_2" hidden="1">1</definedName>
    <definedName name="HTML147_3" hidden="1">"部署番号表"</definedName>
    <definedName name="HTML147_4" hidden="1">"部署番号表『化工品』"</definedName>
    <definedName name="HTML147_5" hidden="1">""</definedName>
    <definedName name="HTML147_6" hidden="1">-4146</definedName>
    <definedName name="HTML147_7" hidden="1">-4146</definedName>
    <definedName name="HTML147_8" hidden="1">"2001/10/09"</definedName>
    <definedName name="HTML147_9" hidden="1">"株式会社ブリヂストン"</definedName>
    <definedName name="HTML148_1" hidden="1">"[BU20011001.xls]部署一覧!$A$1314:$G$1375"</definedName>
    <definedName name="HTML148_10" hidden="1">""</definedName>
    <definedName name="HTML148_11" hidden="1">1</definedName>
    <definedName name="HTML148_12" hidden="1">"E:\1001_9.htm"</definedName>
    <definedName name="HTML148_2" hidden="1">1</definedName>
    <definedName name="HTML148_3" hidden="1">"部署番号表"</definedName>
    <definedName name="HTML148_4" hidden="1">"部署番号表『化工品』"</definedName>
    <definedName name="HTML148_5" hidden="1">""</definedName>
    <definedName name="HTML148_6" hidden="1">-4146</definedName>
    <definedName name="HTML148_7" hidden="1">-4146</definedName>
    <definedName name="HTML148_8" hidden="1">"2001/10/09"</definedName>
    <definedName name="HTML148_9" hidden="1">"株式会社ブリヂストン"</definedName>
    <definedName name="HTML149_1" hidden="1">"[BU20011101.xls]部署一覧!$A$6:$G$211"</definedName>
    <definedName name="HTML149_10" hidden="1">""</definedName>
    <definedName name="HTML149_11" hidden="1">1</definedName>
    <definedName name="HTML149_12" hidden="1">"E:\1101_1.htm"</definedName>
    <definedName name="HTML149_2" hidden="1">1</definedName>
    <definedName name="HTML149_3" hidden="1">"部署番号表"</definedName>
    <definedName name="HTML149_4" hidden="1">"部署番号表『本社』"</definedName>
    <definedName name="HTML149_5" hidden="1">""</definedName>
    <definedName name="HTML149_6" hidden="1">-4146</definedName>
    <definedName name="HTML149_7" hidden="1">-4146</definedName>
    <definedName name="HTML149_8" hidden="1">"2001/11/01"</definedName>
    <definedName name="HTML149_9" hidden="1">"株式会社ブリヂストン"</definedName>
    <definedName name="HTML15_1" hidden="1">"[BU000301.xls]部署一覧!$A$667:$G$870"</definedName>
    <definedName name="HTML15_10" hidden="1">""</definedName>
    <definedName name="HTML15_11" hidden="1">1</definedName>
    <definedName name="HTML15_12" hidden="1">"E:\0301_4.htm"</definedName>
    <definedName name="HTML15_2" hidden="1">1</definedName>
    <definedName name="HTML15_3" hidden="1">"部署番号表"</definedName>
    <definedName name="HTML15_4" hidden="1">"部署番号表『小平』"</definedName>
    <definedName name="HTML15_5" hidden="1">""</definedName>
    <definedName name="HTML15_6" hidden="1">-4146</definedName>
    <definedName name="HTML15_7" hidden="1">-4146</definedName>
    <definedName name="HTML15_8" hidden="1">"2000/03/03"</definedName>
    <definedName name="HTML15_9" hidden="1">"株式会社ブリヂストン"</definedName>
    <definedName name="HTML16_1" hidden="1">"[BU000301.xls]部署一覧!$A$873:$G$973"</definedName>
    <definedName name="HTML16_10" hidden="1">""</definedName>
    <definedName name="HTML16_11" hidden="1">1</definedName>
    <definedName name="HTML16_12" hidden="1">"E:\0301_5.htm"</definedName>
    <definedName name="HTML16_2" hidden="1">1</definedName>
    <definedName name="HTML16_3" hidden="1">"部署番号表"</definedName>
    <definedName name="HTML16_4" hidden="1">"部署番号表『工場』"</definedName>
    <definedName name="HTML16_5" hidden="1">""</definedName>
    <definedName name="HTML16_6" hidden="1">-4146</definedName>
    <definedName name="HTML16_7" hidden="1">-4146</definedName>
    <definedName name="HTML16_8" hidden="1">"2000/03/03"</definedName>
    <definedName name="HTML16_9" hidden="1">"株式会社ブリヂストン"</definedName>
    <definedName name="HTML17_1" hidden="1">"[BU000301.xls]部署一覧!$A$979:$G$1160"</definedName>
    <definedName name="HTML17_10" hidden="1">""</definedName>
    <definedName name="HTML17_11" hidden="1">1</definedName>
    <definedName name="HTML17_12" hidden="1">"E:\0301_6.htm"</definedName>
    <definedName name="HTML17_2" hidden="1">1</definedName>
    <definedName name="HTML17_3" hidden="1">"部署番号表"</definedName>
    <definedName name="HTML17_4" hidden="1">"部署番号表『工場』"</definedName>
    <definedName name="HTML17_5" hidden="1">""</definedName>
    <definedName name="HTML17_6" hidden="1">-4146</definedName>
    <definedName name="HTML17_7" hidden="1">-4146</definedName>
    <definedName name="HTML17_8" hidden="1">"2000/03/03"</definedName>
    <definedName name="HTML17_9" hidden="1">"株式会社ブリヂストン"</definedName>
    <definedName name="HTML18_1" hidden="1">"[BU000301.xls]部署一覧!$A$979:$G$1101"</definedName>
    <definedName name="HTML18_10" hidden="1">""</definedName>
    <definedName name="HTML18_11" hidden="1">1</definedName>
    <definedName name="HTML18_12" hidden="1">"E:\0301_6.htm"</definedName>
    <definedName name="HTML18_2" hidden="1">1</definedName>
    <definedName name="HTML18_3" hidden="1">"部署番号表"</definedName>
    <definedName name="HTML18_4" hidden="1">"部署番号表『工場』"</definedName>
    <definedName name="HTML18_5" hidden="1">""</definedName>
    <definedName name="HTML18_6" hidden="1">-4146</definedName>
    <definedName name="HTML18_7" hidden="1">-4146</definedName>
    <definedName name="HTML18_8" hidden="1">"2000/03/03"</definedName>
    <definedName name="HTML18_9" hidden="1">"株式会社ブリヂストン"</definedName>
    <definedName name="HTML19_1" hidden="1">"[BU000301.xls]部署一覧!$A$1108:$G$1160"</definedName>
    <definedName name="HTML19_10" hidden="1">""</definedName>
    <definedName name="HTML19_11" hidden="1">1</definedName>
    <definedName name="HTML19_12" hidden="1">"E:\0301_7.htm"</definedName>
    <definedName name="HTML19_2" hidden="1">1</definedName>
    <definedName name="HTML19_3" hidden="1">"部署番号表"</definedName>
    <definedName name="HTML19_4" hidden="1">"部署番号表『工場』"</definedName>
    <definedName name="HTML19_5" hidden="1">""</definedName>
    <definedName name="HTML19_6" hidden="1">-4146</definedName>
    <definedName name="HTML19_7" hidden="1">-4146</definedName>
    <definedName name="HTML19_8" hidden="1">"2000/03/03"</definedName>
    <definedName name="HTML19_9" hidden="1">"株式会社ブリヂストン"</definedName>
    <definedName name="HTML2_1" hidden="1">"[BU990901.xls]部署一覧!$A$283:$G$500"</definedName>
    <definedName name="HTML2_10" hidden="1">""</definedName>
    <definedName name="HTML2_11" hidden="1">1</definedName>
    <definedName name="HTML2_12" hidden="1">"E:\0901_2.htm"</definedName>
    <definedName name="HTML2_2" hidden="1">1</definedName>
    <definedName name="HTML2_3" hidden="1">"部署番号表"</definedName>
    <definedName name="HTML2_4" hidden="1">"部署番号表『本社』"</definedName>
    <definedName name="HTML2_5" hidden="1">""</definedName>
    <definedName name="HTML2_6" hidden="1">-4146</definedName>
    <definedName name="HTML2_7" hidden="1">-4146</definedName>
    <definedName name="HTML2_8" hidden="1">"1999/08/30"</definedName>
    <definedName name="HTML2_9" hidden="1">"株式会社ブリヂストン"</definedName>
    <definedName name="HTML20_1" hidden="1">"[BU000301.xls]部署一覧!$A$1173:$G$1365"</definedName>
    <definedName name="HTML20_10" hidden="1">""</definedName>
    <definedName name="HTML20_11" hidden="1">1</definedName>
    <definedName name="HTML20_12" hidden="1">"E:\0301_8.htm"</definedName>
    <definedName name="HTML20_2" hidden="1">1</definedName>
    <definedName name="HTML20_3" hidden="1">"部署番号表"</definedName>
    <definedName name="HTML20_4" hidden="1">"部署番号表『化工品』"</definedName>
    <definedName name="HTML20_5" hidden="1">""</definedName>
    <definedName name="HTML20_6" hidden="1">-4146</definedName>
    <definedName name="HTML20_7" hidden="1">-4146</definedName>
    <definedName name="HTML20_8" hidden="1">"2000/03/03"</definedName>
    <definedName name="HTML20_9" hidden="1">"株式会社ブリヂストン"</definedName>
    <definedName name="HTML21_1" hidden="1">"[BU000301.xls]部署一覧!$A$1368:$G$1452"</definedName>
    <definedName name="HTML21_10" hidden="1">""</definedName>
    <definedName name="HTML21_11" hidden="1">1</definedName>
    <definedName name="HTML21_12" hidden="1">"E:\0301_9.htm"</definedName>
    <definedName name="HTML21_2" hidden="1">1</definedName>
    <definedName name="HTML21_3" hidden="1">"部署番号表"</definedName>
    <definedName name="HTML21_4" hidden="1">"部署番号表『化工品』"</definedName>
    <definedName name="HTML21_5" hidden="1">""</definedName>
    <definedName name="HTML21_6" hidden="1">-4146</definedName>
    <definedName name="HTML21_7" hidden="1">-4146</definedName>
    <definedName name="HTML21_8" hidden="1">"2000/03/03"</definedName>
    <definedName name="HTML21_9" hidden="1">"株式会社ブリヂストン"</definedName>
    <definedName name="HTML22_1" hidden="1">"[BU000316.xls]部署一覧!$A$6:$G$209"</definedName>
    <definedName name="HTML22_10" hidden="1">""</definedName>
    <definedName name="HTML22_11" hidden="1">1</definedName>
    <definedName name="HTML22_12" hidden="1">"E:\0316_1.htm"</definedName>
    <definedName name="HTML22_2" hidden="1">1</definedName>
    <definedName name="HTML22_3" hidden="1">"部署番号表"</definedName>
    <definedName name="HTML22_4" hidden="1">"部署番号表『本社』"</definedName>
    <definedName name="HTML22_5" hidden="1">""</definedName>
    <definedName name="HTML22_6" hidden="1">-4146</definedName>
    <definedName name="HTML22_7" hidden="1">-4146</definedName>
    <definedName name="HTML22_8" hidden="1">"2000/03/17"</definedName>
    <definedName name="HTML22_9" hidden="1">"株式会社ブリヂストン"</definedName>
    <definedName name="HTML23_1" hidden="1">"[BU000316.xls]部署一覧!$A$211:$G$383"</definedName>
    <definedName name="HTML23_10" hidden="1">""</definedName>
    <definedName name="HTML23_11" hidden="1">1</definedName>
    <definedName name="HTML23_12" hidden="1">"E:\0316_2.htm"</definedName>
    <definedName name="HTML23_2" hidden="1">1</definedName>
    <definedName name="HTML23_3" hidden="1">"部署番号表"</definedName>
    <definedName name="HTML23_4" hidden="1">"部署番号表『本社』"</definedName>
    <definedName name="HTML23_5" hidden="1">""</definedName>
    <definedName name="HTML23_6" hidden="1">-4146</definedName>
    <definedName name="HTML23_7" hidden="1">-4146</definedName>
    <definedName name="HTML23_8" hidden="1">"2000/03/17"</definedName>
    <definedName name="HTML23_9" hidden="1">"株式会社ブリヂストン"</definedName>
    <definedName name="HTML24_1" hidden="1">"[BU000316.xls]部署一覧!$A$393:$G$664"</definedName>
    <definedName name="HTML24_10" hidden="1">""</definedName>
    <definedName name="HTML24_11" hidden="1">1</definedName>
    <definedName name="HTML24_12" hidden="1">"E:\0316_3.htm"</definedName>
    <definedName name="HTML24_2" hidden="1">1</definedName>
    <definedName name="HTML24_3" hidden="1">"部署番号表"</definedName>
    <definedName name="HTML24_4" hidden="1">"部署番号表『小平』"</definedName>
    <definedName name="HTML24_5" hidden="1">""</definedName>
    <definedName name="HTML24_6" hidden="1">-4146</definedName>
    <definedName name="HTML24_7" hidden="1">-4146</definedName>
    <definedName name="HTML24_8" hidden="1">"2000/03/17"</definedName>
    <definedName name="HTML24_9" hidden="1">"株式会社ブリヂストン"</definedName>
    <definedName name="HTML25_1" hidden="1">"[BU000316.xls]部署一覧!$A$667:$G$869"</definedName>
    <definedName name="HTML25_10" hidden="1">""</definedName>
    <definedName name="HTML25_11" hidden="1">1</definedName>
    <definedName name="HTML25_12" hidden="1">"E:\0316_4.htm"</definedName>
    <definedName name="HTML25_2" hidden="1">1</definedName>
    <definedName name="HTML25_3" hidden="1">"部署番号表"</definedName>
    <definedName name="HTML25_4" hidden="1">"部署番号表『小平』"</definedName>
    <definedName name="HTML25_5" hidden="1">""</definedName>
    <definedName name="HTML25_6" hidden="1">-4146</definedName>
    <definedName name="HTML25_7" hidden="1">-4146</definedName>
    <definedName name="HTML25_8" hidden="1">"2000/03/23"</definedName>
    <definedName name="HTML25_9" hidden="1">"株式会社ブリヂストン"</definedName>
    <definedName name="HTML26_1" hidden="1">"[BU000316.xls]部署一覧!$A$872:$G$973"</definedName>
    <definedName name="HTML26_10" hidden="1">""</definedName>
    <definedName name="HTML26_11" hidden="1">1</definedName>
    <definedName name="HTML26_12" hidden="1">"E:\0316_5.htm"</definedName>
    <definedName name="HTML26_2" hidden="1">1</definedName>
    <definedName name="HTML26_3" hidden="1">"部署番号表"</definedName>
    <definedName name="HTML26_4" hidden="1">"部署番号表『工場』"</definedName>
    <definedName name="HTML26_5" hidden="1">""</definedName>
    <definedName name="HTML26_6" hidden="1">-4146</definedName>
    <definedName name="HTML26_7" hidden="1">-4146</definedName>
    <definedName name="HTML26_8" hidden="1">"2000/03/17"</definedName>
    <definedName name="HTML26_9" hidden="1">"株式会社ブリヂストン"</definedName>
    <definedName name="HTML27_1" hidden="1">"[BU000316.xls]部署一覧!$A$979:$G$1101"</definedName>
    <definedName name="HTML27_10" hidden="1">""</definedName>
    <definedName name="HTML27_11" hidden="1">1</definedName>
    <definedName name="HTML27_12" hidden="1">"E:\0316_6.htm"</definedName>
    <definedName name="HTML27_2" hidden="1">1</definedName>
    <definedName name="HTML27_3" hidden="1">"部署番号表"</definedName>
    <definedName name="HTML27_4" hidden="1">"部署番号表『工場』"</definedName>
    <definedName name="HTML27_5" hidden="1">""</definedName>
    <definedName name="HTML27_6" hidden="1">-4146</definedName>
    <definedName name="HTML27_7" hidden="1">-4146</definedName>
    <definedName name="HTML27_8" hidden="1">"2000/03/17"</definedName>
    <definedName name="HTML27_9" hidden="1">"株式会社ブリヂストン"</definedName>
    <definedName name="HTML28_1" hidden="1">"[BU000316.xls]部署一覧!$A$1108:$G$1160"</definedName>
    <definedName name="HTML28_10" hidden="1">""</definedName>
    <definedName name="HTML28_11" hidden="1">1</definedName>
    <definedName name="HTML28_12" hidden="1">"E:\0316_07.htm"</definedName>
    <definedName name="HTML28_2" hidden="1">1</definedName>
    <definedName name="HTML28_3" hidden="1">"部署番号表"</definedName>
    <definedName name="HTML28_4" hidden="1">"部署番号表『工場』"</definedName>
    <definedName name="HTML28_5" hidden="1">""</definedName>
    <definedName name="HTML28_6" hidden="1">-4146</definedName>
    <definedName name="HTML28_7" hidden="1">-4146</definedName>
    <definedName name="HTML28_8" hidden="1">"2000/03/17"</definedName>
    <definedName name="HTML28_9" hidden="1">"株式会社ブリヂストン"</definedName>
    <definedName name="HTML29_1" hidden="1">"[BU000316.xls]部署一覧!$A$1172:$G$1365"</definedName>
    <definedName name="HTML29_10" hidden="1">""</definedName>
    <definedName name="HTML29_11" hidden="1">1</definedName>
    <definedName name="HTML29_12" hidden="1">"E:\0316_8.htm"</definedName>
    <definedName name="HTML29_2" hidden="1">1</definedName>
    <definedName name="HTML29_3" hidden="1">"部署番号表"</definedName>
    <definedName name="HTML29_4" hidden="1">"部署番号表『化工品』"</definedName>
    <definedName name="HTML29_5" hidden="1">""</definedName>
    <definedName name="HTML29_6" hidden="1">-4146</definedName>
    <definedName name="HTML29_7" hidden="1">-4146</definedName>
    <definedName name="HTML29_8" hidden="1">"2000/03/17"</definedName>
    <definedName name="HTML29_9" hidden="1">"株式会社ブリヂストン"</definedName>
    <definedName name="HTML3_1" hidden="1">"[BU000201.xls]部署一覧!$A$6:$G$211"</definedName>
    <definedName name="HTML3_10" hidden="1">""</definedName>
    <definedName name="HTML3_11" hidden="1">1</definedName>
    <definedName name="HTML3_12" hidden="1">"E:\0201_1.htm"</definedName>
    <definedName name="HTML3_2" hidden="1">1</definedName>
    <definedName name="HTML3_3" hidden="1">"部署番号表"</definedName>
    <definedName name="HTML3_4" hidden="1">"部署番号表『本社』"</definedName>
    <definedName name="HTML3_5" hidden="1">""</definedName>
    <definedName name="HTML3_6" hidden="1">-4146</definedName>
    <definedName name="HTML3_7" hidden="1">-4146</definedName>
    <definedName name="HTML3_8" hidden="1">"2000/02/03"</definedName>
    <definedName name="HTML3_9" hidden="1">"株式会社ブリヂストン"</definedName>
    <definedName name="HTML30_1" hidden="1">"[BU000316.xls]部署一覧!$A$1368:$G$1452"</definedName>
    <definedName name="HTML30_10" hidden="1">""</definedName>
    <definedName name="HTML30_11" hidden="1">1</definedName>
    <definedName name="HTML30_12" hidden="1">"E:\0316_9.htm"</definedName>
    <definedName name="HTML30_2" hidden="1">1</definedName>
    <definedName name="HTML30_3" hidden="1">"部署番号表"</definedName>
    <definedName name="HTML30_4" hidden="1">"部署番号表『化工品』"</definedName>
    <definedName name="HTML30_5" hidden="1">""</definedName>
    <definedName name="HTML30_6" hidden="1">-4146</definedName>
    <definedName name="HTML30_7" hidden="1">-4146</definedName>
    <definedName name="HTML30_8" hidden="1">"2000/03/17"</definedName>
    <definedName name="HTML30_9" hidden="1">"株式会社ブリヂストン"</definedName>
    <definedName name="HTML31_1" hidden="1">"[BU2000401.xls]部署一覧!$A$6:$G$209"</definedName>
    <definedName name="HTML31_10" hidden="1">""</definedName>
    <definedName name="HTML31_11" hidden="1">1</definedName>
    <definedName name="HTML31_12" hidden="1">"E:\0401_1.htm"</definedName>
    <definedName name="HTML31_2" hidden="1">1</definedName>
    <definedName name="HTML31_3" hidden="1">"部署番号表"</definedName>
    <definedName name="HTML31_4" hidden="1">"部署番号表『本社』"</definedName>
    <definedName name="HTML31_5" hidden="1">""</definedName>
    <definedName name="HTML31_6" hidden="1">-4146</definedName>
    <definedName name="HTML31_7" hidden="1">-4146</definedName>
    <definedName name="HTML31_8" hidden="1">"2000/04/07"</definedName>
    <definedName name="HTML31_9" hidden="1">"株式会社ブリヂストン"</definedName>
    <definedName name="HTML32_1" hidden="1">"[BU2000401.xls]部署一覧!$A$211:$G$383"</definedName>
    <definedName name="HTML32_10" hidden="1">""</definedName>
    <definedName name="HTML32_11" hidden="1">1</definedName>
    <definedName name="HTML32_12" hidden="1">"E:\0401_2.htm"</definedName>
    <definedName name="HTML32_2" hidden="1">1</definedName>
    <definedName name="HTML32_3" hidden="1">"部署番号表"</definedName>
    <definedName name="HTML32_4" hidden="1">"部署番号表『本社』"</definedName>
    <definedName name="HTML32_5" hidden="1">""</definedName>
    <definedName name="HTML32_6" hidden="1">-4146</definedName>
    <definedName name="HTML32_7" hidden="1">-4146</definedName>
    <definedName name="HTML32_8" hidden="1">"2000/04/07"</definedName>
    <definedName name="HTML32_9" hidden="1">"株式会社ブリヂストン"</definedName>
    <definedName name="HTML33_1" hidden="1">"[BU2000401.xls]部署一覧!$A$393:$G$664"</definedName>
    <definedName name="HTML33_10" hidden="1">""</definedName>
    <definedName name="HTML33_11" hidden="1">1</definedName>
    <definedName name="HTML33_12" hidden="1">"E:\0401_3.htm"</definedName>
    <definedName name="HTML33_2" hidden="1">1</definedName>
    <definedName name="HTML33_3" hidden="1">"部署番号表"</definedName>
    <definedName name="HTML33_4" hidden="1">"部署番号表『小平』"</definedName>
    <definedName name="HTML33_5" hidden="1">""</definedName>
    <definedName name="HTML33_6" hidden="1">-4146</definedName>
    <definedName name="HTML33_7" hidden="1">-4146</definedName>
    <definedName name="HTML33_8" hidden="1">"2000/04/07"</definedName>
    <definedName name="HTML33_9" hidden="1">"株式会社ブリヂストン"</definedName>
    <definedName name="HTML34_1" hidden="1">"[BU2000401.xls]部署一覧!$A$667:$G$870"</definedName>
    <definedName name="HTML34_10" hidden="1">""</definedName>
    <definedName name="HTML34_11" hidden="1">1</definedName>
    <definedName name="HTML34_12" hidden="1">"E:\0401_4.htm"</definedName>
    <definedName name="HTML34_2" hidden="1">1</definedName>
    <definedName name="HTML34_3" hidden="1">"部署番号表"</definedName>
    <definedName name="HTML34_4" hidden="1">"部署番号表『小平』"</definedName>
    <definedName name="HTML34_5" hidden="1">""</definedName>
    <definedName name="HTML34_6" hidden="1">-4146</definedName>
    <definedName name="HTML34_7" hidden="1">-4146</definedName>
    <definedName name="HTML34_8" hidden="1">"2000/04/07"</definedName>
    <definedName name="HTML34_9" hidden="1">"株式会社ブリヂストン"</definedName>
    <definedName name="HTML35_1" hidden="1">"[BU2000401.xls]部署一覧!$A$873:$G$970"</definedName>
    <definedName name="HTML35_10" hidden="1">""</definedName>
    <definedName name="HTML35_11" hidden="1">1</definedName>
    <definedName name="HTML35_12" hidden="1">"E:\0401_5.htm"</definedName>
    <definedName name="HTML35_2" hidden="1">1</definedName>
    <definedName name="HTML35_3" hidden="1">"部署番号表"</definedName>
    <definedName name="HTML35_4" hidden="1">"部署番号表『工場』"</definedName>
    <definedName name="HTML35_5" hidden="1">""</definedName>
    <definedName name="HTML35_6" hidden="1">-4146</definedName>
    <definedName name="HTML35_7" hidden="1">-4146</definedName>
    <definedName name="HTML35_8" hidden="1">"2000/04/07"</definedName>
    <definedName name="HTML35_9" hidden="1">"株式会社ブリヂストン"</definedName>
    <definedName name="HTML36_1" hidden="1">"[BU2000401.xls]部署一覧!$A$979:$G$1097"</definedName>
    <definedName name="HTML36_10" hidden="1">""</definedName>
    <definedName name="HTML36_11" hidden="1">1</definedName>
    <definedName name="HTML36_12" hidden="1">"E:\0401_6.htm"</definedName>
    <definedName name="HTML36_2" hidden="1">1</definedName>
    <definedName name="HTML36_3" hidden="1">"部署番号表"</definedName>
    <definedName name="HTML36_4" hidden="1">"部署番号表『工場』"</definedName>
    <definedName name="HTML36_5" hidden="1">""</definedName>
    <definedName name="HTML36_6" hidden="1">-4146</definedName>
    <definedName name="HTML36_7" hidden="1">-4146</definedName>
    <definedName name="HTML36_8" hidden="1">"2000/04/07"</definedName>
    <definedName name="HTML36_9" hidden="1">"株式会社ブリヂストン"</definedName>
    <definedName name="HTML37_1" hidden="1">"[BU2000401.xls]部署一覧!$A$1108:$G$1160"</definedName>
    <definedName name="HTML37_10" hidden="1">""</definedName>
    <definedName name="HTML37_11" hidden="1">1</definedName>
    <definedName name="HTML37_12" hidden="1">"E:\0401_7.htm"</definedName>
    <definedName name="HTML37_2" hidden="1">1</definedName>
    <definedName name="HTML37_3" hidden="1">"部署番号表"</definedName>
    <definedName name="HTML37_4" hidden="1">"部署番号表『工場』"</definedName>
    <definedName name="HTML37_5" hidden="1">""</definedName>
    <definedName name="HTML37_6" hidden="1">-4146</definedName>
    <definedName name="HTML37_7" hidden="1">-4146</definedName>
    <definedName name="HTML37_8" hidden="1">"2000/04/07"</definedName>
    <definedName name="HTML37_9" hidden="1">"株式会社ブリヂストン"</definedName>
    <definedName name="HTML38_1" hidden="1">"[BU2000401.xls]部署一覧!$A$1172:$G$1364"</definedName>
    <definedName name="HTML38_10" hidden="1">""</definedName>
    <definedName name="HTML38_11" hidden="1">1</definedName>
    <definedName name="HTML38_12" hidden="1">"E:\0401_8.htm"</definedName>
    <definedName name="HTML38_2" hidden="1">1</definedName>
    <definedName name="HTML38_3" hidden="1">"部署番号表"</definedName>
    <definedName name="HTML38_4" hidden="1">"部署番号表『化工品』"</definedName>
    <definedName name="HTML38_5" hidden="1">""</definedName>
    <definedName name="HTML38_6" hidden="1">-4146</definedName>
    <definedName name="HTML38_7" hidden="1">-4146</definedName>
    <definedName name="HTML38_8" hidden="1">"2000/04/07"</definedName>
    <definedName name="HTML38_9" hidden="1">"株式会社ブリヂストン"</definedName>
    <definedName name="HTML39_1" hidden="1">"[BU2000401.xls]部署一覧!$A$1368:$G$1452"</definedName>
    <definedName name="HTML39_10" hidden="1">""</definedName>
    <definedName name="HTML39_11" hidden="1">1</definedName>
    <definedName name="HTML39_12" hidden="1">"E:\0401_9.htm"</definedName>
    <definedName name="HTML39_2" hidden="1">1</definedName>
    <definedName name="HTML39_3" hidden="1">"部署番号表"</definedName>
    <definedName name="HTML39_4" hidden="1">"部署番号表『化工品』"</definedName>
    <definedName name="HTML39_5" hidden="1">""</definedName>
    <definedName name="HTML39_6" hidden="1">-4146</definedName>
    <definedName name="HTML39_7" hidden="1">-4146</definedName>
    <definedName name="HTML39_8" hidden="1">"2000/04/07"</definedName>
    <definedName name="HTML39_9" hidden="1">"株式会社ブリヂストン"</definedName>
    <definedName name="HTML4_1" hidden="1">"[BU000201.xls]部署一覧!$A$213:$G$383"</definedName>
    <definedName name="HTML4_10" hidden="1">""</definedName>
    <definedName name="HTML4_11" hidden="1">1</definedName>
    <definedName name="HTML4_12" hidden="1">"E:\0201_2.htm"</definedName>
    <definedName name="HTML4_2" hidden="1">1</definedName>
    <definedName name="HTML4_3" hidden="1">"部署番号表"</definedName>
    <definedName name="HTML4_4" hidden="1">"部署番号表『本社』"</definedName>
    <definedName name="HTML4_5" hidden="1">""</definedName>
    <definedName name="HTML4_6" hidden="1">-4146</definedName>
    <definedName name="HTML4_7" hidden="1">-4146</definedName>
    <definedName name="HTML4_8" hidden="1">"2000/02/03"</definedName>
    <definedName name="HTML4_9" hidden="1">"株式会社ブリヂストン"</definedName>
    <definedName name="HTML40_1" hidden="1">"[BU000416.xls]部署一覧!$A$6:$G$209"</definedName>
    <definedName name="HTML40_10" hidden="1">""</definedName>
    <definedName name="HTML40_11" hidden="1">1</definedName>
    <definedName name="HTML40_12" hidden="1">"E:\0416_1.htm"</definedName>
    <definedName name="HTML40_2" hidden="1">1</definedName>
    <definedName name="HTML40_3" hidden="1">"部署番号表"</definedName>
    <definedName name="HTML40_4" hidden="1">"部署番号表『本社』"</definedName>
    <definedName name="HTML40_5" hidden="1">""</definedName>
    <definedName name="HTML40_6" hidden="1">-4146</definedName>
    <definedName name="HTML40_7" hidden="1">-4146</definedName>
    <definedName name="HTML40_8" hidden="1">"2000/04/19"</definedName>
    <definedName name="HTML40_9" hidden="1">"株式会社ブリヂストン"</definedName>
    <definedName name="HTML41_1" hidden="1">"[BU000416.xls]部署一覧!$A$211:$G$383"</definedName>
    <definedName name="HTML41_10" hidden="1">""</definedName>
    <definedName name="HTML41_11" hidden="1">1</definedName>
    <definedName name="HTML41_12" hidden="1">"E:\0416_2.htm"</definedName>
    <definedName name="HTML41_2" hidden="1">1</definedName>
    <definedName name="HTML41_3" hidden="1">"部署番号表"</definedName>
    <definedName name="HTML41_4" hidden="1">"部署番号表『本社』"</definedName>
    <definedName name="HTML41_5" hidden="1">""</definedName>
    <definedName name="HTML41_6" hidden="1">-4146</definedName>
    <definedName name="HTML41_7" hidden="1">-4146</definedName>
    <definedName name="HTML41_8" hidden="1">"2000/04/19"</definedName>
    <definedName name="HTML41_9" hidden="1">"株式会社ブリヂストン"</definedName>
    <definedName name="HTML42_1" hidden="1">"[BU000416.xls]部署一覧!$A$393:$G$664"</definedName>
    <definedName name="HTML42_10" hidden="1">""</definedName>
    <definedName name="HTML42_11" hidden="1">1</definedName>
    <definedName name="HTML42_12" hidden="1">"E:\0416_3.htm"</definedName>
    <definedName name="HTML42_2" hidden="1">1</definedName>
    <definedName name="HTML42_3" hidden="1">"部署番号表"</definedName>
    <definedName name="HTML42_4" hidden="1">"部署番号表『小平』"</definedName>
    <definedName name="HTML42_5" hidden="1">""</definedName>
    <definedName name="HTML42_6" hidden="1">-4146</definedName>
    <definedName name="HTML42_7" hidden="1">-4146</definedName>
    <definedName name="HTML42_8" hidden="1">"2000/04/19"</definedName>
    <definedName name="HTML42_9" hidden="1">"株式会社ブリヂストン"</definedName>
    <definedName name="HTML43_1" hidden="1">"[BU000416.xls]部署一覧!$A$668:$G$868"</definedName>
    <definedName name="HTML43_10" hidden="1">""</definedName>
    <definedName name="HTML43_11" hidden="1">1</definedName>
    <definedName name="HTML43_12" hidden="1">"E:\0416_4.htm"</definedName>
    <definedName name="HTML43_2" hidden="1">1</definedName>
    <definedName name="HTML43_3" hidden="1">"部署番号表"</definedName>
    <definedName name="HTML43_4" hidden="1">"部署番号表『小平』"</definedName>
    <definedName name="HTML43_5" hidden="1">""</definedName>
    <definedName name="HTML43_6" hidden="1">-4146</definedName>
    <definedName name="HTML43_7" hidden="1">-4146</definedName>
    <definedName name="HTML43_8" hidden="1">"2000/04/19"</definedName>
    <definedName name="HTML43_9" hidden="1">"株式会社ブリヂストン"</definedName>
    <definedName name="HTML44_1" hidden="1">"[BU000416.xls]部署一覧!$A$871:$G$970"</definedName>
    <definedName name="HTML44_10" hidden="1">""</definedName>
    <definedName name="HTML44_11" hidden="1">1</definedName>
    <definedName name="HTML44_12" hidden="1">"E:\0416_5.htm"</definedName>
    <definedName name="HTML44_2" hidden="1">1</definedName>
    <definedName name="HTML44_3" hidden="1">"部署番号表"</definedName>
    <definedName name="HTML44_4" hidden="1">"部署番号表『工場』"</definedName>
    <definedName name="HTML44_5" hidden="1">""</definedName>
    <definedName name="HTML44_6" hidden="1">-4146</definedName>
    <definedName name="HTML44_7" hidden="1">-4146</definedName>
    <definedName name="HTML44_8" hidden="1">"2000/04/19"</definedName>
    <definedName name="HTML44_9" hidden="1">"株式会社ブリヂストン"</definedName>
    <definedName name="HTML45_1" hidden="1">"[BU000416.xls]部署一覧!$A$979:$G$1097"</definedName>
    <definedName name="HTML45_10" hidden="1">""</definedName>
    <definedName name="HTML45_11" hidden="1">1</definedName>
    <definedName name="HTML45_12" hidden="1">"E:\0416_6.htm"</definedName>
    <definedName name="HTML45_2" hidden="1">1</definedName>
    <definedName name="HTML45_3" hidden="1">"部署番号表"</definedName>
    <definedName name="HTML45_4" hidden="1">"部署番号表『工場』"</definedName>
    <definedName name="HTML45_5" hidden="1">""</definedName>
    <definedName name="HTML45_6" hidden="1">-4146</definedName>
    <definedName name="HTML45_7" hidden="1">-4146</definedName>
    <definedName name="HTML45_8" hidden="1">"2000/04/19"</definedName>
    <definedName name="HTML45_9" hidden="1">"株式会社ブリヂストン"</definedName>
    <definedName name="HTML46_1" hidden="1">"[BU000416.xls]部署一覧!$A$1108:$G$1160"</definedName>
    <definedName name="HTML46_10" hidden="1">""</definedName>
    <definedName name="HTML46_11" hidden="1">1</definedName>
    <definedName name="HTML46_12" hidden="1">"E:\0416_7.htm"</definedName>
    <definedName name="HTML46_2" hidden="1">1</definedName>
    <definedName name="HTML46_3" hidden="1">"部署番号表"</definedName>
    <definedName name="HTML46_4" hidden="1">"部署番号表『工場』"</definedName>
    <definedName name="HTML46_5" hidden="1">""</definedName>
    <definedName name="HTML46_6" hidden="1">-4146</definedName>
    <definedName name="HTML46_7" hidden="1">-4146</definedName>
    <definedName name="HTML46_8" hidden="1">"2000/04/19"</definedName>
    <definedName name="HTML46_9" hidden="1">"株式会社ブリヂストン"</definedName>
    <definedName name="HTML47_1" hidden="1">"[BU000416.xls]部署一覧!$A$1172:$G$1364"</definedName>
    <definedName name="HTML47_10" hidden="1">""</definedName>
    <definedName name="HTML47_11" hidden="1">1</definedName>
    <definedName name="HTML47_12" hidden="1">"E:\0416_8.htm"</definedName>
    <definedName name="HTML47_2" hidden="1">1</definedName>
    <definedName name="HTML47_3" hidden="1">"部署番号表"</definedName>
    <definedName name="HTML47_4" hidden="1">"部署番号表『化工品』"</definedName>
    <definedName name="HTML47_5" hidden="1">""</definedName>
    <definedName name="HTML47_6" hidden="1">-4146</definedName>
    <definedName name="HTML47_7" hidden="1">-4146</definedName>
    <definedName name="HTML47_8" hidden="1">"2000/04/19"</definedName>
    <definedName name="HTML47_9" hidden="1">"株式会社ブリヂストン"</definedName>
    <definedName name="HTML48_1" hidden="1">"[BU000416.xls]部署一覧!$A$1368:$G$1452"</definedName>
    <definedName name="HTML48_10" hidden="1">""</definedName>
    <definedName name="HTML48_11" hidden="1">1</definedName>
    <definedName name="HTML48_12" hidden="1">"E:\0416_9.htm"</definedName>
    <definedName name="HTML48_2" hidden="1">1</definedName>
    <definedName name="HTML48_3" hidden="1">"部署番号表"</definedName>
    <definedName name="HTML48_4" hidden="1">"部署番号表『化工品』"</definedName>
    <definedName name="HTML48_5" hidden="1">""</definedName>
    <definedName name="HTML48_6" hidden="1">-4146</definedName>
    <definedName name="HTML48_7" hidden="1">-4146</definedName>
    <definedName name="HTML48_8" hidden="1">"2000/04/19"</definedName>
    <definedName name="HTML48_9" hidden="1">"株式会社ブリヂストン"</definedName>
    <definedName name="HTML49_1" hidden="1">"[BU000501.xls]部署一覧!$A$6:$G$208"</definedName>
    <definedName name="HTML49_10" hidden="1">""</definedName>
    <definedName name="HTML49_11" hidden="1">1</definedName>
    <definedName name="HTML49_12" hidden="1">"E:\0501_1.htm"</definedName>
    <definedName name="HTML49_2" hidden="1">1</definedName>
    <definedName name="HTML49_3" hidden="1">"部署番号表"</definedName>
    <definedName name="HTML49_4" hidden="1">"部署番号表『本社』"</definedName>
    <definedName name="HTML49_5" hidden="1">""</definedName>
    <definedName name="HTML49_6" hidden="1">-4146</definedName>
    <definedName name="HTML49_7" hidden="1">-4146</definedName>
    <definedName name="HTML49_8" hidden="1">"2000/05/01"</definedName>
    <definedName name="HTML49_9" hidden="1">"株式会社ブリヂストン"</definedName>
    <definedName name="HTML5_1" hidden="1">"[BU000201.xls]部署一覧!$A$393:$G$664"</definedName>
    <definedName name="HTML5_10" hidden="1">""</definedName>
    <definedName name="HTML5_11" hidden="1">1</definedName>
    <definedName name="HTML5_12" hidden="1">"E:\0201_3.htm"</definedName>
    <definedName name="HTML5_2" hidden="1">1</definedName>
    <definedName name="HTML5_3" hidden="1">"部署番号表"</definedName>
    <definedName name="HTML5_4" hidden="1">"部署番号表『小平』"</definedName>
    <definedName name="HTML5_5" hidden="1">""</definedName>
    <definedName name="HTML5_6" hidden="1">-4146</definedName>
    <definedName name="HTML5_7" hidden="1">-4146</definedName>
    <definedName name="HTML5_8" hidden="1">"2000/02/03"</definedName>
    <definedName name="HTML5_9" hidden="1">"株式会社ブリヂストン"</definedName>
    <definedName name="HTML50_1" hidden="1">"[BU000501.xls]部署一覧!$A$212:$G$383"</definedName>
    <definedName name="HTML50_10" hidden="1">""</definedName>
    <definedName name="HTML50_11" hidden="1">1</definedName>
    <definedName name="HTML50_12" hidden="1">"E:\0501_2.htm"</definedName>
    <definedName name="HTML50_2" hidden="1">1</definedName>
    <definedName name="HTML50_3" hidden="1">"部署番号表"</definedName>
    <definedName name="HTML50_4" hidden="1">"部署番号表『本社』"</definedName>
    <definedName name="HTML50_5" hidden="1">""</definedName>
    <definedName name="HTML50_6" hidden="1">-4146</definedName>
    <definedName name="HTML50_7" hidden="1">-4146</definedName>
    <definedName name="HTML50_8" hidden="1">"2000/05/01"</definedName>
    <definedName name="HTML50_9" hidden="1">"株式会社ブリヂストン"</definedName>
    <definedName name="HTML51_1" hidden="1">"[BU000501.xls]部署一覧!$A$395:$G$664"</definedName>
    <definedName name="HTML51_10" hidden="1">""</definedName>
    <definedName name="HTML51_11" hidden="1">1</definedName>
    <definedName name="HTML51_12" hidden="1">"E:\0501_3.htm"</definedName>
    <definedName name="HTML51_2" hidden="1">1</definedName>
    <definedName name="HTML51_3" hidden="1">"部署番号表"</definedName>
    <definedName name="HTML51_4" hidden="1">"部署番号表『小平』"</definedName>
    <definedName name="HTML51_5" hidden="1">""</definedName>
    <definedName name="HTML51_6" hidden="1">-4146</definedName>
    <definedName name="HTML51_7" hidden="1">-4146</definedName>
    <definedName name="HTML51_8" hidden="1">"2000/05/01"</definedName>
    <definedName name="HTML51_9" hidden="1">"株式会社ブリヂストン"</definedName>
    <definedName name="HTML52_1" hidden="1">"[BU000501.xls]部署一覧!$A$668:$G$867"</definedName>
    <definedName name="HTML52_10" hidden="1">""</definedName>
    <definedName name="HTML52_11" hidden="1">1</definedName>
    <definedName name="HTML52_12" hidden="1">"E:\0501_4.htm"</definedName>
    <definedName name="HTML52_2" hidden="1">1</definedName>
    <definedName name="HTML52_3" hidden="1">"部署番号表"</definedName>
    <definedName name="HTML52_4" hidden="1">"部署番号表『小平』"</definedName>
    <definedName name="HTML52_5" hidden="1">""</definedName>
    <definedName name="HTML52_6" hidden="1">-4146</definedName>
    <definedName name="HTML52_7" hidden="1">-4146</definedName>
    <definedName name="HTML52_8" hidden="1">"2000/05/01"</definedName>
    <definedName name="HTML52_9" hidden="1">"株式会社ブリヂストン"</definedName>
    <definedName name="HTML53_1" hidden="1">"[BU000501.xls]部署一覧!$A$870:$G$970"</definedName>
    <definedName name="HTML53_10" hidden="1">""</definedName>
    <definedName name="HTML53_11" hidden="1">1</definedName>
    <definedName name="HTML53_12" hidden="1">"E:\0501_5.htm"</definedName>
    <definedName name="HTML53_2" hidden="1">1</definedName>
    <definedName name="HTML53_3" hidden="1">"部署番号表"</definedName>
    <definedName name="HTML53_4" hidden="1">"部署番号表『工場』"</definedName>
    <definedName name="HTML53_5" hidden="1">""</definedName>
    <definedName name="HTML53_6" hidden="1">-4146</definedName>
    <definedName name="HTML53_7" hidden="1">-4146</definedName>
    <definedName name="HTML53_8" hidden="1">"2000/05/01"</definedName>
    <definedName name="HTML53_9" hidden="1">"株式会社ブリヂストン"</definedName>
    <definedName name="HTML54_1" hidden="1">"[BU000501.xls]部署一覧!$A$979:$G$1098"</definedName>
    <definedName name="HTML54_10" hidden="1">""</definedName>
    <definedName name="HTML54_11" hidden="1">1</definedName>
    <definedName name="HTML54_12" hidden="1">"E:\0501_6.htm"</definedName>
    <definedName name="HTML54_2" hidden="1">1</definedName>
    <definedName name="HTML54_3" hidden="1">"部署番号表"</definedName>
    <definedName name="HTML54_4" hidden="1">"部署番号表『工場』"</definedName>
    <definedName name="HTML54_5" hidden="1">""</definedName>
    <definedName name="HTML54_6" hidden="1">-4146</definedName>
    <definedName name="HTML54_7" hidden="1">-4146</definedName>
    <definedName name="HTML54_8" hidden="1">"2000/05/01"</definedName>
    <definedName name="HTML54_9" hidden="1">"株式会社ブリヂストン"</definedName>
    <definedName name="HTML55_1" hidden="1">"[BU000501.xls]部署一覧!$A$1108:$G$1160"</definedName>
    <definedName name="HTML55_10" hidden="1">""</definedName>
    <definedName name="HTML55_11" hidden="1">1</definedName>
    <definedName name="HTML55_12" hidden="1">"E:\0501_7.htm"</definedName>
    <definedName name="HTML55_2" hidden="1">1</definedName>
    <definedName name="HTML55_3" hidden="1">"部署番号表"</definedName>
    <definedName name="HTML55_4" hidden="1">"部署番号表『工場』"</definedName>
    <definedName name="HTML55_5" hidden="1">""</definedName>
    <definedName name="HTML55_6" hidden="1">-4146</definedName>
    <definedName name="HTML55_7" hidden="1">-4146</definedName>
    <definedName name="HTML55_8" hidden="1">"2000/05/01"</definedName>
    <definedName name="HTML55_9" hidden="1">"株式会社ブリヂストン"</definedName>
    <definedName name="HTML56_1" hidden="1">"[BU000501.xls]部署一覧!$A$1172:$G$1364"</definedName>
    <definedName name="HTML56_10" hidden="1">""</definedName>
    <definedName name="HTML56_11" hidden="1">1</definedName>
    <definedName name="HTML56_12" hidden="1">"E:\0501_8.htm"</definedName>
    <definedName name="HTML56_2" hidden="1">1</definedName>
    <definedName name="HTML56_3" hidden="1">"部署番号表"</definedName>
    <definedName name="HTML56_4" hidden="1">"部署番号表『化工品』"</definedName>
    <definedName name="HTML56_5" hidden="1">""</definedName>
    <definedName name="HTML56_6" hidden="1">-4146</definedName>
    <definedName name="HTML56_7" hidden="1">-4146</definedName>
    <definedName name="HTML56_8" hidden="1">"2000/05/01"</definedName>
    <definedName name="HTML56_9" hidden="1">"株式会社ブリヂストン"</definedName>
    <definedName name="HTML57_1" hidden="1">"[BU000501.xls]部署一覧!$A$1368:$G$1452"</definedName>
    <definedName name="HTML57_10" hidden="1">""</definedName>
    <definedName name="HTML57_11" hidden="1">1</definedName>
    <definedName name="HTML57_12" hidden="1">"E:\0501_9.htm"</definedName>
    <definedName name="HTML57_2" hidden="1">1</definedName>
    <definedName name="HTML57_3" hidden="1">"部署番号表"</definedName>
    <definedName name="HTML57_4" hidden="1">"部署番号表『化工品』"</definedName>
    <definedName name="HTML57_5" hidden="1">""</definedName>
    <definedName name="HTML57_6" hidden="1">-4146</definedName>
    <definedName name="HTML57_7" hidden="1">-4146</definedName>
    <definedName name="HTML57_8" hidden="1">"2000/05/01"</definedName>
    <definedName name="HTML57_9" hidden="1">"株式会社ブリヂストン"</definedName>
    <definedName name="HTML58_1" hidden="1">"[BU000516.xls]部署一覧!$A$6:$G$208"</definedName>
    <definedName name="HTML58_10" hidden="1">""</definedName>
    <definedName name="HTML58_11" hidden="1">1</definedName>
    <definedName name="HTML58_12" hidden="1">"E:\0516_1.htm"</definedName>
    <definedName name="HTML58_2" hidden="1">1</definedName>
    <definedName name="HTML58_3" hidden="1">"部署番号表"</definedName>
    <definedName name="HTML58_4" hidden="1">"部署番号表『本社』"</definedName>
    <definedName name="HTML58_5" hidden="1">""</definedName>
    <definedName name="HTML58_6" hidden="1">-4146</definedName>
    <definedName name="HTML58_7" hidden="1">-4146</definedName>
    <definedName name="HTML58_8" hidden="1">"2000/05/19"</definedName>
    <definedName name="HTML58_9" hidden="1">"株式会社ブリヂストン"</definedName>
    <definedName name="HTML59_1" hidden="1">"[BU000516.xls]部署一覧!$A$210:$G$383"</definedName>
    <definedName name="HTML59_10" hidden="1">""</definedName>
    <definedName name="HTML59_11" hidden="1">1</definedName>
    <definedName name="HTML59_12" hidden="1">"E:\0516_2.htm"</definedName>
    <definedName name="HTML59_2" hidden="1">1</definedName>
    <definedName name="HTML59_3" hidden="1">"部署番号表"</definedName>
    <definedName name="HTML59_4" hidden="1">"部署番号表『本社』"</definedName>
    <definedName name="HTML59_5" hidden="1">""</definedName>
    <definedName name="HTML59_6" hidden="1">-4146</definedName>
    <definedName name="HTML59_7" hidden="1">-4146</definedName>
    <definedName name="HTML59_8" hidden="1">"2000/05/19"</definedName>
    <definedName name="HTML59_9" hidden="1">"株式会社ブリヂストン"</definedName>
    <definedName name="HTML6_1" hidden="1">"[BU000201.xls]部署一覧!$A$667:$G$871"</definedName>
    <definedName name="HTML6_10" hidden="1">""</definedName>
    <definedName name="HTML6_11" hidden="1">1</definedName>
    <definedName name="HTML6_12" hidden="1">"E:\0201_4.htm"</definedName>
    <definedName name="HTML6_2" hidden="1">1</definedName>
    <definedName name="HTML6_3" hidden="1">"部署番号表"</definedName>
    <definedName name="HTML6_4" hidden="1">"部署番号表『小平』"</definedName>
    <definedName name="HTML6_5" hidden="1">""</definedName>
    <definedName name="HTML6_6" hidden="1">-4146</definedName>
    <definedName name="HTML6_7" hidden="1">-4146</definedName>
    <definedName name="HTML6_8" hidden="1">"2000/02/03"</definedName>
    <definedName name="HTML6_9" hidden="1">"株式会社ブリヂストン"</definedName>
    <definedName name="HTML60_1" hidden="1">"[BU000516.xls]部署一覧!$A$393:$G$664"</definedName>
    <definedName name="HTML60_10" hidden="1">""</definedName>
    <definedName name="HTML60_11" hidden="1">1</definedName>
    <definedName name="HTML60_12" hidden="1">"E:\0516_3.htm"</definedName>
    <definedName name="HTML60_2" hidden="1">1</definedName>
    <definedName name="HTML60_3" hidden="1">"部署番号表"</definedName>
    <definedName name="HTML60_4" hidden="1">"部署番号表『小平』"</definedName>
    <definedName name="HTML60_5" hidden="1">""</definedName>
    <definedName name="HTML60_6" hidden="1">-4146</definedName>
    <definedName name="HTML60_7" hidden="1">-4146</definedName>
    <definedName name="HTML60_8" hidden="1">"2000/05/19"</definedName>
    <definedName name="HTML60_9" hidden="1">"株式会社ブリヂストン"</definedName>
    <definedName name="HTML61_1" hidden="1">"[BU000516.xls]部署一覧!$A$668:$G$867"</definedName>
    <definedName name="HTML61_10" hidden="1">""</definedName>
    <definedName name="HTML61_11" hidden="1">1</definedName>
    <definedName name="HTML61_12" hidden="1">"E:\0516_4.htm"</definedName>
    <definedName name="HTML61_2" hidden="1">1</definedName>
    <definedName name="HTML61_3" hidden="1">"部署番号表"</definedName>
    <definedName name="HTML61_4" hidden="1">"部署番号表『小平』"</definedName>
    <definedName name="HTML61_5" hidden="1">""</definedName>
    <definedName name="HTML61_6" hidden="1">-4146</definedName>
    <definedName name="HTML61_7" hidden="1">-4146</definedName>
    <definedName name="HTML61_8" hidden="1">"2000/05/19"</definedName>
    <definedName name="HTML61_9" hidden="1">"株式会社ブリヂストン"</definedName>
    <definedName name="HTML62_1" hidden="1">"[BU000516.xls]部署一覧!$A$870:$G$970"</definedName>
    <definedName name="HTML62_10" hidden="1">""</definedName>
    <definedName name="HTML62_11" hidden="1">1</definedName>
    <definedName name="HTML62_12" hidden="1">"E:\0516_5.htm"</definedName>
    <definedName name="HTML62_2" hidden="1">1</definedName>
    <definedName name="HTML62_3" hidden="1">"部署番号表"</definedName>
    <definedName name="HTML62_4" hidden="1">"部署番号表『工場』"</definedName>
    <definedName name="HTML62_5" hidden="1">""</definedName>
    <definedName name="HTML62_6" hidden="1">-4146</definedName>
    <definedName name="HTML62_7" hidden="1">-4146</definedName>
    <definedName name="HTML62_8" hidden="1">"2000/05/19"</definedName>
    <definedName name="HTML62_9" hidden="1">"株式会社ブリヂストン"</definedName>
    <definedName name="HTML63_1" hidden="1">"[BU000516.xls]部署一覧!$A$979:$G$1098"</definedName>
    <definedName name="HTML63_10" hidden="1">""</definedName>
    <definedName name="HTML63_11" hidden="1">1</definedName>
    <definedName name="HTML63_12" hidden="1">"E:\0516_6.htm"</definedName>
    <definedName name="HTML63_2" hidden="1">1</definedName>
    <definedName name="HTML63_3" hidden="1">"部署番号表"</definedName>
    <definedName name="HTML63_4" hidden="1">"部署番号表『工場』"</definedName>
    <definedName name="HTML63_5" hidden="1">""</definedName>
    <definedName name="HTML63_6" hidden="1">-4146</definedName>
    <definedName name="HTML63_7" hidden="1">-4146</definedName>
    <definedName name="HTML63_8" hidden="1">"2000/05/19"</definedName>
    <definedName name="HTML63_9" hidden="1">"株式会社ブリヂストン"</definedName>
    <definedName name="HTML64_1" hidden="1">"[BU000516.xls]部署一覧!$A$1108:$G$1160"</definedName>
    <definedName name="HTML64_10" hidden="1">""</definedName>
    <definedName name="HTML64_11" hidden="1">1</definedName>
    <definedName name="HTML64_12" hidden="1">"E:\0516_7.htm"</definedName>
    <definedName name="HTML64_2" hidden="1">1</definedName>
    <definedName name="HTML64_3" hidden="1">"部署番号表"</definedName>
    <definedName name="HTML64_4" hidden="1">"部署番号表『工場』"</definedName>
    <definedName name="HTML64_5" hidden="1">""</definedName>
    <definedName name="HTML64_6" hidden="1">-4146</definedName>
    <definedName name="HTML64_7" hidden="1">-4146</definedName>
    <definedName name="HTML64_8" hidden="1">"2000/05/19"</definedName>
    <definedName name="HTML64_9" hidden="1">"株式会社ブリヂストン"</definedName>
    <definedName name="HTML65_1" hidden="1">"[BU000516.xls]部署一覧!$A$1172:$G$1364"</definedName>
    <definedName name="HTML65_10" hidden="1">""</definedName>
    <definedName name="HTML65_11" hidden="1">1</definedName>
    <definedName name="HTML65_12" hidden="1">"E:\0516_8.htm"</definedName>
    <definedName name="HTML65_2" hidden="1">1</definedName>
    <definedName name="HTML65_3" hidden="1">"部署番号表"</definedName>
    <definedName name="HTML65_4" hidden="1">"部署番号表『化工品』"</definedName>
    <definedName name="HTML65_5" hidden="1">""</definedName>
    <definedName name="HTML65_6" hidden="1">-4146</definedName>
    <definedName name="HTML65_7" hidden="1">-4146</definedName>
    <definedName name="HTML65_8" hidden="1">"2000/05/19"</definedName>
    <definedName name="HTML65_9" hidden="1">"株式会社ブリヂストン"</definedName>
    <definedName name="HTML66_1" hidden="1">"[BU000516.xls]部署一覧!$A$1368:$G$1452"</definedName>
    <definedName name="HTML66_10" hidden="1">""</definedName>
    <definedName name="HTML66_11" hidden="1">1</definedName>
    <definedName name="HTML66_12" hidden="1">"E:\0516_9.htm"</definedName>
    <definedName name="HTML66_2" hidden="1">1</definedName>
    <definedName name="HTML66_3" hidden="1">"部署番号表"</definedName>
    <definedName name="HTML66_4" hidden="1">"部署番号表『化工品』"</definedName>
    <definedName name="HTML66_5" hidden="1">""</definedName>
    <definedName name="HTML66_6" hidden="1">-4146</definedName>
    <definedName name="HTML66_7" hidden="1">-4146</definedName>
    <definedName name="HTML66_8" hidden="1">"2000/05/19"</definedName>
    <definedName name="HTML66_9" hidden="1">"株式会社ブリヂストン"</definedName>
    <definedName name="HTML67_1" hidden="1">"[BU000616.xls]部署一覧!$A$6:$G$208"</definedName>
    <definedName name="HTML67_10" hidden="1">""</definedName>
    <definedName name="HTML67_11" hidden="1">1</definedName>
    <definedName name="HTML67_12" hidden="1">"E:\0616_1.htm"</definedName>
    <definedName name="HTML67_2" hidden="1">1</definedName>
    <definedName name="HTML67_3" hidden="1">"部署番号表"</definedName>
    <definedName name="HTML67_4" hidden="1">"部署番号表『本社』"</definedName>
    <definedName name="HTML67_5" hidden="1">""</definedName>
    <definedName name="HTML67_6" hidden="1">-4146</definedName>
    <definedName name="HTML67_7" hidden="1">-4146</definedName>
    <definedName name="HTML67_8" hidden="1">"2000/06/20"</definedName>
    <definedName name="HTML67_9" hidden="1">"株式会社ブリヂストン"</definedName>
    <definedName name="HTML68_1" hidden="1">"[BU000616.xls]部署一覧!$A$210:$G$383"</definedName>
    <definedName name="HTML68_10" hidden="1">""</definedName>
    <definedName name="HTML68_11" hidden="1">1</definedName>
    <definedName name="HTML68_12" hidden="1">"E:\0616_2.htm"</definedName>
    <definedName name="HTML68_2" hidden="1">1</definedName>
    <definedName name="HTML68_3" hidden="1">"部署番号表"</definedName>
    <definedName name="HTML68_4" hidden="1">"部署番号表『本社』"</definedName>
    <definedName name="HTML68_5" hidden="1">""</definedName>
    <definedName name="HTML68_6" hidden="1">-4146</definedName>
    <definedName name="HTML68_7" hidden="1">-4146</definedName>
    <definedName name="HTML68_8" hidden="1">"2000/06/20"</definedName>
    <definedName name="HTML68_9" hidden="1">"株式会社ブリヂストン"</definedName>
    <definedName name="HTML69_1" hidden="1">"[BU000616.xls]部署一覧!$A$393:$G$664"</definedName>
    <definedName name="HTML69_10" hidden="1">""</definedName>
    <definedName name="HTML69_11" hidden="1">1</definedName>
    <definedName name="HTML69_12" hidden="1">"E:\0616_3.htm"</definedName>
    <definedName name="HTML69_2" hidden="1">1</definedName>
    <definedName name="HTML69_3" hidden="1">"部署番号表"</definedName>
    <definedName name="HTML69_4" hidden="1">"部署番号表『小平』"</definedName>
    <definedName name="HTML69_5" hidden="1">""</definedName>
    <definedName name="HTML69_6" hidden="1">-4146</definedName>
    <definedName name="HTML69_7" hidden="1">-4146</definedName>
    <definedName name="HTML69_8" hidden="1">"2000/06/20"</definedName>
    <definedName name="HTML69_9" hidden="1">"株式会社ブリヂストン"</definedName>
    <definedName name="HTML7_1" hidden="1">"[BU000201.xls]部署一覧!$A$874:$G$973"</definedName>
    <definedName name="HTML7_10" hidden="1">""</definedName>
    <definedName name="HTML7_11" hidden="1">1</definedName>
    <definedName name="HTML7_12" hidden="1">"E:\0201_5.htm"</definedName>
    <definedName name="HTML7_2" hidden="1">1</definedName>
    <definedName name="HTML7_3" hidden="1">"部署番号表"</definedName>
    <definedName name="HTML7_4" hidden="1">"部署番号表『工場』"</definedName>
    <definedName name="HTML7_5" hidden="1">""</definedName>
    <definedName name="HTML7_6" hidden="1">-4146</definedName>
    <definedName name="HTML7_7" hidden="1">-4146</definedName>
    <definedName name="HTML7_8" hidden="1">"2000/02/03"</definedName>
    <definedName name="HTML7_9" hidden="1">"株式会社ブリヂストン"</definedName>
    <definedName name="HTML70_1" hidden="1">"[BU000616.xls]部署一覧!$A$668:$G$867"</definedName>
    <definedName name="HTML70_10" hidden="1">""</definedName>
    <definedName name="HTML70_11" hidden="1">1</definedName>
    <definedName name="HTML70_12" hidden="1">"E:\0616_4.htm"</definedName>
    <definedName name="HTML70_2" hidden="1">1</definedName>
    <definedName name="HTML70_3" hidden="1">"部署番号表"</definedName>
    <definedName name="HTML70_4" hidden="1">"部署番号表『小平』"</definedName>
    <definedName name="HTML70_5" hidden="1">""</definedName>
    <definedName name="HTML70_6" hidden="1">-4146</definedName>
    <definedName name="HTML70_7" hidden="1">-4146</definedName>
    <definedName name="HTML70_8" hidden="1">"2000/06/20"</definedName>
    <definedName name="HTML70_9" hidden="1">"株式会社ブリヂストン"</definedName>
    <definedName name="HTML71_1" hidden="1">"[BU000616.xls]部署一覧!$A$870:$G$970"</definedName>
    <definedName name="HTML71_10" hidden="1">""</definedName>
    <definedName name="HTML71_11" hidden="1">1</definedName>
    <definedName name="HTML71_12" hidden="1">"E:\0616_5.htm"</definedName>
    <definedName name="HTML71_2" hidden="1">1</definedName>
    <definedName name="HTML71_3" hidden="1">"部署番号表"</definedName>
    <definedName name="HTML71_4" hidden="1">"部署番号表『工場』"</definedName>
    <definedName name="HTML71_5" hidden="1">""</definedName>
    <definedName name="HTML71_6" hidden="1">-4146</definedName>
    <definedName name="HTML71_7" hidden="1">-4146</definedName>
    <definedName name="HTML71_8" hidden="1">"2000/06/20"</definedName>
    <definedName name="HTML71_9" hidden="1">"株式会社ブリヂストン"</definedName>
    <definedName name="HTML72_1" hidden="1">"[BU000616.xls]部署一覧!$A$979:$G$1098"</definedName>
    <definedName name="HTML72_10" hidden="1">""</definedName>
    <definedName name="HTML72_11" hidden="1">1</definedName>
    <definedName name="HTML72_12" hidden="1">"E:\0616_6.htm"</definedName>
    <definedName name="HTML72_2" hidden="1">1</definedName>
    <definedName name="HTML72_3" hidden="1">"部署番号表"</definedName>
    <definedName name="HTML72_4" hidden="1">"部署番号表『工場』"</definedName>
    <definedName name="HTML72_5" hidden="1">""</definedName>
    <definedName name="HTML72_6" hidden="1">-4146</definedName>
    <definedName name="HTML72_7" hidden="1">-4146</definedName>
    <definedName name="HTML72_8" hidden="1">"2000/06/20"</definedName>
    <definedName name="HTML72_9" hidden="1">"株式会社ブリヂストン"</definedName>
    <definedName name="HTML73_1" hidden="1">"[BU000616.xls]部署一覧!$A$1108:$G$1160"</definedName>
    <definedName name="HTML73_10" hidden="1">""</definedName>
    <definedName name="HTML73_11" hidden="1">1</definedName>
    <definedName name="HTML73_12" hidden="1">"E:\0616_7.htm"</definedName>
    <definedName name="HTML73_2" hidden="1">1</definedName>
    <definedName name="HTML73_3" hidden="1">"部署番号表"</definedName>
    <definedName name="HTML73_4" hidden="1">"部署番号表『工場』"</definedName>
    <definedName name="HTML73_5" hidden="1">""</definedName>
    <definedName name="HTML73_6" hidden="1">-4146</definedName>
    <definedName name="HTML73_7" hidden="1">-4146</definedName>
    <definedName name="HTML73_8" hidden="1">"2000/06/20"</definedName>
    <definedName name="HTML73_9" hidden="1">"株式会社ブリヂストン"</definedName>
    <definedName name="HTML74_1" hidden="1">"[BU000616.xls]部署一覧!$A$1172:$G$1363"</definedName>
    <definedName name="HTML74_10" hidden="1">""</definedName>
    <definedName name="HTML74_11" hidden="1">1</definedName>
    <definedName name="HTML74_12" hidden="1">"E:\0616_8.htm"</definedName>
    <definedName name="HTML74_2" hidden="1">1</definedName>
    <definedName name="HTML74_3" hidden="1">"部署番号表"</definedName>
    <definedName name="HTML74_4" hidden="1">"部署番号表『化工品』"</definedName>
    <definedName name="HTML74_5" hidden="1">""</definedName>
    <definedName name="HTML74_6" hidden="1">-4146</definedName>
    <definedName name="HTML74_7" hidden="1">-4146</definedName>
    <definedName name="HTML74_8" hidden="1">"2000/06/20"</definedName>
    <definedName name="HTML74_9" hidden="1">"株式会社ブリヂストン"</definedName>
    <definedName name="HTML75_1" hidden="1">"[BU000616.xls]部署一覧!$A$1368:$G$1452"</definedName>
    <definedName name="HTML75_10" hidden="1">""</definedName>
    <definedName name="HTML75_11" hidden="1">1</definedName>
    <definedName name="HTML75_12" hidden="1">"E:\0616_9.htm"</definedName>
    <definedName name="HTML75_2" hidden="1">1</definedName>
    <definedName name="HTML75_3" hidden="1">"部署番号表"</definedName>
    <definedName name="HTML75_4" hidden="1">"部署番号表『化工品』"</definedName>
    <definedName name="HTML75_5" hidden="1">""</definedName>
    <definedName name="HTML75_6" hidden="1">-4146</definedName>
    <definedName name="HTML75_7" hidden="1">-4146</definedName>
    <definedName name="HTML75_8" hidden="1">"2000/06/20"</definedName>
    <definedName name="HTML75_9" hidden="1">"株式会社ブリヂストン"</definedName>
    <definedName name="HTML76_1" hidden="1">"[BU000816.xls]部署一覧!$A$6:$G$207"</definedName>
    <definedName name="HTML76_10" hidden="1">""</definedName>
    <definedName name="HTML76_11" hidden="1">1</definedName>
    <definedName name="HTML76_12" hidden="1">"E:\0816_1.htm"</definedName>
    <definedName name="HTML76_2" hidden="1">1</definedName>
    <definedName name="HTML76_3" hidden="1">"部署番号表"</definedName>
    <definedName name="HTML76_4" hidden="1">"部署番号表『本社』"</definedName>
    <definedName name="HTML76_5" hidden="1">""</definedName>
    <definedName name="HTML76_6" hidden="1">-4146</definedName>
    <definedName name="HTML76_7" hidden="1">-4146</definedName>
    <definedName name="HTML76_8" hidden="1">"2000/08/22"</definedName>
    <definedName name="HTML76_9" hidden="1">"株式会社ブリヂストン"</definedName>
    <definedName name="HTML77_1" hidden="1">"[BU000816.xls]部署一覧!$A$209:$G$403"</definedName>
    <definedName name="HTML77_10" hidden="1">""</definedName>
    <definedName name="HTML77_11" hidden="1">1</definedName>
    <definedName name="HTML77_12" hidden="1">"E:\0816_2.htm"</definedName>
    <definedName name="HTML77_2" hidden="1">1</definedName>
    <definedName name="HTML77_3" hidden="1">"部署番号表"</definedName>
    <definedName name="HTML77_4" hidden="1">"部署番号表『本社』"</definedName>
    <definedName name="HTML77_5" hidden="1">""</definedName>
    <definedName name="HTML77_6" hidden="1">-4146</definedName>
    <definedName name="HTML77_7" hidden="1">-4146</definedName>
    <definedName name="HTML77_8" hidden="1">"2000/08/22"</definedName>
    <definedName name="HTML77_9" hidden="1">"株式会社ブリヂストン"</definedName>
    <definedName name="HTML78_1" hidden="1">"[BU000816.xls]部署一覧!$A$406:$G$664"</definedName>
    <definedName name="HTML78_10" hidden="1">""</definedName>
    <definedName name="HTML78_11" hidden="1">1</definedName>
    <definedName name="HTML78_12" hidden="1">"E:\0816_3.htm"</definedName>
    <definedName name="HTML78_2" hidden="1">1</definedName>
    <definedName name="HTML78_3" hidden="1">"部署番号表"</definedName>
    <definedName name="HTML78_4" hidden="1">"部署番号表『小平』"</definedName>
    <definedName name="HTML78_5" hidden="1">""</definedName>
    <definedName name="HTML78_6" hidden="1">-4146</definedName>
    <definedName name="HTML78_7" hidden="1">-4146</definedName>
    <definedName name="HTML78_8" hidden="1">"2000/08/22"</definedName>
    <definedName name="HTML78_9" hidden="1">"株式会社ブリヂストン"</definedName>
    <definedName name="HTML79_1" hidden="1">"[BU000816.xls]部署一覧!$A$668:$G$867"</definedName>
    <definedName name="HTML79_10" hidden="1">""</definedName>
    <definedName name="HTML79_11" hidden="1">1</definedName>
    <definedName name="HTML79_12" hidden="1">"E:\0816_4.htm"</definedName>
    <definedName name="HTML79_2" hidden="1">1</definedName>
    <definedName name="HTML79_3" hidden="1">"部署番号表"</definedName>
    <definedName name="HTML79_4" hidden="1">"部署番号表『小平』"</definedName>
    <definedName name="HTML79_5" hidden="1">""</definedName>
    <definedName name="HTML79_6" hidden="1">-4146</definedName>
    <definedName name="HTML79_7" hidden="1">-4146</definedName>
    <definedName name="HTML79_8" hidden="1">"2000/08/22"</definedName>
    <definedName name="HTML79_9" hidden="1">"株式会社ブリヂストン"</definedName>
    <definedName name="HTML8_1" hidden="1">"[BU000201.xls]部署一覧!$A$979:$G$1101"</definedName>
    <definedName name="HTML8_10" hidden="1">""</definedName>
    <definedName name="HTML8_11" hidden="1">1</definedName>
    <definedName name="HTML8_12" hidden="1">"E:\0201_6.htm"</definedName>
    <definedName name="HTML8_2" hidden="1">1</definedName>
    <definedName name="HTML8_3" hidden="1">"部署番号表"</definedName>
    <definedName name="HTML8_4" hidden="1">"部署番号表『工場』"</definedName>
    <definedName name="HTML8_5" hidden="1">""</definedName>
    <definedName name="HTML8_6" hidden="1">-4146</definedName>
    <definedName name="HTML8_7" hidden="1">-4146</definedName>
    <definedName name="HTML8_8" hidden="1">"2000/02/03"</definedName>
    <definedName name="HTML8_9" hidden="1">"株式会社ブリヂストン"</definedName>
    <definedName name="HTML80_1" hidden="1">"[BU000816.xls]部署一覧!$A$870:$G$969"</definedName>
    <definedName name="HTML80_10" hidden="1">""</definedName>
    <definedName name="HTML80_11" hidden="1">1</definedName>
    <definedName name="HTML80_12" hidden="1">"E:\0816_5.htm"</definedName>
    <definedName name="HTML80_2" hidden="1">1</definedName>
    <definedName name="HTML80_3" hidden="1">"部署番号表"</definedName>
    <definedName name="HTML80_4" hidden="1">"部署番号表『工場』"</definedName>
    <definedName name="HTML80_5" hidden="1">""</definedName>
    <definedName name="HTML80_6" hidden="1">-4146</definedName>
    <definedName name="HTML80_7" hidden="1">-4146</definedName>
    <definedName name="HTML80_8" hidden="1">"2000/08/22"</definedName>
    <definedName name="HTML80_9" hidden="1">"株式会社ブリヂストン"</definedName>
    <definedName name="HTML81_1" hidden="1">"[BU000816.xls]部署一覧!$A$979:$G$1096"</definedName>
    <definedName name="HTML81_10" hidden="1">""</definedName>
    <definedName name="HTML81_11" hidden="1">1</definedName>
    <definedName name="HTML81_12" hidden="1">"E:\0816_6.htm"</definedName>
    <definedName name="HTML81_2" hidden="1">1</definedName>
    <definedName name="HTML81_3" hidden="1">"部署番号表"</definedName>
    <definedName name="HTML81_4" hidden="1">"部署番号表『工場』"</definedName>
    <definedName name="HTML81_5" hidden="1">""</definedName>
    <definedName name="HTML81_6" hidden="1">-4146</definedName>
    <definedName name="HTML81_7" hidden="1">-4146</definedName>
    <definedName name="HTML81_8" hidden="1">"2000/08/22"</definedName>
    <definedName name="HTML81_9" hidden="1">"株式会社ブリヂストン"</definedName>
    <definedName name="HTML82_1" hidden="1">"[BU000816.xls]部署一覧!$A$1108:$G$1160"</definedName>
    <definedName name="HTML82_10" hidden="1">""</definedName>
    <definedName name="HTML82_11" hidden="1">1</definedName>
    <definedName name="HTML82_12" hidden="1">"E:\0816_7.htm"</definedName>
    <definedName name="HTML82_2" hidden="1">1</definedName>
    <definedName name="HTML82_3" hidden="1">"部署番号表"</definedName>
    <definedName name="HTML82_4" hidden="1">"部署番号表『工場』"</definedName>
    <definedName name="HTML82_5" hidden="1">""</definedName>
    <definedName name="HTML82_6" hidden="1">-4146</definedName>
    <definedName name="HTML82_7" hidden="1">-4146</definedName>
    <definedName name="HTML82_8" hidden="1">"2000/08/22"</definedName>
    <definedName name="HTML82_9" hidden="1">"株式会社ブリヂストン"</definedName>
    <definedName name="HTML83_1" hidden="1">"[BU000816.xls]部署一覧!$A$1172:$G$1363"</definedName>
    <definedName name="HTML83_10" hidden="1">""</definedName>
    <definedName name="HTML83_11" hidden="1">1</definedName>
    <definedName name="HTML83_12" hidden="1">"E:\0816_8.htm"</definedName>
    <definedName name="HTML83_2" hidden="1">1</definedName>
    <definedName name="HTML83_3" hidden="1">"部署番号表"</definedName>
    <definedName name="HTML83_4" hidden="1">"部署番号表『化工品』"</definedName>
    <definedName name="HTML83_5" hidden="1">""</definedName>
    <definedName name="HTML83_6" hidden="1">-4146</definedName>
    <definedName name="HTML83_7" hidden="1">-4146</definedName>
    <definedName name="HTML83_8" hidden="1">"2000/08/22"</definedName>
    <definedName name="HTML83_9" hidden="1">"株式会社ブリヂストン"</definedName>
    <definedName name="HTML84_1" hidden="1">"[BU000816.xls]部署一覧!$A$1368:$G$1452"</definedName>
    <definedName name="HTML84_10" hidden="1">""</definedName>
    <definedName name="HTML84_11" hidden="1">1</definedName>
    <definedName name="HTML84_12" hidden="1">"E:\0816_9.htm"</definedName>
    <definedName name="HTML84_2" hidden="1">1</definedName>
    <definedName name="HTML84_3" hidden="1">"部署番号表"</definedName>
    <definedName name="HTML84_4" hidden="1">"部署番号表『化工品』"</definedName>
    <definedName name="HTML84_5" hidden="1">""</definedName>
    <definedName name="HTML84_6" hidden="1">-4146</definedName>
    <definedName name="HTML84_7" hidden="1">-4146</definedName>
    <definedName name="HTML84_8" hidden="1">"2000/08/22"</definedName>
    <definedName name="HTML84_9" hidden="1">"株式会社ブリヂストン"</definedName>
    <definedName name="HTML85_1" hidden="1">"[BU000901.xls]部署一覧!$A$6:$G$207"</definedName>
    <definedName name="HTML85_10" hidden="1">""</definedName>
    <definedName name="HTML85_11" hidden="1">1</definedName>
    <definedName name="HTML85_12" hidden="1">"E:\0901_1.htm"</definedName>
    <definedName name="HTML85_2" hidden="1">1</definedName>
    <definedName name="HTML85_3" hidden="1">"部署番号表"</definedName>
    <definedName name="HTML85_4" hidden="1">"部署番号表『本社』"</definedName>
    <definedName name="HTML85_5" hidden="1">""</definedName>
    <definedName name="HTML85_6" hidden="1">-4146</definedName>
    <definedName name="HTML85_7" hidden="1">-4146</definedName>
    <definedName name="HTML85_8" hidden="1">"2000/09/05"</definedName>
    <definedName name="HTML85_9" hidden="1">"株式会社ブリヂストン"</definedName>
    <definedName name="HTML86_1" hidden="1">"[BU000901.xls]部署一覧!$A$209:$G$403"</definedName>
    <definedName name="HTML86_10" hidden="1">""</definedName>
    <definedName name="HTML86_11" hidden="1">1</definedName>
    <definedName name="HTML86_12" hidden="1">"E:\0901_2.htm"</definedName>
    <definedName name="HTML86_2" hidden="1">1</definedName>
    <definedName name="HTML86_3" hidden="1">"部署番号表"</definedName>
    <definedName name="HTML86_4" hidden="1">"部署番号表『本社』"</definedName>
    <definedName name="HTML86_5" hidden="1">""</definedName>
    <definedName name="HTML86_6" hidden="1">-4146</definedName>
    <definedName name="HTML86_7" hidden="1">-4146</definedName>
    <definedName name="HTML86_8" hidden="1">"2000/09/05"</definedName>
    <definedName name="HTML86_9" hidden="1">"株式会社ブリヂストン"</definedName>
    <definedName name="HTML87_1" hidden="1">"[BU000901.xls]部署一覧!$A$406:$G$664"</definedName>
    <definedName name="HTML87_10" hidden="1">""</definedName>
    <definedName name="HTML87_11" hidden="1">1</definedName>
    <definedName name="HTML87_12" hidden="1">"E:\0901_3.htm"</definedName>
    <definedName name="HTML87_2" hidden="1">1</definedName>
    <definedName name="HTML87_3" hidden="1">"部署番号表"</definedName>
    <definedName name="HTML87_4" hidden="1">"部署番号表『小平』"</definedName>
    <definedName name="HTML87_5" hidden="1">""</definedName>
    <definedName name="HTML87_6" hidden="1">-4146</definedName>
    <definedName name="HTML87_7" hidden="1">-4146</definedName>
    <definedName name="HTML87_8" hidden="1">"2000/09/05"</definedName>
    <definedName name="HTML87_9" hidden="1">"株式会社ブリヂストン"</definedName>
    <definedName name="HTML88_1" hidden="1">"[BU000901.xls]部署一覧!$A$668:$G$866"</definedName>
    <definedName name="HTML88_10" hidden="1">""</definedName>
    <definedName name="HTML88_11" hidden="1">1</definedName>
    <definedName name="HTML88_12" hidden="1">"E:\0901_4.htm"</definedName>
    <definedName name="HTML88_2" hidden="1">1</definedName>
    <definedName name="HTML88_3" hidden="1">"部署番号表"</definedName>
    <definedName name="HTML88_4" hidden="1">"部署番号表『小平』"</definedName>
    <definedName name="HTML88_5" hidden="1">""</definedName>
    <definedName name="HTML88_6" hidden="1">-4146</definedName>
    <definedName name="HTML88_7" hidden="1">-4146</definedName>
    <definedName name="HTML88_8" hidden="1">"2000/09/05"</definedName>
    <definedName name="HTML88_9" hidden="1">"株式会社ブリヂストン"</definedName>
    <definedName name="HTML89_1" hidden="1">"[BU000901.xls]部署一覧!$A$869:$G$968"</definedName>
    <definedName name="HTML89_10" hidden="1">""</definedName>
    <definedName name="HTML89_11" hidden="1">1</definedName>
    <definedName name="HTML89_12" hidden="1">"E:\0901_5.htm"</definedName>
    <definedName name="HTML89_2" hidden="1">1</definedName>
    <definedName name="HTML89_3" hidden="1">"部署番号表"</definedName>
    <definedName name="HTML89_4" hidden="1">"部署番号表『工場』"</definedName>
    <definedName name="HTML89_5" hidden="1">""</definedName>
    <definedName name="HTML89_6" hidden="1">-4146</definedName>
    <definedName name="HTML89_7" hidden="1">-4146</definedName>
    <definedName name="HTML89_8" hidden="1">"2000/09/05"</definedName>
    <definedName name="HTML89_9" hidden="1">"株式会社ブリヂストン"</definedName>
    <definedName name="HTML9_1" hidden="1">"[BU000201.xls]部署一覧!$A$1108:$G$1160"</definedName>
    <definedName name="HTML9_10" hidden="1">""</definedName>
    <definedName name="HTML9_11" hidden="1">1</definedName>
    <definedName name="HTML9_12" hidden="1">"E:\0201_7.htm"</definedName>
    <definedName name="HTML9_2" hidden="1">1</definedName>
    <definedName name="HTML9_3" hidden="1">"部署番号表"</definedName>
    <definedName name="HTML9_4" hidden="1">"部署番号表『工場』"</definedName>
    <definedName name="HTML9_5" hidden="1">""</definedName>
    <definedName name="HTML9_6" hidden="1">-4146</definedName>
    <definedName name="HTML9_7" hidden="1">-4146</definedName>
    <definedName name="HTML9_8" hidden="1">"2000/02/03"</definedName>
    <definedName name="HTML9_9" hidden="1">"株式会社ブリヂストン"</definedName>
    <definedName name="HTML90_1" hidden="1">"[BU000901.xls]部署一覧!$A$979:$G$1096"</definedName>
    <definedName name="HTML90_10" hidden="1">""</definedName>
    <definedName name="HTML90_11" hidden="1">1</definedName>
    <definedName name="HTML90_12" hidden="1">"E:\0901_6.htm"</definedName>
    <definedName name="HTML90_2" hidden="1">1</definedName>
    <definedName name="HTML90_3" hidden="1">"部署番号表"</definedName>
    <definedName name="HTML90_4" hidden="1">"部署番号表『工場』"</definedName>
    <definedName name="HTML90_5" hidden="1">""</definedName>
    <definedName name="HTML90_6" hidden="1">-4146</definedName>
    <definedName name="HTML90_7" hidden="1">-4146</definedName>
    <definedName name="HTML90_8" hidden="1">"2000/09/05"</definedName>
    <definedName name="HTML90_9" hidden="1">"株式会社ブリヂストン"</definedName>
    <definedName name="HTML91_1" hidden="1">"[BU000901.xls]部署一覧!$A$1108:$G$1160"</definedName>
    <definedName name="HTML91_10" hidden="1">""</definedName>
    <definedName name="HTML91_11" hidden="1">1</definedName>
    <definedName name="HTML91_12" hidden="1">"E:\0901_7.htm"</definedName>
    <definedName name="HTML91_2" hidden="1">1</definedName>
    <definedName name="HTML91_3" hidden="1">"部署番号表"</definedName>
    <definedName name="HTML91_4" hidden="1">"部署番号表『工場』"</definedName>
    <definedName name="HTML91_5" hidden="1">""</definedName>
    <definedName name="HTML91_6" hidden="1">-4146</definedName>
    <definedName name="HTML91_7" hidden="1">-4146</definedName>
    <definedName name="HTML91_8" hidden="1">"2000/09/05"</definedName>
    <definedName name="HTML91_9" hidden="1">"株式会社ブリヂストン"</definedName>
    <definedName name="HTML92_1" hidden="1">"[BU000901.xls]部署一覧!$A$1172:$G$1362"</definedName>
    <definedName name="HTML92_10" hidden="1">""</definedName>
    <definedName name="HTML92_11" hidden="1">1</definedName>
    <definedName name="HTML92_12" hidden="1">"E:\0901_8.htm"</definedName>
    <definedName name="HTML92_2" hidden="1">1</definedName>
    <definedName name="HTML92_3" hidden="1">"部署番号表"</definedName>
    <definedName name="HTML92_4" hidden="1">"部署番号表『化工品』"</definedName>
    <definedName name="HTML92_5" hidden="1">""</definedName>
    <definedName name="HTML92_6" hidden="1">-4146</definedName>
    <definedName name="HTML92_7" hidden="1">-4146</definedName>
    <definedName name="HTML92_8" hidden="1">"2000/09/05"</definedName>
    <definedName name="HTML92_9" hidden="1">"株式会社ブリヂストン"</definedName>
    <definedName name="HTML93_1" hidden="1">"[BU000901.xls]部署一覧!$A$1368:$G$1452"</definedName>
    <definedName name="HTML93_10" hidden="1">""</definedName>
    <definedName name="HTML93_11" hidden="1">1</definedName>
    <definedName name="HTML93_12" hidden="1">"E:\0901_9.htm"</definedName>
    <definedName name="HTML93_2" hidden="1">1</definedName>
    <definedName name="HTML93_3" hidden="1">"部署番号表"</definedName>
    <definedName name="HTML93_4" hidden="1">"部署番号表『化工品』"</definedName>
    <definedName name="HTML93_5" hidden="1">""</definedName>
    <definedName name="HTML93_6" hidden="1">-4146</definedName>
    <definedName name="HTML93_7" hidden="1">-4146</definedName>
    <definedName name="HTML93_8" hidden="1">"2000/09/05"</definedName>
    <definedName name="HTML93_9" hidden="1">"株式会社ブリヂストン"</definedName>
    <definedName name="HTML94_1" hidden="1">"[BU001116.xls]部署一覧!$A$6:$G$183"</definedName>
    <definedName name="HTML94_10" hidden="1">""</definedName>
    <definedName name="HTML94_11" hidden="1">1</definedName>
    <definedName name="HTML94_12" hidden="1">"E:\1116_1.htm"</definedName>
    <definedName name="HTML94_2" hidden="1">1</definedName>
    <definedName name="HTML94_3" hidden="1">"部署番号表"</definedName>
    <definedName name="HTML94_4" hidden="1">"部署番号表『本社』"</definedName>
    <definedName name="HTML94_5" hidden="1">""</definedName>
    <definedName name="HTML94_6" hidden="1">-4146</definedName>
    <definedName name="HTML94_7" hidden="1">-4146</definedName>
    <definedName name="HTML94_8" hidden="1">"2000/11/17"</definedName>
    <definedName name="HTML94_9" hidden="1">"株式会社ブリヂストン"</definedName>
    <definedName name="HTML95_1" hidden="1">"[BU001116.xls]部署一覧!$A$198:$G$370"</definedName>
    <definedName name="HTML95_10" hidden="1">""</definedName>
    <definedName name="HTML95_11" hidden="1">1</definedName>
    <definedName name="HTML95_12" hidden="1">"E:\1116_2htm"</definedName>
    <definedName name="HTML95_2" hidden="1">1</definedName>
    <definedName name="HTML95_3" hidden="1">"部署番号表"</definedName>
    <definedName name="HTML95_4" hidden="1">"部署番号表『本社』"</definedName>
    <definedName name="HTML95_5" hidden="1">""</definedName>
    <definedName name="HTML95_6" hidden="1">-4146</definedName>
    <definedName name="HTML95_7" hidden="1">-4146</definedName>
    <definedName name="HTML95_8" hidden="1">"2000/11/17"</definedName>
    <definedName name="HTML95_9" hidden="1">"株式会社ブリヂストン"</definedName>
    <definedName name="HTML96_1" hidden="1">"[BU001116.xls]部署一覧!$A$393:$G$641"</definedName>
    <definedName name="HTML96_10" hidden="1">""</definedName>
    <definedName name="HTML96_11" hidden="1">1</definedName>
    <definedName name="HTML96_12" hidden="1">"E:\1116_3.htm"</definedName>
    <definedName name="HTML96_2" hidden="1">1</definedName>
    <definedName name="HTML96_3" hidden="1">"部署番号表"</definedName>
    <definedName name="HTML96_4" hidden="1">"部署番号表『小平』"</definedName>
    <definedName name="HTML96_5" hidden="1">""</definedName>
    <definedName name="HTML96_6" hidden="1">-4146</definedName>
    <definedName name="HTML96_7" hidden="1">-4146</definedName>
    <definedName name="HTML96_8" hidden="1">"2000/11/17"</definedName>
    <definedName name="HTML96_9" hidden="1">"株式会社ブリヂストン"</definedName>
    <definedName name="HTML97_1" hidden="1">"[BU001116.xls]部署一覧!$A$652:$G$830"</definedName>
    <definedName name="HTML97_10" hidden="1">""</definedName>
    <definedName name="HTML97_11" hidden="1">1</definedName>
    <definedName name="HTML97_12" hidden="1">"E:\1116_4.htm"</definedName>
    <definedName name="HTML97_2" hidden="1">1</definedName>
    <definedName name="HTML97_3" hidden="1">"部署番号表"</definedName>
    <definedName name="HTML97_4" hidden="1">"部署番号表『小平』"</definedName>
    <definedName name="HTML97_5" hidden="1">""</definedName>
    <definedName name="HTML97_6" hidden="1">-4146</definedName>
    <definedName name="HTML97_7" hidden="1">-4146</definedName>
    <definedName name="HTML97_8" hidden="1">"2000/11/17"</definedName>
    <definedName name="HTML97_9" hidden="1">"株式会社ブリヂストン"</definedName>
    <definedName name="HTML98_1" hidden="1">"[BU001116.xls]部署一覧!$A$833:$G$902"</definedName>
    <definedName name="HTML98_10" hidden="1">""</definedName>
    <definedName name="HTML98_11" hidden="1">1</definedName>
    <definedName name="HTML98_12" hidden="1">"E:\1116_5.htm"</definedName>
    <definedName name="HTML98_2" hidden="1">1</definedName>
    <definedName name="HTML98_3" hidden="1">"部署番号表"</definedName>
    <definedName name="HTML98_4" hidden="1">"部署番号表『工場』"</definedName>
    <definedName name="HTML98_5" hidden="1">""</definedName>
    <definedName name="HTML98_6" hidden="1">-4146</definedName>
    <definedName name="HTML98_7" hidden="1">-4146</definedName>
    <definedName name="HTML98_8" hidden="1">"2000/11/17"</definedName>
    <definedName name="HTML98_9" hidden="1">"株式会社ブリヂストン"</definedName>
    <definedName name="HTML99_1" hidden="1">"[BU001116.xls]部署一覧!$A$913:$G$1030"</definedName>
    <definedName name="HTML99_10" hidden="1">""</definedName>
    <definedName name="HTML99_11" hidden="1">1</definedName>
    <definedName name="HTML99_12" hidden="1">"E:\1116_6.htm"</definedName>
    <definedName name="HTML99_2" hidden="1">1</definedName>
    <definedName name="HTML99_3" hidden="1">"部署番号表"</definedName>
    <definedName name="HTML99_4" hidden="1">"部署番号表『工場』"</definedName>
    <definedName name="HTML99_5" hidden="1">""</definedName>
    <definedName name="HTML99_6" hidden="1">-4146</definedName>
    <definedName name="HTML99_7" hidden="1">-4146</definedName>
    <definedName name="HTML99_8" hidden="1">"2000/11/17"</definedName>
    <definedName name="HTML99_9" hidden="1">"株式会社ブリヂストン"</definedName>
    <definedName name="HTMLCount" hidden="1">1</definedName>
    <definedName name="inspector">"$#REF!.$G$273:$G$811"</definedName>
    <definedName name="inspector_10">"$#REF!.$G$273:$G$811"</definedName>
    <definedName name="ｋ" hidden="1">#REF!</definedName>
    <definedName name="KEI" hidden="1">#REF!</definedName>
    <definedName name="kris">#REF!</definedName>
    <definedName name="kwan" hidden="1">'[9]702'!#REF!</definedName>
    <definedName name="LIG" hidden="1">[18]原単位表!#REF!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AR">[19]Mar!$BE$4</definedName>
    <definedName name="Mc63apr23">#REF!</definedName>
    <definedName name="MON_START">[11]System!$A$37:$A$48</definedName>
    <definedName name="MONTHLY_CURRENCY">[11]ConceptC!$D$16</definedName>
    <definedName name="MUA_MC63_APR23">#REF!</definedName>
    <definedName name="NEW" hidden="1">#REF!</definedName>
    <definedName name="noy" hidden="1">#REF!</definedName>
    <definedName name="NR_A_or_L_SHOP_MAY14">#REF!</definedName>
    <definedName name="ok">#REF!</definedName>
    <definedName name="okkk" hidden="1">'[1]S-PLAN'!$I$1306:$P$1306</definedName>
    <definedName name="operator">"$#REF!.$G$812:$G$3608"</definedName>
    <definedName name="operator_10">"$#REF!.$G$812:$G$3608"</definedName>
    <definedName name="Period">[20]list!$F$4:$F$15</definedName>
    <definedName name="_xlnm.Print_Area" localSheetId="0">'MAR''24 (SUAI DES ke APR)'!$A$1:$S$22</definedName>
    <definedName name="_xlnm.Print_Area" localSheetId="1">Souvenir!$B$1:$J$35</definedName>
    <definedName name="_xlnm.Print_Area" localSheetId="2">'TAHAP 1'!$A$1:$V$84</definedName>
    <definedName name="_xlnm.Print_Area" localSheetId="4">'TAHAP 2.1 (SPD)'!$A$1:$W$61</definedName>
    <definedName name="_xlnm.Print_Area" localSheetId="3">'TAPAH 2.2 (Rincian)'!$A$1:$P$92</definedName>
    <definedName name="_xlnm.Print_Area">#REF!</definedName>
    <definedName name="Print_Area_MI" localSheetId="0">#REF!</definedName>
    <definedName name="Print_Area_MI">#REF!</definedName>
    <definedName name="Products">[20]list!$O$4:$O$22</definedName>
    <definedName name="q" hidden="1">#REF!</definedName>
    <definedName name="qaw" hidden="1">[8]MYZK02!$I$1304:$P$1304</definedName>
    <definedName name="red" hidden="1">[8]MYZK02!$K$1293:$P$1293</definedName>
    <definedName name="redw" hidden="1">[8]MYZK02!$I$1293:$P$1293</definedName>
    <definedName name="reg" hidden="1">'[1]S-PLAN'!$I$1293:$P$1293</definedName>
    <definedName name="RETYHJJJTYRY">#REF!</definedName>
    <definedName name="rewq" hidden="1">'[1]S-PLAN'!$I$1293:$P$1293</definedName>
    <definedName name="ｒｒｒ" hidden="1">#REF!</definedName>
    <definedName name="S" hidden="1">#REF!</definedName>
    <definedName name="ｓ" hidden="1">#REF!</definedName>
    <definedName name="sa" hidden="1">#REF!</definedName>
    <definedName name="saa" hidden="1">[8]MYZK02!$I$582:$P$582</definedName>
    <definedName name="sade" hidden="1">'[1]S-PLAN'!$I$1306:$P$1306</definedName>
    <definedName name="SAPBEXrevision" hidden="1">3</definedName>
    <definedName name="SAPBEXsysID" hidden="1">"BW1"</definedName>
    <definedName name="SAPBEXwbID" hidden="1">"3SDE71NL9JJB2F6LMYQ0XGE9S"</definedName>
    <definedName name="sea" hidden="1">[8]MYZK02!$I$859:$P$859</definedName>
    <definedName name="seaw" hidden="1">'[1]S-PLAN'!$I$582:$P$582</definedName>
    <definedName name="sed" hidden="1">[8]MYZK02!$I$812:$P$812</definedName>
    <definedName name="SHOPPDM0531_クエリー1">#REF!</definedName>
    <definedName name="SHUKKO_クエリー">#REF!</definedName>
    <definedName name="SHUTTLE" hidden="1">#REF!</definedName>
    <definedName name="SOrt" hidden="1">[21]STATEMENT!#REF!</definedName>
    <definedName name="SORTIR">"$#REF!.$B$10:$AB$3559"</definedName>
    <definedName name="SORTIR_10">"$#REF!.$B$10:$AB$3559"</definedName>
    <definedName name="SPDMのクロス集計_クエリー">#REF!</definedName>
    <definedName name="ｓｓ" hidden="1">#REF!</definedName>
    <definedName name="sss">#REF!</definedName>
    <definedName name="ＳＳＳ" hidden="1">#REF!</definedName>
    <definedName name="STATUS">"$#REF!.$C$10:$AA$3608"</definedName>
    <definedName name="STATUS_12">"$'Meninggalkan Pekerjaan'.$#REF!$#REF!:$#REF!$#REF!"</definedName>
    <definedName name="STEP">[11]System!$A$14:$A$17</definedName>
    <definedName name="STEP_ASSET">[11]System!$E$14:$E$15</definedName>
    <definedName name="tantou" hidden="1">[17]トピックス!#REF!</definedName>
    <definedName name="TextRefCopy1">'[22]Mar rev'!$BJ$4</definedName>
    <definedName name="TextRefCopy2">'[22]Mar rev'!$BG$4</definedName>
    <definedName name="TextRefCopyRangeCount" hidden="1">2</definedName>
    <definedName name="VERSION">[11]System!$A$2</definedName>
    <definedName name="VF">#REF!</definedName>
    <definedName name="VF38_車両PDM_クエリ">#REF!</definedName>
    <definedName name="VF38ENG_SPDM_040602_">#REF!</definedName>
    <definedName name="vvvv" hidden="1">#REF!</definedName>
    <definedName name="waa" hidden="1">[8]MYZK02!$I$828:$P$828</definedName>
    <definedName name="wde" hidden="1">[8]MYZK02!$I$879:$P$879</definedName>
    <definedName name="wdw" hidden="1">[8]MYZK02!$I$1293:$P$1293</definedName>
    <definedName name="we" hidden="1">[8]MYZK02!$I$809:$P$809</definedName>
    <definedName name="WORD001">[11]Words!$E$2</definedName>
    <definedName name="WORD002">[11]Words!$E$3</definedName>
    <definedName name="WORD003">[11]Words!$E$4</definedName>
    <definedName name="WORD004">[11]Words!$E$5</definedName>
    <definedName name="WORD004B">[11]Words!$E$6</definedName>
    <definedName name="WORD005">[11]Words!$E$7</definedName>
    <definedName name="WORD006">[11]Words!$E$8</definedName>
    <definedName name="WORD007">[11]Words!$E$9</definedName>
    <definedName name="WORD008">[11]Words!$E$10</definedName>
    <definedName name="WORD009">[11]Words!$E$11</definedName>
    <definedName name="WORD010">[11]Words!$E$12</definedName>
    <definedName name="WORD012">[11]Words!$E$14</definedName>
    <definedName name="WORD013">[11]Words!$E$15</definedName>
    <definedName name="WORD014">[11]Words!$E$16</definedName>
    <definedName name="WORD021">[11]Words!$E$23</definedName>
    <definedName name="WORD022">[11]Words!$E$24</definedName>
    <definedName name="WORD025">[11]Words!$E$27</definedName>
    <definedName name="WORD026">[11]Words!$E$28</definedName>
    <definedName name="WORD027">[11]Words!$E$29</definedName>
    <definedName name="WORD028">[11]Words!$E$30</definedName>
    <definedName name="WORD029">[11]Words!$E$31</definedName>
    <definedName name="WORD030">[11]Words!$E$32</definedName>
    <definedName name="WORD031">[11]Words!$E$33</definedName>
    <definedName name="WORD032">[11]Words!$E$34</definedName>
    <definedName name="WORD033">[11]Words!$E$35</definedName>
    <definedName name="WORD034">[11]Words!$E$36</definedName>
    <definedName name="WORD035">[11]Words!$E$37</definedName>
    <definedName name="WORD036">[11]Words!$E$38</definedName>
    <definedName name="WORD037">[11]Words!$E$39</definedName>
    <definedName name="WORD038">[11]Words!$E$40</definedName>
    <definedName name="WORD040">[11]Words!$E$42</definedName>
    <definedName name="WORD041">[11]Words!$E$43</definedName>
    <definedName name="WORD042">[11]Words!$E$44</definedName>
    <definedName name="WORD043">[11]Words!$E$45</definedName>
    <definedName name="WORD044">[11]Words!$E$46</definedName>
    <definedName name="WORD045">[11]Words!$E$47</definedName>
    <definedName name="WORD046">[11]Words!$E$48</definedName>
    <definedName name="WORD047">[11]Words!$E$49</definedName>
    <definedName name="WORD048">[11]Words!$E$50</definedName>
    <definedName name="WORD049">[11]Words!$E$51</definedName>
    <definedName name="WORD050">[11]Words!$E$52</definedName>
    <definedName name="WORD051">[11]Words!$E$53</definedName>
    <definedName name="WORD052">[11]Words!$E$54</definedName>
    <definedName name="WORD053">[11]Words!$E$55</definedName>
    <definedName name="WORD054">[11]Words!$E$56</definedName>
    <definedName name="WORD059">[11]Words!$E$61</definedName>
    <definedName name="WORD060">[11]Words!$E$62</definedName>
    <definedName name="WORD061">[11]Words!$E$63</definedName>
    <definedName name="WORD064">[11]Words!$E$66</definedName>
    <definedName name="WORD065">[11]Words!$E$67</definedName>
    <definedName name="WORD071">[11]Words!$E$73</definedName>
    <definedName name="WORD071b">[11]Words!$E$74</definedName>
    <definedName name="WORD073">[11]Words!$E$76</definedName>
    <definedName name="WORD074">[11]Words!$E$77</definedName>
    <definedName name="WORD075">[11]Words!$E$78</definedName>
    <definedName name="WORD075b">[11]Words!$E$79</definedName>
    <definedName name="WORD076">[11]Words!$E$80</definedName>
    <definedName name="WORD077">[11]Words!$E$81</definedName>
    <definedName name="WORD078">[11]Words!$E$82</definedName>
    <definedName name="WORD079">[11]Words!$E$83</definedName>
    <definedName name="WORD082">[11]Words!$E$86</definedName>
    <definedName name="WORD083">[11]Words!$E$87</definedName>
    <definedName name="WORD084">[11]Words!$E$88</definedName>
    <definedName name="WORD085">[11]Words!$E$89</definedName>
    <definedName name="WORD086">[11]Words!$E$90</definedName>
    <definedName name="WORD087">[11]Words!$E$91</definedName>
    <definedName name="WORD090">[11]Words!$E$94</definedName>
    <definedName name="WORD091">[11]Words!$E$95</definedName>
    <definedName name="WORD092">[11]Words!$E$96</definedName>
    <definedName name="WORD093">[11]Words!$E$97</definedName>
    <definedName name="WORD094">[11]Words!$E$98</definedName>
    <definedName name="WORD095">[11]Words!$E$99</definedName>
    <definedName name="WORD096">[11]Words!$E$100</definedName>
    <definedName name="WORD097">[11]Words!$E$101</definedName>
    <definedName name="WORD098">[11]Words!$E$102</definedName>
    <definedName name="WORD099">[11]Words!$E$103</definedName>
    <definedName name="WORD100">[11]Words!$E$104</definedName>
    <definedName name="WORD101">[11]Words!$E$105</definedName>
    <definedName name="WORD102">[11]Words!$E$106</definedName>
    <definedName name="WORD103">[11]Words!$E$107</definedName>
    <definedName name="WORD104">[11]Words!$E$108</definedName>
    <definedName name="WORD105">[11]Words!$E$109</definedName>
    <definedName name="WORD106">[11]Words!$E$110</definedName>
    <definedName name="WORD107">[11]Words!$E$111</definedName>
    <definedName name="WORD108">[11]Words!$E$112</definedName>
    <definedName name="WORD109">[11]Words!$E$113</definedName>
    <definedName name="WORD110">[11]Words!$E$114</definedName>
    <definedName name="WORD111">[11]Words!$E$115</definedName>
    <definedName name="WORD112">[11]Words!$E$116</definedName>
    <definedName name="WORD113">[11]Words!$E$117</definedName>
    <definedName name="WORD115">[11]Words!$E$119</definedName>
    <definedName name="WORD117">[11]Words!$E$121</definedName>
    <definedName name="WORD11８">[11]Words!$E$122</definedName>
    <definedName name="WORD119">[11]Words!$E$123</definedName>
    <definedName name="WORD120">[11]Words!$E$124</definedName>
    <definedName name="WORD121">[11]Words!$E$125</definedName>
    <definedName name="WORD122">[11]Words!$E$126</definedName>
    <definedName name="WORD123">[11]Words!$E$127</definedName>
    <definedName name="WORD124">[11]Words!$E$128</definedName>
    <definedName name="WORD125">[11]Words!$E$129</definedName>
    <definedName name="WORD126">[11]Words!$E$130</definedName>
    <definedName name="WORD127">[11]Words!$E$131</definedName>
    <definedName name="WORD128">[11]Words!$E$132</definedName>
    <definedName name="WORD129">[11]Words!$E$133</definedName>
    <definedName name="WORD130">[11]Words!$E$134</definedName>
    <definedName name="WORD131">[11]Words!$E$135</definedName>
    <definedName name="WORD132">[11]Words!$E$136</definedName>
    <definedName name="WORD133">[11]Words!$E$137</definedName>
    <definedName name="WORD150">[11]Words!$E$154</definedName>
    <definedName name="WORD152">[11]Words!$E$156</definedName>
    <definedName name="WORD153">[11]Words!$E$157</definedName>
    <definedName name="WORD154">[11]Words!$E$158</definedName>
    <definedName name="WORD155">[11]Words!$E$159</definedName>
    <definedName name="WORD156">[11]Words!$E$160</definedName>
    <definedName name="WORD157">[11]Words!$E$161</definedName>
    <definedName name="WORD158">[11]Words!$E$162</definedName>
    <definedName name="WORD159">[11]Words!$E$163</definedName>
    <definedName name="WORD160">[11]Words!$E$164</definedName>
    <definedName name="WORD161">[11]Words!$E$165</definedName>
    <definedName name="WORD162">[11]Words!$E$166</definedName>
    <definedName name="WORD163">[11]Words!$E$167</definedName>
    <definedName name="WORD164">[11]Words!$E$168</definedName>
    <definedName name="WORD165">[11]Words!$E$169</definedName>
    <definedName name="WORD166">[11]Words!$E$170</definedName>
    <definedName name="WORD167">[11]Words!$E$171</definedName>
    <definedName name="WORD168">[11]Words!$E$172</definedName>
    <definedName name="WORD169">[11]Words!$E$173</definedName>
    <definedName name="WORD170">[11]Words!$E$174</definedName>
    <definedName name="WORD171">[11]Words!$E$175</definedName>
    <definedName name="WORD172">[11]Words!$E$176</definedName>
    <definedName name="WORD173">[11]Words!$E$177</definedName>
    <definedName name="WORD174">[11]Words!$E$178</definedName>
    <definedName name="WORD175">[11]Words!$E$179</definedName>
    <definedName name="WORD176">[11]Words!$E$180</definedName>
    <definedName name="wrn.Bethune." hidden="1">{"BE",#N/A,TRUE,"Sorting"}</definedName>
    <definedName name="wrn.印刷." hidden="1">{#N/A,#N/A,TRUE,"ｼｽﾃﾑ概要";#N/A,#N/A,TRUE,"型交換の考え方";#N/A,#N/A,TRUE,"やりとり";#N/A,#N/A,TRUE,"イベント№一覧";#N/A,#N/A,TRUE,"DM一覧";#N/A,#N/A,TRUE,"機械構成など"}</definedName>
    <definedName name="ｘ" hidden="1">#REF!</definedName>
    <definedName name="YOTEI" localSheetId="0">#REF!</definedName>
    <definedName name="YOTEI">#REF!</definedName>
    <definedName name="ｙｙ" hidden="1">#REF!</definedName>
    <definedName name="Z" hidden="1">#REF!</definedName>
    <definedName name="Z_8247C79C_515D_4AD2_AA93_EF971B55936A_.wvu.Cols" hidden="1">#REF!</definedName>
    <definedName name="ZZZZ" hidden="1">#REF!</definedName>
    <definedName name="あ" hidden="1">#REF!</definedName>
    <definedName name="あｓ" hidden="1">#REF!</definedName>
    <definedName name="ああああＷＷ" hidden="1">#REF!</definedName>
    <definedName name="え" hidden="1">#REF!</definedName>
    <definedName name="ｻｲｽﾞﾘｽﾄ0007" hidden="1">[23]サイズリスト!#REF!</definedName>
    <definedName name="にし" hidden="1">[24]報告№②ー１!#REF!</definedName>
    <definedName name="ﾌｨﾙ" hidden="1">#REF!</definedName>
    <definedName name="リインボイス">[20]list!$R$4:$R$7</definedName>
    <definedName name="โ" hidden="1">#REF!</definedName>
    <definedName name="ฏฏฏฏ" hidden="1">#REF!</definedName>
    <definedName name="ณธฯ??" hidden="1">#REF!</definedName>
    <definedName name="ธณ?ฎ" hidden="1">#REF!</definedName>
    <definedName name="事業所">[20]list!$B$4:$B$114</definedName>
    <definedName name="意図伝" hidden="1">#REF!</definedName>
    <definedName name="投入の狙い" hidden="1">#REF!</definedName>
    <definedName name="新作製" hidden="1">[24]報告№②ー１!#REF!</definedName>
    <definedName name="新規" hidden="1">[24]報告№②ー１!#REF!</definedName>
    <definedName name="案" hidden="1">[24]報告№②ー１!#REF!</definedName>
    <definedName name="検査手順" hidden="1">[24]報告№②ー１!#REF!</definedName>
    <definedName name="見積り" hidden="1">#REF!</definedName>
    <definedName name="試乗車マップ" hidden="1">#REF!</definedName>
    <definedName name="調整" hidden="1">{"'TOYOTA'!$A$1:$R$26"}</definedName>
    <definedName name="車両_MC63_APR23">#REF!</definedName>
    <definedName name="関連表" hidden="1">#REF!</definedName>
  </definedNames>
  <calcPr calcId="181029"/>
</workbook>
</file>

<file path=xl/calcChain.xml><?xml version="1.0" encoding="utf-8"?>
<calcChain xmlns="http://schemas.openxmlformats.org/spreadsheetml/2006/main">
  <c r="I70" i="31" l="1"/>
  <c r="I69" i="31"/>
  <c r="I68" i="31"/>
  <c r="I65" i="31"/>
  <c r="I66" i="31"/>
  <c r="I67" i="31"/>
  <c r="I9" i="32"/>
  <c r="I10" i="32"/>
  <c r="C19" i="32"/>
  <c r="F19" i="32"/>
  <c r="G19" i="32"/>
  <c r="I19" i="32"/>
  <c r="M19" i="32"/>
  <c r="AB19" i="32" s="1"/>
  <c r="Y19" i="32"/>
  <c r="Z19" i="32"/>
  <c r="AA19" i="32"/>
  <c r="C20" i="32"/>
  <c r="F20" i="32"/>
  <c r="G20" i="32"/>
  <c r="I20" i="32"/>
  <c r="M20" i="32"/>
  <c r="C21" i="32"/>
  <c r="F21" i="32"/>
  <c r="G21" i="32"/>
  <c r="I21" i="32"/>
  <c r="M21" i="32"/>
  <c r="C22" i="32"/>
  <c r="F22" i="32"/>
  <c r="G22" i="32"/>
  <c r="Y22" i="32" s="1"/>
  <c r="I22" i="32"/>
  <c r="M22" i="32"/>
  <c r="Z22" i="32"/>
  <c r="AA22" i="32"/>
  <c r="AB22" i="32"/>
  <c r="S29" i="32"/>
  <c r="B35" i="32"/>
  <c r="C35" i="32"/>
  <c r="G35" i="32"/>
  <c r="L35" i="32"/>
  <c r="L39" i="32" s="1"/>
  <c r="S35" i="32"/>
  <c r="S39" i="32" s="1"/>
  <c r="B36" i="32"/>
  <c r="C36" i="32"/>
  <c r="G36" i="32"/>
  <c r="L36" i="32"/>
  <c r="S36" i="32"/>
  <c r="B37" i="32"/>
  <c r="C37" i="32"/>
  <c r="G37" i="32"/>
  <c r="L37" i="32"/>
  <c r="S37" i="32"/>
  <c r="B38" i="32"/>
  <c r="C38" i="32"/>
  <c r="G38" i="32"/>
  <c r="L38" i="32"/>
  <c r="S38" i="32"/>
  <c r="Q39" i="32"/>
  <c r="T57" i="32"/>
  <c r="F8" i="31"/>
  <c r="F22" i="31"/>
  <c r="G22" i="31"/>
  <c r="H22" i="31"/>
  <c r="I22" i="31"/>
  <c r="C23" i="31"/>
  <c r="J23" i="31"/>
  <c r="C24" i="31"/>
  <c r="J24" i="31"/>
  <c r="G25" i="31"/>
  <c r="J25" i="31"/>
  <c r="H44" i="31" s="1"/>
  <c r="F28" i="31"/>
  <c r="G28" i="31"/>
  <c r="H28" i="31"/>
  <c r="I28" i="31"/>
  <c r="C29" i="31"/>
  <c r="F29" i="31"/>
  <c r="I29" i="31"/>
  <c r="G31" i="31" s="1"/>
  <c r="J29" i="31"/>
  <c r="J31" i="31" s="1"/>
  <c r="C30" i="31"/>
  <c r="F30" i="31"/>
  <c r="I30" i="31"/>
  <c r="J30" i="31"/>
  <c r="F34" i="31"/>
  <c r="G34" i="31"/>
  <c r="H34" i="31"/>
  <c r="I34" i="31"/>
  <c r="C35" i="31"/>
  <c r="J35" i="31"/>
  <c r="C36" i="31"/>
  <c r="J36" i="31"/>
  <c r="G37" i="31"/>
  <c r="J37" i="31"/>
  <c r="C41" i="31"/>
  <c r="H41" i="31"/>
  <c r="C42" i="31"/>
  <c r="C83" i="31" s="1"/>
  <c r="C43" i="31"/>
  <c r="C84" i="31" s="1"/>
  <c r="C44" i="31"/>
  <c r="I60" i="31"/>
  <c r="I61" i="31" s="1"/>
  <c r="I64" i="31"/>
  <c r="I71" i="31"/>
  <c r="C79" i="31"/>
  <c r="E79" i="31"/>
  <c r="G80" i="31"/>
  <c r="C82" i="31"/>
  <c r="E82" i="31"/>
  <c r="H82" i="31"/>
  <c r="I82" i="31"/>
  <c r="E83" i="31"/>
  <c r="H83" i="31"/>
  <c r="I83" i="31"/>
  <c r="E84" i="31"/>
  <c r="H84" i="31"/>
  <c r="I84" i="31"/>
  <c r="C85" i="31"/>
  <c r="E85" i="31"/>
  <c r="H85" i="31"/>
  <c r="I85" i="31"/>
  <c r="O89" i="31"/>
  <c r="C14" i="30"/>
  <c r="F14" i="30"/>
  <c r="C15" i="30"/>
  <c r="F15" i="30"/>
  <c r="C16" i="30"/>
  <c r="F16" i="30"/>
  <c r="C28" i="30"/>
  <c r="F28" i="30"/>
  <c r="R68" i="30"/>
  <c r="R69" i="30"/>
  <c r="R70" i="30"/>
  <c r="R71" i="30"/>
  <c r="R73" i="30"/>
  <c r="R74" i="30"/>
  <c r="R75" i="30"/>
  <c r="R76" i="30"/>
  <c r="I72" i="31" l="1"/>
  <c r="I74" i="31" s="1"/>
  <c r="O35" i="32" s="1"/>
  <c r="O39" i="32" s="1"/>
  <c r="L40" i="32" s="1"/>
  <c r="H43" i="31"/>
  <c r="H42" i="31"/>
  <c r="H45" i="31"/>
</calcChain>
</file>

<file path=xl/sharedStrings.xml><?xml version="1.0" encoding="utf-8"?>
<sst xmlns="http://schemas.openxmlformats.org/spreadsheetml/2006/main" count="555" uniqueCount="285">
  <si>
    <t>PT. SEMARANG AUTOCOMP MANUFACTURING INDONESIA</t>
  </si>
  <si>
    <t>NO</t>
  </si>
  <si>
    <t>NIK</t>
  </si>
  <si>
    <t>NAMA</t>
  </si>
  <si>
    <t>DEPT. / SECT.</t>
  </si>
  <si>
    <t>TANGGAL</t>
  </si>
  <si>
    <t>s/d</t>
  </si>
  <si>
    <t>-</t>
  </si>
  <si>
    <t>TUJUAN PERJALANAN DINAS</t>
  </si>
  <si>
    <t>KEPENTINGAN</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</si>
  <si>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</si>
  <si>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</si>
  <si>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</si>
  <si>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</si>
  <si>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</si>
  <si>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</si>
  <si>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</si>
  <si>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</si>
  <si>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</si>
  <si>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</si>
  <si>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</si>
  <si>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</si>
  <si>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</si>
  <si>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</si>
  <si>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</si>
  <si>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</si>
  <si>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</si>
  <si>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</si>
  <si>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</si>
  <si>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</si>
  <si>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</si>
  <si>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DEPARTURE</t>
  </si>
  <si>
    <t>ARRIVAL</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</si>
  <si>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</si>
  <si>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</si>
  <si>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</si>
  <si>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</si>
  <si>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</si>
  <si>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</si>
  <si>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</si>
  <si>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</si>
  <si>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</si>
  <si>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</si>
  <si>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</si>
  <si>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</si>
  <si>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</si>
  <si>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</si>
  <si>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</si>
  <si>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</si>
  <si>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</si>
  <si>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</si>
  <si>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</si>
  <si>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</si>
  <si>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</si>
  <si>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</si>
  <si>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</si>
  <si>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</si>
  <si>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</si>
  <si>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</si>
  <si>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</si>
  <si>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</si>
  <si>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</si>
  <si>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</si>
  <si>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</si>
  <si>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</si>
  <si>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</si>
  <si>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</si>
  <si>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</si>
  <si>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</si>
  <si>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</si>
  <si>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</si>
  <si>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</si>
  <si>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</si>
  <si>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</si>
  <si>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</si>
  <si>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</si>
  <si>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</si>
  <si>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</si>
  <si>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</si>
  <si>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</si>
  <si>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</si>
  <si>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</si>
  <si>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</si>
  <si>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</si>
  <si>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</si>
  <si>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</si>
  <si>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</si>
  <si>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</si>
  <si>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</si>
  <si>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</si>
  <si>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</si>
  <si>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</si>
  <si>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</si>
  <si>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</si>
  <si>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</si>
  <si>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</si>
  <si>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</si>
  <si>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</si>
  <si>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</si>
  <si>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</si>
  <si>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</si>
  <si>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</si>
  <si>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</si>
  <si>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</si>
  <si>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</si>
  <si>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</si>
  <si>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</si>
  <si>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</si>
  <si>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</si>
  <si>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</si>
  <si>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</si>
  <si>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</si>
  <si>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</si>
  <si>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</si>
  <si>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</si>
  <si>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</si>
  <si>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</si>
  <si>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</si>
  <si>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</si>
  <si>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</si>
  <si>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</si>
  <si>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</si>
  <si>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</si>
  <si>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</si>
  <si>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</si>
  <si>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</si>
  <si>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</si>
  <si>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</si>
  <si>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</si>
  <si>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</si>
  <si>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</si>
  <si>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</si>
  <si>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</si>
  <si>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</si>
  <si>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</si>
  <si>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</si>
  <si>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</si>
  <si>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</si>
  <si>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</si>
  <si>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</si>
  <si>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</si>
  <si>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</si>
  <si>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</si>
  <si>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APPROVED</t>
  </si>
  <si>
    <t>: 04-07-2024</t>
  </si>
  <si>
    <t>Hari Senin 1 Minggu sebelum hari-H (08:00)</t>
  </si>
  <si>
    <t>SPV</t>
  </si>
  <si>
    <t>PP</t>
  </si>
  <si>
    <t>SKI</t>
  </si>
  <si>
    <t>ANS</t>
  </si>
  <si>
    <t>PT. Semarang Autocomp Manufacturing Indonesia</t>
  </si>
  <si>
    <t>8D ANALYSIS FOR ADDITIONAL EXPENSE</t>
  </si>
  <si>
    <t>No Add</t>
  </si>
  <si>
    <t>Period</t>
  </si>
  <si>
    <t>MANAGER</t>
  </si>
  <si>
    <t>ASS. MANAGER</t>
  </si>
  <si>
    <t>Problem Description</t>
  </si>
  <si>
    <t>Containment Action</t>
  </si>
  <si>
    <t>PIC &amp; DD</t>
  </si>
  <si>
    <t>Root Cause</t>
  </si>
  <si>
    <t>Corrective Action</t>
  </si>
  <si>
    <t>Prevention</t>
  </si>
  <si>
    <t>Status</t>
  </si>
  <si>
    <t>Noted :</t>
  </si>
  <si>
    <t>Apabila dalam 1 departement terdapat manager local dan Jepang, maka :</t>
  </si>
  <si>
    <t>manager local tanda tangan di Checked, sedangkan manager Jepang tanda tangan di Approved</t>
  </si>
  <si>
    <t>COORD. SPV</t>
  </si>
  <si>
    <t>Control perjalanan dinas benchmark untuk term selanjutnya</t>
  </si>
  <si>
    <t>: SUAI</t>
  </si>
  <si>
    <t>SM</t>
  </si>
  <si>
    <t>Ass. MGR</t>
  </si>
  <si>
    <t>OPT</t>
  </si>
  <si>
    <t>INNOVA</t>
  </si>
  <si>
    <t>SAMI</t>
  </si>
  <si>
    <t>Pelaksanaan PD ke SUAI mundur dari Des'23 menjadi Apr'24</t>
  </si>
  <si>
    <t>Pengajuan add budget (change periode) dari bulan Des'23 menjadi Apr'24</t>
  </si>
  <si>
    <t>WHY
(16-Apr-24)</t>
  </si>
  <si>
    <t>: 202404</t>
  </si>
  <si>
    <t>: PP-PP-ADD-2404-002</t>
  </si>
  <si>
    <t>WHY</t>
  </si>
  <si>
    <t>Karena PD ke JAI mundur di bulan Des'23 maka bersamaan dengan plan PD ke SUAI, sehinggan PD ke SUAI mundur di Apr'24</t>
  </si>
  <si>
    <t>Membuat add budget (change periode) dari bulan Des'23 menjadi Apr'24</t>
  </si>
  <si>
    <t>OK</t>
  </si>
  <si>
    <t>X</t>
  </si>
  <si>
    <t>YES</t>
  </si>
  <si>
    <t xml:space="preserve">
</t>
  </si>
  <si>
    <t>TIDAK ADA REKOMENDASI</t>
  </si>
  <si>
    <t>NORMAL</t>
  </si>
  <si>
    <t>ELFIRA LUTFIA W.</t>
  </si>
  <si>
    <t>M. HUSNUL MUBAROK</t>
  </si>
  <si>
    <t>AGUS NANANG SETIAWAN</t>
  </si>
  <si>
    <t>SINICHI KISHIMOTO</t>
  </si>
  <si>
    <t>: Benchmark PP Activity dan Obeya</t>
  </si>
  <si>
    <t>LNA</t>
  </si>
  <si>
    <t>WIN</t>
  </si>
  <si>
    <t>Add Actual UPD</t>
  </si>
  <si>
    <t>New Format</t>
  </si>
  <si>
    <t>Update Tgl Masa Berlaku &amp; Rev. No. Dok.</t>
  </si>
  <si>
    <t>Penggabungan approval perjalanan dinas</t>
  </si>
  <si>
    <r>
      <rPr>
        <b/>
        <sz val="11"/>
        <color theme="1"/>
        <rFont val="Calibri"/>
        <family val="2"/>
        <scheme val="minor"/>
      </rPr>
      <t>Referensi Prosedur/WI/OS/IS/ :</t>
    </r>
    <r>
      <rPr>
        <sz val="11"/>
        <color theme="1"/>
        <rFont val="Calibri"/>
        <family val="2"/>
        <scheme val="minor"/>
      </rPr>
      <t xml:space="preserve">
PGA-GA.PD.02 : Prosedur Perjalanan Dinas</t>
    </r>
  </si>
  <si>
    <t>Yes</t>
  </si>
  <si>
    <t>TOTAL</t>
  </si>
  <si>
    <t>PRICE</t>
  </si>
  <si>
    <t>QTY NIGHT</t>
  </si>
  <si>
    <t>QTY ROOM</t>
  </si>
  <si>
    <t>ROOM</t>
  </si>
  <si>
    <t>Superior</t>
  </si>
  <si>
    <r>
      <t xml:space="preserve">HARPER PURWAKARTA BY ASTON
</t>
    </r>
    <r>
      <rPr>
        <sz val="12"/>
        <color rgb="FF0000CC"/>
        <rFont val="Calibri"/>
        <family val="2"/>
        <scheme val="minor"/>
      </rPr>
      <t>Jl. Raya Bungursari No. 122, Bungursari, Purwakarta, 41181, Indonesia.</t>
    </r>
  </si>
  <si>
    <t>Check Out</t>
  </si>
  <si>
    <t>Check In</t>
  </si>
  <si>
    <t>HARGA</t>
  </si>
  <si>
    <t>KET ROOM</t>
  </si>
  <si>
    <t>PERIODE</t>
  </si>
  <si>
    <t>BIAYA OPERATIONAL MOBIL</t>
  </si>
  <si>
    <t>GRAB CAR</t>
  </si>
  <si>
    <t>Parkir (Estimasi)</t>
  </si>
  <si>
    <t>Tol (Estimasi)</t>
  </si>
  <si>
    <t>BBM (Estimasi)</t>
  </si>
  <si>
    <t>Overtime Driver (Estimasi)</t>
  </si>
  <si>
    <t>Uang Inap</t>
  </si>
  <si>
    <t>Fee Luar Kota Driver</t>
  </si>
  <si>
    <t xml:space="preserve">Biaya Antar Ambil </t>
  </si>
  <si>
    <t>JML BIAYA</t>
  </si>
  <si>
    <t>JML HARI</t>
  </si>
  <si>
    <t>ITEM</t>
  </si>
  <si>
    <t>NO.</t>
  </si>
  <si>
    <t>BIAYA SEWA UNIT</t>
  </si>
  <si>
    <t>Sewa Unit</t>
  </si>
  <si>
    <t>2.2 MOBIL / LOCAL TRANSPORT</t>
  </si>
  <si>
    <t>PULANG</t>
  </si>
  <si>
    <t>BERANGKAT</t>
  </si>
  <si>
    <t>JUMLAH</t>
  </si>
  <si>
    <t>QTY</t>
  </si>
  <si>
    <t>SCHEDULE</t>
  </si>
  <si>
    <t>KERETA</t>
  </si>
  <si>
    <t>2.1 PESAWAT</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</si>
  <si>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</si>
  <si>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UPD</t>
  </si>
  <si>
    <t>GOL</t>
  </si>
  <si>
    <t>di SUAI</t>
  </si>
  <si>
    <t>di Hotel</t>
  </si>
  <si>
    <t>di Rumah</t>
  </si>
  <si>
    <t>:</t>
  </si>
  <si>
    <t>Rincian Golongan</t>
  </si>
  <si>
    <t>DINNER</t>
  </si>
  <si>
    <t>LUNCH</t>
  </si>
  <si>
    <t>UANG SAKU</t>
  </si>
  <si>
    <t>NOTE : Standar UPD Dalam Negeri berdasarkan Prosedur Perjalanan Dinas (PGA-GA.PD.02)</t>
  </si>
  <si>
    <t>1. UPD</t>
  </si>
  <si>
    <t xml:space="preserve">LAMPIRAN (Rincian) </t>
  </si>
  <si>
    <t>RENNY</t>
  </si>
  <si>
    <t>: 10-07-2024</t>
  </si>
  <si>
    <t>: 2 / 2</t>
  </si>
  <si>
    <t>HALAMAN</t>
  </si>
  <si>
    <t>: 4</t>
  </si>
  <si>
    <t>: 11-07-2023</t>
  </si>
  <si>
    <t>SURAT PERJALANAN DINAS DALAM NEGERI</t>
  </si>
  <si>
    <t>: 023/PGA/GA/FORM/SPDDN</t>
  </si>
  <si>
    <t>PT. SEMARANG AUTOCOMP MANUFACTURING INDONESIA - TUGU FACTORY</t>
  </si>
  <si>
    <t>BRI</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</si>
  <si>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</si>
  <si>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</si>
  <si>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SUB TOTAL</t>
  </si>
  <si>
    <t>202404</t>
  </si>
  <si>
    <t xml:space="preserve"> </t>
  </si>
  <si>
    <t>PERIODE BUDGET</t>
  </si>
  <si>
    <t>ESTIMATED
PRICE</t>
  </si>
  <si>
    <t>NO. REKENING</t>
  </si>
  <si>
    <t>UANG CADANGAN</t>
  </si>
  <si>
    <t>BY : MOBIL / LOCAL TRANSPORT</t>
  </si>
  <si>
    <t>HOTEL</t>
  </si>
  <si>
    <t>TRANSPORTASI</t>
  </si>
  <si>
    <t>2. BIAYA PERJALANAN DINAS</t>
  </si>
  <si>
    <t>ELFIRA</t>
  </si>
  <si>
    <t>MHM</t>
  </si>
  <si>
    <t>NKA</t>
  </si>
  <si>
    <t>MIS / TMI</t>
  </si>
  <si>
    <t>PRESDIR</t>
  </si>
  <si>
    <t>FM / DFM</t>
  </si>
  <si>
    <t>MGR</t>
  </si>
  <si>
    <t>YANG MENERIMA PERINTAH</t>
  </si>
  <si>
    <t>1. PESERTA</t>
  </si>
  <si>
    <t>: 1/2</t>
  </si>
  <si>
    <t>1360004516321</t>
  </si>
  <si>
    <t>1360004574106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</si>
</sst>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13809]dd\ mmmm\ yyyy;@"/>
    <numFmt numFmtId="166" formatCode="[$-409]d\-mmm;@"/>
    <numFmt numFmtId="167" formatCode="[$-409]dd\-mmm\-yy;@"/>
    <numFmt numFmtId="168" formatCode="_(* #,##0_);_(* \(#,##0\);_(* &quot;-&quot;??_);_(@_)"/>
    <numFmt numFmtId="169" formatCode="_(* #,##0.00_);_(* \(#,##0.00\);_(* &quot;-&quot;??_);_(@_)"/>
    <numFmt numFmtId="170" formatCode="[$-409]d\-mmm\-yy;@"/>
    <numFmt numFmtId="171" formatCode="_-[$Rp-421]* #,##0_-;\-[$Rp-421]* #,##0_-;_-[$Rp-421]* &quot;-&quot;??_-;_-@_-"/>
    <numFmt numFmtId="172" formatCode="[$-F800]dddd\,\ mmmm\ dd\,\ yyyy"/>
    <numFmt numFmtId="173" formatCode="_-[$Rp-421]* #,##0_-;\-[$Rp-421]* #,##0_-;_-[$Rp-421]* &quot;-&quot;_-;_-@_-"/>
    <numFmt numFmtId="174" formatCode="[$-13809]d\ mmm\ yyyy;@"/>
  </numFmts>
  <fonts count="6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2"/>
      <color theme="1"/>
      <name val="Calibri"/>
      <family val="2"/>
      <scheme val="minor"/>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8"/>
      <color theme="1"/>
      <name val="Calibri"/>
      <family val="2"/>
      <scheme val="minor"/>
    </font>
    <font>
      <sz val="10"/>
      <name val="Arial"/>
      <family val="2"/>
    </font>
    <font>
      <i/>
      <sz val="10"/>
      <color theme="1"/>
      <name val="Calibri"/>
      <family val="2"/>
      <scheme val="minor"/>
    </font>
    <font>
      <sz val="12"/>
      <color theme="1"/>
      <name val="Comic Sans MS"/>
      <family val="4"/>
    </font>
    <font>
      <sz val="12"/>
      <color rgb="FF0000CC"/>
      <name val="Comic Sans MS"/>
      <family val="4"/>
    </font>
    <font>
      <b/>
      <sz val="10"/>
      <color rgb="FFFF0000"/>
      <name val="Calibri"/>
      <family val="2"/>
      <scheme val="minor"/>
    </font>
    <font>
      <sz val="14"/>
      <color rgb="FF0000CC"/>
      <name val="Calibri"/>
      <family val="2"/>
      <scheme val="minor"/>
    </font>
    <font>
      <sz val="14"/>
      <color theme="0"/>
      <name val="Calibri"/>
      <family val="2"/>
      <scheme val="minor"/>
    </font>
    <font>
      <b/>
      <sz val="12"/>
      <color rgb="FF0000CC"/>
      <name val="Calibri"/>
      <family val="2"/>
      <scheme val="minor"/>
    </font>
    <font>
      <b/>
      <sz val="14"/>
      <color rgb="FF0000CC"/>
      <name val="Calibri"/>
      <family val="2"/>
      <scheme val="minor"/>
    </font>
    <font>
      <sz val="14"/>
      <name val="Calibri"/>
      <family val="2"/>
      <scheme val="minor"/>
    </font>
    <font>
      <b/>
      <sz val="14"/>
      <color rgb="FFFF0000"/>
      <name val="Calibri"/>
      <family val="2"/>
      <scheme val="minor"/>
    </font>
    <font>
      <b/>
      <u/>
      <sz val="14"/>
      <color theme="1"/>
      <name val="Calibri"/>
      <family val="2"/>
      <scheme val="minor"/>
    </font>
    <font>
      <i/>
      <u/>
      <sz val="12"/>
      <color theme="1"/>
      <name val="Calibri"/>
      <family val="2"/>
      <scheme val="minor"/>
    </font>
    <font>
      <b/>
      <sz val="14"/>
      <color theme="0"/>
      <name val="Calibri"/>
      <family val="2"/>
      <scheme val="minor"/>
    </font>
    <font>
      <i/>
      <sz val="14"/>
      <color theme="1"/>
      <name val="Calibri"/>
      <family val="2"/>
      <scheme val="minor"/>
    </font>
    <font>
      <b/>
      <i/>
      <sz val="14"/>
      <color theme="1"/>
      <name val="Calibri"/>
      <family val="2"/>
      <scheme val="minor"/>
    </font>
    <font>
      <b/>
      <sz val="14"/>
      <color rgb="FF0000CC"/>
      <name val="Comic Sans MS"/>
      <family val="4"/>
    </font>
    <font>
      <i/>
      <sz val="11"/>
      <color theme="1"/>
      <name val="Calibri"/>
      <family val="2"/>
      <scheme val="minor"/>
    </font>
    <font>
      <sz val="12"/>
      <color theme="1"/>
      <name val="Times New Roman"/>
      <family val="1"/>
    </font>
    <font>
      <sz val="10"/>
      <color theme="1"/>
      <name val="Times New Roman"/>
      <family val="1"/>
    </font>
    <font>
      <b/>
      <sz val="12"/>
      <color theme="1"/>
      <name val="Times New Roman"/>
      <family val="1"/>
    </font>
    <font>
      <sz val="12"/>
      <name val="Times New Roman"/>
      <family val="1"/>
    </font>
    <font>
      <b/>
      <sz val="14"/>
      <color theme="1"/>
      <name val="Times New Roman"/>
      <family val="1"/>
    </font>
    <font>
      <sz val="11"/>
      <color theme="1"/>
      <name val="Times New Roman"/>
      <family val="1"/>
    </font>
    <font>
      <b/>
      <sz val="18"/>
      <color theme="1"/>
      <name val="Times New Roman"/>
      <family val="1"/>
    </font>
    <font>
      <b/>
      <u/>
      <sz val="18"/>
      <color theme="1"/>
      <name val="Times New Roman"/>
      <family val="1"/>
    </font>
    <font>
      <sz val="14"/>
      <color theme="1"/>
      <name val="Times New Roman"/>
      <family val="1"/>
    </font>
    <font>
      <sz val="16"/>
      <color theme="1"/>
      <name val="Times New Roman"/>
      <family val="1"/>
    </font>
    <font>
      <b/>
      <sz val="16"/>
      <color theme="1"/>
      <name val="Times New Roman"/>
      <family val="1"/>
    </font>
    <font>
      <b/>
      <sz val="20"/>
      <color rgb="FF0000CC"/>
      <name val="Times New Roman"/>
      <family val="1"/>
    </font>
    <font>
      <b/>
      <sz val="16"/>
      <color rgb="FF0000CC"/>
      <name val="Times New Roman"/>
      <family val="1"/>
    </font>
    <font>
      <sz val="14"/>
      <color rgb="FF0000CC"/>
      <name val="Times New Roman"/>
      <family val="1"/>
    </font>
    <font>
      <b/>
      <sz val="12"/>
      <color rgb="FF0000CC"/>
      <name val="Times New Roman"/>
      <family val="1"/>
    </font>
    <font>
      <b/>
      <sz val="14"/>
      <color rgb="FF0000CC"/>
      <name val="Times New Roman"/>
      <family val="1"/>
    </font>
    <font>
      <sz val="16"/>
      <color rgb="FF0000CC"/>
      <name val="Times New Roman"/>
      <family val="1"/>
    </font>
    <font>
      <sz val="14"/>
      <name val="Times New Roman"/>
      <family val="1"/>
    </font>
    <font>
      <b/>
      <u/>
      <sz val="20"/>
      <color theme="1"/>
      <name val="Times New Roman"/>
      <family val="1"/>
    </font>
    <font>
      <sz val="12"/>
      <color rgb="FF0000CC"/>
      <name val="Times New Roman"/>
      <family val="1"/>
    </font>
    <font>
      <i/>
      <sz val="14"/>
      <color rgb="FF0000CC"/>
      <name val="Times New Roman"/>
      <family val="1"/>
    </font>
    <font>
      <sz val="22"/>
      <name val="Times New Roman"/>
      <family val="1"/>
    </font>
    <font>
      <b/>
      <sz val="10"/>
      <color theme="1"/>
      <name val="Times New Roman"/>
      <family val="1"/>
    </font>
    <font>
      <b/>
      <sz val="20"/>
      <color theme="1"/>
      <name val="Times New Roman"/>
      <family val="1"/>
    </font>
    <font>
      <sz val="20"/>
      <color theme="1"/>
      <name val="Times New Roman"/>
      <family val="1"/>
    </font>
    <font>
      <b/>
      <sz val="16"/>
      <color rgb="FF0000CC"/>
      <name val="Comic Sans MS"/>
      <family val="4"/>
    </font>
  </fonts>
  <fills count="11">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FF00"/>
        <bgColor indexed="64"/>
      </patternFill>
    </fill>
    <fill>
      <patternFill patternType="solid">
        <fgColor theme="8"/>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CC"/>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style="thin">
        <color indexed="64"/>
      </bottom>
      <diagonal/>
    </border>
    <border>
      <left/>
      <right style="thin">
        <color indexed="64"/>
      </right>
      <top/>
      <bottom style="thick">
        <color indexed="64"/>
      </bottom>
      <diagonal/>
    </border>
    <border>
      <left/>
      <right/>
      <top/>
      <bottom style="thick">
        <color auto="1"/>
      </bottom>
      <diagonal/>
    </border>
    <border>
      <left style="thin">
        <color indexed="64"/>
      </left>
      <right/>
      <top/>
      <bottom style="thick">
        <color indexed="64"/>
      </bottom>
      <diagonal/>
    </border>
    <border>
      <left/>
      <right style="thin">
        <color indexed="64"/>
      </right>
      <top style="thick">
        <color indexed="64"/>
      </top>
      <bottom/>
      <diagonal/>
    </border>
    <border>
      <left/>
      <right/>
      <top style="thick">
        <color indexed="64"/>
      </top>
      <bottom/>
      <diagonal/>
    </border>
    <border>
      <left style="thin">
        <color indexed="64"/>
      </left>
      <right/>
      <top style="thick">
        <color indexed="64"/>
      </top>
      <bottom/>
      <diagonal/>
    </border>
    <border>
      <left/>
      <right style="thin">
        <color indexed="64"/>
      </right>
      <top style="hair">
        <color indexed="64"/>
      </top>
      <bottom/>
      <diagonal/>
    </border>
    <border>
      <left/>
      <right/>
      <top style="hair">
        <color auto="1"/>
      </top>
      <bottom/>
      <diagonal/>
    </border>
    <border>
      <left/>
      <right/>
      <top style="thin">
        <color indexed="64"/>
      </top>
      <bottom style="double">
        <color indexed="64"/>
      </bottom>
      <diagonal/>
    </border>
  </borders>
  <cellStyleXfs count="5">
    <xf numFmtId="0" fontId="0" fillId="0" borderId="0"/>
    <xf numFmtId="164" fontId="1" fillId="0" borderId="0" applyFont="0" applyFill="0" applyBorder="0" applyAlignment="0" applyProtection="0"/>
    <xf numFmtId="0" fontId="1" fillId="0" borderId="0"/>
    <xf numFmtId="0" fontId="24" fillId="0" borderId="0"/>
    <xf numFmtId="169" fontId="1" fillId="0" borderId="0" applyFont="0" applyFill="0" applyBorder="0" applyAlignment="0" applyProtection="0"/>
  </cellStyleXfs>
  <cellXfs count="776">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3" fillId="0" borderId="0" xfId="0" applyFont="1" applyAlignment="1">
      <alignment vertical="center"/>
    </xf>
    <xf numFmtId="0" fontId="9" fillId="3" borderId="1" xfId="0" applyFont="1" applyFill="1" applyBorder="1" applyAlignment="1">
      <alignment horizontal="center" vertical="center"/>
    </xf>
    <xf numFmtId="0" fontId="13" fillId="0" borderId="0" xfId="0" applyFont="1" applyAlignment="1">
      <alignment horizontal="center" vertical="top"/>
    </xf>
    <xf numFmtId="0" fontId="13" fillId="0" borderId="0" xfId="0" applyFont="1" applyAlignment="1">
      <alignment horizontal="left" vertical="top"/>
    </xf>
    <xf numFmtId="0" fontId="17" fillId="0" borderId="0" xfId="0" applyFont="1" applyAlignment="1">
      <alignment vertical="center"/>
    </xf>
    <xf numFmtId="0" fontId="17"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3" fillId="0" borderId="13" xfId="0" applyFont="1" applyBorder="1" applyAlignment="1">
      <alignment horizontal="center" vertical="top"/>
    </xf>
    <xf numFmtId="0" fontId="6" fillId="4" borderId="18" xfId="0" applyFont="1" applyFill="1" applyBorder="1" applyAlignment="1">
      <alignment horizontal="center" vertical="center"/>
    </xf>
    <xf numFmtId="0" fontId="4" fillId="0" borderId="6" xfId="0" applyFont="1" applyBorder="1" applyAlignment="1">
      <alignment horizontal="center" vertical="center"/>
    </xf>
    <xf numFmtId="0" fontId="9" fillId="2" borderId="1" xfId="0" applyFont="1" applyFill="1" applyBorder="1" applyAlignment="1">
      <alignment horizontal="center" vertical="top"/>
    </xf>
    <xf numFmtId="0" fontId="6" fillId="4" borderId="1"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3" fillId="0" borderId="33" xfId="0" applyFont="1" applyBorder="1" applyAlignment="1">
      <alignment horizontal="left" vertical="center"/>
    </xf>
    <xf numFmtId="0" fontId="13" fillId="0" borderId="33" xfId="0" applyFont="1" applyBorder="1" applyAlignment="1">
      <alignment horizontal="left" vertical="top"/>
    </xf>
    <xf numFmtId="0" fontId="13" fillId="0" borderId="33" xfId="0" applyFont="1" applyBorder="1" applyAlignment="1">
      <alignment horizontal="center" vertical="top"/>
    </xf>
    <xf numFmtId="0" fontId="13" fillId="0" borderId="33" xfId="0" applyFont="1" applyBorder="1" applyAlignment="1">
      <alignment vertical="center"/>
    </xf>
    <xf numFmtId="0" fontId="10" fillId="0" borderId="13" xfId="0" applyFont="1" applyBorder="1" applyAlignment="1">
      <alignment vertical="center"/>
    </xf>
    <xf numFmtId="0" fontId="5" fillId="0" borderId="42" xfId="0" applyFont="1" applyBorder="1" applyAlignment="1">
      <alignment vertical="center"/>
    </xf>
    <xf numFmtId="0" fontId="5" fillId="0" borderId="37"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5" fillId="0" borderId="13" xfId="0" applyFont="1" applyBorder="1"/>
    <xf numFmtId="0" fontId="13" fillId="0" borderId="16" xfId="0" applyFont="1" applyBorder="1" applyAlignment="1">
      <alignment vertical="center"/>
    </xf>
    <xf numFmtId="0" fontId="17"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3"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15" xfId="0" applyBorder="1" applyAlignment="1">
      <alignment vertical="center"/>
    </xf>
    <xf numFmtId="0" fontId="0" fillId="0" borderId="38" xfId="0" applyBorder="1" applyAlignment="1">
      <alignment vertical="center"/>
    </xf>
    <xf numFmtId="0" fontId="0" fillId="0" borderId="39" xfId="0" applyBorder="1" applyAlignment="1">
      <alignment vertical="center"/>
    </xf>
    <xf numFmtId="0" fontId="0" fillId="0" borderId="40" xfId="0" applyBorder="1" applyAlignment="1">
      <alignment vertical="center"/>
    </xf>
    <xf numFmtId="0" fontId="0" fillId="0" borderId="41"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22" fillId="0" borderId="2" xfId="0" applyFont="1" applyBorder="1" applyAlignment="1">
      <alignment vertical="center"/>
    </xf>
    <xf numFmtId="0" fontId="22" fillId="0" borderId="4" xfId="0" applyFont="1" applyBorder="1" applyAlignment="1">
      <alignment vertical="center"/>
    </xf>
    <xf numFmtId="166" fontId="3" fillId="0" borderId="2" xfId="0" applyNumberFormat="1" applyFont="1" applyBorder="1" applyAlignment="1">
      <alignment horizontal="left" vertical="center"/>
    </xf>
    <xf numFmtId="0" fontId="3" fillId="0" borderId="27" xfId="0" applyFont="1" applyBorder="1"/>
    <xf numFmtId="0" fontId="3" fillId="0" borderId="28" xfId="0" applyFont="1" applyBorder="1"/>
    <xf numFmtId="0" fontId="3" fillId="0" borderId="29" xfId="0" applyFont="1" applyBorder="1"/>
    <xf numFmtId="0" fontId="3" fillId="0" borderId="0" xfId="0" applyFont="1"/>
    <xf numFmtId="0" fontId="3" fillId="0" borderId="31" xfId="0" applyFont="1" applyBorder="1"/>
    <xf numFmtId="0" fontId="25" fillId="0" borderId="0" xfId="0" applyFont="1"/>
    <xf numFmtId="0" fontId="3" fillId="0" borderId="32" xfId="0" applyFont="1" applyBorder="1"/>
    <xf numFmtId="0" fontId="2" fillId="0" borderId="0" xfId="0" applyFont="1"/>
    <xf numFmtId="0" fontId="3" fillId="5" borderId="17" xfId="0" applyFont="1" applyFill="1" applyBorder="1" applyAlignment="1">
      <alignment horizontal="center" vertical="center"/>
    </xf>
    <xf numFmtId="0" fontId="3" fillId="0" borderId="6" xfId="0" applyFont="1" applyBorder="1" applyAlignment="1">
      <alignment horizontal="left" vertical="top" wrapText="1"/>
    </xf>
    <xf numFmtId="0" fontId="3" fillId="0" borderId="30" xfId="0" applyFont="1" applyBorder="1"/>
    <xf numFmtId="0" fontId="3" fillId="0" borderId="49" xfId="0" applyFont="1" applyBorder="1"/>
    <xf numFmtId="0" fontId="3" fillId="0" borderId="50" xfId="0" applyFont="1" applyBorder="1"/>
    <xf numFmtId="16" fontId="3" fillId="0" borderId="6" xfId="0" applyNumberFormat="1" applyFont="1" applyBorder="1" applyAlignment="1">
      <alignment horizontal="left" vertical="top" wrapText="1"/>
    </xf>
    <xf numFmtId="0" fontId="5" fillId="0" borderId="11" xfId="0" applyFont="1" applyBorder="1" applyAlignment="1">
      <alignment horizontal="left" vertical="center"/>
    </xf>
    <xf numFmtId="0" fontId="2" fillId="0" borderId="2"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3" fillId="5" borderId="17" xfId="0" applyFont="1" applyFill="1" applyBorder="1" applyAlignment="1">
      <alignment horizontal="center" vertical="center"/>
    </xf>
    <xf numFmtId="0" fontId="3" fillId="0" borderId="6" xfId="0" applyFont="1" applyBorder="1" applyAlignment="1">
      <alignment horizontal="left" vertical="top" wrapText="1"/>
    </xf>
    <xf numFmtId="0" fontId="3" fillId="0" borderId="1" xfId="0" applyFont="1" applyBorder="1" applyAlignment="1">
      <alignment horizontal="center"/>
    </xf>
    <xf numFmtId="0" fontId="4" fillId="0" borderId="2" xfId="0" applyFont="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0" borderId="0" xfId="0" applyFont="1" applyAlignment="1">
      <alignment horizontal="center" vertical="top"/>
    </xf>
    <xf numFmtId="0" fontId="0" fillId="0" borderId="3" xfId="0" applyBorder="1" applyAlignment="1">
      <alignment horizontal="center" vertical="center"/>
    </xf>
    <xf numFmtId="0" fontId="0" fillId="0" borderId="4" xfId="0"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5" xfId="0" applyFont="1" applyFill="1" applyBorder="1" applyAlignment="1">
      <alignment horizontal="center" vertical="center"/>
    </xf>
    <xf numFmtId="0" fontId="6" fillId="4" borderId="26"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33" xfId="0" applyFont="1" applyFill="1" applyBorder="1" applyAlignment="1">
      <alignment horizontal="center" vertical="center"/>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9" fillId="2" borderId="1" xfId="0" applyFont="1" applyFill="1" applyBorder="1" applyAlignment="1">
      <alignment horizontal="left" vertical="top"/>
    </xf>
    <xf numFmtId="0" fontId="14" fillId="2" borderId="3" xfId="0" applyFont="1" applyFill="1" applyBorder="1" applyAlignment="1">
      <alignment horizontal="center" vertical="top"/>
    </xf>
    <xf numFmtId="0" fontId="14" fillId="2" borderId="2" xfId="0" applyFont="1" applyFill="1" applyBorder="1" applyAlignment="1">
      <alignment horizontal="center" vertical="top"/>
    </xf>
    <xf numFmtId="0" fontId="14" fillId="2" borderId="4" xfId="0" applyFont="1" applyFill="1" applyBorder="1" applyAlignment="1">
      <alignment horizontal="center" vertical="top"/>
    </xf>
    <xf numFmtId="0" fontId="14" fillId="2" borderId="1" xfId="0" applyFont="1" applyFill="1" applyBorder="1" applyAlignment="1">
      <alignment horizontal="center" vertical="top"/>
    </xf>
    <xf numFmtId="0" fontId="9" fillId="3"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9" fillId="2" borderId="1" xfId="0" applyFont="1" applyFill="1" applyBorder="1" applyAlignment="1">
      <alignment horizontal="left" vertical="top" wrapText="1"/>
    </xf>
    <xf numFmtId="0" fontId="9" fillId="2" borderId="3" xfId="0" applyFont="1" applyFill="1" applyBorder="1" applyAlignment="1">
      <alignment horizontal="center" vertical="top"/>
    </xf>
    <xf numFmtId="0" fontId="9" fillId="2" borderId="2" xfId="0" applyFont="1" applyFill="1" applyBorder="1" applyAlignment="1">
      <alignment horizontal="center" vertical="top"/>
    </xf>
    <xf numFmtId="0" fontId="9" fillId="2" borderId="4" xfId="0" applyFont="1" applyFill="1" applyBorder="1" applyAlignment="1">
      <alignment horizontal="center" vertical="top"/>
    </xf>
    <xf numFmtId="0" fontId="9" fillId="2" borderId="1" xfId="0" applyFont="1" applyFill="1" applyBorder="1" applyAlignment="1">
      <alignment horizontal="center" vertical="top"/>
    </xf>
    <xf numFmtId="0" fontId="14" fillId="2" borderId="3" xfId="0" applyFont="1" applyFill="1" applyBorder="1" applyAlignment="1">
      <alignment horizontal="center" vertical="top" wrapText="1"/>
    </xf>
    <xf numFmtId="0" fontId="14" fillId="2" borderId="2" xfId="0" applyFont="1" applyFill="1" applyBorder="1" applyAlignment="1">
      <alignment horizontal="center" vertical="top" wrapText="1"/>
    </xf>
    <xf numFmtId="0" fontId="14" fillId="2" borderId="4" xfId="0" applyFont="1" applyFill="1" applyBorder="1" applyAlignment="1">
      <alignment horizontal="center" vertical="top" wrapText="1"/>
    </xf>
    <xf numFmtId="0" fontId="14" fillId="2" borderId="1" xfId="0" applyFont="1" applyFill="1" applyBorder="1" applyAlignment="1">
      <alignment horizontal="center" vertical="top" wrapText="1"/>
    </xf>
    <xf numFmtId="0" fontId="9" fillId="3" borderId="1" xfId="0" applyFont="1" applyFill="1" applyBorder="1" applyAlignment="1">
      <alignment horizontal="center" vertical="top"/>
    </xf>
    <xf numFmtId="0" fontId="15" fillId="2" borderId="1" xfId="0" applyFont="1" applyFill="1" applyBorder="1" applyAlignment="1">
      <alignment horizontal="left" vertical="center"/>
    </xf>
    <xf numFmtId="0" fontId="15" fillId="2" borderId="1" xfId="0" applyFont="1" applyFill="1" applyBorder="1" applyAlignment="1">
      <alignment horizontal="left" vertical="top"/>
    </xf>
    <xf numFmtId="0" fontId="15" fillId="4" borderId="1" xfId="0"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5" fillId="2" borderId="3" xfId="0" applyFont="1" applyFill="1" applyBorder="1" applyAlignment="1">
      <alignment vertical="center"/>
    </xf>
    <xf numFmtId="0" fontId="15" fillId="2" borderId="2" xfId="0" applyFont="1" applyFill="1" applyBorder="1" applyAlignment="1">
      <alignment vertical="center"/>
    </xf>
    <xf numFmtId="0" fontId="15" fillId="2" borderId="4" xfId="0" applyFont="1" applyFill="1" applyBorder="1" applyAlignment="1">
      <alignment vertical="center"/>
    </xf>
    <xf numFmtId="0" fontId="12" fillId="0" borderId="7" xfId="0" applyFont="1" applyBorder="1"/>
    <xf numFmtId="0" fontId="12" fillId="0" borderId="8" xfId="0" applyFont="1" applyBorder="1"/>
    <xf numFmtId="0" fontId="12" fillId="0" borderId="9" xfId="0" applyFont="1" applyBorder="1"/>
    <xf numFmtId="0" fontId="23" fillId="0" borderId="13" xfId="0" applyFont="1" applyBorder="1" applyAlignment="1">
      <alignment horizontal="center" vertical="center"/>
    </xf>
    <xf numFmtId="0" fontId="23" fillId="0" borderId="0" xfId="0" applyFont="1" applyAlignment="1">
      <alignment horizontal="center" vertical="center"/>
    </xf>
    <xf numFmtId="0" fontId="23" fillId="0" borderId="16" xfId="0" applyFont="1" applyBorder="1" applyAlignment="1">
      <alignment horizontal="center" vertical="center"/>
    </xf>
    <xf numFmtId="0" fontId="15" fillId="2" borderId="1" xfId="0" applyFont="1" applyFill="1" applyBorder="1" applyAlignment="1">
      <alignment horizontal="center" vertical="center" wrapText="1"/>
    </xf>
    <xf numFmtId="0" fontId="5" fillId="0" borderId="44" xfId="0" applyFont="1" applyBorder="1" applyAlignment="1">
      <alignment horizontal="left" vertical="center"/>
    </xf>
    <xf numFmtId="0" fontId="5" fillId="0" borderId="43"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0" fillId="3" borderId="44" xfId="0" applyFont="1" applyFill="1" applyBorder="1" applyAlignment="1">
      <alignment horizontal="center" vertical="center"/>
    </xf>
    <xf numFmtId="0" fontId="20" fillId="3" borderId="43" xfId="0" applyFont="1" applyFill="1" applyBorder="1" applyAlignment="1">
      <alignment horizontal="center" vertical="center"/>
    </xf>
    <xf numFmtId="0" fontId="20" fillId="3" borderId="45" xfId="0" applyFont="1" applyFill="1" applyBorder="1" applyAlignment="1">
      <alignment horizontal="center" vertical="center"/>
    </xf>
    <xf numFmtId="0" fontId="20"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0" fontId="18" fillId="0" borderId="7" xfId="0" applyFont="1" applyBorder="1" applyAlignment="1">
      <alignment horizontal="left" vertical="top" wrapText="1"/>
    </xf>
    <xf numFmtId="0" fontId="18" fillId="0" borderId="8" xfId="0" applyFont="1" applyBorder="1" applyAlignment="1">
      <alignment horizontal="left" vertical="top"/>
    </xf>
    <xf numFmtId="0" fontId="18" fillId="0" borderId="9" xfId="0" applyFont="1" applyBorder="1" applyAlignment="1">
      <alignment horizontal="left" vertical="top"/>
    </xf>
    <xf numFmtId="0" fontId="18" fillId="0" borderId="13" xfId="0" applyFont="1" applyBorder="1" applyAlignment="1">
      <alignment horizontal="left" vertical="top"/>
    </xf>
    <xf numFmtId="0" fontId="18" fillId="0" borderId="0" xfId="0" applyFont="1" applyAlignment="1">
      <alignment horizontal="left" vertical="top"/>
    </xf>
    <xf numFmtId="0" fontId="18" fillId="0" borderId="16" xfId="0" applyFont="1" applyBorder="1" applyAlignment="1">
      <alignment horizontal="left" vertical="top"/>
    </xf>
    <xf numFmtId="0" fontId="18" fillId="0" borderId="10" xfId="0" applyFont="1" applyBorder="1" applyAlignment="1">
      <alignment horizontal="left" vertical="top"/>
    </xf>
    <xf numFmtId="0" fontId="18" fillId="0" borderId="11" xfId="0" applyFont="1" applyBorder="1" applyAlignment="1">
      <alignment horizontal="left" vertical="top"/>
    </xf>
    <xf numFmtId="0" fontId="18" fillId="0" borderId="12" xfId="0" applyFont="1" applyBorder="1" applyAlignment="1">
      <alignment horizontal="left" vertical="top"/>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7" fillId="0" borderId="7" xfId="0" applyFont="1" applyBorder="1" applyAlignment="1">
      <alignment horizontal="left" vertical="top" wrapText="1"/>
    </xf>
    <xf numFmtId="0" fontId="17" fillId="0" borderId="9" xfId="0" applyFont="1" applyBorder="1" applyAlignment="1">
      <alignment horizontal="left" vertical="top"/>
    </xf>
    <xf numFmtId="0" fontId="17" fillId="0" borderId="13" xfId="0" applyFont="1" applyBorder="1" applyAlignment="1">
      <alignment horizontal="left" vertical="top"/>
    </xf>
    <xf numFmtId="0" fontId="17" fillId="0" borderId="16" xfId="0" applyFont="1" applyBorder="1" applyAlignment="1">
      <alignment horizontal="left" vertical="top"/>
    </xf>
    <xf numFmtId="0" fontId="17" fillId="0" borderId="10" xfId="0" applyFont="1" applyBorder="1" applyAlignment="1">
      <alignment horizontal="left" vertical="top"/>
    </xf>
    <xf numFmtId="0" fontId="17" fillId="0" borderId="12" xfId="0" applyFont="1" applyBorder="1" applyAlignment="1">
      <alignment horizontal="left" vertical="top"/>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 fontId="3" fillId="0" borderId="3" xfId="0" applyNumberFormat="1" applyFont="1" applyBorder="1" applyAlignment="1">
      <alignment horizontal="center" vertical="center"/>
    </xf>
    <xf numFmtId="0" fontId="17" fillId="0" borderId="3" xfId="0" applyFont="1" applyBorder="1" applyAlignment="1">
      <alignment horizontal="center" vertical="center"/>
    </xf>
    <xf numFmtId="0" fontId="17" fillId="0" borderId="2" xfId="0" applyFont="1" applyBorder="1" applyAlignment="1">
      <alignment horizontal="center" vertical="center"/>
    </xf>
    <xf numFmtId="0" fontId="17" fillId="0" borderId="4" xfId="0" applyFont="1" applyBorder="1" applyAlignment="1">
      <alignment horizontal="center" vertical="center"/>
    </xf>
    <xf numFmtId="165"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165" fontId="22" fillId="6" borderId="1" xfId="0" applyNumberFormat="1" applyFont="1" applyFill="1" applyBorder="1" applyAlignment="1">
      <alignment horizontal="center" vertical="center"/>
    </xf>
    <xf numFmtId="0" fontId="26"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xf>
    <xf numFmtId="0" fontId="27" fillId="0" borderId="6" xfId="0" applyFont="1" applyBorder="1" applyAlignment="1">
      <alignment horizontal="center" vertical="center"/>
    </xf>
    <xf numFmtId="0" fontId="22" fillId="0" borderId="6" xfId="0" applyFont="1" applyBorder="1" applyAlignment="1">
      <alignment vertical="center" wrapText="1"/>
    </xf>
    <xf numFmtId="0" fontId="22" fillId="0" borderId="6" xfId="0" applyFont="1" applyBorder="1" applyAlignment="1">
      <alignment horizontal="left" vertical="center"/>
    </xf>
    <xf numFmtId="0" fontId="22" fillId="0" borderId="6" xfId="0" applyFont="1" applyBorder="1" applyAlignment="1">
      <alignment horizontal="center" vertical="center"/>
    </xf>
    <xf numFmtId="0" fontId="22" fillId="0" borderId="12" xfId="0" applyFont="1" applyBorder="1" applyAlignment="1">
      <alignment horizontal="center" vertical="center"/>
    </xf>
    <xf numFmtId="20" fontId="22" fillId="0" borderId="10" xfId="0" applyNumberFormat="1" applyFont="1" applyBorder="1" applyAlignment="1">
      <alignment horizontal="center" vertical="center"/>
    </xf>
    <xf numFmtId="20" fontId="22" fillId="0" borderId="12" xfId="0" applyNumberFormat="1" applyFont="1" applyBorder="1" applyAlignment="1">
      <alignment horizontal="center" vertical="center"/>
    </xf>
    <xf numFmtId="0" fontId="22" fillId="0" borderId="6" xfId="0" quotePrefix="1" applyFont="1" applyBorder="1" applyAlignment="1">
      <alignment horizontal="center" vertical="center"/>
    </xf>
    <xf numFmtId="0" fontId="22" fillId="0" borderId="10" xfId="0" applyFont="1" applyBorder="1" applyAlignment="1">
      <alignment horizontal="center" vertical="center"/>
    </xf>
    <xf numFmtId="165" fontId="22" fillId="0" borderId="11" xfId="0" applyNumberFormat="1" applyFont="1" applyBorder="1" applyAlignment="1">
      <alignment horizontal="center" vertical="center"/>
    </xf>
    <xf numFmtId="0" fontId="4" fillId="0" borderId="51" xfId="0" applyFont="1" applyBorder="1" applyAlignment="1">
      <alignment horizontal="center" vertical="center"/>
    </xf>
    <xf numFmtId="165" fontId="22" fillId="0" borderId="10" xfId="0" applyNumberFormat="1" applyFont="1" applyBorder="1" applyAlignment="1">
      <alignment horizontal="center" vertical="center"/>
    </xf>
    <xf numFmtId="0" fontId="4" fillId="0" borderId="4" xfId="0" applyFont="1" applyBorder="1" applyAlignment="1">
      <alignment horizontal="center" vertical="center"/>
    </xf>
    <xf numFmtId="20" fontId="4" fillId="0" borderId="4" xfId="0" applyNumberFormat="1" applyFont="1" applyBorder="1" applyAlignment="1">
      <alignment horizontal="center" vertical="center"/>
    </xf>
    <xf numFmtId="20" fontId="4" fillId="0" borderId="3" xfId="0" applyNumberFormat="1" applyFont="1" applyBorder="1" applyAlignment="1">
      <alignment horizontal="center" vertical="center"/>
    </xf>
    <xf numFmtId="167" fontId="4" fillId="0" borderId="4" xfId="0" applyNumberFormat="1" applyFont="1" applyBorder="1" applyAlignment="1">
      <alignment horizontal="center" vertical="center"/>
    </xf>
    <xf numFmtId="167" fontId="4" fillId="0" borderId="3"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4" fillId="0" borderId="3" xfId="0" applyNumberFormat="1" applyFont="1" applyBorder="1" applyAlignment="1">
      <alignment horizontal="center" vertical="center"/>
    </xf>
    <xf numFmtId="20" fontId="4" fillId="0" borderId="16" xfId="0" applyNumberFormat="1" applyFont="1" applyBorder="1" applyAlignment="1">
      <alignment horizontal="center" vertical="center"/>
    </xf>
    <xf numFmtId="20" fontId="4" fillId="0" borderId="13" xfId="0" applyNumberFormat="1" applyFont="1" applyBorder="1" applyAlignment="1">
      <alignment horizontal="center" vertical="center"/>
    </xf>
    <xf numFmtId="0" fontId="4" fillId="0" borderId="16" xfId="0" applyFont="1" applyBorder="1" applyAlignment="1">
      <alignment horizontal="center" vertical="center"/>
    </xf>
    <xf numFmtId="167" fontId="4" fillId="0" borderId="45" xfId="0" applyNumberFormat="1" applyFont="1" applyBorder="1" applyAlignment="1">
      <alignment horizontal="center" vertical="center"/>
    </xf>
    <xf numFmtId="167" fontId="4" fillId="0" borderId="44" xfId="0" applyNumberFormat="1" applyFont="1" applyBorder="1" applyAlignment="1">
      <alignment horizontal="center" vertical="center"/>
    </xf>
    <xf numFmtId="0" fontId="4" fillId="0" borderId="24" xfId="0" applyFont="1" applyBorder="1" applyAlignment="1">
      <alignment horizontal="center" vertical="center"/>
    </xf>
    <xf numFmtId="20" fontId="4" fillId="0" borderId="13" xfId="0" applyNumberFormat="1" applyFont="1" applyBorder="1" applyAlignment="1">
      <alignment horizontal="center" vertical="center"/>
    </xf>
    <xf numFmtId="20" fontId="4" fillId="0" borderId="24" xfId="0" applyNumberFormat="1" applyFont="1" applyBorder="1" applyAlignment="1">
      <alignment horizontal="center" vertical="center"/>
    </xf>
    <xf numFmtId="0" fontId="4" fillId="0" borderId="45" xfId="0" applyFont="1" applyBorder="1" applyAlignment="1">
      <alignment horizontal="center" vertical="center"/>
    </xf>
    <xf numFmtId="0" fontId="4" fillId="0" borderId="44" xfId="0" applyFont="1" applyBorder="1" applyAlignment="1">
      <alignment horizontal="center" vertical="center"/>
    </xf>
    <xf numFmtId="165" fontId="4" fillId="0" borderId="16" xfId="0" applyNumberFormat="1" applyFont="1" applyBorder="1" applyAlignment="1">
      <alignment horizontal="center" vertical="center"/>
    </xf>
    <xf numFmtId="165" fontId="4" fillId="0" borderId="13" xfId="0" applyNumberFormat="1" applyFont="1" applyBorder="1" applyAlignment="1">
      <alignment horizontal="center" vertical="center"/>
    </xf>
    <xf numFmtId="0" fontId="22" fillId="0" borderId="3" xfId="0" applyFont="1" applyBorder="1" applyAlignment="1">
      <alignment vertical="center"/>
    </xf>
    <xf numFmtId="0" fontId="22" fillId="0" borderId="4" xfId="0" applyFont="1" applyBorder="1" applyAlignment="1">
      <alignment horizontal="center" vertical="center"/>
    </xf>
    <xf numFmtId="0" fontId="22" fillId="0" borderId="3" xfId="0" quotePrefix="1" applyFont="1" applyBorder="1" applyAlignment="1">
      <alignment horizontal="center" vertical="center"/>
    </xf>
    <xf numFmtId="0" fontId="22" fillId="0" borderId="3" xfId="0" applyFont="1" applyBorder="1" applyAlignment="1">
      <alignment horizontal="center" vertical="center"/>
    </xf>
    <xf numFmtId="165" fontId="22" fillId="0" borderId="2" xfId="0" applyNumberFormat="1" applyFont="1" applyBorder="1" applyAlignment="1">
      <alignment horizontal="center" vertical="center"/>
    </xf>
    <xf numFmtId="165" fontId="22" fillId="0" borderId="3" xfId="0" applyNumberFormat="1" applyFont="1" applyBorder="1" applyAlignment="1">
      <alignment horizontal="center" vertical="center"/>
    </xf>
    <xf numFmtId="0" fontId="5" fillId="0" borderId="15" xfId="0" applyFont="1" applyBorder="1" applyAlignment="1">
      <alignment horizontal="left" vertical="center"/>
    </xf>
    <xf numFmtId="0" fontId="5" fillId="0" borderId="14"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0" fillId="0" borderId="11" xfId="0"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horizontal="center" vertical="center"/>
    </xf>
    <xf numFmtId="0" fontId="28" fillId="0" borderId="12" xfId="0" applyFont="1" applyBorder="1" applyAlignment="1">
      <alignment horizontal="left" vertical="top"/>
    </xf>
    <xf numFmtId="0" fontId="28" fillId="0" borderId="11" xfId="0" applyFont="1" applyBorder="1" applyAlignment="1">
      <alignment horizontal="left" vertical="top"/>
    </xf>
    <xf numFmtId="0" fontId="28" fillId="0" borderId="10" xfId="0" applyFont="1" applyBorder="1" applyAlignment="1">
      <alignment horizontal="left" vertical="top"/>
    </xf>
    <xf numFmtId="0" fontId="0" fillId="0" borderId="1" xfId="0" applyBorder="1" applyAlignment="1">
      <alignment horizontal="center" vertical="center"/>
    </xf>
    <xf numFmtId="167" fontId="0" fillId="0" borderId="1" xfId="0" applyNumberFormat="1" applyBorder="1" applyAlignment="1">
      <alignment horizontal="center" vertical="center"/>
    </xf>
    <xf numFmtId="167" fontId="1" fillId="0" borderId="1" xfId="2" applyNumberForma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left" vertical="top" wrapText="1"/>
    </xf>
    <xf numFmtId="0" fontId="0" fillId="0" borderId="13" xfId="0" applyBorder="1" applyAlignment="1">
      <alignment horizontal="left" vertical="top" wrapText="1"/>
    </xf>
    <xf numFmtId="0" fontId="0" fillId="0" borderId="13" xfId="0" applyBorder="1" applyAlignment="1">
      <alignment horizontal="center" vertical="center"/>
    </xf>
    <xf numFmtId="0" fontId="28" fillId="0" borderId="16" xfId="0" applyFont="1" applyBorder="1" applyAlignment="1">
      <alignment horizontal="left" vertical="top"/>
    </xf>
    <xf numFmtId="0" fontId="28" fillId="0" borderId="0" xfId="0" applyFont="1" applyAlignment="1">
      <alignment horizontal="left" vertical="top"/>
    </xf>
    <xf numFmtId="0" fontId="28" fillId="0" borderId="13" xfId="0" applyFont="1" applyBorder="1" applyAlignment="1">
      <alignment horizontal="left" vertical="top"/>
    </xf>
    <xf numFmtId="0" fontId="0" fillId="0" borderId="6" xfId="0" applyBorder="1" applyAlignment="1">
      <alignment horizontal="center" vertical="center"/>
    </xf>
    <xf numFmtId="167" fontId="0" fillId="0" borderId="6" xfId="0" applyNumberFormat="1" applyBorder="1" applyAlignment="1">
      <alignment horizontal="center" vertical="center"/>
    </xf>
    <xf numFmtId="167" fontId="1" fillId="0" borderId="6" xfId="2" applyNumberFormat="1" applyBorder="1" applyAlignment="1">
      <alignment horizontal="center" vertical="center"/>
    </xf>
    <xf numFmtId="0" fontId="0" fillId="0" borderId="8" xfId="0" applyBorder="1" applyAlignment="1">
      <alignment horizontal="left" vertical="top" wrapText="1"/>
    </xf>
    <xf numFmtId="0" fontId="0" fillId="0" borderId="7" xfId="0" applyBorder="1" applyAlignment="1">
      <alignment horizontal="left" vertical="top" wrapText="1"/>
    </xf>
    <xf numFmtId="0" fontId="28" fillId="0" borderId="13" xfId="0" applyFont="1" applyBorder="1" applyAlignment="1">
      <alignment horizontal="left" vertical="top" wrapText="1"/>
    </xf>
    <xf numFmtId="0" fontId="21" fillId="0" borderId="0" xfId="0" applyFont="1" applyAlignment="1">
      <alignment vertical="center"/>
    </xf>
    <xf numFmtId="16" fontId="21" fillId="0" borderId="0" xfId="0" applyNumberFormat="1" applyFont="1" applyAlignment="1">
      <alignment vertical="center"/>
    </xf>
    <xf numFmtId="16" fontId="21" fillId="0" borderId="52" xfId="0" applyNumberFormat="1" applyFont="1" applyBorder="1" applyAlignment="1">
      <alignment horizontal="left" vertical="center"/>
    </xf>
    <xf numFmtId="16" fontId="4" fillId="0" borderId="53" xfId="0" applyNumberFormat="1" applyFont="1" applyBorder="1" applyAlignment="1">
      <alignment horizontal="left" vertical="center"/>
    </xf>
    <xf numFmtId="0" fontId="21" fillId="0" borderId="53" xfId="0" applyFont="1" applyBorder="1" applyAlignment="1">
      <alignment vertical="center"/>
    </xf>
    <xf numFmtId="168" fontId="5" fillId="0" borderId="53" xfId="0" applyNumberFormat="1" applyFont="1" applyBorder="1" applyAlignment="1">
      <alignment horizontal="center" vertical="center"/>
    </xf>
    <xf numFmtId="0" fontId="5" fillId="0" borderId="53" xfId="0" applyFont="1" applyBorder="1" applyAlignment="1">
      <alignment horizontal="center" vertical="center"/>
    </xf>
    <xf numFmtId="0" fontId="5" fillId="0" borderId="53" xfId="0" applyFont="1" applyBorder="1" applyAlignment="1">
      <alignment horizontal="left" vertical="center"/>
    </xf>
    <xf numFmtId="0" fontId="5" fillId="0" borderId="54" xfId="0" applyFont="1" applyBorder="1" applyAlignment="1">
      <alignment horizontal="left" vertical="center"/>
    </xf>
    <xf numFmtId="0" fontId="21" fillId="0" borderId="0" xfId="0" applyFont="1" applyAlignment="1">
      <alignment horizontal="center" vertical="center"/>
    </xf>
    <xf numFmtId="168" fontId="21" fillId="0" borderId="0" xfId="4" applyNumberFormat="1" applyFont="1" applyFill="1" applyBorder="1" applyAlignment="1">
      <alignment vertical="center"/>
    </xf>
    <xf numFmtId="0" fontId="21" fillId="0" borderId="16" xfId="0" applyFont="1" applyBorder="1" applyAlignment="1">
      <alignment vertical="center"/>
    </xf>
    <xf numFmtId="168" fontId="21" fillId="0" borderId="0" xfId="4" applyNumberFormat="1" applyFont="1" applyBorder="1" applyAlignment="1">
      <alignment horizontal="center" vertical="center"/>
    </xf>
    <xf numFmtId="0" fontId="21" fillId="0" borderId="0" xfId="0" applyFont="1" applyAlignment="1">
      <alignment horizontal="center" vertical="center" wrapText="1"/>
    </xf>
    <xf numFmtId="168" fontId="29" fillId="0" borderId="1" xfId="4" applyNumberFormat="1" applyFont="1" applyFill="1" applyBorder="1" applyAlignment="1">
      <alignment horizontal="center" vertic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1" fontId="29" fillId="0" borderId="1" xfId="0" applyNumberFormat="1" applyFont="1" applyBorder="1" applyAlignment="1">
      <alignment horizontal="left" vertical="center"/>
    </xf>
    <xf numFmtId="0" fontId="21" fillId="0" borderId="13" xfId="0" applyFont="1" applyBorder="1" applyAlignment="1">
      <alignment horizontal="center" vertical="center"/>
    </xf>
    <xf numFmtId="0" fontId="6" fillId="7" borderId="1" xfId="0" applyFont="1" applyFill="1" applyBorder="1" applyAlignment="1">
      <alignment horizontal="center" vertical="center" wrapText="1"/>
    </xf>
    <xf numFmtId="0" fontId="6" fillId="7" borderId="7" xfId="0" applyFont="1" applyFill="1" applyBorder="1" applyAlignment="1">
      <alignment horizontal="center" vertical="center" wrapText="1"/>
    </xf>
    <xf numFmtId="170" fontId="6" fillId="7" borderId="5" xfId="0" applyNumberFormat="1" applyFont="1" applyFill="1" applyBorder="1" applyAlignment="1">
      <alignment horizontal="center" vertical="center"/>
    </xf>
    <xf numFmtId="170" fontId="6" fillId="7" borderId="9" xfId="0" applyNumberFormat="1" applyFont="1" applyFill="1" applyBorder="1" applyAlignment="1">
      <alignment horizontal="center" vertical="center"/>
    </xf>
    <xf numFmtId="170" fontId="6" fillId="7" borderId="7" xfId="0" applyNumberFormat="1" applyFont="1" applyFill="1" applyBorder="1" applyAlignment="1">
      <alignment horizontal="center" vertical="center"/>
    </xf>
    <xf numFmtId="168" fontId="21" fillId="0" borderId="13" xfId="4" applyNumberFormat="1" applyFont="1" applyFill="1" applyBorder="1" applyAlignment="1">
      <alignment vertical="center"/>
    </xf>
    <xf numFmtId="168" fontId="21" fillId="0" borderId="0" xfId="4" applyNumberFormat="1" applyFont="1" applyFill="1" applyBorder="1" applyAlignment="1">
      <alignment horizontal="center" vertical="center"/>
    </xf>
    <xf numFmtId="0" fontId="30" fillId="0" borderId="0" xfId="0" applyFont="1" applyAlignment="1">
      <alignment horizontal="center" vertical="center" wrapText="1"/>
    </xf>
    <xf numFmtId="170" fontId="21" fillId="0" borderId="0" xfId="0" applyNumberFormat="1" applyFont="1" applyAlignment="1">
      <alignment horizontal="center" vertical="center"/>
    </xf>
    <xf numFmtId="168" fontId="5" fillId="0" borderId="16" xfId="4" applyNumberFormat="1" applyFont="1" applyFill="1" applyBorder="1" applyAlignment="1">
      <alignment vertical="center"/>
    </xf>
    <xf numFmtId="168" fontId="5" fillId="0" borderId="0" xfId="4" applyNumberFormat="1" applyFont="1" applyFill="1" applyBorder="1" applyAlignment="1">
      <alignment vertical="center"/>
    </xf>
    <xf numFmtId="168" fontId="29" fillId="0" borderId="47" xfId="4" applyNumberFormat="1" applyFont="1" applyBorder="1" applyAlignment="1">
      <alignment horizontal="center" vertical="center"/>
    </xf>
    <xf numFmtId="168" fontId="29" fillId="0" borderId="46" xfId="4" applyNumberFormat="1" applyFont="1" applyBorder="1" applyAlignment="1">
      <alignment horizontal="center" vertical="center"/>
    </xf>
    <xf numFmtId="0" fontId="29" fillId="0" borderId="51" xfId="0" applyFont="1" applyBorder="1" applyAlignment="1">
      <alignment horizontal="center" vertical="center" wrapText="1"/>
    </xf>
    <xf numFmtId="0" fontId="22" fillId="0" borderId="48" xfId="0" applyFont="1" applyBorder="1" applyAlignment="1">
      <alignment horizontal="center" vertical="center" wrapText="1"/>
    </xf>
    <xf numFmtId="0" fontId="31" fillId="0" borderId="48" xfId="0" applyFont="1" applyBorder="1" applyAlignment="1">
      <alignment horizontal="center" vertical="center" wrapText="1"/>
    </xf>
    <xf numFmtId="170" fontId="29" fillId="0" borderId="47" xfId="0" applyNumberFormat="1" applyFont="1" applyBorder="1" applyAlignment="1">
      <alignment horizontal="center" vertical="center"/>
    </xf>
    <xf numFmtId="170" fontId="29" fillId="0" borderId="46" xfId="0" applyNumberFormat="1" applyFont="1" applyBorder="1" applyAlignment="1">
      <alignment horizontal="center" vertical="center"/>
    </xf>
    <xf numFmtId="0" fontId="29" fillId="0" borderId="48" xfId="0" applyFont="1" applyBorder="1" applyAlignment="1">
      <alignment horizontal="center" vertical="center"/>
    </xf>
    <xf numFmtId="0" fontId="21" fillId="0" borderId="0" xfId="0" applyFont="1" applyAlignment="1">
      <alignment vertical="top"/>
    </xf>
    <xf numFmtId="0" fontId="5" fillId="0" borderId="0" xfId="0" applyFont="1" applyAlignment="1">
      <alignment horizontal="center" vertical="top"/>
    </xf>
    <xf numFmtId="0" fontId="5" fillId="0" borderId="16" xfId="0" applyFont="1" applyBorder="1" applyAlignment="1">
      <alignment horizontal="center" vertical="top"/>
    </xf>
    <xf numFmtId="0" fontId="5" fillId="8" borderId="22" xfId="0" applyFont="1" applyFill="1" applyBorder="1" applyAlignment="1">
      <alignment horizontal="center" vertical="top"/>
    </xf>
    <xf numFmtId="0" fontId="5" fillId="8" borderId="21" xfId="0" applyFont="1" applyFill="1" applyBorder="1" applyAlignment="1">
      <alignment horizontal="center" vertical="top"/>
    </xf>
    <xf numFmtId="0" fontId="5" fillId="8" borderId="4" xfId="0" applyFont="1" applyFill="1" applyBorder="1" applyAlignment="1">
      <alignment horizontal="center" vertical="top"/>
    </xf>
    <xf numFmtId="0" fontId="5" fillId="8" borderId="2" xfId="0" applyFont="1" applyFill="1" applyBorder="1" applyAlignment="1">
      <alignment horizontal="center" vertical="top"/>
    </xf>
    <xf numFmtId="0" fontId="5" fillId="8" borderId="3" xfId="0" applyFont="1" applyFill="1" applyBorder="1" applyAlignment="1">
      <alignment horizontal="center" vertical="top"/>
    </xf>
    <xf numFmtId="0" fontId="21" fillId="0" borderId="13" xfId="0" applyFont="1" applyBorder="1" applyAlignment="1">
      <alignment vertical="center"/>
    </xf>
    <xf numFmtId="0" fontId="21" fillId="6" borderId="9" xfId="0" applyFont="1" applyFill="1" applyBorder="1" applyAlignment="1">
      <alignment vertical="center"/>
    </xf>
    <xf numFmtId="0" fontId="21" fillId="6" borderId="8" xfId="0" applyFont="1" applyFill="1" applyBorder="1" applyAlignment="1">
      <alignment vertical="center"/>
    </xf>
    <xf numFmtId="168" fontId="5" fillId="6" borderId="2" xfId="0" applyNumberFormat="1" applyFont="1" applyFill="1" applyBorder="1" applyAlignment="1">
      <alignment horizontal="center" vertical="center"/>
    </xf>
    <xf numFmtId="0" fontId="5" fillId="6" borderId="2" xfId="0" applyFont="1" applyFill="1" applyBorder="1" applyAlignment="1">
      <alignment horizontal="center" vertical="center"/>
    </xf>
    <xf numFmtId="0" fontId="5" fillId="6" borderId="2" xfId="0" applyFont="1" applyFill="1" applyBorder="1" applyAlignment="1">
      <alignment horizontal="left" vertical="center"/>
    </xf>
    <xf numFmtId="0" fontId="23" fillId="6" borderId="3" xfId="0" applyFont="1" applyFill="1" applyBorder="1" applyAlignment="1">
      <alignment horizontal="left" vertical="center"/>
    </xf>
    <xf numFmtId="0" fontId="21" fillId="0" borderId="16" xfId="0" applyFont="1" applyBorder="1" applyAlignment="1">
      <alignment horizontal="left" vertical="center"/>
    </xf>
    <xf numFmtId="0" fontId="21" fillId="0" borderId="0" xfId="0" applyFont="1" applyAlignment="1">
      <alignment horizontal="left" vertical="center"/>
    </xf>
    <xf numFmtId="171" fontId="5" fillId="0" borderId="0" xfId="0" applyNumberFormat="1" applyFont="1" applyAlignment="1">
      <alignment horizontal="center" vertical="center"/>
    </xf>
    <xf numFmtId="0" fontId="5" fillId="0" borderId="0" xfId="0" applyFont="1" applyAlignment="1">
      <alignment horizontal="left" vertical="center"/>
    </xf>
    <xf numFmtId="0" fontId="5" fillId="0" borderId="13" xfId="0" applyFont="1" applyBorder="1" applyAlignment="1">
      <alignment horizontal="left" vertical="center"/>
    </xf>
    <xf numFmtId="168" fontId="5" fillId="0" borderId="0" xfId="0" applyNumberFormat="1" applyFont="1" applyAlignment="1">
      <alignment horizontal="left" vertical="center"/>
    </xf>
    <xf numFmtId="168" fontId="32" fillId="0" borderId="4" xfId="0" applyNumberFormat="1" applyFont="1" applyBorder="1" applyAlignment="1">
      <alignment vertical="center"/>
    </xf>
    <xf numFmtId="168" fontId="32" fillId="0" borderId="3" xfId="0" applyNumberFormat="1" applyFont="1" applyBorder="1" applyAlignment="1">
      <alignment vertical="center"/>
    </xf>
    <xf numFmtId="168" fontId="5" fillId="0" borderId="0" xfId="0" applyNumberFormat="1" applyFont="1" applyAlignment="1">
      <alignment vertical="center"/>
    </xf>
    <xf numFmtId="0" fontId="5" fillId="0" borderId="16" xfId="0" applyFont="1" applyBorder="1" applyAlignment="1">
      <alignment vertical="center"/>
    </xf>
    <xf numFmtId="168" fontId="32" fillId="0" borderId="47" xfId="0" applyNumberFormat="1" applyFont="1" applyBorder="1" applyAlignment="1">
      <alignment vertical="center"/>
    </xf>
    <xf numFmtId="0" fontId="5" fillId="0" borderId="46" xfId="0" applyFont="1" applyBorder="1" applyAlignment="1">
      <alignment vertical="center"/>
    </xf>
    <xf numFmtId="0" fontId="5" fillId="0" borderId="47" xfId="0" applyFont="1" applyBorder="1" applyAlignment="1">
      <alignment horizontal="left" vertical="center"/>
    </xf>
    <xf numFmtId="0" fontId="5" fillId="0" borderId="51" xfId="0" applyFont="1" applyBorder="1" applyAlignment="1">
      <alignment horizontal="left" vertical="center"/>
    </xf>
    <xf numFmtId="0" fontId="5" fillId="0" borderId="46" xfId="0" applyFont="1" applyBorder="1" applyAlignment="1">
      <alignment horizontal="left" vertical="center"/>
    </xf>
    <xf numFmtId="168" fontId="29" fillId="0" borderId="20" xfId="4" applyNumberFormat="1" applyFont="1" applyBorder="1" applyAlignment="1">
      <alignment horizontal="center" vertical="center"/>
    </xf>
    <xf numFmtId="168" fontId="29" fillId="0" borderId="19" xfId="4" applyNumberFormat="1" applyFont="1" applyBorder="1" applyAlignment="1">
      <alignment horizontal="center" vertical="center"/>
    </xf>
    <xf numFmtId="168" fontId="29" fillId="0" borderId="1" xfId="4" applyNumberFormat="1" applyFont="1" applyBorder="1" applyAlignment="1">
      <alignment vertical="center"/>
    </xf>
    <xf numFmtId="168" fontId="29" fillId="0" borderId="18" xfId="4" applyNumberFormat="1" applyFont="1" applyBorder="1" applyAlignment="1">
      <alignment vertical="center"/>
    </xf>
    <xf numFmtId="0" fontId="21" fillId="0" borderId="20" xfId="0" applyFont="1" applyBorder="1" applyAlignment="1">
      <alignment vertical="center"/>
    </xf>
    <xf numFmtId="0" fontId="21" fillId="0" borderId="33" xfId="0" applyFont="1" applyBorder="1" applyAlignment="1">
      <alignment vertical="center"/>
    </xf>
    <xf numFmtId="0" fontId="21" fillId="0" borderId="19" xfId="0" applyFont="1" applyBorder="1" applyAlignment="1">
      <alignment vertical="center"/>
    </xf>
    <xf numFmtId="0" fontId="21" fillId="0" borderId="6" xfId="0" applyFont="1" applyBorder="1" applyAlignment="1">
      <alignment horizontal="center" vertical="center"/>
    </xf>
    <xf numFmtId="168" fontId="29" fillId="0" borderId="1" xfId="4" applyNumberFormat="1" applyFont="1" applyFill="1" applyBorder="1" applyAlignment="1">
      <alignment vertical="center"/>
    </xf>
    <xf numFmtId="0" fontId="21" fillId="0" borderId="1" xfId="0" applyFont="1" applyBorder="1" applyAlignment="1">
      <alignment vertical="center"/>
    </xf>
    <xf numFmtId="0" fontId="21" fillId="0" borderId="1" xfId="0" applyFont="1" applyBorder="1" applyAlignment="1">
      <alignment horizontal="center" vertical="center"/>
    </xf>
    <xf numFmtId="168" fontId="33" fillId="0" borderId="3" xfId="4" applyNumberFormat="1" applyFont="1" applyBorder="1" applyAlignment="1">
      <alignment horizontal="center" vertical="center"/>
    </xf>
    <xf numFmtId="168" fontId="29" fillId="0" borderId="3" xfId="4" applyNumberFormat="1"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168" fontId="29" fillId="0" borderId="4" xfId="4" applyNumberFormat="1" applyFont="1" applyBorder="1" applyAlignment="1">
      <alignment horizontal="center" vertical="center"/>
    </xf>
    <xf numFmtId="168" fontId="29" fillId="0" borderId="3" xfId="4" applyNumberFormat="1" applyFont="1" applyBorder="1" applyAlignment="1">
      <alignment horizontal="center" vertical="center"/>
    </xf>
    <xf numFmtId="0" fontId="5" fillId="8" borderId="4"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8" borderId="1"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3" xfId="0" applyFont="1" applyFill="1" applyBorder="1" applyAlignment="1">
      <alignment horizontal="center" vertical="center"/>
    </xf>
    <xf numFmtId="168" fontId="29" fillId="0" borderId="11" xfId="4" applyNumberFormat="1" applyFont="1" applyBorder="1" applyAlignment="1">
      <alignment horizontal="center" vertical="center"/>
    </xf>
    <xf numFmtId="168" fontId="29" fillId="0" borderId="11" xfId="4" applyNumberFormat="1" applyFont="1" applyBorder="1" applyAlignment="1">
      <alignment vertical="center"/>
    </xf>
    <xf numFmtId="0" fontId="21" fillId="0" borderId="11" xfId="0" applyFont="1" applyBorder="1" applyAlignment="1">
      <alignment vertical="center"/>
    </xf>
    <xf numFmtId="0" fontId="21" fillId="0" borderId="10" xfId="0" applyFont="1" applyBorder="1" applyAlignment="1">
      <alignment horizontal="center" vertical="center"/>
    </xf>
    <xf numFmtId="168" fontId="32" fillId="0" borderId="4" xfId="4" applyNumberFormat="1" applyFont="1" applyBorder="1" applyAlignment="1">
      <alignment horizontal="center" vertical="center"/>
    </xf>
    <xf numFmtId="0" fontId="34" fillId="0" borderId="13" xfId="0" quotePrefix="1" applyFont="1" applyBorder="1" applyAlignment="1">
      <alignment horizontal="left" vertical="center"/>
    </xf>
    <xf numFmtId="0" fontId="35" fillId="0" borderId="13" xfId="0" applyFont="1" applyBorder="1" applyAlignment="1">
      <alignment horizontal="left" vertical="center"/>
    </xf>
    <xf numFmtId="0" fontId="21" fillId="9" borderId="0" xfId="0" applyFont="1" applyFill="1" applyAlignment="1">
      <alignment horizontal="center" vertical="center"/>
    </xf>
    <xf numFmtId="0" fontId="5" fillId="9" borderId="0" xfId="0" applyFont="1" applyFill="1" applyAlignment="1">
      <alignment horizontal="left" vertical="center"/>
    </xf>
    <xf numFmtId="0" fontId="23" fillId="9" borderId="13" xfId="0" applyFont="1" applyFill="1" applyBorder="1" applyAlignment="1">
      <alignment horizontal="left" vertical="center"/>
    </xf>
    <xf numFmtId="168" fontId="5" fillId="0" borderId="6" xfId="0" applyNumberFormat="1" applyFont="1" applyBorder="1" applyAlignment="1">
      <alignment horizontal="center" vertical="center"/>
    </xf>
    <xf numFmtId="168" fontId="21" fillId="0" borderId="6" xfId="0" applyNumberFormat="1" applyFont="1" applyBorder="1" applyAlignment="1">
      <alignment horizontal="center" vertical="center"/>
    </xf>
    <xf numFmtId="0" fontId="4" fillId="0" borderId="1" xfId="0" applyFont="1" applyBorder="1" applyAlignment="1">
      <alignment horizontal="center"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5" fillId="0" borderId="1" xfId="0" applyFont="1" applyBorder="1" applyAlignment="1">
      <alignment horizontal="center" vertical="center"/>
    </xf>
    <xf numFmtId="168" fontId="5" fillId="0" borderId="5" xfId="0" applyNumberFormat="1" applyFont="1" applyBorder="1" applyAlignment="1">
      <alignment horizontal="center" vertical="center"/>
    </xf>
    <xf numFmtId="168" fontId="21" fillId="0" borderId="5" xfId="0" applyNumberFormat="1" applyFont="1" applyBorder="1" applyAlignment="1">
      <alignment horizontal="center" vertical="center"/>
    </xf>
    <xf numFmtId="0" fontId="5" fillId="8" borderId="1" xfId="0" applyFont="1" applyFill="1" applyBorder="1" applyAlignment="1">
      <alignment horizontal="center" vertical="center"/>
    </xf>
    <xf numFmtId="0" fontId="5" fillId="8" borderId="5" xfId="0" applyFont="1" applyFill="1" applyBorder="1" applyAlignment="1">
      <alignment horizontal="center" vertical="center"/>
    </xf>
    <xf numFmtId="0" fontId="23" fillId="6" borderId="16" xfId="0" applyFont="1" applyFill="1" applyBorder="1" applyAlignment="1">
      <alignment horizontal="left" vertical="center" wrapText="1"/>
    </xf>
    <xf numFmtId="0" fontId="23" fillId="6" borderId="0" xfId="0" applyFont="1" applyFill="1" applyAlignment="1">
      <alignment horizontal="left" vertical="center" wrapText="1"/>
    </xf>
    <xf numFmtId="0" fontId="23" fillId="6" borderId="13" xfId="0" applyFont="1" applyFill="1" applyBorder="1" applyAlignment="1">
      <alignment horizontal="left" vertical="center" wrapText="1"/>
    </xf>
    <xf numFmtId="0" fontId="23" fillId="6" borderId="55" xfId="0" applyFont="1" applyFill="1" applyBorder="1" applyAlignment="1">
      <alignment horizontal="left" vertical="center" wrapText="1"/>
    </xf>
    <xf numFmtId="0" fontId="23" fillId="6" borderId="56" xfId="0" applyFont="1" applyFill="1" applyBorder="1" applyAlignment="1">
      <alignment horizontal="left" vertical="center" wrapText="1"/>
    </xf>
    <xf numFmtId="0" fontId="23" fillId="6" borderId="57" xfId="0" applyFont="1" applyFill="1" applyBorder="1" applyAlignment="1">
      <alignment horizontal="left" vertical="center" wrapText="1"/>
    </xf>
    <xf numFmtId="0" fontId="5" fillId="0" borderId="47" xfId="0" applyFont="1" applyBorder="1" applyAlignment="1">
      <alignment horizontal="center" vertical="center"/>
    </xf>
    <xf numFmtId="0" fontId="5" fillId="0" borderId="51" xfId="0" applyFont="1" applyBorder="1" applyAlignment="1">
      <alignment horizontal="center" vertical="center"/>
    </xf>
    <xf numFmtId="0" fontId="5" fillId="0" borderId="46" xfId="0" applyFont="1" applyBorder="1" applyAlignment="1">
      <alignment horizontal="center" vertical="center"/>
    </xf>
    <xf numFmtId="171" fontId="37" fillId="0" borderId="0" xfId="0" applyNumberFormat="1" applyFont="1" applyAlignment="1">
      <alignment horizontal="center" vertical="center"/>
    </xf>
    <xf numFmtId="168" fontId="32" fillId="0" borderId="4" xfId="0" applyNumberFormat="1" applyFont="1" applyBorder="1" applyAlignment="1">
      <alignment horizontal="left" vertical="center"/>
    </xf>
    <xf numFmtId="0" fontId="29" fillId="0" borderId="1" xfId="0" applyFont="1" applyBorder="1" applyAlignment="1">
      <alignment horizontal="left" vertical="center"/>
    </xf>
    <xf numFmtId="168" fontId="32" fillId="0" borderId="4" xfId="0" applyNumberFormat="1" applyFont="1" applyBorder="1" applyAlignment="1">
      <alignment horizontal="left" vertical="center"/>
    </xf>
    <xf numFmtId="0" fontId="5" fillId="7" borderId="4"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7" fillId="0" borderId="16" xfId="0" applyFont="1" applyBorder="1" applyAlignment="1">
      <alignment horizontal="center" vertical="center"/>
    </xf>
    <xf numFmtId="0" fontId="7" fillId="0" borderId="0" xfId="0" applyFont="1" applyAlignment="1">
      <alignment horizontal="center" vertical="center"/>
    </xf>
    <xf numFmtId="171" fontId="7" fillId="0" borderId="0" xfId="0" applyNumberFormat="1" applyFont="1" applyAlignment="1">
      <alignment horizontal="center" vertical="center"/>
    </xf>
    <xf numFmtId="0" fontId="23" fillId="0" borderId="10" xfId="0" applyFont="1" applyBorder="1" applyAlignment="1">
      <alignment horizontal="left" vertical="center"/>
    </xf>
    <xf numFmtId="168" fontId="32" fillId="0" borderId="6" xfId="4" applyNumberFormat="1" applyFont="1" applyBorder="1" applyAlignment="1">
      <alignment vertical="center"/>
    </xf>
    <xf numFmtId="0" fontId="29" fillId="0" borderId="6" xfId="0" applyFont="1" applyBorder="1" applyAlignment="1">
      <alignment horizontal="center" vertical="center"/>
    </xf>
    <xf numFmtId="168" fontId="29" fillId="0" borderId="6" xfId="0" applyNumberFormat="1" applyFont="1" applyBorder="1" applyAlignment="1">
      <alignment horizontal="center" vertical="center"/>
    </xf>
    <xf numFmtId="168" fontId="29" fillId="0" borderId="6" xfId="0" applyNumberFormat="1" applyFont="1" applyBorder="1" applyAlignment="1">
      <alignment vertical="center"/>
    </xf>
    <xf numFmtId="0" fontId="5" fillId="0" borderId="6" xfId="0" applyFont="1" applyBorder="1" applyAlignment="1">
      <alignment horizontal="center" vertical="center"/>
    </xf>
    <xf numFmtId="168" fontId="29" fillId="0" borderId="1" xfId="4" applyNumberFormat="1" applyFont="1" applyBorder="1" applyAlignment="1">
      <alignment horizontal="center" vertical="center"/>
    </xf>
    <xf numFmtId="172" fontId="21" fillId="0" borderId="1" xfId="0" applyNumberFormat="1" applyFont="1" applyBorder="1" applyAlignment="1">
      <alignment horizontal="left" vertical="center"/>
    </xf>
    <xf numFmtId="20" fontId="21" fillId="0" borderId="0" xfId="0" applyNumberFormat="1" applyFont="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5" fillId="0" borderId="10" xfId="0" applyFont="1" applyBorder="1" applyAlignment="1">
      <alignment vertical="center"/>
    </xf>
    <xf numFmtId="0" fontId="21" fillId="0" borderId="8" xfId="0" applyFont="1" applyBorder="1" applyAlignment="1">
      <alignment horizontal="center" vertical="center"/>
    </xf>
    <xf numFmtId="0" fontId="5" fillId="0" borderId="8" xfId="0" applyFont="1" applyBorder="1" applyAlignment="1">
      <alignment horizontal="left" vertical="center"/>
    </xf>
    <xf numFmtId="0" fontId="5" fillId="0" borderId="7" xfId="0" applyFont="1" applyBorder="1" applyAlignment="1">
      <alignment horizontal="left" vertical="center"/>
    </xf>
    <xf numFmtId="168" fontId="38" fillId="2" borderId="1" xfId="4" applyNumberFormat="1" applyFont="1" applyFill="1" applyBorder="1" applyAlignment="1">
      <alignment horizontal="center" vertical="center"/>
    </xf>
    <xf numFmtId="168" fontId="38" fillId="2" borderId="3" xfId="4" applyNumberFormat="1" applyFont="1" applyFill="1" applyBorder="1" applyAlignment="1">
      <alignment horizontal="center" vertical="center"/>
    </xf>
    <xf numFmtId="0" fontId="5" fillId="2" borderId="4" xfId="0" applyFont="1" applyFill="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39" fillId="3" borderId="1" xfId="0" applyFont="1" applyFill="1" applyBorder="1" applyAlignment="1">
      <alignment horizontal="center" vertical="center"/>
    </xf>
    <xf numFmtId="0" fontId="39" fillId="3" borderId="3" xfId="0" applyFont="1" applyFill="1" applyBorder="1" applyAlignment="1">
      <alignment horizontal="center" vertical="center"/>
    </xf>
    <xf numFmtId="0" fontId="39" fillId="3" borderId="4" xfId="0" applyFont="1" applyFill="1" applyBorder="1" applyAlignment="1">
      <alignment vertical="center"/>
    </xf>
    <xf numFmtId="0" fontId="39" fillId="3" borderId="2" xfId="0" applyFont="1" applyFill="1" applyBorder="1" applyAlignment="1">
      <alignment vertical="center"/>
    </xf>
    <xf numFmtId="0" fontId="39" fillId="3" borderId="3" xfId="0" applyFont="1" applyFill="1" applyBorder="1" applyAlignment="1">
      <alignment vertical="center"/>
    </xf>
    <xf numFmtId="0" fontId="38" fillId="0" borderId="13" xfId="0" applyFont="1" applyBorder="1"/>
    <xf numFmtId="0" fontId="6" fillId="0" borderId="16" xfId="0" applyFont="1" applyBorder="1" applyAlignment="1">
      <alignment horizontal="center" vertical="center"/>
    </xf>
    <xf numFmtId="0" fontId="6" fillId="0" borderId="0" xfId="0" applyFont="1" applyAlignment="1">
      <alignment horizontal="center" vertical="center"/>
    </xf>
    <xf numFmtId="0" fontId="23" fillId="6" borderId="56" xfId="0" applyFont="1" applyFill="1" applyBorder="1" applyAlignment="1">
      <alignment horizontal="left" vertical="center"/>
    </xf>
    <xf numFmtId="0" fontId="23" fillId="6" borderId="57" xfId="0" applyFont="1" applyFill="1" applyBorder="1" applyAlignment="1">
      <alignment horizontal="left" vertical="center"/>
    </xf>
    <xf numFmtId="0" fontId="0" fillId="0" borderId="52" xfId="0" applyBorder="1" applyAlignment="1">
      <alignment vertical="center"/>
    </xf>
    <xf numFmtId="0" fontId="0" fillId="0" borderId="53" xfId="0" applyBorder="1" applyAlignment="1">
      <alignment vertical="center"/>
    </xf>
    <xf numFmtId="0" fontId="0" fillId="0" borderId="53" xfId="0" applyBorder="1" applyAlignment="1">
      <alignment horizontal="center" vertical="center"/>
    </xf>
    <xf numFmtId="0" fontId="23" fillId="0" borderId="54" xfId="0" applyFont="1" applyBorder="1" applyAlignment="1">
      <alignment vertical="center"/>
    </xf>
    <xf numFmtId="0" fontId="23" fillId="0" borderId="13" xfId="0" applyFont="1" applyBorder="1" applyAlignment="1">
      <alignment vertical="center"/>
    </xf>
    <xf numFmtId="0" fontId="0" fillId="0" borderId="9" xfId="0" applyBorder="1" applyAlignment="1">
      <alignment vertical="center"/>
    </xf>
    <xf numFmtId="0" fontId="23" fillId="0" borderId="7" xfId="0" applyFont="1" applyBorder="1" applyAlignment="1">
      <alignment vertical="center"/>
    </xf>
    <xf numFmtId="0" fontId="0" fillId="0" borderId="5" xfId="0" applyBorder="1" applyAlignment="1">
      <alignment horizontal="center" vertical="center"/>
    </xf>
    <xf numFmtId="0" fontId="3" fillId="0" borderId="58" xfId="0" applyFont="1" applyBorder="1" applyAlignment="1">
      <alignment vertical="center"/>
    </xf>
    <xf numFmtId="0" fontId="3" fillId="0" borderId="59" xfId="0" applyFont="1" applyBorder="1" applyAlignment="1">
      <alignment vertical="center"/>
    </xf>
    <xf numFmtId="0" fontId="40" fillId="0" borderId="16" xfId="0" applyFont="1" applyBorder="1" applyAlignment="1">
      <alignment horizontal="center" vertical="center"/>
    </xf>
    <xf numFmtId="0" fontId="40" fillId="0" borderId="0" xfId="0" applyFont="1" applyAlignment="1">
      <alignment horizontal="center" vertical="center"/>
    </xf>
    <xf numFmtId="0" fontId="40" fillId="0" borderId="13" xfId="0" applyFont="1" applyBorder="1" applyAlignment="1">
      <alignment horizontal="center" vertical="center"/>
    </xf>
    <xf numFmtId="0" fontId="3" fillId="0" borderId="38" xfId="0" applyFont="1" applyBorder="1" applyAlignment="1">
      <alignment vertical="center"/>
    </xf>
    <xf numFmtId="0" fontId="3" fillId="0" borderId="15" xfId="0" applyFont="1" applyBorder="1" applyAlignment="1">
      <alignment vertical="center"/>
    </xf>
    <xf numFmtId="0" fontId="40" fillId="0" borderId="9" xfId="0" applyFont="1" applyBorder="1" applyAlignment="1">
      <alignment horizontal="center" vertical="center"/>
    </xf>
    <xf numFmtId="0" fontId="40" fillId="0" borderId="8" xfId="0" applyFont="1" applyBorder="1" applyAlignment="1">
      <alignment horizontal="center" vertical="center"/>
    </xf>
    <xf numFmtId="0" fontId="40" fillId="0" borderId="7" xfId="0" applyFont="1" applyBorder="1" applyAlignment="1">
      <alignment horizontal="center" vertical="center"/>
    </xf>
    <xf numFmtId="0" fontId="3" fillId="0" borderId="36" xfId="0" applyFont="1" applyBorder="1" applyAlignment="1">
      <alignment vertical="center"/>
    </xf>
    <xf numFmtId="0" fontId="3" fillId="0" borderId="35" xfId="0" applyFont="1" applyBorder="1" applyAlignment="1">
      <alignment vertical="center"/>
    </xf>
    <xf numFmtId="0" fontId="8" fillId="0" borderId="4" xfId="0" applyFont="1" applyBorder="1" applyAlignment="1">
      <alignment horizontal="right" vertical="center"/>
    </xf>
    <xf numFmtId="0" fontId="2" fillId="0" borderId="2" xfId="0" applyFont="1" applyBorder="1" applyAlignment="1">
      <alignment vertical="center"/>
    </xf>
    <xf numFmtId="0" fontId="2" fillId="0" borderId="3" xfId="0" applyFont="1" applyBorder="1" applyAlignment="1">
      <alignment vertical="center"/>
    </xf>
    <xf numFmtId="0" fontId="41" fillId="0" borderId="0" xfId="0" applyFont="1" applyAlignment="1">
      <alignment horizontal="center" vertical="center"/>
    </xf>
    <xf numFmtId="0" fontId="4" fillId="0" borderId="53" xfId="0" applyFont="1" applyBorder="1" applyAlignment="1">
      <alignment vertical="center"/>
    </xf>
    <xf numFmtId="0" fontId="4" fillId="0" borderId="53" xfId="0" applyFont="1" applyBorder="1" applyAlignment="1">
      <alignment horizontal="center" vertical="center"/>
    </xf>
    <xf numFmtId="0" fontId="2" fillId="0" borderId="1" xfId="2" applyFont="1" applyBorder="1" applyAlignment="1">
      <alignment horizontal="center" vertical="center"/>
    </xf>
    <xf numFmtId="0" fontId="2" fillId="0" borderId="4" xfId="2" applyFont="1" applyBorder="1" applyAlignment="1">
      <alignment horizontal="center" vertical="center"/>
    </xf>
    <xf numFmtId="0" fontId="2" fillId="0" borderId="2" xfId="2" applyFont="1" applyBorder="1" applyAlignment="1">
      <alignment horizontal="center" vertical="center"/>
    </xf>
    <xf numFmtId="0" fontId="2" fillId="0" borderId="3" xfId="2" applyFont="1" applyBorder="1" applyAlignment="1">
      <alignment horizontal="center" vertical="center"/>
    </xf>
    <xf numFmtId="0" fontId="0" fillId="0" borderId="12"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xf>
    <xf numFmtId="0" fontId="0" fillId="0" borderId="12" xfId="0" applyBorder="1" applyAlignment="1">
      <alignment horizontal="center" vertical="center"/>
    </xf>
    <xf numFmtId="167" fontId="0" fillId="0" borderId="4" xfId="0" applyNumberFormat="1" applyBorder="1" applyAlignment="1">
      <alignment horizontal="center" vertical="center"/>
    </xf>
    <xf numFmtId="167" fontId="0" fillId="0" borderId="2" xfId="0" applyNumberFormat="1" applyBorder="1" applyAlignment="1">
      <alignment horizontal="center" vertical="center"/>
    </xf>
    <xf numFmtId="167" fontId="0" fillId="0" borderId="3" xfId="0" applyNumberFormat="1" applyBorder="1" applyAlignment="1">
      <alignment horizontal="center" vertical="center"/>
    </xf>
    <xf numFmtId="0" fontId="1" fillId="0" borderId="4" xfId="2" applyBorder="1" applyAlignment="1">
      <alignment horizontal="center" vertical="center"/>
    </xf>
    <xf numFmtId="0" fontId="1" fillId="0" borderId="2" xfId="2" applyBorder="1" applyAlignment="1">
      <alignment horizontal="center" vertical="center"/>
    </xf>
    <xf numFmtId="0" fontId="1" fillId="0" borderId="3" xfId="2" applyBorder="1" applyAlignment="1">
      <alignment horizontal="center" vertical="center"/>
    </xf>
    <xf numFmtId="0" fontId="0" fillId="0" borderId="16" xfId="0" applyBorder="1" applyAlignment="1">
      <alignment horizontal="left" vertical="top"/>
    </xf>
    <xf numFmtId="0" fontId="0" fillId="0" borderId="0" xfId="0" applyAlignment="1">
      <alignment horizontal="left" vertical="top"/>
    </xf>
    <xf numFmtId="0" fontId="0" fillId="0" borderId="13" xfId="0" applyBorder="1" applyAlignment="1">
      <alignment horizontal="left" vertical="top"/>
    </xf>
    <xf numFmtId="0" fontId="0" fillId="0" borderId="16" xfId="0" applyBorder="1" applyAlignment="1">
      <alignment horizontal="center" vertical="center"/>
    </xf>
    <xf numFmtId="167" fontId="0" fillId="0" borderId="47" xfId="0" applyNumberFormat="1" applyBorder="1" applyAlignment="1">
      <alignment horizontal="center" vertical="center"/>
    </xf>
    <xf numFmtId="167" fontId="0" fillId="0" borderId="51" xfId="0" applyNumberFormat="1" applyBorder="1" applyAlignment="1">
      <alignment horizontal="center" vertical="center"/>
    </xf>
    <xf numFmtId="167" fontId="0" fillId="0" borderId="46" xfId="0" applyNumberFormat="1" applyBorder="1" applyAlignment="1">
      <alignment horizontal="center" vertical="center"/>
    </xf>
    <xf numFmtId="0" fontId="1" fillId="0" borderId="12" xfId="2" applyBorder="1" applyAlignment="1">
      <alignment horizontal="center" vertical="center"/>
    </xf>
    <xf numFmtId="0" fontId="1" fillId="0" borderId="11" xfId="2" applyBorder="1" applyAlignment="1">
      <alignment horizontal="center" vertical="center"/>
    </xf>
    <xf numFmtId="0" fontId="1" fillId="0" borderId="10" xfId="2" applyBorder="1" applyAlignment="1">
      <alignment horizontal="center" vertical="center"/>
    </xf>
    <xf numFmtId="0" fontId="42" fillId="0" borderId="0" xfId="0" applyFont="1" applyAlignment="1">
      <alignment vertical="center"/>
    </xf>
    <xf numFmtId="16" fontId="43" fillId="0" borderId="20" xfId="0" applyNumberFormat="1" applyFont="1" applyBorder="1" applyAlignment="1">
      <alignment horizontal="left" vertical="center"/>
    </xf>
    <xf numFmtId="16" fontId="43" fillId="0" borderId="33" xfId="0" applyNumberFormat="1" applyFont="1" applyBorder="1" applyAlignment="1">
      <alignment horizontal="left" vertical="center"/>
    </xf>
    <xf numFmtId="0" fontId="42" fillId="0" borderId="33" xfId="0" applyFont="1" applyBorder="1" applyAlignment="1">
      <alignment vertical="center"/>
    </xf>
    <xf numFmtId="0" fontId="42" fillId="0" borderId="33" xfId="0" applyFont="1" applyBorder="1" applyAlignment="1">
      <alignment horizontal="center" vertical="center"/>
    </xf>
    <xf numFmtId="0" fontId="42" fillId="0" borderId="33" xfId="0" applyFont="1" applyBorder="1" applyAlignment="1">
      <alignment horizontal="left" vertical="center"/>
    </xf>
    <xf numFmtId="0" fontId="42" fillId="0" borderId="19" xfId="0" applyFont="1" applyBorder="1" applyAlignment="1">
      <alignment vertical="center"/>
    </xf>
    <xf numFmtId="0" fontId="43" fillId="0" borderId="16" xfId="0" applyFont="1" applyBorder="1" applyAlignment="1">
      <alignment horizontal="left" vertical="center"/>
    </xf>
    <xf numFmtId="0" fontId="43" fillId="0" borderId="0" xfId="0" applyFont="1" applyAlignment="1">
      <alignment horizontal="left" vertical="center"/>
    </xf>
    <xf numFmtId="0" fontId="42" fillId="0" borderId="0" xfId="0" applyFont="1" applyAlignment="1">
      <alignment horizontal="center" vertical="center"/>
    </xf>
    <xf numFmtId="0" fontId="44" fillId="0" borderId="0" xfId="0" quotePrefix="1" applyFont="1" applyAlignment="1">
      <alignment vertical="center" wrapText="1"/>
    </xf>
    <xf numFmtId="0" fontId="42" fillId="0" borderId="13" xfId="0" applyFont="1" applyBorder="1" applyAlignment="1">
      <alignment vertical="center"/>
    </xf>
    <xf numFmtId="0" fontId="43" fillId="0" borderId="16" xfId="0" applyFont="1" applyBorder="1" applyAlignment="1">
      <alignment horizontal="center" vertical="center"/>
    </xf>
    <xf numFmtId="0" fontId="45" fillId="10" borderId="12" xfId="0" applyFont="1" applyFill="1" applyBorder="1" applyAlignment="1">
      <alignment horizontal="center"/>
    </xf>
    <xf numFmtId="0" fontId="45" fillId="10" borderId="11" xfId="0" applyFont="1" applyFill="1" applyBorder="1" applyAlignment="1">
      <alignment horizontal="center"/>
    </xf>
    <xf numFmtId="0" fontId="45" fillId="10" borderId="10" xfId="0" applyFont="1" applyFill="1" applyBorder="1" applyAlignment="1">
      <alignment horizontal="center"/>
    </xf>
    <xf numFmtId="0" fontId="46" fillId="0" borderId="0" xfId="0" quotePrefix="1" applyFont="1" applyAlignment="1">
      <alignment vertical="center" wrapText="1"/>
    </xf>
    <xf numFmtId="0" fontId="46" fillId="0" borderId="12" xfId="0" quotePrefix="1" applyFont="1" applyBorder="1" applyAlignment="1">
      <alignment horizontal="left" vertical="center" wrapText="1"/>
    </xf>
    <xf numFmtId="0" fontId="46" fillId="0" borderId="11" xfId="0" quotePrefix="1" applyFont="1" applyBorder="1" applyAlignment="1">
      <alignment horizontal="left" vertical="center" wrapText="1"/>
    </xf>
    <xf numFmtId="0" fontId="46" fillId="0" borderId="10" xfId="0" quotePrefix="1" applyFont="1" applyBorder="1" applyAlignment="1">
      <alignment horizontal="left" vertical="center" wrapText="1"/>
    </xf>
    <xf numFmtId="0" fontId="45" fillId="10" borderId="16" xfId="0" applyFont="1" applyFill="1" applyBorder="1" applyAlignment="1">
      <alignment horizontal="center"/>
    </xf>
    <xf numFmtId="0" fontId="45" fillId="10" borderId="0" xfId="0" applyFont="1" applyFill="1" applyAlignment="1">
      <alignment horizontal="center"/>
    </xf>
    <xf numFmtId="0" fontId="45" fillId="10" borderId="13" xfId="0" applyFont="1" applyFill="1" applyBorder="1" applyAlignment="1">
      <alignment horizontal="center"/>
    </xf>
    <xf numFmtId="0" fontId="46" fillId="0" borderId="16" xfId="0" quotePrefix="1" applyFont="1" applyBorder="1" applyAlignment="1">
      <alignment horizontal="left" vertical="center" wrapText="1"/>
    </xf>
    <xf numFmtId="0" fontId="46" fillId="0" borderId="0" xfId="0" quotePrefix="1" applyFont="1" applyAlignment="1">
      <alignment horizontal="left" vertical="center" wrapText="1"/>
    </xf>
    <xf numFmtId="0" fontId="46" fillId="0" borderId="13" xfId="0" quotePrefix="1" applyFont="1" applyBorder="1" applyAlignment="1">
      <alignment horizontal="left" vertical="center" wrapText="1"/>
    </xf>
    <xf numFmtId="0" fontId="42" fillId="0" borderId="16" xfId="0" applyFont="1" applyBorder="1" applyAlignment="1">
      <alignment vertical="center"/>
    </xf>
    <xf numFmtId="0" fontId="47" fillId="0" borderId="0" xfId="0" applyFont="1" applyAlignment="1">
      <alignment vertical="center"/>
    </xf>
    <xf numFmtId="0" fontId="47" fillId="0" borderId="16" xfId="0" applyFont="1" applyBorder="1" applyAlignment="1">
      <alignment vertical="center"/>
    </xf>
    <xf numFmtId="0" fontId="45" fillId="10" borderId="9" xfId="0" applyFont="1" applyFill="1" applyBorder="1" applyAlignment="1">
      <alignment horizontal="center"/>
    </xf>
    <xf numFmtId="0" fontId="45" fillId="10" borderId="8" xfId="0" applyFont="1" applyFill="1" applyBorder="1" applyAlignment="1">
      <alignment horizontal="center"/>
    </xf>
    <xf numFmtId="0" fontId="45" fillId="10" borderId="7" xfId="0" applyFont="1" applyFill="1" applyBorder="1" applyAlignment="1">
      <alignment horizontal="center"/>
    </xf>
    <xf numFmtId="0" fontId="46" fillId="8" borderId="12" xfId="0" applyFont="1" applyFill="1" applyBorder="1" applyAlignment="1">
      <alignment horizontal="center" vertical="center" wrapText="1"/>
    </xf>
    <xf numFmtId="0" fontId="46" fillId="8" borderId="11" xfId="0" applyFont="1" applyFill="1" applyBorder="1" applyAlignment="1">
      <alignment horizontal="center" vertical="center" wrapText="1"/>
    </xf>
    <xf numFmtId="0" fontId="46" fillId="8" borderId="10" xfId="0" applyFont="1" applyFill="1" applyBorder="1" applyAlignment="1">
      <alignment horizontal="center" vertical="center" wrapText="1"/>
    </xf>
    <xf numFmtId="0" fontId="46" fillId="8" borderId="16" xfId="0" applyFont="1" applyFill="1" applyBorder="1" applyAlignment="1">
      <alignment horizontal="center" vertical="center" wrapText="1"/>
    </xf>
    <xf numFmtId="0" fontId="46" fillId="8" borderId="0" xfId="0" applyFont="1" applyFill="1" applyAlignment="1">
      <alignment horizontal="center" vertical="center" wrapText="1"/>
    </xf>
    <xf numFmtId="0" fontId="46" fillId="8" borderId="13" xfId="0" applyFont="1" applyFill="1" applyBorder="1" applyAlignment="1">
      <alignment horizontal="center" vertical="center" wrapText="1"/>
    </xf>
    <xf numFmtId="0" fontId="46" fillId="8" borderId="9" xfId="0" applyFont="1" applyFill="1" applyBorder="1" applyAlignment="1">
      <alignment horizontal="center" vertical="center" wrapText="1"/>
    </xf>
    <xf numFmtId="0" fontId="46" fillId="8" borderId="8" xfId="0" applyFont="1" applyFill="1" applyBorder="1" applyAlignment="1">
      <alignment horizontal="center" vertical="center" wrapText="1"/>
    </xf>
    <xf numFmtId="0" fontId="46" fillId="8" borderId="7" xfId="0" applyFont="1" applyFill="1" applyBorder="1" applyAlignment="1">
      <alignment horizontal="center" vertical="center" wrapText="1"/>
    </xf>
    <xf numFmtId="0" fontId="46" fillId="0" borderId="9" xfId="0" quotePrefix="1" applyFont="1" applyBorder="1" applyAlignment="1">
      <alignment horizontal="left" vertical="center" wrapText="1"/>
    </xf>
    <xf numFmtId="0" fontId="46" fillId="0" borderId="8" xfId="0" quotePrefix="1" applyFont="1" applyBorder="1" applyAlignment="1">
      <alignment horizontal="left" vertical="center" wrapText="1"/>
    </xf>
    <xf numFmtId="0" fontId="48" fillId="0" borderId="7" xfId="0" quotePrefix="1" applyFont="1" applyBorder="1" applyAlignment="1">
      <alignment horizontal="left" vertical="center" wrapText="1"/>
    </xf>
    <xf numFmtId="0" fontId="47" fillId="0" borderId="0" xfId="0" applyFont="1" applyAlignment="1">
      <alignment horizontal="center" vertical="center"/>
    </xf>
    <xf numFmtId="0" fontId="47" fillId="0" borderId="13" xfId="0" applyFont="1" applyBorder="1" applyAlignment="1">
      <alignment vertical="center"/>
    </xf>
    <xf numFmtId="0" fontId="51" fillId="0" borderId="0" xfId="0" applyFont="1" applyAlignment="1">
      <alignment horizontal="center" vertical="center"/>
    </xf>
    <xf numFmtId="0" fontId="52" fillId="0" borderId="16" xfId="0" applyFont="1" applyBorder="1" applyAlignment="1">
      <alignment vertical="center"/>
    </xf>
    <xf numFmtId="171" fontId="53" fillId="0" borderId="1" xfId="0" applyNumberFormat="1" applyFont="1" applyBorder="1" applyAlignment="1">
      <alignment horizontal="center" vertical="center" wrapText="1"/>
    </xf>
    <xf numFmtId="0" fontId="53" fillId="0" borderId="1" xfId="0" applyFont="1" applyBorder="1" applyAlignment="1">
      <alignment horizontal="left" vertical="center" wrapText="1"/>
    </xf>
    <xf numFmtId="0" fontId="44" fillId="0" borderId="16" xfId="0" applyFont="1" applyBorder="1" applyAlignment="1">
      <alignment vertical="center"/>
    </xf>
    <xf numFmtId="171" fontId="54" fillId="0" borderId="6" xfId="0" applyNumberFormat="1" applyFont="1" applyBorder="1" applyAlignment="1">
      <alignment horizontal="center" vertical="center" wrapText="1"/>
    </xf>
    <xf numFmtId="0" fontId="54" fillId="0" borderId="6" xfId="0" applyFont="1" applyBorder="1" applyAlignment="1">
      <alignment horizontal="left" vertical="center" wrapText="1"/>
    </xf>
    <xf numFmtId="0" fontId="55" fillId="10" borderId="22" xfId="0" applyFont="1" applyFill="1" applyBorder="1" applyAlignment="1">
      <alignment horizontal="center" vertical="center" wrapText="1"/>
    </xf>
    <xf numFmtId="0" fontId="55" fillId="10" borderId="60" xfId="0" applyFont="1" applyFill="1" applyBorder="1" applyAlignment="1">
      <alignment horizontal="center" vertical="center" wrapText="1"/>
    </xf>
    <xf numFmtId="0" fontId="55" fillId="10" borderId="21" xfId="0" applyFont="1" applyFill="1" applyBorder="1" applyAlignment="1">
      <alignment horizontal="center" vertical="center" wrapText="1"/>
    </xf>
    <xf numFmtId="171" fontId="56" fillId="0" borderId="17" xfId="0" applyNumberFormat="1" applyFont="1" applyBorder="1" applyAlignment="1">
      <alignment vertical="center" wrapText="1"/>
    </xf>
    <xf numFmtId="0" fontId="55" fillId="10" borderId="17" xfId="0" applyFont="1" applyFill="1" applyBorder="1" applyAlignment="1">
      <alignment vertical="center" wrapText="1"/>
    </xf>
    <xf numFmtId="0" fontId="55" fillId="10" borderId="17" xfId="0" applyFont="1" applyFill="1" applyBorder="1" applyAlignment="1">
      <alignment horizontal="center" vertical="center" wrapText="1"/>
    </xf>
    <xf numFmtId="173" fontId="56" fillId="0" borderId="18" xfId="0" applyNumberFormat="1" applyFont="1" applyBorder="1" applyAlignment="1">
      <alignment horizontal="center" vertical="center" wrapText="1"/>
    </xf>
    <xf numFmtId="171" fontId="57" fillId="0" borderId="22" xfId="0" applyNumberFormat="1" applyFont="1" applyBorder="1" applyAlignment="1">
      <alignment horizontal="center" vertical="center" wrapText="1"/>
    </xf>
    <xf numFmtId="171" fontId="57" fillId="0" borderId="21" xfId="0" applyNumberFormat="1" applyFont="1" applyBorder="1" applyAlignment="1">
      <alignment horizontal="center" vertical="center" wrapText="1"/>
    </xf>
    <xf numFmtId="0" fontId="55" fillId="0" borderId="17" xfId="0" applyFont="1" applyBorder="1" applyAlignment="1">
      <alignment horizontal="center" vertical="center" wrapText="1"/>
    </xf>
    <xf numFmtId="0" fontId="55" fillId="0" borderId="22" xfId="0" applyFont="1" applyBorder="1" applyAlignment="1">
      <alignment vertical="center"/>
    </xf>
    <xf numFmtId="0" fontId="55" fillId="0" borderId="60" xfId="0" applyFont="1" applyBorder="1" applyAlignment="1">
      <alignment vertical="center"/>
    </xf>
    <xf numFmtId="0" fontId="55" fillId="0" borderId="21" xfId="0" applyFont="1" applyBorder="1" applyAlignment="1">
      <alignment vertical="center"/>
    </xf>
    <xf numFmtId="0" fontId="55" fillId="10" borderId="1" xfId="0" applyFont="1" applyFill="1" applyBorder="1" applyAlignment="1">
      <alignment horizontal="center" vertical="center" wrapText="1"/>
    </xf>
    <xf numFmtId="171" fontId="56" fillId="0" borderId="1" xfId="0" applyNumberFormat="1" applyFont="1" applyBorder="1" applyAlignment="1">
      <alignment vertical="center" wrapText="1"/>
    </xf>
    <xf numFmtId="0" fontId="55" fillId="10" borderId="1" xfId="0" applyFont="1" applyFill="1" applyBorder="1" applyAlignment="1">
      <alignment vertical="center" wrapText="1"/>
    </xf>
    <xf numFmtId="171" fontId="56" fillId="0" borderId="5" xfId="0" applyNumberFormat="1" applyFont="1" applyBorder="1" applyAlignment="1">
      <alignment vertical="center" wrapText="1"/>
    </xf>
    <xf numFmtId="0" fontId="55" fillId="10" borderId="5" xfId="0" applyFont="1" applyFill="1" applyBorder="1" applyAlignment="1">
      <alignment horizontal="center" vertical="center" wrapText="1"/>
    </xf>
    <xf numFmtId="173" fontId="56" fillId="0" borderId="24" xfId="0" applyNumberFormat="1" applyFont="1" applyBorder="1" applyAlignment="1">
      <alignment horizontal="center" vertical="center" wrapText="1"/>
    </xf>
    <xf numFmtId="16" fontId="55" fillId="10" borderId="5" xfId="0" applyNumberFormat="1" applyFont="1" applyFill="1" applyBorder="1" applyAlignment="1">
      <alignment horizontal="center" vertical="center" wrapText="1"/>
    </xf>
    <xf numFmtId="171" fontId="57" fillId="0" borderId="4" xfId="0" applyNumberFormat="1" applyFont="1" applyBorder="1" applyAlignment="1">
      <alignment horizontal="center" vertical="center" wrapText="1"/>
    </xf>
    <xf numFmtId="171" fontId="57" fillId="0" borderId="3" xfId="0" applyNumberFormat="1" applyFont="1" applyBorder="1" applyAlignment="1">
      <alignment horizontal="center" vertical="center" wrapText="1"/>
    </xf>
    <xf numFmtId="0" fontId="55" fillId="0" borderId="1" xfId="0" applyFont="1" applyBorder="1" applyAlignment="1">
      <alignment horizontal="center" vertical="center" wrapText="1"/>
    </xf>
    <xf numFmtId="0" fontId="55" fillId="0" borderId="4" xfId="0" applyFont="1" applyBorder="1" applyAlignment="1">
      <alignment vertical="center"/>
    </xf>
    <xf numFmtId="0" fontId="55" fillId="0" borderId="2" xfId="0" applyFont="1" applyBorder="1" applyAlignment="1">
      <alignment vertical="center"/>
    </xf>
    <xf numFmtId="0" fontId="55" fillId="0" borderId="3" xfId="0" applyFont="1" applyBorder="1" applyAlignment="1">
      <alignment vertical="center"/>
    </xf>
    <xf numFmtId="0" fontId="55" fillId="10" borderId="1" xfId="0" applyFont="1" applyFill="1" applyBorder="1" applyAlignment="1">
      <alignment horizontal="center" vertical="center" wrapText="1"/>
    </xf>
    <xf numFmtId="173" fontId="56" fillId="0" borderId="5" xfId="0" applyNumberFormat="1" applyFont="1" applyBorder="1" applyAlignment="1">
      <alignment horizontal="center" vertical="center" wrapText="1"/>
    </xf>
    <xf numFmtId="16" fontId="55" fillId="10" borderId="1" xfId="0" quotePrefix="1" applyNumberFormat="1" applyFont="1" applyFill="1" applyBorder="1" applyAlignment="1">
      <alignment horizontal="center" vertical="center" wrapText="1"/>
    </xf>
    <xf numFmtId="0" fontId="58" fillId="10" borderId="4" xfId="0" applyFont="1" applyFill="1" applyBorder="1" applyAlignment="1">
      <alignment horizontal="center" vertical="center" wrapText="1"/>
    </xf>
    <xf numFmtId="0" fontId="58" fillId="10" borderId="2" xfId="0" applyFont="1" applyFill="1" applyBorder="1" applyAlignment="1">
      <alignment horizontal="center" vertical="center" wrapText="1"/>
    </xf>
    <xf numFmtId="0" fontId="58" fillId="10" borderId="3" xfId="0" quotePrefix="1" applyFont="1" applyFill="1" applyBorder="1" applyAlignment="1">
      <alignment horizontal="center" vertical="center" wrapText="1"/>
    </xf>
    <xf numFmtId="0" fontId="44" fillId="8" borderId="1" xfId="0" applyFont="1" applyFill="1" applyBorder="1" applyAlignment="1">
      <alignment horizontal="center" vertical="top" wrapText="1"/>
    </xf>
    <xf numFmtId="0" fontId="44" fillId="8" borderId="1" xfId="0" applyFont="1" applyFill="1" applyBorder="1" applyAlignment="1">
      <alignment horizontal="center" vertical="top" wrapText="1"/>
    </xf>
    <xf numFmtId="0" fontId="44" fillId="8" borderId="5" xfId="0" applyFont="1" applyFill="1" applyBorder="1" applyAlignment="1">
      <alignment horizontal="center" vertical="top" wrapText="1"/>
    </xf>
    <xf numFmtId="0" fontId="44" fillId="8" borderId="9" xfId="0" applyFont="1" applyFill="1" applyBorder="1" applyAlignment="1">
      <alignment horizontal="center" vertical="top" wrapText="1"/>
    </xf>
    <xf numFmtId="0" fontId="44" fillId="8" borderId="7" xfId="0" applyFont="1" applyFill="1" applyBorder="1" applyAlignment="1">
      <alignment horizontal="center" vertical="top" wrapText="1"/>
    </xf>
    <xf numFmtId="0" fontId="52" fillId="8" borderId="4" xfId="0" applyFont="1" applyFill="1" applyBorder="1" applyAlignment="1">
      <alignment horizontal="center" vertical="top" wrapText="1"/>
    </xf>
    <xf numFmtId="0" fontId="52" fillId="8" borderId="2" xfId="0" applyFont="1" applyFill="1" applyBorder="1" applyAlignment="1">
      <alignment horizontal="center" vertical="top" wrapText="1"/>
    </xf>
    <xf numFmtId="0" fontId="52" fillId="8" borderId="3" xfId="0" applyFont="1" applyFill="1" applyBorder="1" applyAlignment="1">
      <alignment horizontal="center" vertical="top" wrapText="1"/>
    </xf>
    <xf numFmtId="0" fontId="52" fillId="8" borderId="1" xfId="0" applyFont="1" applyFill="1" applyBorder="1" applyAlignment="1">
      <alignment horizontal="center" vertical="top" wrapText="1"/>
    </xf>
    <xf numFmtId="0" fontId="52" fillId="8" borderId="4" xfId="0" applyFont="1" applyFill="1" applyBorder="1" applyAlignment="1">
      <alignment horizontal="center" vertical="top"/>
    </xf>
    <xf numFmtId="0" fontId="52" fillId="8" borderId="2" xfId="0" applyFont="1" applyFill="1" applyBorder="1" applyAlignment="1">
      <alignment horizontal="center" vertical="top"/>
    </xf>
    <xf numFmtId="0" fontId="52" fillId="8" borderId="3" xfId="0" applyFont="1" applyFill="1" applyBorder="1" applyAlignment="1">
      <alignment horizontal="center" vertical="top"/>
    </xf>
    <xf numFmtId="0" fontId="55" fillId="8" borderId="12" xfId="0" applyFont="1" applyFill="1" applyBorder="1" applyAlignment="1">
      <alignment vertical="top" wrapText="1"/>
    </xf>
    <xf numFmtId="0" fontId="55" fillId="8" borderId="11" xfId="0" applyFont="1" applyFill="1" applyBorder="1" applyAlignment="1">
      <alignment vertical="top" wrapText="1"/>
    </xf>
    <xf numFmtId="0" fontId="55" fillId="8" borderId="10" xfId="0" applyFont="1" applyFill="1" applyBorder="1" applyAlignment="1">
      <alignment vertical="top" wrapText="1"/>
    </xf>
    <xf numFmtId="0" fontId="46" fillId="8" borderId="12" xfId="0" applyFont="1" applyFill="1" applyBorder="1" applyAlignment="1">
      <alignment vertical="top" wrapText="1"/>
    </xf>
    <xf numFmtId="0" fontId="46" fillId="8" borderId="10" xfId="0" applyFont="1" applyFill="1" applyBorder="1" applyAlignment="1">
      <alignment vertical="top" wrapText="1"/>
    </xf>
    <xf numFmtId="0" fontId="59" fillId="8" borderId="12" xfId="0" applyFont="1" applyFill="1" applyBorder="1" applyAlignment="1">
      <alignment horizontal="center" vertical="top" wrapText="1"/>
    </xf>
    <xf numFmtId="0" fontId="59" fillId="8" borderId="10" xfId="0" applyFont="1" applyFill="1" applyBorder="1" applyAlignment="1">
      <alignment horizontal="center" vertical="top" wrapText="1"/>
    </xf>
    <xf numFmtId="0" fontId="52" fillId="8" borderId="12" xfId="0" applyFont="1" applyFill="1" applyBorder="1" applyAlignment="1">
      <alignment vertical="top" wrapText="1"/>
    </xf>
    <xf numFmtId="0" fontId="52" fillId="8" borderId="11" xfId="0" applyFont="1" applyFill="1" applyBorder="1" applyAlignment="1">
      <alignment vertical="top" wrapText="1"/>
    </xf>
    <xf numFmtId="0" fontId="52" fillId="8" borderId="10" xfId="0" applyFont="1" applyFill="1" applyBorder="1" applyAlignment="1">
      <alignment vertical="top" wrapText="1"/>
    </xf>
    <xf numFmtId="0" fontId="60" fillId="0" borderId="12" xfId="0" applyFont="1" applyBorder="1" applyAlignment="1">
      <alignment horizontal="left" vertical="top"/>
    </xf>
    <xf numFmtId="0" fontId="60" fillId="0" borderId="11" xfId="0" applyFont="1" applyBorder="1" applyAlignment="1">
      <alignment horizontal="left" vertical="top"/>
    </xf>
    <xf numFmtId="0" fontId="60" fillId="0" borderId="10" xfId="0" applyFont="1" applyBorder="1" applyAlignment="1">
      <alignment horizontal="left" vertical="top"/>
    </xf>
    <xf numFmtId="0" fontId="55" fillId="8" borderId="16" xfId="0" applyFont="1" applyFill="1" applyBorder="1" applyAlignment="1">
      <alignment vertical="top" wrapText="1"/>
    </xf>
    <xf numFmtId="0" fontId="55" fillId="8" borderId="0" xfId="0" applyFont="1" applyFill="1" applyAlignment="1">
      <alignment vertical="top" wrapText="1"/>
    </xf>
    <xf numFmtId="0" fontId="55" fillId="8" borderId="13" xfId="0" applyFont="1" applyFill="1" applyBorder="1" applyAlignment="1">
      <alignment vertical="top" wrapText="1"/>
    </xf>
    <xf numFmtId="0" fontId="46" fillId="8" borderId="16" xfId="0" applyFont="1" applyFill="1" applyBorder="1" applyAlignment="1">
      <alignment vertical="top" wrapText="1"/>
    </xf>
    <xf numFmtId="0" fontId="46" fillId="8" borderId="13" xfId="0" applyFont="1" applyFill="1" applyBorder="1" applyAlignment="1">
      <alignment vertical="top" wrapText="1"/>
    </xf>
    <xf numFmtId="172" fontId="55" fillId="8" borderId="16" xfId="0" applyNumberFormat="1" applyFont="1" applyFill="1" applyBorder="1" applyAlignment="1">
      <alignment horizontal="left" vertical="top" wrapText="1"/>
    </xf>
    <xf numFmtId="172" fontId="55" fillId="8" borderId="13" xfId="0" applyNumberFormat="1" applyFont="1" applyFill="1" applyBorder="1" applyAlignment="1">
      <alignment horizontal="right" vertical="top" wrapText="1"/>
    </xf>
    <xf numFmtId="0" fontId="52" fillId="8" borderId="16" xfId="0" applyFont="1" applyFill="1" applyBorder="1" applyAlignment="1">
      <alignment vertical="top" wrapText="1"/>
    </xf>
    <xf numFmtId="0" fontId="52" fillId="8" borderId="0" xfId="0" applyFont="1" applyFill="1" applyAlignment="1">
      <alignment vertical="top" wrapText="1"/>
    </xf>
    <xf numFmtId="0" fontId="52" fillId="8" borderId="13" xfId="0" applyFont="1" applyFill="1" applyBorder="1" applyAlignment="1">
      <alignment vertical="top" wrapText="1"/>
    </xf>
    <xf numFmtId="0" fontId="60" fillId="0" borderId="16" xfId="0" applyFont="1" applyBorder="1" applyAlignment="1">
      <alignment horizontal="left" vertical="top"/>
    </xf>
    <xf numFmtId="0" fontId="60" fillId="0" borderId="0" xfId="0" applyFont="1" applyAlignment="1">
      <alignment horizontal="left" vertical="top"/>
    </xf>
    <xf numFmtId="0" fontId="60" fillId="0" borderId="13" xfId="0" applyFont="1" applyBorder="1" applyAlignment="1">
      <alignment horizontal="left" vertical="top"/>
    </xf>
    <xf numFmtId="172" fontId="59" fillId="8" borderId="16" xfId="0" applyNumberFormat="1" applyFont="1" applyFill="1" applyBorder="1" applyAlignment="1">
      <alignment horizontal="center" vertical="top" wrapText="1"/>
    </xf>
    <xf numFmtId="172" fontId="59" fillId="8" borderId="13" xfId="0" applyNumberFormat="1" applyFont="1" applyFill="1" applyBorder="1" applyAlignment="1">
      <alignment horizontal="center" vertical="top" wrapText="1"/>
    </xf>
    <xf numFmtId="0" fontId="61" fillId="8" borderId="16" xfId="0" applyFont="1" applyFill="1" applyBorder="1" applyAlignment="1">
      <alignment horizontal="center" vertical="top" wrapText="1"/>
    </xf>
    <xf numFmtId="0" fontId="61" fillId="8" borderId="0" xfId="0" applyFont="1" applyFill="1" applyAlignment="1">
      <alignment horizontal="center" vertical="top" wrapText="1"/>
    </xf>
    <xf numFmtId="0" fontId="61" fillId="8" borderId="13" xfId="0" applyFont="1" applyFill="1" applyBorder="1" applyAlignment="1">
      <alignment horizontal="center" vertical="top" wrapText="1"/>
    </xf>
    <xf numFmtId="0" fontId="50" fillId="8" borderId="16" xfId="0" applyFont="1" applyFill="1" applyBorder="1" applyAlignment="1">
      <alignment horizontal="center" vertical="top" wrapText="1"/>
    </xf>
    <xf numFmtId="0" fontId="50" fillId="8" borderId="13" xfId="0" applyFont="1" applyFill="1" applyBorder="1" applyAlignment="1">
      <alignment horizontal="center" vertical="top" wrapText="1"/>
    </xf>
    <xf numFmtId="0" fontId="46" fillId="8" borderId="16" xfId="0" applyFont="1" applyFill="1" applyBorder="1" applyAlignment="1">
      <alignment horizontal="center" vertical="top" wrapText="1"/>
    </xf>
    <xf numFmtId="0" fontId="46" fillId="8" borderId="13" xfId="0" applyFont="1" applyFill="1" applyBorder="1" applyAlignment="1">
      <alignment horizontal="center" vertical="top" wrapText="1"/>
    </xf>
    <xf numFmtId="0" fontId="61" fillId="8" borderId="9" xfId="0" applyFont="1" applyFill="1" applyBorder="1" applyAlignment="1">
      <alignment horizontal="center" vertical="top" wrapText="1"/>
    </xf>
    <xf numFmtId="0" fontId="61" fillId="8" borderId="8" xfId="0" applyFont="1" applyFill="1" applyBorder="1" applyAlignment="1">
      <alignment horizontal="center" vertical="top" wrapText="1"/>
    </xf>
    <xf numFmtId="0" fontId="61" fillId="8" borderId="7" xfId="0" applyFont="1" applyFill="1" applyBorder="1" applyAlignment="1">
      <alignment horizontal="center" vertical="top" wrapText="1"/>
    </xf>
    <xf numFmtId="0" fontId="46" fillId="8" borderId="9" xfId="0" applyFont="1" applyFill="1" applyBorder="1" applyAlignment="1">
      <alignment horizontal="center" vertical="top" wrapText="1"/>
    </xf>
    <xf numFmtId="0" fontId="46" fillId="8" borderId="7" xfId="0" applyFont="1" applyFill="1" applyBorder="1" applyAlignment="1">
      <alignment horizontal="center" vertical="top" wrapText="1"/>
    </xf>
    <xf numFmtId="0" fontId="52" fillId="8" borderId="16" xfId="0" applyFont="1" applyFill="1" applyBorder="1" applyAlignment="1">
      <alignment horizontal="center" vertical="top" wrapText="1"/>
    </xf>
    <xf numFmtId="0" fontId="52" fillId="8" borderId="0" xfId="0" applyFont="1" applyFill="1" applyAlignment="1">
      <alignment horizontal="center" vertical="top" wrapText="1"/>
    </xf>
    <xf numFmtId="0" fontId="52" fillId="8" borderId="13" xfId="0" applyFont="1" applyFill="1" applyBorder="1" applyAlignment="1">
      <alignment horizontal="center" vertical="top" wrapText="1"/>
    </xf>
    <xf numFmtId="0" fontId="52" fillId="8" borderId="1" xfId="0" applyFont="1" applyFill="1" applyBorder="1" applyAlignment="1">
      <alignment horizontal="center" vertical="top" wrapText="1"/>
    </xf>
    <xf numFmtId="0" fontId="52" fillId="8" borderId="9" xfId="0" applyFont="1" applyFill="1" applyBorder="1" applyAlignment="1">
      <alignment horizontal="center" vertical="top" wrapText="1"/>
    </xf>
    <xf numFmtId="0" fontId="52" fillId="8" borderId="8" xfId="0" applyFont="1" applyFill="1" applyBorder="1" applyAlignment="1">
      <alignment horizontal="center" vertical="top" wrapText="1"/>
    </xf>
    <xf numFmtId="0" fontId="52" fillId="8" borderId="7" xfId="0" applyFont="1" applyFill="1" applyBorder="1" applyAlignment="1">
      <alignment horizontal="center" vertical="top" wrapText="1"/>
    </xf>
    <xf numFmtId="0" fontId="50" fillId="0" borderId="0" xfId="0" applyFont="1" applyAlignment="1">
      <alignment vertical="center"/>
    </xf>
    <xf numFmtId="0" fontId="50" fillId="0" borderId="0" xfId="0" applyFont="1" applyAlignment="1">
      <alignment horizontal="left" vertical="center"/>
    </xf>
    <xf numFmtId="0" fontId="46" fillId="0" borderId="16" xfId="0" applyFont="1" applyBorder="1" applyAlignment="1">
      <alignment horizontal="center" vertical="center"/>
    </xf>
    <xf numFmtId="0" fontId="46" fillId="0" borderId="0" xfId="0" applyFont="1" applyAlignment="1">
      <alignment vertical="center"/>
    </xf>
    <xf numFmtId="0" fontId="45" fillId="10" borderId="12" xfId="0" applyFont="1" applyFill="1" applyBorder="1" applyAlignment="1">
      <alignment horizontal="center" wrapText="1"/>
    </xf>
    <xf numFmtId="0" fontId="45" fillId="10" borderId="10" xfId="0" applyFont="1" applyFill="1" applyBorder="1" applyAlignment="1">
      <alignment horizontal="center" wrapText="1"/>
    </xf>
    <xf numFmtId="0" fontId="45" fillId="10" borderId="6" xfId="0" applyFont="1" applyFill="1" applyBorder="1" applyAlignment="1">
      <alignment horizontal="center"/>
    </xf>
    <xf numFmtId="0" fontId="45" fillId="10" borderId="6" xfId="0" applyFont="1" applyFill="1" applyBorder="1" applyAlignment="1">
      <alignment horizontal="center"/>
    </xf>
    <xf numFmtId="0" fontId="45" fillId="10" borderId="1" xfId="0" applyFont="1" applyFill="1" applyBorder="1" applyAlignment="1">
      <alignment horizontal="center"/>
    </xf>
    <xf numFmtId="0" fontId="54" fillId="0" borderId="4" xfId="0" applyFont="1" applyBorder="1" applyAlignment="1">
      <alignment horizontal="left" vertical="center" wrapText="1"/>
    </xf>
    <xf numFmtId="0" fontId="54" fillId="0" borderId="2" xfId="0" applyFont="1" applyBorder="1" applyAlignment="1">
      <alignment horizontal="left" vertical="center" wrapText="1"/>
    </xf>
    <xf numFmtId="0" fontId="54" fillId="0" borderId="3" xfId="0" applyFont="1" applyBorder="1" applyAlignment="1">
      <alignment horizontal="left" vertical="center" wrapText="1"/>
    </xf>
    <xf numFmtId="0" fontId="54" fillId="0" borderId="4" xfId="0" applyFont="1" applyBorder="1" applyAlignment="1">
      <alignment horizontal="center" vertical="center"/>
    </xf>
    <xf numFmtId="0" fontId="54" fillId="0" borderId="3" xfId="0" applyFont="1" applyBorder="1" applyAlignment="1">
      <alignment horizontal="center" vertical="center"/>
    </xf>
    <xf numFmtId="170" fontId="57" fillId="0" borderId="2" xfId="0" applyNumberFormat="1" applyFont="1" applyBorder="1" applyAlignment="1">
      <alignment horizontal="center" vertical="center"/>
    </xf>
    <xf numFmtId="0" fontId="62" fillId="0" borderId="2" xfId="0" applyFont="1" applyBorder="1" applyAlignment="1">
      <alignment horizontal="center" vertical="center"/>
    </xf>
    <xf numFmtId="174" fontId="57" fillId="0" borderId="3" xfId="0" applyNumberFormat="1" applyFont="1" applyBorder="1" applyAlignment="1">
      <alignment horizontal="center" vertical="center"/>
    </xf>
    <xf numFmtId="0" fontId="54" fillId="0" borderId="1" xfId="0" applyFont="1" applyBorder="1" applyAlignment="1">
      <alignment horizontal="center" vertical="center"/>
    </xf>
    <xf numFmtId="0" fontId="45" fillId="10" borderId="16" xfId="0" applyFont="1" applyFill="1" applyBorder="1" applyAlignment="1">
      <alignment horizontal="center" wrapText="1"/>
    </xf>
    <xf numFmtId="0" fontId="45" fillId="10" borderId="13" xfId="0" applyFont="1" applyFill="1" applyBorder="1" applyAlignment="1">
      <alignment horizontal="center" wrapText="1"/>
    </xf>
    <xf numFmtId="0" fontId="45" fillId="10" borderId="24" xfId="0" applyFont="1" applyFill="1" applyBorder="1" applyAlignment="1">
      <alignment horizontal="center"/>
    </xf>
    <xf numFmtId="0" fontId="45" fillId="10" borderId="5" xfId="0" applyFont="1" applyFill="1" applyBorder="1" applyAlignment="1">
      <alignment horizontal="center"/>
    </xf>
    <xf numFmtId="0" fontId="63" fillId="10" borderId="6" xfId="0" applyFont="1" applyFill="1" applyBorder="1" applyAlignment="1">
      <alignment horizontal="center" vertical="center"/>
    </xf>
    <xf numFmtId="0" fontId="45" fillId="10" borderId="5" xfId="0" applyFont="1" applyFill="1" applyBorder="1" applyAlignment="1">
      <alignment horizontal="center"/>
    </xf>
    <xf numFmtId="0" fontId="54" fillId="0" borderId="9" xfId="0" applyFont="1" applyBorder="1" applyAlignment="1">
      <alignment horizontal="left" vertical="center" wrapText="1"/>
    </xf>
    <xf numFmtId="0" fontId="54" fillId="0" borderId="8" xfId="0" applyFont="1" applyBorder="1" applyAlignment="1">
      <alignment horizontal="left" vertical="center" wrapText="1"/>
    </xf>
    <xf numFmtId="0" fontId="54" fillId="0" borderId="7" xfId="0" applyFont="1" applyBorder="1" applyAlignment="1">
      <alignment horizontal="left" vertical="center" wrapText="1"/>
    </xf>
    <xf numFmtId="0" fontId="54" fillId="0" borderId="9" xfId="0" applyFont="1" applyBorder="1" applyAlignment="1">
      <alignment horizontal="center" vertical="center"/>
    </xf>
    <xf numFmtId="0" fontId="54" fillId="0" borderId="7" xfId="0" applyFont="1" applyBorder="1" applyAlignment="1">
      <alignment horizontal="center" vertical="center"/>
    </xf>
    <xf numFmtId="170" fontId="57" fillId="0" borderId="8" xfId="0" applyNumberFormat="1" applyFont="1" applyBorder="1" applyAlignment="1">
      <alignment horizontal="center" vertical="center"/>
    </xf>
    <xf numFmtId="0" fontId="62" fillId="0" borderId="8" xfId="0" applyFont="1" applyBorder="1" applyAlignment="1">
      <alignment horizontal="center" vertical="center"/>
    </xf>
    <xf numFmtId="0" fontId="63" fillId="10" borderId="24" xfId="0" applyFont="1" applyFill="1" applyBorder="1" applyAlignment="1">
      <alignment horizontal="center" vertical="center"/>
    </xf>
    <xf numFmtId="0" fontId="45" fillId="10" borderId="9" xfId="0" applyFont="1" applyFill="1" applyBorder="1" applyAlignment="1">
      <alignment horizontal="center" wrapText="1"/>
    </xf>
    <xf numFmtId="0" fontId="45" fillId="10" borderId="7" xfId="0" applyFont="1" applyFill="1" applyBorder="1" applyAlignment="1">
      <alignment horizontal="center" wrapText="1"/>
    </xf>
    <xf numFmtId="0" fontId="63" fillId="10" borderId="5" xfId="0" applyFont="1" applyFill="1" applyBorder="1" applyAlignment="1">
      <alignment horizontal="center" vertical="center"/>
    </xf>
    <xf numFmtId="0" fontId="44" fillId="0" borderId="0" xfId="0" applyFont="1" applyAlignment="1">
      <alignment horizontal="center" vertical="top"/>
    </xf>
    <xf numFmtId="0" fontId="44" fillId="0" borderId="16" xfId="0" applyFont="1" applyBorder="1" applyAlignment="1">
      <alignment horizontal="center" vertical="center" wrapText="1"/>
    </xf>
    <xf numFmtId="0" fontId="46" fillId="0" borderId="0" xfId="0" applyFont="1" applyAlignment="1">
      <alignment vertical="center" wrapText="1"/>
    </xf>
    <xf numFmtId="0" fontId="46" fillId="8" borderId="12" xfId="0" applyFont="1" applyFill="1" applyBorder="1" applyAlignment="1">
      <alignment horizontal="center" vertical="top"/>
    </xf>
    <xf numFmtId="0" fontId="46" fillId="8" borderId="10" xfId="0" applyFont="1" applyFill="1" applyBorder="1" applyAlignment="1">
      <alignment horizontal="center" vertical="top"/>
    </xf>
    <xf numFmtId="0" fontId="46" fillId="8" borderId="6" xfId="0" applyFont="1" applyFill="1" applyBorder="1" applyAlignment="1">
      <alignment horizontal="center" vertical="top"/>
    </xf>
    <xf numFmtId="0" fontId="64" fillId="8" borderId="6" xfId="0" applyFont="1" applyFill="1" applyBorder="1" applyAlignment="1">
      <alignment horizontal="center" vertical="top" wrapText="1"/>
    </xf>
    <xf numFmtId="0" fontId="52" fillId="8" borderId="12" xfId="0" applyFont="1" applyFill="1" applyBorder="1" applyAlignment="1">
      <alignment horizontal="center" vertical="top"/>
    </xf>
    <xf numFmtId="0" fontId="52" fillId="8" borderId="11" xfId="0" applyFont="1" applyFill="1" applyBorder="1" applyAlignment="1">
      <alignment horizontal="center" vertical="top"/>
    </xf>
    <xf numFmtId="0" fontId="52" fillId="8" borderId="10" xfId="0" applyFont="1" applyFill="1" applyBorder="1" applyAlignment="1">
      <alignment horizontal="center" vertical="top"/>
    </xf>
    <xf numFmtId="0" fontId="46" fillId="8" borderId="12" xfId="0" applyFont="1" applyFill="1" applyBorder="1" applyAlignment="1">
      <alignment horizontal="center" vertical="top" wrapText="1"/>
    </xf>
    <xf numFmtId="0" fontId="46" fillId="8" borderId="10" xfId="0" applyFont="1" applyFill="1" applyBorder="1" applyAlignment="1">
      <alignment horizontal="center" vertical="top" wrapText="1"/>
    </xf>
    <xf numFmtId="0" fontId="52" fillId="8" borderId="12" xfId="0" applyFont="1" applyFill="1" applyBorder="1" applyAlignment="1">
      <alignment horizontal="center" vertical="top" wrapText="1"/>
    </xf>
    <xf numFmtId="0" fontId="52" fillId="8" borderId="10" xfId="0" applyFont="1" applyFill="1" applyBorder="1" applyAlignment="1">
      <alignment horizontal="center" vertical="top" wrapText="1"/>
    </xf>
    <xf numFmtId="0" fontId="52" fillId="8" borderId="11" xfId="0" applyFont="1" applyFill="1" applyBorder="1" applyAlignment="1">
      <alignment horizontal="center" vertical="top" wrapText="1"/>
    </xf>
    <xf numFmtId="0" fontId="52" fillId="8" borderId="6" xfId="0" applyFont="1" applyFill="1" applyBorder="1" applyAlignment="1">
      <alignment horizontal="center" vertical="top" wrapText="1"/>
    </xf>
    <xf numFmtId="0" fontId="46" fillId="8" borderId="16" xfId="0" applyFont="1" applyFill="1" applyBorder="1" applyAlignment="1">
      <alignment horizontal="center" vertical="top"/>
    </xf>
    <xf numFmtId="0" fontId="46" fillId="8" borderId="13" xfId="0" applyFont="1" applyFill="1" applyBorder="1" applyAlignment="1">
      <alignment horizontal="center" vertical="top"/>
    </xf>
    <xf numFmtId="0" fontId="46" fillId="8" borderId="24" xfId="0" applyFont="1" applyFill="1" applyBorder="1" applyAlignment="1">
      <alignment horizontal="center" vertical="top"/>
    </xf>
    <xf numFmtId="0" fontId="64" fillId="8" borderId="24" xfId="0" applyFont="1" applyFill="1" applyBorder="1" applyAlignment="1">
      <alignment horizontal="center" vertical="top" wrapText="1"/>
    </xf>
    <xf numFmtId="0" fontId="52" fillId="8" borderId="16" xfId="0" applyFont="1" applyFill="1" applyBorder="1" applyAlignment="1">
      <alignment horizontal="center" vertical="top"/>
    </xf>
    <xf numFmtId="0" fontId="52" fillId="8" borderId="0" xfId="0" applyFont="1" applyFill="1" applyAlignment="1">
      <alignment horizontal="center" vertical="top"/>
    </xf>
    <xf numFmtId="0" fontId="52" fillId="8" borderId="13" xfId="0" applyFont="1" applyFill="1" applyBorder="1" applyAlignment="1">
      <alignment horizontal="center" vertical="top"/>
    </xf>
    <xf numFmtId="0" fontId="52" fillId="8" borderId="24" xfId="0" applyFont="1" applyFill="1" applyBorder="1" applyAlignment="1">
      <alignment horizontal="center" vertical="top" wrapText="1"/>
    </xf>
    <xf numFmtId="0" fontId="46" fillId="8" borderId="9" xfId="0" applyFont="1" applyFill="1" applyBorder="1" applyAlignment="1">
      <alignment horizontal="center" vertical="top"/>
    </xf>
    <xf numFmtId="0" fontId="46" fillId="8" borderId="7" xfId="0" applyFont="1" applyFill="1" applyBorder="1" applyAlignment="1">
      <alignment horizontal="center" vertical="top"/>
    </xf>
    <xf numFmtId="0" fontId="46" fillId="8" borderId="5" xfId="0" applyFont="1" applyFill="1" applyBorder="1" applyAlignment="1">
      <alignment horizontal="center" vertical="top"/>
    </xf>
    <xf numFmtId="0" fontId="64" fillId="8" borderId="5" xfId="0" applyFont="1" applyFill="1" applyBorder="1" applyAlignment="1">
      <alignment horizontal="center" vertical="top" wrapText="1"/>
    </xf>
    <xf numFmtId="0" fontId="52" fillId="8" borderId="1" xfId="0" applyFont="1" applyFill="1" applyBorder="1" applyAlignment="1">
      <alignment horizontal="center" vertical="top"/>
    </xf>
    <xf numFmtId="0" fontId="52" fillId="8" borderId="9" xfId="0" applyFont="1" applyFill="1" applyBorder="1" applyAlignment="1">
      <alignment horizontal="center" vertical="top"/>
    </xf>
    <xf numFmtId="0" fontId="52" fillId="8" borderId="8" xfId="0" applyFont="1" applyFill="1" applyBorder="1" applyAlignment="1">
      <alignment horizontal="center" vertical="top"/>
    </xf>
    <xf numFmtId="0" fontId="52" fillId="8" borderId="7" xfId="0" applyFont="1" applyFill="1" applyBorder="1" applyAlignment="1">
      <alignment horizontal="center" vertical="top"/>
    </xf>
    <xf numFmtId="0" fontId="52" fillId="8" borderId="5" xfId="0" applyFont="1" applyFill="1" applyBorder="1" applyAlignment="1">
      <alignment horizontal="center" vertical="top" wrapText="1"/>
    </xf>
    <xf numFmtId="0" fontId="65" fillId="0" borderId="13" xfId="0" applyFont="1" applyBorder="1" applyAlignment="1">
      <alignment vertical="center"/>
    </xf>
    <xf numFmtId="0" fontId="65" fillId="0" borderId="0" xfId="0" applyFont="1" applyAlignment="1">
      <alignment vertical="center"/>
    </xf>
    <xf numFmtId="0" fontId="65" fillId="0" borderId="16" xfId="0" applyFont="1" applyBorder="1" applyAlignment="1">
      <alignment vertical="center"/>
    </xf>
    <xf numFmtId="0" fontId="66" fillId="0" borderId="0" xfId="0" applyFont="1" applyAlignment="1">
      <alignment vertical="center"/>
    </xf>
    <xf numFmtId="0" fontId="65" fillId="0" borderId="15" xfId="0" applyFont="1" applyBorder="1"/>
    <xf numFmtId="0" fontId="53" fillId="0" borderId="14" xfId="0" applyFont="1" applyBorder="1"/>
    <xf numFmtId="0" fontId="65" fillId="0" borderId="37" xfId="0" applyFont="1" applyBorder="1"/>
    <xf numFmtId="0" fontId="65" fillId="0" borderId="14" xfId="0" applyFont="1" applyBorder="1"/>
    <xf numFmtId="0" fontId="65" fillId="0" borderId="13" xfId="0" applyFont="1" applyBorder="1"/>
    <xf numFmtId="0" fontId="46" fillId="0" borderId="16" xfId="0" applyFont="1" applyBorder="1" applyAlignment="1">
      <alignment vertical="center"/>
    </xf>
    <xf numFmtId="0" fontId="52" fillId="0" borderId="0" xfId="0" applyFont="1"/>
    <xf numFmtId="0" fontId="52" fillId="0" borderId="13" xfId="0" applyFont="1" applyBorder="1"/>
    <xf numFmtId="0" fontId="52" fillId="0" borderId="8" xfId="0" applyFont="1" applyBorder="1"/>
    <xf numFmtId="0" fontId="3" fillId="0" borderId="41" xfId="0" applyFont="1" applyBorder="1" applyAlignment="1">
      <alignment vertical="center"/>
    </xf>
    <xf numFmtId="0" fontId="3" fillId="0" borderId="40" xfId="0" applyFont="1" applyBorder="1" applyAlignment="1">
      <alignment vertical="center"/>
    </xf>
    <xf numFmtId="0" fontId="3" fillId="0" borderId="39" xfId="0" applyFont="1" applyBorder="1" applyAlignment="1">
      <alignment vertical="center"/>
    </xf>
    <xf numFmtId="0" fontId="67" fillId="0" borderId="12" xfId="0" applyFont="1" applyBorder="1" applyAlignment="1">
      <alignment horizontal="center" vertical="center"/>
    </xf>
    <xf numFmtId="0" fontId="67" fillId="0" borderId="11" xfId="0" applyFont="1" applyBorder="1" applyAlignment="1">
      <alignment horizontal="center" vertical="center"/>
    </xf>
    <xf numFmtId="0" fontId="67" fillId="0" borderId="10" xfId="0" applyFont="1" applyBorder="1" applyAlignment="1">
      <alignment horizontal="center" vertical="center"/>
    </xf>
    <xf numFmtId="0" fontId="3" fillId="0" borderId="37" xfId="0" applyFont="1" applyBorder="1" applyAlignment="1">
      <alignment vertical="center"/>
    </xf>
    <xf numFmtId="0" fontId="67" fillId="0" borderId="16" xfId="0" applyFont="1" applyBorder="1" applyAlignment="1">
      <alignment horizontal="center" vertical="center"/>
    </xf>
    <xf numFmtId="0" fontId="67" fillId="0" borderId="0" xfId="0" applyFont="1" applyAlignment="1">
      <alignment horizontal="center" vertical="center"/>
    </xf>
    <xf numFmtId="0" fontId="67" fillId="0" borderId="13" xfId="0" applyFont="1" applyBorder="1" applyAlignment="1">
      <alignment horizontal="center" vertical="center"/>
    </xf>
    <xf numFmtId="0" fontId="67" fillId="0" borderId="9" xfId="0" applyFont="1" applyBorder="1" applyAlignment="1">
      <alignment horizontal="center" vertical="center"/>
    </xf>
    <xf numFmtId="0" fontId="67" fillId="0" borderId="8" xfId="0" applyFont="1" applyBorder="1" applyAlignment="1">
      <alignment horizontal="center" vertical="center"/>
    </xf>
    <xf numFmtId="0" fontId="67" fillId="0" borderId="7" xfId="0" applyFont="1" applyBorder="1" applyAlignment="1">
      <alignment horizontal="center" vertical="center"/>
    </xf>
    <xf numFmtId="0" fontId="3" fillId="0" borderId="34" xfId="0" applyFont="1" applyBorder="1" applyAlignment="1">
      <alignment vertical="center"/>
    </xf>
    <xf numFmtId="0" fontId="58" fillId="10" borderId="21" xfId="0" quotePrefix="1" applyFont="1" applyFill="1" applyBorder="1" applyAlignment="1">
      <alignment horizontal="center" vertical="center" wrapText="1"/>
    </xf>
    <xf numFmtId="0" fontId="58" fillId="10" borderId="60" xfId="0" applyFont="1" applyFill="1" applyBorder="1" applyAlignment="1">
      <alignment horizontal="center" vertical="center" wrapText="1"/>
    </xf>
    <xf numFmtId="0" fontId="58" fillId="10" borderId="22" xfId="0" applyFont="1" applyFill="1" applyBorder="1" applyAlignment="1">
      <alignment horizontal="center" vertical="center" wrapText="1"/>
    </xf>
    <xf numFmtId="0" fontId="5" fillId="8" borderId="7"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33"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18" xfId="0" applyFont="1" applyFill="1" applyBorder="1" applyAlignment="1">
      <alignment horizontal="center" vertical="center"/>
    </xf>
  </cellXfs>
  <cellStyles count="5">
    <cellStyle name="Comma [0] 2" xfId="1" xr:uid="{00000000-0005-0000-0000-000001000000}"/>
    <cellStyle name="Comma 2" xfId="4" xr:uid="{BDEF76FE-722D-423C-8D76-0ED2A1573986}"/>
    <cellStyle name="Normal" xfId="0" builtinId="0"/>
    <cellStyle name="Normal 2" xfId="2" xr:uid="{00000000-0005-0000-0000-000003000000}"/>
    <cellStyle name="Normal 4" xfId="3" xr:uid="{513369DC-F1FF-46B2-BD56-B0BD05164D31}"/>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theme" Target="theme/theme1.xml"/><Relationship Id="rId8"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19</xdr:col>
      <xdr:colOff>275346</xdr:colOff>
      <xdr:row>4</xdr:row>
      <xdr:rowOff>80042</xdr:rowOff>
    </xdr:from>
    <xdr:to>
      <xdr:col>33</xdr:col>
      <xdr:colOff>463444</xdr:colOff>
      <xdr:row>22</xdr:row>
      <xdr:rowOff>13026</xdr:rowOff>
    </xdr:to>
    <xdr:pic>
      <xdr:nvPicPr>
        <xdr:cNvPr id="2" name="Picture 1">
          <a:extLst>
            <a:ext uri="{FF2B5EF4-FFF2-40B4-BE49-F238E27FC236}">
              <a16:creationId xmlns:a16="http://schemas.microsoft.com/office/drawing/2014/main" id="{D760AAAB-DB50-40E7-8A96-7B04F41792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16200000">
          <a:off x="10856590" y="-290402"/>
          <a:ext cx="6819559" cy="87224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9</xdr:col>
      <xdr:colOff>295990</xdr:colOff>
      <xdr:row>34</xdr:row>
      <xdr:rowOff>67588</xdr:rowOff>
    </xdr:to>
    <xdr:pic>
      <xdr:nvPicPr>
        <xdr:cNvPr id="2" name="Picture 1">
          <a:extLst>
            <a:ext uri="{FF2B5EF4-FFF2-40B4-BE49-F238E27FC236}">
              <a16:creationId xmlns:a16="http://schemas.microsoft.com/office/drawing/2014/main" id="{2610F39E-E324-411D-A622-F6B4DCCD44F6}"/>
            </a:ext>
          </a:extLst>
        </xdr:cNvPr>
        <xdr:cNvPicPr>
          <a:picLocks noChangeAspect="1"/>
        </xdr:cNvPicPr>
      </xdr:nvPicPr>
      <xdr:blipFill>
        <a:blip xmlns:r="http://schemas.openxmlformats.org/officeDocument/2006/relationships" r:embed="rId1"/>
        <a:stretch>
          <a:fillRect/>
        </a:stretch>
      </xdr:blipFill>
      <xdr:spPr>
        <a:xfrm>
          <a:off x="657225" y="0"/>
          <a:ext cx="5125165" cy="6544588"/>
        </a:xfrm>
        <a:prstGeom prst="rect">
          <a:avLst/>
        </a:prstGeom>
      </xdr:spPr>
    </xdr:pic>
    <xdr:clientData/>
  </xdr:twoCellAnchor>
  <xdr:oneCellAnchor>
    <xdr:from>
      <xdr:col>2</xdr:col>
      <xdr:colOff>447675</xdr:colOff>
      <xdr:row>5</xdr:row>
      <xdr:rowOff>7883</xdr:rowOff>
    </xdr:from>
    <xdr:ext cx="897425" cy="217560"/>
    <xdr:sp macro="" textlink="">
      <xdr:nvSpPr>
        <xdr:cNvPr id="3" name="TextBox 2">
          <a:extLst>
            <a:ext uri="{FF2B5EF4-FFF2-40B4-BE49-F238E27FC236}">
              <a16:creationId xmlns:a16="http://schemas.microsoft.com/office/drawing/2014/main" id="{EF42668F-9664-4C40-AA82-88B0E36833C8}"/>
            </a:ext>
          </a:extLst>
        </xdr:cNvPr>
        <xdr:cNvSpPr txBox="1"/>
      </xdr:nvSpPr>
      <xdr:spPr>
        <a:xfrm>
          <a:off x="1673501" y="960383"/>
          <a:ext cx="89742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AGUS NANANG S</a:t>
          </a:r>
        </a:p>
      </xdr:txBody>
    </xdr:sp>
    <xdr:clientData/>
  </xdr:oneCellAnchor>
  <xdr:oneCellAnchor>
    <xdr:from>
      <xdr:col>2</xdr:col>
      <xdr:colOff>454244</xdr:colOff>
      <xdr:row>5</xdr:row>
      <xdr:rowOff>132693</xdr:rowOff>
    </xdr:from>
    <xdr:ext cx="392672" cy="217560"/>
    <xdr:sp macro="" textlink="">
      <xdr:nvSpPr>
        <xdr:cNvPr id="4" name="TextBox 3">
          <a:extLst>
            <a:ext uri="{FF2B5EF4-FFF2-40B4-BE49-F238E27FC236}">
              <a16:creationId xmlns:a16="http://schemas.microsoft.com/office/drawing/2014/main" id="{2A97DAA2-AB79-434F-80CB-8F9B6DBE0F1C}"/>
            </a:ext>
          </a:extLst>
        </xdr:cNvPr>
        <xdr:cNvSpPr txBox="1"/>
      </xdr:nvSpPr>
      <xdr:spPr>
        <a:xfrm>
          <a:off x="1680070" y="1085193"/>
          <a:ext cx="39267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3640</a:t>
          </a:r>
        </a:p>
      </xdr:txBody>
    </xdr:sp>
    <xdr:clientData/>
  </xdr:oneCellAnchor>
  <xdr:oneCellAnchor>
    <xdr:from>
      <xdr:col>2</xdr:col>
      <xdr:colOff>441106</xdr:colOff>
      <xdr:row>6</xdr:row>
      <xdr:rowOff>73572</xdr:rowOff>
    </xdr:from>
    <xdr:ext cx="290721" cy="217560"/>
    <xdr:sp macro="" textlink="">
      <xdr:nvSpPr>
        <xdr:cNvPr id="5" name="TextBox 4">
          <a:extLst>
            <a:ext uri="{FF2B5EF4-FFF2-40B4-BE49-F238E27FC236}">
              <a16:creationId xmlns:a16="http://schemas.microsoft.com/office/drawing/2014/main" id="{AABF6E9C-B45A-4188-A6CE-BAD07988CE9A}"/>
            </a:ext>
          </a:extLst>
        </xdr:cNvPr>
        <xdr:cNvSpPr txBox="1"/>
      </xdr:nvSpPr>
      <xdr:spPr>
        <a:xfrm>
          <a:off x="1666932" y="1216572"/>
          <a:ext cx="29072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PP</a:t>
          </a:r>
        </a:p>
      </xdr:txBody>
    </xdr:sp>
    <xdr:clientData/>
  </xdr:oneCellAnchor>
  <xdr:oneCellAnchor>
    <xdr:from>
      <xdr:col>2</xdr:col>
      <xdr:colOff>401692</xdr:colOff>
      <xdr:row>14</xdr:row>
      <xdr:rowOff>40728</xdr:rowOff>
    </xdr:from>
    <xdr:ext cx="235770" cy="217560"/>
    <xdr:sp macro="" textlink="">
      <xdr:nvSpPr>
        <xdr:cNvPr id="6" name="TextBox 5">
          <a:extLst>
            <a:ext uri="{FF2B5EF4-FFF2-40B4-BE49-F238E27FC236}">
              <a16:creationId xmlns:a16="http://schemas.microsoft.com/office/drawing/2014/main" id="{FD6FD195-FF1B-4B13-B3F5-FDE4F0BF5CA0}"/>
            </a:ext>
          </a:extLst>
        </xdr:cNvPr>
        <xdr:cNvSpPr txBox="1"/>
      </xdr:nvSpPr>
      <xdr:spPr>
        <a:xfrm>
          <a:off x="1627518" y="2707728"/>
          <a:ext cx="23577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latin typeface="Calibri" panose="020F0502020204030204" pitchFamily="34" charset="0"/>
              <a:ea typeface="Calibri" panose="020F0502020204030204" pitchFamily="34" charset="0"/>
              <a:cs typeface="Calibri" panose="020F0502020204030204" pitchFamily="34" charset="0"/>
            </a:rPr>
            <a:t>√</a:t>
          </a:r>
          <a:endParaRPr lang="en-ID" sz="800">
            <a:solidFill>
              <a:srgbClr val="0000CC"/>
            </a:solidFill>
          </a:endParaRPr>
        </a:p>
      </xdr:txBody>
    </xdr:sp>
    <xdr:clientData/>
  </xdr:oneCellAnchor>
  <xdr:oneCellAnchor>
    <xdr:from>
      <xdr:col>2</xdr:col>
      <xdr:colOff>414831</xdr:colOff>
      <xdr:row>10</xdr:row>
      <xdr:rowOff>80141</xdr:rowOff>
    </xdr:from>
    <xdr:ext cx="592598" cy="217560"/>
    <xdr:sp macro="" textlink="">
      <xdr:nvSpPr>
        <xdr:cNvPr id="7" name="TextBox 6">
          <a:extLst>
            <a:ext uri="{FF2B5EF4-FFF2-40B4-BE49-F238E27FC236}">
              <a16:creationId xmlns:a16="http://schemas.microsoft.com/office/drawing/2014/main" id="{E1CE8A29-A616-402B-B4F3-2AD6DCEBB14C}"/>
            </a:ext>
          </a:extLst>
        </xdr:cNvPr>
        <xdr:cNvSpPr txBox="1"/>
      </xdr:nvSpPr>
      <xdr:spPr>
        <a:xfrm>
          <a:off x="1634031" y="1985141"/>
          <a:ext cx="59259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AFFILIATE</a:t>
          </a:r>
        </a:p>
      </xdr:txBody>
    </xdr:sp>
    <xdr:clientData/>
  </xdr:oneCellAnchor>
  <xdr:oneCellAnchor>
    <xdr:from>
      <xdr:col>2</xdr:col>
      <xdr:colOff>427969</xdr:colOff>
      <xdr:row>9</xdr:row>
      <xdr:rowOff>139262</xdr:rowOff>
    </xdr:from>
    <xdr:ext cx="382862" cy="217560"/>
    <xdr:sp macro="" textlink="">
      <xdr:nvSpPr>
        <xdr:cNvPr id="8" name="TextBox 7">
          <a:extLst>
            <a:ext uri="{FF2B5EF4-FFF2-40B4-BE49-F238E27FC236}">
              <a16:creationId xmlns:a16="http://schemas.microsoft.com/office/drawing/2014/main" id="{D4656DCA-7C6D-4F47-910B-AFA4AD3C7975}"/>
            </a:ext>
          </a:extLst>
        </xdr:cNvPr>
        <xdr:cNvSpPr txBox="1"/>
      </xdr:nvSpPr>
      <xdr:spPr>
        <a:xfrm>
          <a:off x="1653795" y="1853762"/>
          <a:ext cx="38286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SUAI</a:t>
          </a:r>
        </a:p>
      </xdr:txBody>
    </xdr:sp>
    <xdr:clientData/>
  </xdr:oneCellAnchor>
  <xdr:oneCellAnchor>
    <xdr:from>
      <xdr:col>5</xdr:col>
      <xdr:colOff>117914</xdr:colOff>
      <xdr:row>8</xdr:row>
      <xdr:rowOff>95579</xdr:rowOff>
    </xdr:from>
    <xdr:ext cx="235770" cy="217560"/>
    <xdr:sp macro="" textlink="">
      <xdr:nvSpPr>
        <xdr:cNvPr id="10" name="TextBox 9">
          <a:extLst>
            <a:ext uri="{FF2B5EF4-FFF2-40B4-BE49-F238E27FC236}">
              <a16:creationId xmlns:a16="http://schemas.microsoft.com/office/drawing/2014/main" id="{5FDE5702-0B6E-4A47-BDFE-61BEC3B18FA0}"/>
            </a:ext>
          </a:extLst>
        </xdr:cNvPr>
        <xdr:cNvSpPr txBox="1"/>
      </xdr:nvSpPr>
      <xdr:spPr>
        <a:xfrm>
          <a:off x="3165914" y="1619579"/>
          <a:ext cx="23577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latin typeface="Calibri" panose="020F0502020204030204" pitchFamily="34" charset="0"/>
              <a:ea typeface="Calibri" panose="020F0502020204030204" pitchFamily="34" charset="0"/>
              <a:cs typeface="Calibri" panose="020F0502020204030204" pitchFamily="34" charset="0"/>
            </a:rPr>
            <a:t>√</a:t>
          </a:r>
          <a:endParaRPr lang="en-ID" sz="800">
            <a:solidFill>
              <a:srgbClr val="0000CC"/>
            </a:solidFill>
          </a:endParaRPr>
        </a:p>
      </xdr:txBody>
    </xdr:sp>
    <xdr:clientData/>
  </xdr:oneCellAnchor>
  <xdr:oneCellAnchor>
    <xdr:from>
      <xdr:col>2</xdr:col>
      <xdr:colOff>394137</xdr:colOff>
      <xdr:row>14</xdr:row>
      <xdr:rowOff>170793</xdr:rowOff>
    </xdr:from>
    <xdr:ext cx="782458" cy="217560"/>
    <xdr:sp macro="" textlink="">
      <xdr:nvSpPr>
        <xdr:cNvPr id="11" name="TextBox 10">
          <a:extLst>
            <a:ext uri="{FF2B5EF4-FFF2-40B4-BE49-F238E27FC236}">
              <a16:creationId xmlns:a16="http://schemas.microsoft.com/office/drawing/2014/main" id="{1F8FB614-94AF-45D6-A1B5-798CB63B4537}"/>
            </a:ext>
          </a:extLst>
        </xdr:cNvPr>
        <xdr:cNvSpPr txBox="1"/>
      </xdr:nvSpPr>
      <xdr:spPr>
        <a:xfrm>
          <a:off x="1613337" y="2837793"/>
          <a:ext cx="7824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Rp.  1.000.000</a:t>
          </a:r>
        </a:p>
      </xdr:txBody>
    </xdr:sp>
    <xdr:clientData/>
  </xdr:oneCellAnchor>
  <xdr:oneCellAnchor>
    <xdr:from>
      <xdr:col>2</xdr:col>
      <xdr:colOff>381985</xdr:colOff>
      <xdr:row>16</xdr:row>
      <xdr:rowOff>14452</xdr:rowOff>
    </xdr:from>
    <xdr:ext cx="235770" cy="217560"/>
    <xdr:sp macro="" textlink="">
      <xdr:nvSpPr>
        <xdr:cNvPr id="12" name="TextBox 11">
          <a:extLst>
            <a:ext uri="{FF2B5EF4-FFF2-40B4-BE49-F238E27FC236}">
              <a16:creationId xmlns:a16="http://schemas.microsoft.com/office/drawing/2014/main" id="{F112637B-5B7C-4C6E-9050-57FE0BD4E569}"/>
            </a:ext>
          </a:extLst>
        </xdr:cNvPr>
        <xdr:cNvSpPr txBox="1"/>
      </xdr:nvSpPr>
      <xdr:spPr>
        <a:xfrm>
          <a:off x="1601185" y="3062452"/>
          <a:ext cx="23577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latin typeface="Calibri" panose="020F0502020204030204" pitchFamily="34" charset="0"/>
              <a:ea typeface="Calibri" panose="020F0502020204030204" pitchFamily="34" charset="0"/>
              <a:cs typeface="Calibri" panose="020F0502020204030204" pitchFamily="34" charset="0"/>
            </a:rPr>
            <a:t>√</a:t>
          </a:r>
          <a:endParaRPr lang="en-ID" sz="800">
            <a:solidFill>
              <a:srgbClr val="0000CC"/>
            </a:solidFill>
          </a:endParaRPr>
        </a:p>
      </xdr:txBody>
    </xdr:sp>
    <xdr:clientData/>
  </xdr:oneCellAnchor>
  <xdr:oneCellAnchor>
    <xdr:from>
      <xdr:col>3</xdr:col>
      <xdr:colOff>486103</xdr:colOff>
      <xdr:row>16</xdr:row>
      <xdr:rowOff>52552</xdr:rowOff>
    </xdr:from>
    <xdr:ext cx="997581" cy="217560"/>
    <xdr:sp macro="" textlink="">
      <xdr:nvSpPr>
        <xdr:cNvPr id="13" name="TextBox 12">
          <a:extLst>
            <a:ext uri="{FF2B5EF4-FFF2-40B4-BE49-F238E27FC236}">
              <a16:creationId xmlns:a16="http://schemas.microsoft.com/office/drawing/2014/main" id="{C871DF28-4F47-4E5F-A8F4-6C7649F0ED64}"/>
            </a:ext>
          </a:extLst>
        </xdr:cNvPr>
        <xdr:cNvSpPr txBox="1"/>
      </xdr:nvSpPr>
      <xdr:spPr>
        <a:xfrm>
          <a:off x="2314903" y="3100552"/>
          <a:ext cx="99758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MAKANAN RINGAN</a:t>
          </a:r>
        </a:p>
      </xdr:txBody>
    </xdr:sp>
    <xdr:clientData/>
  </xdr:oneCellAnchor>
  <xdr:oneCellAnchor>
    <xdr:from>
      <xdr:col>2</xdr:col>
      <xdr:colOff>400706</xdr:colOff>
      <xdr:row>16</xdr:row>
      <xdr:rowOff>170794</xdr:rowOff>
    </xdr:from>
    <xdr:ext cx="780214" cy="217560"/>
    <xdr:sp macro="" textlink="">
      <xdr:nvSpPr>
        <xdr:cNvPr id="14" name="TextBox 13">
          <a:extLst>
            <a:ext uri="{FF2B5EF4-FFF2-40B4-BE49-F238E27FC236}">
              <a16:creationId xmlns:a16="http://schemas.microsoft.com/office/drawing/2014/main" id="{AAB343B7-66EF-4A88-B26B-8C2B4D8F0C00}"/>
            </a:ext>
          </a:extLst>
        </xdr:cNvPr>
        <xdr:cNvSpPr txBox="1"/>
      </xdr:nvSpPr>
      <xdr:spPr>
        <a:xfrm>
          <a:off x="1626532" y="3218794"/>
          <a:ext cx="78021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29 APRIL 2024</a:t>
          </a:r>
        </a:p>
      </xdr:txBody>
    </xdr:sp>
    <xdr:clientData/>
  </xdr:oneCellAnchor>
  <xdr:twoCellAnchor>
    <xdr:from>
      <xdr:col>11</xdr:col>
      <xdr:colOff>79927</xdr:colOff>
      <xdr:row>0</xdr:row>
      <xdr:rowOff>142875</xdr:rowOff>
    </xdr:from>
    <xdr:to>
      <xdr:col>19</xdr:col>
      <xdr:colOff>309240</xdr:colOff>
      <xdr:row>31</xdr:row>
      <xdr:rowOff>57962</xdr:rowOff>
    </xdr:to>
    <xdr:grpSp>
      <xdr:nvGrpSpPr>
        <xdr:cNvPr id="15" name="Group 14">
          <a:extLst>
            <a:ext uri="{FF2B5EF4-FFF2-40B4-BE49-F238E27FC236}">
              <a16:creationId xmlns:a16="http://schemas.microsoft.com/office/drawing/2014/main" id="{3B7A3902-5EB8-43BE-BFBD-354B2B80FFD7}"/>
            </a:ext>
          </a:extLst>
        </xdr:cNvPr>
        <xdr:cNvGrpSpPr/>
      </xdr:nvGrpSpPr>
      <xdr:grpSpPr>
        <a:xfrm>
          <a:off x="6598340" y="142875"/>
          <a:ext cx="5132617" cy="5820587"/>
          <a:chOff x="6591300" y="142875"/>
          <a:chExt cx="5106113" cy="5820587"/>
        </a:xfrm>
      </xdr:grpSpPr>
      <xdr:pic>
        <xdr:nvPicPr>
          <xdr:cNvPr id="16" name="Picture 15">
            <a:extLst>
              <a:ext uri="{FF2B5EF4-FFF2-40B4-BE49-F238E27FC236}">
                <a16:creationId xmlns:a16="http://schemas.microsoft.com/office/drawing/2014/main" id="{5757EF17-1231-4B7F-1543-702170E88841}"/>
              </a:ext>
            </a:extLst>
          </xdr:cNvPr>
          <xdr:cNvPicPr>
            <a:picLocks noChangeAspect="1"/>
          </xdr:cNvPicPr>
        </xdr:nvPicPr>
        <xdr:blipFill>
          <a:blip xmlns:r="http://schemas.openxmlformats.org/officeDocument/2006/relationships" r:embed="rId2"/>
          <a:stretch>
            <a:fillRect/>
          </a:stretch>
        </xdr:blipFill>
        <xdr:spPr>
          <a:xfrm>
            <a:off x="6591300" y="142875"/>
            <a:ext cx="5106113" cy="5820587"/>
          </a:xfrm>
          <a:prstGeom prst="rect">
            <a:avLst/>
          </a:prstGeom>
        </xdr:spPr>
      </xdr:pic>
      <xdr:sp macro="" textlink="">
        <xdr:nvSpPr>
          <xdr:cNvPr id="17" name="TextBox 16">
            <a:extLst>
              <a:ext uri="{FF2B5EF4-FFF2-40B4-BE49-F238E27FC236}">
                <a16:creationId xmlns:a16="http://schemas.microsoft.com/office/drawing/2014/main" id="{9A1F7E08-FE1B-121A-AAC6-6EDFB6ED20E0}"/>
              </a:ext>
            </a:extLst>
          </xdr:cNvPr>
          <xdr:cNvSpPr txBox="1"/>
        </xdr:nvSpPr>
        <xdr:spPr>
          <a:xfrm>
            <a:off x="7567068" y="1148811"/>
            <a:ext cx="272491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HENDRO TOHA,</a:t>
            </a:r>
            <a:r>
              <a:rPr lang="en-ID" sz="800" baseline="0">
                <a:solidFill>
                  <a:srgbClr val="0000CC"/>
                </a:solidFill>
              </a:rPr>
              <a:t> ARISTYA P, CHUMAIDILLAH, ARY PURWANTO</a:t>
            </a:r>
            <a:endParaRPr lang="en-ID" sz="800">
              <a:solidFill>
                <a:srgbClr val="0000CC"/>
              </a:solidFill>
            </a:endParaRPr>
          </a:p>
        </xdr:txBody>
      </xdr:sp>
      <xdr:sp macro="" textlink="">
        <xdr:nvSpPr>
          <xdr:cNvPr id="18" name="TextBox 17">
            <a:extLst>
              <a:ext uri="{FF2B5EF4-FFF2-40B4-BE49-F238E27FC236}">
                <a16:creationId xmlns:a16="http://schemas.microsoft.com/office/drawing/2014/main" id="{DDA15B02-AA1C-8899-7DCC-C3575DB2A0AA}"/>
              </a:ext>
            </a:extLst>
          </xdr:cNvPr>
          <xdr:cNvSpPr txBox="1"/>
        </xdr:nvSpPr>
        <xdr:spPr>
          <a:xfrm>
            <a:off x="7573108" y="1018998"/>
            <a:ext cx="35556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ANS</a:t>
            </a:r>
          </a:p>
        </xdr:txBody>
      </xdr:sp>
      <xdr:sp macro="" textlink="">
        <xdr:nvSpPr>
          <xdr:cNvPr id="19" name="TextBox 18">
            <a:extLst>
              <a:ext uri="{FF2B5EF4-FFF2-40B4-BE49-F238E27FC236}">
                <a16:creationId xmlns:a16="http://schemas.microsoft.com/office/drawing/2014/main" id="{F3336D43-E786-62F0-39CB-17F552091DFB}"/>
              </a:ext>
            </a:extLst>
          </xdr:cNvPr>
          <xdr:cNvSpPr txBox="1"/>
        </xdr:nvSpPr>
        <xdr:spPr>
          <a:xfrm>
            <a:off x="7570100" y="1262505"/>
            <a:ext cx="908197"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12 JANUARI 2024</a:t>
            </a:r>
          </a:p>
        </xdr:txBody>
      </xdr:sp>
      <xdr:sp macro="" textlink="">
        <xdr:nvSpPr>
          <xdr:cNvPr id="20" name="TextBox 19">
            <a:extLst>
              <a:ext uri="{FF2B5EF4-FFF2-40B4-BE49-F238E27FC236}">
                <a16:creationId xmlns:a16="http://schemas.microsoft.com/office/drawing/2014/main" id="{F5C3DB6B-173F-8E8B-BD52-9DCBAFD7F8AC}"/>
              </a:ext>
            </a:extLst>
          </xdr:cNvPr>
          <xdr:cNvSpPr txBox="1"/>
        </xdr:nvSpPr>
        <xdr:spPr>
          <a:xfrm>
            <a:off x="6785412" y="1746082"/>
            <a:ext cx="7824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Rp.  1.000.000</a:t>
            </a:r>
          </a:p>
        </xdr:txBody>
      </xdr:sp>
      <xdr:sp macro="" textlink="">
        <xdr:nvSpPr>
          <xdr:cNvPr id="21" name="TextBox 20">
            <a:extLst>
              <a:ext uri="{FF2B5EF4-FFF2-40B4-BE49-F238E27FC236}">
                <a16:creationId xmlns:a16="http://schemas.microsoft.com/office/drawing/2014/main" id="{0FA570B8-35A2-AFEB-9759-2D645AD11736}"/>
              </a:ext>
            </a:extLst>
          </xdr:cNvPr>
          <xdr:cNvSpPr txBox="1"/>
        </xdr:nvSpPr>
        <xdr:spPr>
          <a:xfrm>
            <a:off x="7887381" y="1768063"/>
            <a:ext cx="7824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Rp.  1.000.000</a:t>
            </a:r>
          </a:p>
        </xdr:txBody>
      </xdr:sp>
      <xdr:sp macro="" textlink="">
        <xdr:nvSpPr>
          <xdr:cNvPr id="22" name="TextBox 21">
            <a:extLst>
              <a:ext uri="{FF2B5EF4-FFF2-40B4-BE49-F238E27FC236}">
                <a16:creationId xmlns:a16="http://schemas.microsoft.com/office/drawing/2014/main" id="{A93AD1CB-952D-6446-DCEF-91836F2F451B}"/>
              </a:ext>
            </a:extLst>
          </xdr:cNvPr>
          <xdr:cNvSpPr txBox="1"/>
        </xdr:nvSpPr>
        <xdr:spPr>
          <a:xfrm>
            <a:off x="8974696" y="1782717"/>
            <a:ext cx="3980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800">
                <a:solidFill>
                  <a:srgbClr val="0000CC"/>
                </a:solidFill>
              </a:rPr>
              <a:t>Rp.  -</a:t>
            </a:r>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126999</xdr:colOff>
      <xdr:row>77</xdr:row>
      <xdr:rowOff>126999</xdr:rowOff>
    </xdr:from>
    <xdr:ext cx="825501" cy="878417"/>
    <xdr:pic>
      <xdr:nvPicPr>
        <xdr:cNvPr id="2" name="Picture 1">
          <a:extLst>
            <a:ext uri="{FF2B5EF4-FFF2-40B4-BE49-F238E27FC236}">
              <a16:creationId xmlns:a16="http://schemas.microsoft.com/office/drawing/2014/main" id="{2B7AC711-866A-49F3-8135-14E353C2553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84599" y="14795499"/>
          <a:ext cx="825501" cy="878417"/>
        </a:xfrm>
        <a:prstGeom prst="rect">
          <a:avLst/>
        </a:prstGeom>
        <a:noFill/>
        <a:ln w="9525">
          <a:noFill/>
          <a:miter lim="800000"/>
          <a:headEnd/>
          <a:tailEn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102099</xdr:colOff>
      <xdr:row>86</xdr:row>
      <xdr:rowOff>135717</xdr:rowOff>
    </xdr:from>
    <xdr:ext cx="825501" cy="878417"/>
    <xdr:pic>
      <xdr:nvPicPr>
        <xdr:cNvPr id="2" name="Picture 1">
          <a:extLst>
            <a:ext uri="{FF2B5EF4-FFF2-40B4-BE49-F238E27FC236}">
              <a16:creationId xmlns:a16="http://schemas.microsoft.com/office/drawing/2014/main" id="{499B2929-1016-433D-8185-46630917CF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59699" y="16518717"/>
          <a:ext cx="825501" cy="878417"/>
        </a:xfrm>
        <a:prstGeom prst="rect">
          <a:avLst/>
        </a:prstGeom>
        <a:noFill/>
        <a:ln w="9525">
          <a:noFill/>
          <a:miter lim="800000"/>
          <a:headEnd/>
          <a:tailEn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109803</xdr:colOff>
      <xdr:row>55</xdr:row>
      <xdr:rowOff>14552</xdr:rowOff>
    </xdr:from>
    <xdr:ext cx="826822" cy="878417"/>
    <xdr:pic>
      <xdr:nvPicPr>
        <xdr:cNvPr id="2" name="Picture 1">
          <a:extLst>
            <a:ext uri="{FF2B5EF4-FFF2-40B4-BE49-F238E27FC236}">
              <a16:creationId xmlns:a16="http://schemas.microsoft.com/office/drawing/2014/main" id="{2AF1171F-80A7-4512-9233-35F336BFC6A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67403" y="10492052"/>
          <a:ext cx="826822" cy="878417"/>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si-19\NEW%20BUSINESS%20PLAN\Revised%20%234\PEMI%20S-PLAN-D%202005%201%20~%20%206%20R3rev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I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62.126.145\Documents%20and%20Settings\nys-05\Desktop\SWCT%20big%20sub%208%20sa%201-4%20rh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9619004\gmapdoc\Doc\&#36939;&#29992;\05&#27177;&#38480;\&#26989;&#21209;&#21029;&#27177;&#38480;&#35373;&#23450;&#34920;\&#27177;&#38480;&#35373;&#23450;&#34920;-W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WINDOWS\TEMP\aldir0\061W&#65398;&#65394;&#65404;&#65389;\061W&#65398;&#65394;&#65404;&#65389;.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62.124.218\File%20Sharing\726&#12539;728&#20986;&#22259;&#31649;&#29702;\726&#36554;&#20001;&#37096;&#21697;&#20986;&#22259;&#31649;&#29702;\726MISS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asi-19\NEW%20BUSINESS%20PLAN\Revised%20%234\S-PLAN%20JAI%20ok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apcws3147\c\My%20Documents\SUB%20ASSY\7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12304;E-group&#12305;\&#9632;%20BMW%20&#9632;\&#12304;MOLD%20DR&#12305;\E63\E60\&#12501;&#12521;&#12483;&#12464;&#12471;&#12483;&#125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juan-p/Documents/Fin%20Acc/BP%20Term%2075/Charge%2075/PEMI_Charge+setting+report+for+P75(sample)_&#35500;&#26126;&#36861;&#21152;Ver2%2023011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apc.pe.pc.71\c\PRO.%20DESIGN\NAPA\PART-SER\7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sg1ws1034\keiri1\Documents%20and%20Settings\ssn9pc1152\My%20Documents\&#24525;&#30000;&#12398;&#12362;&#20181;&#20107;\&#12381;&#12398;&#20182;\&#23455;&#35336;\&#23455;&#35336;&#19978;1.20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asi-120\DATA\DATA\My%20Document\Budget\MAPS%202012\HYPERION%202012\SALES%20Term72\PASI%20USD\PASI%20USD%20MROA_(HS9)STF_Sales_Report_ver10.0.3%20Rev%20MH+USD+P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k20000\xk2&#20849;&#26377;&#12501;&#12457;\PT&#12288;ECS&#31649;&#29702;\VF38_&#37327;&#29987;&#28310;&#20633;&#20381;&#38972;&#2636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HTA/AppData/Local/Microsoft/Windows/Temporary%20Internet%20Files/Content.Outlook/VQ0BS4J0/&#12467;&#12500;&#12540;1512_YHV_Monthly_Report_%2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12304;S-group&#12305;\&#38283;&#30330;&#12469;&#12452;&#12474;\&#26376;&#22577;\Follow_00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35373;&#65300;&#65400;&#65438;&#65433;&#65392;&#65420;&#65439;\DESIGN_4\WINDOWS\TEMP\aldir0\061W&#65398;&#65394;&#65404;&#65389;\061W&#65398;&#65394;&#65404;&#653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rod_adm-05\DATA%20TRO\DOCUME~1\hadi-h\LOCALS~1\Temp\Laporan%20stock%20control\usage%20report%20by%20carline\Laporan%20stock%20control\Pemi%20B_1\5411.3%20Rincian%20Sparepart%20-%20Sp.%20Aplicato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HTA/AppData/Local/Microsoft/Windows/Temporary%20Internet%20Files/Content.Outlook/VQ0BS4J0/SUAI%20&#20998;&#26512;&#12484;&#12540;&#12523;A%2075th_ver1%203%20(3).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S%20Files/@YKK%20AP/SHARED/Inbox/Admin/BORGChat/Inbox/Anonymous/@HERFIN/Documents%20and%20Settings/Catherine/My%20Documents/ACCOUNTS/APR-SEPT'01/APR-SEPT'01/Account%201/Account/Sep0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rod_adm-05\DATA%20TRO\DOCUME~1\hadi-h\LOCALS~1\Temp\Laporan%20stock%20control\usage%20report%20by%20carline\Laporan%20stock%20control\Pemi%20B_1\Laporan%20stock%20control\Pemi%20B_1\5411.4.1%20Rincian%20Sparepart%20-%20Sp.%20Mesin%20B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KEEP%20FILE\&#65423;&#65416;&#65392;&#65404;&#65438;&#65426;&#65437;&#65412;&#22577;&#21578;\00&#19979;&#65423;&#65416;&#65392;&#65404;&#65438;&#65426;&#65437;&#65412;&#22577;&#21578;\&#12501;&#12521;&#12483;&#12464;&#12471;&#12483;&#125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IH1PC3190\&#20849;&#26377;\gijyutu1\&#31532;&#65297;&#25216;&#34899;&#37096;\&#29983;&#28310;\&#20234;&#34276;\&#65305;&#26376;&#65298;&#65302;&#26085;&#23550;&#245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C target profit request"/>
      <sheetName val="PEMI  investment"/>
      <sheetName val="export asumption"/>
      <sheetName val="domestic asumption"/>
      <sheetName val="note"/>
      <sheetName val="check file"/>
      <sheetName val="S-PLAN"/>
      <sheetName val="GRAPH"/>
      <sheetName val="ass"/>
      <sheetName val="tb"/>
      <sheetName val="tb1"/>
      <sheetName val="B1"/>
      <sheetName val="B2"/>
      <sheetName val="PL"/>
      <sheetName val="BS"/>
      <sheetName val="Report"/>
      <sheetName val="S-PLAN (3)"/>
      <sheetName val="S-PLAN (4)"/>
      <sheetName val="S-PLAN (5)"/>
      <sheetName val="S-PLAN (6)"/>
      <sheetName val="S-PLAN (7)"/>
      <sheetName val="MYZK02"/>
      <sheetName val="AtoA(Germany)"/>
      <sheetName val="ACCOUNT"/>
      <sheetName val="MAT-IN"/>
      <sheetName val="投資ﾌｫﾛｰ"/>
      <sheetName val="00年9月"/>
      <sheetName val="LIST"/>
      <sheetName val="MASTER"/>
      <sheetName val="MASTER  LIST"/>
      <sheetName val="data"/>
      <sheetName val="Sheet1"/>
      <sheetName val="Sheet2"/>
      <sheetName val="YC_target_profit_request"/>
      <sheetName val="PEMI__investment"/>
      <sheetName val="export_asumption"/>
      <sheetName val="domestic_asumption"/>
      <sheetName val="check_file"/>
      <sheetName val="S-PLAN_(3)"/>
      <sheetName val="S-PLAN_(4)"/>
      <sheetName val="S-PLAN_(5)"/>
      <sheetName val="S-PLAN_(6)"/>
      <sheetName val="S-PLAN_(7)"/>
      <sheetName val="MASTER__LIST"/>
      <sheetName val="MTRX96"/>
      <sheetName val="為替レート"/>
      <sheetName val="ﾀﾘﾌ"/>
      <sheetName val="吊上げパ_20_"/>
      <sheetName val="YC_target_profit_request1"/>
      <sheetName val="PEMI__investment1"/>
      <sheetName val="export_asumption1"/>
      <sheetName val="domestic_asumption1"/>
      <sheetName val="check_file1"/>
      <sheetName val="S-PLAN_(3)1"/>
      <sheetName val="S-PLAN_(4)1"/>
      <sheetName val="S-PLAN_(5)1"/>
      <sheetName val="S-PLAN_(6)1"/>
      <sheetName val="S-PLAN_(7)1"/>
      <sheetName val="MASTER__LIST1"/>
      <sheetName val="YC_target_profit_request2"/>
      <sheetName val="PEMI__investment2"/>
      <sheetName val="export_asumption2"/>
      <sheetName val="domestic_asumption2"/>
      <sheetName val="check_file2"/>
      <sheetName val="S-PLAN_(3)2"/>
      <sheetName val="S-PLAN_(4)2"/>
      <sheetName val="S-PLAN_(5)2"/>
      <sheetName val="S-PLAN_(6)2"/>
      <sheetName val="S-PLAN_(7)2"/>
      <sheetName val="MASTER__LIST2"/>
      <sheetName val="1"/>
    </sheetNames>
    <sheetDataSet>
      <sheetData sheetId="0" refreshError="1"/>
      <sheetData sheetId="1" refreshError="1"/>
      <sheetData sheetId="2" refreshError="1"/>
      <sheetData sheetId="3" refreshError="1"/>
      <sheetData sheetId="4" refreshError="1"/>
      <sheetData sheetId="5" refreshError="1"/>
      <sheetData sheetId="6" refreshError="1">
        <row r="1">
          <cell r="A1" t="str">
            <v>&lt;&lt; Sales &amp; Manufacture Plan &gt;&gt;</v>
          </cell>
        </row>
        <row r="582">
          <cell r="I582">
            <v>145460.71085714351</v>
          </cell>
          <cell r="J582">
            <v>-197133.9576999998</v>
          </cell>
          <cell r="K582">
            <v>569114.10757069895</v>
          </cell>
          <cell r="L582">
            <v>34618.086485486128</v>
          </cell>
          <cell r="M582">
            <v>83838.105213806615</v>
          </cell>
          <cell r="N582">
            <v>-24545.66182428872</v>
          </cell>
          <cell r="O582">
            <v>-76375.518838141201</v>
          </cell>
          <cell r="P582">
            <v>-18871.942167578731</v>
          </cell>
        </row>
        <row r="1293">
          <cell r="I1293" t="str">
            <v>04/7-14</v>
          </cell>
          <cell r="J1293" t="str">
            <v>04/12</v>
          </cell>
          <cell r="K1293" t="str">
            <v>05/1</v>
          </cell>
          <cell r="L1293" t="str">
            <v>05/2</v>
          </cell>
          <cell r="M1293" t="str">
            <v>05/3</v>
          </cell>
          <cell r="N1293" t="str">
            <v>05/4</v>
          </cell>
          <cell r="O1293" t="str">
            <v>05/5</v>
          </cell>
          <cell r="P1293" t="str">
            <v>05/6</v>
          </cell>
        </row>
        <row r="1306">
          <cell r="I1306">
            <v>0</v>
          </cell>
          <cell r="J1306">
            <v>0</v>
          </cell>
          <cell r="K1306">
            <v>0</v>
          </cell>
          <cell r="L1306">
            <v>0</v>
          </cell>
          <cell r="M1306">
            <v>0</v>
          </cell>
          <cell r="N1306">
            <v>0</v>
          </cell>
          <cell r="O1306">
            <v>0</v>
          </cell>
          <cell r="P130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IN"/>
      <sheetName val="MOTO"/>
      <sheetName val="DATA"/>
      <sheetName val="CANCEL"/>
      <sheetName val="MACHINE"/>
      <sheetName val="CUSTOMER"/>
      <sheetName val="JE"/>
      <sheetName val="12月活動計画（技術部）"/>
      <sheetName val="ELWB"/>
      <sheetName val="QCD"/>
      <sheetName val="図面台帳"/>
      <sheetName val="生涯利益計画ｼｰﾄ"/>
      <sheetName val="119"/>
      <sheetName val="Action Plan_Roadmap"/>
      <sheetName val="ﾀﾘﾌ"/>
      <sheetName val="ISS-ASS"/>
      <sheetName val="TLH-W-C"/>
      <sheetName val="Sheet1"/>
      <sheetName val="Reference"/>
      <sheetName val="COT (Thai)"/>
      <sheetName val="13load"/>
      <sheetName val="dongia (2)"/>
      <sheetName val="giathanh1"/>
      <sheetName val="#REF"/>
      <sheetName val="lam-moi"/>
      <sheetName val="THPDMoi  (2)"/>
      <sheetName val="t-h HA THE"/>
      <sheetName val="chitiet"/>
      <sheetName val="gvl"/>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Summonth MP"/>
      <sheetName val="Summonth SC"/>
      <sheetName val="投資･工数推移"/>
      <sheetName val="WIP3"/>
      <sheetName val="96totcstsum"/>
      <sheetName val="pull-downリスト"/>
      <sheetName val="System Name_ห้ามลบแต่เพิ่มได้"/>
      <sheetName val="周达成率"/>
      <sheetName val="ﾃｰﾌﾞﾙ"/>
      <sheetName val="CASH FLOW"/>
      <sheetName val="Price"/>
      <sheetName val="BCM01"/>
      <sheetName val="定義"/>
      <sheetName val="new"/>
      <sheetName val="プルダウン項目"/>
      <sheetName val="M"/>
      <sheetName val="UK allocations"/>
      <sheetName val="プルダウン"/>
      <sheetName val="選択リスト"/>
      <sheetName val="【参考①】入力について"/>
      <sheetName val="_x0000__x0000__x0000__x0000__x0000_Ý];g_x0000_"/>
      <sheetName val=""/>
      <sheetName val="差替え版J フォーマット"/>
      <sheetName val="メーカー別受注工数シェア"/>
      <sheetName val="ตัวเลือก"/>
      <sheetName val="Pull-down menu"/>
      <sheetName val="ﾄﾞﾛｯﾌﾟﾀﾞｳﾝﾘｽﾄ"/>
      <sheetName val="05F"/>
      <sheetName val="05FH"/>
      <sheetName val="06F"/>
      <sheetName val="02F"/>
      <sheetName val="01F"/>
      <sheetName val="Data."/>
      <sheetName val="Sheet"/>
      <sheetName val="製造部細目"/>
      <sheetName val="車種区分　"/>
      <sheetName val="code"/>
      <sheetName val="List_1"/>
      <sheetName val="班部番別"/>
      <sheetName val="MODEL&amp;LINE"/>
      <sheetName val="USD"/>
      <sheetName val="XLS Avg Rev"/>
      <sheetName val="Table-Ratio"/>
      <sheetName val="便利ボタン"/>
      <sheetName val="P5"/>
      <sheetName val="LINE"/>
      <sheetName val="_x0000__x0000__x0000__x0000__x0"/>
      <sheetName val="下拉选项（中文）"/>
      <sheetName val="Sheet2"/>
      <sheetName val="P4試験結果"/>
      <sheetName val="List"/>
      <sheetName val="Action_Plan_Roadmap"/>
      <sheetName val="COT_(Thai)"/>
      <sheetName val="dongia_(2)"/>
      <sheetName val="THPDMoi__(2)"/>
      <sheetName val="t-h_HA_THE"/>
      <sheetName val="DON_GIA"/>
      <sheetName val="CHITIET_VL-NC"/>
      <sheetName val="CHITIET_VL-NC-TT_-1p"/>
      <sheetName val="TH_XL"/>
      <sheetName val="CHITIET_VL-NC-TT-3p"/>
      <sheetName val="Bia_TQT"/>
      <sheetName val="TONGKE3p_"/>
      <sheetName val="KPVC-BD_"/>
      <sheetName val="Summonth_MP"/>
      <sheetName val="Summonth_SC"/>
      <sheetName val="System_Name_ห้ามลบแต่เพิ่มได้"/>
      <sheetName val="CASH_FLOW"/>
      <sheetName val="UK_allocations"/>
      <sheetName val="差替え版J_フォーマット"/>
      <sheetName val="Pull-down_menu"/>
      <sheetName val="Data_"/>
      <sheetName val="ENG油洩れ"/>
      <sheetName val="日産ｺﾓﾝR"/>
      <sheetName val="Pull-down items (Eng)"/>
      <sheetName val="部署"/>
      <sheetName val="JUM"/>
      <sheetName val="入力一覧"/>
      <sheetName val="MPL 技連"/>
      <sheetName val="342E BLOCK"/>
      <sheetName val="選択肢"/>
      <sheetName val="種別"/>
      <sheetName val="科目"/>
      <sheetName val="チーム"/>
      <sheetName val="直課レベル"/>
      <sheetName val="改善テーマ"/>
      <sheetName val="月次寄与"/>
      <sheetName val="中分類"/>
      <sheetName val="大分類"/>
      <sheetName val="小分類"/>
      <sheetName val="改善分野"/>
      <sheetName val="ムダ大項目"/>
      <sheetName val="ムダ項目"/>
      <sheetName val="事業所"/>
      <sheetName val="Drop Down Menu"/>
      <sheetName val="使用機器"/>
      <sheetName val="????"/>
      <sheetName val="ＶＡ"/>
      <sheetName val="TOTAL_MC (2)"/>
      <sheetName val="MASTER ASSET TYPE"/>
      <sheetName val="MASTER DATE (MM-YYYY)"/>
      <sheetName val="MASTER PRODUCT &amp; CAR LINE"/>
      <sheetName val="一览"/>
      <sheetName val="Feuil1"/>
      <sheetName val="Feuil2"/>
      <sheetName val="Feuil3"/>
      <sheetName val="Sheet3"/>
      <sheetName val="業務内容一覧"/>
      <sheetName val="業務区分"/>
      <sheetName val="投資ﾌｫﾛｰ"/>
      <sheetName val="電子見積(05.11.8)"/>
      <sheetName val="科目の説明"/>
      <sheetName val="案内"/>
      <sheetName val="申請書"/>
      <sheetName val="77期計画"/>
      <sheetName val="申請書TOTAL"/>
      <sheetName val="77期実績"/>
      <sheetName val="管理統制費明細"/>
      <sheetName val="記入例"/>
      <sheetName val="業務区分と分類表"/>
      <sheetName val="車会集約"/>
      <sheetName val="09load"/>
      <sheetName val="選択タブ"/>
      <sheetName val="(～19C部品単価未定一覧"/>
      <sheetName val="海外日当・宿泊等テーブル"/>
      <sheetName val="Team"/>
      <sheetName val="メーカー等"/>
      <sheetName val="管理会計標準部member"/>
      <sheetName val="触らないで！"/>
      <sheetName val="品種（業種）"/>
      <sheetName val="メーカ"/>
      <sheetName val="車種"/>
      <sheetName val="Custom4"/>
      <sheetName val="(作業名一覧)ドロップダウンリスト"/>
      <sheetName val="【一览】"/>
      <sheetName val="正味とﾑﾀﾞ定義"/>
      <sheetName val=" Apli-11 "/>
      <sheetName val="项目"/>
      <sheetName val="XLS_Avg_Rev"/>
      <sheetName val="MGA-05-03"/>
      <sheetName val="(～20A部品単価未定一覧"/>
      <sheetName val="報告№②ー１"/>
      <sheetName val="計算DATA"/>
      <sheetName val="事務所引越見積書"/>
      <sheetName val="____"/>
      <sheetName val="_RemoteViewSysMain"/>
      <sheetName val="Description"/>
      <sheetName val="Sheet1 (3)"/>
      <sheetName val="报表"/>
      <sheetName val="自制套管"/>
      <sheetName val="現状と課題"/>
      <sheetName val="IMV"/>
      <sheetName val="利益概要"/>
      <sheetName val="(～20C部品単価未定一覧"/>
      <sheetName val="リスト"/>
      <sheetName val="PN Status"/>
      <sheetName val="単位"/>
      <sheetName val="推移"/>
      <sheetName val="×理由分類"/>
      <sheetName val="分類表"/>
      <sheetName val="(～21A部品単価未定一覧"/>
      <sheetName val="(～21B部品単価未定一覧"/>
      <sheetName val="原材料マスタ"/>
      <sheetName val="まとめ"/>
      <sheetName val="静ﾊﾟﾀﾝ分析"/>
      <sheetName val="区分表"/>
      <sheetName val="SOFTWARE"/>
      <sheetName val="両端回路"/>
      <sheetName val="片端データ"/>
      <sheetName val="費目リスト"/>
      <sheetName val="Action_Plan_Roadmap1"/>
      <sheetName val="COT_(Thai)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Summonth_MP1"/>
      <sheetName val="Summonth_SC1"/>
      <sheetName val="System_Name_ห้ามลบแต่เพิ่มได้1"/>
      <sheetName val="CASH_FLOW1"/>
      <sheetName val="UK_allocations1"/>
      <sheetName val="差替え版J_フォーマット1"/>
      <sheetName val="Pull-down_menu1"/>
      <sheetName val="Data_1"/>
      <sheetName val="XLS_Avg_Rev1"/>
      <sheetName val="Pull-down_items_(Eng)"/>
      <sheetName val="MPL_技連"/>
      <sheetName val="342E_BLOCK"/>
      <sheetName val="Drop_Down_Menu"/>
      <sheetName val="TOTAL_MC_(2)"/>
      <sheetName val="MASTER_ASSET_TYPE"/>
      <sheetName val="MASTER_DATE_(MM-YYYY)"/>
      <sheetName val="MASTER_PRODUCT_&amp;_CAR_LINE"/>
      <sheetName val="電子見積(05_11_8)"/>
      <sheetName val="_Apli-11_"/>
      <sheetName val="Sheet1_(3)"/>
      <sheetName val="原単位改善区分"/>
      <sheetName val="コード"/>
      <sheetName val="〔別表〕区分"/>
      <sheetName val="仕掛け"/>
      <sheetName val="Action_Plan_Roadmap2"/>
      <sheetName val="COT_(Thai)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Summonth_MP2"/>
      <sheetName val="Summonth_SC2"/>
      <sheetName val="System_Name_ห้ามลบแต่เพิ่มได้2"/>
      <sheetName val="CASH_FLOW2"/>
      <sheetName val="UK_allocations2"/>
      <sheetName val="差替え版J_フォーマット2"/>
      <sheetName val="Data_2"/>
      <sheetName val="Pull-down_menu2"/>
      <sheetName val="XLS_Avg_Rev2"/>
      <sheetName val="Pull-down_items_(Eng)1"/>
      <sheetName val="MPL_技連1"/>
      <sheetName val="342E_BLOCK1"/>
      <sheetName val="Drop_Down_Menu1"/>
      <sheetName val="TOTAL_MC_(2)1"/>
      <sheetName val="MASTER_ASSET_TYPE1"/>
      <sheetName val="MASTER_DATE_(MM-YYYY)1"/>
      <sheetName val="MASTER_PRODUCT_&amp;_CAR_LINE1"/>
      <sheetName val="電子見積(05_11_8)1"/>
      <sheetName val="_Apli-11_1"/>
      <sheetName val="Sheet1_(3)1"/>
      <sheetName val="PN_Status"/>
      <sheetName val="原始数据"/>
      <sheetName val="S-PLAN"/>
      <sheetName val="db"/>
      <sheetName val="series pricing"/>
      <sheetName val="Action_Plan_Roadmap3"/>
      <sheetName val="COT_(Thai)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Summonth_MP3"/>
      <sheetName val="Summonth_SC3"/>
      <sheetName val="System_Name_ห้ามลบแต่เพิ่มได้3"/>
      <sheetName val="CASH_FLOW3"/>
      <sheetName val="UK_allocations3"/>
      <sheetName val="差替え版J_フォーマット3"/>
      <sheetName val="Pull-down_menu3"/>
      <sheetName val="Data_3"/>
      <sheetName val="XLS_Avg_Rev3"/>
      <sheetName val="Pull-down_items_(Eng)2"/>
      <sheetName val="MPL_技連2"/>
      <sheetName val="342E_BLOCK2"/>
      <sheetName val="Drop_Down_Menu2"/>
      <sheetName val="TOTAL_MC_(2)2"/>
      <sheetName val="MASTER_ASSET_TYPE2"/>
      <sheetName val="MASTER_DATE_(MM-YYYY)2"/>
      <sheetName val="MASTER_PRODUCT_&amp;_CAR_LINE2"/>
      <sheetName val="電子見積(05_11_8)2"/>
      <sheetName val="_Apli-11_2"/>
      <sheetName val="Sheet1_(3)2"/>
      <sheetName val="PN_Status1"/>
      <sheetName val="series_pricing"/>
      <sheetName val="Agadir Dyn 5"/>
      <sheetName val="Agadir Dyn 1"/>
      <sheetName val="Agadir Dyn 2"/>
      <sheetName val="Agadir Dyn 3"/>
      <sheetName val="Agadir Dyn 4"/>
      <sheetName val="Agadir Dyn 6"/>
      <sheetName val="Agadir TU5 Stat 7 "/>
      <sheetName val="Ý_;g"/>
      <sheetName val="process"/>
      <sheetName val="pull down"/>
      <sheetName val="ﾌﾟﾛﾄ_P772分解5号機"/>
      <sheetName val="_x0"/>
      <sheetName val="ANLKL"/>
      <sheetName val="費目"/>
      <sheetName val="Action_Plan_Roadmap4"/>
      <sheetName val="COT_(Thai)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Summonth_MP4"/>
      <sheetName val="Summonth_SC4"/>
      <sheetName val="System_Name_ห้ามลบแต่เพิ่มได้4"/>
      <sheetName val="CASH_FLOW4"/>
      <sheetName val="UK_allocations4"/>
      <sheetName val="差替え版J_フォーマット4"/>
      <sheetName val="Data_4"/>
      <sheetName val="Pull-down_menu4"/>
      <sheetName val="XLS_Avg_Rev4"/>
      <sheetName val="Pull-down_items_(Eng)3"/>
      <sheetName val="MPL_技連3"/>
      <sheetName val="342E_BLOCK3"/>
      <sheetName val="Drop_Down_Menu3"/>
      <sheetName val="TOTAL_MC_(2)3"/>
      <sheetName val="MASTER_ASSET_TYPE3"/>
      <sheetName val="MASTER_DATE_(MM-YYYY)3"/>
      <sheetName val="MASTER_PRODUCT_&amp;_CAR_LINE3"/>
      <sheetName val="電子見積(05_11_8)3"/>
      <sheetName val="_Apli-11_3"/>
      <sheetName val="Sheet1_(3)3"/>
      <sheetName val="PN_Status2"/>
      <sheetName val="series_pricing1"/>
      <sheetName val="Agadir_Dyn_5"/>
      <sheetName val="Agadir_Dyn_1"/>
      <sheetName val="Agadir_Dyn_2"/>
      <sheetName val="Agadir_Dyn_3"/>
      <sheetName val="Agadir_Dyn_4"/>
      <sheetName val="Agadir_Dyn_6"/>
      <sheetName val="Agadir_TU5_Stat_7_"/>
      <sheetName val="Action_Plan_Roadmap5"/>
      <sheetName val="COT_(Thai)5"/>
      <sheetName val="dongia_(2)5"/>
      <sheetName val="THPDMoi__(2)5"/>
      <sheetName val="t-h_HA_THE5"/>
      <sheetName val="DON_GIA5"/>
      <sheetName val="CHITIET_VL-NC5"/>
      <sheetName val="CHITIET_VL-NC-TT_-1p5"/>
      <sheetName val="TH_XL5"/>
      <sheetName val="CHITIET_VL-NC-TT-3p5"/>
      <sheetName val="Bia_TQT5"/>
      <sheetName val="TONGKE3p_5"/>
      <sheetName val="KPVC-BD_5"/>
      <sheetName val="Summonth_MP5"/>
      <sheetName val="Summonth_SC5"/>
      <sheetName val="System_Name_ห้ามลบแต่เพิ่มได้5"/>
      <sheetName val="CASH_FLOW5"/>
      <sheetName val="UK_allocations5"/>
      <sheetName val="差替え版J_フォーマット5"/>
      <sheetName val="Pull-down_menu5"/>
      <sheetName val="Data_5"/>
      <sheetName val="XLS_Avg_Rev5"/>
      <sheetName val="Pull-down_items_(Eng)4"/>
      <sheetName val="MPL_技連4"/>
      <sheetName val="342E_BLOCK4"/>
      <sheetName val="Drop_Down_Menu4"/>
      <sheetName val="MASTER_ASSET_TYPE4"/>
      <sheetName val="MASTER_DATE_(MM-YYYY)4"/>
      <sheetName val="MASTER_PRODUCT_&amp;_CAR_LINE4"/>
      <sheetName val="TOTAL_MC_(2)4"/>
      <sheetName val="電子見積(05_11_8)4"/>
      <sheetName val="_Apli-11_4"/>
      <sheetName val="Sheet1_(3)4"/>
      <sheetName val="PN_Status3"/>
      <sheetName val="series_pricing2"/>
      <sheetName val="Agadir_Dyn_51"/>
      <sheetName val="Agadir_Dyn_11"/>
      <sheetName val="Agadir_Dyn_21"/>
      <sheetName val="Agadir_Dyn_31"/>
      <sheetName val="Agadir_Dyn_41"/>
      <sheetName val="Agadir_Dyn_61"/>
      <sheetName val="Agadir_TU5_Stat_7_1"/>
      <sheetName val="pull_down"/>
      <sheetName val="Chiet tinh dz35"/>
      <sheetName val="ラベル"/>
      <sheetName val="Unit"/>
      <sheetName val="Affiliate"/>
      <sheetName val="Hourly Rate"/>
      <sheetName val="_x005f_x0000__x005f_x0000__x005f_x0000__x005f_x0000__x0"/>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sheetData sheetId="429" refreshError="1"/>
      <sheetData sheetId="4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1.1"/>
      <sheetName val="SA 1.2"/>
      <sheetName val="SA-2.1"/>
      <sheetName val="SA-2.2"/>
      <sheetName val="SA-3.1"/>
      <sheetName val="SA-3.2."/>
      <sheetName val="SA-4.2."/>
      <sheetName val="SA-4.1"/>
      <sheetName val="sa 5.1"/>
      <sheetName val="SA 5.2."/>
      <sheetName val="sa 6.1"/>
      <sheetName val="SA 6.2."/>
      <sheetName val="SA 7.2"/>
      <sheetName val="SA 7.1"/>
      <sheetName val="SA 8SP  (2)"/>
      <sheetName val="#REF"/>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ＷＦ権限プロファイル"/>
      <sheetName val="Profile"/>
      <sheetName val="SUPER"/>
      <sheetName val="ADMIN"/>
      <sheetName val="USER"/>
      <sheetName val="権限管理(WF)"/>
      <sheetName val="権限管理(IMG)"/>
      <sheetName val="アーカイブ照会権限"/>
      <sheetName val="ﾕｰｻﾞ区分"/>
      <sheetName val="権限管理詳細(IMG)"/>
      <sheetName val="権限管理詳細(WF)"/>
      <sheetName val="権限ﾌﾟﾛﾌｧｲﾙ"/>
      <sheetName val="WFその他トランザクションコードチェックシート"/>
    </sheetNames>
    <sheetDataSet>
      <sheetData sheetId="0" refreshError="1">
        <row r="3">
          <cell r="B3" t="str">
            <v>ZBZ#WF_ADMIN</v>
          </cell>
          <cell r="C3" t="str">
            <v>ワークフロー:管理ユーザ</v>
          </cell>
          <cell r="E3" t="str">
            <v>ABAP/4 によるファイルシステムアクセス</v>
          </cell>
          <cell r="F3" t="str">
            <v>&amp;_SAP_ALL</v>
          </cell>
        </row>
        <row r="4">
          <cell r="E4" t="str">
            <v>ABAP/4 プログラムからの OLE 呼出</v>
          </cell>
          <cell r="F4" t="str">
            <v>&amp;_SAP_ALL</v>
          </cell>
        </row>
        <row r="5">
          <cell r="E5" t="str">
            <v>ABAP/4 ワークベンチ</v>
          </cell>
          <cell r="F5" t="str">
            <v>S_OBJT_READ</v>
          </cell>
        </row>
        <row r="6">
          <cell r="E6" t="str">
            <v>ABAP/4: プログラム実行チェック</v>
          </cell>
          <cell r="F6" t="str">
            <v>S_WF_DIAG</v>
          </cell>
        </row>
        <row r="7">
          <cell r="F7" t="str">
            <v>S_WF_INF_OA</v>
          </cell>
        </row>
        <row r="8">
          <cell r="F8" t="str">
            <v>S_WF_INF_WIA</v>
          </cell>
        </row>
        <row r="9">
          <cell r="E9" t="str">
            <v>CC コントロールセンタ: システム管理</v>
          </cell>
          <cell r="F9" t="str">
            <v>&amp;_SAP_ALL</v>
          </cell>
        </row>
        <row r="10">
          <cell r="E10" t="str">
            <v>HR: 人事計画権限</v>
          </cell>
          <cell r="F10" t="str">
            <v>P_PLOG_WF_DI</v>
          </cell>
        </row>
        <row r="11">
          <cell r="E11" t="str">
            <v>SAP オフィス: SAP オフィスユーザの機能</v>
          </cell>
          <cell r="F11" t="str">
            <v>S_OC_ADM</v>
          </cell>
        </row>
        <row r="12">
          <cell r="E12" t="str">
            <v>SAPOffice: 伝票付活動に対する権限</v>
          </cell>
          <cell r="F12" t="str">
            <v>S_OC_ALL</v>
          </cell>
        </row>
        <row r="13">
          <cell r="E13" t="str">
            <v>SAPoffice: オフィスユーザ権限</v>
          </cell>
          <cell r="F13" t="str">
            <v>S_OC_USER</v>
          </cell>
        </row>
        <row r="14">
          <cell r="E14" t="str">
            <v>WFEDI: S_IDOCMONI - IDoc 監視へのアクセス</v>
          </cell>
          <cell r="F14" t="str">
            <v>S_IDOC_SHOW</v>
          </cell>
        </row>
        <row r="15">
          <cell r="E15" t="str">
            <v>アーカイブリンク: 文書アクセス権限</v>
          </cell>
          <cell r="F15" t="str">
            <v>ZBZB#WF_ADM</v>
          </cell>
        </row>
        <row r="16">
          <cell r="E16" t="str">
            <v>アーカイブリンク: 文書アクセス権限</v>
          </cell>
          <cell r="F16" t="str">
            <v>ZBZB#WF_IMAG</v>
          </cell>
        </row>
        <row r="17">
          <cell r="F17" t="str">
            <v>ZBZB#WF_USER</v>
          </cell>
        </row>
        <row r="18">
          <cell r="E18" t="str">
            <v>システム管理機能</v>
          </cell>
          <cell r="F18" t="str">
            <v>ZBZB#USER</v>
          </cell>
        </row>
        <row r="19">
          <cell r="E19" t="str">
            <v>スプール: アクション</v>
          </cell>
          <cell r="F19" t="str">
            <v>ZBZB#USER</v>
          </cell>
        </row>
        <row r="20">
          <cell r="E20" t="str">
            <v>スプール: 装置権限</v>
          </cell>
          <cell r="F20" t="str">
            <v>S_SACHBEARB</v>
          </cell>
        </row>
        <row r="21">
          <cell r="E21" t="str">
            <v>トランザクション開始の権限チェック</v>
          </cell>
          <cell r="F21" t="str">
            <v>ZBZB#WF_ADM</v>
          </cell>
        </row>
        <row r="22">
          <cell r="E22" t="str">
            <v>トランザクション開始の権限チェック</v>
          </cell>
          <cell r="F22" t="str">
            <v>ZBZB#WF_USER</v>
          </cell>
        </row>
        <row r="23">
          <cell r="E23" t="str">
            <v>バッチインプット権限</v>
          </cell>
          <cell r="F23" t="str">
            <v>S_SACHBEARB</v>
          </cell>
        </row>
        <row r="24">
          <cell r="E24" t="str">
            <v>バッチ処理: バッチジョブの操作</v>
          </cell>
          <cell r="F24" t="str">
            <v>ZBZB#BATCH</v>
          </cell>
        </row>
        <row r="25">
          <cell r="E25" t="str">
            <v>バッチ処理: バッチ管理者</v>
          </cell>
          <cell r="F25" t="str">
            <v>S_BTCH_ADM</v>
          </cell>
        </row>
        <row r="26">
          <cell r="E26" t="str">
            <v>ファイルアクセス権限</v>
          </cell>
          <cell r="F26" t="str">
            <v>&amp;_SAP_ALL</v>
          </cell>
        </row>
        <row r="27">
          <cell r="E27" t="str">
            <v>ワークフロー: 作業項目の処理</v>
          </cell>
          <cell r="F27" t="str">
            <v>S_WFWI_CHAGT</v>
          </cell>
        </row>
        <row r="28">
          <cell r="E28" t="str">
            <v>ワークフロー: 作業項目の処理</v>
          </cell>
          <cell r="F28" t="str">
            <v>S_WFWI_CHDDL</v>
          </cell>
        </row>
        <row r="29">
          <cell r="F29" t="str">
            <v>S_WFWI_CHLAN</v>
          </cell>
        </row>
        <row r="30">
          <cell r="F30" t="str">
            <v>S_WFWI_CHPRI</v>
          </cell>
        </row>
        <row r="31">
          <cell r="F31" t="str">
            <v>S_WFWI_CHTXT</v>
          </cell>
        </row>
        <row r="32">
          <cell r="F32" t="str">
            <v>S_WFWI_EXECU</v>
          </cell>
        </row>
        <row r="33">
          <cell r="F33" t="str">
            <v>S_WFWI_RSBMT</v>
          </cell>
        </row>
        <row r="34">
          <cell r="F34" t="str">
            <v>ZBZB#USER</v>
          </cell>
        </row>
        <row r="35">
          <cell r="E35" t="str">
            <v>ワークフロー: 統合受信ボックスでのビュー処理</v>
          </cell>
          <cell r="F35" t="str">
            <v>S_WFLVIEWALL</v>
          </cell>
        </row>
        <row r="36">
          <cell r="E36" t="str">
            <v>送信用の権限オブジェクト</v>
          </cell>
          <cell r="F36" t="str">
            <v>&amp;_SAP_ALL</v>
          </cell>
        </row>
        <row r="37">
          <cell r="E37" t="str">
            <v>標準テキスト</v>
          </cell>
          <cell r="F37" t="str">
            <v>S_SACHBEARB</v>
          </cell>
        </row>
        <row r="38">
          <cell r="E38" t="str">
            <v>論理 OS コマンドの実行権限</v>
          </cell>
          <cell r="F38" t="str">
            <v>&amp;_SAP_ALL</v>
          </cell>
        </row>
        <row r="39">
          <cell r="B39" t="str">
            <v>ZBZ#WF_SUPER</v>
          </cell>
          <cell r="C39" t="str">
            <v>ワークフロー:スーパーユーザ</v>
          </cell>
          <cell r="E39" t="str">
            <v>ABAP/4 によるファイルシステムアクセス</v>
          </cell>
          <cell r="F39" t="str">
            <v>&amp;_SAP_ALL</v>
          </cell>
        </row>
        <row r="40">
          <cell r="E40" t="str">
            <v>ABAP/4 プログラムからの OLE 呼出</v>
          </cell>
          <cell r="F40" t="str">
            <v>&amp;_SAP_ALL</v>
          </cell>
        </row>
        <row r="41">
          <cell r="E41" t="str">
            <v>ABAP/4 ワークベンチ</v>
          </cell>
          <cell r="F41" t="str">
            <v>S_OBJT_READ</v>
          </cell>
        </row>
        <row r="42">
          <cell r="E42" t="str">
            <v>ABAP/4: プログラム実行チェック</v>
          </cell>
          <cell r="F42" t="str">
            <v>S_WF_DIAG</v>
          </cell>
        </row>
        <row r="43">
          <cell r="B43" t="str">
            <v>ZBZ#WF_SUPER</v>
          </cell>
          <cell r="C43" t="str">
            <v>ワークフロー:スーパーユーザ</v>
          </cell>
          <cell r="E43" t="str">
            <v>ABAP/4 によるファイルシステムアクセス</v>
          </cell>
          <cell r="F43" t="str">
            <v>S_WF_INF_OA</v>
          </cell>
        </row>
        <row r="44">
          <cell r="E44" t="str">
            <v>ABAP/4 プログラムからの OLE 呼出</v>
          </cell>
          <cell r="F44" t="str">
            <v>S_WF_INF_WIA</v>
          </cell>
        </row>
        <row r="45">
          <cell r="E45" t="str">
            <v>CC コントロールセンタ: システム管理</v>
          </cell>
          <cell r="F45" t="str">
            <v>&amp;_SAP_ALL</v>
          </cell>
        </row>
        <row r="46">
          <cell r="E46" t="str">
            <v>HR: トランザクションコード権限</v>
          </cell>
          <cell r="F46" t="str">
            <v>P_TCODE_WF</v>
          </cell>
        </row>
        <row r="47">
          <cell r="E47" t="str">
            <v>HR: 人事計画権限</v>
          </cell>
          <cell r="F47" t="str">
            <v>P_PLOG_WF_CH</v>
          </cell>
        </row>
        <row r="48">
          <cell r="E48" t="str">
            <v>SAP オフィス: SAP オフィスユーザの機能</v>
          </cell>
          <cell r="F48" t="str">
            <v>S_OC_ADM</v>
          </cell>
        </row>
        <row r="49">
          <cell r="E49" t="str">
            <v>SAPOffice: 伝票付活動に対する権限</v>
          </cell>
          <cell r="F49" t="str">
            <v>S_OC_ALL</v>
          </cell>
        </row>
        <row r="50">
          <cell r="E50" t="str">
            <v>SAPoffice: オフィスユーザ権限</v>
          </cell>
          <cell r="F50" t="str">
            <v>S_OC_USER</v>
          </cell>
        </row>
        <row r="51">
          <cell r="E51" t="str">
            <v>WFEDI: S_IDOCMONI - IDoc 監視へのアクセス</v>
          </cell>
          <cell r="F51" t="str">
            <v>S_IDOC_SHOW</v>
          </cell>
        </row>
        <row r="52">
          <cell r="E52" t="str">
            <v>アーカイブリンク: 文書アクセス権限</v>
          </cell>
          <cell r="F52" t="str">
            <v>ZBZB#WF_ADM</v>
          </cell>
        </row>
        <row r="53">
          <cell r="E53" t="str">
            <v>SAPOffice: 伝票付活動に対する権限</v>
          </cell>
          <cell r="F53" t="str">
            <v>ZBZB#WF_IMAG</v>
          </cell>
        </row>
        <row r="54">
          <cell r="E54" t="str">
            <v>SAPoffice: オフィスユーザ権限</v>
          </cell>
          <cell r="F54" t="str">
            <v>ZBZB#WF_USER</v>
          </cell>
        </row>
        <row r="55">
          <cell r="E55" t="str">
            <v>システム管理機能</v>
          </cell>
          <cell r="F55" t="str">
            <v>ZBZB#USER</v>
          </cell>
        </row>
        <row r="56">
          <cell r="E56" t="str">
            <v>スプール: アクション</v>
          </cell>
          <cell r="F56" t="str">
            <v>ZBZB#USER</v>
          </cell>
        </row>
        <row r="57">
          <cell r="E57" t="str">
            <v>スプール: 装置権限</v>
          </cell>
          <cell r="F57" t="str">
            <v>S_SACHBEARB</v>
          </cell>
        </row>
        <row r="58">
          <cell r="E58" t="str">
            <v>テーブル更新 (SM31 等の標準ツールによる)</v>
          </cell>
          <cell r="F58" t="str">
            <v>ZBLA#TAB_01</v>
          </cell>
        </row>
        <row r="59">
          <cell r="E59" t="str">
            <v>トランザクション開始の権限チェック</v>
          </cell>
          <cell r="F59" t="str">
            <v>ZBZB#WF_ADM</v>
          </cell>
        </row>
        <row r="60">
          <cell r="E60" t="str">
            <v>システム管理機能</v>
          </cell>
          <cell r="F60" t="str">
            <v>ZBZB#WF_USER</v>
          </cell>
        </row>
        <row r="61">
          <cell r="E61" t="str">
            <v>バッチインプット権限</v>
          </cell>
          <cell r="F61" t="str">
            <v>S_SACHBEARB</v>
          </cell>
        </row>
        <row r="62">
          <cell r="E62" t="str">
            <v>バッチ処理: バッチジョブの操作</v>
          </cell>
          <cell r="F62" t="str">
            <v>ZBZB#BATCH</v>
          </cell>
        </row>
        <row r="63">
          <cell r="E63" t="str">
            <v>バッチ処理: バッチ管理者</v>
          </cell>
          <cell r="F63" t="str">
            <v>S_BTCH_ADM</v>
          </cell>
        </row>
        <row r="64">
          <cell r="E64" t="str">
            <v>ファイルアクセス権限</v>
          </cell>
          <cell r="F64" t="str">
            <v>&amp;_SAP_ALL</v>
          </cell>
        </row>
        <row r="65">
          <cell r="E65" t="str">
            <v>ワークフロー: 作業項目の処理</v>
          </cell>
          <cell r="F65" t="str">
            <v>S_WFWI_CHAGT</v>
          </cell>
        </row>
        <row r="66">
          <cell r="E66" t="str">
            <v>バッチインプット権限</v>
          </cell>
          <cell r="F66" t="str">
            <v>S_WFWI_CHDDL</v>
          </cell>
        </row>
        <row r="67">
          <cell r="E67" t="str">
            <v>バッチ処理: バッチジョブの操作</v>
          </cell>
          <cell r="F67" t="str">
            <v>S_WFWI_CHLAN</v>
          </cell>
        </row>
        <row r="68">
          <cell r="E68" t="str">
            <v>バッチ処理: バッチ管理者</v>
          </cell>
          <cell r="F68" t="str">
            <v>S_WFWI_CHPRI</v>
          </cell>
        </row>
        <row r="69">
          <cell r="E69" t="str">
            <v>ファイルアクセス権限</v>
          </cell>
          <cell r="F69" t="str">
            <v>S_WFWI_CHTXT</v>
          </cell>
        </row>
        <row r="70">
          <cell r="E70" t="str">
            <v>ワークフロー: 作業項目の処理</v>
          </cell>
          <cell r="F70" t="str">
            <v>S_WFWI_EXECU</v>
          </cell>
        </row>
        <row r="71">
          <cell r="F71" t="str">
            <v>S_WFWI_RSBMT</v>
          </cell>
        </row>
        <row r="72">
          <cell r="F72" t="str">
            <v>ZBZB#USER</v>
          </cell>
        </row>
        <row r="73">
          <cell r="E73" t="str">
            <v>ワークフロー: 統合受信ボックスでのビュー処理</v>
          </cell>
          <cell r="F73" t="str">
            <v>S_WFLVIEWALL</v>
          </cell>
        </row>
        <row r="74">
          <cell r="E74" t="str">
            <v>送信用の権限オブジェクト</v>
          </cell>
          <cell r="F74" t="str">
            <v>&amp;_SAP_ALL</v>
          </cell>
        </row>
        <row r="75">
          <cell r="E75" t="str">
            <v>標準テキスト</v>
          </cell>
          <cell r="F75" t="str">
            <v>S_SACHBEARB</v>
          </cell>
        </row>
        <row r="76">
          <cell r="E76" t="str">
            <v>論理 OS コマンドの実行権限</v>
          </cell>
          <cell r="F76" t="str">
            <v>&amp;_SAP_ALL</v>
          </cell>
        </row>
        <row r="77">
          <cell r="B77" t="str">
            <v>ZBZ#WF_USER</v>
          </cell>
          <cell r="C77" t="str">
            <v>ワークフロー:一般ユーザ</v>
          </cell>
          <cell r="E77" t="str">
            <v>ABAP/4 によるファイルシステムアクセス</v>
          </cell>
          <cell r="F77" t="str">
            <v>&amp;_SAP_ALL</v>
          </cell>
        </row>
        <row r="78">
          <cell r="E78" t="str">
            <v>ABAP/4 ワークベンチ</v>
          </cell>
          <cell r="F78" t="str">
            <v>S_OBJT_READ</v>
          </cell>
        </row>
        <row r="79">
          <cell r="E79" t="str">
            <v>ABAP/4: プログラム実行チェック</v>
          </cell>
          <cell r="F79" t="str">
            <v>S_WF_DIAG</v>
          </cell>
        </row>
        <row r="80">
          <cell r="E80" t="str">
            <v>標準テキスト</v>
          </cell>
          <cell r="F80" t="str">
            <v>S_WF_INF_OA</v>
          </cell>
        </row>
        <row r="81">
          <cell r="E81" t="str">
            <v>論理 OS コマンドの実行権限</v>
          </cell>
          <cell r="F81" t="str">
            <v>S_WF_INF_WIA</v>
          </cell>
        </row>
        <row r="82">
          <cell r="E82" t="str">
            <v>CC コントロールセンタ: システム管理</v>
          </cell>
          <cell r="F82" t="str">
            <v>&amp;_SAP_ALL</v>
          </cell>
        </row>
        <row r="83">
          <cell r="E83" t="str">
            <v>HR: 人事計画権限</v>
          </cell>
          <cell r="F83" t="str">
            <v>P_PLOG_WF_DI</v>
          </cell>
        </row>
        <row r="84">
          <cell r="B84" t="str">
            <v>ZBZ#WF_USER</v>
          </cell>
          <cell r="C84" t="str">
            <v>ワークフロー:一般ユーザ</v>
          </cell>
          <cell r="E84" t="str">
            <v>SAP オフィス: SAP オフィスユーザの機能</v>
          </cell>
          <cell r="F84" t="str">
            <v>S_OC_ADM</v>
          </cell>
        </row>
        <row r="85">
          <cell r="E85" t="str">
            <v>SAPOffice: 伝票付活動に対する権限</v>
          </cell>
          <cell r="F85" t="str">
            <v>S_OC_ALL</v>
          </cell>
        </row>
        <row r="86">
          <cell r="E86" t="str">
            <v>SAPoffice: オフィスユーザ権限</v>
          </cell>
          <cell r="F86" t="str">
            <v>S_OC_USER</v>
          </cell>
        </row>
        <row r="87">
          <cell r="E87" t="str">
            <v>WFEDI: S_IDOCMONI - IDoc 監視へのアクセス</v>
          </cell>
          <cell r="F87" t="str">
            <v>S_IDOC_SHOW</v>
          </cell>
        </row>
        <row r="88">
          <cell r="E88" t="str">
            <v>アーカイブリンク: 文書アクセス権限</v>
          </cell>
          <cell r="F88" t="str">
            <v>ZBZB#WF_IMAG</v>
          </cell>
        </row>
        <row r="89">
          <cell r="E89" t="str">
            <v>CC コントロールセンタ: システム管理</v>
          </cell>
          <cell r="F89" t="str">
            <v>ZBZB#WF_USER</v>
          </cell>
        </row>
        <row r="90">
          <cell r="E90" t="str">
            <v>システム管理機能</v>
          </cell>
          <cell r="F90" t="str">
            <v>ZBZB#USER</v>
          </cell>
        </row>
        <row r="91">
          <cell r="E91" t="str">
            <v>スプール: アクション</v>
          </cell>
          <cell r="F91" t="str">
            <v>ZBZB#USER</v>
          </cell>
        </row>
        <row r="92">
          <cell r="E92" t="str">
            <v>スプール: 装置権限</v>
          </cell>
          <cell r="F92" t="str">
            <v>S_SACHBEARB</v>
          </cell>
        </row>
        <row r="93">
          <cell r="E93" t="str">
            <v>トランザクション開始の権限チェック</v>
          </cell>
          <cell r="F93" t="str">
            <v>ZBZB#WF_USER</v>
          </cell>
        </row>
        <row r="94">
          <cell r="E94" t="str">
            <v>バッチインプット権限</v>
          </cell>
          <cell r="F94" t="str">
            <v>S_SACHBEARB</v>
          </cell>
        </row>
        <row r="95">
          <cell r="E95" t="str">
            <v>バッチ処理: バッチジョブの操作</v>
          </cell>
          <cell r="F95" t="str">
            <v>ZBZB#BATCH</v>
          </cell>
        </row>
        <row r="96">
          <cell r="E96" t="str">
            <v>バッチ処理: バッチ管理者</v>
          </cell>
          <cell r="F96" t="str">
            <v>S_BTCH_ADM</v>
          </cell>
        </row>
        <row r="97">
          <cell r="E97" t="str">
            <v>ファイルアクセス権限</v>
          </cell>
          <cell r="F97" t="str">
            <v>&amp;_SAP_ALL</v>
          </cell>
        </row>
        <row r="98">
          <cell r="E98" t="str">
            <v>ワークフロー: 作業項目の処理</v>
          </cell>
          <cell r="F98" t="str">
            <v>ZBZB#USER</v>
          </cell>
        </row>
        <row r="99">
          <cell r="E99" t="str">
            <v>ワークフロー: 統合受信ボックスでのビュー処理</v>
          </cell>
          <cell r="F99" t="str">
            <v>S_WFLVIEWALL</v>
          </cell>
        </row>
        <row r="100">
          <cell r="E100" t="str">
            <v>送信用の権限オブジェクト</v>
          </cell>
          <cell r="F100" t="str">
            <v>&amp;_SAP_ALL</v>
          </cell>
        </row>
        <row r="101">
          <cell r="E101" t="str">
            <v>標準テキスト</v>
          </cell>
          <cell r="F101" t="str">
            <v>S_SACHBEARB</v>
          </cell>
        </row>
        <row r="102">
          <cell r="E102" t="str">
            <v>論理 OS コマンドの実行権限</v>
          </cell>
          <cell r="F102" t="str">
            <v>&amp;_SAP_ALL</v>
          </cell>
        </row>
        <row r="103">
          <cell r="B103" t="str">
            <v>ZWX#BASIS</v>
          </cell>
          <cell r="C103" t="str">
            <v>ベーシス共通 権限プロファイル</v>
          </cell>
          <cell r="E103" t="str">
            <v>ABAP/4 によるファイルシステムアクセス</v>
          </cell>
          <cell r="F103" t="str">
            <v>&amp;_SAP_ALL</v>
          </cell>
        </row>
        <row r="104">
          <cell r="E104" t="str">
            <v>ABAP/4 ワークベンチ</v>
          </cell>
          <cell r="F104" t="str">
            <v>S_OBJT_READ</v>
          </cell>
        </row>
        <row r="105">
          <cell r="E105" t="str">
            <v>CC コントロールセンタ: システム管理</v>
          </cell>
          <cell r="F105" t="str">
            <v>&amp;_SAP_ALL</v>
          </cell>
        </row>
        <row r="106">
          <cell r="E106" t="str">
            <v>システム管理機能</v>
          </cell>
          <cell r="F106" t="str">
            <v>ZBZB#USER</v>
          </cell>
        </row>
        <row r="107">
          <cell r="E107" t="str">
            <v>スプール: アクション</v>
          </cell>
          <cell r="F107" t="str">
            <v>ZBZB#USER</v>
          </cell>
        </row>
        <row r="108">
          <cell r="E108" t="str">
            <v>スプール: 装置権限</v>
          </cell>
          <cell r="F108" t="str">
            <v>S_SACHBEARB</v>
          </cell>
        </row>
        <row r="109">
          <cell r="E109" t="str">
            <v>トランザクション開始の権限チェック</v>
          </cell>
          <cell r="F109" t="str">
            <v>ZWXA#BASIS</v>
          </cell>
        </row>
        <row r="110">
          <cell r="E110" t="str">
            <v>バッチインプット権限</v>
          </cell>
          <cell r="F110" t="str">
            <v>S_SACHBEARB</v>
          </cell>
        </row>
        <row r="111">
          <cell r="E111" t="str">
            <v>バッチ処理: バッチジョブの操作</v>
          </cell>
          <cell r="F111" t="str">
            <v>ZBZB#BATCH</v>
          </cell>
        </row>
        <row r="112">
          <cell r="E112" t="str">
            <v>バッチ処理: バッチ管理者</v>
          </cell>
          <cell r="F112" t="str">
            <v>S_BTCH_ADM</v>
          </cell>
        </row>
        <row r="113">
          <cell r="E113" t="str">
            <v>ファイルアクセス権限</v>
          </cell>
          <cell r="F113" t="str">
            <v>&amp;_SAP_ALL</v>
          </cell>
        </row>
        <row r="114">
          <cell r="E114" t="str">
            <v>論理 OS コマンドの実行権限</v>
          </cell>
          <cell r="F114" t="str">
            <v>&amp;_SAP_ALL</v>
          </cell>
        </row>
        <row r="115">
          <cell r="B115" t="str">
            <v>ZBZ#USR_LOCK</v>
          </cell>
          <cell r="C115" t="str">
            <v>ユーザロック解除権限</v>
          </cell>
          <cell r="E115" t="str">
            <v>トランザクション開始の権限チェック</v>
          </cell>
          <cell r="F115" t="str">
            <v>ZBZA#USR_LOK</v>
          </cell>
        </row>
        <row r="116">
          <cell r="E116" t="str">
            <v>ユーザマスタ管理: ユーザグループ</v>
          </cell>
          <cell r="F116" t="str">
            <v>S_USER_SAP</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単位表"/>
      <sheetName val="[061Wｶｲｼｭ.XLSꁝ덮㐁ཤ表"/>
      <sheetName val="内機"/>
      <sheetName val="Table"/>
      <sheetName val="TH&amp;B2e&amp;EGN"/>
      <sheetName val="原単位表C最終報告資"/>
      <sheetName val="工数集計"/>
      <sheetName val="原単位表ﾌﾄﾒ."/>
      <sheetName val="CMF"/>
      <sheetName val="MOTO"/>
      <sheetName val="MPL 技連"/>
      <sheetName val="342E BLOCK"/>
      <sheetName val="W_LBOOK"/>
      <sheetName val="MASTER"/>
      <sheetName val="Sales"/>
      <sheetName val="部署別利用頻度0401"/>
      <sheetName val="フォーム2"/>
      <sheetName val="第１紙原紙"/>
      <sheetName val="第１紙原紙KGC"/>
      <sheetName val="第２紙原紙"/>
      <sheetName val="第３紙原紙"/>
      <sheetName val="第４紙ビット"/>
      <sheetName val="第５紙ビット"/>
      <sheetName val="フォーム1"/>
      <sheetName val="表紙"/>
      <sheetName val="ＣＡＭＹ　ＭⅢ"/>
      <sheetName val="パラメータ"/>
      <sheetName val="#0"/>
      <sheetName val="価格一覧表"/>
      <sheetName val="ＳＱＬ"/>
      <sheetName val="T_ＣＡＤ情報"/>
      <sheetName val="T_ORG"/>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定量化結果"/>
      <sheetName val="一覧１"/>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ﾃﾞｰﾀﾍﾞｰｽ"/>
      <sheetName val="設計通知書原紙"/>
      <sheetName val="061Wｶｲｼｭ"/>
      <sheetName val="元データ"/>
      <sheetName val="_061Wｶｲｼｭ.XLSꁝ덮㐁ཤ表"/>
      <sheetName val="車両ｽﾍﾟｯｸ表"/>
      <sheetName val="1"/>
      <sheetName val="総合B"/>
      <sheetName val="静ﾊﾟﾀﾝ分析"/>
      <sheetName val="HPS Slit Coil (Centralia)"/>
      <sheetName val="段ﾎﾞｰﾙ箱図番･荷姿ｺｰﾄﾞ"/>
      <sheetName val="生涯利益計画ｼｰﾄ"/>
      <sheetName val="Sheet1"/>
      <sheetName val="FRT"/>
      <sheetName val="15A"/>
      <sheetName val="094W原紙 "/>
      <sheetName val="県別ﾏﾙﾁ"/>
      <sheetName val="Top22(GBP)"/>
      <sheetName val="Installation"/>
      <sheetName val="全品番DETAILS-LOT"/>
      <sheetName val="生産コード一覧"/>
      <sheetName val="HYO"/>
      <sheetName val="list"/>
      <sheetName val="システム記号リスト"/>
      <sheetName val="第２紙"/>
      <sheetName val="ヘルプ"/>
      <sheetName val="0P-1"/>
      <sheetName val="PL"/>
      <sheetName val="Color"/>
      <sheetName val="FLETES"/>
      <sheetName val="資繰"/>
      <sheetName val="各種設定"/>
      <sheetName val="選択項目"/>
      <sheetName val="３月ＫＤ"/>
      <sheetName val="工数海外比率"/>
      <sheetName val="labcodes"/>
      <sheetName val="Mth"/>
      <sheetName val="Qtr"/>
      <sheetName val="カメラ"/>
      <sheetName val="Ladder Report (2)"/>
      <sheetName val="14. Staff Benefits"/>
      <sheetName val="WIRE"/>
      <sheetName val="MM利益・原価企画方針書ｶｸ１"/>
      <sheetName val="ﾊﾟｲﾌﾟ"/>
      <sheetName val="他材料費"/>
      <sheetName val="熱延鋼板"/>
      <sheetName val="冷延鋼板"/>
      <sheetName val="差異詳細(インクルード)"/>
      <sheetName val="差異詳細(bm)"/>
      <sheetName val="差異詳細(jb2)"/>
      <sheetName val="差異詳細(jh)"/>
      <sheetName val="差異詳細(ji)"/>
      <sheetName val="差異詳細(jx)"/>
      <sheetName val="原紙"/>
      <sheetName val="ﾀﾞｲｵｰﾄﾞ変更"/>
      <sheetName val="ŽÔ—¼Ž¿—Êˆê——"/>
      <sheetName val="合格率"/>
      <sheetName val="设备分析资料表2"/>
      <sheetName val="Referent information"/>
      <sheetName val="①評価項目_メーカー"/>
      <sheetName val="ﾀﾘﾌ"/>
      <sheetName val="3???????"/>
      <sheetName val="ＭⅢ"/>
      <sheetName val="Req"/>
      <sheetName val="A"/>
      <sheetName val="PRENSAS 1"/>
      <sheetName val="???????"/>
      <sheetName val="SWS投資基準_計算"/>
      <sheetName val="094_APP別"/>
      <sheetName val="74上"/>
      <sheetName val="DATA"/>
      <sheetName val="原単位表ﾌﾄﾒ_"/>
      <sheetName val="金属スライド"/>
      <sheetName val="Ka"/>
      <sheetName val="[061Wｶｲｼｭ_XLSꁝ덮㐁ཤ表"/>
      <sheetName val="MPL_技連"/>
      <sheetName val="342E_BLOCK"/>
      <sheetName val="①ﾌﾟﾙﾀﾞｳﾝﾘｽﾄ"/>
      <sheetName val="タブ用"/>
      <sheetName val="前提1-综合"/>
      <sheetName val="QC APPROVE SHEET"/>
      <sheetName val="W_TEXT"/>
      <sheetName val="7110"/>
      <sheetName val="Sheet2"/>
      <sheetName val="ATR KMH's"/>
      <sheetName val="ヘッダ"/>
      <sheetName val="A-100전제"/>
      <sheetName val="データ"/>
      <sheetName val="売上総益ﾃﾞｰﾀ"/>
      <sheetName val="2001USA Sales"/>
      <sheetName val="Lists"/>
      <sheetName val="SV5 Margins"/>
      <sheetName val="Format"/>
      <sheetName val="T_GetCar_Type_Code"/>
      <sheetName val="T_GetCustomer_Cd"/>
      <sheetName val="T_GetModel_No"/>
      <sheetName val="T_GetPProduct_No"/>
      <sheetName val="T_GetProduct_Line_Cd"/>
      <sheetName val="T_GetProduct_Site_Cd"/>
      <sheetName val="Tabela"/>
      <sheetName val="納品書"/>
      <sheetName val="ﾕｰｻﾞｰ設定"/>
      <sheetName val="3_______"/>
      <sheetName val="_______"/>
      <sheetName val="部品構成82111"/>
      <sheetName val="DASH用係数"/>
      <sheetName val="Summonth MP"/>
      <sheetName val="Summonth SC"/>
      <sheetName val="Monthly"/>
      <sheetName val="800T Follow-up Data"/>
      <sheetName val="国"/>
      <sheetName val="海"/>
      <sheetName val="Price list"/>
      <sheetName val="リスト類"/>
      <sheetName val="?????"/>
      <sheetName val="Material Price"/>
      <sheetName val="※ﾌﾟﾙﾀﾞｳﾝ用"/>
      <sheetName val="#REF"/>
      <sheetName val="Optional per Versione"/>
      <sheetName val="b`lx@lV"/>
      <sheetName val="Jan26-Feb22PT"/>
      <sheetName val="Cust"/>
      <sheetName val="MAT-IN"/>
      <sheetName val="検証確認シート"/>
      <sheetName val="Hide-rev-lists"/>
      <sheetName val="config_00"/>
      <sheetName val="月次概況"/>
      <sheetName val="3ｹ月機能"/>
      <sheetName val="CmpLes"/>
      <sheetName val="選択肢"/>
      <sheetName val="内売@設定資料0630"/>
      <sheetName val="入力イメージ"/>
      <sheetName val="79期 計画（最終△1）"/>
      <sheetName val="管理統制費 "/>
      <sheetName val="矢崎購入"/>
      <sheetName val="内-榛原"/>
      <sheetName val="追加1"/>
      <sheetName val="追加2"/>
      <sheetName val="品番情報"/>
      <sheetName val="選択用リスト、承認枠"/>
      <sheetName val="計画アイテム"/>
      <sheetName val="原単位表ﾌﾄﾒ_1"/>
      <sheetName val="HPS_Slit_Coil_(Centralia)"/>
      <sheetName val="_061Wｶｲｼｭ_XLSꁝ덮㐁ཤ表"/>
      <sheetName val="094W原紙_"/>
      <sheetName val="Ladder_Report_(2)"/>
      <sheetName val="14__Staff_Benefits"/>
      <sheetName val="Referent_information"/>
      <sheetName val="QC_APPROVE_SHEET"/>
      <sheetName val="PRENSAS_1"/>
      <sheetName val="不良項目"/>
      <sheetName val="Fixed Assets"/>
      <sheetName val="図面台帳"/>
      <sheetName val="config_03"/>
      <sheetName val="RMB86"/>
      <sheetName val="ｺｽﾄ比較 (総括)"/>
      <sheetName val="MMCCommonFixRate"/>
      <sheetName val="ProductionFixed"/>
      <sheetName val="Read me first"/>
      <sheetName val="ESM ver2"/>
      <sheetName val="【更新禁止】入力制御"/>
      <sheetName val="【更新禁止】マスタ制御"/>
      <sheetName val="[061Wｶｲｼｭ_XLSꁝ덮㐁ཤ表1"/>
      <sheetName val="MPL_技連1"/>
      <sheetName val="342E_BLOCK1"/>
      <sheetName val="ATR_KMH's"/>
      <sheetName val="SV5_Margins"/>
      <sheetName val="2001USA_Sales"/>
      <sheetName val="800T_Follow-up_Data"/>
      <sheetName val="_RemoteViewSysMain"/>
      <sheetName val="Description"/>
      <sheetName val="_____"/>
      <sheetName val="Basic information"/>
      <sheetName val="Price_list"/>
      <sheetName val="frm1"/>
      <sheetName val="T_排他"/>
      <sheetName val="T_事計品番"/>
      <sheetName val="T_事計品番読込"/>
      <sheetName val="Defect Item Master"/>
      <sheetName val="Sheet3"/>
      <sheetName val="ﾘｽﾄ"/>
      <sheetName val="T_GetMas_Hinban"/>
      <sheetName val="N(02a)"/>
      <sheetName val="T_GetOperating_Schedule"/>
      <sheetName val="pki"/>
      <sheetName val="person"/>
      <sheetName val="T_Car_Type_Code"/>
      <sheetName val="T_Haibun_Kbn"/>
      <sheetName val="T_Product_Site_Cd"/>
      <sheetName val="C"/>
      <sheetName val="Summary"/>
      <sheetName val="NWEA1180"/>
      <sheetName val="リスト"/>
      <sheetName val="压探针用治具其他"/>
      <sheetName val="尼龙带"/>
      <sheetName val="枠冶具"/>
      <sheetName val="金日FJK0508"/>
      <sheetName val="金日SDM-S0504"/>
      <sheetName val="出荷実績"/>
      <sheetName val="ﾃﾝﾌﾟﾚｰﾄ"/>
      <sheetName val="組立図板"/>
      <sheetName val="計算DATA"/>
      <sheetName val="集計結果詳細"/>
      <sheetName val="クエリ5"/>
      <sheetName val="５月購入実績"/>
      <sheetName val="BC01_Mpplan2"/>
      <sheetName val="frm2-1"/>
      <sheetName val="frm2-2"/>
      <sheetName val="frm3"/>
      <sheetName val="JUEVES 31"/>
      <sheetName val="MIERCOLES2"/>
      <sheetName val="VIERNES2"/>
      <sheetName val="JUEVES2"/>
      <sheetName val="LUNES2"/>
      <sheetName val="MARTES 29"/>
      <sheetName val="LUNES3"/>
      <sheetName val="MARTES3"/>
      <sheetName val="MIERCOLES3"/>
      <sheetName val="JUEVES3"/>
      <sheetName val="VIERNES3"/>
      <sheetName val="SEMANA"/>
      <sheetName val="MIERCOLES 30"/>
      <sheetName val="LUNES28"/>
      <sheetName val="MARTES2"/>
      <sheetName val="車種別損益表"/>
      <sheetName val="生産日報"/>
      <sheetName val="ｸﾘｱﾗﾝｽ算出(112-107)"/>
      <sheetName val="图2~3"/>
      <sheetName val="検証1"/>
      <sheetName val="検証489 "/>
      <sheetName val="初期03"/>
      <sheetName val="北米3in1"/>
      <sheetName val="北米標準ｺﾝﾋﾞ"/>
      <sheetName val="COVER明細"/>
      <sheetName val="週示0610"/>
      <sheetName val="Sheet22"/>
      <sheetName val="400L"/>
      <sheetName val="最新基準単価 "/>
      <sheetName val="金日HZR0505"/>
      <sheetName val="TB"/>
      <sheetName val="値引き効果額品番登録・照会"/>
      <sheetName val="J21KPL"/>
      <sheetName val="スコアカード (2)"/>
      <sheetName val="原単位表ﾌﾄﾒ_2"/>
      <sheetName val="_061Wｶｲｼｭ_XLSꁝ덮㐁ཤ表1"/>
      <sheetName val="HPS_Slit_Coil_(Centralia)1"/>
      <sheetName val="094W原紙_1"/>
      <sheetName val="14__Staff_Benefits1"/>
      <sheetName val="Ladder_Report_(2)1"/>
      <sheetName val="Referent_information1"/>
      <sheetName val="PRENSAS_11"/>
      <sheetName val="QC_APPROVE_SHEET1"/>
      <sheetName val="Material_Price"/>
      <sheetName val="Optional_per_Versione"/>
      <sheetName val="Basic_information"/>
      <sheetName val="Defect_Item_Master"/>
      <sheetName val="[061Wｶｲｼｭ_XLSꁝ덮㐁ཤ表2"/>
      <sheetName val="MPL_技連2"/>
      <sheetName val="342E_BLOCK2"/>
      <sheetName val="ATR_KMH's1"/>
      <sheetName val="SV5_Margins1"/>
      <sheetName val="2001USA_Sales1"/>
      <sheetName val="800T_Follow-up_Data1"/>
      <sheetName val="Canada"/>
      <sheetName val="分析"/>
      <sheetName val="TEMPLATE"/>
      <sheetName val="１．InfoCube (YKCH0010)案１"/>
      <sheetName val="１．InfoCube (YKCH0010) 案２"/>
      <sheetName val="ｺｽﾄ比較_(総括)"/>
      <sheetName val="説明資料1"/>
      <sheetName val="通常申請ﾌｫｰﾏｯﾄ"/>
      <sheetName val="説明資料3"/>
      <sheetName val="余剰データ"/>
      <sheetName val="Air申請"/>
      <sheetName val=" D2"/>
      <sheetName val="frm5"/>
      <sheetName val="Price_list1"/>
      <sheetName val="Summonth_MP"/>
      <sheetName val="Summonth_SC"/>
      <sheetName val="アルミ防食コスト試算"/>
      <sheetName val="採否比較金額"/>
      <sheetName val="評価比較件数"/>
      <sheetName val="引継data（内製）"/>
      <sheetName val="Unit req list QIP-Dan"/>
      <sheetName val="Production PLAN"/>
      <sheetName val="ASSY PLAN-ACTUAL"/>
      <sheetName val="Box-Bag-Opp"/>
      <sheetName val="Check Po"/>
      <sheetName val="sec."/>
      <sheetName val="Urgent plan"/>
      <sheetName val="Adjust CVR"/>
      <sheetName val="Time line"/>
      <sheetName val="CVR_14-May"/>
      <sheetName val="Plan repair part _CVR"/>
      <sheetName val="x Database"/>
      <sheetName val="1-2.グラフ"/>
      <sheetName val="4-1.グラフ 19まで完成版"/>
      <sheetName val="外観検査員の調査 (金森)"/>
      <sheetName val="AlbPrint"/>
      <sheetName val="_061Wｶｲｼｭ_XLSꁝ덮㐁ཤ表2"/>
      <sheetName val="条件表"/>
      <sheetName val="CONTRACT NOTE"/>
      <sheetName val="検索･参照"/>
      <sheetName val="Production Database 399"/>
      <sheetName val="3.４Ｒ損益"/>
      <sheetName val="Macro1"/>
      <sheetName val="SH_ENTITY"/>
      <sheetName val="SH_GROUP"/>
      <sheetName val="SH_ICP"/>
      <sheetName val="SH_PROFILE"/>
      <sheetName val="SH_PRODUCTS"/>
      <sheetName val="MYZK02"/>
      <sheetName val="MIA2"/>
      <sheetName val="141-1"/>
      <sheetName val="1.実行"/>
      <sheetName val="2.原単位"/>
      <sheetName val="3.マスター"/>
      <sheetName val="4.Format"/>
      <sheetName val="5.構成分析シート"/>
      <sheetName val="8211116K00_00000"/>
      <sheetName val="8211116K10_00000"/>
      <sheetName val="8211116K20_00000"/>
      <sheetName val="8211116K30_00000"/>
      <sheetName val="8214116G60_00000"/>
      <sheetName val="8214116G70_00000"/>
      <sheetName val="8214116G80_00000"/>
      <sheetName val="8216116D90_00000"/>
      <sheetName val="8216116E00_00000"/>
      <sheetName val="141"/>
      <sheetName val="選択リスト"/>
      <sheetName val="ARA37"/>
      <sheetName val="長計対比"/>
      <sheetName val="BPCS Table"/>
      <sheetName val="Current Yr Int Sales"/>
      <sheetName val="当月報告書"/>
      <sheetName val="ﾍﾞｰｽﾃﾞｰﾀ"/>
      <sheetName val="累計"/>
      <sheetName val="3発"/>
      <sheetName val="介護 月次報告"/>
      <sheetName val="農業 月次報告"/>
      <sheetName val="まとめ"/>
      <sheetName val="整合後2021,12,24"/>
      <sheetName val="構想"/>
      <sheetName val="回路　表示用 "/>
      <sheetName val="回路　まとめ"/>
      <sheetName val="回路　750"/>
      <sheetName val="情報"/>
      <sheetName val="人工 "/>
      <sheetName val="設備"/>
      <sheetName val="人・設備能力"/>
      <sheetName val="㎡あたり工数、能率 (2)"/>
      <sheetName val="前工程旧レイアウト "/>
      <sheetName val="前工程新レイアウト"/>
      <sheetName val="134　レイアウト"/>
      <sheetName val="135レイアウト"/>
      <sheetName val="人工"/>
      <sheetName val="積上　10PL（サーミスタ端子挿入）T2"/>
      <sheetName val="積上　10PL（サーミスタ組立）T2 "/>
      <sheetName val="積上　10PL（コンベアー組立）T2 "/>
      <sheetName val="積上　10PL（VS端子挿入）T2 "/>
      <sheetName val="積上　10PL（導通検査）T2"/>
      <sheetName val="積上　10PL（サーミスタブサブ）U2"/>
      <sheetName val="積上　10PL（コンベアー組立導通検査）U2"/>
      <sheetName val="積上　10PL（VS端子挿入）U2 134"/>
      <sheetName val="積上　10PL（ファイナル検査）U2"/>
      <sheetName val="㎡あたり工数、能率"/>
      <sheetName val="生産構想図作り方流れ"/>
      <sheetName val="電線"/>
      <sheetName val="チューブ"/>
      <sheetName val="部品"/>
      <sheetName val="副資材"/>
      <sheetName val="新スケジュール"/>
      <sheetName val="99年度原単位"/>
      <sheetName val="ｺｽﾄ比較_(総括)1"/>
      <sheetName val="Read_me_first"/>
      <sheetName val="ESM_ver2"/>
      <sheetName val="JUEVES_31"/>
      <sheetName val="MARTES_29"/>
      <sheetName val="MIERCOLES_30"/>
      <sheetName val="検証489_"/>
      <sheetName val="Fixed_Assets"/>
      <sheetName val="79期_計画（最終△1）"/>
      <sheetName val="管理統制費_"/>
      <sheetName val="Price range IT"/>
      <sheetName val="2"/>
      <sheetName val="QA"/>
      <sheetName val="main"/>
      <sheetName val="RK1"/>
      <sheetName val="amp_spr"/>
      <sheetName val="C214 9306#25"/>
      <sheetName val="wms20.03.06"/>
      <sheetName val="StdHrs07.02.06"/>
      <sheetName val="Yaris 316W 23.03.2006"/>
      <sheetName val="301N見積検討"/>
      <sheetName val="従推"/>
      <sheetName val="ESTABLISH"/>
      <sheetName val="検索条件メイク"/>
      <sheetName val="印刷不要)P3受注量元データ"/>
      <sheetName val="インプット品番"/>
      <sheetName val="詳細情報"/>
      <sheetName val="集計用"/>
      <sheetName val="解析まとめ"/>
      <sheetName val="sheet17"/>
      <sheetName val="Sheet 0"/>
      <sheetName val="Dictionary"/>
      <sheetName val="Sheet 4 VTL"/>
      <sheetName val="Links"/>
      <sheetName val="KonSSPL"/>
      <sheetName val="月次データ"/>
      <sheetName val="khung ten TD"/>
      <sheetName val="SH_CARLINE"/>
      <sheetName val="SH_MAKER"/>
      <sheetName val="入力(正)"/>
      <sheetName val="q_for_r_04_20_in_source"/>
      <sheetName val="094W原紙_2"/>
      <sheetName val="[061Wｶｲｼｭ_XLSꁝ덮㐁ཤ表3"/>
      <sheetName val="原単位表ﾌﾄﾒ_3"/>
      <sheetName val="MPL_技連3"/>
      <sheetName val="342E_BLOCK3"/>
      <sheetName val="HPS_Slit_Coil_(Centralia)2"/>
      <sheetName val="Ladder_Report_(2)2"/>
      <sheetName val="14__Staff_Benefits2"/>
      <sheetName val="Referent_information2"/>
      <sheetName val="PRENSAS_12"/>
      <sheetName val="QC_APPROVE_SHEET2"/>
      <sheetName val="ATR_KMH's2"/>
      <sheetName val="2001USA_Sales2"/>
      <sheetName val="SV5_Margins2"/>
      <sheetName val="800T_Follow-up_Data2"/>
      <sheetName val="Material_Price1"/>
      <sheetName val="Optional_per_Versione1"/>
      <sheetName val="Basic_information1"/>
      <sheetName val="Defect_Item_Master1"/>
      <sheetName val="最新基準単価_"/>
      <sheetName val="スコアカード_(2)"/>
      <sheetName val="介護_月次報告"/>
      <sheetName val="農業_月次報告"/>
      <sheetName val="_D2"/>
      <sheetName val="JAN21"/>
      <sheetName val="??????"/>
      <sheetName val="deta"/>
    </sheetNames>
    <sheetDataSet>
      <sheetData sheetId="0"/>
      <sheetData sheetId="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TOBAT"/>
      <sheetName val="Sheet3"/>
      <sheetName val="WAGE96"/>
      <sheetName val="DATA"/>
      <sheetName val="Sheet4"/>
      <sheetName val="DBASE"/>
      <sheetName val="PPH21"/>
      <sheetName val="REKAP.2"/>
      <sheetName val="REKAP.1"/>
      <sheetName val="Sheet1"/>
      <sheetName val="Sheet2"/>
      <sheetName val="A1"/>
      <sheetName val="A3"/>
      <sheetName val="KARY"/>
      <sheetName val="Sheet22"/>
      <sheetName val="Sheet28"/>
      <sheetName val="SUMMARY MAN POWER"/>
      <sheetName val="ABSENSI"/>
      <sheetName val="ALL MP"/>
      <sheetName val="AKAN RESIGN"/>
      <sheetName val="RESIGN"/>
      <sheetName val="TK +2 HARI (2)"/>
      <sheetName val="SUMMARY MP JF"/>
      <sheetName val="ABSENSI-JF"/>
      <sheetName val="RESIGN-JF"/>
      <sheetName val="MP -JF"/>
      <sheetName val="PRM"/>
      <sheetName val="MH AUG"/>
      <sheetName val="SAMI 201107"/>
      <sheetName val="ﾌｫｰﾏｯﾄ用DB"/>
    </sheetNames>
    <sheetDataSet>
      <sheetData sheetId="0"/>
      <sheetData sheetId="1"/>
      <sheetData sheetId="2"/>
      <sheetData sheetId="3"/>
      <sheetData sheetId="4">
        <row r="2">
          <cell r="B2" t="str">
            <v>NIK</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MISSION"/>
      <sheetName val="Sheet5"/>
      <sheetName val="未納部品"/>
      <sheetName val="A_K1納入状況"/>
      <sheetName val="A_K2納入状況"/>
      <sheetName val="協力企業一覧"/>
    </sheetNames>
    <sheetDataSet>
      <sheetData sheetId="0">
        <row r="1">
          <cell r="T1" t="str">
            <v>BOOK</v>
          </cell>
          <cell r="U1" t="str">
            <v>YEAR</v>
          </cell>
          <cell r="V1" t="str">
            <v>UPC</v>
          </cell>
          <cell r="W1" t="str">
            <v>A_FNA</v>
          </cell>
          <cell r="X1" t="str">
            <v>D_UPC</v>
          </cell>
          <cell r="Y1" t="str">
            <v>FNA</v>
          </cell>
          <cell r="Z1" t="str">
            <v>SEQ</v>
          </cell>
          <cell r="AA1" t="str">
            <v>P QTY</v>
          </cell>
          <cell r="AB1" t="str">
            <v>DES</v>
          </cell>
          <cell r="AC1" t="str">
            <v>KD</v>
          </cell>
          <cell r="AD1" t="str">
            <v>PRO</v>
          </cell>
          <cell r="AE1" t="str">
            <v>START</v>
          </cell>
          <cell r="AF1" t="str">
            <v>STR_DATE</v>
          </cell>
          <cell r="AG1" t="str">
            <v>STOP</v>
          </cell>
          <cell r="AH1" t="str">
            <v>STP_DATE</v>
          </cell>
          <cell r="AI1" t="str">
            <v>VL1</v>
          </cell>
          <cell r="AJ1" t="str">
            <v>UL1</v>
          </cell>
          <cell r="AK1" t="str">
            <v>VL2</v>
          </cell>
          <cell r="AL1" t="str">
            <v>UL2</v>
          </cell>
          <cell r="AM1" t="str">
            <v>DEPT2</v>
          </cell>
          <cell r="AN1" t="str">
            <v>VL3</v>
          </cell>
          <cell r="AO1" t="str">
            <v>UL3</v>
          </cell>
          <cell r="AP1" t="str">
            <v>DEPT3</v>
          </cell>
          <cell r="AQ1" t="str">
            <v>VL4</v>
          </cell>
          <cell r="AR1" t="str">
            <v>UL4</v>
          </cell>
          <cell r="AS1" t="str">
            <v>DEPT4</v>
          </cell>
          <cell r="AT1" t="str">
            <v>SK</v>
          </cell>
          <cell r="AU1" t="str">
            <v>KT</v>
          </cell>
          <cell r="AV1" t="str">
            <v>ZAI_1</v>
          </cell>
          <cell r="AW1" t="str">
            <v>ZAI_2</v>
          </cell>
          <cell r="AX1" t="str">
            <v>MAKER 2</v>
          </cell>
          <cell r="AY1" t="str">
            <v>ZAI 3</v>
          </cell>
          <cell r="AZ1" t="str">
            <v>MAKER 3</v>
          </cell>
          <cell r="BA1" t="str">
            <v>ZAI 4</v>
          </cell>
          <cell r="BB1" t="str">
            <v>MAKER 4</v>
          </cell>
          <cell r="BC1" t="str">
            <v>ZAI 5</v>
          </cell>
          <cell r="BD1" t="str">
            <v>MAKER 5</v>
          </cell>
          <cell r="BE1" t="str">
            <v>NR</v>
          </cell>
          <cell r="BF1" t="str">
            <v>U_CODE</v>
          </cell>
          <cell r="BG1" t="str">
            <v>ECS</v>
          </cell>
          <cell r="BH1" t="str">
            <v>R BK</v>
          </cell>
          <cell r="BI1" t="str">
            <v>R YR</v>
          </cell>
        </row>
        <row r="2">
          <cell r="T2" t="str">
            <v>5Q</v>
          </cell>
          <cell r="U2" t="str">
            <v>040</v>
          </cell>
          <cell r="V2" t="str">
            <v xml:space="preserve"> 7B 1A</v>
          </cell>
          <cell r="W2" t="str">
            <v>U7235</v>
          </cell>
          <cell r="Y2" t="str">
            <v>U7235E</v>
          </cell>
          <cell r="Z2" t="str">
            <v>AAB</v>
          </cell>
          <cell r="AB2" t="str">
            <v>T</v>
          </cell>
          <cell r="AD2" t="str">
            <v>*</v>
          </cell>
          <cell r="AE2" t="str">
            <v>2J653</v>
          </cell>
          <cell r="AF2" t="str">
            <v>021223</v>
          </cell>
          <cell r="AI2" t="str">
            <v>*</v>
          </cell>
          <cell r="AJ2" t="str">
            <v>T</v>
          </cell>
          <cell r="AT2" t="str">
            <v>A</v>
          </cell>
          <cell r="AU2" t="str">
            <v>0</v>
          </cell>
          <cell r="AV2" t="str">
            <v>3</v>
          </cell>
          <cell r="BE2" t="str">
            <v>4</v>
          </cell>
          <cell r="BF2" t="str">
            <v>0002</v>
          </cell>
          <cell r="BG2" t="str">
            <v>NCH03</v>
          </cell>
          <cell r="BH2" t="str">
            <v>2X</v>
          </cell>
          <cell r="BI2" t="str">
            <v>015</v>
          </cell>
        </row>
        <row r="3">
          <cell r="T3" t="str">
            <v>5Q</v>
          </cell>
          <cell r="U3" t="str">
            <v>040</v>
          </cell>
          <cell r="V3" t="str">
            <v xml:space="preserve"> 7B 1A</v>
          </cell>
          <cell r="W3" t="str">
            <v>U7100</v>
          </cell>
          <cell r="Y3" t="str">
            <v>U7100E</v>
          </cell>
          <cell r="Z3" t="str">
            <v>AAC</v>
          </cell>
          <cell r="AB3" t="str">
            <v>T</v>
          </cell>
          <cell r="AD3" t="str">
            <v>*</v>
          </cell>
          <cell r="AE3" t="str">
            <v>2J653</v>
          </cell>
          <cell r="AF3" t="str">
            <v>021223</v>
          </cell>
          <cell r="AI3" t="str">
            <v>*</v>
          </cell>
          <cell r="AJ3" t="str">
            <v>T</v>
          </cell>
          <cell r="AT3" t="str">
            <v>A</v>
          </cell>
          <cell r="AU3" t="str">
            <v>0</v>
          </cell>
          <cell r="AV3" t="str">
            <v>3</v>
          </cell>
          <cell r="BE3" t="str">
            <v>4</v>
          </cell>
          <cell r="BF3" t="str">
            <v>0005</v>
          </cell>
          <cell r="BG3" t="str">
            <v>NAU49</v>
          </cell>
          <cell r="BH3" t="str">
            <v>2P</v>
          </cell>
          <cell r="BI3" t="str">
            <v>030</v>
          </cell>
        </row>
        <row r="4">
          <cell r="T4" t="str">
            <v>5Q</v>
          </cell>
          <cell r="U4" t="str">
            <v>040</v>
          </cell>
          <cell r="V4" t="str">
            <v xml:space="preserve"> 5D</v>
          </cell>
          <cell r="W4" t="str">
            <v>U5165</v>
          </cell>
          <cell r="Y4" t="str">
            <v>U5165E</v>
          </cell>
          <cell r="Z4" t="str">
            <v>AAF</v>
          </cell>
          <cell r="AB4" t="str">
            <v>T</v>
          </cell>
          <cell r="AD4" t="str">
            <v>*</v>
          </cell>
          <cell r="AE4" t="str">
            <v>2J653</v>
          </cell>
          <cell r="AF4" t="str">
            <v>021223</v>
          </cell>
          <cell r="AI4" t="str">
            <v>*</v>
          </cell>
          <cell r="AJ4" t="str">
            <v>T</v>
          </cell>
          <cell r="AT4" t="str">
            <v>A</v>
          </cell>
          <cell r="AU4" t="str">
            <v>0</v>
          </cell>
          <cell r="AV4" t="str">
            <v>3</v>
          </cell>
          <cell r="BE4" t="str">
            <v>A</v>
          </cell>
          <cell r="BF4" t="str">
            <v>0003</v>
          </cell>
          <cell r="BG4" t="str">
            <v>2H814</v>
          </cell>
          <cell r="BH4" t="str">
            <v>5B</v>
          </cell>
          <cell r="BI4" t="str">
            <v>020</v>
          </cell>
        </row>
        <row r="5">
          <cell r="T5" t="str">
            <v>5Q</v>
          </cell>
          <cell r="U5" t="str">
            <v>040</v>
          </cell>
          <cell r="V5" t="str">
            <v xml:space="preserve"> 7B 1A</v>
          </cell>
          <cell r="W5" t="str">
            <v>U0722</v>
          </cell>
          <cell r="Y5" t="str">
            <v>U0722E</v>
          </cell>
          <cell r="Z5" t="str">
            <v>AAE</v>
          </cell>
          <cell r="AB5" t="str">
            <v>T</v>
          </cell>
          <cell r="AD5" t="str">
            <v>*</v>
          </cell>
          <cell r="AE5" t="str">
            <v>2J653</v>
          </cell>
          <cell r="AF5" t="str">
            <v>021223</v>
          </cell>
          <cell r="AI5" t="str">
            <v>*</v>
          </cell>
          <cell r="AJ5" t="str">
            <v>T</v>
          </cell>
          <cell r="BE5" t="str">
            <v>M</v>
          </cell>
          <cell r="BF5" t="str">
            <v>0001</v>
          </cell>
        </row>
        <row r="6">
          <cell r="T6" t="str">
            <v>5Q</v>
          </cell>
          <cell r="U6" t="str">
            <v>040</v>
          </cell>
          <cell r="V6" t="str">
            <v xml:space="preserve"> 7B 3A</v>
          </cell>
          <cell r="W6" t="str">
            <v>U0107</v>
          </cell>
          <cell r="Y6" t="str">
            <v>U0107E</v>
          </cell>
          <cell r="Z6" t="str">
            <v>AAA</v>
          </cell>
          <cell r="AB6" t="str">
            <v>U</v>
          </cell>
          <cell r="AD6" t="str">
            <v>*</v>
          </cell>
          <cell r="AE6" t="str">
            <v>2J653</v>
          </cell>
          <cell r="AF6" t="str">
            <v>021223</v>
          </cell>
          <cell r="AI6" t="str">
            <v>*</v>
          </cell>
          <cell r="AJ6" t="str">
            <v>T</v>
          </cell>
          <cell r="AT6" t="str">
            <v>A</v>
          </cell>
          <cell r="AU6" t="str">
            <v>0</v>
          </cell>
          <cell r="AV6" t="str">
            <v>3</v>
          </cell>
          <cell r="BF6" t="str">
            <v>0002</v>
          </cell>
          <cell r="BG6" t="str">
            <v>Z5809</v>
          </cell>
          <cell r="BH6" t="str">
            <v>E7</v>
          </cell>
        </row>
        <row r="7">
          <cell r="T7" t="str">
            <v>5Q</v>
          </cell>
          <cell r="U7" t="str">
            <v>040</v>
          </cell>
          <cell r="V7" t="str">
            <v>14H</v>
          </cell>
          <cell r="W7" t="str">
            <v>U4360</v>
          </cell>
          <cell r="Y7" t="str">
            <v>U4360E</v>
          </cell>
          <cell r="Z7" t="str">
            <v>AAA</v>
          </cell>
          <cell r="AB7" t="str">
            <v>T</v>
          </cell>
          <cell r="AD7" t="str">
            <v>*</v>
          </cell>
          <cell r="AE7" t="str">
            <v>2J653</v>
          </cell>
          <cell r="AF7" t="str">
            <v>021223</v>
          </cell>
          <cell r="AI7" t="str">
            <v>*</v>
          </cell>
          <cell r="AJ7" t="str">
            <v>T</v>
          </cell>
          <cell r="AT7" t="str">
            <v>A</v>
          </cell>
          <cell r="AU7" t="str">
            <v>0</v>
          </cell>
          <cell r="AV7" t="str">
            <v>3</v>
          </cell>
          <cell r="BE7" t="str">
            <v>1</v>
          </cell>
          <cell r="BF7" t="str">
            <v>0027</v>
          </cell>
          <cell r="BG7" t="str">
            <v>Z5761</v>
          </cell>
          <cell r="BH7" t="str">
            <v>P8</v>
          </cell>
          <cell r="BI7" t="str">
            <v>885</v>
          </cell>
        </row>
        <row r="8">
          <cell r="T8" t="str">
            <v>5Q</v>
          </cell>
          <cell r="U8" t="str">
            <v>040</v>
          </cell>
          <cell r="V8" t="str">
            <v>12E</v>
          </cell>
          <cell r="W8" t="str">
            <v>U0550</v>
          </cell>
          <cell r="Y8" t="str">
            <v>U0550E</v>
          </cell>
          <cell r="Z8" t="str">
            <v>AAD</v>
          </cell>
          <cell r="AB8" t="str">
            <v>T</v>
          </cell>
          <cell r="AD8" t="str">
            <v>*</v>
          </cell>
          <cell r="AE8" t="str">
            <v>2J653</v>
          </cell>
          <cell r="AF8" t="str">
            <v>021223</v>
          </cell>
          <cell r="AI8" t="str">
            <v>*</v>
          </cell>
          <cell r="AJ8" t="str">
            <v>T</v>
          </cell>
          <cell r="AT8" t="str">
            <v>A</v>
          </cell>
          <cell r="AU8" t="str">
            <v>0</v>
          </cell>
          <cell r="AV8" t="str">
            <v>3</v>
          </cell>
          <cell r="BE8" t="str">
            <v>ｻ</v>
          </cell>
          <cell r="BF8" t="str">
            <v>0005</v>
          </cell>
          <cell r="BG8" t="str">
            <v>2H811</v>
          </cell>
          <cell r="BH8" t="str">
            <v>Q2</v>
          </cell>
          <cell r="BI8" t="str">
            <v>030</v>
          </cell>
        </row>
        <row r="9">
          <cell r="T9" t="str">
            <v>5Q</v>
          </cell>
          <cell r="U9" t="str">
            <v>040</v>
          </cell>
          <cell r="V9" t="str">
            <v xml:space="preserve"> 7A</v>
          </cell>
          <cell r="W9" t="str">
            <v>U6200</v>
          </cell>
          <cell r="Y9" t="str">
            <v>U6200E</v>
          </cell>
          <cell r="Z9" t="str">
            <v>AAC</v>
          </cell>
          <cell r="AB9" t="str">
            <v>U</v>
          </cell>
          <cell r="AD9" t="str">
            <v>*</v>
          </cell>
          <cell r="AE9" t="str">
            <v>2J653</v>
          </cell>
          <cell r="AF9" t="str">
            <v>021223</v>
          </cell>
          <cell r="AI9" t="str">
            <v>*</v>
          </cell>
          <cell r="AJ9" t="str">
            <v>T</v>
          </cell>
          <cell r="AT9" t="str">
            <v>A</v>
          </cell>
          <cell r="AU9" t="str">
            <v>0</v>
          </cell>
          <cell r="AV9" t="str">
            <v>3</v>
          </cell>
          <cell r="BE9" t="str">
            <v>J</v>
          </cell>
          <cell r="BF9" t="str">
            <v>0002</v>
          </cell>
          <cell r="BG9" t="str">
            <v>2H811</v>
          </cell>
          <cell r="BH9" t="str">
            <v>Q2</v>
          </cell>
          <cell r="BI9" t="str">
            <v>030</v>
          </cell>
        </row>
        <row r="10">
          <cell r="T10" t="str">
            <v>5Q</v>
          </cell>
          <cell r="U10" t="str">
            <v>040</v>
          </cell>
          <cell r="V10" t="str">
            <v xml:space="preserve"> 7B 1A</v>
          </cell>
          <cell r="W10" t="str">
            <v>U7205</v>
          </cell>
          <cell r="Y10" t="str">
            <v>U7205E</v>
          </cell>
          <cell r="Z10" t="str">
            <v>AAC</v>
          </cell>
          <cell r="AB10" t="str">
            <v>T</v>
          </cell>
          <cell r="AD10" t="str">
            <v>*</v>
          </cell>
          <cell r="AE10" t="str">
            <v>2J653</v>
          </cell>
          <cell r="AF10" t="str">
            <v>021223</v>
          </cell>
          <cell r="AI10" t="str">
            <v>*</v>
          </cell>
          <cell r="AJ10" t="str">
            <v>T</v>
          </cell>
          <cell r="AT10" t="str">
            <v>A</v>
          </cell>
          <cell r="AU10" t="str">
            <v>0</v>
          </cell>
          <cell r="AV10" t="str">
            <v>3</v>
          </cell>
          <cell r="BE10" t="str">
            <v>ｻ</v>
          </cell>
          <cell r="BF10" t="str">
            <v>0034</v>
          </cell>
          <cell r="BG10" t="str">
            <v>2H811</v>
          </cell>
          <cell r="BH10" t="str">
            <v>Q2</v>
          </cell>
          <cell r="BI10" t="str">
            <v>030</v>
          </cell>
        </row>
        <row r="11">
          <cell r="T11" t="str">
            <v>5Q</v>
          </cell>
          <cell r="U11" t="str">
            <v>040</v>
          </cell>
          <cell r="V11" t="str">
            <v xml:space="preserve"> 7B 3A</v>
          </cell>
          <cell r="W11" t="str">
            <v>U0107</v>
          </cell>
          <cell r="Y11" t="str">
            <v>U0107E</v>
          </cell>
          <cell r="Z11" t="str">
            <v>AAB</v>
          </cell>
          <cell r="AB11" t="str">
            <v>U</v>
          </cell>
          <cell r="AD11" t="str">
            <v>*</v>
          </cell>
          <cell r="AE11" t="str">
            <v>2J653</v>
          </cell>
          <cell r="AF11" t="str">
            <v>021223</v>
          </cell>
          <cell r="AI11" t="str">
            <v>*</v>
          </cell>
          <cell r="AJ11" t="str">
            <v>T</v>
          </cell>
          <cell r="AT11" t="str">
            <v>A</v>
          </cell>
          <cell r="AU11" t="str">
            <v>0</v>
          </cell>
          <cell r="AV11" t="str">
            <v>3</v>
          </cell>
          <cell r="BF11" t="str">
            <v>0002</v>
          </cell>
          <cell r="BG11" t="str">
            <v>JK751</v>
          </cell>
          <cell r="BH11" t="str">
            <v>A4</v>
          </cell>
          <cell r="BI11" t="str">
            <v>945</v>
          </cell>
        </row>
        <row r="12">
          <cell r="T12" t="str">
            <v>5Q</v>
          </cell>
          <cell r="U12" t="str">
            <v>040</v>
          </cell>
          <cell r="V12" t="str">
            <v xml:space="preserve"> 7B 3A</v>
          </cell>
          <cell r="W12" t="str">
            <v>U1350</v>
          </cell>
          <cell r="Y12" t="str">
            <v>U1350E</v>
          </cell>
          <cell r="Z12" t="str">
            <v>AAB</v>
          </cell>
          <cell r="AB12" t="str">
            <v>U</v>
          </cell>
          <cell r="AD12" t="str">
            <v>*</v>
          </cell>
          <cell r="AE12" t="str">
            <v>2J653</v>
          </cell>
          <cell r="AF12" t="str">
            <v>021223</v>
          </cell>
          <cell r="AI12" t="str">
            <v>*</v>
          </cell>
          <cell r="AJ12" t="str">
            <v>T</v>
          </cell>
          <cell r="AT12" t="str">
            <v>A</v>
          </cell>
          <cell r="AU12" t="str">
            <v>0</v>
          </cell>
          <cell r="AV12" t="str">
            <v>3</v>
          </cell>
          <cell r="BF12" t="str">
            <v>0002</v>
          </cell>
          <cell r="BG12" t="str">
            <v>2J559</v>
          </cell>
          <cell r="BH12" t="str">
            <v>B6</v>
          </cell>
          <cell r="BI12" t="str">
            <v>970</v>
          </cell>
        </row>
        <row r="13">
          <cell r="T13" t="str">
            <v>5Q</v>
          </cell>
          <cell r="U13" t="str">
            <v>040</v>
          </cell>
          <cell r="V13" t="str">
            <v xml:space="preserve"> 7B 3D</v>
          </cell>
          <cell r="W13" t="str">
            <v>U1200</v>
          </cell>
          <cell r="Y13" t="str">
            <v>U1200E</v>
          </cell>
          <cell r="Z13" t="str">
            <v>AAA</v>
          </cell>
          <cell r="AB13" t="str">
            <v>U</v>
          </cell>
          <cell r="AD13" t="str">
            <v>*</v>
          </cell>
          <cell r="AE13" t="str">
            <v>2J653</v>
          </cell>
          <cell r="AF13" t="str">
            <v>021223</v>
          </cell>
          <cell r="AI13" t="str">
            <v>*</v>
          </cell>
          <cell r="AJ13" t="str">
            <v>T</v>
          </cell>
          <cell r="AT13" t="str">
            <v>A</v>
          </cell>
          <cell r="AU13" t="str">
            <v>0</v>
          </cell>
          <cell r="AV13" t="str">
            <v>3</v>
          </cell>
          <cell r="BF13" t="str">
            <v>0002</v>
          </cell>
          <cell r="BG13" t="str">
            <v>9W347</v>
          </cell>
          <cell r="BH13" t="str">
            <v>AW</v>
          </cell>
          <cell r="BI13" t="str">
            <v>950</v>
          </cell>
        </row>
        <row r="14">
          <cell r="T14" t="str">
            <v>5Q</v>
          </cell>
          <cell r="U14" t="str">
            <v>040</v>
          </cell>
          <cell r="V14" t="str">
            <v xml:space="preserve"> 7B 3C</v>
          </cell>
          <cell r="W14" t="str">
            <v>U1500</v>
          </cell>
          <cell r="Y14" t="str">
            <v>U1500E</v>
          </cell>
          <cell r="Z14" t="str">
            <v>AAA</v>
          </cell>
          <cell r="AB14" t="str">
            <v>U</v>
          </cell>
          <cell r="AD14" t="str">
            <v>*</v>
          </cell>
          <cell r="AE14" t="str">
            <v>2J653</v>
          </cell>
          <cell r="AF14" t="str">
            <v>021223</v>
          </cell>
          <cell r="AI14" t="str">
            <v>*</v>
          </cell>
          <cell r="AJ14" t="str">
            <v>T</v>
          </cell>
          <cell r="AT14" t="str">
            <v>A</v>
          </cell>
          <cell r="AU14" t="str">
            <v>0</v>
          </cell>
          <cell r="AV14" t="str">
            <v>3</v>
          </cell>
          <cell r="BF14" t="str">
            <v>0002</v>
          </cell>
          <cell r="BG14" t="str">
            <v>2N722</v>
          </cell>
          <cell r="BH14" t="str">
            <v>3X</v>
          </cell>
          <cell r="BI14" t="str">
            <v>950</v>
          </cell>
        </row>
        <row r="15">
          <cell r="T15" t="str">
            <v>5Q</v>
          </cell>
          <cell r="U15" t="str">
            <v>040</v>
          </cell>
          <cell r="V15" t="str">
            <v xml:space="preserve"> 7B 3C</v>
          </cell>
          <cell r="W15" t="str">
            <v>U1100</v>
          </cell>
          <cell r="Y15" t="str">
            <v>U1100E</v>
          </cell>
          <cell r="Z15" t="str">
            <v>AAA</v>
          </cell>
          <cell r="AB15" t="str">
            <v>U</v>
          </cell>
          <cell r="AD15" t="str">
            <v>*</v>
          </cell>
          <cell r="AE15" t="str">
            <v>2J653</v>
          </cell>
          <cell r="AF15" t="str">
            <v>021223</v>
          </cell>
          <cell r="AI15" t="str">
            <v>*</v>
          </cell>
          <cell r="AJ15" t="str">
            <v>T</v>
          </cell>
          <cell r="AT15" t="str">
            <v>A</v>
          </cell>
          <cell r="AU15" t="str">
            <v>0</v>
          </cell>
          <cell r="AV15" t="str">
            <v>3</v>
          </cell>
          <cell r="BF15" t="str">
            <v>0002</v>
          </cell>
          <cell r="BG15" t="str">
            <v>Z6146</v>
          </cell>
          <cell r="BH15" t="str">
            <v>B9</v>
          </cell>
          <cell r="BI15" t="str">
            <v>910</v>
          </cell>
        </row>
        <row r="16">
          <cell r="T16" t="str">
            <v>5Q</v>
          </cell>
          <cell r="U16" t="str">
            <v>040</v>
          </cell>
          <cell r="V16" t="str">
            <v xml:space="preserve"> 7B 1B1</v>
          </cell>
          <cell r="W16" t="str">
            <v>U1100</v>
          </cell>
          <cell r="Y16" t="str">
            <v>U1100E</v>
          </cell>
          <cell r="Z16" t="str">
            <v>AAB</v>
          </cell>
          <cell r="AB16" t="str">
            <v>T</v>
          </cell>
          <cell r="AD16" t="str">
            <v>*</v>
          </cell>
          <cell r="AE16" t="str">
            <v>2J653</v>
          </cell>
          <cell r="AF16" t="str">
            <v>021223</v>
          </cell>
          <cell r="AI16" t="str">
            <v>*</v>
          </cell>
          <cell r="AJ16" t="str">
            <v>T</v>
          </cell>
          <cell r="BE16" t="str">
            <v>M</v>
          </cell>
          <cell r="BF16" t="str">
            <v>0004</v>
          </cell>
        </row>
        <row r="17">
          <cell r="T17" t="str">
            <v>5Q</v>
          </cell>
          <cell r="U17" t="str">
            <v>040</v>
          </cell>
          <cell r="V17" t="str">
            <v>14H</v>
          </cell>
          <cell r="W17" t="str">
            <v>U4370</v>
          </cell>
          <cell r="Y17" t="str">
            <v>U4370E</v>
          </cell>
          <cell r="Z17" t="str">
            <v>AAA</v>
          </cell>
          <cell r="AB17" t="str">
            <v>T</v>
          </cell>
          <cell r="AD17" t="str">
            <v>*</v>
          </cell>
          <cell r="AE17" t="str">
            <v>2J653</v>
          </cell>
          <cell r="AF17" t="str">
            <v>021223</v>
          </cell>
          <cell r="AI17" t="str">
            <v>*</v>
          </cell>
          <cell r="AJ17" t="str">
            <v>T</v>
          </cell>
          <cell r="AT17" t="str">
            <v>A</v>
          </cell>
          <cell r="AU17" t="str">
            <v>0</v>
          </cell>
          <cell r="AV17" t="str">
            <v>3</v>
          </cell>
          <cell r="BE17" t="str">
            <v>1</v>
          </cell>
          <cell r="BF17" t="str">
            <v>0027</v>
          </cell>
          <cell r="BG17" t="str">
            <v>KOBAI</v>
          </cell>
          <cell r="BH17" t="str">
            <v>P8</v>
          </cell>
          <cell r="BI17" t="str">
            <v>850</v>
          </cell>
        </row>
        <row r="18">
          <cell r="T18" t="str">
            <v>5Q</v>
          </cell>
          <cell r="U18" t="str">
            <v>040</v>
          </cell>
          <cell r="V18" t="str">
            <v xml:space="preserve"> 7A</v>
          </cell>
          <cell r="W18" t="str">
            <v>U6160</v>
          </cell>
          <cell r="Y18" t="str">
            <v>U6160E</v>
          </cell>
          <cell r="Z18" t="str">
            <v>AAB</v>
          </cell>
          <cell r="AB18" t="str">
            <v>U</v>
          </cell>
          <cell r="AD18" t="str">
            <v>*</v>
          </cell>
          <cell r="AE18" t="str">
            <v>2J653</v>
          </cell>
          <cell r="AF18" t="str">
            <v>021223</v>
          </cell>
          <cell r="AI18" t="str">
            <v>*</v>
          </cell>
          <cell r="AJ18" t="str">
            <v>T</v>
          </cell>
          <cell r="AT18" t="str">
            <v>A</v>
          </cell>
          <cell r="AU18" t="str">
            <v>0</v>
          </cell>
          <cell r="AV18" t="str">
            <v>3</v>
          </cell>
          <cell r="BE18" t="str">
            <v>ｱ</v>
          </cell>
          <cell r="BF18" t="str">
            <v>0055</v>
          </cell>
          <cell r="BG18" t="str">
            <v>NAR93</v>
          </cell>
          <cell r="BH18" t="str">
            <v>B4</v>
          </cell>
          <cell r="BI18" t="str">
            <v>010</v>
          </cell>
        </row>
        <row r="19">
          <cell r="T19" t="str">
            <v>5Q</v>
          </cell>
          <cell r="U19" t="str">
            <v>040</v>
          </cell>
          <cell r="V19" t="str">
            <v xml:space="preserve"> 7B 1B1</v>
          </cell>
          <cell r="W19" t="str">
            <v>U1200</v>
          </cell>
          <cell r="Y19" t="str">
            <v>U1200E</v>
          </cell>
          <cell r="Z19" t="str">
            <v>AAB</v>
          </cell>
          <cell r="AB19" t="str">
            <v>T</v>
          </cell>
          <cell r="AD19" t="str">
            <v>*</v>
          </cell>
          <cell r="AE19" t="str">
            <v>2J653</v>
          </cell>
          <cell r="AF19" t="str">
            <v>021223</v>
          </cell>
          <cell r="AI19" t="str">
            <v>*</v>
          </cell>
          <cell r="AJ19" t="str">
            <v>T</v>
          </cell>
          <cell r="BE19" t="str">
            <v>M</v>
          </cell>
          <cell r="BF19" t="str">
            <v>0004</v>
          </cell>
        </row>
        <row r="20">
          <cell r="T20" t="str">
            <v>5Q</v>
          </cell>
          <cell r="U20" t="str">
            <v>040</v>
          </cell>
          <cell r="V20" t="str">
            <v xml:space="preserve"> 7B 1C</v>
          </cell>
          <cell r="W20" t="str">
            <v>U6700</v>
          </cell>
          <cell r="Y20" t="str">
            <v>U6700E</v>
          </cell>
          <cell r="Z20" t="str">
            <v>AAB</v>
          </cell>
          <cell r="AB20" t="str">
            <v>T</v>
          </cell>
          <cell r="AD20" t="str">
            <v>*</v>
          </cell>
          <cell r="AE20" t="str">
            <v>2J653</v>
          </cell>
          <cell r="AF20" t="str">
            <v>021223</v>
          </cell>
          <cell r="AI20" t="str">
            <v>*</v>
          </cell>
          <cell r="AJ20" t="str">
            <v>T</v>
          </cell>
          <cell r="BE20" t="str">
            <v>M</v>
          </cell>
          <cell r="BF20" t="str">
            <v>0008</v>
          </cell>
        </row>
        <row r="21">
          <cell r="T21" t="str">
            <v>5Q</v>
          </cell>
          <cell r="U21" t="str">
            <v>040</v>
          </cell>
          <cell r="V21" t="str">
            <v xml:space="preserve"> 7B 1D</v>
          </cell>
          <cell r="W21" t="str">
            <v>U7310</v>
          </cell>
          <cell r="Y21" t="str">
            <v>U7310E</v>
          </cell>
          <cell r="Z21" t="str">
            <v>AAA</v>
          </cell>
          <cell r="AB21" t="str">
            <v>T</v>
          </cell>
          <cell r="AD21" t="str">
            <v>*</v>
          </cell>
          <cell r="AE21" t="str">
            <v>2J653</v>
          </cell>
          <cell r="AF21" t="str">
            <v>021223</v>
          </cell>
          <cell r="AI21" t="str">
            <v>*</v>
          </cell>
          <cell r="AJ21" t="str">
            <v>T</v>
          </cell>
          <cell r="AT21" t="str">
            <v>A</v>
          </cell>
          <cell r="AU21" t="str">
            <v>0</v>
          </cell>
          <cell r="AV21" t="str">
            <v>3</v>
          </cell>
          <cell r="BF21" t="str">
            <v>0001</v>
          </cell>
          <cell r="BG21" t="str">
            <v>KOBAI</v>
          </cell>
        </row>
        <row r="22">
          <cell r="T22" t="str">
            <v>5Q</v>
          </cell>
          <cell r="U22" t="str">
            <v>040</v>
          </cell>
          <cell r="V22" t="str">
            <v xml:space="preserve"> 7B 1B1</v>
          </cell>
          <cell r="W22" t="str">
            <v>U0700</v>
          </cell>
          <cell r="Y22" t="str">
            <v>U0700E</v>
          </cell>
          <cell r="Z22" t="str">
            <v>AAA</v>
          </cell>
          <cell r="AB22" t="str">
            <v>T</v>
          </cell>
          <cell r="AD22" t="str">
            <v>*</v>
          </cell>
          <cell r="AE22" t="str">
            <v>2J653</v>
          </cell>
          <cell r="AF22" t="str">
            <v>021223</v>
          </cell>
          <cell r="AI22" t="str">
            <v>*</v>
          </cell>
          <cell r="AJ22" t="str">
            <v>T</v>
          </cell>
          <cell r="AT22" t="str">
            <v>A</v>
          </cell>
          <cell r="AU22" t="str">
            <v>0</v>
          </cell>
          <cell r="AV22" t="str">
            <v>3</v>
          </cell>
          <cell r="BF22" t="str">
            <v>0004</v>
          </cell>
          <cell r="BG22" t="str">
            <v>KOUBA</v>
          </cell>
        </row>
        <row r="23">
          <cell r="T23" t="str">
            <v>5Q</v>
          </cell>
          <cell r="U23" t="str">
            <v>040</v>
          </cell>
          <cell r="V23" t="str">
            <v xml:space="preserve"> 7B 6</v>
          </cell>
          <cell r="W23" t="str">
            <v>U0320</v>
          </cell>
          <cell r="Y23" t="str">
            <v>U0320E</v>
          </cell>
          <cell r="Z23" t="str">
            <v>AAA</v>
          </cell>
          <cell r="AB23" t="str">
            <v>U</v>
          </cell>
          <cell r="AD23" t="str">
            <v>*</v>
          </cell>
          <cell r="AE23" t="str">
            <v>2J653</v>
          </cell>
          <cell r="AF23" t="str">
            <v>021223</v>
          </cell>
          <cell r="AI23" t="str">
            <v>*</v>
          </cell>
          <cell r="AJ23" t="str">
            <v>T</v>
          </cell>
          <cell r="AT23" t="str">
            <v>A</v>
          </cell>
          <cell r="AU23" t="str">
            <v>0</v>
          </cell>
          <cell r="AV23" t="str">
            <v>3</v>
          </cell>
          <cell r="BE23" t="str">
            <v>5</v>
          </cell>
          <cell r="BF23" t="str">
            <v>0002</v>
          </cell>
          <cell r="BG23" t="str">
            <v>KOUBA</v>
          </cell>
        </row>
        <row r="24">
          <cell r="T24" t="str">
            <v>5Q</v>
          </cell>
          <cell r="U24" t="str">
            <v>040</v>
          </cell>
          <cell r="V24" t="str">
            <v xml:space="preserve"> 7B 6</v>
          </cell>
          <cell r="W24" t="str">
            <v>U0500</v>
          </cell>
          <cell r="Y24" t="str">
            <v>U0500E</v>
          </cell>
          <cell r="Z24" t="str">
            <v>AAB</v>
          </cell>
          <cell r="AB24" t="str">
            <v>U</v>
          </cell>
          <cell r="AD24" t="str">
            <v>*</v>
          </cell>
          <cell r="AE24" t="str">
            <v>2J653</v>
          </cell>
          <cell r="AF24" t="str">
            <v>021223</v>
          </cell>
          <cell r="AI24" t="str">
            <v>*</v>
          </cell>
          <cell r="AJ24" t="str">
            <v>T</v>
          </cell>
          <cell r="AT24" t="str">
            <v>A</v>
          </cell>
          <cell r="AU24" t="str">
            <v>0</v>
          </cell>
          <cell r="AV24" t="str">
            <v>3</v>
          </cell>
          <cell r="BF24" t="str">
            <v>0002</v>
          </cell>
          <cell r="BG24" t="str">
            <v>2A165</v>
          </cell>
          <cell r="BH24" t="str">
            <v>AN</v>
          </cell>
          <cell r="BI24" t="str">
            <v>950</v>
          </cell>
        </row>
        <row r="25">
          <cell r="T25" t="str">
            <v>5Q</v>
          </cell>
          <cell r="U25" t="str">
            <v>040</v>
          </cell>
          <cell r="V25" t="str">
            <v xml:space="preserve"> 7B 1B1</v>
          </cell>
          <cell r="W25" t="str">
            <v>U0600</v>
          </cell>
          <cell r="Y25" t="str">
            <v>U0600E</v>
          </cell>
          <cell r="Z25" t="str">
            <v>AAA</v>
          </cell>
          <cell r="AB25" t="str">
            <v>T</v>
          </cell>
          <cell r="AD25" t="str">
            <v>*</v>
          </cell>
          <cell r="AE25" t="str">
            <v>2J653</v>
          </cell>
          <cell r="AF25" t="str">
            <v>021223</v>
          </cell>
          <cell r="AI25" t="str">
            <v>*</v>
          </cell>
          <cell r="AJ25" t="str">
            <v>T</v>
          </cell>
          <cell r="AT25" t="str">
            <v>A</v>
          </cell>
          <cell r="AU25" t="str">
            <v>0</v>
          </cell>
          <cell r="AV25" t="str">
            <v>3</v>
          </cell>
          <cell r="BF25" t="str">
            <v>0004</v>
          </cell>
          <cell r="BG25" t="str">
            <v>9J178</v>
          </cell>
          <cell r="BH25" t="str">
            <v>M1</v>
          </cell>
        </row>
        <row r="26">
          <cell r="T26" t="str">
            <v>5Q</v>
          </cell>
          <cell r="U26" t="str">
            <v>040</v>
          </cell>
          <cell r="V26" t="str">
            <v xml:space="preserve"> 7B 1B1</v>
          </cell>
          <cell r="W26" t="str">
            <v>U0250</v>
          </cell>
          <cell r="Y26" t="str">
            <v>U0250E</v>
          </cell>
          <cell r="Z26" t="str">
            <v>AAA</v>
          </cell>
          <cell r="AB26" t="str">
            <v>T</v>
          </cell>
          <cell r="AD26" t="str">
            <v>*</v>
          </cell>
          <cell r="AE26" t="str">
            <v>2J653</v>
          </cell>
          <cell r="AF26" t="str">
            <v>021223</v>
          </cell>
          <cell r="AI26" t="str">
            <v>*</v>
          </cell>
          <cell r="AJ26" t="str">
            <v>T</v>
          </cell>
          <cell r="AT26" t="str">
            <v>A</v>
          </cell>
          <cell r="AU26" t="str">
            <v>0</v>
          </cell>
          <cell r="AV26" t="str">
            <v>3</v>
          </cell>
          <cell r="BE26" t="str">
            <v>ﾙ</v>
          </cell>
          <cell r="BF26" t="str">
            <v>0004</v>
          </cell>
          <cell r="BG26" t="str">
            <v>S1059</v>
          </cell>
          <cell r="BH26" t="str">
            <v>5R</v>
          </cell>
          <cell r="BI26" t="str">
            <v>020</v>
          </cell>
        </row>
        <row r="27">
          <cell r="T27" t="str">
            <v>5Q</v>
          </cell>
          <cell r="U27" t="str">
            <v>040</v>
          </cell>
          <cell r="V27" t="str">
            <v xml:space="preserve"> 7B 1B1</v>
          </cell>
          <cell r="W27" t="str">
            <v>U1300</v>
          </cell>
          <cell r="Y27" t="str">
            <v>U1300E</v>
          </cell>
          <cell r="Z27" t="str">
            <v>AAB</v>
          </cell>
          <cell r="AB27" t="str">
            <v>T</v>
          </cell>
          <cell r="AD27" t="str">
            <v>*</v>
          </cell>
          <cell r="AE27" t="str">
            <v>2J653</v>
          </cell>
          <cell r="AF27" t="str">
            <v>021223</v>
          </cell>
          <cell r="AI27" t="str">
            <v>*</v>
          </cell>
          <cell r="AJ27" t="str">
            <v>T</v>
          </cell>
          <cell r="AT27" t="str">
            <v>A</v>
          </cell>
          <cell r="AU27" t="str">
            <v>0</v>
          </cell>
          <cell r="AV27" t="str">
            <v>3</v>
          </cell>
          <cell r="BE27" t="str">
            <v>ﾙ</v>
          </cell>
          <cell r="BF27" t="str">
            <v>0004</v>
          </cell>
          <cell r="BG27" t="str">
            <v>S1059</v>
          </cell>
          <cell r="BH27" t="str">
            <v>5R</v>
          </cell>
          <cell r="BI27" t="str">
            <v>020</v>
          </cell>
        </row>
        <row r="28">
          <cell r="T28" t="str">
            <v>5Q</v>
          </cell>
          <cell r="U28" t="str">
            <v>040</v>
          </cell>
          <cell r="V28" t="str">
            <v xml:space="preserve"> 7B 1A</v>
          </cell>
          <cell r="W28" t="str">
            <v>U7230</v>
          </cell>
          <cell r="Y28" t="str">
            <v>U7230E</v>
          </cell>
          <cell r="Z28" t="str">
            <v>AAA</v>
          </cell>
          <cell r="AB28" t="str">
            <v>T</v>
          </cell>
          <cell r="AD28" t="str">
            <v>*</v>
          </cell>
          <cell r="AE28" t="str">
            <v>2J653</v>
          </cell>
          <cell r="AF28" t="str">
            <v>021223</v>
          </cell>
          <cell r="AI28" t="str">
            <v>*</v>
          </cell>
          <cell r="AJ28" t="str">
            <v>T</v>
          </cell>
          <cell r="AT28" t="str">
            <v>A</v>
          </cell>
          <cell r="AU28" t="str">
            <v>0</v>
          </cell>
          <cell r="AV28" t="str">
            <v>3</v>
          </cell>
          <cell r="BE28" t="str">
            <v>9</v>
          </cell>
          <cell r="BF28" t="str">
            <v>0002</v>
          </cell>
          <cell r="BG28" t="str">
            <v>9R041</v>
          </cell>
          <cell r="BH28" t="str">
            <v>E1</v>
          </cell>
        </row>
        <row r="29">
          <cell r="T29" t="str">
            <v>5Q</v>
          </cell>
          <cell r="U29" t="str">
            <v>040</v>
          </cell>
          <cell r="V29" t="str">
            <v xml:space="preserve"> 7B 3C</v>
          </cell>
          <cell r="W29" t="str">
            <v>U1000</v>
          </cell>
          <cell r="X29" t="str">
            <v xml:space="preserve"> 7B 3C</v>
          </cell>
          <cell r="Y29" t="str">
            <v>U1910Y</v>
          </cell>
          <cell r="Z29" t="str">
            <v>AAH</v>
          </cell>
          <cell r="AB29" t="str">
            <v>U</v>
          </cell>
          <cell r="AD29" t="str">
            <v>*</v>
          </cell>
          <cell r="AE29" t="str">
            <v>JBN49</v>
          </cell>
          <cell r="AF29" t="str">
            <v>020701</v>
          </cell>
          <cell r="AI29" t="str">
            <v>*</v>
          </cell>
          <cell r="AJ29" t="str">
            <v>T</v>
          </cell>
          <cell r="AT29" t="str">
            <v>A</v>
          </cell>
          <cell r="AU29" t="str">
            <v>0</v>
          </cell>
          <cell r="AV29" t="str">
            <v>3</v>
          </cell>
          <cell r="BF29" t="str">
            <v>0002</v>
          </cell>
          <cell r="BG29" t="str">
            <v>2P013</v>
          </cell>
          <cell r="BH29" t="str">
            <v>L6</v>
          </cell>
        </row>
        <row r="30">
          <cell r="T30" t="str">
            <v>5Q</v>
          </cell>
          <cell r="U30" t="str">
            <v>040</v>
          </cell>
          <cell r="V30" t="str">
            <v xml:space="preserve"> 7B 1A</v>
          </cell>
          <cell r="W30" t="str">
            <v>U7200</v>
          </cell>
          <cell r="X30" t="str">
            <v xml:space="preserve"> 7B 1A</v>
          </cell>
          <cell r="Y30" t="str">
            <v>U7225Y</v>
          </cell>
          <cell r="Z30" t="str">
            <v>AAC</v>
          </cell>
          <cell r="AB30" t="str">
            <v>T</v>
          </cell>
          <cell r="AD30" t="str">
            <v>*</v>
          </cell>
          <cell r="AE30" t="str">
            <v>JAS96</v>
          </cell>
          <cell r="AF30" t="str">
            <v>010917</v>
          </cell>
          <cell r="AI30" t="str">
            <v>*</v>
          </cell>
          <cell r="AJ30" t="str">
            <v>T</v>
          </cell>
          <cell r="AT30" t="str">
            <v>A</v>
          </cell>
          <cell r="AU30" t="str">
            <v>0</v>
          </cell>
          <cell r="AV30" t="str">
            <v>3</v>
          </cell>
          <cell r="BF30" t="str">
            <v>0034</v>
          </cell>
          <cell r="BG30" t="str">
            <v>2N444</v>
          </cell>
          <cell r="BH30" t="str">
            <v>E9</v>
          </cell>
        </row>
        <row r="31">
          <cell r="T31" t="str">
            <v>5Q</v>
          </cell>
          <cell r="U31" t="str">
            <v>040</v>
          </cell>
          <cell r="V31" t="str">
            <v xml:space="preserve"> 7B 1A</v>
          </cell>
          <cell r="W31" t="str">
            <v>U7200</v>
          </cell>
          <cell r="X31" t="str">
            <v xml:space="preserve"> 7B 1A</v>
          </cell>
          <cell r="Y31" t="str">
            <v>U7220Y</v>
          </cell>
          <cell r="Z31" t="str">
            <v>AAC</v>
          </cell>
          <cell r="AB31" t="str">
            <v>T</v>
          </cell>
          <cell r="AD31" t="str">
            <v>*</v>
          </cell>
          <cell r="AE31" t="str">
            <v>JAS96</v>
          </cell>
          <cell r="AF31" t="str">
            <v>010917</v>
          </cell>
          <cell r="AI31" t="str">
            <v>*</v>
          </cell>
          <cell r="AJ31" t="str">
            <v>T</v>
          </cell>
          <cell r="AT31" t="str">
            <v>A</v>
          </cell>
          <cell r="AU31" t="str">
            <v>0</v>
          </cell>
          <cell r="AV31" t="str">
            <v>3</v>
          </cell>
          <cell r="BF31" t="str">
            <v>0034</v>
          </cell>
          <cell r="BG31" t="str">
            <v>2N444</v>
          </cell>
          <cell r="BH31" t="str">
            <v>E9</v>
          </cell>
        </row>
        <row r="32">
          <cell r="T32" t="str">
            <v>5Q</v>
          </cell>
          <cell r="U32" t="str">
            <v>040</v>
          </cell>
          <cell r="V32" t="str">
            <v xml:space="preserve"> 7B 1D</v>
          </cell>
          <cell r="W32" t="str">
            <v>U7370</v>
          </cell>
          <cell r="Y32" t="str">
            <v>U7370E</v>
          </cell>
          <cell r="Z32" t="str">
            <v>AAA</v>
          </cell>
          <cell r="AB32" t="str">
            <v>T</v>
          </cell>
          <cell r="AD32" t="str">
            <v>*</v>
          </cell>
          <cell r="AE32" t="str">
            <v>2J653</v>
          </cell>
          <cell r="AF32" t="str">
            <v>021223</v>
          </cell>
          <cell r="AI32" t="str">
            <v>*</v>
          </cell>
          <cell r="AJ32" t="str">
            <v>T</v>
          </cell>
          <cell r="AT32" t="str">
            <v>A</v>
          </cell>
          <cell r="AU32" t="str">
            <v>0</v>
          </cell>
          <cell r="AV32" t="str">
            <v>3</v>
          </cell>
          <cell r="BE32" t="str">
            <v>ﾙ</v>
          </cell>
          <cell r="BF32" t="str">
            <v>0005</v>
          </cell>
          <cell r="BG32" t="str">
            <v>2J618</v>
          </cell>
          <cell r="BH32" t="str">
            <v>5P</v>
          </cell>
          <cell r="BI32" t="str">
            <v>020</v>
          </cell>
        </row>
        <row r="33">
          <cell r="T33" t="str">
            <v>5Q</v>
          </cell>
          <cell r="U33" t="str">
            <v>040</v>
          </cell>
          <cell r="V33" t="str">
            <v xml:space="preserve"> 7B 1A</v>
          </cell>
          <cell r="W33" t="str">
            <v>U0482</v>
          </cell>
          <cell r="Y33" t="str">
            <v>U0482E</v>
          </cell>
          <cell r="Z33" t="str">
            <v>AAA</v>
          </cell>
          <cell r="AB33" t="str">
            <v>T</v>
          </cell>
          <cell r="AD33" t="str">
            <v>*</v>
          </cell>
          <cell r="AE33" t="str">
            <v>2J653</v>
          </cell>
          <cell r="AF33" t="str">
            <v>021223</v>
          </cell>
          <cell r="AI33" t="str">
            <v>*</v>
          </cell>
          <cell r="AJ33" t="str">
            <v>T</v>
          </cell>
          <cell r="AT33" t="str">
            <v>A</v>
          </cell>
          <cell r="AU33" t="str">
            <v>0</v>
          </cell>
          <cell r="AV33" t="str">
            <v>3</v>
          </cell>
          <cell r="BE33" t="str">
            <v>1</v>
          </cell>
          <cell r="BF33" t="str">
            <v>0005</v>
          </cell>
          <cell r="BG33" t="str">
            <v>Z6158</v>
          </cell>
          <cell r="BH33" t="str">
            <v>5B</v>
          </cell>
          <cell r="BI33" t="str">
            <v>920</v>
          </cell>
        </row>
        <row r="34">
          <cell r="T34" t="str">
            <v>5Q</v>
          </cell>
          <cell r="U34" t="str">
            <v>040</v>
          </cell>
          <cell r="V34" t="str">
            <v xml:space="preserve"> 7B 1C</v>
          </cell>
          <cell r="W34" t="str">
            <v>U6100</v>
          </cell>
          <cell r="Y34" t="str">
            <v>U6100E</v>
          </cell>
          <cell r="Z34" t="str">
            <v>AAA</v>
          </cell>
          <cell r="AB34" t="str">
            <v>T</v>
          </cell>
          <cell r="AD34" t="str">
            <v>*</v>
          </cell>
          <cell r="AE34" t="str">
            <v>2J653</v>
          </cell>
          <cell r="AF34" t="str">
            <v>021223</v>
          </cell>
          <cell r="AI34" t="str">
            <v>*</v>
          </cell>
          <cell r="AJ34" t="str">
            <v>T</v>
          </cell>
          <cell r="AT34" t="str">
            <v>A</v>
          </cell>
          <cell r="AU34" t="str">
            <v>0</v>
          </cell>
          <cell r="AV34" t="str">
            <v>3</v>
          </cell>
          <cell r="BE34" t="str">
            <v>ﾙ</v>
          </cell>
          <cell r="BF34" t="str">
            <v>0008</v>
          </cell>
          <cell r="BG34" t="str">
            <v>2J618</v>
          </cell>
          <cell r="BH34" t="str">
            <v>5P</v>
          </cell>
          <cell r="BI34" t="str">
            <v>020</v>
          </cell>
        </row>
        <row r="35">
          <cell r="T35" t="str">
            <v>5Q</v>
          </cell>
          <cell r="U35" t="str">
            <v>040</v>
          </cell>
          <cell r="V35" t="str">
            <v xml:space="preserve"> 7A</v>
          </cell>
          <cell r="W35" t="str">
            <v>U6350</v>
          </cell>
          <cell r="Y35" t="str">
            <v>U6350E</v>
          </cell>
          <cell r="Z35" t="str">
            <v>AAC</v>
          </cell>
          <cell r="AB35" t="str">
            <v>T</v>
          </cell>
          <cell r="AD35" t="str">
            <v>*</v>
          </cell>
          <cell r="AE35" t="str">
            <v>2J653</v>
          </cell>
          <cell r="AF35" t="str">
            <v>021223</v>
          </cell>
          <cell r="AI35" t="str">
            <v>*</v>
          </cell>
          <cell r="AJ35" t="str">
            <v>T</v>
          </cell>
          <cell r="AT35" t="str">
            <v>A</v>
          </cell>
          <cell r="AU35" t="str">
            <v>0</v>
          </cell>
          <cell r="AV35" t="str">
            <v>3</v>
          </cell>
          <cell r="BE35" t="str">
            <v>E</v>
          </cell>
          <cell r="BF35" t="str">
            <v>0005</v>
          </cell>
          <cell r="BG35" t="str">
            <v>NH226</v>
          </cell>
          <cell r="BH35" t="str">
            <v>H8</v>
          </cell>
        </row>
        <row r="36">
          <cell r="T36" t="str">
            <v>5Q</v>
          </cell>
          <cell r="U36" t="str">
            <v>040</v>
          </cell>
          <cell r="V36" t="str">
            <v xml:space="preserve"> 5D</v>
          </cell>
          <cell r="W36" t="str">
            <v>U5050</v>
          </cell>
          <cell r="Y36" t="str">
            <v>U5050E</v>
          </cell>
          <cell r="Z36" t="str">
            <v>AAA</v>
          </cell>
          <cell r="AB36" t="str">
            <v>F</v>
          </cell>
          <cell r="AD36" t="str">
            <v>*</v>
          </cell>
          <cell r="AE36" t="str">
            <v>2J653</v>
          </cell>
          <cell r="AF36" t="str">
            <v>021223</v>
          </cell>
          <cell r="AI36" t="str">
            <v>*</v>
          </cell>
          <cell r="AJ36" t="str">
            <v>T</v>
          </cell>
          <cell r="AT36" t="str">
            <v>A</v>
          </cell>
          <cell r="AU36" t="str">
            <v>0</v>
          </cell>
          <cell r="AV36" t="str">
            <v>3</v>
          </cell>
          <cell r="BF36" t="str">
            <v>0003</v>
          </cell>
          <cell r="BG36" t="str">
            <v>JR388</v>
          </cell>
          <cell r="BH36" t="str">
            <v>M2</v>
          </cell>
        </row>
        <row r="37">
          <cell r="T37" t="str">
            <v>5Q</v>
          </cell>
          <cell r="U37" t="str">
            <v>040</v>
          </cell>
          <cell r="V37" t="str">
            <v xml:space="preserve"> 7B 1A</v>
          </cell>
          <cell r="W37" t="str">
            <v>U0760</v>
          </cell>
          <cell r="Y37" t="str">
            <v>U0760E</v>
          </cell>
          <cell r="Z37" t="str">
            <v>AAA</v>
          </cell>
          <cell r="AB37" t="str">
            <v>T</v>
          </cell>
          <cell r="AD37" t="str">
            <v>*</v>
          </cell>
          <cell r="AE37" t="str">
            <v>2J653</v>
          </cell>
          <cell r="AF37" t="str">
            <v>021223</v>
          </cell>
          <cell r="AI37" t="str">
            <v>*</v>
          </cell>
          <cell r="AJ37" t="str">
            <v>T</v>
          </cell>
          <cell r="AT37" t="str">
            <v>A</v>
          </cell>
          <cell r="AU37" t="str">
            <v>0</v>
          </cell>
          <cell r="AV37" t="str">
            <v>3</v>
          </cell>
          <cell r="BE37" t="str">
            <v>5</v>
          </cell>
          <cell r="BF37" t="str">
            <v>0001</v>
          </cell>
          <cell r="BG37" t="str">
            <v>T5884</v>
          </cell>
          <cell r="BH37" t="str">
            <v>5A</v>
          </cell>
          <cell r="BI37" t="str">
            <v>830</v>
          </cell>
        </row>
        <row r="38">
          <cell r="T38" t="str">
            <v>5Q</v>
          </cell>
          <cell r="U38" t="str">
            <v>040</v>
          </cell>
          <cell r="V38" t="str">
            <v xml:space="preserve"> 7B 1A</v>
          </cell>
          <cell r="W38" t="str">
            <v>U0085</v>
          </cell>
          <cell r="X38" t="str">
            <v xml:space="preserve"> 7B 1A</v>
          </cell>
          <cell r="Y38" t="str">
            <v>U0250Y</v>
          </cell>
          <cell r="Z38" t="str">
            <v>AAC</v>
          </cell>
          <cell r="AB38" t="str">
            <v>T</v>
          </cell>
          <cell r="AD38" t="str">
            <v>*</v>
          </cell>
          <cell r="AE38" t="str">
            <v>S0974</v>
          </cell>
          <cell r="AF38" t="str">
            <v>001127</v>
          </cell>
          <cell r="AI38" t="str">
            <v>*</v>
          </cell>
          <cell r="AJ38" t="str">
            <v>T</v>
          </cell>
          <cell r="AT38" t="str">
            <v>A</v>
          </cell>
          <cell r="AU38" t="str">
            <v>0</v>
          </cell>
          <cell r="AV38" t="str">
            <v>3</v>
          </cell>
          <cell r="BE38" t="str">
            <v>5</v>
          </cell>
          <cell r="BF38" t="str">
            <v>0004</v>
          </cell>
          <cell r="BG38" t="str">
            <v>Z6201</v>
          </cell>
          <cell r="BH38" t="str">
            <v>5B</v>
          </cell>
          <cell r="BI38" t="str">
            <v>920</v>
          </cell>
        </row>
        <row r="39">
          <cell r="T39" t="str">
            <v>5Q</v>
          </cell>
          <cell r="U39" t="str">
            <v>040</v>
          </cell>
          <cell r="V39" t="str">
            <v xml:space="preserve"> 5D</v>
          </cell>
          <cell r="W39" t="str">
            <v>U5050</v>
          </cell>
          <cell r="Y39" t="str">
            <v>U5050E</v>
          </cell>
          <cell r="Z39" t="str">
            <v>AAB</v>
          </cell>
          <cell r="AB39" t="str">
            <v>F</v>
          </cell>
          <cell r="AD39" t="str">
            <v>*</v>
          </cell>
          <cell r="AE39" t="str">
            <v>2J653</v>
          </cell>
          <cell r="AF39" t="str">
            <v>021223</v>
          </cell>
          <cell r="AI39" t="str">
            <v>*</v>
          </cell>
          <cell r="AJ39" t="str">
            <v>T</v>
          </cell>
          <cell r="AT39" t="str">
            <v>A</v>
          </cell>
          <cell r="AU39" t="str">
            <v>0</v>
          </cell>
          <cell r="AV39" t="str">
            <v>3</v>
          </cell>
          <cell r="BE39" t="str">
            <v>R</v>
          </cell>
          <cell r="BF39" t="str">
            <v>0038</v>
          </cell>
          <cell r="BG39" t="str">
            <v>JAY68</v>
          </cell>
          <cell r="BH39" t="str">
            <v>5Q</v>
          </cell>
          <cell r="BI39" t="str">
            <v>020</v>
          </cell>
        </row>
        <row r="40">
          <cell r="T40" t="str">
            <v>5Q</v>
          </cell>
          <cell r="U40" t="str">
            <v>040</v>
          </cell>
          <cell r="V40" t="str">
            <v xml:space="preserve"> 7B 1A</v>
          </cell>
          <cell r="W40" t="str">
            <v>U0085</v>
          </cell>
          <cell r="X40" t="str">
            <v xml:space="preserve"> 7B 1A</v>
          </cell>
          <cell r="Y40" t="str">
            <v>U0100Y</v>
          </cell>
          <cell r="Z40" t="str">
            <v>AAF</v>
          </cell>
          <cell r="AB40" t="str">
            <v>T</v>
          </cell>
          <cell r="AD40" t="str">
            <v>*</v>
          </cell>
          <cell r="AE40" t="str">
            <v>S1604</v>
          </cell>
          <cell r="AF40" t="str">
            <v>011022</v>
          </cell>
          <cell r="AI40" t="str">
            <v>*</v>
          </cell>
          <cell r="AJ40" t="str">
            <v>T</v>
          </cell>
          <cell r="AT40" t="str">
            <v>G</v>
          </cell>
          <cell r="AU40" t="str">
            <v>5</v>
          </cell>
          <cell r="AV40" t="str">
            <v>7</v>
          </cell>
          <cell r="BE40" t="str">
            <v>ﾙ</v>
          </cell>
          <cell r="BF40" t="str">
            <v>0004</v>
          </cell>
          <cell r="BG40" t="str">
            <v>S1604</v>
          </cell>
        </row>
        <row r="41">
          <cell r="T41" t="str">
            <v>5Q</v>
          </cell>
          <cell r="U41" t="str">
            <v>040</v>
          </cell>
          <cell r="V41" t="str">
            <v xml:space="preserve"> 7B 1A</v>
          </cell>
          <cell r="W41" t="str">
            <v>U0620</v>
          </cell>
          <cell r="X41" t="str">
            <v xml:space="preserve"> 7B 1A</v>
          </cell>
          <cell r="Y41" t="str">
            <v>U0650Y</v>
          </cell>
          <cell r="Z41" t="str">
            <v>AAG</v>
          </cell>
          <cell r="AB41" t="str">
            <v>T</v>
          </cell>
          <cell r="AD41" t="str">
            <v>X</v>
          </cell>
          <cell r="AE41" t="str">
            <v>Z6398</v>
          </cell>
          <cell r="AF41" t="str">
            <v>011029</v>
          </cell>
          <cell r="AI41" t="str">
            <v>*</v>
          </cell>
          <cell r="AJ41" t="str">
            <v>T</v>
          </cell>
          <cell r="AT41" t="str">
            <v>A</v>
          </cell>
          <cell r="AU41" t="str">
            <v>0</v>
          </cell>
          <cell r="AV41" t="str">
            <v>3</v>
          </cell>
          <cell r="BE41" t="str">
            <v>ﾙ</v>
          </cell>
          <cell r="BF41" t="str">
            <v>0057</v>
          </cell>
          <cell r="BG41" t="str">
            <v>Z6398</v>
          </cell>
        </row>
        <row r="42">
          <cell r="T42" t="str">
            <v>5Q</v>
          </cell>
          <cell r="U42" t="str">
            <v>040</v>
          </cell>
          <cell r="V42" t="str">
            <v xml:space="preserve"> 7B 1D</v>
          </cell>
          <cell r="W42" t="str">
            <v>U7120</v>
          </cell>
          <cell r="X42" t="str">
            <v xml:space="preserve"> 7B 1D</v>
          </cell>
          <cell r="Y42" t="str">
            <v>U6300Y</v>
          </cell>
          <cell r="Z42" t="str">
            <v>AAC</v>
          </cell>
          <cell r="AB42" t="str">
            <v>T</v>
          </cell>
          <cell r="AD42" t="str">
            <v>*</v>
          </cell>
          <cell r="AE42" t="str">
            <v>Z6396</v>
          </cell>
          <cell r="AF42" t="str">
            <v>011022</v>
          </cell>
          <cell r="AI42" t="str">
            <v>*</v>
          </cell>
          <cell r="AJ42" t="str">
            <v>T</v>
          </cell>
          <cell r="AT42" t="str">
            <v>A</v>
          </cell>
          <cell r="AU42" t="str">
            <v>0</v>
          </cell>
          <cell r="AV42" t="str">
            <v>3</v>
          </cell>
          <cell r="BE42" t="str">
            <v>ﾙ</v>
          </cell>
          <cell r="BF42" t="str">
            <v>0005</v>
          </cell>
          <cell r="BG42" t="str">
            <v>Z6396</v>
          </cell>
        </row>
        <row r="43">
          <cell r="T43" t="str">
            <v>5Q</v>
          </cell>
          <cell r="U43" t="str">
            <v>040</v>
          </cell>
          <cell r="V43" t="str">
            <v xml:space="preserve"> 7B 1D</v>
          </cell>
          <cell r="W43" t="str">
            <v>U7100</v>
          </cell>
          <cell r="Y43" t="str">
            <v>U7100E</v>
          </cell>
          <cell r="Z43" t="str">
            <v>AAA</v>
          </cell>
          <cell r="AB43" t="str">
            <v>T</v>
          </cell>
          <cell r="AD43" t="str">
            <v>*</v>
          </cell>
          <cell r="AE43" t="str">
            <v>2J653</v>
          </cell>
          <cell r="AF43" t="str">
            <v>021223</v>
          </cell>
          <cell r="AI43" t="str">
            <v>*</v>
          </cell>
          <cell r="AJ43" t="str">
            <v>T</v>
          </cell>
          <cell r="AT43" t="str">
            <v>H</v>
          </cell>
          <cell r="AU43" t="str">
            <v>5</v>
          </cell>
          <cell r="AV43" t="str">
            <v>8</v>
          </cell>
          <cell r="BE43" t="str">
            <v>ﾙ</v>
          </cell>
          <cell r="BF43" t="str">
            <v>0011</v>
          </cell>
          <cell r="BG43" t="str">
            <v>V PLA</v>
          </cell>
        </row>
        <row r="44">
          <cell r="T44" t="str">
            <v>5Q</v>
          </cell>
          <cell r="U44" t="str">
            <v>040</v>
          </cell>
          <cell r="V44" t="str">
            <v xml:space="preserve"> 7B 1D</v>
          </cell>
          <cell r="W44" t="str">
            <v>U7110</v>
          </cell>
          <cell r="Y44" t="str">
            <v>U7110E</v>
          </cell>
          <cell r="Z44" t="str">
            <v>AAD</v>
          </cell>
          <cell r="AB44" t="str">
            <v>T</v>
          </cell>
          <cell r="AD44" t="str">
            <v>*</v>
          </cell>
          <cell r="AE44" t="str">
            <v>2J653</v>
          </cell>
          <cell r="AF44" t="str">
            <v>021223</v>
          </cell>
          <cell r="AI44" t="str">
            <v>*</v>
          </cell>
          <cell r="AJ44" t="str">
            <v>T</v>
          </cell>
          <cell r="AT44" t="str">
            <v>2</v>
          </cell>
          <cell r="AU44" t="str">
            <v>0</v>
          </cell>
          <cell r="AV44" t="str">
            <v>7</v>
          </cell>
          <cell r="BE44" t="str">
            <v>ﾙ</v>
          </cell>
          <cell r="BF44" t="str">
            <v>0013</v>
          </cell>
          <cell r="BG44" t="str">
            <v>Z6400</v>
          </cell>
          <cell r="BH44" t="str">
            <v>5Q</v>
          </cell>
          <cell r="BI44" t="str">
            <v>020</v>
          </cell>
        </row>
        <row r="45">
          <cell r="T45" t="str">
            <v>5Q</v>
          </cell>
          <cell r="U45" t="str">
            <v>040</v>
          </cell>
          <cell r="V45" t="str">
            <v xml:space="preserve"> 7B 1D</v>
          </cell>
          <cell r="W45" t="str">
            <v>U7110</v>
          </cell>
          <cell r="Y45" t="str">
            <v>U7110E</v>
          </cell>
          <cell r="Z45" t="str">
            <v>AAE</v>
          </cell>
          <cell r="AB45" t="str">
            <v>T</v>
          </cell>
          <cell r="AD45" t="str">
            <v>*</v>
          </cell>
          <cell r="AE45" t="str">
            <v>2J653</v>
          </cell>
          <cell r="AF45" t="str">
            <v>021223</v>
          </cell>
          <cell r="AI45" t="str">
            <v>*</v>
          </cell>
          <cell r="AJ45" t="str">
            <v>T</v>
          </cell>
          <cell r="AT45" t="str">
            <v>2</v>
          </cell>
          <cell r="AU45" t="str">
            <v>0</v>
          </cell>
          <cell r="AV45" t="str">
            <v>7</v>
          </cell>
          <cell r="BE45" t="str">
            <v>ﾙ</v>
          </cell>
          <cell r="BF45" t="str">
            <v>0014</v>
          </cell>
          <cell r="BG45" t="str">
            <v>Z6400</v>
          </cell>
          <cell r="BH45" t="str">
            <v>5Q</v>
          </cell>
          <cell r="BI45" t="str">
            <v>020</v>
          </cell>
        </row>
        <row r="46">
          <cell r="T46" t="str">
            <v>5Q</v>
          </cell>
          <cell r="U46" t="str">
            <v>040</v>
          </cell>
          <cell r="V46" t="str">
            <v xml:space="preserve"> 7B 1D</v>
          </cell>
          <cell r="W46" t="str">
            <v>U7130</v>
          </cell>
          <cell r="Y46" t="str">
            <v>U7130E</v>
          </cell>
          <cell r="Z46" t="str">
            <v>AAD</v>
          </cell>
          <cell r="AB46" t="str">
            <v>T</v>
          </cell>
          <cell r="AD46" t="str">
            <v>*</v>
          </cell>
          <cell r="AE46" t="str">
            <v>2J653</v>
          </cell>
          <cell r="AF46" t="str">
            <v>021223</v>
          </cell>
          <cell r="AI46" t="str">
            <v>*</v>
          </cell>
          <cell r="AJ46" t="str">
            <v>T</v>
          </cell>
          <cell r="AT46" t="str">
            <v>2</v>
          </cell>
          <cell r="AU46" t="str">
            <v>0</v>
          </cell>
          <cell r="AV46" t="str">
            <v>7</v>
          </cell>
          <cell r="BE46" t="str">
            <v>ﾙ</v>
          </cell>
          <cell r="BF46" t="str">
            <v>0044</v>
          </cell>
          <cell r="BG46" t="str">
            <v>Z6326</v>
          </cell>
          <cell r="BH46" t="str">
            <v>5Q</v>
          </cell>
          <cell r="BI46" t="str">
            <v>020</v>
          </cell>
        </row>
        <row r="47">
          <cell r="T47" t="str">
            <v>5Q</v>
          </cell>
          <cell r="U47" t="str">
            <v>040</v>
          </cell>
          <cell r="V47" t="str">
            <v xml:space="preserve"> 7B 1D</v>
          </cell>
          <cell r="W47" t="str">
            <v>U7170</v>
          </cell>
          <cell r="Y47" t="str">
            <v>U7170E</v>
          </cell>
          <cell r="Z47" t="str">
            <v>AAB</v>
          </cell>
          <cell r="AB47" t="str">
            <v>T</v>
          </cell>
          <cell r="AD47" t="str">
            <v>*</v>
          </cell>
          <cell r="AE47" t="str">
            <v>2J653</v>
          </cell>
          <cell r="AF47" t="str">
            <v>021223</v>
          </cell>
          <cell r="AI47" t="str">
            <v>*</v>
          </cell>
          <cell r="AJ47" t="str">
            <v>T</v>
          </cell>
          <cell r="AT47" t="str">
            <v>2</v>
          </cell>
          <cell r="AU47" t="str">
            <v>0</v>
          </cell>
          <cell r="AV47" t="str">
            <v>7</v>
          </cell>
          <cell r="BE47" t="str">
            <v>ﾙ</v>
          </cell>
          <cell r="BF47" t="str">
            <v>0045</v>
          </cell>
          <cell r="BG47" t="str">
            <v>2J619</v>
          </cell>
          <cell r="BH47" t="str">
            <v>5Q</v>
          </cell>
          <cell r="BI47" t="str">
            <v>020</v>
          </cell>
        </row>
        <row r="48">
          <cell r="T48" t="str">
            <v>5Q</v>
          </cell>
          <cell r="U48" t="str">
            <v>040</v>
          </cell>
          <cell r="V48" t="str">
            <v xml:space="preserve"> 7B 1D</v>
          </cell>
          <cell r="W48" t="str">
            <v>U7190</v>
          </cell>
          <cell r="Y48" t="str">
            <v>U7190E</v>
          </cell>
          <cell r="Z48" t="str">
            <v>AAB</v>
          </cell>
          <cell r="AB48" t="str">
            <v>T</v>
          </cell>
          <cell r="AD48" t="str">
            <v>*</v>
          </cell>
          <cell r="AE48" t="str">
            <v>2J653</v>
          </cell>
          <cell r="AF48" t="str">
            <v>021223</v>
          </cell>
          <cell r="AI48" t="str">
            <v>*</v>
          </cell>
          <cell r="AJ48" t="str">
            <v>T</v>
          </cell>
          <cell r="AT48" t="str">
            <v>2</v>
          </cell>
          <cell r="AU48" t="str">
            <v>0</v>
          </cell>
          <cell r="AV48" t="str">
            <v>7</v>
          </cell>
          <cell r="BE48" t="str">
            <v>ﾙ</v>
          </cell>
          <cell r="BF48" t="str">
            <v>0045</v>
          </cell>
          <cell r="BG48" t="str">
            <v>2J619</v>
          </cell>
          <cell r="BH48" t="str">
            <v>5Q</v>
          </cell>
          <cell r="BI48" t="str">
            <v>020</v>
          </cell>
        </row>
        <row r="49">
          <cell r="T49" t="str">
            <v>5Q</v>
          </cell>
          <cell r="U49" t="str">
            <v>040</v>
          </cell>
          <cell r="V49" t="str">
            <v xml:space="preserve"> 7B 1D</v>
          </cell>
          <cell r="W49" t="str">
            <v>U7420</v>
          </cell>
          <cell r="Y49" t="str">
            <v>U7420E</v>
          </cell>
          <cell r="Z49" t="str">
            <v>AAB</v>
          </cell>
          <cell r="AB49" t="str">
            <v>T</v>
          </cell>
          <cell r="AD49" t="str">
            <v>*</v>
          </cell>
          <cell r="AE49" t="str">
            <v>2J653</v>
          </cell>
          <cell r="AF49" t="str">
            <v>021223</v>
          </cell>
          <cell r="AI49" t="str">
            <v>*</v>
          </cell>
          <cell r="AJ49" t="str">
            <v>T</v>
          </cell>
          <cell r="AT49" t="str">
            <v>2</v>
          </cell>
          <cell r="AU49" t="str">
            <v>0</v>
          </cell>
          <cell r="AV49" t="str">
            <v>7</v>
          </cell>
          <cell r="BE49" t="str">
            <v>ﾙ</v>
          </cell>
          <cell r="BF49" t="str">
            <v>0048</v>
          </cell>
          <cell r="BG49" t="str">
            <v>2J619</v>
          </cell>
          <cell r="BH49" t="str">
            <v>5Q</v>
          </cell>
          <cell r="BI49" t="str">
            <v>020</v>
          </cell>
        </row>
        <row r="50">
          <cell r="T50" t="str">
            <v>5Q</v>
          </cell>
          <cell r="U50" t="str">
            <v>040</v>
          </cell>
          <cell r="V50" t="str">
            <v xml:space="preserve"> 7B 1D</v>
          </cell>
          <cell r="W50" t="str">
            <v>U7100</v>
          </cell>
          <cell r="X50" t="str">
            <v xml:space="preserve"> 7B 1D</v>
          </cell>
          <cell r="Y50" t="str">
            <v>U0452Y</v>
          </cell>
          <cell r="Z50" t="str">
            <v>AAA</v>
          </cell>
          <cell r="AB50" t="str">
            <v>T</v>
          </cell>
          <cell r="AD50" t="str">
            <v>*</v>
          </cell>
          <cell r="AE50" t="str">
            <v>2J619</v>
          </cell>
          <cell r="AF50" t="str">
            <v>000809</v>
          </cell>
          <cell r="AI50" t="str">
            <v>*</v>
          </cell>
          <cell r="AJ50" t="str">
            <v>T</v>
          </cell>
          <cell r="AT50" t="str">
            <v>H</v>
          </cell>
          <cell r="AU50" t="str">
            <v>5</v>
          </cell>
          <cell r="AV50" t="str">
            <v>8</v>
          </cell>
          <cell r="BE50" t="str">
            <v>1</v>
          </cell>
          <cell r="BF50" t="str">
            <v>0011</v>
          </cell>
          <cell r="BG50" t="str">
            <v>V PLA</v>
          </cell>
        </row>
        <row r="51">
          <cell r="T51" t="str">
            <v>5Q</v>
          </cell>
          <cell r="U51" t="str">
            <v>040</v>
          </cell>
          <cell r="V51" t="str">
            <v xml:space="preserve"> 7B 1D</v>
          </cell>
          <cell r="W51" t="str">
            <v>U7110</v>
          </cell>
          <cell r="X51" t="str">
            <v xml:space="preserve"> 7B 1D</v>
          </cell>
          <cell r="Y51" t="str">
            <v>U0470Y</v>
          </cell>
          <cell r="Z51" t="str">
            <v>AAF</v>
          </cell>
          <cell r="AB51" t="str">
            <v>T</v>
          </cell>
          <cell r="AD51" t="str">
            <v>*</v>
          </cell>
          <cell r="AE51" t="str">
            <v>Z6400</v>
          </cell>
          <cell r="AF51" t="str">
            <v>011022</v>
          </cell>
          <cell r="AI51" t="str">
            <v>*</v>
          </cell>
          <cell r="AJ51" t="str">
            <v>T</v>
          </cell>
          <cell r="AT51" t="str">
            <v>H</v>
          </cell>
          <cell r="AU51" t="str">
            <v>5</v>
          </cell>
          <cell r="AV51" t="str">
            <v>8</v>
          </cell>
          <cell r="BE51" t="str">
            <v>ﾙ</v>
          </cell>
          <cell r="BF51" t="str">
            <v>0013</v>
          </cell>
          <cell r="BG51" t="str">
            <v>Z6328</v>
          </cell>
        </row>
        <row r="52">
          <cell r="T52" t="str">
            <v>5Q</v>
          </cell>
          <cell r="U52" t="str">
            <v>040</v>
          </cell>
          <cell r="V52" t="str">
            <v xml:space="preserve"> 7B 1D</v>
          </cell>
          <cell r="W52" t="str">
            <v>U7110</v>
          </cell>
          <cell r="X52" t="str">
            <v xml:space="preserve"> 7B 1D</v>
          </cell>
          <cell r="Y52" t="str">
            <v>U0470Y</v>
          </cell>
          <cell r="Z52" t="str">
            <v>AAG</v>
          </cell>
          <cell r="AB52" t="str">
            <v>T</v>
          </cell>
          <cell r="AD52" t="str">
            <v>*</v>
          </cell>
          <cell r="AE52" t="str">
            <v>Z6400</v>
          </cell>
          <cell r="AF52" t="str">
            <v>011022</v>
          </cell>
          <cell r="AI52" t="str">
            <v>*</v>
          </cell>
          <cell r="AJ52" t="str">
            <v>T</v>
          </cell>
          <cell r="AT52" t="str">
            <v>H</v>
          </cell>
          <cell r="AU52" t="str">
            <v>5</v>
          </cell>
          <cell r="AV52" t="str">
            <v>8</v>
          </cell>
          <cell r="BE52" t="str">
            <v>ﾙ</v>
          </cell>
          <cell r="BF52" t="str">
            <v>0014</v>
          </cell>
          <cell r="BG52" t="str">
            <v>Z6328</v>
          </cell>
        </row>
        <row r="53">
          <cell r="T53" t="str">
            <v>5Q</v>
          </cell>
          <cell r="U53" t="str">
            <v>040</v>
          </cell>
          <cell r="V53" t="str">
            <v xml:space="preserve"> 7B 1D</v>
          </cell>
          <cell r="W53" t="str">
            <v>U7130</v>
          </cell>
          <cell r="X53" t="str">
            <v xml:space="preserve"> 7B 1D</v>
          </cell>
          <cell r="Y53" t="str">
            <v>U0520Y</v>
          </cell>
          <cell r="Z53" t="str">
            <v>AAD</v>
          </cell>
          <cell r="AB53" t="str">
            <v>T</v>
          </cell>
          <cell r="AD53" t="str">
            <v>*</v>
          </cell>
          <cell r="AE53" t="str">
            <v>Z6326</v>
          </cell>
          <cell r="AF53" t="str">
            <v>001127</v>
          </cell>
          <cell r="AI53" t="str">
            <v>*</v>
          </cell>
          <cell r="AJ53" t="str">
            <v>T</v>
          </cell>
          <cell r="AT53" t="str">
            <v>B</v>
          </cell>
          <cell r="AU53" t="str">
            <v>5</v>
          </cell>
          <cell r="AV53" t="str">
            <v>3</v>
          </cell>
          <cell r="BE53" t="str">
            <v>ﾙ</v>
          </cell>
          <cell r="BF53" t="str">
            <v>0044</v>
          </cell>
          <cell r="BG53" t="str">
            <v>2J619</v>
          </cell>
        </row>
        <row r="54">
          <cell r="T54" t="str">
            <v>5Q</v>
          </cell>
          <cell r="U54" t="str">
            <v>040</v>
          </cell>
          <cell r="V54" t="str">
            <v xml:space="preserve"> 7B 1D</v>
          </cell>
          <cell r="W54" t="str">
            <v>U7170</v>
          </cell>
          <cell r="X54" t="str">
            <v xml:space="preserve"> 7B 1D</v>
          </cell>
          <cell r="Y54" t="str">
            <v>U0660Y</v>
          </cell>
          <cell r="Z54" t="str">
            <v>AAB</v>
          </cell>
          <cell r="AB54" t="str">
            <v>T</v>
          </cell>
          <cell r="AD54" t="str">
            <v>*</v>
          </cell>
          <cell r="AE54" t="str">
            <v>2J619</v>
          </cell>
          <cell r="AF54" t="str">
            <v>000809</v>
          </cell>
          <cell r="AI54" t="str">
            <v>*</v>
          </cell>
          <cell r="AJ54" t="str">
            <v>T</v>
          </cell>
          <cell r="AT54" t="str">
            <v>B</v>
          </cell>
          <cell r="AU54" t="str">
            <v>5</v>
          </cell>
          <cell r="AV54" t="str">
            <v>3</v>
          </cell>
          <cell r="BE54" t="str">
            <v>ﾙ</v>
          </cell>
          <cell r="BF54" t="str">
            <v>0045</v>
          </cell>
          <cell r="BG54" t="str">
            <v>2J619</v>
          </cell>
        </row>
        <row r="55">
          <cell r="T55" t="str">
            <v>5Q</v>
          </cell>
          <cell r="U55" t="str">
            <v>040</v>
          </cell>
          <cell r="V55" t="str">
            <v xml:space="preserve"> 7B 1D</v>
          </cell>
          <cell r="W55" t="str">
            <v>U7190</v>
          </cell>
          <cell r="X55" t="str">
            <v xml:space="preserve"> 7B 1D</v>
          </cell>
          <cell r="Y55" t="str">
            <v>U0820Y</v>
          </cell>
          <cell r="Z55" t="str">
            <v>AAC</v>
          </cell>
          <cell r="AB55" t="str">
            <v>T</v>
          </cell>
          <cell r="AD55" t="str">
            <v>*</v>
          </cell>
          <cell r="AE55" t="str">
            <v>S1392</v>
          </cell>
          <cell r="AF55" t="str">
            <v>010611</v>
          </cell>
          <cell r="AI55" t="str">
            <v>*</v>
          </cell>
          <cell r="AJ55" t="str">
            <v>T</v>
          </cell>
          <cell r="AT55" t="str">
            <v>B</v>
          </cell>
          <cell r="AU55" t="str">
            <v>5</v>
          </cell>
          <cell r="AV55" t="str">
            <v>3</v>
          </cell>
          <cell r="BE55" t="str">
            <v>ﾙ</v>
          </cell>
          <cell r="BF55" t="str">
            <v>0045</v>
          </cell>
          <cell r="BG55" t="str">
            <v>S1392</v>
          </cell>
        </row>
        <row r="56">
          <cell r="T56" t="str">
            <v>5Q</v>
          </cell>
          <cell r="U56" t="str">
            <v>040</v>
          </cell>
          <cell r="V56" t="str">
            <v xml:space="preserve"> 7B 1D</v>
          </cell>
          <cell r="W56" t="str">
            <v>U7270</v>
          </cell>
          <cell r="Y56" t="str">
            <v>U7270E</v>
          </cell>
          <cell r="Z56" t="str">
            <v>AAA</v>
          </cell>
          <cell r="AB56" t="str">
            <v>T</v>
          </cell>
          <cell r="AD56" t="str">
            <v>*</v>
          </cell>
          <cell r="AE56" t="str">
            <v>2J653</v>
          </cell>
          <cell r="AF56" t="str">
            <v>021223</v>
          </cell>
          <cell r="AI56" t="str">
            <v>*</v>
          </cell>
          <cell r="AJ56" t="str">
            <v>T</v>
          </cell>
          <cell r="AT56" t="str">
            <v>B</v>
          </cell>
          <cell r="AU56" t="str">
            <v>5</v>
          </cell>
          <cell r="AV56" t="str">
            <v>3</v>
          </cell>
          <cell r="BE56" t="str">
            <v>1</v>
          </cell>
          <cell r="BF56" t="str">
            <v>0018</v>
          </cell>
          <cell r="BG56" t="str">
            <v>V PLA</v>
          </cell>
        </row>
        <row r="57">
          <cell r="T57" t="str">
            <v>5Q</v>
          </cell>
          <cell r="U57" t="str">
            <v>040</v>
          </cell>
          <cell r="V57" t="str">
            <v xml:space="preserve"> 7B 1D</v>
          </cell>
          <cell r="W57" t="str">
            <v>U7320</v>
          </cell>
          <cell r="X57" t="str">
            <v xml:space="preserve"> 7B 1D</v>
          </cell>
          <cell r="Y57" t="str">
            <v>U1484Y</v>
          </cell>
          <cell r="Z57" t="str">
            <v>AAJ</v>
          </cell>
          <cell r="AB57" t="str">
            <v>T</v>
          </cell>
          <cell r="AD57" t="str">
            <v>*</v>
          </cell>
          <cell r="AE57" t="str">
            <v>Z6337</v>
          </cell>
          <cell r="AF57" t="str">
            <v>001211</v>
          </cell>
          <cell r="AI57" t="str">
            <v>*</v>
          </cell>
          <cell r="AJ57" t="str">
            <v>T</v>
          </cell>
          <cell r="AT57" t="str">
            <v>H</v>
          </cell>
          <cell r="AU57" t="str">
            <v>5</v>
          </cell>
          <cell r="AV57" t="str">
            <v>8</v>
          </cell>
          <cell r="BE57" t="str">
            <v>ﾙ</v>
          </cell>
          <cell r="BF57" t="str">
            <v>0020</v>
          </cell>
          <cell r="BG57" t="str">
            <v>Z6337</v>
          </cell>
        </row>
        <row r="58">
          <cell r="T58" t="str">
            <v>5Q</v>
          </cell>
          <cell r="U58" t="str">
            <v>040</v>
          </cell>
          <cell r="V58" t="str">
            <v xml:space="preserve"> 7B 1D</v>
          </cell>
          <cell r="W58" t="str">
            <v>U7420</v>
          </cell>
          <cell r="X58" t="str">
            <v xml:space="preserve"> 7B 1D</v>
          </cell>
          <cell r="Y58" t="str">
            <v>U1584Y</v>
          </cell>
          <cell r="Z58" t="str">
            <v>AAB</v>
          </cell>
          <cell r="AB58" t="str">
            <v>T</v>
          </cell>
          <cell r="AD58" t="str">
            <v>*</v>
          </cell>
          <cell r="AE58" t="str">
            <v>2J619</v>
          </cell>
          <cell r="AF58" t="str">
            <v>000809</v>
          </cell>
          <cell r="AI58" t="str">
            <v>*</v>
          </cell>
          <cell r="AJ58" t="str">
            <v>T</v>
          </cell>
          <cell r="AT58" t="str">
            <v>B</v>
          </cell>
          <cell r="AU58" t="str">
            <v>5</v>
          </cell>
          <cell r="AV58" t="str">
            <v>3</v>
          </cell>
          <cell r="BE58" t="str">
            <v>ﾙ</v>
          </cell>
          <cell r="BF58" t="str">
            <v>0048</v>
          </cell>
          <cell r="BG58" t="str">
            <v>2J619</v>
          </cell>
        </row>
        <row r="59">
          <cell r="T59" t="str">
            <v>5Q</v>
          </cell>
          <cell r="U59" t="str">
            <v>040</v>
          </cell>
          <cell r="V59" t="str">
            <v xml:space="preserve"> 7B 1D</v>
          </cell>
          <cell r="W59" t="str">
            <v>U7470</v>
          </cell>
          <cell r="Y59" t="str">
            <v>U7470E</v>
          </cell>
          <cell r="Z59" t="str">
            <v>AAB</v>
          </cell>
          <cell r="AB59" t="str">
            <v>T</v>
          </cell>
          <cell r="AD59" t="str">
            <v>*</v>
          </cell>
          <cell r="AE59" t="str">
            <v>2J653</v>
          </cell>
          <cell r="AF59" t="str">
            <v>021223</v>
          </cell>
          <cell r="AI59" t="str">
            <v>*</v>
          </cell>
          <cell r="AJ59" t="str">
            <v>T</v>
          </cell>
          <cell r="AT59" t="str">
            <v>B</v>
          </cell>
          <cell r="AU59" t="str">
            <v>5</v>
          </cell>
          <cell r="AV59" t="str">
            <v>3</v>
          </cell>
          <cell r="BF59" t="str">
            <v>0005</v>
          </cell>
          <cell r="BG59" t="str">
            <v>S1392</v>
          </cell>
          <cell r="BH59" t="str">
            <v>5Q</v>
          </cell>
          <cell r="BI59" t="str">
            <v>020</v>
          </cell>
        </row>
        <row r="60">
          <cell r="T60" t="str">
            <v>5Q</v>
          </cell>
          <cell r="U60" t="str">
            <v>040</v>
          </cell>
          <cell r="V60" t="str">
            <v xml:space="preserve"> 7B 1D</v>
          </cell>
          <cell r="W60" t="str">
            <v>U7120</v>
          </cell>
          <cell r="X60" t="str">
            <v xml:space="preserve"> 7B 1D</v>
          </cell>
          <cell r="Y60" t="str">
            <v>U6350Y</v>
          </cell>
          <cell r="Z60" t="str">
            <v>AAB</v>
          </cell>
          <cell r="AB60" t="str">
            <v>T</v>
          </cell>
          <cell r="AD60" t="str">
            <v>*</v>
          </cell>
          <cell r="AE60" t="str">
            <v>Z6360</v>
          </cell>
          <cell r="AF60" t="str">
            <v>010521</v>
          </cell>
          <cell r="AI60" t="str">
            <v>*</v>
          </cell>
          <cell r="AJ60" t="str">
            <v>T</v>
          </cell>
          <cell r="AT60" t="str">
            <v>B</v>
          </cell>
          <cell r="AU60" t="str">
            <v>5</v>
          </cell>
          <cell r="AV60" t="str">
            <v>3</v>
          </cell>
          <cell r="BE60" t="str">
            <v>ﾙ</v>
          </cell>
          <cell r="BF60" t="str">
            <v>0005</v>
          </cell>
          <cell r="BG60" t="str">
            <v>Z6360</v>
          </cell>
        </row>
        <row r="61">
          <cell r="T61" t="str">
            <v>5Q</v>
          </cell>
          <cell r="U61" t="str">
            <v>040</v>
          </cell>
          <cell r="V61" t="str">
            <v xml:space="preserve"> 7B 1D</v>
          </cell>
          <cell r="W61" t="str">
            <v>U7070</v>
          </cell>
          <cell r="X61" t="str">
            <v xml:space="preserve"> 7B 1D</v>
          </cell>
          <cell r="Y61" t="str">
            <v>U6360Y</v>
          </cell>
          <cell r="Z61" t="str">
            <v>AAA</v>
          </cell>
          <cell r="AB61" t="str">
            <v>T</v>
          </cell>
          <cell r="AD61" t="str">
            <v>X</v>
          </cell>
          <cell r="AE61" t="str">
            <v>2J619</v>
          </cell>
          <cell r="AF61" t="str">
            <v>000809</v>
          </cell>
          <cell r="AI61" t="str">
            <v>*</v>
          </cell>
          <cell r="AJ61" t="str">
            <v>T</v>
          </cell>
          <cell r="AT61" t="str">
            <v>B</v>
          </cell>
          <cell r="AU61" t="str">
            <v>6</v>
          </cell>
          <cell r="AV61" t="str">
            <v>3</v>
          </cell>
          <cell r="BE61" t="str">
            <v>1</v>
          </cell>
          <cell r="BF61" t="str">
            <v>0005</v>
          </cell>
          <cell r="BG61" t="str">
            <v>V PLA</v>
          </cell>
        </row>
        <row r="62">
          <cell r="T62" t="str">
            <v>5Q</v>
          </cell>
          <cell r="U62" t="str">
            <v>040</v>
          </cell>
          <cell r="V62" t="str">
            <v xml:space="preserve"> 7B 1D</v>
          </cell>
          <cell r="W62" t="str">
            <v>U7070</v>
          </cell>
          <cell r="X62" t="str">
            <v xml:space="preserve"> 7B 1D</v>
          </cell>
          <cell r="Y62" t="str">
            <v>U6310Y</v>
          </cell>
          <cell r="Z62" t="str">
            <v>AAC</v>
          </cell>
          <cell r="AB62" t="str">
            <v>T</v>
          </cell>
          <cell r="AD62" t="str">
            <v>X</v>
          </cell>
          <cell r="AE62" t="str">
            <v>Z6383</v>
          </cell>
          <cell r="AF62" t="str">
            <v>010820</v>
          </cell>
          <cell r="AI62" t="str">
            <v>*</v>
          </cell>
          <cell r="AJ62" t="str">
            <v>T</v>
          </cell>
          <cell r="AT62" t="str">
            <v>A</v>
          </cell>
          <cell r="AU62" t="str">
            <v>0</v>
          </cell>
          <cell r="AV62" t="str">
            <v>3</v>
          </cell>
          <cell r="BE62" t="str">
            <v>ﾙ</v>
          </cell>
          <cell r="BF62" t="str">
            <v>0005</v>
          </cell>
          <cell r="BG62" t="str">
            <v>Z6383</v>
          </cell>
        </row>
        <row r="63">
          <cell r="T63" t="str">
            <v>5Q</v>
          </cell>
          <cell r="U63" t="str">
            <v>040</v>
          </cell>
          <cell r="V63" t="str">
            <v xml:space="preserve"> 7B 1D</v>
          </cell>
          <cell r="W63" t="str">
            <v>U7440</v>
          </cell>
          <cell r="X63" t="str">
            <v xml:space="preserve"> 7B 1D</v>
          </cell>
          <cell r="Y63" t="str">
            <v>U6320Y</v>
          </cell>
          <cell r="Z63" t="str">
            <v>AAC</v>
          </cell>
          <cell r="AB63" t="str">
            <v>T</v>
          </cell>
          <cell r="AD63" t="str">
            <v>*</v>
          </cell>
          <cell r="AE63" t="str">
            <v>Z6325</v>
          </cell>
          <cell r="AF63" t="str">
            <v>001127</v>
          </cell>
          <cell r="AI63" t="str">
            <v>*</v>
          </cell>
          <cell r="AJ63" t="str">
            <v>T</v>
          </cell>
          <cell r="AT63" t="str">
            <v>A</v>
          </cell>
          <cell r="AU63" t="str">
            <v>0</v>
          </cell>
          <cell r="AV63" t="str">
            <v>3</v>
          </cell>
          <cell r="BE63" t="str">
            <v>ﾙ</v>
          </cell>
          <cell r="BF63" t="str">
            <v>0008</v>
          </cell>
          <cell r="BG63" t="str">
            <v>Z6325</v>
          </cell>
        </row>
        <row r="64">
          <cell r="T64" t="str">
            <v>5Q</v>
          </cell>
          <cell r="U64" t="str">
            <v>040</v>
          </cell>
          <cell r="V64" t="str">
            <v xml:space="preserve"> 7B 1D</v>
          </cell>
          <cell r="W64" t="str">
            <v>U7140</v>
          </cell>
          <cell r="Y64" t="str">
            <v>U7140E</v>
          </cell>
          <cell r="Z64" t="str">
            <v>AAC</v>
          </cell>
          <cell r="AB64" t="str">
            <v>T</v>
          </cell>
          <cell r="AD64" t="str">
            <v>*</v>
          </cell>
          <cell r="AE64" t="str">
            <v>2J653</v>
          </cell>
          <cell r="AF64" t="str">
            <v>021223</v>
          </cell>
          <cell r="AI64" t="str">
            <v>*</v>
          </cell>
          <cell r="AJ64" t="str">
            <v>T</v>
          </cell>
          <cell r="AT64" t="str">
            <v>A</v>
          </cell>
          <cell r="AU64" t="str">
            <v>0</v>
          </cell>
          <cell r="AV64" t="str">
            <v>3</v>
          </cell>
          <cell r="BE64" t="str">
            <v>ﾙ</v>
          </cell>
          <cell r="BF64" t="str">
            <v>0005</v>
          </cell>
          <cell r="BG64" t="str">
            <v>Z6360</v>
          </cell>
          <cell r="BH64" t="str">
            <v>5Q</v>
          </cell>
          <cell r="BI64" t="str">
            <v>020</v>
          </cell>
        </row>
        <row r="65">
          <cell r="T65" t="str">
            <v>5Q</v>
          </cell>
          <cell r="U65" t="str">
            <v>040</v>
          </cell>
          <cell r="V65" t="str">
            <v xml:space="preserve"> 7B 1D</v>
          </cell>
          <cell r="W65" t="str">
            <v>U7090</v>
          </cell>
          <cell r="Y65" t="str">
            <v>U7090E</v>
          </cell>
          <cell r="Z65" t="str">
            <v>AAB</v>
          </cell>
          <cell r="AB65" t="str">
            <v>T</v>
          </cell>
          <cell r="AD65" t="str">
            <v>*</v>
          </cell>
          <cell r="AE65" t="str">
            <v>2J653</v>
          </cell>
          <cell r="AF65" t="str">
            <v>021223</v>
          </cell>
          <cell r="AI65" t="str">
            <v>*</v>
          </cell>
          <cell r="AJ65" t="str">
            <v>T</v>
          </cell>
          <cell r="AT65" t="str">
            <v>A</v>
          </cell>
          <cell r="AU65" t="str">
            <v>0</v>
          </cell>
          <cell r="AV65" t="str">
            <v>3</v>
          </cell>
          <cell r="BE65" t="str">
            <v>ﾙ</v>
          </cell>
          <cell r="BF65" t="str">
            <v>0005</v>
          </cell>
          <cell r="BG65" t="str">
            <v>JZ698</v>
          </cell>
          <cell r="BH65" t="str">
            <v>5P</v>
          </cell>
          <cell r="BI65" t="str">
            <v>020</v>
          </cell>
        </row>
        <row r="66">
          <cell r="T66" t="str">
            <v>5Q</v>
          </cell>
          <cell r="U66" t="str">
            <v>040</v>
          </cell>
          <cell r="V66" t="str">
            <v xml:space="preserve"> 7B 1D</v>
          </cell>
          <cell r="W66" t="str">
            <v>U7150</v>
          </cell>
          <cell r="Y66" t="str">
            <v>U7150E</v>
          </cell>
          <cell r="Z66" t="str">
            <v>AAB</v>
          </cell>
          <cell r="AB66" t="str">
            <v>T</v>
          </cell>
          <cell r="AD66" t="str">
            <v>*</v>
          </cell>
          <cell r="AE66" t="str">
            <v>2J653</v>
          </cell>
          <cell r="AF66" t="str">
            <v>021223</v>
          </cell>
          <cell r="AI66" t="str">
            <v>*</v>
          </cell>
          <cell r="AJ66" t="str">
            <v>T</v>
          </cell>
          <cell r="AT66" t="str">
            <v>A</v>
          </cell>
          <cell r="AU66" t="str">
            <v>0</v>
          </cell>
          <cell r="AV66" t="str">
            <v>3</v>
          </cell>
          <cell r="BE66" t="str">
            <v>ﾙ</v>
          </cell>
          <cell r="BF66" t="str">
            <v>0005</v>
          </cell>
          <cell r="BG66" t="str">
            <v>Z6321</v>
          </cell>
          <cell r="BH66" t="str">
            <v>5Q</v>
          </cell>
          <cell r="BI66" t="str">
            <v>020</v>
          </cell>
        </row>
        <row r="67">
          <cell r="T67" t="str">
            <v>5Q</v>
          </cell>
          <cell r="U67" t="str">
            <v>040</v>
          </cell>
          <cell r="V67" t="str">
            <v xml:space="preserve"> 7B 1D</v>
          </cell>
          <cell r="W67" t="str">
            <v>U7160</v>
          </cell>
          <cell r="Y67" t="str">
            <v>U7160E</v>
          </cell>
          <cell r="Z67" t="str">
            <v>AAB</v>
          </cell>
          <cell r="AB67" t="str">
            <v>T</v>
          </cell>
          <cell r="AD67" t="str">
            <v>*</v>
          </cell>
          <cell r="AE67" t="str">
            <v>2J653</v>
          </cell>
          <cell r="AF67" t="str">
            <v>021223</v>
          </cell>
          <cell r="AI67" t="str">
            <v>*</v>
          </cell>
          <cell r="AJ67" t="str">
            <v>T</v>
          </cell>
          <cell r="AT67" t="str">
            <v>A</v>
          </cell>
          <cell r="AU67" t="str">
            <v>0</v>
          </cell>
          <cell r="AV67" t="str">
            <v>3</v>
          </cell>
          <cell r="BE67" t="str">
            <v>ﾙ</v>
          </cell>
          <cell r="BF67" t="str">
            <v>0005</v>
          </cell>
          <cell r="BG67" t="str">
            <v>Z6321</v>
          </cell>
          <cell r="BH67" t="str">
            <v>5Q</v>
          </cell>
          <cell r="BI67" t="str">
            <v>020</v>
          </cell>
        </row>
        <row r="68">
          <cell r="T68" t="str">
            <v>5Q</v>
          </cell>
          <cell r="U68" t="str">
            <v>040</v>
          </cell>
          <cell r="V68" t="str">
            <v xml:space="preserve"> 7B 1D</v>
          </cell>
          <cell r="W68" t="str">
            <v>U7070</v>
          </cell>
          <cell r="X68" t="str">
            <v xml:space="preserve"> 7B 1D</v>
          </cell>
          <cell r="Y68" t="str">
            <v>U6400Y</v>
          </cell>
          <cell r="Z68" t="str">
            <v>AAB</v>
          </cell>
          <cell r="AB68" t="str">
            <v>T</v>
          </cell>
          <cell r="AD68" t="str">
            <v>X</v>
          </cell>
          <cell r="AE68" t="str">
            <v>Z6360</v>
          </cell>
          <cell r="AF68" t="str">
            <v>010521</v>
          </cell>
          <cell r="AI68" t="str">
            <v>*</v>
          </cell>
          <cell r="AJ68" t="str">
            <v>T</v>
          </cell>
          <cell r="AT68" t="str">
            <v>A</v>
          </cell>
          <cell r="AU68" t="str">
            <v>0</v>
          </cell>
          <cell r="AV68" t="str">
            <v>3</v>
          </cell>
          <cell r="BE68" t="str">
            <v>ﾙ</v>
          </cell>
          <cell r="BF68" t="str">
            <v>0005</v>
          </cell>
          <cell r="BG68" t="str">
            <v>Z6360</v>
          </cell>
        </row>
        <row r="69">
          <cell r="T69" t="str">
            <v>5Q</v>
          </cell>
          <cell r="U69" t="str">
            <v>040</v>
          </cell>
          <cell r="V69" t="str">
            <v xml:space="preserve"> 7B 1A</v>
          </cell>
          <cell r="W69" t="str">
            <v>U0257</v>
          </cell>
          <cell r="Y69" t="str">
            <v>U0257E</v>
          </cell>
          <cell r="Z69" t="str">
            <v>AAC</v>
          </cell>
          <cell r="AB69" t="str">
            <v>T</v>
          </cell>
          <cell r="AD69" t="str">
            <v>*</v>
          </cell>
          <cell r="AE69" t="str">
            <v>2J653</v>
          </cell>
          <cell r="AF69" t="str">
            <v>021223</v>
          </cell>
          <cell r="AI69" t="str">
            <v>*</v>
          </cell>
          <cell r="AJ69" t="str">
            <v>T</v>
          </cell>
          <cell r="AT69" t="str">
            <v>A</v>
          </cell>
          <cell r="AU69" t="str">
            <v>0</v>
          </cell>
          <cell r="AV69" t="str">
            <v>3</v>
          </cell>
          <cell r="BE69" t="str">
            <v>ﾙ</v>
          </cell>
          <cell r="BF69" t="str">
            <v>0005</v>
          </cell>
          <cell r="BG69" t="str">
            <v>Z6384</v>
          </cell>
          <cell r="BH69" t="str">
            <v>5Q</v>
          </cell>
          <cell r="BI69" t="str">
            <v>020</v>
          </cell>
        </row>
        <row r="70">
          <cell r="T70" t="str">
            <v>5Q</v>
          </cell>
          <cell r="U70" t="str">
            <v>040</v>
          </cell>
          <cell r="V70" t="str">
            <v xml:space="preserve"> 7A</v>
          </cell>
          <cell r="W70" t="str">
            <v>U1667</v>
          </cell>
          <cell r="Y70" t="str">
            <v>U1667E</v>
          </cell>
          <cell r="Z70" t="str">
            <v>AAC</v>
          </cell>
          <cell r="AB70" t="str">
            <v>T</v>
          </cell>
          <cell r="AD70" t="str">
            <v>*</v>
          </cell>
          <cell r="AE70" t="str">
            <v>2J653</v>
          </cell>
          <cell r="AF70" t="str">
            <v>021223</v>
          </cell>
          <cell r="AI70" t="str">
            <v>*</v>
          </cell>
          <cell r="AJ70" t="str">
            <v>T</v>
          </cell>
          <cell r="AT70" t="str">
            <v>A</v>
          </cell>
          <cell r="AU70" t="str">
            <v>0</v>
          </cell>
          <cell r="AV70" t="str">
            <v>3</v>
          </cell>
          <cell r="BE70" t="str">
            <v>B</v>
          </cell>
          <cell r="BF70" t="str">
            <v>0005</v>
          </cell>
          <cell r="BG70" t="str">
            <v>Z6364</v>
          </cell>
          <cell r="BH70" t="str">
            <v>5P</v>
          </cell>
          <cell r="BI70" t="str">
            <v>020</v>
          </cell>
        </row>
        <row r="71">
          <cell r="T71" t="str">
            <v>5Q</v>
          </cell>
          <cell r="U71" t="str">
            <v>040</v>
          </cell>
          <cell r="V71" t="str">
            <v xml:space="preserve"> 7B 1C</v>
          </cell>
          <cell r="W71" t="str">
            <v>U4000</v>
          </cell>
          <cell r="Y71" t="str">
            <v>U4000E</v>
          </cell>
          <cell r="Z71" t="str">
            <v>AAC</v>
          </cell>
          <cell r="AB71" t="str">
            <v>T</v>
          </cell>
          <cell r="AD71" t="str">
            <v>*</v>
          </cell>
          <cell r="AE71" t="str">
            <v>2J653</v>
          </cell>
          <cell r="AF71" t="str">
            <v>021223</v>
          </cell>
          <cell r="AI71" t="str">
            <v>*</v>
          </cell>
          <cell r="AJ71" t="str">
            <v>T</v>
          </cell>
          <cell r="AT71" t="str">
            <v>A</v>
          </cell>
          <cell r="AU71" t="str">
            <v>0</v>
          </cell>
          <cell r="AV71" t="str">
            <v>3</v>
          </cell>
          <cell r="BE71" t="str">
            <v>ﾙ</v>
          </cell>
          <cell r="BF71" t="str">
            <v>0005</v>
          </cell>
          <cell r="BG71" t="str">
            <v>JAC62</v>
          </cell>
          <cell r="BH71" t="str">
            <v>5Q</v>
          </cell>
          <cell r="BI71" t="str">
            <v>020</v>
          </cell>
        </row>
        <row r="72">
          <cell r="T72" t="str">
            <v>5Q</v>
          </cell>
          <cell r="U72" t="str">
            <v>040</v>
          </cell>
          <cell r="V72" t="str">
            <v xml:space="preserve"> 7B 1C</v>
          </cell>
          <cell r="W72" t="str">
            <v>U4300</v>
          </cell>
          <cell r="Y72" t="str">
            <v>U4300E</v>
          </cell>
          <cell r="Z72" t="str">
            <v>AAB</v>
          </cell>
          <cell r="AB72" t="str">
            <v>T</v>
          </cell>
          <cell r="AD72" t="str">
            <v>*</v>
          </cell>
          <cell r="AE72" t="str">
            <v>2J653</v>
          </cell>
          <cell r="AF72" t="str">
            <v>021223</v>
          </cell>
          <cell r="AI72" t="str">
            <v>*</v>
          </cell>
          <cell r="AJ72" t="str">
            <v>T</v>
          </cell>
          <cell r="AT72" t="str">
            <v>B</v>
          </cell>
          <cell r="AU72" t="str">
            <v>5</v>
          </cell>
          <cell r="AV72" t="str">
            <v>3</v>
          </cell>
          <cell r="BE72" t="str">
            <v>ﾙ</v>
          </cell>
          <cell r="BF72" t="str">
            <v>0005</v>
          </cell>
          <cell r="BG72" t="str">
            <v>Z6402</v>
          </cell>
          <cell r="BH72" t="str">
            <v>5Q</v>
          </cell>
          <cell r="BI72" t="str">
            <v>020</v>
          </cell>
        </row>
        <row r="73">
          <cell r="T73" t="str">
            <v>5Q</v>
          </cell>
          <cell r="U73" t="str">
            <v>040</v>
          </cell>
          <cell r="V73" t="str">
            <v xml:space="preserve"> 7B 1A</v>
          </cell>
          <cell r="W73" t="str">
            <v>U0085</v>
          </cell>
          <cell r="X73" t="str">
            <v xml:space="preserve"> 7B 1A</v>
          </cell>
          <cell r="Y73" t="str">
            <v>U0113Y</v>
          </cell>
          <cell r="Z73" t="str">
            <v>AAD</v>
          </cell>
          <cell r="AB73" t="str">
            <v>T</v>
          </cell>
          <cell r="AD73" t="str">
            <v>*</v>
          </cell>
          <cell r="AE73" t="str">
            <v>Z6354</v>
          </cell>
          <cell r="AF73" t="str">
            <v>010423</v>
          </cell>
          <cell r="AI73" t="str">
            <v>*</v>
          </cell>
          <cell r="AJ73" t="str">
            <v>T</v>
          </cell>
          <cell r="AT73" t="str">
            <v>A</v>
          </cell>
          <cell r="AU73" t="str">
            <v>0</v>
          </cell>
          <cell r="AV73" t="str">
            <v>3</v>
          </cell>
          <cell r="BE73" t="str">
            <v>ﾙ</v>
          </cell>
          <cell r="BF73" t="str">
            <v>0004</v>
          </cell>
          <cell r="BG73" t="str">
            <v>Z6354</v>
          </cell>
        </row>
        <row r="74">
          <cell r="T74" t="str">
            <v>5Q</v>
          </cell>
          <cell r="U74" t="str">
            <v>040</v>
          </cell>
          <cell r="V74" t="str">
            <v xml:space="preserve"> 7B 1C</v>
          </cell>
          <cell r="W74" t="str">
            <v>U5500</v>
          </cell>
          <cell r="Y74" t="str">
            <v>U5500E</v>
          </cell>
          <cell r="Z74" t="str">
            <v>AAB</v>
          </cell>
          <cell r="AB74" t="str">
            <v>T</v>
          </cell>
          <cell r="AD74" t="str">
            <v>*</v>
          </cell>
          <cell r="AE74" t="str">
            <v>2J653</v>
          </cell>
          <cell r="AF74" t="str">
            <v>021223</v>
          </cell>
          <cell r="AI74" t="str">
            <v>*</v>
          </cell>
          <cell r="AJ74" t="str">
            <v>T</v>
          </cell>
          <cell r="AT74" t="str">
            <v>A</v>
          </cell>
          <cell r="AU74" t="str">
            <v>0</v>
          </cell>
          <cell r="AV74" t="str">
            <v>3</v>
          </cell>
          <cell r="BE74" t="str">
            <v>B</v>
          </cell>
          <cell r="BF74" t="str">
            <v>0005</v>
          </cell>
          <cell r="BG74" t="str">
            <v>Z6366</v>
          </cell>
          <cell r="BH74" t="str">
            <v>5P</v>
          </cell>
          <cell r="BI74" t="str">
            <v>020</v>
          </cell>
        </row>
        <row r="75">
          <cell r="T75" t="str">
            <v>5Q</v>
          </cell>
          <cell r="U75" t="str">
            <v>040</v>
          </cell>
          <cell r="V75" t="str">
            <v xml:space="preserve"> 7B 1C</v>
          </cell>
          <cell r="W75" t="str">
            <v>U5000</v>
          </cell>
          <cell r="Y75" t="str">
            <v>U5000E</v>
          </cell>
          <cell r="Z75" t="str">
            <v>AAC</v>
          </cell>
          <cell r="AB75" t="str">
            <v>T</v>
          </cell>
          <cell r="AD75" t="str">
            <v>*</v>
          </cell>
          <cell r="AE75" t="str">
            <v>2J653</v>
          </cell>
          <cell r="AF75" t="str">
            <v>021223</v>
          </cell>
          <cell r="AI75" t="str">
            <v>*</v>
          </cell>
          <cell r="AJ75" t="str">
            <v>T</v>
          </cell>
          <cell r="AT75" t="str">
            <v>A</v>
          </cell>
          <cell r="AU75" t="str">
            <v>0</v>
          </cell>
          <cell r="AV75" t="str">
            <v>3</v>
          </cell>
          <cell r="BE75" t="str">
            <v>B</v>
          </cell>
          <cell r="BF75" t="str">
            <v>0005</v>
          </cell>
          <cell r="BG75" t="str">
            <v>Z6366</v>
          </cell>
          <cell r="BH75" t="str">
            <v>5Q</v>
          </cell>
          <cell r="BI75" t="str">
            <v>020</v>
          </cell>
        </row>
        <row r="76">
          <cell r="T76" t="str">
            <v>5Q</v>
          </cell>
          <cell r="U76" t="str">
            <v>040</v>
          </cell>
          <cell r="V76" t="str">
            <v xml:space="preserve"> 7B 1C</v>
          </cell>
          <cell r="W76" t="str">
            <v>U5100</v>
          </cell>
          <cell r="Y76" t="str">
            <v>U5100E</v>
          </cell>
          <cell r="Z76" t="str">
            <v>AAB</v>
          </cell>
          <cell r="AB76" t="str">
            <v>T</v>
          </cell>
          <cell r="AD76" t="str">
            <v>*</v>
          </cell>
          <cell r="AE76" t="str">
            <v>2J653</v>
          </cell>
          <cell r="AF76" t="str">
            <v>021223</v>
          </cell>
          <cell r="AI76" t="str">
            <v>*</v>
          </cell>
          <cell r="AJ76" t="str">
            <v>T</v>
          </cell>
          <cell r="AT76" t="str">
            <v>A</v>
          </cell>
          <cell r="AU76" t="str">
            <v>0</v>
          </cell>
          <cell r="AV76" t="str">
            <v>3</v>
          </cell>
          <cell r="BE76" t="str">
            <v>B</v>
          </cell>
          <cell r="BF76" t="str">
            <v>0005</v>
          </cell>
          <cell r="BG76" t="str">
            <v>Z6366</v>
          </cell>
          <cell r="BH76" t="str">
            <v>5Q</v>
          </cell>
          <cell r="BI76" t="str">
            <v>020</v>
          </cell>
        </row>
        <row r="77">
          <cell r="T77" t="str">
            <v>5Q</v>
          </cell>
          <cell r="U77" t="str">
            <v>040</v>
          </cell>
          <cell r="V77" t="str">
            <v xml:space="preserve"> 7B 1C</v>
          </cell>
          <cell r="W77" t="str">
            <v>U5300</v>
          </cell>
          <cell r="Y77" t="str">
            <v>U5300E</v>
          </cell>
          <cell r="Z77" t="str">
            <v>AAA</v>
          </cell>
          <cell r="AB77" t="str">
            <v>T</v>
          </cell>
          <cell r="AD77" t="str">
            <v>*</v>
          </cell>
          <cell r="AE77" t="str">
            <v>2J653</v>
          </cell>
          <cell r="AF77" t="str">
            <v>021223</v>
          </cell>
          <cell r="AI77" t="str">
            <v>*</v>
          </cell>
          <cell r="AJ77" t="str">
            <v>T</v>
          </cell>
          <cell r="AT77" t="str">
            <v>A</v>
          </cell>
          <cell r="AU77" t="str">
            <v>0</v>
          </cell>
          <cell r="AV77" t="str">
            <v>3</v>
          </cell>
          <cell r="BE77" t="str">
            <v>ﾙ</v>
          </cell>
          <cell r="BF77" t="str">
            <v>0008</v>
          </cell>
        </row>
        <row r="78">
          <cell r="T78" t="str">
            <v>5Q</v>
          </cell>
          <cell r="U78" t="str">
            <v>040</v>
          </cell>
          <cell r="V78" t="str">
            <v xml:space="preserve"> 7B 1C</v>
          </cell>
          <cell r="W78" t="str">
            <v>U6200</v>
          </cell>
          <cell r="Y78" t="str">
            <v>U6200E</v>
          </cell>
          <cell r="Z78" t="str">
            <v>AAA</v>
          </cell>
          <cell r="AB78" t="str">
            <v>T</v>
          </cell>
          <cell r="AD78" t="str">
            <v>*</v>
          </cell>
          <cell r="AE78" t="str">
            <v>2J653</v>
          </cell>
          <cell r="AF78" t="str">
            <v>021223</v>
          </cell>
          <cell r="AI78" t="str">
            <v>*</v>
          </cell>
          <cell r="AJ78" t="str">
            <v>T</v>
          </cell>
          <cell r="AT78" t="str">
            <v>A</v>
          </cell>
          <cell r="AU78" t="str">
            <v>0</v>
          </cell>
          <cell r="AV78" t="str">
            <v>3</v>
          </cell>
          <cell r="BE78" t="str">
            <v>ﾙ</v>
          </cell>
          <cell r="BF78" t="str">
            <v>0008</v>
          </cell>
        </row>
        <row r="79">
          <cell r="T79" t="str">
            <v>5Q</v>
          </cell>
          <cell r="U79" t="str">
            <v>040</v>
          </cell>
          <cell r="V79" t="str">
            <v xml:space="preserve"> 7A</v>
          </cell>
          <cell r="W79" t="str">
            <v>U1345</v>
          </cell>
          <cell r="X79" t="str">
            <v xml:space="preserve"> 7A</v>
          </cell>
          <cell r="Y79" t="str">
            <v>U2960Y</v>
          </cell>
          <cell r="Z79" t="str">
            <v>AAL</v>
          </cell>
          <cell r="AB79" t="str">
            <v>T</v>
          </cell>
          <cell r="AD79" t="str">
            <v>*</v>
          </cell>
          <cell r="AE79" t="str">
            <v>2J653</v>
          </cell>
          <cell r="AF79" t="str">
            <v>021223</v>
          </cell>
          <cell r="AI79" t="str">
            <v>*</v>
          </cell>
          <cell r="AJ79" t="str">
            <v>T</v>
          </cell>
          <cell r="AT79" t="str">
            <v>A</v>
          </cell>
          <cell r="AU79" t="str">
            <v>0</v>
          </cell>
          <cell r="AV79" t="str">
            <v>3</v>
          </cell>
          <cell r="BE79" t="str">
            <v>ﾙ</v>
          </cell>
          <cell r="BF79" t="str">
            <v>0055</v>
          </cell>
          <cell r="BG79" t="str">
            <v>KOUBA</v>
          </cell>
        </row>
        <row r="80">
          <cell r="T80" t="str">
            <v>5Q</v>
          </cell>
          <cell r="U80" t="str">
            <v>040</v>
          </cell>
          <cell r="V80" t="str">
            <v xml:space="preserve"> 7B 1C</v>
          </cell>
          <cell r="W80" t="str">
            <v>U6500</v>
          </cell>
          <cell r="Y80" t="str">
            <v>U6500E</v>
          </cell>
          <cell r="Z80" t="str">
            <v>AAA</v>
          </cell>
          <cell r="AB80" t="str">
            <v>T</v>
          </cell>
          <cell r="AD80" t="str">
            <v>*</v>
          </cell>
          <cell r="AE80" t="str">
            <v>2J653</v>
          </cell>
          <cell r="AF80" t="str">
            <v>021223</v>
          </cell>
          <cell r="AI80" t="str">
            <v>*</v>
          </cell>
          <cell r="AJ80" t="str">
            <v>T</v>
          </cell>
          <cell r="AT80" t="str">
            <v>A</v>
          </cell>
          <cell r="AU80" t="str">
            <v>0</v>
          </cell>
          <cell r="AV80" t="str">
            <v>3</v>
          </cell>
          <cell r="BF80" t="str">
            <v>0008</v>
          </cell>
        </row>
        <row r="81">
          <cell r="T81" t="str">
            <v>5Q</v>
          </cell>
          <cell r="U81" t="str">
            <v>040</v>
          </cell>
          <cell r="V81" t="str">
            <v xml:space="preserve"> 7B 1C</v>
          </cell>
          <cell r="W81" t="str">
            <v>U6600</v>
          </cell>
          <cell r="Y81" t="str">
            <v>U6600E</v>
          </cell>
          <cell r="Z81" t="str">
            <v>AAB</v>
          </cell>
          <cell r="AB81" t="str">
            <v>T</v>
          </cell>
          <cell r="AD81" t="str">
            <v>*</v>
          </cell>
          <cell r="AE81" t="str">
            <v>2J653</v>
          </cell>
          <cell r="AF81" t="str">
            <v>021223</v>
          </cell>
          <cell r="AI81" t="str">
            <v>*</v>
          </cell>
          <cell r="AJ81" t="str">
            <v>T</v>
          </cell>
          <cell r="AT81" t="str">
            <v>A</v>
          </cell>
          <cell r="AU81" t="str">
            <v>0</v>
          </cell>
          <cell r="AV81" t="str">
            <v>3</v>
          </cell>
          <cell r="BE81" t="str">
            <v>ﾙ</v>
          </cell>
          <cell r="BF81" t="str">
            <v>0008</v>
          </cell>
          <cell r="BG81" t="str">
            <v>JZ870</v>
          </cell>
          <cell r="BH81" t="str">
            <v>5P</v>
          </cell>
          <cell r="BI81" t="str">
            <v>020</v>
          </cell>
        </row>
        <row r="82">
          <cell r="T82" t="str">
            <v>5Q</v>
          </cell>
          <cell r="U82" t="str">
            <v>040</v>
          </cell>
          <cell r="V82" t="str">
            <v xml:space="preserve"> 5D</v>
          </cell>
          <cell r="W82" t="str">
            <v>U5160</v>
          </cell>
          <cell r="Y82" t="str">
            <v>U5160E</v>
          </cell>
          <cell r="Z82" t="str">
            <v>AAC</v>
          </cell>
          <cell r="AB82" t="str">
            <v>F</v>
          </cell>
          <cell r="AD82" t="str">
            <v>*</v>
          </cell>
          <cell r="AE82" t="str">
            <v>2J653</v>
          </cell>
          <cell r="AF82" t="str">
            <v>021223</v>
          </cell>
          <cell r="AI82" t="str">
            <v>*</v>
          </cell>
          <cell r="AJ82" t="str">
            <v>T</v>
          </cell>
          <cell r="AT82" t="str">
            <v>A</v>
          </cell>
          <cell r="AU82" t="str">
            <v>0</v>
          </cell>
          <cell r="AV82" t="str">
            <v>3</v>
          </cell>
          <cell r="BE82" t="str">
            <v>ｲ</v>
          </cell>
          <cell r="BF82" t="str">
            <v>0051</v>
          </cell>
          <cell r="BG82" t="str">
            <v>7J395</v>
          </cell>
          <cell r="BH82" t="str">
            <v>5Q</v>
          </cell>
          <cell r="BI82" t="str">
            <v>020</v>
          </cell>
        </row>
        <row r="83">
          <cell r="T83" t="str">
            <v>5Q</v>
          </cell>
          <cell r="U83" t="str">
            <v>040</v>
          </cell>
          <cell r="V83" t="str">
            <v xml:space="preserve"> 5D</v>
          </cell>
          <cell r="W83" t="str">
            <v>U5160</v>
          </cell>
          <cell r="Y83" t="str">
            <v>U5160E</v>
          </cell>
          <cell r="Z83" t="str">
            <v>AAB</v>
          </cell>
          <cell r="AB83" t="str">
            <v>F</v>
          </cell>
          <cell r="AD83" t="str">
            <v>*</v>
          </cell>
          <cell r="AE83" t="str">
            <v>2J653</v>
          </cell>
          <cell r="AF83" t="str">
            <v>021223</v>
          </cell>
          <cell r="AI83" t="str">
            <v>*</v>
          </cell>
          <cell r="AJ83" t="str">
            <v>T</v>
          </cell>
          <cell r="AT83" t="str">
            <v>A</v>
          </cell>
          <cell r="AU83" t="str">
            <v>0</v>
          </cell>
          <cell r="AV83" t="str">
            <v>3</v>
          </cell>
          <cell r="BE83" t="str">
            <v>I</v>
          </cell>
          <cell r="BF83" t="str">
            <v>0038</v>
          </cell>
          <cell r="BG83" t="str">
            <v>JAY68</v>
          </cell>
          <cell r="BH83" t="str">
            <v>5Q</v>
          </cell>
          <cell r="BI83" t="str">
            <v>020</v>
          </cell>
        </row>
        <row r="84">
          <cell r="T84" t="str">
            <v>5Q</v>
          </cell>
          <cell r="U84" t="str">
            <v>040</v>
          </cell>
          <cell r="V84" t="str">
            <v xml:space="preserve"> 7B 3C</v>
          </cell>
          <cell r="W84" t="str">
            <v>U1000</v>
          </cell>
          <cell r="X84" t="str">
            <v xml:space="preserve"> 7B 3C</v>
          </cell>
          <cell r="Y84" t="str">
            <v>U1850Y</v>
          </cell>
          <cell r="Z84" t="str">
            <v>AAH</v>
          </cell>
          <cell r="AB84" t="str">
            <v>U</v>
          </cell>
          <cell r="AD84" t="str">
            <v>*</v>
          </cell>
          <cell r="AE84" t="str">
            <v>JBN49</v>
          </cell>
          <cell r="AF84" t="str">
            <v>020701</v>
          </cell>
          <cell r="AI84" t="str">
            <v>*</v>
          </cell>
          <cell r="AJ84" t="str">
            <v>T</v>
          </cell>
          <cell r="AT84" t="str">
            <v>A</v>
          </cell>
          <cell r="AU84" t="str">
            <v>0</v>
          </cell>
          <cell r="AV84" t="str">
            <v>3</v>
          </cell>
          <cell r="BE84" t="str">
            <v>ﾙ</v>
          </cell>
          <cell r="BF84" t="str">
            <v>0002</v>
          </cell>
          <cell r="BG84" t="str">
            <v>2J618</v>
          </cell>
        </row>
        <row r="85">
          <cell r="T85" t="str">
            <v>5Q</v>
          </cell>
          <cell r="U85" t="str">
            <v>040</v>
          </cell>
          <cell r="V85" t="str">
            <v xml:space="preserve"> 7B 1A</v>
          </cell>
          <cell r="W85" t="str">
            <v>U0085</v>
          </cell>
          <cell r="Y85" t="str">
            <v>U0085E</v>
          </cell>
          <cell r="Z85" t="str">
            <v>AAB</v>
          </cell>
          <cell r="AB85" t="str">
            <v>T</v>
          </cell>
          <cell r="AD85" t="str">
            <v>*</v>
          </cell>
          <cell r="AE85" t="str">
            <v>2J653</v>
          </cell>
          <cell r="AF85" t="str">
            <v>021223</v>
          </cell>
          <cell r="AI85" t="str">
            <v>*</v>
          </cell>
          <cell r="AJ85" t="str">
            <v>T</v>
          </cell>
          <cell r="AT85" t="str">
            <v>3</v>
          </cell>
          <cell r="AU85" t="str">
            <v>0</v>
          </cell>
          <cell r="AV85" t="str">
            <v>7</v>
          </cell>
          <cell r="BE85" t="str">
            <v>ﾙ</v>
          </cell>
          <cell r="BF85" t="str">
            <v>0004</v>
          </cell>
          <cell r="BG85" t="str">
            <v>S0974</v>
          </cell>
        </row>
        <row r="86">
          <cell r="T86" t="str">
            <v>5Q</v>
          </cell>
          <cell r="U86" t="str">
            <v>040</v>
          </cell>
          <cell r="V86" t="str">
            <v xml:space="preserve"> 7B 1A</v>
          </cell>
          <cell r="W86" t="str">
            <v>U0200</v>
          </cell>
          <cell r="Y86" t="str">
            <v>U0200E</v>
          </cell>
          <cell r="Z86" t="str">
            <v>AAG</v>
          </cell>
          <cell r="AB86" t="str">
            <v>T</v>
          </cell>
          <cell r="AD86" t="str">
            <v>*</v>
          </cell>
          <cell r="AE86" t="str">
            <v>2J653</v>
          </cell>
          <cell r="AF86" t="str">
            <v>021223</v>
          </cell>
          <cell r="AI86" t="str">
            <v>*</v>
          </cell>
          <cell r="AJ86" t="str">
            <v>T</v>
          </cell>
          <cell r="AT86" t="str">
            <v>G</v>
          </cell>
          <cell r="AU86" t="str">
            <v>5</v>
          </cell>
          <cell r="AV86" t="str">
            <v>7</v>
          </cell>
          <cell r="BE86" t="str">
            <v>E</v>
          </cell>
          <cell r="BF86" t="str">
            <v>0056</v>
          </cell>
          <cell r="BG86" t="str">
            <v>Z6456</v>
          </cell>
          <cell r="BH86" t="str">
            <v>5Q</v>
          </cell>
          <cell r="BI86" t="str">
            <v>020</v>
          </cell>
        </row>
        <row r="87">
          <cell r="T87" t="str">
            <v>5Q</v>
          </cell>
          <cell r="U87" t="str">
            <v>040</v>
          </cell>
          <cell r="V87" t="str">
            <v xml:space="preserve"> 7B 1A</v>
          </cell>
          <cell r="W87" t="str">
            <v>U4555</v>
          </cell>
          <cell r="Y87" t="str">
            <v>U4555E</v>
          </cell>
          <cell r="Z87" t="str">
            <v>AAB</v>
          </cell>
          <cell r="AB87" t="str">
            <v>T</v>
          </cell>
          <cell r="AD87" t="str">
            <v>*</v>
          </cell>
          <cell r="AE87" t="str">
            <v>2J653</v>
          </cell>
          <cell r="AF87" t="str">
            <v>021223</v>
          </cell>
          <cell r="AI87" t="str">
            <v>*</v>
          </cell>
          <cell r="AJ87" t="str">
            <v>T</v>
          </cell>
          <cell r="AT87" t="str">
            <v>A</v>
          </cell>
          <cell r="AU87" t="str">
            <v>0</v>
          </cell>
          <cell r="AV87" t="str">
            <v>3</v>
          </cell>
          <cell r="BE87" t="str">
            <v>ﾙ</v>
          </cell>
          <cell r="BF87" t="str">
            <v>0028</v>
          </cell>
        </row>
        <row r="88">
          <cell r="T88" t="str">
            <v>5Q</v>
          </cell>
          <cell r="U88" t="str">
            <v>040</v>
          </cell>
          <cell r="V88" t="str">
            <v xml:space="preserve"> 7B 1A</v>
          </cell>
          <cell r="W88" t="str">
            <v>U7000</v>
          </cell>
          <cell r="Y88" t="str">
            <v>U7000E</v>
          </cell>
          <cell r="Z88" t="str">
            <v>AAA</v>
          </cell>
          <cell r="AB88" t="str">
            <v>T</v>
          </cell>
          <cell r="AD88" t="str">
            <v>*</v>
          </cell>
          <cell r="AE88" t="str">
            <v>2J653</v>
          </cell>
          <cell r="AF88" t="str">
            <v>021223</v>
          </cell>
          <cell r="AI88" t="str">
            <v>*</v>
          </cell>
          <cell r="AJ88" t="str">
            <v>T</v>
          </cell>
          <cell r="AT88" t="str">
            <v>A</v>
          </cell>
          <cell r="AU88" t="str">
            <v>0</v>
          </cell>
          <cell r="AV88" t="str">
            <v>3</v>
          </cell>
          <cell r="BE88" t="str">
            <v>ﾙ</v>
          </cell>
          <cell r="BF88" t="str">
            <v>0005</v>
          </cell>
        </row>
        <row r="89">
          <cell r="T89" t="str">
            <v>5Q</v>
          </cell>
          <cell r="U89" t="str">
            <v>040</v>
          </cell>
          <cell r="V89" t="str">
            <v xml:space="preserve"> 7B 1D</v>
          </cell>
          <cell r="W89" t="str">
            <v>U7100</v>
          </cell>
          <cell r="Y89" t="str">
            <v>U7100E</v>
          </cell>
          <cell r="Z89" t="str">
            <v>AAC</v>
          </cell>
          <cell r="AB89" t="str">
            <v>T</v>
          </cell>
          <cell r="AD89" t="str">
            <v>*</v>
          </cell>
          <cell r="AE89" t="str">
            <v>2J653</v>
          </cell>
          <cell r="AF89" t="str">
            <v>021223</v>
          </cell>
          <cell r="AI89" t="str">
            <v>*</v>
          </cell>
          <cell r="AJ89" t="str">
            <v>T</v>
          </cell>
          <cell r="AT89" t="str">
            <v>H</v>
          </cell>
          <cell r="AU89" t="str">
            <v>5</v>
          </cell>
          <cell r="AV89" t="str">
            <v>8</v>
          </cell>
          <cell r="BE89" t="str">
            <v>ﾙ</v>
          </cell>
          <cell r="BF89" t="str">
            <v>0042</v>
          </cell>
          <cell r="BG89" t="str">
            <v>V PLA</v>
          </cell>
        </row>
        <row r="90">
          <cell r="T90" t="str">
            <v>5Q</v>
          </cell>
          <cell r="U90" t="str">
            <v>040</v>
          </cell>
          <cell r="V90" t="str">
            <v xml:space="preserve"> 7B 1D</v>
          </cell>
          <cell r="W90" t="str">
            <v>U7100</v>
          </cell>
          <cell r="X90" t="str">
            <v xml:space="preserve"> 7B 1D</v>
          </cell>
          <cell r="Y90" t="str">
            <v>U0452Y</v>
          </cell>
          <cell r="Z90" t="str">
            <v>AAC</v>
          </cell>
          <cell r="AB90" t="str">
            <v>T</v>
          </cell>
          <cell r="AD90" t="str">
            <v>*</v>
          </cell>
          <cell r="AE90" t="str">
            <v>2J619</v>
          </cell>
          <cell r="AF90" t="str">
            <v>000809</v>
          </cell>
          <cell r="AI90" t="str">
            <v>*</v>
          </cell>
          <cell r="AJ90" t="str">
            <v>T</v>
          </cell>
          <cell r="AT90" t="str">
            <v>H</v>
          </cell>
          <cell r="AU90" t="str">
            <v>5</v>
          </cell>
          <cell r="AV90" t="str">
            <v>8</v>
          </cell>
          <cell r="BE90" t="str">
            <v>1</v>
          </cell>
          <cell r="BF90" t="str">
            <v>0042</v>
          </cell>
          <cell r="BG90" t="str">
            <v>V PLA</v>
          </cell>
        </row>
        <row r="91">
          <cell r="T91" t="str">
            <v>5Q</v>
          </cell>
          <cell r="U91" t="str">
            <v>040</v>
          </cell>
          <cell r="V91" t="str">
            <v xml:space="preserve"> 7B 1D</v>
          </cell>
          <cell r="W91" t="str">
            <v>U7110</v>
          </cell>
          <cell r="Y91" t="str">
            <v>U7110E</v>
          </cell>
          <cell r="Z91" t="str">
            <v>AAG</v>
          </cell>
          <cell r="AB91" t="str">
            <v>T</v>
          </cell>
          <cell r="AD91" t="str">
            <v>*</v>
          </cell>
          <cell r="AE91" t="str">
            <v>2J653</v>
          </cell>
          <cell r="AF91" t="str">
            <v>021223</v>
          </cell>
          <cell r="AI91" t="str">
            <v>*</v>
          </cell>
          <cell r="AJ91" t="str">
            <v>T</v>
          </cell>
          <cell r="AT91" t="str">
            <v>2</v>
          </cell>
          <cell r="AU91" t="str">
            <v>0</v>
          </cell>
          <cell r="AV91" t="str">
            <v>7</v>
          </cell>
          <cell r="BE91" t="str">
            <v>ﾙ</v>
          </cell>
          <cell r="BF91" t="str">
            <v>0043</v>
          </cell>
          <cell r="BG91" t="str">
            <v>Z6400</v>
          </cell>
          <cell r="BH91" t="str">
            <v>5Q</v>
          </cell>
          <cell r="BI91" t="str">
            <v>020</v>
          </cell>
        </row>
        <row r="92">
          <cell r="T92" t="str">
            <v>5Q</v>
          </cell>
          <cell r="U92" t="str">
            <v>040</v>
          </cell>
          <cell r="V92" t="str">
            <v xml:space="preserve"> 7B 1D</v>
          </cell>
          <cell r="W92" t="str">
            <v>U7110</v>
          </cell>
          <cell r="X92" t="str">
            <v xml:space="preserve"> 7B 1D</v>
          </cell>
          <cell r="Y92" t="str">
            <v>U0470Y</v>
          </cell>
          <cell r="Z92" t="str">
            <v>AAJ</v>
          </cell>
          <cell r="AB92" t="str">
            <v>T</v>
          </cell>
          <cell r="AD92" t="str">
            <v>*</v>
          </cell>
          <cell r="AE92" t="str">
            <v>Z6400</v>
          </cell>
          <cell r="AF92" t="str">
            <v>011022</v>
          </cell>
          <cell r="AI92" t="str">
            <v>*</v>
          </cell>
          <cell r="AJ92" t="str">
            <v>T</v>
          </cell>
          <cell r="AT92" t="str">
            <v>H</v>
          </cell>
          <cell r="AU92" t="str">
            <v>5</v>
          </cell>
          <cell r="AV92" t="str">
            <v>8</v>
          </cell>
          <cell r="BE92" t="str">
            <v>ﾙ</v>
          </cell>
          <cell r="BF92" t="str">
            <v>0043</v>
          </cell>
          <cell r="BG92" t="str">
            <v>2J619</v>
          </cell>
        </row>
        <row r="93">
          <cell r="T93" t="str">
            <v>5Q</v>
          </cell>
          <cell r="U93" t="str">
            <v>040</v>
          </cell>
          <cell r="V93" t="str">
            <v xml:space="preserve"> 7B 1D</v>
          </cell>
          <cell r="W93" t="str">
            <v>U7130</v>
          </cell>
          <cell r="Y93" t="str">
            <v>U7130E</v>
          </cell>
          <cell r="Z93" t="str">
            <v>AAB</v>
          </cell>
          <cell r="AB93" t="str">
            <v>T</v>
          </cell>
          <cell r="AD93" t="str">
            <v>*</v>
          </cell>
          <cell r="AE93" t="str">
            <v>2J653</v>
          </cell>
          <cell r="AF93" t="str">
            <v>021223</v>
          </cell>
          <cell r="AI93" t="str">
            <v>*</v>
          </cell>
          <cell r="AJ93" t="str">
            <v>T</v>
          </cell>
          <cell r="AT93" t="str">
            <v>2</v>
          </cell>
          <cell r="AU93" t="str">
            <v>0</v>
          </cell>
          <cell r="AV93" t="str">
            <v>7</v>
          </cell>
          <cell r="BE93" t="str">
            <v>ﾙ</v>
          </cell>
          <cell r="BF93" t="str">
            <v>0015</v>
          </cell>
          <cell r="BG93" t="str">
            <v>2J619</v>
          </cell>
          <cell r="BH93" t="str">
            <v>5Q</v>
          </cell>
          <cell r="BI93" t="str">
            <v>020</v>
          </cell>
        </row>
        <row r="94">
          <cell r="T94" t="str">
            <v>5Q</v>
          </cell>
          <cell r="U94" t="str">
            <v>040</v>
          </cell>
          <cell r="V94" t="str">
            <v xml:space="preserve"> 7B 1D</v>
          </cell>
          <cell r="W94" t="str">
            <v>U7130</v>
          </cell>
          <cell r="X94" t="str">
            <v xml:space="preserve"> 7B 1D</v>
          </cell>
          <cell r="Y94" t="str">
            <v>U0520Y</v>
          </cell>
          <cell r="Z94" t="str">
            <v>AAB</v>
          </cell>
          <cell r="AB94" t="str">
            <v>T</v>
          </cell>
          <cell r="AD94" t="str">
            <v>*</v>
          </cell>
          <cell r="AE94" t="str">
            <v>2J619</v>
          </cell>
          <cell r="AF94" t="str">
            <v>000809</v>
          </cell>
          <cell r="AI94" t="str">
            <v>*</v>
          </cell>
          <cell r="AJ94" t="str">
            <v>T</v>
          </cell>
          <cell r="AT94" t="str">
            <v>B</v>
          </cell>
          <cell r="AU94" t="str">
            <v>5</v>
          </cell>
          <cell r="AV94" t="str">
            <v>3</v>
          </cell>
          <cell r="BE94" t="str">
            <v>ﾙ</v>
          </cell>
          <cell r="BF94" t="str">
            <v>0015</v>
          </cell>
          <cell r="BG94" t="str">
            <v>2J619</v>
          </cell>
        </row>
        <row r="95">
          <cell r="T95" t="str">
            <v>5Q</v>
          </cell>
          <cell r="U95" t="str">
            <v>040</v>
          </cell>
          <cell r="V95" t="str">
            <v xml:space="preserve"> 7B 1D</v>
          </cell>
          <cell r="W95" t="str">
            <v>U7270</v>
          </cell>
          <cell r="Y95" t="str">
            <v>U7270E</v>
          </cell>
          <cell r="Z95" t="str">
            <v>AAC</v>
          </cell>
          <cell r="AB95" t="str">
            <v>T</v>
          </cell>
          <cell r="AD95" t="str">
            <v>*</v>
          </cell>
          <cell r="AE95" t="str">
            <v>2J653</v>
          </cell>
          <cell r="AF95" t="str">
            <v>021223</v>
          </cell>
          <cell r="AI95" t="str">
            <v>*</v>
          </cell>
          <cell r="AJ95" t="str">
            <v>T</v>
          </cell>
          <cell r="AT95" t="str">
            <v>B</v>
          </cell>
          <cell r="AU95" t="str">
            <v>5</v>
          </cell>
          <cell r="AV95" t="str">
            <v>3</v>
          </cell>
          <cell r="BE95" t="str">
            <v>ﾙ</v>
          </cell>
          <cell r="BF95" t="str">
            <v>0046</v>
          </cell>
          <cell r="BG95" t="str">
            <v>V PLA</v>
          </cell>
        </row>
        <row r="96">
          <cell r="T96" t="str">
            <v>5Q</v>
          </cell>
          <cell r="U96" t="str">
            <v>040</v>
          </cell>
          <cell r="V96" t="str">
            <v xml:space="preserve"> 7B 1D</v>
          </cell>
          <cell r="W96" t="str">
            <v>U7320</v>
          </cell>
          <cell r="Y96" t="str">
            <v>U7320E</v>
          </cell>
          <cell r="Z96" t="str">
            <v>AAA</v>
          </cell>
          <cell r="AB96" t="str">
            <v>T</v>
          </cell>
          <cell r="AD96" t="str">
            <v>*</v>
          </cell>
          <cell r="AE96" t="str">
            <v>2J653</v>
          </cell>
          <cell r="AF96" t="str">
            <v>021223</v>
          </cell>
          <cell r="AI96" t="str">
            <v>*</v>
          </cell>
          <cell r="AJ96" t="str">
            <v>T</v>
          </cell>
          <cell r="AT96" t="str">
            <v>2</v>
          </cell>
          <cell r="AU96" t="str">
            <v>0</v>
          </cell>
          <cell r="AV96" t="str">
            <v>7</v>
          </cell>
          <cell r="BE96" t="str">
            <v>ﾙ</v>
          </cell>
          <cell r="BF96" t="str">
            <v>0020</v>
          </cell>
          <cell r="BG96" t="str">
            <v>2J619</v>
          </cell>
          <cell r="BH96" t="str">
            <v>5Q</v>
          </cell>
          <cell r="BI96" t="str">
            <v>020</v>
          </cell>
        </row>
        <row r="97">
          <cell r="T97" t="str">
            <v>5Q</v>
          </cell>
          <cell r="U97" t="str">
            <v>040</v>
          </cell>
          <cell r="V97" t="str">
            <v xml:space="preserve"> 7B 1D</v>
          </cell>
          <cell r="W97" t="str">
            <v>U7320</v>
          </cell>
          <cell r="Y97" t="str">
            <v>U7320E</v>
          </cell>
          <cell r="Z97" t="str">
            <v>AAB</v>
          </cell>
          <cell r="AB97" t="str">
            <v>T</v>
          </cell>
          <cell r="AD97" t="str">
            <v>*</v>
          </cell>
          <cell r="AE97" t="str">
            <v>2J653</v>
          </cell>
          <cell r="AF97" t="str">
            <v>021223</v>
          </cell>
          <cell r="AI97" t="str">
            <v>*</v>
          </cell>
          <cell r="AJ97" t="str">
            <v>T</v>
          </cell>
          <cell r="AT97" t="str">
            <v>2</v>
          </cell>
          <cell r="AU97" t="str">
            <v>0</v>
          </cell>
          <cell r="AV97" t="str">
            <v>7</v>
          </cell>
          <cell r="BE97" t="str">
            <v>ﾙ</v>
          </cell>
          <cell r="BF97" t="str">
            <v>0023</v>
          </cell>
          <cell r="BG97" t="str">
            <v>2J619</v>
          </cell>
          <cell r="BH97" t="str">
            <v>5Q</v>
          </cell>
          <cell r="BI97" t="str">
            <v>020</v>
          </cell>
        </row>
        <row r="98">
          <cell r="T98" t="str">
            <v>5Q</v>
          </cell>
          <cell r="U98" t="str">
            <v>040</v>
          </cell>
          <cell r="V98" t="str">
            <v xml:space="preserve"> 7B 1D</v>
          </cell>
          <cell r="W98" t="str">
            <v>U7320</v>
          </cell>
          <cell r="X98" t="str">
            <v xml:space="preserve"> 7B 1D</v>
          </cell>
          <cell r="Y98" t="str">
            <v>U1581Y</v>
          </cell>
          <cell r="Z98" t="str">
            <v>AAA</v>
          </cell>
          <cell r="AB98" t="str">
            <v>T</v>
          </cell>
          <cell r="AD98" t="str">
            <v>*</v>
          </cell>
          <cell r="AE98" t="str">
            <v>2J619</v>
          </cell>
          <cell r="AF98" t="str">
            <v>000809</v>
          </cell>
          <cell r="AI98" t="str">
            <v>*</v>
          </cell>
          <cell r="AJ98" t="str">
            <v>T</v>
          </cell>
          <cell r="AT98" t="str">
            <v>H</v>
          </cell>
          <cell r="AU98" t="str">
            <v>5</v>
          </cell>
          <cell r="AV98" t="str">
            <v>3</v>
          </cell>
          <cell r="BE98" t="str">
            <v>1</v>
          </cell>
          <cell r="BF98" t="str">
            <v>0020</v>
          </cell>
          <cell r="BG98" t="str">
            <v>KOUBA</v>
          </cell>
        </row>
        <row r="99">
          <cell r="T99" t="str">
            <v>5Q</v>
          </cell>
          <cell r="U99" t="str">
            <v>040</v>
          </cell>
          <cell r="V99" t="str">
            <v xml:space="preserve"> 7B 1D</v>
          </cell>
          <cell r="W99" t="str">
            <v>U7320</v>
          </cell>
          <cell r="X99" t="str">
            <v xml:space="preserve"> 7B 1D</v>
          </cell>
          <cell r="Y99" t="str">
            <v>U1583Y</v>
          </cell>
          <cell r="Z99" t="str">
            <v>AAG</v>
          </cell>
          <cell r="AB99" t="str">
            <v>T</v>
          </cell>
          <cell r="AD99" t="str">
            <v>*</v>
          </cell>
          <cell r="AE99" t="str">
            <v>Z6336</v>
          </cell>
          <cell r="AF99" t="str">
            <v>001211</v>
          </cell>
          <cell r="AI99" t="str">
            <v>*</v>
          </cell>
          <cell r="AJ99" t="str">
            <v>T</v>
          </cell>
          <cell r="AT99" t="str">
            <v>H</v>
          </cell>
          <cell r="AU99" t="str">
            <v>5</v>
          </cell>
          <cell r="AV99" t="str">
            <v>8</v>
          </cell>
          <cell r="BE99" t="str">
            <v>1</v>
          </cell>
          <cell r="BF99" t="str">
            <v>0021</v>
          </cell>
          <cell r="BG99" t="str">
            <v>V PLA</v>
          </cell>
        </row>
        <row r="100">
          <cell r="T100" t="str">
            <v>5Q</v>
          </cell>
          <cell r="U100" t="str">
            <v>040</v>
          </cell>
          <cell r="V100" t="str">
            <v xml:space="preserve"> 7B 1D</v>
          </cell>
          <cell r="W100" t="str">
            <v>U7320</v>
          </cell>
          <cell r="X100" t="str">
            <v xml:space="preserve"> 7B 1D</v>
          </cell>
          <cell r="Y100" t="str">
            <v>U1581Y</v>
          </cell>
          <cell r="Z100" t="str">
            <v>AAC</v>
          </cell>
          <cell r="AB100" t="str">
            <v>T</v>
          </cell>
          <cell r="AD100" t="str">
            <v>*</v>
          </cell>
          <cell r="AE100" t="str">
            <v>2J619</v>
          </cell>
          <cell r="AF100" t="str">
            <v>000809</v>
          </cell>
          <cell r="AI100" t="str">
            <v>*</v>
          </cell>
          <cell r="AJ100" t="str">
            <v>T</v>
          </cell>
          <cell r="AT100" t="str">
            <v>H</v>
          </cell>
          <cell r="AU100" t="str">
            <v>5</v>
          </cell>
          <cell r="AV100" t="str">
            <v>3</v>
          </cell>
          <cell r="BE100" t="str">
            <v>1</v>
          </cell>
          <cell r="BF100" t="str">
            <v>0021</v>
          </cell>
          <cell r="BG100" t="str">
            <v>KOUBA</v>
          </cell>
        </row>
        <row r="101">
          <cell r="T101" t="str">
            <v>5Q</v>
          </cell>
          <cell r="U101" t="str">
            <v>040</v>
          </cell>
          <cell r="V101" t="str">
            <v xml:space="preserve"> 7B 1D</v>
          </cell>
          <cell r="W101" t="str">
            <v>U7320</v>
          </cell>
          <cell r="X101" t="str">
            <v xml:space="preserve"> 7B 1D</v>
          </cell>
          <cell r="Y101" t="str">
            <v>U1583Y</v>
          </cell>
          <cell r="Z101" t="str">
            <v>AAE</v>
          </cell>
          <cell r="AB101" t="str">
            <v>T</v>
          </cell>
          <cell r="AD101" t="str">
            <v>*</v>
          </cell>
          <cell r="AE101" t="str">
            <v>Z6336</v>
          </cell>
          <cell r="AF101" t="str">
            <v>001211</v>
          </cell>
          <cell r="AI101" t="str">
            <v>*</v>
          </cell>
          <cell r="AJ101" t="str">
            <v>T</v>
          </cell>
          <cell r="AT101" t="str">
            <v>H</v>
          </cell>
          <cell r="AU101" t="str">
            <v>5</v>
          </cell>
          <cell r="AV101" t="str">
            <v>8</v>
          </cell>
          <cell r="BE101" t="str">
            <v>1</v>
          </cell>
          <cell r="BF101" t="str">
            <v>0020</v>
          </cell>
          <cell r="BG101" t="str">
            <v>V PLA</v>
          </cell>
        </row>
        <row r="102">
          <cell r="T102" t="str">
            <v>5Q</v>
          </cell>
          <cell r="U102" t="str">
            <v>040</v>
          </cell>
          <cell r="V102" t="str">
            <v xml:space="preserve"> 7B 1D</v>
          </cell>
          <cell r="W102" t="str">
            <v>U7320</v>
          </cell>
          <cell r="X102" t="str">
            <v xml:space="preserve"> 7B 1D</v>
          </cell>
          <cell r="Y102" t="str">
            <v>U1583Y</v>
          </cell>
          <cell r="Z102" t="str">
            <v>AAF</v>
          </cell>
          <cell r="AB102" t="str">
            <v>T</v>
          </cell>
          <cell r="AD102" t="str">
            <v>*</v>
          </cell>
          <cell r="AE102" t="str">
            <v>Z6336</v>
          </cell>
          <cell r="AF102" t="str">
            <v>001211</v>
          </cell>
          <cell r="AI102" t="str">
            <v>*</v>
          </cell>
          <cell r="AJ102" t="str">
            <v>T</v>
          </cell>
          <cell r="AT102" t="str">
            <v>H</v>
          </cell>
          <cell r="AU102" t="str">
            <v>5</v>
          </cell>
          <cell r="AV102" t="str">
            <v>8</v>
          </cell>
          <cell r="BE102" t="str">
            <v>1</v>
          </cell>
          <cell r="BF102" t="str">
            <v>0023</v>
          </cell>
          <cell r="BG102" t="str">
            <v>V PLA</v>
          </cell>
        </row>
        <row r="103">
          <cell r="T103" t="str">
            <v>5Q</v>
          </cell>
          <cell r="U103" t="str">
            <v>040</v>
          </cell>
          <cell r="V103" t="str">
            <v xml:space="preserve"> 7B 1D</v>
          </cell>
          <cell r="W103" t="str">
            <v>U7480</v>
          </cell>
          <cell r="Y103" t="str">
            <v>U7480E</v>
          </cell>
          <cell r="Z103" t="str">
            <v>AAA</v>
          </cell>
          <cell r="AB103" t="str">
            <v>T</v>
          </cell>
          <cell r="AD103" t="str">
            <v>*</v>
          </cell>
          <cell r="AE103" t="str">
            <v>2J653</v>
          </cell>
          <cell r="AF103" t="str">
            <v>021223</v>
          </cell>
          <cell r="AI103" t="str">
            <v>*</v>
          </cell>
          <cell r="AJ103" t="str">
            <v>T</v>
          </cell>
          <cell r="AT103" t="str">
            <v>A</v>
          </cell>
          <cell r="AU103" t="str">
            <v>0</v>
          </cell>
          <cell r="AV103" t="str">
            <v>3</v>
          </cell>
          <cell r="BE103" t="str">
            <v>ﾙ</v>
          </cell>
          <cell r="BF103" t="str">
            <v>0005</v>
          </cell>
        </row>
        <row r="104">
          <cell r="T104" t="str">
            <v>5Q</v>
          </cell>
          <cell r="U104" t="str">
            <v>040</v>
          </cell>
          <cell r="V104" t="str">
            <v xml:space="preserve"> 7B 1D</v>
          </cell>
          <cell r="W104" t="str">
            <v>U7510</v>
          </cell>
          <cell r="Y104" t="str">
            <v>U7510E</v>
          </cell>
          <cell r="Z104" t="str">
            <v>AAA</v>
          </cell>
          <cell r="AB104" t="str">
            <v>T</v>
          </cell>
          <cell r="AD104" t="str">
            <v>*</v>
          </cell>
          <cell r="AE104" t="str">
            <v>2J653</v>
          </cell>
          <cell r="AF104" t="str">
            <v>021223</v>
          </cell>
          <cell r="AI104" t="str">
            <v>*</v>
          </cell>
          <cell r="AJ104" t="str">
            <v>T</v>
          </cell>
          <cell r="AT104" t="str">
            <v>A</v>
          </cell>
          <cell r="AU104" t="str">
            <v>0</v>
          </cell>
          <cell r="AV104" t="str">
            <v>3</v>
          </cell>
          <cell r="BE104" t="str">
            <v>ﾙ</v>
          </cell>
          <cell r="BF104" t="str">
            <v>0005</v>
          </cell>
          <cell r="BG104" t="str">
            <v>2J619</v>
          </cell>
          <cell r="BH104" t="str">
            <v>5Q</v>
          </cell>
          <cell r="BI104" t="str">
            <v>020</v>
          </cell>
        </row>
        <row r="105">
          <cell r="T105" t="str">
            <v>5Q</v>
          </cell>
          <cell r="U105" t="str">
            <v>040</v>
          </cell>
          <cell r="V105" t="str">
            <v xml:space="preserve"> 7B 1D</v>
          </cell>
          <cell r="W105" t="str">
            <v>U7510</v>
          </cell>
          <cell r="Y105" t="str">
            <v>U7510E</v>
          </cell>
          <cell r="Z105" t="str">
            <v>AAB</v>
          </cell>
          <cell r="AB105" t="str">
            <v>T</v>
          </cell>
          <cell r="AD105" t="str">
            <v>*</v>
          </cell>
          <cell r="AE105" t="str">
            <v>2J653</v>
          </cell>
          <cell r="AF105" t="str">
            <v>021223</v>
          </cell>
          <cell r="AI105" t="str">
            <v>*</v>
          </cell>
          <cell r="AJ105" t="str">
            <v>T</v>
          </cell>
          <cell r="AT105" t="str">
            <v>A</v>
          </cell>
          <cell r="AU105" t="str">
            <v>0</v>
          </cell>
          <cell r="AV105" t="str">
            <v>3</v>
          </cell>
          <cell r="BE105" t="str">
            <v>ﾙ</v>
          </cell>
          <cell r="BF105" t="str">
            <v>0005</v>
          </cell>
          <cell r="BG105" t="str">
            <v>2J619</v>
          </cell>
          <cell r="BH105" t="str">
            <v>5Q</v>
          </cell>
          <cell r="BI105" t="str">
            <v>020</v>
          </cell>
        </row>
        <row r="106">
          <cell r="T106" t="str">
            <v>5Q</v>
          </cell>
          <cell r="U106" t="str">
            <v>040</v>
          </cell>
          <cell r="V106" t="str">
            <v xml:space="preserve"> 7B 1D</v>
          </cell>
          <cell r="W106" t="str">
            <v>U7510</v>
          </cell>
          <cell r="Y106" t="str">
            <v>U7510E</v>
          </cell>
          <cell r="Z106" t="str">
            <v>AAC</v>
          </cell>
          <cell r="AB106" t="str">
            <v>T</v>
          </cell>
          <cell r="AD106" t="str">
            <v>*</v>
          </cell>
          <cell r="AE106" t="str">
            <v>2J653</v>
          </cell>
          <cell r="AF106" t="str">
            <v>021223</v>
          </cell>
          <cell r="AI106" t="str">
            <v>*</v>
          </cell>
          <cell r="AJ106" t="str">
            <v>T</v>
          </cell>
          <cell r="AT106" t="str">
            <v>A</v>
          </cell>
          <cell r="AU106" t="str">
            <v>0</v>
          </cell>
          <cell r="AV106" t="str">
            <v>3</v>
          </cell>
          <cell r="BE106" t="str">
            <v>ﾙ</v>
          </cell>
          <cell r="BF106" t="str">
            <v>0005</v>
          </cell>
          <cell r="BG106" t="str">
            <v>2J619</v>
          </cell>
          <cell r="BH106" t="str">
            <v>5Q</v>
          </cell>
          <cell r="BI106" t="str">
            <v>020</v>
          </cell>
        </row>
        <row r="107">
          <cell r="T107" t="str">
            <v>5Q</v>
          </cell>
          <cell r="U107" t="str">
            <v>040</v>
          </cell>
          <cell r="V107" t="str">
            <v xml:space="preserve"> 7B 1D</v>
          </cell>
          <cell r="W107" t="str">
            <v>U7510</v>
          </cell>
          <cell r="Y107" t="str">
            <v>U7510E</v>
          </cell>
          <cell r="Z107" t="str">
            <v>AAD</v>
          </cell>
          <cell r="AB107" t="str">
            <v>T</v>
          </cell>
          <cell r="AD107" t="str">
            <v>*</v>
          </cell>
          <cell r="AE107" t="str">
            <v>2J653</v>
          </cell>
          <cell r="AF107" t="str">
            <v>021223</v>
          </cell>
          <cell r="AI107" t="str">
            <v>*</v>
          </cell>
          <cell r="AJ107" t="str">
            <v>T</v>
          </cell>
          <cell r="AT107" t="str">
            <v>A</v>
          </cell>
          <cell r="AU107" t="str">
            <v>0</v>
          </cell>
          <cell r="AV107" t="str">
            <v>3</v>
          </cell>
          <cell r="BE107" t="str">
            <v>ﾙ</v>
          </cell>
          <cell r="BF107" t="str">
            <v>0005</v>
          </cell>
          <cell r="BG107" t="str">
            <v>2J619</v>
          </cell>
          <cell r="BH107" t="str">
            <v>5Q</v>
          </cell>
          <cell r="BI107" t="str">
            <v>020</v>
          </cell>
        </row>
        <row r="108">
          <cell r="T108" t="str">
            <v>5Q</v>
          </cell>
          <cell r="U108" t="str">
            <v>040</v>
          </cell>
          <cell r="V108" t="str">
            <v xml:space="preserve"> 7B 1D</v>
          </cell>
          <cell r="W108" t="str">
            <v>U7510</v>
          </cell>
          <cell r="Y108" t="str">
            <v>U7510E</v>
          </cell>
          <cell r="Z108" t="str">
            <v>AAE</v>
          </cell>
          <cell r="AB108" t="str">
            <v>T</v>
          </cell>
          <cell r="AD108" t="str">
            <v>*</v>
          </cell>
          <cell r="AE108" t="str">
            <v>2J653</v>
          </cell>
          <cell r="AF108" t="str">
            <v>021223</v>
          </cell>
          <cell r="AI108" t="str">
            <v>*</v>
          </cell>
          <cell r="AJ108" t="str">
            <v>T</v>
          </cell>
          <cell r="AT108" t="str">
            <v>A</v>
          </cell>
          <cell r="AU108" t="str">
            <v>0</v>
          </cell>
          <cell r="AV108" t="str">
            <v>3</v>
          </cell>
          <cell r="BE108" t="str">
            <v>ﾙ</v>
          </cell>
          <cell r="BF108" t="str">
            <v>0005</v>
          </cell>
          <cell r="BG108" t="str">
            <v>2J619</v>
          </cell>
          <cell r="BH108" t="str">
            <v>5Q</v>
          </cell>
          <cell r="BI108" t="str">
            <v>020</v>
          </cell>
        </row>
        <row r="109">
          <cell r="T109" t="str">
            <v>5Q</v>
          </cell>
          <cell r="U109" t="str">
            <v>040</v>
          </cell>
          <cell r="V109" t="str">
            <v xml:space="preserve"> 7B 1D</v>
          </cell>
          <cell r="W109" t="str">
            <v>U7510</v>
          </cell>
          <cell r="Y109" t="str">
            <v>U7510E</v>
          </cell>
          <cell r="Z109" t="str">
            <v>AAF</v>
          </cell>
          <cell r="AB109" t="str">
            <v>T</v>
          </cell>
          <cell r="AD109" t="str">
            <v>*</v>
          </cell>
          <cell r="AE109" t="str">
            <v>2J653</v>
          </cell>
          <cell r="AF109" t="str">
            <v>021223</v>
          </cell>
          <cell r="AI109" t="str">
            <v>*</v>
          </cell>
          <cell r="AJ109" t="str">
            <v>T</v>
          </cell>
          <cell r="AT109" t="str">
            <v>A</v>
          </cell>
          <cell r="AU109" t="str">
            <v>0</v>
          </cell>
          <cell r="AV109" t="str">
            <v>3</v>
          </cell>
          <cell r="BE109" t="str">
            <v>ﾙ</v>
          </cell>
          <cell r="BF109" t="str">
            <v>0005</v>
          </cell>
          <cell r="BG109" t="str">
            <v>2J619</v>
          </cell>
          <cell r="BH109" t="str">
            <v>5Q</v>
          </cell>
          <cell r="BI109" t="str">
            <v>020</v>
          </cell>
        </row>
        <row r="110">
          <cell r="T110" t="str">
            <v>5Q</v>
          </cell>
          <cell r="U110" t="str">
            <v>040</v>
          </cell>
          <cell r="V110" t="str">
            <v xml:space="preserve"> 7B 1D</v>
          </cell>
          <cell r="W110" t="str">
            <v>U7510</v>
          </cell>
          <cell r="Y110" t="str">
            <v>U7510E</v>
          </cell>
          <cell r="Z110" t="str">
            <v>AAG</v>
          </cell>
          <cell r="AB110" t="str">
            <v>T</v>
          </cell>
          <cell r="AD110" t="str">
            <v>*</v>
          </cell>
          <cell r="AE110" t="str">
            <v>2J653</v>
          </cell>
          <cell r="AF110" t="str">
            <v>021223</v>
          </cell>
          <cell r="AI110" t="str">
            <v>*</v>
          </cell>
          <cell r="AJ110" t="str">
            <v>T</v>
          </cell>
          <cell r="AT110" t="str">
            <v>A</v>
          </cell>
          <cell r="AU110" t="str">
            <v>0</v>
          </cell>
          <cell r="AV110" t="str">
            <v>3</v>
          </cell>
          <cell r="BE110" t="str">
            <v>ﾙ</v>
          </cell>
          <cell r="BF110" t="str">
            <v>0005</v>
          </cell>
          <cell r="BG110" t="str">
            <v>2J619</v>
          </cell>
          <cell r="BH110" t="str">
            <v>5Q</v>
          </cell>
          <cell r="BI110" t="str">
            <v>020</v>
          </cell>
        </row>
        <row r="111">
          <cell r="T111" t="str">
            <v>5Q</v>
          </cell>
          <cell r="U111" t="str">
            <v>040</v>
          </cell>
          <cell r="V111" t="str">
            <v xml:space="preserve"> 7B 1D</v>
          </cell>
          <cell r="W111" t="str">
            <v>U7510</v>
          </cell>
          <cell r="Y111" t="str">
            <v>U7510E</v>
          </cell>
          <cell r="Z111" t="str">
            <v>AAH</v>
          </cell>
          <cell r="AB111" t="str">
            <v>T</v>
          </cell>
          <cell r="AD111" t="str">
            <v>*</v>
          </cell>
          <cell r="AE111" t="str">
            <v>2J653</v>
          </cell>
          <cell r="AF111" t="str">
            <v>021223</v>
          </cell>
          <cell r="AI111" t="str">
            <v>*</v>
          </cell>
          <cell r="AJ111" t="str">
            <v>T</v>
          </cell>
          <cell r="AT111" t="str">
            <v>A</v>
          </cell>
          <cell r="AU111" t="str">
            <v>0</v>
          </cell>
          <cell r="AV111" t="str">
            <v>3</v>
          </cell>
          <cell r="BE111" t="str">
            <v>ﾙ</v>
          </cell>
          <cell r="BF111" t="str">
            <v>0005</v>
          </cell>
          <cell r="BG111" t="str">
            <v>2J619</v>
          </cell>
          <cell r="BH111" t="str">
            <v>5Q</v>
          </cell>
          <cell r="BI111" t="str">
            <v>020</v>
          </cell>
        </row>
        <row r="112">
          <cell r="T112" t="str">
            <v>5Q</v>
          </cell>
          <cell r="U112" t="str">
            <v>040</v>
          </cell>
          <cell r="V112" t="str">
            <v xml:space="preserve"> 7B 1D</v>
          </cell>
          <cell r="W112" t="str">
            <v>U7510</v>
          </cell>
          <cell r="Y112" t="str">
            <v>U7510E</v>
          </cell>
          <cell r="Z112" t="str">
            <v>AAJ</v>
          </cell>
          <cell r="AB112" t="str">
            <v>T</v>
          </cell>
          <cell r="AD112" t="str">
            <v>*</v>
          </cell>
          <cell r="AE112" t="str">
            <v>2J653</v>
          </cell>
          <cell r="AF112" t="str">
            <v>021223</v>
          </cell>
          <cell r="AI112" t="str">
            <v>*</v>
          </cell>
          <cell r="AJ112" t="str">
            <v>T</v>
          </cell>
          <cell r="AT112" t="str">
            <v>A</v>
          </cell>
          <cell r="AU112" t="str">
            <v>0</v>
          </cell>
          <cell r="AV112" t="str">
            <v>3</v>
          </cell>
          <cell r="BE112" t="str">
            <v>ﾙ</v>
          </cell>
          <cell r="BF112" t="str">
            <v>0005</v>
          </cell>
          <cell r="BG112" t="str">
            <v>2J619</v>
          </cell>
          <cell r="BH112" t="str">
            <v>5Q</v>
          </cell>
          <cell r="BI112" t="str">
            <v>020</v>
          </cell>
        </row>
        <row r="113">
          <cell r="T113" t="str">
            <v>5Q</v>
          </cell>
          <cell r="U113" t="str">
            <v>040</v>
          </cell>
          <cell r="V113" t="str">
            <v xml:space="preserve"> 7B 1D</v>
          </cell>
          <cell r="W113" t="str">
            <v>U7510</v>
          </cell>
          <cell r="Y113" t="str">
            <v>U7510E</v>
          </cell>
          <cell r="Z113" t="str">
            <v>AAK</v>
          </cell>
          <cell r="AB113" t="str">
            <v>T</v>
          </cell>
          <cell r="AD113" t="str">
            <v>*</v>
          </cell>
          <cell r="AE113" t="str">
            <v>2J653</v>
          </cell>
          <cell r="AF113" t="str">
            <v>021223</v>
          </cell>
          <cell r="AI113" t="str">
            <v>*</v>
          </cell>
          <cell r="AJ113" t="str">
            <v>T</v>
          </cell>
          <cell r="AT113" t="str">
            <v>A</v>
          </cell>
          <cell r="AU113" t="str">
            <v>0</v>
          </cell>
          <cell r="AV113" t="str">
            <v>3</v>
          </cell>
          <cell r="BE113" t="str">
            <v>ﾙ</v>
          </cell>
          <cell r="BF113" t="str">
            <v>0005</v>
          </cell>
          <cell r="BG113" t="str">
            <v>2J619</v>
          </cell>
          <cell r="BH113" t="str">
            <v>5Q</v>
          </cell>
          <cell r="BI113" t="str">
            <v>020</v>
          </cell>
        </row>
        <row r="114">
          <cell r="T114" t="str">
            <v>5Q</v>
          </cell>
          <cell r="U114" t="str">
            <v>040</v>
          </cell>
          <cell r="V114" t="str">
            <v xml:space="preserve"> 7B 1D</v>
          </cell>
          <cell r="W114" t="str">
            <v>U7350</v>
          </cell>
          <cell r="Y114" t="str">
            <v>U7350E</v>
          </cell>
          <cell r="Z114" t="str">
            <v>AAB</v>
          </cell>
          <cell r="AB114" t="str">
            <v>T</v>
          </cell>
          <cell r="AD114" t="str">
            <v>*</v>
          </cell>
          <cell r="AE114" t="str">
            <v>2J653</v>
          </cell>
          <cell r="AF114" t="str">
            <v>021223</v>
          </cell>
          <cell r="AI114" t="str">
            <v>*</v>
          </cell>
          <cell r="AJ114" t="str">
            <v>T</v>
          </cell>
          <cell r="AT114" t="str">
            <v>A</v>
          </cell>
          <cell r="AU114" t="str">
            <v>0</v>
          </cell>
          <cell r="AV114" t="str">
            <v>3</v>
          </cell>
          <cell r="BE114" t="str">
            <v>1</v>
          </cell>
          <cell r="BF114" t="str">
            <v>0005</v>
          </cell>
          <cell r="BG114" t="str">
            <v>JAC35</v>
          </cell>
          <cell r="BH114" t="str">
            <v>5Q</v>
          </cell>
          <cell r="BI114" t="str">
            <v>020</v>
          </cell>
        </row>
        <row r="115">
          <cell r="T115" t="str">
            <v>5Q</v>
          </cell>
          <cell r="U115" t="str">
            <v>040</v>
          </cell>
          <cell r="V115" t="str">
            <v xml:space="preserve"> 7B 1D</v>
          </cell>
          <cell r="W115" t="str">
            <v>U7000</v>
          </cell>
          <cell r="Y115" t="str">
            <v>U7000E</v>
          </cell>
          <cell r="Z115" t="str">
            <v>AAF</v>
          </cell>
          <cell r="AB115" t="str">
            <v>T</v>
          </cell>
          <cell r="AD115" t="str">
            <v>*</v>
          </cell>
          <cell r="AE115" t="str">
            <v>2J653</v>
          </cell>
          <cell r="AF115" t="str">
            <v>021223</v>
          </cell>
          <cell r="AI115" t="str">
            <v>*</v>
          </cell>
          <cell r="AJ115" t="str">
            <v>T</v>
          </cell>
          <cell r="AT115" t="str">
            <v>2</v>
          </cell>
          <cell r="AU115" t="str">
            <v>0</v>
          </cell>
          <cell r="AV115" t="str">
            <v>7</v>
          </cell>
          <cell r="BE115" t="str">
            <v>ﾙ</v>
          </cell>
          <cell r="BF115" t="str">
            <v>0040</v>
          </cell>
          <cell r="BG115" t="str">
            <v>Z6330</v>
          </cell>
          <cell r="BH115" t="str">
            <v>5Q</v>
          </cell>
          <cell r="BI115" t="str">
            <v>020</v>
          </cell>
        </row>
        <row r="116">
          <cell r="T116" t="str">
            <v>5Q</v>
          </cell>
          <cell r="U116" t="str">
            <v>040</v>
          </cell>
          <cell r="V116" t="str">
            <v xml:space="preserve"> 7B 1D</v>
          </cell>
          <cell r="W116" t="str">
            <v>U7000</v>
          </cell>
          <cell r="X116" t="str">
            <v xml:space="preserve"> 7B 1D</v>
          </cell>
          <cell r="Y116" t="str">
            <v>U0140Y</v>
          </cell>
          <cell r="Z116" t="str">
            <v>AAF</v>
          </cell>
          <cell r="AB116" t="str">
            <v>T</v>
          </cell>
          <cell r="AD116" t="str">
            <v>*</v>
          </cell>
          <cell r="AE116" t="str">
            <v>Z6330</v>
          </cell>
          <cell r="AF116" t="str">
            <v>001218</v>
          </cell>
          <cell r="AI116" t="str">
            <v>*</v>
          </cell>
          <cell r="AJ116" t="str">
            <v>T</v>
          </cell>
          <cell r="AT116" t="str">
            <v>B</v>
          </cell>
          <cell r="AU116" t="str">
            <v>5</v>
          </cell>
          <cell r="AV116" t="str">
            <v>3</v>
          </cell>
          <cell r="BE116" t="str">
            <v>ﾙ</v>
          </cell>
          <cell r="BF116" t="str">
            <v>0040</v>
          </cell>
          <cell r="BG116" t="str">
            <v>Z6330</v>
          </cell>
        </row>
        <row r="117">
          <cell r="T117" t="str">
            <v>5Q</v>
          </cell>
          <cell r="U117" t="str">
            <v>040</v>
          </cell>
          <cell r="V117" t="str">
            <v xml:space="preserve"> 7B 1D</v>
          </cell>
          <cell r="W117" t="str">
            <v>U7070</v>
          </cell>
          <cell r="X117" t="str">
            <v xml:space="preserve"> 7B 1D</v>
          </cell>
          <cell r="Y117" t="str">
            <v>U6500Y</v>
          </cell>
          <cell r="Z117" t="str">
            <v>AAA</v>
          </cell>
          <cell r="AB117" t="str">
            <v>T</v>
          </cell>
          <cell r="AD117" t="str">
            <v>X</v>
          </cell>
          <cell r="AE117" t="str">
            <v>2J619</v>
          </cell>
          <cell r="AF117" t="str">
            <v>000809</v>
          </cell>
          <cell r="AI117" t="str">
            <v>*</v>
          </cell>
          <cell r="AJ117" t="str">
            <v>T</v>
          </cell>
          <cell r="AT117" t="str">
            <v>A</v>
          </cell>
          <cell r="AU117" t="str">
            <v>0</v>
          </cell>
          <cell r="AV117" t="str">
            <v>3</v>
          </cell>
          <cell r="BE117" t="str">
            <v>ﾙ</v>
          </cell>
          <cell r="BF117" t="str">
            <v>0005</v>
          </cell>
        </row>
        <row r="118">
          <cell r="T118" t="str">
            <v>5Q</v>
          </cell>
          <cell r="U118" t="str">
            <v>040</v>
          </cell>
          <cell r="V118" t="str">
            <v xml:space="preserve"> 7B 1D</v>
          </cell>
          <cell r="W118" t="str">
            <v>U7240</v>
          </cell>
          <cell r="Y118" t="str">
            <v>U7240E</v>
          </cell>
          <cell r="Z118" t="str">
            <v>AAA</v>
          </cell>
          <cell r="AB118" t="str">
            <v>T</v>
          </cell>
          <cell r="AD118" t="str">
            <v>*</v>
          </cell>
          <cell r="AE118" t="str">
            <v>2J653</v>
          </cell>
          <cell r="AF118" t="str">
            <v>021223</v>
          </cell>
          <cell r="AI118" t="str">
            <v>*</v>
          </cell>
          <cell r="AJ118" t="str">
            <v>T</v>
          </cell>
          <cell r="AT118" t="str">
            <v>A</v>
          </cell>
          <cell r="AU118" t="str">
            <v>0</v>
          </cell>
          <cell r="AV118" t="str">
            <v>3</v>
          </cell>
          <cell r="BE118" t="str">
            <v>ﾙ</v>
          </cell>
          <cell r="BF118" t="str">
            <v>0005</v>
          </cell>
          <cell r="BG118" t="str">
            <v>KOUBA</v>
          </cell>
        </row>
        <row r="119">
          <cell r="T119" t="str">
            <v>5Q</v>
          </cell>
          <cell r="U119" t="str">
            <v>040</v>
          </cell>
          <cell r="V119" t="str">
            <v xml:space="preserve"> 7B 1D</v>
          </cell>
          <cell r="W119" t="str">
            <v>U7020</v>
          </cell>
          <cell r="Y119" t="str">
            <v>U7020E</v>
          </cell>
          <cell r="Z119" t="str">
            <v>AAB</v>
          </cell>
          <cell r="AB119" t="str">
            <v>T</v>
          </cell>
          <cell r="AD119" t="str">
            <v>*</v>
          </cell>
          <cell r="AE119" t="str">
            <v>2J653</v>
          </cell>
          <cell r="AF119" t="str">
            <v>021223</v>
          </cell>
          <cell r="AI119" t="str">
            <v>*</v>
          </cell>
          <cell r="AJ119" t="str">
            <v>T</v>
          </cell>
          <cell r="AT119" t="str">
            <v>A</v>
          </cell>
          <cell r="AU119" t="str">
            <v>0</v>
          </cell>
          <cell r="AV119" t="str">
            <v>3</v>
          </cell>
          <cell r="BE119" t="str">
            <v>E</v>
          </cell>
          <cell r="BF119" t="str">
            <v>0005</v>
          </cell>
          <cell r="BG119" t="str">
            <v>Z6352</v>
          </cell>
          <cell r="BH119" t="str">
            <v>5Q</v>
          </cell>
          <cell r="BI119" t="str">
            <v>020</v>
          </cell>
        </row>
        <row r="120">
          <cell r="T120" t="str">
            <v>5Q</v>
          </cell>
          <cell r="U120" t="str">
            <v>040</v>
          </cell>
          <cell r="V120" t="str">
            <v xml:space="preserve"> 7B 1D</v>
          </cell>
          <cell r="W120" t="str">
            <v>U7050</v>
          </cell>
          <cell r="Y120" t="str">
            <v>U7050E</v>
          </cell>
          <cell r="Z120" t="str">
            <v>AAB</v>
          </cell>
          <cell r="AB120" t="str">
            <v>T</v>
          </cell>
          <cell r="AD120" t="str">
            <v>*</v>
          </cell>
          <cell r="AE120" t="str">
            <v>2J653</v>
          </cell>
          <cell r="AF120" t="str">
            <v>021223</v>
          </cell>
          <cell r="AI120" t="str">
            <v>*</v>
          </cell>
          <cell r="AJ120" t="str">
            <v>T</v>
          </cell>
          <cell r="AT120" t="str">
            <v>A</v>
          </cell>
          <cell r="AU120" t="str">
            <v>0</v>
          </cell>
          <cell r="AV120" t="str">
            <v>3</v>
          </cell>
          <cell r="BE120" t="str">
            <v>ﾙ</v>
          </cell>
          <cell r="BF120" t="str">
            <v>0005</v>
          </cell>
          <cell r="BG120" t="str">
            <v>Z6330</v>
          </cell>
          <cell r="BH120" t="str">
            <v>5Q</v>
          </cell>
          <cell r="BI120" t="str">
            <v>020</v>
          </cell>
        </row>
        <row r="121">
          <cell r="T121" t="str">
            <v>5Q</v>
          </cell>
          <cell r="U121" t="str">
            <v>040</v>
          </cell>
          <cell r="V121" t="str">
            <v xml:space="preserve"> 7B 1D</v>
          </cell>
          <cell r="W121" t="str">
            <v>U7250</v>
          </cell>
          <cell r="Y121" t="str">
            <v>U7250E</v>
          </cell>
          <cell r="Z121" t="str">
            <v>AAA</v>
          </cell>
          <cell r="AB121" t="str">
            <v>T</v>
          </cell>
          <cell r="AD121" t="str">
            <v>*</v>
          </cell>
          <cell r="AE121" t="str">
            <v>2J653</v>
          </cell>
          <cell r="AF121" t="str">
            <v>021223</v>
          </cell>
          <cell r="AI121" t="str">
            <v>*</v>
          </cell>
          <cell r="AJ121" t="str">
            <v>T</v>
          </cell>
          <cell r="AT121" t="str">
            <v>A</v>
          </cell>
          <cell r="AU121" t="str">
            <v>0</v>
          </cell>
          <cell r="AV121" t="str">
            <v>3</v>
          </cell>
          <cell r="BE121" t="str">
            <v>ﾙ</v>
          </cell>
          <cell r="BF121" t="str">
            <v>0005</v>
          </cell>
        </row>
        <row r="122">
          <cell r="T122" t="str">
            <v>5Q</v>
          </cell>
          <cell r="U122" t="str">
            <v>040</v>
          </cell>
          <cell r="V122" t="str">
            <v xml:space="preserve"> 7B 1D</v>
          </cell>
          <cell r="W122" t="str">
            <v>U7340</v>
          </cell>
          <cell r="Y122" t="str">
            <v>U7340E</v>
          </cell>
          <cell r="Z122" t="str">
            <v>AAA</v>
          </cell>
          <cell r="AB122" t="str">
            <v>T</v>
          </cell>
          <cell r="AD122" t="str">
            <v>*</v>
          </cell>
          <cell r="AE122" t="str">
            <v>2J653</v>
          </cell>
          <cell r="AF122" t="str">
            <v>021223</v>
          </cell>
          <cell r="AI122" t="str">
            <v>*</v>
          </cell>
          <cell r="AJ122" t="str">
            <v>T</v>
          </cell>
          <cell r="AT122" t="str">
            <v>A</v>
          </cell>
          <cell r="AU122" t="str">
            <v>0</v>
          </cell>
          <cell r="AV122" t="str">
            <v>3</v>
          </cell>
          <cell r="BF122" t="str">
            <v>0005</v>
          </cell>
        </row>
        <row r="123">
          <cell r="T123" t="str">
            <v>5Q</v>
          </cell>
          <cell r="U123" t="str">
            <v>040</v>
          </cell>
          <cell r="V123" t="str">
            <v xml:space="preserve"> 7B 1A</v>
          </cell>
          <cell r="W123" t="str">
            <v>U0620</v>
          </cell>
          <cell r="X123" t="str">
            <v xml:space="preserve"> 7B 1A</v>
          </cell>
          <cell r="Y123" t="str">
            <v>U0653Y</v>
          </cell>
          <cell r="Z123" t="str">
            <v>AAC</v>
          </cell>
          <cell r="AB123" t="str">
            <v>T</v>
          </cell>
          <cell r="AD123" t="str">
            <v>X</v>
          </cell>
          <cell r="AE123" t="str">
            <v>2J619</v>
          </cell>
          <cell r="AF123" t="str">
            <v>000809</v>
          </cell>
          <cell r="AI123" t="str">
            <v>*</v>
          </cell>
          <cell r="AJ123" t="str">
            <v>T</v>
          </cell>
          <cell r="AT123" t="str">
            <v>A</v>
          </cell>
          <cell r="AU123" t="str">
            <v>0</v>
          </cell>
          <cell r="AV123" t="str">
            <v>3</v>
          </cell>
          <cell r="BF123" t="str">
            <v>0057</v>
          </cell>
        </row>
        <row r="124">
          <cell r="T124" t="str">
            <v>5Q</v>
          </cell>
          <cell r="U124" t="str">
            <v>040</v>
          </cell>
          <cell r="V124" t="str">
            <v xml:space="preserve"> 7B 1D</v>
          </cell>
          <cell r="W124" t="str">
            <v>U7210</v>
          </cell>
          <cell r="Y124" t="str">
            <v>U7210E</v>
          </cell>
          <cell r="Z124" t="str">
            <v>AAA</v>
          </cell>
          <cell r="AB124" t="str">
            <v>T</v>
          </cell>
          <cell r="AD124" t="str">
            <v>*</v>
          </cell>
          <cell r="AE124" t="str">
            <v>2J653</v>
          </cell>
          <cell r="AF124" t="str">
            <v>021223</v>
          </cell>
          <cell r="AI124" t="str">
            <v>*</v>
          </cell>
          <cell r="AJ124" t="str">
            <v>T</v>
          </cell>
          <cell r="AT124" t="str">
            <v>A</v>
          </cell>
          <cell r="AU124" t="str">
            <v>0</v>
          </cell>
          <cell r="AV124" t="str">
            <v>3</v>
          </cell>
          <cell r="BE124" t="str">
            <v>ﾙ</v>
          </cell>
          <cell r="BF124" t="str">
            <v>0005</v>
          </cell>
        </row>
        <row r="125">
          <cell r="T125" t="str">
            <v>5Q</v>
          </cell>
          <cell r="U125" t="str">
            <v>040</v>
          </cell>
          <cell r="V125" t="str">
            <v xml:space="preserve"> 7B 1D</v>
          </cell>
          <cell r="W125" t="str">
            <v>U7200</v>
          </cell>
          <cell r="Y125" t="str">
            <v>U7200E</v>
          </cell>
          <cell r="Z125" t="str">
            <v>AAA</v>
          </cell>
          <cell r="AB125" t="str">
            <v>T</v>
          </cell>
          <cell r="AD125" t="str">
            <v>*</v>
          </cell>
          <cell r="AE125" t="str">
            <v>2J653</v>
          </cell>
          <cell r="AF125" t="str">
            <v>021223</v>
          </cell>
          <cell r="AI125" t="str">
            <v>*</v>
          </cell>
          <cell r="AJ125" t="str">
            <v>T</v>
          </cell>
          <cell r="AT125" t="str">
            <v>A</v>
          </cell>
          <cell r="AU125" t="str">
            <v>0</v>
          </cell>
          <cell r="AV125" t="str">
            <v>3</v>
          </cell>
          <cell r="BF125" t="str">
            <v>0005</v>
          </cell>
        </row>
        <row r="126">
          <cell r="T126" t="str">
            <v>5Q</v>
          </cell>
          <cell r="U126" t="str">
            <v>040</v>
          </cell>
          <cell r="V126" t="str">
            <v xml:space="preserve"> 7B 1D</v>
          </cell>
          <cell r="W126" t="str">
            <v>U7430</v>
          </cell>
          <cell r="Y126" t="str">
            <v>U7430E</v>
          </cell>
          <cell r="Z126" t="str">
            <v>AAB</v>
          </cell>
          <cell r="AB126" t="str">
            <v>T</v>
          </cell>
          <cell r="AD126" t="str">
            <v>*</v>
          </cell>
          <cell r="AE126" t="str">
            <v>2J653</v>
          </cell>
          <cell r="AF126" t="str">
            <v>021223</v>
          </cell>
          <cell r="AI126" t="str">
            <v>*</v>
          </cell>
          <cell r="AJ126" t="str">
            <v>T</v>
          </cell>
          <cell r="AT126" t="str">
            <v>A</v>
          </cell>
          <cell r="AU126" t="str">
            <v>0</v>
          </cell>
          <cell r="AV126" t="str">
            <v>3</v>
          </cell>
          <cell r="BE126" t="str">
            <v>ﾙ</v>
          </cell>
          <cell r="BF126" t="str">
            <v>0008</v>
          </cell>
        </row>
        <row r="127">
          <cell r="T127" t="str">
            <v>5Q</v>
          </cell>
          <cell r="U127" t="str">
            <v>040</v>
          </cell>
          <cell r="V127" t="str">
            <v xml:space="preserve"> 7B 1D</v>
          </cell>
          <cell r="W127" t="str">
            <v>U7490</v>
          </cell>
          <cell r="Y127" t="str">
            <v>U7490E</v>
          </cell>
          <cell r="Z127" t="str">
            <v>AAA</v>
          </cell>
          <cell r="AB127" t="str">
            <v>T</v>
          </cell>
          <cell r="AD127" t="str">
            <v>*</v>
          </cell>
          <cell r="AE127" t="str">
            <v>2J653</v>
          </cell>
          <cell r="AF127" t="str">
            <v>021223</v>
          </cell>
          <cell r="AI127" t="str">
            <v>*</v>
          </cell>
          <cell r="AJ127" t="str">
            <v>T</v>
          </cell>
          <cell r="AT127" t="str">
            <v>A</v>
          </cell>
          <cell r="AU127" t="str">
            <v>0</v>
          </cell>
          <cell r="AV127" t="str">
            <v>3</v>
          </cell>
          <cell r="BE127" t="str">
            <v>ﾙ</v>
          </cell>
          <cell r="BF127" t="str">
            <v>0005</v>
          </cell>
        </row>
        <row r="128">
          <cell r="T128" t="str">
            <v>5Q</v>
          </cell>
          <cell r="U128" t="str">
            <v>040</v>
          </cell>
          <cell r="V128" t="str">
            <v xml:space="preserve"> 7B 1D</v>
          </cell>
          <cell r="W128" t="str">
            <v>U7065</v>
          </cell>
          <cell r="Y128" t="str">
            <v>U7065E</v>
          </cell>
          <cell r="Z128" t="str">
            <v>AAC</v>
          </cell>
          <cell r="AB128" t="str">
            <v>T</v>
          </cell>
          <cell r="AD128" t="str">
            <v>*</v>
          </cell>
          <cell r="AE128" t="str">
            <v>2J653</v>
          </cell>
          <cell r="AF128" t="str">
            <v>021223</v>
          </cell>
          <cell r="AI128" t="str">
            <v>*</v>
          </cell>
          <cell r="AJ128" t="str">
            <v>T</v>
          </cell>
          <cell r="AT128" t="str">
            <v>H</v>
          </cell>
          <cell r="AU128" t="str">
            <v>5</v>
          </cell>
          <cell r="AV128" t="str">
            <v>8</v>
          </cell>
          <cell r="BE128" t="str">
            <v>ﾙ</v>
          </cell>
          <cell r="BF128" t="str">
            <v>0001</v>
          </cell>
          <cell r="BG128" t="str">
            <v>S1272</v>
          </cell>
          <cell r="BH128" t="str">
            <v>5Q</v>
          </cell>
          <cell r="BI128" t="str">
            <v>020</v>
          </cell>
        </row>
        <row r="129">
          <cell r="T129" t="str">
            <v>5Q</v>
          </cell>
          <cell r="U129" t="str">
            <v>040</v>
          </cell>
          <cell r="V129" t="str">
            <v xml:space="preserve"> 7B 1D</v>
          </cell>
          <cell r="W129" t="str">
            <v>U7220</v>
          </cell>
          <cell r="Y129" t="str">
            <v>U7220E</v>
          </cell>
          <cell r="Z129" t="str">
            <v>AAC</v>
          </cell>
          <cell r="AB129" t="str">
            <v>T</v>
          </cell>
          <cell r="AD129" t="str">
            <v>*</v>
          </cell>
          <cell r="AE129" t="str">
            <v>2J653</v>
          </cell>
          <cell r="AF129" t="str">
            <v>021223</v>
          </cell>
          <cell r="AI129" t="str">
            <v>*</v>
          </cell>
          <cell r="AJ129" t="str">
            <v>T</v>
          </cell>
          <cell r="AT129" t="str">
            <v>A</v>
          </cell>
          <cell r="AU129" t="str">
            <v>0</v>
          </cell>
          <cell r="AV129" t="str">
            <v>3</v>
          </cell>
          <cell r="BE129" t="str">
            <v>ﾙ</v>
          </cell>
          <cell r="BF129" t="str">
            <v>0005</v>
          </cell>
          <cell r="BG129" t="str">
            <v>Z6427</v>
          </cell>
          <cell r="BH129" t="str">
            <v>5P</v>
          </cell>
          <cell r="BI129" t="str">
            <v>020</v>
          </cell>
        </row>
        <row r="130">
          <cell r="T130" t="str">
            <v>5Q</v>
          </cell>
          <cell r="U130" t="str">
            <v>040</v>
          </cell>
          <cell r="V130" t="str">
            <v xml:space="preserve"> 7B 1D</v>
          </cell>
          <cell r="W130" t="str">
            <v>U7410</v>
          </cell>
          <cell r="Y130" t="str">
            <v>U7410E</v>
          </cell>
          <cell r="Z130" t="str">
            <v>AAB</v>
          </cell>
          <cell r="AB130" t="str">
            <v>T</v>
          </cell>
          <cell r="AD130" t="str">
            <v>*</v>
          </cell>
          <cell r="AE130" t="str">
            <v>2J653</v>
          </cell>
          <cell r="AF130" t="str">
            <v>021223</v>
          </cell>
          <cell r="AI130" t="str">
            <v>*</v>
          </cell>
          <cell r="AJ130" t="str">
            <v>T</v>
          </cell>
          <cell r="AT130" t="str">
            <v>A</v>
          </cell>
          <cell r="AU130" t="str">
            <v>0</v>
          </cell>
          <cell r="AV130" t="str">
            <v>3</v>
          </cell>
          <cell r="BE130" t="str">
            <v>B</v>
          </cell>
          <cell r="BF130" t="str">
            <v>0008</v>
          </cell>
          <cell r="BG130" t="str">
            <v>KOBAI</v>
          </cell>
        </row>
        <row r="131">
          <cell r="T131" t="str">
            <v>5Q</v>
          </cell>
          <cell r="U131" t="str">
            <v>040</v>
          </cell>
          <cell r="V131" t="str">
            <v xml:space="preserve"> 7B 1D</v>
          </cell>
          <cell r="W131" t="str">
            <v>U7400</v>
          </cell>
          <cell r="Y131" t="str">
            <v>U7400E</v>
          </cell>
          <cell r="Z131" t="str">
            <v>AAA</v>
          </cell>
          <cell r="AB131" t="str">
            <v>T</v>
          </cell>
          <cell r="AD131" t="str">
            <v>*</v>
          </cell>
          <cell r="AE131" t="str">
            <v>2J653</v>
          </cell>
          <cell r="AF131" t="str">
            <v>021223</v>
          </cell>
          <cell r="AI131" t="str">
            <v>*</v>
          </cell>
          <cell r="AJ131" t="str">
            <v>T</v>
          </cell>
          <cell r="AT131" t="str">
            <v>A</v>
          </cell>
          <cell r="AU131" t="str">
            <v>0</v>
          </cell>
          <cell r="AV131" t="str">
            <v>3</v>
          </cell>
          <cell r="BF131" t="str">
            <v>0008</v>
          </cell>
        </row>
        <row r="132">
          <cell r="T132" t="str">
            <v>5Q</v>
          </cell>
          <cell r="U132" t="str">
            <v>040</v>
          </cell>
          <cell r="V132" t="str">
            <v xml:space="preserve"> 7B 1D</v>
          </cell>
          <cell r="W132" t="str">
            <v>U7100</v>
          </cell>
          <cell r="X132" t="str">
            <v xml:space="preserve"> 7B 1D</v>
          </cell>
          <cell r="Y132" t="str">
            <v>U2040Y</v>
          </cell>
          <cell r="Z132" t="str">
            <v>AAA</v>
          </cell>
          <cell r="AB132" t="str">
            <v>T</v>
          </cell>
          <cell r="AD132" t="str">
            <v>*</v>
          </cell>
          <cell r="AE132" t="str">
            <v>2J619</v>
          </cell>
          <cell r="AF132" t="str">
            <v>000809</v>
          </cell>
          <cell r="AI132" t="str">
            <v>*</v>
          </cell>
          <cell r="AJ132" t="str">
            <v>T</v>
          </cell>
          <cell r="AT132" t="str">
            <v>A</v>
          </cell>
          <cell r="AU132" t="str">
            <v>0</v>
          </cell>
          <cell r="AV132" t="str">
            <v>3</v>
          </cell>
          <cell r="BE132" t="str">
            <v>ﾙ</v>
          </cell>
          <cell r="BF132" t="str">
            <v>0011</v>
          </cell>
        </row>
        <row r="133">
          <cell r="T133" t="str">
            <v>5Q</v>
          </cell>
          <cell r="U133" t="str">
            <v>040</v>
          </cell>
          <cell r="V133" t="str">
            <v xml:space="preserve"> 7B 1D</v>
          </cell>
          <cell r="W133" t="str">
            <v>U7130</v>
          </cell>
          <cell r="X133" t="str">
            <v xml:space="preserve"> 7B 1D</v>
          </cell>
          <cell r="Y133" t="str">
            <v>U0530Y</v>
          </cell>
          <cell r="Z133" t="str">
            <v>AAE</v>
          </cell>
          <cell r="AB133" t="str">
            <v>T</v>
          </cell>
          <cell r="AD133" t="str">
            <v>*</v>
          </cell>
          <cell r="AE133" t="str">
            <v>Z6418</v>
          </cell>
          <cell r="AF133" t="str">
            <v>011217</v>
          </cell>
          <cell r="AI133" t="str">
            <v>*</v>
          </cell>
          <cell r="AJ133" t="str">
            <v>T</v>
          </cell>
          <cell r="AT133" t="str">
            <v>A</v>
          </cell>
          <cell r="AU133" t="str">
            <v>0</v>
          </cell>
          <cell r="AV133" t="str">
            <v>3</v>
          </cell>
          <cell r="BE133" t="str">
            <v>ﾙ</v>
          </cell>
          <cell r="BF133" t="str">
            <v>0015</v>
          </cell>
          <cell r="BG133" t="str">
            <v>Z6418</v>
          </cell>
        </row>
        <row r="134">
          <cell r="T134" t="str">
            <v>5Q</v>
          </cell>
          <cell r="U134" t="str">
            <v>040</v>
          </cell>
          <cell r="V134" t="str">
            <v xml:space="preserve"> 7B 1D</v>
          </cell>
          <cell r="W134" t="str">
            <v>U7110</v>
          </cell>
          <cell r="X134" t="str">
            <v xml:space="preserve"> 7B 1D</v>
          </cell>
          <cell r="Y134" t="str">
            <v>U0480Y</v>
          </cell>
          <cell r="Z134" t="str">
            <v>AAG</v>
          </cell>
          <cell r="AB134" t="str">
            <v>T</v>
          </cell>
          <cell r="AD134" t="str">
            <v>*</v>
          </cell>
          <cell r="AE134" t="str">
            <v>Z6400</v>
          </cell>
          <cell r="AF134" t="str">
            <v>011022</v>
          </cell>
          <cell r="AI134" t="str">
            <v>*</v>
          </cell>
          <cell r="AJ134" t="str">
            <v>T</v>
          </cell>
          <cell r="AT134" t="str">
            <v>A</v>
          </cell>
          <cell r="AU134" t="str">
            <v>0</v>
          </cell>
          <cell r="AV134" t="str">
            <v>3</v>
          </cell>
          <cell r="BE134" t="str">
            <v>ﾙ</v>
          </cell>
          <cell r="BF134" t="str">
            <v>0013</v>
          </cell>
          <cell r="BG134" t="str">
            <v>Z6400</v>
          </cell>
        </row>
        <row r="135">
          <cell r="T135" t="str">
            <v>5Q</v>
          </cell>
          <cell r="U135" t="str">
            <v>040</v>
          </cell>
          <cell r="V135" t="str">
            <v xml:space="preserve"> 7B 1D</v>
          </cell>
          <cell r="W135" t="str">
            <v>U7320</v>
          </cell>
          <cell r="Y135" t="str">
            <v>U7320E</v>
          </cell>
          <cell r="Z135" t="str">
            <v>AAC</v>
          </cell>
          <cell r="AB135" t="str">
            <v>T</v>
          </cell>
          <cell r="AD135" t="str">
            <v>*</v>
          </cell>
          <cell r="AE135" t="str">
            <v>2J653</v>
          </cell>
          <cell r="AF135" t="str">
            <v>021223</v>
          </cell>
          <cell r="AI135" t="str">
            <v>*</v>
          </cell>
          <cell r="AJ135" t="str">
            <v>T</v>
          </cell>
          <cell r="AT135" t="str">
            <v>2</v>
          </cell>
          <cell r="AU135" t="str">
            <v>0</v>
          </cell>
          <cell r="AV135" t="str">
            <v>7</v>
          </cell>
          <cell r="BE135" t="str">
            <v>ﾙ</v>
          </cell>
          <cell r="BF135" t="str">
            <v>0021</v>
          </cell>
          <cell r="BG135" t="str">
            <v>2J619</v>
          </cell>
          <cell r="BH135" t="str">
            <v>5Q</v>
          </cell>
          <cell r="BI135" t="str">
            <v>020</v>
          </cell>
        </row>
        <row r="136">
          <cell r="T136" t="str">
            <v>5Q</v>
          </cell>
          <cell r="U136" t="str">
            <v>040</v>
          </cell>
          <cell r="V136" t="str">
            <v xml:space="preserve"> 7B 1D</v>
          </cell>
          <cell r="W136" t="str">
            <v>U7320</v>
          </cell>
          <cell r="Y136" t="str">
            <v>U7320E</v>
          </cell>
          <cell r="Z136" t="str">
            <v>AAD</v>
          </cell>
          <cell r="AB136" t="str">
            <v>T</v>
          </cell>
          <cell r="AD136" t="str">
            <v>*</v>
          </cell>
          <cell r="AE136" t="str">
            <v>2J653</v>
          </cell>
          <cell r="AF136" t="str">
            <v>021223</v>
          </cell>
          <cell r="AI136" t="str">
            <v>*</v>
          </cell>
          <cell r="AJ136" t="str">
            <v>T</v>
          </cell>
          <cell r="AT136" t="str">
            <v>2</v>
          </cell>
          <cell r="AU136" t="str">
            <v>0</v>
          </cell>
          <cell r="AV136" t="str">
            <v>7</v>
          </cell>
          <cell r="BE136" t="str">
            <v>ﾙ</v>
          </cell>
          <cell r="BF136" t="str">
            <v>0022</v>
          </cell>
          <cell r="BG136" t="str">
            <v>2J619</v>
          </cell>
          <cell r="BH136" t="str">
            <v>5Q</v>
          </cell>
          <cell r="BI136" t="str">
            <v>020</v>
          </cell>
        </row>
        <row r="137">
          <cell r="T137" t="str">
            <v>5Q</v>
          </cell>
          <cell r="U137" t="str">
            <v>040</v>
          </cell>
          <cell r="V137" t="str">
            <v xml:space="preserve"> 7B 1D</v>
          </cell>
          <cell r="W137" t="str">
            <v>U7000</v>
          </cell>
          <cell r="Y137" t="str">
            <v>U7000E</v>
          </cell>
          <cell r="Z137" t="str">
            <v>AAG</v>
          </cell>
          <cell r="AB137" t="str">
            <v>T</v>
          </cell>
          <cell r="AD137" t="str">
            <v>*</v>
          </cell>
          <cell r="AE137" t="str">
            <v>2J653</v>
          </cell>
          <cell r="AF137" t="str">
            <v>021223</v>
          </cell>
          <cell r="AI137" t="str">
            <v>*</v>
          </cell>
          <cell r="AJ137" t="str">
            <v>T</v>
          </cell>
          <cell r="AT137" t="str">
            <v>2</v>
          </cell>
          <cell r="AU137" t="str">
            <v>0</v>
          </cell>
          <cell r="AV137" t="str">
            <v>7</v>
          </cell>
          <cell r="BE137" t="str">
            <v>ﾙ</v>
          </cell>
          <cell r="BF137" t="str">
            <v>0041</v>
          </cell>
          <cell r="BG137" t="str">
            <v>Z6330</v>
          </cell>
          <cell r="BH137" t="str">
            <v>5Q</v>
          </cell>
          <cell r="BI137" t="str">
            <v>020</v>
          </cell>
        </row>
        <row r="138">
          <cell r="T138" t="str">
            <v>5Q</v>
          </cell>
          <cell r="U138" t="str">
            <v>040</v>
          </cell>
          <cell r="V138" t="str">
            <v xml:space="preserve"> 7B 1D</v>
          </cell>
          <cell r="W138" t="str">
            <v>U7000</v>
          </cell>
          <cell r="X138" t="str">
            <v xml:space="preserve"> 7B 1D</v>
          </cell>
          <cell r="Y138" t="str">
            <v>U0140Y</v>
          </cell>
          <cell r="Z138" t="str">
            <v>AAG</v>
          </cell>
          <cell r="AB138" t="str">
            <v>T</v>
          </cell>
          <cell r="AD138" t="str">
            <v>*</v>
          </cell>
          <cell r="AE138" t="str">
            <v>Z6330</v>
          </cell>
          <cell r="AF138" t="str">
            <v>001218</v>
          </cell>
          <cell r="AI138" t="str">
            <v>*</v>
          </cell>
          <cell r="AJ138" t="str">
            <v>T</v>
          </cell>
          <cell r="AT138" t="str">
            <v>B</v>
          </cell>
          <cell r="AU138" t="str">
            <v>5</v>
          </cell>
          <cell r="AV138" t="str">
            <v>3</v>
          </cell>
          <cell r="BE138" t="str">
            <v>ﾙ</v>
          </cell>
          <cell r="BF138" t="str">
            <v>0041</v>
          </cell>
          <cell r="BG138" t="str">
            <v>Z6330</v>
          </cell>
        </row>
        <row r="139">
          <cell r="T139" t="str">
            <v>5Q</v>
          </cell>
          <cell r="U139" t="str">
            <v>040</v>
          </cell>
          <cell r="V139" t="str">
            <v xml:space="preserve"> 7B 1A</v>
          </cell>
          <cell r="W139" t="str">
            <v>U0085</v>
          </cell>
          <cell r="X139" t="str">
            <v xml:space="preserve"> 7B 1A</v>
          </cell>
          <cell r="Y139" t="str">
            <v>U0111Y</v>
          </cell>
          <cell r="Z139" t="str">
            <v>AAC</v>
          </cell>
          <cell r="AB139" t="str">
            <v>T</v>
          </cell>
          <cell r="AD139" t="str">
            <v>*</v>
          </cell>
          <cell r="AE139" t="str">
            <v>S0974</v>
          </cell>
          <cell r="AF139" t="str">
            <v>001127</v>
          </cell>
          <cell r="AI139" t="str">
            <v>*</v>
          </cell>
          <cell r="AJ139" t="str">
            <v>T</v>
          </cell>
          <cell r="AT139" t="str">
            <v>A</v>
          </cell>
          <cell r="AU139" t="str">
            <v>0</v>
          </cell>
          <cell r="AV139" t="str">
            <v>3</v>
          </cell>
          <cell r="BE139" t="str">
            <v>ﾙ</v>
          </cell>
          <cell r="BF139" t="str">
            <v>0004</v>
          </cell>
        </row>
        <row r="140">
          <cell r="T140" t="str">
            <v>5Q</v>
          </cell>
          <cell r="U140" t="str">
            <v>040</v>
          </cell>
          <cell r="V140" t="str">
            <v xml:space="preserve"> 7B 1A</v>
          </cell>
          <cell r="W140" t="str">
            <v>U0620</v>
          </cell>
          <cell r="X140" t="str">
            <v xml:space="preserve"> 7B 1A</v>
          </cell>
          <cell r="Y140" t="str">
            <v>U0670Y</v>
          </cell>
          <cell r="Z140" t="str">
            <v>AAE</v>
          </cell>
          <cell r="AB140" t="str">
            <v>T</v>
          </cell>
          <cell r="AD140" t="str">
            <v>X</v>
          </cell>
          <cell r="AE140" t="str">
            <v>Z6370</v>
          </cell>
          <cell r="AF140" t="str">
            <v>010806</v>
          </cell>
          <cell r="AI140" t="str">
            <v>*</v>
          </cell>
          <cell r="AJ140" t="str">
            <v>T</v>
          </cell>
          <cell r="AT140" t="str">
            <v>A</v>
          </cell>
          <cell r="AU140" t="str">
            <v>0</v>
          </cell>
          <cell r="AV140" t="str">
            <v>3</v>
          </cell>
          <cell r="BF140" t="str">
            <v>0057</v>
          </cell>
          <cell r="BG140" t="str">
            <v>Z6370</v>
          </cell>
        </row>
        <row r="141">
          <cell r="T141" t="str">
            <v>5Q</v>
          </cell>
          <cell r="U141" t="str">
            <v>040</v>
          </cell>
          <cell r="V141" t="str">
            <v xml:space="preserve"> 7B 1D</v>
          </cell>
          <cell r="W141" t="str">
            <v>U7290</v>
          </cell>
          <cell r="Y141" t="str">
            <v>U7290E</v>
          </cell>
          <cell r="Z141" t="str">
            <v>AAB</v>
          </cell>
          <cell r="AB141" t="str">
            <v>T</v>
          </cell>
          <cell r="AD141" t="str">
            <v>*</v>
          </cell>
          <cell r="AE141" t="str">
            <v>2J653</v>
          </cell>
          <cell r="AF141" t="str">
            <v>021223</v>
          </cell>
          <cell r="AI141" t="str">
            <v>*</v>
          </cell>
          <cell r="AJ141" t="str">
            <v>T</v>
          </cell>
          <cell r="AT141" t="str">
            <v>H</v>
          </cell>
          <cell r="AU141" t="str">
            <v>5</v>
          </cell>
          <cell r="AV141" t="str">
            <v>3</v>
          </cell>
          <cell r="BE141" t="str">
            <v>1</v>
          </cell>
          <cell r="BF141" t="str">
            <v>0032</v>
          </cell>
          <cell r="BG141" t="str">
            <v>KOBAI</v>
          </cell>
        </row>
        <row r="142">
          <cell r="T142" t="str">
            <v>5Q</v>
          </cell>
          <cell r="U142" t="str">
            <v>040</v>
          </cell>
          <cell r="V142" t="str">
            <v xml:space="preserve"> 7B 3C</v>
          </cell>
          <cell r="W142" t="str">
            <v>U1000</v>
          </cell>
          <cell r="X142" t="str">
            <v xml:space="preserve"> 7B 3C</v>
          </cell>
          <cell r="Y142" t="str">
            <v>U1890Y</v>
          </cell>
          <cell r="Z142" t="str">
            <v>AAH</v>
          </cell>
          <cell r="AB142" t="str">
            <v>U</v>
          </cell>
          <cell r="AD142" t="str">
            <v>*</v>
          </cell>
          <cell r="AE142" t="str">
            <v>JBN49</v>
          </cell>
          <cell r="AF142" t="str">
            <v>020701</v>
          </cell>
          <cell r="AI142" t="str">
            <v>*</v>
          </cell>
          <cell r="AJ142" t="str">
            <v>T</v>
          </cell>
          <cell r="AT142" t="str">
            <v>A</v>
          </cell>
          <cell r="AU142" t="str">
            <v>0</v>
          </cell>
          <cell r="AV142" t="str">
            <v>3</v>
          </cell>
          <cell r="BE142" t="str">
            <v>ﾙ</v>
          </cell>
          <cell r="BF142" t="str">
            <v>0002</v>
          </cell>
          <cell r="BG142" t="str">
            <v>S1269</v>
          </cell>
        </row>
        <row r="143">
          <cell r="T143" t="str">
            <v>5Q</v>
          </cell>
          <cell r="U143" t="str">
            <v>040</v>
          </cell>
          <cell r="V143" t="str">
            <v xml:space="preserve"> 7B 3C</v>
          </cell>
          <cell r="W143" t="str">
            <v>U1000</v>
          </cell>
          <cell r="X143" t="str">
            <v xml:space="preserve"> 7B 3C</v>
          </cell>
          <cell r="Y143" t="str">
            <v>U1900Y</v>
          </cell>
          <cell r="Z143" t="str">
            <v>AAH</v>
          </cell>
          <cell r="AB143" t="str">
            <v>U</v>
          </cell>
          <cell r="AD143" t="str">
            <v>*</v>
          </cell>
          <cell r="AE143" t="str">
            <v>JBN49</v>
          </cell>
          <cell r="AF143" t="str">
            <v>020701</v>
          </cell>
          <cell r="AI143" t="str">
            <v>*</v>
          </cell>
          <cell r="AJ143" t="str">
            <v>T</v>
          </cell>
          <cell r="AT143" t="str">
            <v>A</v>
          </cell>
          <cell r="AU143" t="str">
            <v>0</v>
          </cell>
          <cell r="AV143" t="str">
            <v>3</v>
          </cell>
          <cell r="BE143" t="str">
            <v>ﾙ</v>
          </cell>
          <cell r="BF143" t="str">
            <v>0002</v>
          </cell>
          <cell r="BG143" t="str">
            <v>S1269</v>
          </cell>
        </row>
        <row r="144">
          <cell r="T144" t="str">
            <v>5Q</v>
          </cell>
          <cell r="U144" t="str">
            <v>040</v>
          </cell>
          <cell r="V144" t="str">
            <v xml:space="preserve"> 7B 1D</v>
          </cell>
          <cell r="W144" t="str">
            <v>U7040</v>
          </cell>
          <cell r="Y144" t="str">
            <v>U7040E</v>
          </cell>
          <cell r="Z144" t="str">
            <v>AAA</v>
          </cell>
          <cell r="AB144" t="str">
            <v>T</v>
          </cell>
          <cell r="AD144" t="str">
            <v>*</v>
          </cell>
          <cell r="AE144" t="str">
            <v>2J653</v>
          </cell>
          <cell r="AF144" t="str">
            <v>021223</v>
          </cell>
          <cell r="AI144" t="str">
            <v>*</v>
          </cell>
          <cell r="AJ144" t="str">
            <v>T</v>
          </cell>
          <cell r="AT144" t="str">
            <v>A</v>
          </cell>
          <cell r="AU144" t="str">
            <v>0</v>
          </cell>
          <cell r="AV144" t="str">
            <v>3</v>
          </cell>
          <cell r="BE144" t="str">
            <v>ﾙ</v>
          </cell>
          <cell r="BF144" t="str">
            <v>0005</v>
          </cell>
        </row>
        <row r="145">
          <cell r="T145" t="str">
            <v>5Q</v>
          </cell>
          <cell r="U145" t="str">
            <v>040</v>
          </cell>
          <cell r="V145" t="str">
            <v xml:space="preserve"> 7B 3C</v>
          </cell>
          <cell r="W145" t="str">
            <v>U1000</v>
          </cell>
          <cell r="X145" t="str">
            <v xml:space="preserve"> 7B 3C</v>
          </cell>
          <cell r="Y145" t="str">
            <v>U1750Y</v>
          </cell>
          <cell r="Z145" t="str">
            <v>AAH</v>
          </cell>
          <cell r="AB145" t="str">
            <v>U</v>
          </cell>
          <cell r="AD145" t="str">
            <v>*</v>
          </cell>
          <cell r="AE145" t="str">
            <v>JBN49</v>
          </cell>
          <cell r="AF145" t="str">
            <v>020701</v>
          </cell>
          <cell r="AI145" t="str">
            <v>*</v>
          </cell>
          <cell r="AJ145" t="str">
            <v>T</v>
          </cell>
          <cell r="AT145" t="str">
            <v>A</v>
          </cell>
          <cell r="AU145" t="str">
            <v>0</v>
          </cell>
          <cell r="AV145" t="str">
            <v>3</v>
          </cell>
          <cell r="BE145" t="str">
            <v>ﾙ</v>
          </cell>
          <cell r="BF145" t="str">
            <v>0002</v>
          </cell>
          <cell r="BG145" t="str">
            <v>2J618</v>
          </cell>
        </row>
        <row r="146">
          <cell r="T146" t="str">
            <v>5Q</v>
          </cell>
          <cell r="U146" t="str">
            <v>040</v>
          </cell>
          <cell r="V146" t="str">
            <v xml:space="preserve"> 7B 3D</v>
          </cell>
          <cell r="W146" t="str">
            <v>U1100</v>
          </cell>
          <cell r="Y146" t="str">
            <v>U1100E</v>
          </cell>
          <cell r="Z146" t="str">
            <v>AAA</v>
          </cell>
          <cell r="AB146" t="str">
            <v>U</v>
          </cell>
          <cell r="AD146" t="str">
            <v>*</v>
          </cell>
          <cell r="AE146" t="str">
            <v>2J653</v>
          </cell>
          <cell r="AF146" t="str">
            <v>021223</v>
          </cell>
          <cell r="AI146" t="str">
            <v>*</v>
          </cell>
          <cell r="AJ146" t="str">
            <v>T</v>
          </cell>
          <cell r="AT146" t="str">
            <v>A</v>
          </cell>
          <cell r="AU146" t="str">
            <v>0</v>
          </cell>
          <cell r="AV146" t="str">
            <v>3</v>
          </cell>
          <cell r="BE146" t="str">
            <v>ﾙ</v>
          </cell>
          <cell r="BF146" t="str">
            <v>0002</v>
          </cell>
          <cell r="BG146" t="str">
            <v>2J618</v>
          </cell>
          <cell r="BH146" t="str">
            <v>5P</v>
          </cell>
          <cell r="BI146" t="str">
            <v>020</v>
          </cell>
        </row>
        <row r="147">
          <cell r="T147" t="str">
            <v>5Q</v>
          </cell>
          <cell r="U147" t="str">
            <v>040</v>
          </cell>
          <cell r="V147" t="str">
            <v xml:space="preserve"> 7B 3C</v>
          </cell>
          <cell r="W147" t="str">
            <v>U1150</v>
          </cell>
          <cell r="Y147" t="str">
            <v>U1150E</v>
          </cell>
          <cell r="Z147" t="str">
            <v>AAB</v>
          </cell>
          <cell r="AB147" t="str">
            <v>U</v>
          </cell>
          <cell r="AD147" t="str">
            <v>*</v>
          </cell>
          <cell r="AE147" t="str">
            <v>2J653</v>
          </cell>
          <cell r="AF147" t="str">
            <v>021223</v>
          </cell>
          <cell r="AI147" t="str">
            <v>*</v>
          </cell>
          <cell r="AJ147" t="str">
            <v>T</v>
          </cell>
          <cell r="AT147" t="str">
            <v>A</v>
          </cell>
          <cell r="AU147" t="str">
            <v>0</v>
          </cell>
          <cell r="AV147" t="str">
            <v>3</v>
          </cell>
          <cell r="BE147" t="str">
            <v>ﾙ</v>
          </cell>
          <cell r="BF147" t="str">
            <v>0002</v>
          </cell>
          <cell r="BG147" t="str">
            <v>S1318</v>
          </cell>
          <cell r="BH147" t="str">
            <v>5P</v>
          </cell>
          <cell r="BI147" t="str">
            <v>020</v>
          </cell>
        </row>
        <row r="148">
          <cell r="T148" t="str">
            <v>5Q</v>
          </cell>
          <cell r="U148" t="str">
            <v>040</v>
          </cell>
          <cell r="V148" t="str">
            <v xml:space="preserve"> 7B 3C</v>
          </cell>
          <cell r="W148" t="str">
            <v>U1250</v>
          </cell>
          <cell r="Y148" t="str">
            <v>U1250E</v>
          </cell>
          <cell r="Z148" t="str">
            <v>AAA</v>
          </cell>
          <cell r="AB148" t="str">
            <v>U</v>
          </cell>
          <cell r="AD148" t="str">
            <v>*</v>
          </cell>
          <cell r="AE148" t="str">
            <v>2J653</v>
          </cell>
          <cell r="AF148" t="str">
            <v>021223</v>
          </cell>
          <cell r="AI148" t="str">
            <v>*</v>
          </cell>
          <cell r="AJ148" t="str">
            <v>T</v>
          </cell>
          <cell r="AT148" t="str">
            <v>A</v>
          </cell>
          <cell r="AU148" t="str">
            <v>0</v>
          </cell>
          <cell r="AV148" t="str">
            <v>3</v>
          </cell>
          <cell r="BE148" t="str">
            <v>1</v>
          </cell>
          <cell r="BF148" t="str">
            <v>0002</v>
          </cell>
          <cell r="BG148" t="str">
            <v>KOBAI</v>
          </cell>
        </row>
        <row r="149">
          <cell r="T149" t="str">
            <v>5Q</v>
          </cell>
          <cell r="U149" t="str">
            <v>040</v>
          </cell>
          <cell r="V149" t="str">
            <v xml:space="preserve"> 7B 1D</v>
          </cell>
          <cell r="W149" t="str">
            <v>U7260</v>
          </cell>
          <cell r="Y149" t="str">
            <v>U7260E</v>
          </cell>
          <cell r="Z149" t="str">
            <v>AAA</v>
          </cell>
          <cell r="AB149" t="str">
            <v>T</v>
          </cell>
          <cell r="AD149" t="str">
            <v>*</v>
          </cell>
          <cell r="AE149" t="str">
            <v>2J653</v>
          </cell>
          <cell r="AF149" t="str">
            <v>021223</v>
          </cell>
          <cell r="AI149" t="str">
            <v>*</v>
          </cell>
          <cell r="AJ149" t="str">
            <v>T</v>
          </cell>
          <cell r="AT149" t="str">
            <v>A</v>
          </cell>
          <cell r="AU149" t="str">
            <v>0</v>
          </cell>
          <cell r="AV149" t="str">
            <v>3</v>
          </cell>
          <cell r="BF149" t="str">
            <v>0005</v>
          </cell>
        </row>
        <row r="150">
          <cell r="T150" t="str">
            <v>5Q</v>
          </cell>
          <cell r="U150" t="str">
            <v>040</v>
          </cell>
          <cell r="V150" t="str">
            <v xml:space="preserve"> 7B 1D</v>
          </cell>
          <cell r="W150" t="str">
            <v>U7390</v>
          </cell>
          <cell r="Y150" t="str">
            <v>U7390E</v>
          </cell>
          <cell r="Z150" t="str">
            <v>AAA</v>
          </cell>
          <cell r="AB150" t="str">
            <v>T</v>
          </cell>
          <cell r="AD150" t="str">
            <v>*</v>
          </cell>
          <cell r="AE150" t="str">
            <v>2J653</v>
          </cell>
          <cell r="AF150" t="str">
            <v>021223</v>
          </cell>
          <cell r="AI150" t="str">
            <v>*</v>
          </cell>
          <cell r="AJ150" t="str">
            <v>T</v>
          </cell>
          <cell r="AT150" t="str">
            <v>A</v>
          </cell>
          <cell r="AU150" t="str">
            <v>0</v>
          </cell>
          <cell r="AV150" t="str">
            <v>3</v>
          </cell>
          <cell r="BE150" t="str">
            <v>ﾙ</v>
          </cell>
          <cell r="BF150" t="str">
            <v>0005</v>
          </cell>
          <cell r="BG150" t="str">
            <v>2J619</v>
          </cell>
          <cell r="BH150" t="str">
            <v>5Q</v>
          </cell>
          <cell r="BI150" t="str">
            <v>020</v>
          </cell>
        </row>
        <row r="151">
          <cell r="T151" t="str">
            <v>5Q</v>
          </cell>
          <cell r="U151" t="str">
            <v>040</v>
          </cell>
          <cell r="V151" t="str">
            <v xml:space="preserve"> 7B 1D</v>
          </cell>
          <cell r="W151" t="str">
            <v>U7390</v>
          </cell>
          <cell r="Y151" t="str">
            <v>U7390E</v>
          </cell>
          <cell r="Z151" t="str">
            <v>AAB</v>
          </cell>
          <cell r="AB151" t="str">
            <v>T</v>
          </cell>
          <cell r="AD151" t="str">
            <v>*</v>
          </cell>
          <cell r="AE151" t="str">
            <v>2J653</v>
          </cell>
          <cell r="AF151" t="str">
            <v>021223</v>
          </cell>
          <cell r="AI151" t="str">
            <v>*</v>
          </cell>
          <cell r="AJ151" t="str">
            <v>T</v>
          </cell>
          <cell r="AT151" t="str">
            <v>A</v>
          </cell>
          <cell r="AU151" t="str">
            <v>0</v>
          </cell>
          <cell r="AV151" t="str">
            <v>3</v>
          </cell>
          <cell r="BE151" t="str">
            <v>ﾙ</v>
          </cell>
          <cell r="BF151" t="str">
            <v>0005</v>
          </cell>
          <cell r="BG151" t="str">
            <v>2J619</v>
          </cell>
          <cell r="BH151" t="str">
            <v>5Q</v>
          </cell>
          <cell r="BI151" t="str">
            <v>020</v>
          </cell>
        </row>
        <row r="152">
          <cell r="T152" t="str">
            <v>5Q</v>
          </cell>
          <cell r="U152" t="str">
            <v>040</v>
          </cell>
          <cell r="V152" t="str">
            <v xml:space="preserve"> 7B 1D</v>
          </cell>
          <cell r="W152" t="str">
            <v>U7390</v>
          </cell>
          <cell r="Y152" t="str">
            <v>U7390E</v>
          </cell>
          <cell r="Z152" t="str">
            <v>AAC</v>
          </cell>
          <cell r="AB152" t="str">
            <v>T</v>
          </cell>
          <cell r="AD152" t="str">
            <v>*</v>
          </cell>
          <cell r="AE152" t="str">
            <v>2J653</v>
          </cell>
          <cell r="AF152" t="str">
            <v>021223</v>
          </cell>
          <cell r="AI152" t="str">
            <v>*</v>
          </cell>
          <cell r="AJ152" t="str">
            <v>T</v>
          </cell>
          <cell r="AT152" t="str">
            <v>A</v>
          </cell>
          <cell r="AU152" t="str">
            <v>0</v>
          </cell>
          <cell r="AV152" t="str">
            <v>3</v>
          </cell>
          <cell r="BE152" t="str">
            <v>ﾙ</v>
          </cell>
          <cell r="BF152" t="str">
            <v>0005</v>
          </cell>
          <cell r="BG152" t="str">
            <v>2J619</v>
          </cell>
          <cell r="BH152" t="str">
            <v>5Q</v>
          </cell>
          <cell r="BI152" t="str">
            <v>020</v>
          </cell>
        </row>
        <row r="153">
          <cell r="T153" t="str">
            <v>5Q</v>
          </cell>
          <cell r="U153" t="str">
            <v>040</v>
          </cell>
          <cell r="V153" t="str">
            <v xml:space="preserve"> 7B 1D</v>
          </cell>
          <cell r="W153" t="str">
            <v>U7230</v>
          </cell>
          <cell r="Y153" t="str">
            <v>U7230E</v>
          </cell>
          <cell r="Z153" t="str">
            <v>AAB</v>
          </cell>
          <cell r="AB153" t="str">
            <v>T</v>
          </cell>
          <cell r="AD153" t="str">
            <v>*</v>
          </cell>
          <cell r="AE153" t="str">
            <v>2J653</v>
          </cell>
          <cell r="AF153" t="str">
            <v>021223</v>
          </cell>
          <cell r="AI153" t="str">
            <v>*</v>
          </cell>
          <cell r="AJ153" t="str">
            <v>T</v>
          </cell>
          <cell r="AT153" t="str">
            <v>A</v>
          </cell>
          <cell r="AU153" t="str">
            <v>0</v>
          </cell>
          <cell r="AV153" t="str">
            <v>3</v>
          </cell>
          <cell r="BE153" t="str">
            <v>ﾙ</v>
          </cell>
          <cell r="BF153" t="str">
            <v>0005</v>
          </cell>
          <cell r="BG153" t="str">
            <v>2J618</v>
          </cell>
          <cell r="BH153" t="str">
            <v>5P</v>
          </cell>
          <cell r="BI153" t="str">
            <v>020</v>
          </cell>
        </row>
        <row r="154">
          <cell r="T154" t="str">
            <v>5Q</v>
          </cell>
          <cell r="U154" t="str">
            <v>040</v>
          </cell>
          <cell r="V154" t="str">
            <v xml:space="preserve"> 7B 3C</v>
          </cell>
          <cell r="W154" t="str">
            <v>U1350</v>
          </cell>
          <cell r="Y154" t="str">
            <v>U1350E</v>
          </cell>
          <cell r="Z154" t="str">
            <v>AAA</v>
          </cell>
          <cell r="AB154" t="str">
            <v>U</v>
          </cell>
          <cell r="AD154" t="str">
            <v>*</v>
          </cell>
          <cell r="AE154" t="str">
            <v>2J653</v>
          </cell>
          <cell r="AF154" t="str">
            <v>021223</v>
          </cell>
          <cell r="AI154" t="str">
            <v>*</v>
          </cell>
          <cell r="AJ154" t="str">
            <v>T</v>
          </cell>
          <cell r="AT154" t="str">
            <v>A</v>
          </cell>
          <cell r="AU154" t="str">
            <v>0</v>
          </cell>
          <cell r="AV154" t="str">
            <v>3</v>
          </cell>
          <cell r="BE154" t="str">
            <v>ﾙ</v>
          </cell>
          <cell r="BF154" t="str">
            <v>0002</v>
          </cell>
          <cell r="BG154" t="str">
            <v>2J618</v>
          </cell>
          <cell r="BH154" t="str">
            <v>5P</v>
          </cell>
          <cell r="BI154" t="str">
            <v>020</v>
          </cell>
        </row>
        <row r="155">
          <cell r="T155" t="str">
            <v>5Q</v>
          </cell>
          <cell r="U155" t="str">
            <v>040</v>
          </cell>
          <cell r="V155" t="str">
            <v xml:space="preserve"> 7B 3C</v>
          </cell>
          <cell r="W155" t="str">
            <v>U1200</v>
          </cell>
          <cell r="Y155" t="str">
            <v>U1200E</v>
          </cell>
          <cell r="Z155" t="str">
            <v>AAA</v>
          </cell>
          <cell r="AB155" t="str">
            <v>U</v>
          </cell>
          <cell r="AD155" t="str">
            <v>*</v>
          </cell>
          <cell r="AE155" t="str">
            <v>2J653</v>
          </cell>
          <cell r="AF155" t="str">
            <v>021223</v>
          </cell>
          <cell r="AI155" t="str">
            <v>*</v>
          </cell>
          <cell r="AJ155" t="str">
            <v>T</v>
          </cell>
          <cell r="AT155" t="str">
            <v>A</v>
          </cell>
          <cell r="AU155" t="str">
            <v>0</v>
          </cell>
          <cell r="AV155" t="str">
            <v>3</v>
          </cell>
          <cell r="BE155" t="str">
            <v>ﾙ</v>
          </cell>
          <cell r="BF155" t="str">
            <v>0002</v>
          </cell>
          <cell r="BG155" t="str">
            <v>2J618</v>
          </cell>
          <cell r="BH155" t="str">
            <v>5P</v>
          </cell>
          <cell r="BI155" t="str">
            <v>020</v>
          </cell>
        </row>
        <row r="156">
          <cell r="T156" t="str">
            <v>5Q</v>
          </cell>
          <cell r="U156" t="str">
            <v>040</v>
          </cell>
          <cell r="V156" t="str">
            <v xml:space="preserve"> 7B 3C</v>
          </cell>
          <cell r="W156" t="str">
            <v>U1400</v>
          </cell>
          <cell r="Y156" t="str">
            <v>U1400E</v>
          </cell>
          <cell r="Z156" t="str">
            <v>AAA</v>
          </cell>
          <cell r="AB156" t="str">
            <v>U</v>
          </cell>
          <cell r="AD156" t="str">
            <v>*</v>
          </cell>
          <cell r="AE156" t="str">
            <v>2J653</v>
          </cell>
          <cell r="AF156" t="str">
            <v>021223</v>
          </cell>
          <cell r="AI156" t="str">
            <v>*</v>
          </cell>
          <cell r="AJ156" t="str">
            <v>T</v>
          </cell>
          <cell r="AT156" t="str">
            <v>A</v>
          </cell>
          <cell r="AU156" t="str">
            <v>0</v>
          </cell>
          <cell r="AV156" t="str">
            <v>3</v>
          </cell>
          <cell r="BE156" t="str">
            <v>ﾙ</v>
          </cell>
          <cell r="BF156" t="str">
            <v>0002</v>
          </cell>
          <cell r="BG156" t="str">
            <v>2J618</v>
          </cell>
          <cell r="BH156" t="str">
            <v>5P</v>
          </cell>
          <cell r="BI156" t="str">
            <v>020</v>
          </cell>
        </row>
        <row r="157">
          <cell r="T157" t="str">
            <v>5Q</v>
          </cell>
          <cell r="U157" t="str">
            <v>040</v>
          </cell>
          <cell r="V157" t="str">
            <v xml:space="preserve"> 7B 3C</v>
          </cell>
          <cell r="W157" t="str">
            <v>U1450</v>
          </cell>
          <cell r="Y157" t="str">
            <v>U1450E</v>
          </cell>
          <cell r="Z157" t="str">
            <v>AAA</v>
          </cell>
          <cell r="AB157" t="str">
            <v>U</v>
          </cell>
          <cell r="AD157" t="str">
            <v>*</v>
          </cell>
          <cell r="AE157" t="str">
            <v>2J653</v>
          </cell>
          <cell r="AF157" t="str">
            <v>021223</v>
          </cell>
          <cell r="AI157" t="str">
            <v>*</v>
          </cell>
          <cell r="AJ157" t="str">
            <v>T</v>
          </cell>
          <cell r="AT157" t="str">
            <v>A</v>
          </cell>
          <cell r="AU157" t="str">
            <v>0</v>
          </cell>
          <cell r="AV157" t="str">
            <v>3</v>
          </cell>
          <cell r="BE157" t="str">
            <v>ﾙ</v>
          </cell>
          <cell r="BF157" t="str">
            <v>0002</v>
          </cell>
          <cell r="BG157" t="str">
            <v>2J618</v>
          </cell>
          <cell r="BH157" t="str">
            <v>5P</v>
          </cell>
          <cell r="BI157" t="str">
            <v>020</v>
          </cell>
        </row>
        <row r="158">
          <cell r="T158" t="str">
            <v>5Q</v>
          </cell>
          <cell r="U158" t="str">
            <v>040</v>
          </cell>
          <cell r="V158" t="str">
            <v xml:space="preserve"> 7B 1D</v>
          </cell>
          <cell r="W158" t="str">
            <v>U7380</v>
          </cell>
          <cell r="Y158" t="str">
            <v>U7380E</v>
          </cell>
          <cell r="Z158" t="str">
            <v>AAA</v>
          </cell>
          <cell r="AB158" t="str">
            <v>T</v>
          </cell>
          <cell r="AD158" t="str">
            <v>*</v>
          </cell>
          <cell r="AE158" t="str">
            <v>2J653</v>
          </cell>
          <cell r="AF158" t="str">
            <v>021223</v>
          </cell>
          <cell r="AI158" t="str">
            <v>*</v>
          </cell>
          <cell r="AJ158" t="str">
            <v>T</v>
          </cell>
          <cell r="AT158" t="str">
            <v>A</v>
          </cell>
          <cell r="AU158" t="str">
            <v>0</v>
          </cell>
          <cell r="AV158" t="str">
            <v>3</v>
          </cell>
          <cell r="BE158" t="str">
            <v>ﾙ</v>
          </cell>
          <cell r="BF158" t="str">
            <v>0005</v>
          </cell>
          <cell r="BG158" t="str">
            <v>2J618</v>
          </cell>
          <cell r="BH158" t="str">
            <v>5P</v>
          </cell>
          <cell r="BI158" t="str">
            <v>020</v>
          </cell>
        </row>
        <row r="159">
          <cell r="T159" t="str">
            <v>5Q</v>
          </cell>
          <cell r="U159" t="str">
            <v>040</v>
          </cell>
          <cell r="V159" t="str">
            <v xml:space="preserve"> 7B 1D</v>
          </cell>
          <cell r="W159" t="str">
            <v>U7010</v>
          </cell>
          <cell r="Y159" t="str">
            <v>U7010E</v>
          </cell>
          <cell r="Z159" t="str">
            <v>AAB</v>
          </cell>
          <cell r="AB159" t="str">
            <v>U</v>
          </cell>
          <cell r="AD159" t="str">
            <v>*</v>
          </cell>
          <cell r="AE159" t="str">
            <v>2J653</v>
          </cell>
          <cell r="AF159" t="str">
            <v>021223</v>
          </cell>
          <cell r="AI159" t="str">
            <v>*</v>
          </cell>
          <cell r="AJ159" t="str">
            <v>T</v>
          </cell>
          <cell r="AT159" t="str">
            <v>A</v>
          </cell>
          <cell r="AU159" t="str">
            <v>0</v>
          </cell>
          <cell r="AV159" t="str">
            <v>3</v>
          </cell>
          <cell r="BE159" t="str">
            <v>ﾙ</v>
          </cell>
          <cell r="BF159" t="str">
            <v>0002</v>
          </cell>
          <cell r="BG159" t="str">
            <v>KOUBA</v>
          </cell>
        </row>
        <row r="160">
          <cell r="T160" t="str">
            <v>5Q</v>
          </cell>
          <cell r="U160" t="str">
            <v>040</v>
          </cell>
          <cell r="V160" t="str">
            <v xml:space="preserve"> 7B 1A</v>
          </cell>
          <cell r="W160" t="str">
            <v>U0620</v>
          </cell>
          <cell r="X160" t="str">
            <v xml:space="preserve"> 7B 1A</v>
          </cell>
          <cell r="Y160" t="str">
            <v>U0650Y</v>
          </cell>
          <cell r="Z160" t="str">
            <v>AAH</v>
          </cell>
          <cell r="AB160" t="str">
            <v>T</v>
          </cell>
          <cell r="AD160" t="str">
            <v>X</v>
          </cell>
          <cell r="AE160" t="str">
            <v>Z6398</v>
          </cell>
          <cell r="AF160" t="str">
            <v>011029</v>
          </cell>
          <cell r="AI160" t="str">
            <v>*</v>
          </cell>
          <cell r="AJ160" t="str">
            <v>T</v>
          </cell>
          <cell r="AT160" t="str">
            <v>A</v>
          </cell>
          <cell r="AU160" t="str">
            <v>0</v>
          </cell>
          <cell r="AV160" t="str">
            <v>3</v>
          </cell>
          <cell r="BE160" t="str">
            <v>ﾙ</v>
          </cell>
          <cell r="BF160" t="str">
            <v>0058</v>
          </cell>
          <cell r="BG160" t="str">
            <v>Z6398</v>
          </cell>
        </row>
        <row r="161">
          <cell r="T161" t="str">
            <v>5Q</v>
          </cell>
          <cell r="U161" t="str">
            <v>040</v>
          </cell>
          <cell r="V161" t="str">
            <v xml:space="preserve"> 7B 3D</v>
          </cell>
          <cell r="W161" t="str">
            <v>U1050</v>
          </cell>
          <cell r="Y161" t="str">
            <v>U1050E</v>
          </cell>
          <cell r="Z161" t="str">
            <v>AAA</v>
          </cell>
          <cell r="AB161" t="str">
            <v>U</v>
          </cell>
          <cell r="AD161" t="str">
            <v>*</v>
          </cell>
          <cell r="AE161" t="str">
            <v>2J653</v>
          </cell>
          <cell r="AF161" t="str">
            <v>021223</v>
          </cell>
          <cell r="AI161" t="str">
            <v>*</v>
          </cell>
          <cell r="AJ161" t="str">
            <v>T</v>
          </cell>
          <cell r="AT161" t="str">
            <v>A</v>
          </cell>
          <cell r="AU161" t="str">
            <v>0</v>
          </cell>
          <cell r="AV161" t="str">
            <v>3</v>
          </cell>
          <cell r="BE161" t="str">
            <v>ﾙ</v>
          </cell>
          <cell r="BF161" t="str">
            <v>0002</v>
          </cell>
          <cell r="BG161" t="str">
            <v>2J618</v>
          </cell>
          <cell r="BH161" t="str">
            <v>5P</v>
          </cell>
          <cell r="BI161" t="str">
            <v>020</v>
          </cell>
        </row>
        <row r="162">
          <cell r="T162" t="str">
            <v>5Q</v>
          </cell>
          <cell r="U162" t="str">
            <v>040</v>
          </cell>
          <cell r="V162" t="str">
            <v xml:space="preserve"> 7B 3C</v>
          </cell>
          <cell r="W162" t="str">
            <v>U1050</v>
          </cell>
          <cell r="Y162" t="str">
            <v>U1050E</v>
          </cell>
          <cell r="Z162" t="str">
            <v>AAA</v>
          </cell>
          <cell r="AB162" t="str">
            <v>U</v>
          </cell>
          <cell r="AD162" t="str">
            <v>*</v>
          </cell>
          <cell r="AE162" t="str">
            <v>2J653</v>
          </cell>
          <cell r="AF162" t="str">
            <v>021223</v>
          </cell>
          <cell r="AI162" t="str">
            <v>*</v>
          </cell>
          <cell r="AJ162" t="str">
            <v>T</v>
          </cell>
          <cell r="AT162" t="str">
            <v>A</v>
          </cell>
          <cell r="AU162" t="str">
            <v>0</v>
          </cell>
          <cell r="AV162" t="str">
            <v>3</v>
          </cell>
          <cell r="BE162" t="str">
            <v>ﾙ</v>
          </cell>
          <cell r="BF162" t="str">
            <v>0002</v>
          </cell>
          <cell r="BG162" t="str">
            <v>2J618</v>
          </cell>
          <cell r="BH162" t="str">
            <v>5P</v>
          </cell>
          <cell r="BI162" t="str">
            <v>020</v>
          </cell>
        </row>
        <row r="163">
          <cell r="T163" t="str">
            <v>5Q</v>
          </cell>
          <cell r="U163" t="str">
            <v>040</v>
          </cell>
          <cell r="V163" t="str">
            <v xml:space="preserve"> 7B 3D</v>
          </cell>
          <cell r="W163" t="str">
            <v>U1250</v>
          </cell>
          <cell r="Y163" t="str">
            <v>U1250E</v>
          </cell>
          <cell r="Z163" t="str">
            <v>AAA</v>
          </cell>
          <cell r="AB163" t="str">
            <v>U</v>
          </cell>
          <cell r="AD163" t="str">
            <v>*</v>
          </cell>
          <cell r="AE163" t="str">
            <v>2J653</v>
          </cell>
          <cell r="AF163" t="str">
            <v>021223</v>
          </cell>
          <cell r="AI163" t="str">
            <v>*</v>
          </cell>
          <cell r="AJ163" t="str">
            <v>T</v>
          </cell>
          <cell r="AT163" t="str">
            <v>A</v>
          </cell>
          <cell r="AU163" t="str">
            <v>0</v>
          </cell>
          <cell r="AV163" t="str">
            <v>3</v>
          </cell>
          <cell r="BE163" t="str">
            <v>ﾙ</v>
          </cell>
          <cell r="BF163" t="str">
            <v>0002</v>
          </cell>
          <cell r="BG163" t="str">
            <v>2J618</v>
          </cell>
          <cell r="BH163" t="str">
            <v>5P</v>
          </cell>
          <cell r="BI163" t="str">
            <v>020</v>
          </cell>
        </row>
        <row r="164">
          <cell r="T164" t="str">
            <v>5Q</v>
          </cell>
          <cell r="U164" t="str">
            <v>040</v>
          </cell>
          <cell r="V164" t="str">
            <v xml:space="preserve"> 7B 3D</v>
          </cell>
          <cell r="W164" t="str">
            <v>U1350</v>
          </cell>
          <cell r="Y164" t="str">
            <v>U1350E</v>
          </cell>
          <cell r="Z164" t="str">
            <v>AAA</v>
          </cell>
          <cell r="AB164" t="str">
            <v>U</v>
          </cell>
          <cell r="AD164" t="str">
            <v>*</v>
          </cell>
          <cell r="AE164" t="str">
            <v>2J653</v>
          </cell>
          <cell r="AF164" t="str">
            <v>021223</v>
          </cell>
          <cell r="AI164" t="str">
            <v>*</v>
          </cell>
          <cell r="AJ164" t="str">
            <v>T</v>
          </cell>
          <cell r="AT164" t="str">
            <v>A</v>
          </cell>
          <cell r="AU164" t="str">
            <v>0</v>
          </cell>
          <cell r="AV164" t="str">
            <v>3</v>
          </cell>
          <cell r="BE164" t="str">
            <v>ﾙ</v>
          </cell>
          <cell r="BF164" t="str">
            <v>0002</v>
          </cell>
          <cell r="BG164" t="str">
            <v>2J618</v>
          </cell>
          <cell r="BH164" t="str">
            <v>5P</v>
          </cell>
          <cell r="BI164" t="str">
            <v>020</v>
          </cell>
        </row>
        <row r="165">
          <cell r="T165" t="str">
            <v>5Q</v>
          </cell>
          <cell r="U165" t="str">
            <v>040</v>
          </cell>
          <cell r="V165" t="str">
            <v xml:space="preserve"> 7B 3D</v>
          </cell>
          <cell r="W165" t="str">
            <v>U1150</v>
          </cell>
          <cell r="Y165" t="str">
            <v>U1150E</v>
          </cell>
          <cell r="Z165" t="str">
            <v>AAA</v>
          </cell>
          <cell r="AB165" t="str">
            <v>U</v>
          </cell>
          <cell r="AD165" t="str">
            <v>*</v>
          </cell>
          <cell r="AE165" t="str">
            <v>2J653</v>
          </cell>
          <cell r="AF165" t="str">
            <v>021223</v>
          </cell>
          <cell r="AI165" t="str">
            <v>*</v>
          </cell>
          <cell r="AJ165" t="str">
            <v>T</v>
          </cell>
          <cell r="AT165" t="str">
            <v>A</v>
          </cell>
          <cell r="AU165" t="str">
            <v>0</v>
          </cell>
          <cell r="AV165" t="str">
            <v>3</v>
          </cell>
          <cell r="BE165" t="str">
            <v>ﾙ</v>
          </cell>
          <cell r="BF165" t="str">
            <v>0002</v>
          </cell>
          <cell r="BG165" t="str">
            <v>2J618</v>
          </cell>
          <cell r="BH165" t="str">
            <v>5P</v>
          </cell>
          <cell r="BI165" t="str">
            <v>020</v>
          </cell>
        </row>
        <row r="166">
          <cell r="T166" t="str">
            <v>5Q</v>
          </cell>
          <cell r="U166" t="str">
            <v>040</v>
          </cell>
          <cell r="V166" t="str">
            <v xml:space="preserve"> 7B 3A</v>
          </cell>
          <cell r="W166" t="str">
            <v>U1100</v>
          </cell>
          <cell r="Y166" t="str">
            <v>U1100E</v>
          </cell>
          <cell r="Z166" t="str">
            <v>AAC</v>
          </cell>
          <cell r="AB166" t="str">
            <v>U</v>
          </cell>
          <cell r="AD166" t="str">
            <v>*</v>
          </cell>
          <cell r="AE166" t="str">
            <v>2J653</v>
          </cell>
          <cell r="AF166" t="str">
            <v>021223</v>
          </cell>
          <cell r="AI166" t="str">
            <v>*</v>
          </cell>
          <cell r="AJ166" t="str">
            <v>T</v>
          </cell>
          <cell r="AT166" t="str">
            <v>A</v>
          </cell>
          <cell r="AU166" t="str">
            <v>0</v>
          </cell>
          <cell r="AV166" t="str">
            <v>3</v>
          </cell>
          <cell r="BF166" t="str">
            <v>0002</v>
          </cell>
          <cell r="BG166" t="str">
            <v>S1520</v>
          </cell>
          <cell r="BH166" t="str">
            <v>5P</v>
          </cell>
          <cell r="BI166" t="str">
            <v>020</v>
          </cell>
        </row>
        <row r="167">
          <cell r="T167" t="str">
            <v>5Q</v>
          </cell>
          <cell r="U167" t="str">
            <v>040</v>
          </cell>
          <cell r="V167" t="str">
            <v xml:space="preserve"> 7B 3A</v>
          </cell>
          <cell r="W167" t="str">
            <v>U1250</v>
          </cell>
          <cell r="Y167" t="str">
            <v>U1250E</v>
          </cell>
          <cell r="Z167" t="str">
            <v>AAB</v>
          </cell>
          <cell r="AB167" t="str">
            <v>U</v>
          </cell>
          <cell r="AD167" t="str">
            <v>*</v>
          </cell>
          <cell r="AE167" t="str">
            <v>2J653</v>
          </cell>
          <cell r="AF167" t="str">
            <v>021223</v>
          </cell>
          <cell r="AI167" t="str">
            <v>*</v>
          </cell>
          <cell r="AJ167" t="str">
            <v>T</v>
          </cell>
          <cell r="AT167" t="str">
            <v>A</v>
          </cell>
          <cell r="AU167" t="str">
            <v>0</v>
          </cell>
          <cell r="AV167" t="str">
            <v>3</v>
          </cell>
          <cell r="BE167" t="str">
            <v>ﾙ</v>
          </cell>
          <cell r="BF167" t="str">
            <v>0002</v>
          </cell>
          <cell r="BG167" t="str">
            <v>S1167</v>
          </cell>
          <cell r="BH167" t="str">
            <v>5P</v>
          </cell>
          <cell r="BI167" t="str">
            <v>020</v>
          </cell>
        </row>
        <row r="168">
          <cell r="T168" t="str">
            <v>5Q</v>
          </cell>
          <cell r="U168" t="str">
            <v>040</v>
          </cell>
          <cell r="V168" t="str">
            <v xml:space="preserve"> 7B 3A</v>
          </cell>
          <cell r="W168" t="str">
            <v>U1200</v>
          </cell>
          <cell r="Y168" t="str">
            <v>U1200E</v>
          </cell>
          <cell r="Z168" t="str">
            <v>AAB</v>
          </cell>
          <cell r="AB168" t="str">
            <v>U</v>
          </cell>
          <cell r="AD168" t="str">
            <v>*</v>
          </cell>
          <cell r="AE168" t="str">
            <v>2J653</v>
          </cell>
          <cell r="AF168" t="str">
            <v>021223</v>
          </cell>
          <cell r="AI168" t="str">
            <v>*</v>
          </cell>
          <cell r="AJ168" t="str">
            <v>T</v>
          </cell>
          <cell r="AT168" t="str">
            <v>A</v>
          </cell>
          <cell r="AU168" t="str">
            <v>0</v>
          </cell>
          <cell r="AV168" t="str">
            <v>3</v>
          </cell>
          <cell r="BE168" t="str">
            <v>ﾙ</v>
          </cell>
          <cell r="BF168" t="str">
            <v>0002</v>
          </cell>
          <cell r="BG168" t="str">
            <v>S1167</v>
          </cell>
          <cell r="BH168" t="str">
            <v>5P</v>
          </cell>
          <cell r="BI168" t="str">
            <v>020</v>
          </cell>
        </row>
        <row r="169">
          <cell r="T169" t="str">
            <v>5Q</v>
          </cell>
          <cell r="U169" t="str">
            <v>040</v>
          </cell>
          <cell r="V169" t="str">
            <v xml:space="preserve"> 7B 1D</v>
          </cell>
          <cell r="W169" t="str">
            <v>U7080</v>
          </cell>
          <cell r="Y169" t="str">
            <v>U7080E</v>
          </cell>
          <cell r="Z169" t="str">
            <v>AAA</v>
          </cell>
          <cell r="AB169" t="str">
            <v>T</v>
          </cell>
          <cell r="AD169" t="str">
            <v>*</v>
          </cell>
          <cell r="AE169" t="str">
            <v>2J653</v>
          </cell>
          <cell r="AF169" t="str">
            <v>021223</v>
          </cell>
          <cell r="AI169" t="str">
            <v>*</v>
          </cell>
          <cell r="AJ169" t="str">
            <v>T</v>
          </cell>
          <cell r="AT169" t="str">
            <v>A</v>
          </cell>
          <cell r="AU169" t="str">
            <v>0</v>
          </cell>
          <cell r="AV169" t="str">
            <v>3</v>
          </cell>
          <cell r="BE169" t="str">
            <v>ﾙ</v>
          </cell>
          <cell r="BF169" t="str">
            <v>0005</v>
          </cell>
          <cell r="BG169" t="str">
            <v>2J619</v>
          </cell>
          <cell r="BH169" t="str">
            <v>5Q</v>
          </cell>
          <cell r="BI169" t="str">
            <v>020</v>
          </cell>
        </row>
        <row r="170">
          <cell r="T170" t="str">
            <v>5Q</v>
          </cell>
          <cell r="U170" t="str">
            <v>040</v>
          </cell>
          <cell r="V170" t="str">
            <v xml:space="preserve"> 7B 1D</v>
          </cell>
          <cell r="W170" t="str">
            <v>U7510</v>
          </cell>
          <cell r="Y170" t="str">
            <v>U7510E</v>
          </cell>
          <cell r="Z170" t="str">
            <v>AAL</v>
          </cell>
          <cell r="AB170" t="str">
            <v>T</v>
          </cell>
          <cell r="AD170" t="str">
            <v>*</v>
          </cell>
          <cell r="AE170" t="str">
            <v>2J653</v>
          </cell>
          <cell r="AF170" t="str">
            <v>021223</v>
          </cell>
          <cell r="AI170" t="str">
            <v>*</v>
          </cell>
          <cell r="AJ170" t="str">
            <v>T</v>
          </cell>
          <cell r="AT170" t="str">
            <v>A</v>
          </cell>
          <cell r="AU170" t="str">
            <v>0</v>
          </cell>
          <cell r="AV170" t="str">
            <v>3</v>
          </cell>
          <cell r="BE170" t="str">
            <v>ﾙ</v>
          </cell>
          <cell r="BF170" t="str">
            <v>0005</v>
          </cell>
          <cell r="BG170" t="str">
            <v>2J619</v>
          </cell>
          <cell r="BH170" t="str">
            <v>5Q</v>
          </cell>
          <cell r="BI170" t="str">
            <v>020</v>
          </cell>
        </row>
        <row r="171">
          <cell r="T171" t="str">
            <v>5Q</v>
          </cell>
          <cell r="U171" t="str">
            <v>040</v>
          </cell>
          <cell r="V171" t="str">
            <v xml:space="preserve"> 7B 1C</v>
          </cell>
          <cell r="W171" t="str">
            <v>U4100</v>
          </cell>
          <cell r="Y171" t="str">
            <v>U4100E</v>
          </cell>
          <cell r="Z171" t="str">
            <v>AAB</v>
          </cell>
          <cell r="AB171" t="str">
            <v>T</v>
          </cell>
          <cell r="AD171" t="str">
            <v>*</v>
          </cell>
          <cell r="AE171" t="str">
            <v>2J653</v>
          </cell>
          <cell r="AF171" t="str">
            <v>021223</v>
          </cell>
          <cell r="AI171" t="str">
            <v>*</v>
          </cell>
          <cell r="AJ171" t="str">
            <v>T</v>
          </cell>
          <cell r="AT171" t="str">
            <v>A</v>
          </cell>
          <cell r="AU171" t="str">
            <v>0</v>
          </cell>
          <cell r="AV171" t="str">
            <v>5</v>
          </cell>
          <cell r="BE171" t="str">
            <v>B</v>
          </cell>
          <cell r="BF171" t="str">
            <v>0005</v>
          </cell>
          <cell r="BG171" t="str">
            <v>Z6366</v>
          </cell>
          <cell r="BH171" t="str">
            <v>5Q</v>
          </cell>
          <cell r="BI171" t="str">
            <v>020</v>
          </cell>
        </row>
        <row r="172">
          <cell r="T172" t="str">
            <v>5Q</v>
          </cell>
          <cell r="U172" t="str">
            <v>040</v>
          </cell>
          <cell r="V172" t="str">
            <v xml:space="preserve"> 7B 1C</v>
          </cell>
          <cell r="W172" t="str">
            <v>U4200</v>
          </cell>
          <cell r="Y172" t="str">
            <v>U4200E</v>
          </cell>
          <cell r="Z172" t="str">
            <v>AAC</v>
          </cell>
          <cell r="AB172" t="str">
            <v>T</v>
          </cell>
          <cell r="AD172" t="str">
            <v>*</v>
          </cell>
          <cell r="AE172" t="str">
            <v>2J653</v>
          </cell>
          <cell r="AF172" t="str">
            <v>021223</v>
          </cell>
          <cell r="AI172" t="str">
            <v>*</v>
          </cell>
          <cell r="AJ172" t="str">
            <v>T</v>
          </cell>
          <cell r="AT172" t="str">
            <v>A</v>
          </cell>
          <cell r="AU172" t="str">
            <v>0</v>
          </cell>
          <cell r="AV172" t="str">
            <v>5</v>
          </cell>
          <cell r="BE172" t="str">
            <v>B</v>
          </cell>
          <cell r="BF172" t="str">
            <v>0005</v>
          </cell>
          <cell r="BG172" t="str">
            <v>Z6366</v>
          </cell>
          <cell r="BH172" t="str">
            <v>5Q</v>
          </cell>
          <cell r="BI172" t="str">
            <v>020</v>
          </cell>
        </row>
        <row r="173">
          <cell r="T173" t="str">
            <v>5Q</v>
          </cell>
          <cell r="U173" t="str">
            <v>040</v>
          </cell>
          <cell r="V173" t="str">
            <v xml:space="preserve"> 7B 1D</v>
          </cell>
          <cell r="W173" t="str">
            <v>U7030</v>
          </cell>
          <cell r="Y173" t="str">
            <v>U7030E</v>
          </cell>
          <cell r="Z173" t="str">
            <v>AAA</v>
          </cell>
          <cell r="AB173" t="str">
            <v>T</v>
          </cell>
          <cell r="AD173" t="str">
            <v>*</v>
          </cell>
          <cell r="AE173" t="str">
            <v>2J653</v>
          </cell>
          <cell r="AF173" t="str">
            <v>021223</v>
          </cell>
          <cell r="AI173" t="str">
            <v>*</v>
          </cell>
          <cell r="AJ173" t="str">
            <v>T</v>
          </cell>
          <cell r="AT173" t="str">
            <v>A</v>
          </cell>
          <cell r="AU173" t="str">
            <v>0</v>
          </cell>
          <cell r="AV173" t="str">
            <v>3</v>
          </cell>
          <cell r="BE173" t="str">
            <v>ﾙ</v>
          </cell>
          <cell r="BF173" t="str">
            <v>0005</v>
          </cell>
        </row>
        <row r="174">
          <cell r="T174" t="str">
            <v>5Q</v>
          </cell>
          <cell r="U174" t="str">
            <v>040</v>
          </cell>
          <cell r="V174" t="str">
            <v xml:space="preserve"> 7B 1D</v>
          </cell>
          <cell r="W174" t="str">
            <v>U7460</v>
          </cell>
          <cell r="Y174" t="str">
            <v>U7460E</v>
          </cell>
          <cell r="Z174" t="str">
            <v>AAA</v>
          </cell>
          <cell r="AB174" t="str">
            <v>T</v>
          </cell>
          <cell r="AD174" t="str">
            <v>*</v>
          </cell>
          <cell r="AE174" t="str">
            <v>2J653</v>
          </cell>
          <cell r="AF174" t="str">
            <v>021223</v>
          </cell>
          <cell r="AI174" t="str">
            <v>*</v>
          </cell>
          <cell r="AJ174" t="str">
            <v>T</v>
          </cell>
          <cell r="AT174" t="str">
            <v>A</v>
          </cell>
          <cell r="AU174" t="str">
            <v>0</v>
          </cell>
          <cell r="AV174" t="str">
            <v>3</v>
          </cell>
          <cell r="BE174" t="str">
            <v>ﾙ</v>
          </cell>
          <cell r="BF174" t="str">
            <v>0008</v>
          </cell>
          <cell r="BG174" t="str">
            <v>2J619</v>
          </cell>
          <cell r="BH174" t="str">
            <v>5Q</v>
          </cell>
          <cell r="BI174" t="str">
            <v>020</v>
          </cell>
        </row>
        <row r="175">
          <cell r="T175" t="str">
            <v>5Q</v>
          </cell>
          <cell r="U175" t="str">
            <v>040</v>
          </cell>
          <cell r="V175" t="str">
            <v xml:space="preserve"> 7B 1D</v>
          </cell>
          <cell r="W175" t="str">
            <v>U7460</v>
          </cell>
          <cell r="Y175" t="str">
            <v>U7460E</v>
          </cell>
          <cell r="Z175" t="str">
            <v>AAB</v>
          </cell>
          <cell r="AB175" t="str">
            <v>T</v>
          </cell>
          <cell r="AD175" t="str">
            <v>*</v>
          </cell>
          <cell r="AE175" t="str">
            <v>2J653</v>
          </cell>
          <cell r="AF175" t="str">
            <v>021223</v>
          </cell>
          <cell r="AI175" t="str">
            <v>*</v>
          </cell>
          <cell r="AJ175" t="str">
            <v>T</v>
          </cell>
          <cell r="AT175" t="str">
            <v>A</v>
          </cell>
          <cell r="AU175" t="str">
            <v>0</v>
          </cell>
          <cell r="AV175" t="str">
            <v>3</v>
          </cell>
          <cell r="BE175" t="str">
            <v>ﾙ</v>
          </cell>
          <cell r="BF175" t="str">
            <v>0008</v>
          </cell>
          <cell r="BG175" t="str">
            <v>2J619</v>
          </cell>
          <cell r="BH175" t="str">
            <v>5Q</v>
          </cell>
          <cell r="BI175" t="str">
            <v>020</v>
          </cell>
        </row>
        <row r="176">
          <cell r="T176" t="str">
            <v>5Q</v>
          </cell>
          <cell r="U176" t="str">
            <v>040</v>
          </cell>
          <cell r="V176" t="str">
            <v xml:space="preserve"> 7B 1D</v>
          </cell>
          <cell r="W176" t="str">
            <v>U7460</v>
          </cell>
          <cell r="Y176" t="str">
            <v>U7460E</v>
          </cell>
          <cell r="Z176" t="str">
            <v>AAC</v>
          </cell>
          <cell r="AB176" t="str">
            <v>T</v>
          </cell>
          <cell r="AD176" t="str">
            <v>*</v>
          </cell>
          <cell r="AE176" t="str">
            <v>2J653</v>
          </cell>
          <cell r="AF176" t="str">
            <v>021223</v>
          </cell>
          <cell r="AI176" t="str">
            <v>*</v>
          </cell>
          <cell r="AJ176" t="str">
            <v>T</v>
          </cell>
          <cell r="AT176" t="str">
            <v>A</v>
          </cell>
          <cell r="AU176" t="str">
            <v>0</v>
          </cell>
          <cell r="AV176" t="str">
            <v>3</v>
          </cell>
          <cell r="BE176" t="str">
            <v>ﾙ</v>
          </cell>
          <cell r="BF176" t="str">
            <v>0008</v>
          </cell>
          <cell r="BG176" t="str">
            <v>2J619</v>
          </cell>
          <cell r="BH176" t="str">
            <v>5Q</v>
          </cell>
          <cell r="BI176" t="str">
            <v>020</v>
          </cell>
        </row>
        <row r="177">
          <cell r="T177" t="str">
            <v>5Q</v>
          </cell>
          <cell r="U177" t="str">
            <v>040</v>
          </cell>
          <cell r="V177" t="str">
            <v xml:space="preserve"> 7B 3A</v>
          </cell>
          <cell r="W177" t="str">
            <v>U1150</v>
          </cell>
          <cell r="Y177" t="str">
            <v>U1150E</v>
          </cell>
          <cell r="Z177" t="str">
            <v>AAB</v>
          </cell>
          <cell r="AB177" t="str">
            <v>U</v>
          </cell>
          <cell r="AD177" t="str">
            <v>*</v>
          </cell>
          <cell r="AE177" t="str">
            <v>2J653</v>
          </cell>
          <cell r="AF177" t="str">
            <v>021223</v>
          </cell>
          <cell r="AI177" t="str">
            <v>*</v>
          </cell>
          <cell r="AJ177" t="str">
            <v>T</v>
          </cell>
          <cell r="AT177" t="str">
            <v>A</v>
          </cell>
          <cell r="AU177" t="str">
            <v>0</v>
          </cell>
          <cell r="AV177" t="str">
            <v>3</v>
          </cell>
          <cell r="BE177" t="str">
            <v>ﾙ</v>
          </cell>
          <cell r="BF177" t="str">
            <v>0002</v>
          </cell>
          <cell r="BG177" t="str">
            <v>Z6369</v>
          </cell>
          <cell r="BH177" t="str">
            <v>5P</v>
          </cell>
          <cell r="BI177" t="str">
            <v>020</v>
          </cell>
        </row>
        <row r="178">
          <cell r="T178" t="str">
            <v>5Q</v>
          </cell>
          <cell r="U178" t="str">
            <v>040</v>
          </cell>
          <cell r="V178" t="str">
            <v xml:space="preserve"> 7B 3A</v>
          </cell>
          <cell r="W178" t="str">
            <v>U1300</v>
          </cell>
          <cell r="Y178" t="str">
            <v>U1300E</v>
          </cell>
          <cell r="Z178" t="str">
            <v>AAA</v>
          </cell>
          <cell r="AB178" t="str">
            <v>U</v>
          </cell>
          <cell r="AD178" t="str">
            <v>*</v>
          </cell>
          <cell r="AE178" t="str">
            <v>2J653</v>
          </cell>
          <cell r="AF178" t="str">
            <v>021223</v>
          </cell>
          <cell r="AI178" t="str">
            <v>*</v>
          </cell>
          <cell r="AJ178" t="str">
            <v>T</v>
          </cell>
          <cell r="AT178" t="str">
            <v>A</v>
          </cell>
          <cell r="AU178" t="str">
            <v>0</v>
          </cell>
          <cell r="AV178" t="str">
            <v>3</v>
          </cell>
          <cell r="BE178" t="str">
            <v>ﾙ</v>
          </cell>
          <cell r="BF178" t="str">
            <v>0002</v>
          </cell>
          <cell r="BG178" t="str">
            <v>2J618</v>
          </cell>
          <cell r="BH178" t="str">
            <v>5P</v>
          </cell>
          <cell r="BI178" t="str">
            <v>020</v>
          </cell>
        </row>
        <row r="179">
          <cell r="T179" t="str">
            <v>5Q</v>
          </cell>
          <cell r="U179" t="str">
            <v>040</v>
          </cell>
          <cell r="V179" t="str">
            <v xml:space="preserve"> 7B 3A</v>
          </cell>
          <cell r="W179" t="str">
            <v>U1500</v>
          </cell>
          <cell r="Y179" t="str">
            <v>U1500E</v>
          </cell>
          <cell r="Z179" t="str">
            <v>AAA</v>
          </cell>
          <cell r="AB179" t="str">
            <v>U</v>
          </cell>
          <cell r="AD179" t="str">
            <v>*</v>
          </cell>
          <cell r="AE179" t="str">
            <v>2J653</v>
          </cell>
          <cell r="AF179" t="str">
            <v>021223</v>
          </cell>
          <cell r="AI179" t="str">
            <v>*</v>
          </cell>
          <cell r="AJ179" t="str">
            <v>T</v>
          </cell>
          <cell r="AT179" t="str">
            <v>A</v>
          </cell>
          <cell r="AU179" t="str">
            <v>0</v>
          </cell>
          <cell r="AV179" t="str">
            <v>3</v>
          </cell>
          <cell r="BE179" t="str">
            <v>ﾙ</v>
          </cell>
          <cell r="BF179" t="str">
            <v>0002</v>
          </cell>
          <cell r="BG179" t="str">
            <v>2J618</v>
          </cell>
          <cell r="BH179" t="str">
            <v>5P</v>
          </cell>
          <cell r="BI179" t="str">
            <v>020</v>
          </cell>
        </row>
        <row r="180">
          <cell r="T180" t="str">
            <v>5Q</v>
          </cell>
          <cell r="U180" t="str">
            <v>040</v>
          </cell>
          <cell r="V180" t="str">
            <v xml:space="preserve"> 7B 3A</v>
          </cell>
          <cell r="W180" t="str">
            <v>U1550</v>
          </cell>
          <cell r="Y180" t="str">
            <v>U1550E</v>
          </cell>
          <cell r="Z180" t="str">
            <v>AAA</v>
          </cell>
          <cell r="AB180" t="str">
            <v>U</v>
          </cell>
          <cell r="AD180" t="str">
            <v>*</v>
          </cell>
          <cell r="AE180" t="str">
            <v>2J653</v>
          </cell>
          <cell r="AF180" t="str">
            <v>021223</v>
          </cell>
          <cell r="AI180" t="str">
            <v>*</v>
          </cell>
          <cell r="AJ180" t="str">
            <v>T</v>
          </cell>
          <cell r="AT180" t="str">
            <v>A</v>
          </cell>
          <cell r="AU180" t="str">
            <v>0</v>
          </cell>
          <cell r="AV180" t="str">
            <v>3</v>
          </cell>
          <cell r="BE180" t="str">
            <v>ﾙ</v>
          </cell>
          <cell r="BF180" t="str">
            <v>0002</v>
          </cell>
          <cell r="BG180" t="str">
            <v>2J618</v>
          </cell>
          <cell r="BH180" t="str">
            <v>5P</v>
          </cell>
          <cell r="BI180" t="str">
            <v>020</v>
          </cell>
        </row>
        <row r="181">
          <cell r="T181" t="str">
            <v>5Q</v>
          </cell>
          <cell r="U181" t="str">
            <v>040</v>
          </cell>
          <cell r="V181" t="str">
            <v xml:space="preserve"> 7B 3C</v>
          </cell>
          <cell r="W181" t="str">
            <v>U1000</v>
          </cell>
          <cell r="X181" t="str">
            <v xml:space="preserve"> 7B 3C</v>
          </cell>
          <cell r="Y181" t="str">
            <v>U1780Y</v>
          </cell>
          <cell r="Z181" t="str">
            <v>AAH</v>
          </cell>
          <cell r="AB181" t="str">
            <v>U</v>
          </cell>
          <cell r="AD181" t="str">
            <v>*</v>
          </cell>
          <cell r="AE181" t="str">
            <v>JBN49</v>
          </cell>
          <cell r="AF181" t="str">
            <v>020701</v>
          </cell>
          <cell r="AI181" t="str">
            <v>*</v>
          </cell>
          <cell r="AJ181" t="str">
            <v>T</v>
          </cell>
          <cell r="AT181" t="str">
            <v>A</v>
          </cell>
          <cell r="AU181" t="str">
            <v>0</v>
          </cell>
          <cell r="AV181" t="str">
            <v>3</v>
          </cell>
          <cell r="BE181" t="str">
            <v>ﾙ</v>
          </cell>
          <cell r="BF181" t="str">
            <v>0002</v>
          </cell>
          <cell r="BG181" t="str">
            <v>2J618</v>
          </cell>
        </row>
        <row r="182">
          <cell r="T182" t="str">
            <v>5Q</v>
          </cell>
          <cell r="U182" t="str">
            <v>040</v>
          </cell>
          <cell r="V182" t="str">
            <v xml:space="preserve"> 7B 3C</v>
          </cell>
          <cell r="W182" t="str">
            <v>U1000</v>
          </cell>
          <cell r="X182" t="str">
            <v xml:space="preserve"> 7B 3C</v>
          </cell>
          <cell r="Y182" t="str">
            <v>U1830Y</v>
          </cell>
          <cell r="Z182" t="str">
            <v>AAP</v>
          </cell>
          <cell r="AB182" t="str">
            <v>U</v>
          </cell>
          <cell r="AD182" t="str">
            <v>*</v>
          </cell>
          <cell r="AE182" t="str">
            <v>JBN49</v>
          </cell>
          <cell r="AF182" t="str">
            <v>020701</v>
          </cell>
          <cell r="AI182" t="str">
            <v>*</v>
          </cell>
          <cell r="AJ182" t="str">
            <v>T</v>
          </cell>
          <cell r="AT182" t="str">
            <v>A</v>
          </cell>
          <cell r="AU182" t="str">
            <v>0</v>
          </cell>
          <cell r="AV182" t="str">
            <v>3</v>
          </cell>
          <cell r="BE182" t="str">
            <v>ﾙ</v>
          </cell>
          <cell r="BF182" t="str">
            <v>0002</v>
          </cell>
          <cell r="BG182" t="str">
            <v>S1269</v>
          </cell>
        </row>
        <row r="183">
          <cell r="T183" t="str">
            <v>5Q</v>
          </cell>
          <cell r="U183" t="str">
            <v>040</v>
          </cell>
          <cell r="V183" t="str">
            <v xml:space="preserve"> 7B 3D</v>
          </cell>
          <cell r="W183" t="str">
            <v>U1300</v>
          </cell>
          <cell r="Y183" t="str">
            <v>U1300E</v>
          </cell>
          <cell r="Z183" t="str">
            <v>AAA</v>
          </cell>
          <cell r="AB183" t="str">
            <v>U</v>
          </cell>
          <cell r="AD183" t="str">
            <v>*</v>
          </cell>
          <cell r="AE183" t="str">
            <v>2J653</v>
          </cell>
          <cell r="AF183" t="str">
            <v>021223</v>
          </cell>
          <cell r="AI183" t="str">
            <v>*</v>
          </cell>
          <cell r="AJ183" t="str">
            <v>T</v>
          </cell>
          <cell r="AT183" t="str">
            <v>A</v>
          </cell>
          <cell r="AU183" t="str">
            <v>0</v>
          </cell>
          <cell r="AV183" t="str">
            <v>3</v>
          </cell>
          <cell r="BE183" t="str">
            <v>ﾙ</v>
          </cell>
          <cell r="BF183" t="str">
            <v>0002</v>
          </cell>
          <cell r="BG183" t="str">
            <v>2J618</v>
          </cell>
          <cell r="BH183" t="str">
            <v>5P</v>
          </cell>
          <cell r="BI183" t="str">
            <v>020</v>
          </cell>
        </row>
        <row r="184">
          <cell r="T184" t="str">
            <v>5Q</v>
          </cell>
          <cell r="U184" t="str">
            <v>040</v>
          </cell>
          <cell r="V184" t="str">
            <v xml:space="preserve"> 7B 1D</v>
          </cell>
          <cell r="W184" t="str">
            <v>U7120</v>
          </cell>
          <cell r="Y184" t="str">
            <v>U7120E</v>
          </cell>
          <cell r="Z184" t="str">
            <v>AAA</v>
          </cell>
          <cell r="AB184" t="str">
            <v>T</v>
          </cell>
          <cell r="AD184" t="str">
            <v>*</v>
          </cell>
          <cell r="AE184" t="str">
            <v>2J653</v>
          </cell>
          <cell r="AF184" t="str">
            <v>021223</v>
          </cell>
          <cell r="AI184" t="str">
            <v>*</v>
          </cell>
          <cell r="AJ184" t="str">
            <v>T</v>
          </cell>
          <cell r="AT184" t="str">
            <v>3</v>
          </cell>
          <cell r="AU184" t="str">
            <v>0</v>
          </cell>
          <cell r="AV184" t="str">
            <v>7</v>
          </cell>
          <cell r="BE184" t="str">
            <v>ﾙ</v>
          </cell>
          <cell r="BF184" t="str">
            <v>0005</v>
          </cell>
          <cell r="BG184" t="str">
            <v>Z6327</v>
          </cell>
        </row>
        <row r="185">
          <cell r="T185" t="str">
            <v>5Q</v>
          </cell>
          <cell r="U185" t="str">
            <v>040</v>
          </cell>
          <cell r="V185" t="str">
            <v xml:space="preserve"> 7B 1D</v>
          </cell>
          <cell r="W185" t="str">
            <v>U7440</v>
          </cell>
          <cell r="Y185" t="str">
            <v>U7440E</v>
          </cell>
          <cell r="Z185" t="str">
            <v>AAA</v>
          </cell>
          <cell r="AB185" t="str">
            <v>T</v>
          </cell>
          <cell r="AD185" t="str">
            <v>*</v>
          </cell>
          <cell r="AE185" t="str">
            <v>2J653</v>
          </cell>
          <cell r="AF185" t="str">
            <v>021223</v>
          </cell>
          <cell r="AI185" t="str">
            <v>*</v>
          </cell>
          <cell r="AJ185" t="str">
            <v>T</v>
          </cell>
          <cell r="AT185" t="str">
            <v>3</v>
          </cell>
          <cell r="AU185" t="str">
            <v>0</v>
          </cell>
          <cell r="AV185" t="str">
            <v>7</v>
          </cell>
          <cell r="BE185" t="str">
            <v>ﾙ</v>
          </cell>
          <cell r="BF185" t="str">
            <v>0008</v>
          </cell>
          <cell r="BG185" t="str">
            <v>2S012</v>
          </cell>
          <cell r="BH185" t="str">
            <v>5R</v>
          </cell>
          <cell r="BI185" t="str">
            <v>020</v>
          </cell>
        </row>
        <row r="186">
          <cell r="T186" t="str">
            <v>5Q</v>
          </cell>
          <cell r="U186" t="str">
            <v>040</v>
          </cell>
          <cell r="V186" t="str">
            <v>12E</v>
          </cell>
          <cell r="W186" t="str">
            <v>U0520</v>
          </cell>
          <cell r="Y186" t="str">
            <v>U0520E</v>
          </cell>
          <cell r="Z186" t="str">
            <v>AAC</v>
          </cell>
          <cell r="AB186" t="str">
            <v>T</v>
          </cell>
          <cell r="AD186" t="str">
            <v>*</v>
          </cell>
          <cell r="AE186" t="str">
            <v>2J653</v>
          </cell>
          <cell r="AF186" t="str">
            <v>021223</v>
          </cell>
          <cell r="AI186" t="str">
            <v>*</v>
          </cell>
          <cell r="AJ186" t="str">
            <v>T</v>
          </cell>
          <cell r="AT186" t="str">
            <v>A</v>
          </cell>
          <cell r="AU186" t="str">
            <v>0</v>
          </cell>
          <cell r="AV186" t="str">
            <v>3</v>
          </cell>
          <cell r="BE186" t="str">
            <v>ｲ</v>
          </cell>
          <cell r="BF186" t="str">
            <v>0004</v>
          </cell>
          <cell r="BG186" t="str">
            <v>Z6414</v>
          </cell>
          <cell r="BH186" t="str">
            <v>5P</v>
          </cell>
          <cell r="BI186" t="str">
            <v>020</v>
          </cell>
        </row>
        <row r="187">
          <cell r="T187" t="str">
            <v>5Q</v>
          </cell>
          <cell r="U187" t="str">
            <v>040</v>
          </cell>
          <cell r="V187" t="str">
            <v xml:space="preserve"> 5D</v>
          </cell>
          <cell r="W187" t="str">
            <v>U5160</v>
          </cell>
          <cell r="Y187" t="str">
            <v>U5160E</v>
          </cell>
          <cell r="Z187" t="str">
            <v>AAD</v>
          </cell>
          <cell r="AB187" t="str">
            <v>F</v>
          </cell>
          <cell r="AD187" t="str">
            <v>*</v>
          </cell>
          <cell r="AE187" t="str">
            <v>2J653</v>
          </cell>
          <cell r="AF187" t="str">
            <v>021223</v>
          </cell>
          <cell r="AI187" t="str">
            <v>*</v>
          </cell>
          <cell r="AJ187" t="str">
            <v>T</v>
          </cell>
          <cell r="AT187" t="str">
            <v>A</v>
          </cell>
          <cell r="AU187" t="str">
            <v>0</v>
          </cell>
          <cell r="AV187" t="str">
            <v>3</v>
          </cell>
          <cell r="BE187" t="str">
            <v>ﾙ</v>
          </cell>
          <cell r="BF187" t="str">
            <v>0052</v>
          </cell>
          <cell r="BG187" t="str">
            <v>Z6339</v>
          </cell>
          <cell r="BH187" t="str">
            <v>5R</v>
          </cell>
          <cell r="BI187" t="str">
            <v>020</v>
          </cell>
        </row>
        <row r="188">
          <cell r="T188" t="str">
            <v>5Q</v>
          </cell>
          <cell r="U188" t="str">
            <v>040</v>
          </cell>
          <cell r="V188" t="str">
            <v xml:space="preserve"> 7B 3A</v>
          </cell>
          <cell r="W188" t="str">
            <v>U0140</v>
          </cell>
          <cell r="Y188" t="str">
            <v>U0140E</v>
          </cell>
          <cell r="Z188" t="str">
            <v>AAA</v>
          </cell>
          <cell r="AB188" t="str">
            <v>U</v>
          </cell>
          <cell r="AD188" t="str">
            <v>*</v>
          </cell>
          <cell r="AE188" t="str">
            <v>2J653</v>
          </cell>
          <cell r="AF188" t="str">
            <v>021223</v>
          </cell>
          <cell r="AI188" t="str">
            <v>*</v>
          </cell>
          <cell r="AJ188" t="str">
            <v>T</v>
          </cell>
          <cell r="AT188" t="str">
            <v>A</v>
          </cell>
          <cell r="AU188" t="str">
            <v>0</v>
          </cell>
          <cell r="AV188" t="str">
            <v>3</v>
          </cell>
          <cell r="BF188" t="str">
            <v>0002</v>
          </cell>
          <cell r="BG188" t="str">
            <v>2S016</v>
          </cell>
          <cell r="BH188" t="str">
            <v>AB</v>
          </cell>
          <cell r="BI188" t="str">
            <v>020</v>
          </cell>
        </row>
        <row r="189">
          <cell r="T189" t="str">
            <v>5Q</v>
          </cell>
          <cell r="U189" t="str">
            <v>040</v>
          </cell>
          <cell r="V189" t="str">
            <v xml:space="preserve"> 7B 1D</v>
          </cell>
          <cell r="W189" t="str">
            <v>U7070</v>
          </cell>
          <cell r="X189" t="str">
            <v xml:space="preserve"> 7B 1D</v>
          </cell>
          <cell r="Y189" t="str">
            <v>U6450Y</v>
          </cell>
          <cell r="Z189" t="str">
            <v>AAC</v>
          </cell>
          <cell r="AB189" t="str">
            <v>T</v>
          </cell>
          <cell r="AD189" t="str">
            <v>X</v>
          </cell>
          <cell r="AE189" t="str">
            <v>Z6399</v>
          </cell>
          <cell r="AF189" t="str">
            <v>011022</v>
          </cell>
          <cell r="AI189" t="str">
            <v>*</v>
          </cell>
          <cell r="AJ189" t="str">
            <v>T</v>
          </cell>
          <cell r="AT189" t="str">
            <v>A</v>
          </cell>
          <cell r="AU189" t="str">
            <v>0</v>
          </cell>
          <cell r="AV189" t="str">
            <v>3</v>
          </cell>
          <cell r="BE189" t="str">
            <v>ﾙ</v>
          </cell>
          <cell r="BF189" t="str">
            <v>0005</v>
          </cell>
          <cell r="BG189" t="str">
            <v>Z6399</v>
          </cell>
        </row>
        <row r="190">
          <cell r="T190" t="str">
            <v>5Q</v>
          </cell>
          <cell r="U190" t="str">
            <v>040</v>
          </cell>
          <cell r="V190" t="str">
            <v xml:space="preserve"> 7B 1D</v>
          </cell>
          <cell r="W190" t="str">
            <v>U7510</v>
          </cell>
          <cell r="Y190" t="str">
            <v>U7510E</v>
          </cell>
          <cell r="Z190" t="str">
            <v>AAM</v>
          </cell>
          <cell r="AB190" t="str">
            <v>T</v>
          </cell>
          <cell r="AD190" t="str">
            <v>*</v>
          </cell>
          <cell r="AE190" t="str">
            <v>2J653</v>
          </cell>
          <cell r="AF190" t="str">
            <v>021223</v>
          </cell>
          <cell r="AI190" t="str">
            <v>*</v>
          </cell>
          <cell r="AJ190" t="str">
            <v>T</v>
          </cell>
          <cell r="AT190" t="str">
            <v>A</v>
          </cell>
          <cell r="AU190" t="str">
            <v>0</v>
          </cell>
          <cell r="AV190" t="str">
            <v>3</v>
          </cell>
          <cell r="BE190" t="str">
            <v>ﾙ</v>
          </cell>
          <cell r="BF190" t="str">
            <v>0005</v>
          </cell>
          <cell r="BG190" t="str">
            <v>S0979</v>
          </cell>
          <cell r="BH190" t="str">
            <v>5Q</v>
          </cell>
          <cell r="BI190" t="str">
            <v>020</v>
          </cell>
        </row>
        <row r="191">
          <cell r="T191" t="str">
            <v>5Q</v>
          </cell>
          <cell r="U191" t="str">
            <v>040</v>
          </cell>
          <cell r="V191" t="str">
            <v xml:space="preserve"> 7B 1D</v>
          </cell>
          <cell r="W191" t="str">
            <v>U7510</v>
          </cell>
          <cell r="Y191" t="str">
            <v>U7510E</v>
          </cell>
          <cell r="Z191" t="str">
            <v>AAN</v>
          </cell>
          <cell r="AB191" t="str">
            <v>T</v>
          </cell>
          <cell r="AD191" t="str">
            <v>*</v>
          </cell>
          <cell r="AE191" t="str">
            <v>2J653</v>
          </cell>
          <cell r="AF191" t="str">
            <v>021223</v>
          </cell>
          <cell r="AI191" t="str">
            <v>*</v>
          </cell>
          <cell r="AJ191" t="str">
            <v>T</v>
          </cell>
          <cell r="AT191" t="str">
            <v>A</v>
          </cell>
          <cell r="AU191" t="str">
            <v>0</v>
          </cell>
          <cell r="AV191" t="str">
            <v>3</v>
          </cell>
          <cell r="BE191" t="str">
            <v>ﾙ</v>
          </cell>
          <cell r="BF191" t="str">
            <v>0005</v>
          </cell>
          <cell r="BG191" t="str">
            <v>S0979</v>
          </cell>
          <cell r="BH191" t="str">
            <v>5Q</v>
          </cell>
          <cell r="BI191" t="str">
            <v>020</v>
          </cell>
        </row>
        <row r="192">
          <cell r="T192" t="str">
            <v>5Q</v>
          </cell>
          <cell r="U192" t="str">
            <v>040</v>
          </cell>
          <cell r="V192" t="str">
            <v xml:space="preserve"> 7B 1D</v>
          </cell>
          <cell r="W192" t="str">
            <v>U7510</v>
          </cell>
          <cell r="Y192" t="str">
            <v>U7510E</v>
          </cell>
          <cell r="Z192" t="str">
            <v>AAP</v>
          </cell>
          <cell r="AB192" t="str">
            <v>T</v>
          </cell>
          <cell r="AD192" t="str">
            <v>*</v>
          </cell>
          <cell r="AE192" t="str">
            <v>2J653</v>
          </cell>
          <cell r="AF192" t="str">
            <v>021223</v>
          </cell>
          <cell r="AI192" t="str">
            <v>*</v>
          </cell>
          <cell r="AJ192" t="str">
            <v>T</v>
          </cell>
          <cell r="AT192" t="str">
            <v>A</v>
          </cell>
          <cell r="AU192" t="str">
            <v>0</v>
          </cell>
          <cell r="AV192" t="str">
            <v>3</v>
          </cell>
          <cell r="BE192" t="str">
            <v>ﾙ</v>
          </cell>
          <cell r="BF192" t="str">
            <v>0005</v>
          </cell>
          <cell r="BG192" t="str">
            <v>S0979</v>
          </cell>
          <cell r="BH192" t="str">
            <v>5Q</v>
          </cell>
          <cell r="BI192" t="str">
            <v>020</v>
          </cell>
        </row>
        <row r="193">
          <cell r="T193" t="str">
            <v>5Q</v>
          </cell>
          <cell r="U193" t="str">
            <v>040</v>
          </cell>
          <cell r="V193" t="str">
            <v>14H</v>
          </cell>
          <cell r="W193" t="str">
            <v>U4300</v>
          </cell>
          <cell r="Y193" t="str">
            <v>U4300E</v>
          </cell>
          <cell r="Z193" t="str">
            <v>AAG</v>
          </cell>
          <cell r="AB193" t="str">
            <v>T</v>
          </cell>
          <cell r="AD193" t="str">
            <v>*</v>
          </cell>
          <cell r="AE193" t="str">
            <v>2J653</v>
          </cell>
          <cell r="AF193" t="str">
            <v>021223</v>
          </cell>
          <cell r="AI193" t="str">
            <v>*</v>
          </cell>
          <cell r="AJ193" t="str">
            <v>T</v>
          </cell>
          <cell r="AT193" t="str">
            <v>A</v>
          </cell>
          <cell r="AU193" t="str">
            <v>0</v>
          </cell>
          <cell r="AV193" t="str">
            <v>3</v>
          </cell>
          <cell r="BE193" t="str">
            <v>B</v>
          </cell>
          <cell r="BF193" t="str">
            <v>0049</v>
          </cell>
          <cell r="BG193" t="str">
            <v>JBJ03</v>
          </cell>
          <cell r="BH193" t="str">
            <v>5Q</v>
          </cell>
          <cell r="BI193" t="str">
            <v>020</v>
          </cell>
        </row>
        <row r="194">
          <cell r="T194" t="str">
            <v>5Q</v>
          </cell>
          <cell r="U194" t="str">
            <v>040</v>
          </cell>
          <cell r="V194" t="str">
            <v xml:space="preserve"> 7A</v>
          </cell>
          <cell r="W194" t="str">
            <v>U6300</v>
          </cell>
          <cell r="Y194" t="str">
            <v>U6300E</v>
          </cell>
          <cell r="Z194" t="str">
            <v>AAB</v>
          </cell>
          <cell r="AB194" t="str">
            <v>T</v>
          </cell>
          <cell r="AD194" t="str">
            <v>*</v>
          </cell>
          <cell r="AE194" t="str">
            <v>2J653</v>
          </cell>
          <cell r="AF194" t="str">
            <v>021223</v>
          </cell>
          <cell r="AI194" t="str">
            <v>*</v>
          </cell>
          <cell r="AJ194" t="str">
            <v>T</v>
          </cell>
          <cell r="AT194" t="str">
            <v>A</v>
          </cell>
          <cell r="AU194" t="str">
            <v>0</v>
          </cell>
          <cell r="AV194" t="str">
            <v>3</v>
          </cell>
          <cell r="BE194" t="str">
            <v>ﾙ</v>
          </cell>
          <cell r="BF194" t="str">
            <v>0005</v>
          </cell>
          <cell r="BG194" t="str">
            <v>Z6347</v>
          </cell>
          <cell r="BH194" t="str">
            <v>5P</v>
          </cell>
          <cell r="BI194" t="str">
            <v>020</v>
          </cell>
        </row>
        <row r="195">
          <cell r="T195" t="str">
            <v>5Q</v>
          </cell>
          <cell r="U195" t="str">
            <v>040</v>
          </cell>
          <cell r="V195" t="str">
            <v xml:space="preserve"> 7B 1B1</v>
          </cell>
          <cell r="W195" t="str">
            <v>U0900</v>
          </cell>
          <cell r="Y195" t="str">
            <v>U0900E</v>
          </cell>
          <cell r="Z195" t="str">
            <v>AAB</v>
          </cell>
          <cell r="AB195" t="str">
            <v>T</v>
          </cell>
          <cell r="AD195" t="str">
            <v>*</v>
          </cell>
          <cell r="AE195" t="str">
            <v>2J653</v>
          </cell>
          <cell r="AF195" t="str">
            <v>021223</v>
          </cell>
          <cell r="AI195" t="str">
            <v>*</v>
          </cell>
          <cell r="AJ195" t="str">
            <v>T</v>
          </cell>
          <cell r="AT195" t="str">
            <v>A</v>
          </cell>
          <cell r="AU195" t="str">
            <v>0</v>
          </cell>
          <cell r="AV195" t="str">
            <v>3</v>
          </cell>
          <cell r="BE195" t="str">
            <v>B</v>
          </cell>
          <cell r="BF195" t="str">
            <v>0004</v>
          </cell>
          <cell r="BG195" t="str">
            <v>JAE68</v>
          </cell>
          <cell r="BH195" t="str">
            <v>5Q</v>
          </cell>
          <cell r="BI195" t="str">
            <v>020</v>
          </cell>
        </row>
        <row r="196">
          <cell r="T196" t="str">
            <v>5Q</v>
          </cell>
          <cell r="U196" t="str">
            <v>040</v>
          </cell>
          <cell r="V196" t="str">
            <v xml:space="preserve"> 7B 1B1</v>
          </cell>
          <cell r="W196" t="str">
            <v>U0750</v>
          </cell>
          <cell r="Y196" t="str">
            <v>U0750E</v>
          </cell>
          <cell r="Z196" t="str">
            <v>AAB</v>
          </cell>
          <cell r="AB196" t="str">
            <v>T</v>
          </cell>
          <cell r="AD196" t="str">
            <v>*</v>
          </cell>
          <cell r="AE196" t="str">
            <v>2J653</v>
          </cell>
          <cell r="AF196" t="str">
            <v>021223</v>
          </cell>
          <cell r="AI196" t="str">
            <v>*</v>
          </cell>
          <cell r="AJ196" t="str">
            <v>T</v>
          </cell>
          <cell r="AT196" t="str">
            <v>A</v>
          </cell>
          <cell r="AU196" t="str">
            <v>0</v>
          </cell>
          <cell r="AV196" t="str">
            <v>3</v>
          </cell>
          <cell r="BE196" t="str">
            <v>B</v>
          </cell>
          <cell r="BF196" t="str">
            <v>0004</v>
          </cell>
          <cell r="BG196" t="str">
            <v>JAT76</v>
          </cell>
          <cell r="BH196" t="str">
            <v>5Q</v>
          </cell>
          <cell r="BI196" t="str">
            <v>020</v>
          </cell>
        </row>
        <row r="197">
          <cell r="T197" t="str">
            <v>5Q</v>
          </cell>
          <cell r="U197" t="str">
            <v>040</v>
          </cell>
          <cell r="V197" t="str">
            <v>12E</v>
          </cell>
          <cell r="W197" t="str">
            <v>U0500</v>
          </cell>
          <cell r="Y197" t="str">
            <v>U0500E</v>
          </cell>
          <cell r="Z197" t="str">
            <v>AAE</v>
          </cell>
          <cell r="AB197" t="str">
            <v>U</v>
          </cell>
          <cell r="AD197" t="str">
            <v>*</v>
          </cell>
          <cell r="AE197" t="str">
            <v>2J653</v>
          </cell>
          <cell r="AF197" t="str">
            <v>021223</v>
          </cell>
          <cell r="AI197" t="str">
            <v>*</v>
          </cell>
          <cell r="AJ197" t="str">
            <v>T</v>
          </cell>
          <cell r="AT197" t="str">
            <v>A</v>
          </cell>
          <cell r="AU197" t="str">
            <v>0</v>
          </cell>
          <cell r="AV197" t="str">
            <v>3</v>
          </cell>
          <cell r="BE197" t="str">
            <v>B</v>
          </cell>
          <cell r="BF197" t="str">
            <v>0002</v>
          </cell>
          <cell r="BG197" t="str">
            <v>Z6386</v>
          </cell>
          <cell r="BH197" t="str">
            <v>5P</v>
          </cell>
          <cell r="BI197" t="str">
            <v>020</v>
          </cell>
        </row>
        <row r="198">
          <cell r="T198" t="str">
            <v>5Q</v>
          </cell>
          <cell r="U198" t="str">
            <v>040</v>
          </cell>
          <cell r="V198" t="str">
            <v xml:space="preserve"> 7A</v>
          </cell>
          <cell r="W198" t="str">
            <v>U6000</v>
          </cell>
          <cell r="Y198" t="str">
            <v>U6000E</v>
          </cell>
          <cell r="Z198" t="str">
            <v>AAD</v>
          </cell>
          <cell r="AB198" t="str">
            <v>U</v>
          </cell>
          <cell r="AD198" t="str">
            <v>*</v>
          </cell>
          <cell r="AE198" t="str">
            <v>2J653</v>
          </cell>
          <cell r="AF198" t="str">
            <v>021223</v>
          </cell>
          <cell r="AI198" t="str">
            <v>*</v>
          </cell>
          <cell r="AJ198" t="str">
            <v>T</v>
          </cell>
          <cell r="AT198" t="str">
            <v>A</v>
          </cell>
          <cell r="AU198" t="str">
            <v>0</v>
          </cell>
          <cell r="AV198" t="str">
            <v>3</v>
          </cell>
          <cell r="BE198" t="str">
            <v>B</v>
          </cell>
          <cell r="BF198" t="str">
            <v>0055</v>
          </cell>
          <cell r="BG198" t="str">
            <v>JAN99</v>
          </cell>
          <cell r="BH198" t="str">
            <v>5P</v>
          </cell>
          <cell r="BI198" t="str">
            <v>020</v>
          </cell>
        </row>
        <row r="199">
          <cell r="T199" t="str">
            <v>5Q</v>
          </cell>
          <cell r="U199" t="str">
            <v>040</v>
          </cell>
          <cell r="V199" t="str">
            <v xml:space="preserve"> 7B 3A</v>
          </cell>
          <cell r="W199" t="str">
            <v>U1700</v>
          </cell>
          <cell r="Y199" t="str">
            <v>U1700E</v>
          </cell>
          <cell r="Z199" t="str">
            <v>AAD</v>
          </cell>
          <cell r="AB199" t="str">
            <v>U</v>
          </cell>
          <cell r="AD199" t="str">
            <v>*</v>
          </cell>
          <cell r="AE199" t="str">
            <v>2J653</v>
          </cell>
          <cell r="AF199" t="str">
            <v>021223</v>
          </cell>
          <cell r="AI199" t="str">
            <v>*</v>
          </cell>
          <cell r="AJ199" t="str">
            <v>T</v>
          </cell>
          <cell r="AT199" t="str">
            <v>A</v>
          </cell>
          <cell r="AU199" t="str">
            <v>0</v>
          </cell>
          <cell r="AV199" t="str">
            <v>3</v>
          </cell>
          <cell r="BE199" t="str">
            <v>ﾙ</v>
          </cell>
          <cell r="BF199" t="str">
            <v>0002</v>
          </cell>
          <cell r="BG199" t="str">
            <v>Z6389</v>
          </cell>
          <cell r="BH199" t="str">
            <v>5P</v>
          </cell>
          <cell r="BI199" t="str">
            <v>020</v>
          </cell>
        </row>
        <row r="200">
          <cell r="T200" t="str">
            <v>5Q</v>
          </cell>
          <cell r="U200" t="str">
            <v>040</v>
          </cell>
          <cell r="V200" t="str">
            <v xml:space="preserve"> 7B 3C</v>
          </cell>
          <cell r="W200" t="str">
            <v>U1000</v>
          </cell>
          <cell r="X200" t="str">
            <v xml:space="preserve"> 7B 3C</v>
          </cell>
          <cell r="Y200" t="str">
            <v>U1920Y</v>
          </cell>
          <cell r="Z200" t="str">
            <v>AAJ</v>
          </cell>
          <cell r="AB200" t="str">
            <v>U</v>
          </cell>
          <cell r="AD200" t="str">
            <v>*</v>
          </cell>
          <cell r="AE200" t="str">
            <v>JBN49</v>
          </cell>
          <cell r="AF200" t="str">
            <v>020701</v>
          </cell>
          <cell r="AI200" t="str">
            <v>*</v>
          </cell>
          <cell r="AJ200" t="str">
            <v>T</v>
          </cell>
          <cell r="AT200" t="str">
            <v>A</v>
          </cell>
          <cell r="AU200" t="str">
            <v>0</v>
          </cell>
          <cell r="AV200" t="str">
            <v>3</v>
          </cell>
          <cell r="BE200" t="str">
            <v>ﾙ</v>
          </cell>
          <cell r="BF200" t="str">
            <v>0002</v>
          </cell>
          <cell r="BG200" t="str">
            <v>Z6387</v>
          </cell>
        </row>
        <row r="201">
          <cell r="T201" t="str">
            <v>5Q</v>
          </cell>
          <cell r="U201" t="str">
            <v>040</v>
          </cell>
          <cell r="V201" t="str">
            <v xml:space="preserve"> 7A</v>
          </cell>
          <cell r="W201" t="str">
            <v>U6300</v>
          </cell>
          <cell r="Y201" t="str">
            <v>U6300E</v>
          </cell>
          <cell r="Z201" t="str">
            <v>AAC</v>
          </cell>
          <cell r="AB201" t="str">
            <v>U</v>
          </cell>
          <cell r="AD201" t="str">
            <v>*</v>
          </cell>
          <cell r="AE201" t="str">
            <v>2J653</v>
          </cell>
          <cell r="AF201" t="str">
            <v>021223</v>
          </cell>
          <cell r="AI201" t="str">
            <v>*</v>
          </cell>
          <cell r="AJ201" t="str">
            <v>T</v>
          </cell>
          <cell r="AT201" t="str">
            <v>A</v>
          </cell>
          <cell r="AU201" t="str">
            <v>0</v>
          </cell>
          <cell r="AV201" t="str">
            <v>3</v>
          </cell>
          <cell r="BE201" t="str">
            <v>B</v>
          </cell>
          <cell r="BF201" t="str">
            <v>0002</v>
          </cell>
          <cell r="BG201" t="str">
            <v>JAY70</v>
          </cell>
          <cell r="BH201" t="str">
            <v>5Q</v>
          </cell>
          <cell r="BI201" t="str">
            <v>020</v>
          </cell>
        </row>
        <row r="202">
          <cell r="T202" t="str">
            <v>5Q</v>
          </cell>
          <cell r="U202" t="str">
            <v>040</v>
          </cell>
          <cell r="V202" t="str">
            <v xml:space="preserve"> 7B 1A</v>
          </cell>
          <cell r="W202" t="str">
            <v>U7200</v>
          </cell>
          <cell r="Y202" t="str">
            <v>U7200E</v>
          </cell>
          <cell r="Z202" t="str">
            <v>AAC</v>
          </cell>
          <cell r="AB202" t="str">
            <v>T</v>
          </cell>
          <cell r="AD202" t="str">
            <v>*</v>
          </cell>
          <cell r="AE202" t="str">
            <v>2J653</v>
          </cell>
          <cell r="AF202" t="str">
            <v>021223</v>
          </cell>
          <cell r="AI202" t="str">
            <v>*</v>
          </cell>
          <cell r="AJ202" t="str">
            <v>T</v>
          </cell>
          <cell r="AT202" t="str">
            <v>A</v>
          </cell>
          <cell r="AU202" t="str">
            <v>0</v>
          </cell>
          <cell r="AV202" t="str">
            <v>3</v>
          </cell>
          <cell r="BE202" t="str">
            <v>B</v>
          </cell>
          <cell r="BF202" t="str">
            <v>0034</v>
          </cell>
          <cell r="BG202" t="str">
            <v>JAS96</v>
          </cell>
          <cell r="BH202" t="str">
            <v>5Q</v>
          </cell>
          <cell r="BI202" t="str">
            <v>020</v>
          </cell>
        </row>
        <row r="203">
          <cell r="T203" t="str">
            <v>5Q</v>
          </cell>
          <cell r="U203" t="str">
            <v>040</v>
          </cell>
          <cell r="V203" t="str">
            <v xml:space="preserve"> 7B 1A</v>
          </cell>
          <cell r="W203" t="str">
            <v>U0620</v>
          </cell>
          <cell r="X203" t="str">
            <v xml:space="preserve"> 7B 1A</v>
          </cell>
          <cell r="Y203" t="str">
            <v>U0650Y</v>
          </cell>
          <cell r="Z203" t="str">
            <v>AAJ</v>
          </cell>
          <cell r="AB203" t="str">
            <v>U</v>
          </cell>
          <cell r="AD203" t="str">
            <v>*</v>
          </cell>
          <cell r="AE203" t="str">
            <v>2J653</v>
          </cell>
          <cell r="AF203" t="str">
            <v>021223</v>
          </cell>
          <cell r="AI203" t="str">
            <v>*</v>
          </cell>
          <cell r="AJ203" t="str">
            <v>T</v>
          </cell>
          <cell r="BE203" t="str">
            <v>M</v>
          </cell>
          <cell r="BF203" t="str">
            <v>0060</v>
          </cell>
        </row>
        <row r="204">
          <cell r="T204" t="str">
            <v>5Q</v>
          </cell>
          <cell r="U204" t="str">
            <v>040</v>
          </cell>
          <cell r="V204" t="str">
            <v xml:space="preserve"> 7B 1A</v>
          </cell>
          <cell r="W204" t="str">
            <v>U0620</v>
          </cell>
          <cell r="X204" t="str">
            <v xml:space="preserve"> 7B 1A</v>
          </cell>
          <cell r="Y204" t="str">
            <v>U0650Y</v>
          </cell>
          <cell r="Z204" t="str">
            <v>AAK</v>
          </cell>
          <cell r="AB204" t="str">
            <v>U</v>
          </cell>
          <cell r="AD204" t="str">
            <v>*</v>
          </cell>
          <cell r="AE204" t="str">
            <v>2J653</v>
          </cell>
          <cell r="AF204" t="str">
            <v>021223</v>
          </cell>
          <cell r="AI204" t="str">
            <v>*</v>
          </cell>
          <cell r="AJ204" t="str">
            <v>T</v>
          </cell>
          <cell r="BE204" t="str">
            <v>M</v>
          </cell>
          <cell r="BF204" t="str">
            <v>0061</v>
          </cell>
        </row>
        <row r="205">
          <cell r="T205" t="str">
            <v>5Q</v>
          </cell>
          <cell r="U205" t="str">
            <v>040</v>
          </cell>
          <cell r="V205" t="str">
            <v xml:space="preserve"> 7B 1A</v>
          </cell>
          <cell r="W205" t="str">
            <v>U0620</v>
          </cell>
          <cell r="Y205" t="str">
            <v>U0620E</v>
          </cell>
          <cell r="Z205" t="str">
            <v>AAA</v>
          </cell>
          <cell r="AB205" t="str">
            <v>U</v>
          </cell>
          <cell r="AD205" t="str">
            <v>*</v>
          </cell>
          <cell r="AE205" t="str">
            <v>2J653</v>
          </cell>
          <cell r="AF205" t="str">
            <v>021223</v>
          </cell>
          <cell r="BE205" t="str">
            <v>M</v>
          </cell>
          <cell r="BF205" t="str">
            <v>0060</v>
          </cell>
        </row>
        <row r="206">
          <cell r="T206" t="str">
            <v>5Q</v>
          </cell>
          <cell r="U206" t="str">
            <v>040</v>
          </cell>
          <cell r="V206" t="str">
            <v xml:space="preserve"> 7B 1A</v>
          </cell>
          <cell r="W206" t="str">
            <v>U0620</v>
          </cell>
          <cell r="Y206" t="str">
            <v>U0620E</v>
          </cell>
          <cell r="Z206" t="str">
            <v>AAB</v>
          </cell>
          <cell r="AB206" t="str">
            <v>U</v>
          </cell>
          <cell r="AD206" t="str">
            <v>*</v>
          </cell>
          <cell r="AE206" t="str">
            <v>2J653</v>
          </cell>
          <cell r="AF206" t="str">
            <v>021223</v>
          </cell>
          <cell r="BE206" t="str">
            <v>M</v>
          </cell>
          <cell r="BF206" t="str">
            <v>0061</v>
          </cell>
        </row>
        <row r="207">
          <cell r="T207" t="str">
            <v>5Q</v>
          </cell>
          <cell r="U207" t="str">
            <v>040</v>
          </cell>
          <cell r="V207" t="str">
            <v xml:space="preserve"> 7B 1A</v>
          </cell>
          <cell r="W207" t="str">
            <v>U0200</v>
          </cell>
          <cell r="Y207" t="str">
            <v>U0200E</v>
          </cell>
          <cell r="Z207" t="str">
            <v>AAH</v>
          </cell>
          <cell r="AB207" t="str">
            <v>U</v>
          </cell>
          <cell r="AD207" t="str">
            <v>*</v>
          </cell>
          <cell r="AE207" t="str">
            <v>2J653</v>
          </cell>
          <cell r="AF207" t="str">
            <v>021223</v>
          </cell>
          <cell r="AI207" t="str">
            <v>*</v>
          </cell>
          <cell r="AJ207" t="str">
            <v>T</v>
          </cell>
          <cell r="BE207" t="str">
            <v>M</v>
          </cell>
          <cell r="BF207" t="str">
            <v>0059</v>
          </cell>
        </row>
        <row r="208">
          <cell r="T208" t="str">
            <v>5Q</v>
          </cell>
          <cell r="U208" t="str">
            <v>040</v>
          </cell>
          <cell r="V208" t="str">
            <v xml:space="preserve"> 7B 3A</v>
          </cell>
          <cell r="W208" t="str">
            <v>U1800</v>
          </cell>
          <cell r="Y208" t="str">
            <v>U1800E</v>
          </cell>
          <cell r="Z208" t="str">
            <v>AAB</v>
          </cell>
          <cell r="AB208" t="str">
            <v>U</v>
          </cell>
          <cell r="AD208" t="str">
            <v>*</v>
          </cell>
          <cell r="AE208" t="str">
            <v>2J653</v>
          </cell>
          <cell r="AF208" t="str">
            <v>021223</v>
          </cell>
          <cell r="AI208" t="str">
            <v>*</v>
          </cell>
          <cell r="AJ208" t="str">
            <v>T</v>
          </cell>
          <cell r="AT208" t="str">
            <v>A</v>
          </cell>
          <cell r="AU208" t="str">
            <v>0</v>
          </cell>
          <cell r="AV208" t="str">
            <v>3</v>
          </cell>
          <cell r="BE208" t="str">
            <v>ﾙ</v>
          </cell>
          <cell r="BF208" t="str">
            <v>0002</v>
          </cell>
          <cell r="BG208" t="str">
            <v>Z6372</v>
          </cell>
          <cell r="BH208" t="str">
            <v>5P</v>
          </cell>
          <cell r="BI208" t="str">
            <v>020</v>
          </cell>
        </row>
        <row r="209">
          <cell r="T209" t="str">
            <v>5Q</v>
          </cell>
          <cell r="U209" t="str">
            <v>040</v>
          </cell>
          <cell r="V209" t="str">
            <v xml:space="preserve"> 7B 1D</v>
          </cell>
          <cell r="W209" t="str">
            <v>U7320</v>
          </cell>
          <cell r="X209" t="str">
            <v xml:space="preserve"> 7B 1D</v>
          </cell>
          <cell r="Y209" t="str">
            <v>U1583Y</v>
          </cell>
          <cell r="Z209" t="str">
            <v>AAJ</v>
          </cell>
          <cell r="AB209" t="str">
            <v>T</v>
          </cell>
          <cell r="AD209" t="str">
            <v>*</v>
          </cell>
          <cell r="AE209" t="str">
            <v>JBE85</v>
          </cell>
          <cell r="AF209" t="str">
            <v>020318</v>
          </cell>
          <cell r="AI209" t="str">
            <v>*</v>
          </cell>
          <cell r="AJ209" t="str">
            <v>T</v>
          </cell>
          <cell r="AT209" t="str">
            <v>H</v>
          </cell>
          <cell r="AU209" t="str">
            <v>5</v>
          </cell>
          <cell r="AV209" t="str">
            <v>8</v>
          </cell>
          <cell r="BE209" t="str">
            <v>I</v>
          </cell>
          <cell r="BF209" t="str">
            <v>0047</v>
          </cell>
          <cell r="BG209" t="str">
            <v>V PLA</v>
          </cell>
        </row>
        <row r="210">
          <cell r="T210" t="str">
            <v>5Q</v>
          </cell>
          <cell r="U210" t="str">
            <v>040</v>
          </cell>
          <cell r="V210" t="str">
            <v xml:space="preserve"> 7B 1D</v>
          </cell>
          <cell r="W210" t="str">
            <v>U7290</v>
          </cell>
          <cell r="Y210" t="str">
            <v>U7290E</v>
          </cell>
          <cell r="Z210" t="str">
            <v>AAC</v>
          </cell>
          <cell r="AB210" t="str">
            <v>T</v>
          </cell>
          <cell r="AD210" t="str">
            <v>*</v>
          </cell>
          <cell r="AE210" t="str">
            <v>2J653</v>
          </cell>
          <cell r="AF210" t="str">
            <v>021223</v>
          </cell>
          <cell r="AI210" t="str">
            <v>*</v>
          </cell>
          <cell r="AJ210" t="str">
            <v>T</v>
          </cell>
          <cell r="AT210" t="str">
            <v>B</v>
          </cell>
          <cell r="AU210" t="str">
            <v>5</v>
          </cell>
          <cell r="AV210" t="str">
            <v>3</v>
          </cell>
          <cell r="BE210" t="str">
            <v>1</v>
          </cell>
          <cell r="BF210" t="str">
            <v>0033</v>
          </cell>
          <cell r="BG210" t="str">
            <v>V PLA</v>
          </cell>
        </row>
        <row r="211">
          <cell r="T211" t="str">
            <v>5Q</v>
          </cell>
          <cell r="U211" t="str">
            <v>040</v>
          </cell>
          <cell r="V211" t="str">
            <v>14H</v>
          </cell>
          <cell r="W211" t="str">
            <v>U4380</v>
          </cell>
          <cell r="Y211" t="str">
            <v>U4380E</v>
          </cell>
          <cell r="Z211" t="str">
            <v>AAB</v>
          </cell>
          <cell r="AB211" t="str">
            <v>T</v>
          </cell>
          <cell r="AD211" t="str">
            <v>*</v>
          </cell>
          <cell r="AE211" t="str">
            <v>2J653</v>
          </cell>
          <cell r="AF211" t="str">
            <v>021223</v>
          </cell>
          <cell r="AI211" t="str">
            <v>*</v>
          </cell>
          <cell r="AJ211" t="str">
            <v>T</v>
          </cell>
          <cell r="AT211" t="str">
            <v>A</v>
          </cell>
          <cell r="AU211" t="str">
            <v>0</v>
          </cell>
          <cell r="AV211" t="str">
            <v>3</v>
          </cell>
          <cell r="BE211" t="str">
            <v>B</v>
          </cell>
          <cell r="BF211" t="str">
            <v>0050</v>
          </cell>
          <cell r="BG211" t="str">
            <v>JAZ25</v>
          </cell>
          <cell r="BH211" t="str">
            <v>5Q</v>
          </cell>
          <cell r="BI211" t="str">
            <v>020</v>
          </cell>
        </row>
        <row r="212">
          <cell r="T212" t="str">
            <v>5Q</v>
          </cell>
          <cell r="U212" t="str">
            <v>040</v>
          </cell>
          <cell r="V212" t="str">
            <v xml:space="preserve"> 5D</v>
          </cell>
          <cell r="W212" t="str">
            <v>U6400</v>
          </cell>
          <cell r="Y212" t="str">
            <v>U6400E</v>
          </cell>
          <cell r="Z212" t="str">
            <v>AAD</v>
          </cell>
          <cell r="AB212" t="str">
            <v>T</v>
          </cell>
          <cell r="AD212" t="str">
            <v>*</v>
          </cell>
          <cell r="AE212" t="str">
            <v>2J653</v>
          </cell>
          <cell r="AF212" t="str">
            <v>021223</v>
          </cell>
          <cell r="AI212" t="str">
            <v>*</v>
          </cell>
          <cell r="AJ212" t="str">
            <v>T</v>
          </cell>
          <cell r="AT212" t="str">
            <v>A</v>
          </cell>
          <cell r="AU212" t="str">
            <v>0</v>
          </cell>
          <cell r="AV212" t="str">
            <v>5</v>
          </cell>
          <cell r="BE212" t="str">
            <v>I</v>
          </cell>
          <cell r="BF212" t="str">
            <v>0038</v>
          </cell>
          <cell r="BG212" t="str">
            <v>JAY68</v>
          </cell>
          <cell r="BH212" t="str">
            <v>5Q</v>
          </cell>
          <cell r="BI212" t="str">
            <v>020</v>
          </cell>
        </row>
        <row r="213">
          <cell r="T213" t="str">
            <v>5Q</v>
          </cell>
          <cell r="U213" t="str">
            <v>040</v>
          </cell>
          <cell r="V213" t="str">
            <v xml:space="preserve"> 5D</v>
          </cell>
          <cell r="W213" t="str">
            <v>U6400</v>
          </cell>
          <cell r="X213" t="str">
            <v xml:space="preserve"> 5D</v>
          </cell>
          <cell r="Y213" t="str">
            <v>U6540Y</v>
          </cell>
          <cell r="Z213" t="str">
            <v>AAE</v>
          </cell>
          <cell r="AB213" t="str">
            <v>T</v>
          </cell>
          <cell r="AD213" t="str">
            <v>*</v>
          </cell>
          <cell r="AE213" t="str">
            <v>JBC03</v>
          </cell>
          <cell r="AF213" t="str">
            <v>020121</v>
          </cell>
          <cell r="AI213" t="str">
            <v>*</v>
          </cell>
          <cell r="AJ213" t="str">
            <v>T</v>
          </cell>
          <cell r="AT213" t="str">
            <v>A</v>
          </cell>
          <cell r="AU213" t="str">
            <v>0</v>
          </cell>
          <cell r="AV213" t="str">
            <v>3</v>
          </cell>
          <cell r="BE213" t="str">
            <v>I</v>
          </cell>
          <cell r="BF213" t="str">
            <v>0038</v>
          </cell>
          <cell r="BG213" t="str">
            <v>JBC03</v>
          </cell>
        </row>
        <row r="214">
          <cell r="T214" t="str">
            <v>5Q</v>
          </cell>
          <cell r="U214" t="str">
            <v>040</v>
          </cell>
          <cell r="V214" t="str">
            <v xml:space="preserve"> 7B 6</v>
          </cell>
          <cell r="W214" t="str">
            <v>U0520</v>
          </cell>
          <cell r="Y214" t="str">
            <v>U0520E</v>
          </cell>
          <cell r="Z214" t="str">
            <v>AAA</v>
          </cell>
          <cell r="AB214" t="str">
            <v>U</v>
          </cell>
          <cell r="AD214" t="str">
            <v>*</v>
          </cell>
          <cell r="AE214" t="str">
            <v>2J653</v>
          </cell>
          <cell r="AF214" t="str">
            <v>021223</v>
          </cell>
          <cell r="BE214" t="str">
            <v>M</v>
          </cell>
          <cell r="BF214" t="str">
            <v>0002</v>
          </cell>
        </row>
        <row r="215">
          <cell r="T215" t="str">
            <v>5Q</v>
          </cell>
          <cell r="U215" t="str">
            <v>040</v>
          </cell>
          <cell r="V215" t="str">
            <v xml:space="preserve"> 7B 1D</v>
          </cell>
          <cell r="W215" t="str">
            <v>U7320</v>
          </cell>
          <cell r="Y215" t="str">
            <v>U7320E</v>
          </cell>
          <cell r="Z215" t="str">
            <v>AAE</v>
          </cell>
          <cell r="AB215" t="str">
            <v>T</v>
          </cell>
          <cell r="AD215" t="str">
            <v>*</v>
          </cell>
          <cell r="AE215" t="str">
            <v>2J653</v>
          </cell>
          <cell r="AF215" t="str">
            <v>021223</v>
          </cell>
          <cell r="AI215" t="str">
            <v>*</v>
          </cell>
          <cell r="AJ215" t="str">
            <v>T</v>
          </cell>
          <cell r="AT215" t="str">
            <v>2</v>
          </cell>
          <cell r="AU215" t="str">
            <v>0</v>
          </cell>
          <cell r="AV215" t="str">
            <v>7</v>
          </cell>
          <cell r="BE215" t="str">
            <v>I</v>
          </cell>
          <cell r="BF215" t="str">
            <v>0047</v>
          </cell>
          <cell r="BG215" t="str">
            <v>JBE85</v>
          </cell>
          <cell r="BH215" t="str">
            <v>5Q</v>
          </cell>
          <cell r="BI215" t="str">
            <v>020</v>
          </cell>
        </row>
        <row r="216">
          <cell r="T216" t="str">
            <v>5Q</v>
          </cell>
          <cell r="U216" t="str">
            <v>040</v>
          </cell>
          <cell r="V216" t="str">
            <v xml:space="preserve"> 7B 3C</v>
          </cell>
          <cell r="W216" t="str">
            <v>U1000</v>
          </cell>
          <cell r="Y216" t="str">
            <v>U1000E</v>
          </cell>
          <cell r="Z216" t="str">
            <v>AAH</v>
          </cell>
          <cell r="AB216" t="str">
            <v>U</v>
          </cell>
          <cell r="AD216" t="str">
            <v>*</v>
          </cell>
          <cell r="AE216" t="str">
            <v>2J653</v>
          </cell>
          <cell r="AF216" t="str">
            <v>021223</v>
          </cell>
          <cell r="AI216" t="str">
            <v>*</v>
          </cell>
          <cell r="AJ216" t="str">
            <v>T</v>
          </cell>
          <cell r="AT216" t="str">
            <v>A</v>
          </cell>
          <cell r="AU216" t="str">
            <v>0</v>
          </cell>
          <cell r="AV216" t="str">
            <v>5</v>
          </cell>
          <cell r="BE216" t="str">
            <v>B</v>
          </cell>
          <cell r="BF216" t="str">
            <v>0002</v>
          </cell>
          <cell r="BG216" t="str">
            <v>JBN49</v>
          </cell>
          <cell r="BH216" t="str">
            <v>5Q</v>
          </cell>
          <cell r="BI216" t="str">
            <v>020</v>
          </cell>
        </row>
        <row r="217">
          <cell r="T217" t="str">
            <v>5Q</v>
          </cell>
          <cell r="U217" t="str">
            <v>040</v>
          </cell>
          <cell r="V217" t="str">
            <v xml:space="preserve"> 7B 1D</v>
          </cell>
          <cell r="W217" t="str">
            <v>U7300</v>
          </cell>
          <cell r="Y217" t="str">
            <v>U7300E</v>
          </cell>
          <cell r="Z217" t="str">
            <v>AAB</v>
          </cell>
          <cell r="AB217" t="str">
            <v>T</v>
          </cell>
          <cell r="AD217" t="str">
            <v>*</v>
          </cell>
          <cell r="AE217" t="str">
            <v>2J653</v>
          </cell>
          <cell r="AF217" t="str">
            <v>021223</v>
          </cell>
          <cell r="AI217" t="str">
            <v>*</v>
          </cell>
          <cell r="AJ217" t="str">
            <v>T</v>
          </cell>
          <cell r="BE217" t="str">
            <v>M</v>
          </cell>
          <cell r="BF217" t="str">
            <v>0001</v>
          </cell>
        </row>
        <row r="218">
          <cell r="T218" t="str">
            <v>5Q</v>
          </cell>
          <cell r="U218" t="str">
            <v>040</v>
          </cell>
          <cell r="V218" t="str">
            <v xml:space="preserve"> 7B 1A</v>
          </cell>
          <cell r="W218" t="str">
            <v>U0258</v>
          </cell>
          <cell r="Y218" t="str">
            <v>U0258E</v>
          </cell>
          <cell r="Z218" t="str">
            <v>AAD</v>
          </cell>
          <cell r="AB218" t="str">
            <v>T</v>
          </cell>
          <cell r="AD218" t="str">
            <v>*</v>
          </cell>
          <cell r="AE218" t="str">
            <v>2J653</v>
          </cell>
          <cell r="AF218" t="str">
            <v>021223</v>
          </cell>
          <cell r="AI218" t="str">
            <v>*</v>
          </cell>
          <cell r="AJ218" t="str">
            <v>T</v>
          </cell>
          <cell r="BE218" t="str">
            <v>M</v>
          </cell>
          <cell r="BF218" t="str">
            <v>0005</v>
          </cell>
        </row>
        <row r="219">
          <cell r="T219" t="str">
            <v>5Q</v>
          </cell>
          <cell r="U219" t="str">
            <v>040</v>
          </cell>
          <cell r="V219" t="str">
            <v xml:space="preserve"> 7B 1A</v>
          </cell>
          <cell r="W219" t="str">
            <v>U4570</v>
          </cell>
          <cell r="Y219" t="str">
            <v>U4570E</v>
          </cell>
          <cell r="Z219" t="str">
            <v>AAC</v>
          </cell>
          <cell r="AB219" t="str">
            <v>T</v>
          </cell>
          <cell r="AD219" t="str">
            <v>*</v>
          </cell>
          <cell r="AE219" t="str">
            <v>2J653</v>
          </cell>
          <cell r="AF219" t="str">
            <v>021223</v>
          </cell>
          <cell r="AI219" t="str">
            <v>*</v>
          </cell>
          <cell r="AJ219" t="str">
            <v>T</v>
          </cell>
          <cell r="BE219" t="str">
            <v>M</v>
          </cell>
          <cell r="BF219" t="str">
            <v>0028</v>
          </cell>
        </row>
        <row r="220">
          <cell r="T220" t="str">
            <v>5Q</v>
          </cell>
          <cell r="U220" t="str">
            <v>040</v>
          </cell>
          <cell r="V220" t="str">
            <v xml:space="preserve"> 7B 1C</v>
          </cell>
          <cell r="W220" t="str">
            <v>U6300</v>
          </cell>
          <cell r="Y220" t="str">
            <v>U6300E</v>
          </cell>
          <cell r="Z220" t="str">
            <v>AAB</v>
          </cell>
          <cell r="AB220" t="str">
            <v>T</v>
          </cell>
          <cell r="AD220" t="str">
            <v>*</v>
          </cell>
          <cell r="AE220" t="str">
            <v>2J653</v>
          </cell>
          <cell r="AF220" t="str">
            <v>021223</v>
          </cell>
          <cell r="AI220" t="str">
            <v>*</v>
          </cell>
          <cell r="AJ220" t="str">
            <v>T</v>
          </cell>
          <cell r="BE220" t="str">
            <v>M</v>
          </cell>
          <cell r="BF220" t="str">
            <v>0008</v>
          </cell>
        </row>
        <row r="221">
          <cell r="T221" t="str">
            <v>5Q</v>
          </cell>
          <cell r="U221" t="str">
            <v>040</v>
          </cell>
          <cell r="V221" t="str">
            <v xml:space="preserve"> 7B 1A</v>
          </cell>
          <cell r="W221" t="str">
            <v>U0280</v>
          </cell>
          <cell r="Y221" t="str">
            <v>U0280E</v>
          </cell>
          <cell r="Z221" t="str">
            <v>AAC</v>
          </cell>
          <cell r="AB221" t="str">
            <v>T</v>
          </cell>
          <cell r="AD221" t="str">
            <v>*</v>
          </cell>
          <cell r="AE221" t="str">
            <v>2J653</v>
          </cell>
          <cell r="AF221" t="str">
            <v>021223</v>
          </cell>
          <cell r="AI221" t="str">
            <v>*</v>
          </cell>
          <cell r="AJ221" t="str">
            <v>T</v>
          </cell>
          <cell r="BE221" t="str">
            <v>M</v>
          </cell>
          <cell r="BF221" t="str">
            <v>0005</v>
          </cell>
        </row>
        <row r="222">
          <cell r="T222" t="str">
            <v>5Q</v>
          </cell>
          <cell r="U222" t="str">
            <v>040</v>
          </cell>
          <cell r="V222" t="str">
            <v xml:space="preserve"> 7B 1A</v>
          </cell>
          <cell r="W222" t="str">
            <v>U0740</v>
          </cell>
          <cell r="Y222" t="str">
            <v>U0740E</v>
          </cell>
          <cell r="Z222" t="str">
            <v>AAB</v>
          </cell>
          <cell r="AB222" t="str">
            <v>T</v>
          </cell>
          <cell r="AD222" t="str">
            <v>*</v>
          </cell>
          <cell r="AE222" t="str">
            <v>2J653</v>
          </cell>
          <cell r="AF222" t="str">
            <v>021223</v>
          </cell>
          <cell r="AI222" t="str">
            <v>*</v>
          </cell>
          <cell r="AJ222" t="str">
            <v>T</v>
          </cell>
          <cell r="BE222" t="str">
            <v>M</v>
          </cell>
          <cell r="BF222" t="str">
            <v>0001</v>
          </cell>
        </row>
        <row r="223">
          <cell r="T223" t="str">
            <v>5Q</v>
          </cell>
          <cell r="U223" t="str">
            <v>040</v>
          </cell>
          <cell r="V223" t="str">
            <v xml:space="preserve"> 7B 1C</v>
          </cell>
          <cell r="W223" t="str">
            <v>U6800</v>
          </cell>
          <cell r="Y223" t="str">
            <v>U6800E</v>
          </cell>
          <cell r="Z223" t="str">
            <v>AAB</v>
          </cell>
          <cell r="AB223" t="str">
            <v>T</v>
          </cell>
          <cell r="AD223" t="str">
            <v>*</v>
          </cell>
          <cell r="AE223" t="str">
            <v>2J653</v>
          </cell>
          <cell r="AF223" t="str">
            <v>021223</v>
          </cell>
          <cell r="AI223" t="str">
            <v>*</v>
          </cell>
          <cell r="AJ223" t="str">
            <v>T</v>
          </cell>
          <cell r="BE223" t="str">
            <v>M</v>
          </cell>
          <cell r="BF223" t="str">
            <v>0008</v>
          </cell>
        </row>
        <row r="224">
          <cell r="T224" t="str">
            <v>5Q</v>
          </cell>
          <cell r="U224" t="str">
            <v>040</v>
          </cell>
          <cell r="V224" t="str">
            <v xml:space="preserve"> 7A</v>
          </cell>
          <cell r="W224" t="str">
            <v>U1670</v>
          </cell>
          <cell r="Y224" t="str">
            <v>U1670E</v>
          </cell>
          <cell r="Z224" t="str">
            <v>AAB</v>
          </cell>
          <cell r="AB224" t="str">
            <v>T</v>
          </cell>
          <cell r="AD224" t="str">
            <v>*</v>
          </cell>
          <cell r="AE224" t="str">
            <v>2J653</v>
          </cell>
          <cell r="AF224" t="str">
            <v>021223</v>
          </cell>
          <cell r="AI224" t="str">
            <v>*</v>
          </cell>
          <cell r="AJ224" t="str">
            <v>T</v>
          </cell>
          <cell r="BE224" t="str">
            <v>M</v>
          </cell>
          <cell r="BF224" t="str">
            <v>0056</v>
          </cell>
        </row>
        <row r="225">
          <cell r="T225" t="str">
            <v>5Q</v>
          </cell>
          <cell r="U225" t="str">
            <v>040</v>
          </cell>
          <cell r="V225" t="str">
            <v xml:space="preserve"> 7B 1A</v>
          </cell>
          <cell r="W225" t="str">
            <v>U0722</v>
          </cell>
          <cell r="Y225" t="str">
            <v>U0722E</v>
          </cell>
          <cell r="Z225" t="str">
            <v>AAF</v>
          </cell>
          <cell r="AB225" t="str">
            <v>T</v>
          </cell>
          <cell r="AD225" t="str">
            <v>*</v>
          </cell>
          <cell r="AE225" t="str">
            <v>2J653</v>
          </cell>
          <cell r="AF225" t="str">
            <v>021223</v>
          </cell>
          <cell r="AI225" t="str">
            <v>*</v>
          </cell>
          <cell r="AJ225" t="str">
            <v>T</v>
          </cell>
          <cell r="BE225" t="str">
            <v>M</v>
          </cell>
          <cell r="BF225" t="str">
            <v>0001</v>
          </cell>
        </row>
        <row r="226">
          <cell r="T226" t="str">
            <v>5Q</v>
          </cell>
          <cell r="U226" t="str">
            <v>040</v>
          </cell>
          <cell r="V226" t="str">
            <v xml:space="preserve"> 7A</v>
          </cell>
          <cell r="W226" t="str">
            <v>U1672</v>
          </cell>
          <cell r="Y226" t="str">
            <v>U1672E</v>
          </cell>
          <cell r="Z226" t="str">
            <v>AAC</v>
          </cell>
          <cell r="AB226" t="str">
            <v>T</v>
          </cell>
          <cell r="AD226" t="str">
            <v>*</v>
          </cell>
          <cell r="AE226" t="str">
            <v>2J653</v>
          </cell>
          <cell r="AF226" t="str">
            <v>021223</v>
          </cell>
          <cell r="AI226" t="str">
            <v>*</v>
          </cell>
          <cell r="AJ226" t="str">
            <v>T</v>
          </cell>
          <cell r="BE226" t="str">
            <v>M</v>
          </cell>
          <cell r="BF226" t="str">
            <v>0056</v>
          </cell>
        </row>
        <row r="227">
          <cell r="T227" t="str">
            <v>5Q</v>
          </cell>
          <cell r="U227" t="str">
            <v>040</v>
          </cell>
          <cell r="V227" t="str">
            <v xml:space="preserve"> 7B 1A</v>
          </cell>
          <cell r="W227" t="str">
            <v>U0724</v>
          </cell>
          <cell r="Y227" t="str">
            <v>U0724E</v>
          </cell>
          <cell r="Z227" t="str">
            <v>AAB</v>
          </cell>
          <cell r="AB227" t="str">
            <v>T</v>
          </cell>
          <cell r="AD227" t="str">
            <v>*</v>
          </cell>
          <cell r="AE227" t="str">
            <v>2J653</v>
          </cell>
          <cell r="AF227" t="str">
            <v>021223</v>
          </cell>
          <cell r="AI227" t="str">
            <v>*</v>
          </cell>
          <cell r="AJ227" t="str">
            <v>T</v>
          </cell>
          <cell r="BE227" t="str">
            <v>M</v>
          </cell>
          <cell r="BF227" t="str">
            <v>0001</v>
          </cell>
        </row>
        <row r="228">
          <cell r="T228" t="str">
            <v>5Q</v>
          </cell>
          <cell r="U228" t="str">
            <v>040</v>
          </cell>
          <cell r="V228" t="str">
            <v>12E</v>
          </cell>
          <cell r="W228" t="str">
            <v>U0100</v>
          </cell>
          <cell r="Y228" t="str">
            <v>U0100E</v>
          </cell>
          <cell r="Z228" t="str">
            <v>AAE</v>
          </cell>
          <cell r="AB228" t="str">
            <v>T</v>
          </cell>
          <cell r="AD228" t="str">
            <v>*</v>
          </cell>
          <cell r="AE228" t="str">
            <v>2J653</v>
          </cell>
          <cell r="AF228" t="str">
            <v>021223</v>
          </cell>
          <cell r="AI228" t="str">
            <v>*</v>
          </cell>
          <cell r="AJ228" t="str">
            <v>T</v>
          </cell>
          <cell r="BE228" t="str">
            <v>M</v>
          </cell>
          <cell r="BF228" t="str">
            <v>0005</v>
          </cell>
        </row>
        <row r="229">
          <cell r="T229" t="str">
            <v>5Q</v>
          </cell>
          <cell r="U229" t="str">
            <v>040</v>
          </cell>
          <cell r="V229" t="str">
            <v xml:space="preserve"> 5D</v>
          </cell>
          <cell r="W229" t="str">
            <v>U5074</v>
          </cell>
          <cell r="Y229" t="str">
            <v>U5074E</v>
          </cell>
          <cell r="Z229" t="str">
            <v>AAC</v>
          </cell>
          <cell r="AB229" t="str">
            <v>F</v>
          </cell>
          <cell r="AD229" t="str">
            <v>*</v>
          </cell>
          <cell r="AE229" t="str">
            <v>2J653</v>
          </cell>
          <cell r="AF229" t="str">
            <v>021223</v>
          </cell>
          <cell r="AI229" t="str">
            <v>*</v>
          </cell>
          <cell r="AJ229" t="str">
            <v>T</v>
          </cell>
          <cell r="BE229" t="str">
            <v>M</v>
          </cell>
          <cell r="BF229" t="str">
            <v>0037</v>
          </cell>
        </row>
        <row r="230">
          <cell r="T230" t="str">
            <v>5Q</v>
          </cell>
          <cell r="U230" t="str">
            <v>040</v>
          </cell>
          <cell r="V230" t="str">
            <v xml:space="preserve"> 5D</v>
          </cell>
          <cell r="W230" t="str">
            <v>U5078</v>
          </cell>
          <cell r="Y230" t="str">
            <v>U5078E</v>
          </cell>
          <cell r="Z230" t="str">
            <v>AAE</v>
          </cell>
          <cell r="AB230" t="str">
            <v>T</v>
          </cell>
          <cell r="AD230" t="str">
            <v>*</v>
          </cell>
          <cell r="AE230" t="str">
            <v>2J653</v>
          </cell>
          <cell r="AF230" t="str">
            <v>021223</v>
          </cell>
          <cell r="AI230" t="str">
            <v>*</v>
          </cell>
          <cell r="AJ230" t="str">
            <v>T</v>
          </cell>
          <cell r="BE230" t="str">
            <v>M</v>
          </cell>
          <cell r="BF230" t="str">
            <v>0037</v>
          </cell>
        </row>
        <row r="231">
          <cell r="T231" t="str">
            <v>5Q</v>
          </cell>
          <cell r="U231" t="str">
            <v>040</v>
          </cell>
          <cell r="V231" t="str">
            <v xml:space="preserve"> 5D</v>
          </cell>
          <cell r="W231" t="str">
            <v>U6400</v>
          </cell>
          <cell r="Y231" t="str">
            <v>U6400E</v>
          </cell>
          <cell r="Z231" t="str">
            <v>AAE</v>
          </cell>
          <cell r="AB231" t="str">
            <v>T</v>
          </cell>
          <cell r="AD231" t="str">
            <v>*</v>
          </cell>
          <cell r="AE231" t="str">
            <v>2J653</v>
          </cell>
          <cell r="AF231" t="str">
            <v>021223</v>
          </cell>
          <cell r="AI231" t="str">
            <v>*</v>
          </cell>
          <cell r="AJ231" t="str">
            <v>T</v>
          </cell>
          <cell r="BE231" t="str">
            <v>M</v>
          </cell>
          <cell r="BF231" t="str">
            <v>0003</v>
          </cell>
        </row>
        <row r="232">
          <cell r="T232" t="str">
            <v>5Q</v>
          </cell>
          <cell r="U232" t="str">
            <v>040</v>
          </cell>
          <cell r="V232" t="str">
            <v xml:space="preserve"> 5D</v>
          </cell>
          <cell r="W232" t="str">
            <v>U6400</v>
          </cell>
          <cell r="X232" t="str">
            <v xml:space="preserve"> 5D</v>
          </cell>
          <cell r="Y232" t="str">
            <v>U6540Y</v>
          </cell>
          <cell r="Z232" t="str">
            <v>AAF</v>
          </cell>
          <cell r="AB232" t="str">
            <v>T</v>
          </cell>
          <cell r="AD232" t="str">
            <v>*</v>
          </cell>
          <cell r="AE232" t="str">
            <v>2J653</v>
          </cell>
          <cell r="AF232" t="str">
            <v>021223</v>
          </cell>
          <cell r="AI232" t="str">
            <v>*</v>
          </cell>
          <cell r="AJ232" t="str">
            <v>T</v>
          </cell>
          <cell r="BE232" t="str">
            <v>M</v>
          </cell>
          <cell r="BF232" t="str">
            <v>0003</v>
          </cell>
        </row>
        <row r="233">
          <cell r="T233" t="str">
            <v>5Q</v>
          </cell>
          <cell r="U233" t="str">
            <v>040</v>
          </cell>
          <cell r="V233" t="str">
            <v xml:space="preserve"> 7A</v>
          </cell>
          <cell r="W233" t="str">
            <v>U1345</v>
          </cell>
          <cell r="X233" t="str">
            <v xml:space="preserve"> 7A</v>
          </cell>
          <cell r="Y233" t="str">
            <v>U3190Y</v>
          </cell>
          <cell r="Z233" t="str">
            <v>AAY</v>
          </cell>
          <cell r="AB233" t="str">
            <v>T</v>
          </cell>
          <cell r="AD233" t="str">
            <v>*</v>
          </cell>
          <cell r="AE233" t="str">
            <v>2J653</v>
          </cell>
          <cell r="AF233" t="str">
            <v>021223</v>
          </cell>
          <cell r="AI233" t="str">
            <v>*</v>
          </cell>
          <cell r="AJ233" t="str">
            <v>T</v>
          </cell>
          <cell r="BE233" t="str">
            <v>M</v>
          </cell>
          <cell r="BF233" t="str">
            <v>0035</v>
          </cell>
        </row>
        <row r="234">
          <cell r="T234" t="str">
            <v>5Q</v>
          </cell>
          <cell r="U234" t="str">
            <v>040</v>
          </cell>
          <cell r="V234" t="str">
            <v xml:space="preserve"> 7A</v>
          </cell>
          <cell r="W234" t="str">
            <v>U1345</v>
          </cell>
          <cell r="Y234" t="str">
            <v>U1345E</v>
          </cell>
          <cell r="Z234" t="str">
            <v>AA0</v>
          </cell>
          <cell r="AB234" t="str">
            <v>T</v>
          </cell>
          <cell r="AD234" t="str">
            <v>*</v>
          </cell>
          <cell r="AE234" t="str">
            <v>2J653</v>
          </cell>
          <cell r="AF234" t="str">
            <v>021223</v>
          </cell>
          <cell r="AI234" t="str">
            <v>*</v>
          </cell>
          <cell r="AJ234" t="str">
            <v>T</v>
          </cell>
          <cell r="BE234" t="str">
            <v>M</v>
          </cell>
          <cell r="BF234" t="str">
            <v>0055</v>
          </cell>
        </row>
        <row r="235">
          <cell r="T235" t="str">
            <v>5Q</v>
          </cell>
          <cell r="U235" t="str">
            <v>040</v>
          </cell>
          <cell r="V235" t="str">
            <v xml:space="preserve"> 7A</v>
          </cell>
          <cell r="W235" t="str">
            <v>U1345</v>
          </cell>
          <cell r="Y235" t="str">
            <v>U1345E</v>
          </cell>
          <cell r="Z235" t="str">
            <v>AA1</v>
          </cell>
          <cell r="AB235" t="str">
            <v>T</v>
          </cell>
          <cell r="AD235" t="str">
            <v>*</v>
          </cell>
          <cell r="AE235" t="str">
            <v>2J653</v>
          </cell>
          <cell r="AF235" t="str">
            <v>021223</v>
          </cell>
          <cell r="AI235" t="str">
            <v>*</v>
          </cell>
          <cell r="AJ235" t="str">
            <v>T</v>
          </cell>
          <cell r="BE235" t="str">
            <v>M</v>
          </cell>
          <cell r="BF235" t="str">
            <v>0035</v>
          </cell>
        </row>
        <row r="236">
          <cell r="T236" t="str">
            <v>5Q</v>
          </cell>
          <cell r="U236" t="str">
            <v>040</v>
          </cell>
          <cell r="V236" t="str">
            <v xml:space="preserve"> 7A</v>
          </cell>
          <cell r="W236" t="str">
            <v>U1345</v>
          </cell>
          <cell r="Y236" t="str">
            <v>U1345E</v>
          </cell>
          <cell r="Z236" t="str">
            <v>AA2</v>
          </cell>
          <cell r="AB236" t="str">
            <v>T</v>
          </cell>
          <cell r="AD236" t="str">
            <v>*</v>
          </cell>
          <cell r="AE236" t="str">
            <v>2J653</v>
          </cell>
          <cell r="AF236" t="str">
            <v>021223</v>
          </cell>
          <cell r="AI236" t="str">
            <v>*</v>
          </cell>
          <cell r="AJ236" t="str">
            <v>T</v>
          </cell>
          <cell r="BE236" t="str">
            <v>M</v>
          </cell>
          <cell r="BF236" t="str">
            <v>0036</v>
          </cell>
        </row>
        <row r="237">
          <cell r="T237" t="str">
            <v>5Q</v>
          </cell>
          <cell r="U237" t="str">
            <v>040</v>
          </cell>
          <cell r="V237" t="str">
            <v>14H</v>
          </cell>
          <cell r="W237" t="str">
            <v>U4350</v>
          </cell>
          <cell r="Y237" t="str">
            <v>U4350E</v>
          </cell>
          <cell r="Z237" t="str">
            <v>AAA</v>
          </cell>
          <cell r="AB237" t="str">
            <v>T</v>
          </cell>
          <cell r="AD237" t="str">
            <v>*</v>
          </cell>
          <cell r="AE237" t="str">
            <v>2J653</v>
          </cell>
          <cell r="AF237" t="str">
            <v>021223</v>
          </cell>
          <cell r="AI237" t="str">
            <v>*</v>
          </cell>
          <cell r="AJ237" t="str">
            <v>T</v>
          </cell>
          <cell r="AT237" t="str">
            <v>A</v>
          </cell>
          <cell r="AU237" t="str">
            <v>0</v>
          </cell>
          <cell r="AV237" t="str">
            <v>3</v>
          </cell>
          <cell r="BE237" t="str">
            <v>5</v>
          </cell>
          <cell r="BF237" t="str">
            <v>0027</v>
          </cell>
          <cell r="BG237" t="str">
            <v>2J223</v>
          </cell>
          <cell r="BH237" t="str">
            <v>B4</v>
          </cell>
          <cell r="BI237" t="str">
            <v>845</v>
          </cell>
        </row>
        <row r="238">
          <cell r="T238" t="str">
            <v>5Q</v>
          </cell>
          <cell r="U238" t="str">
            <v>040</v>
          </cell>
          <cell r="V238" t="str">
            <v xml:space="preserve"> 7B 1A</v>
          </cell>
          <cell r="W238" t="str">
            <v>U0253</v>
          </cell>
          <cell r="Y238" t="str">
            <v>U0253E</v>
          </cell>
          <cell r="Z238" t="str">
            <v>AAA</v>
          </cell>
          <cell r="AB238" t="str">
            <v>T</v>
          </cell>
          <cell r="AD238" t="str">
            <v>*</v>
          </cell>
          <cell r="AE238" t="str">
            <v>2J653</v>
          </cell>
          <cell r="AF238" t="str">
            <v>021223</v>
          </cell>
          <cell r="AI238" t="str">
            <v>*</v>
          </cell>
          <cell r="AJ238" t="str">
            <v>T</v>
          </cell>
          <cell r="AT238" t="str">
            <v>A</v>
          </cell>
          <cell r="AU238" t="str">
            <v>0</v>
          </cell>
          <cell r="AV238" t="str">
            <v>3</v>
          </cell>
          <cell r="BF238" t="str">
            <v>0005</v>
          </cell>
          <cell r="BG238" t="str">
            <v>K0BAI</v>
          </cell>
        </row>
        <row r="239">
          <cell r="T239" t="str">
            <v>5Q</v>
          </cell>
          <cell r="U239" t="str">
            <v>040</v>
          </cell>
          <cell r="V239" t="str">
            <v xml:space="preserve"> 7B 1D</v>
          </cell>
          <cell r="W239" t="str">
            <v>U7360</v>
          </cell>
          <cell r="Y239" t="str">
            <v>U7360E</v>
          </cell>
          <cell r="Z239" t="str">
            <v>AAA</v>
          </cell>
          <cell r="AB239" t="str">
            <v>T</v>
          </cell>
          <cell r="AD239" t="str">
            <v>*</v>
          </cell>
          <cell r="AE239" t="str">
            <v>2J653</v>
          </cell>
          <cell r="AF239" t="str">
            <v>021223</v>
          </cell>
          <cell r="AI239" t="str">
            <v>*</v>
          </cell>
          <cell r="AJ239" t="str">
            <v>T</v>
          </cell>
          <cell r="AT239" t="str">
            <v>A</v>
          </cell>
          <cell r="AU239" t="str">
            <v>0</v>
          </cell>
          <cell r="AV239" t="str">
            <v>3</v>
          </cell>
          <cell r="BE239" t="str">
            <v>S</v>
          </cell>
          <cell r="BF239" t="str">
            <v>0005</v>
          </cell>
          <cell r="BG239" t="str">
            <v>2J618</v>
          </cell>
          <cell r="BH239" t="str">
            <v>5P</v>
          </cell>
          <cell r="BI239" t="str">
            <v>020</v>
          </cell>
        </row>
        <row r="240">
          <cell r="T240" t="str">
            <v>5Q</v>
          </cell>
          <cell r="U240" t="str">
            <v>040</v>
          </cell>
          <cell r="V240" t="str">
            <v xml:space="preserve"> 7B 1C</v>
          </cell>
          <cell r="W240" t="str">
            <v>U6000</v>
          </cell>
          <cell r="Y240" t="str">
            <v>U6000E</v>
          </cell>
          <cell r="Z240" t="str">
            <v>AAA</v>
          </cell>
          <cell r="AB240" t="str">
            <v>T</v>
          </cell>
          <cell r="AD240" t="str">
            <v>*</v>
          </cell>
          <cell r="AE240" t="str">
            <v>2J653</v>
          </cell>
          <cell r="AF240" t="str">
            <v>021223</v>
          </cell>
          <cell r="AI240" t="str">
            <v>*</v>
          </cell>
          <cell r="AJ240" t="str">
            <v>T</v>
          </cell>
          <cell r="AT240" t="str">
            <v>A</v>
          </cell>
          <cell r="AU240" t="str">
            <v>0</v>
          </cell>
          <cell r="AV240" t="str">
            <v>3</v>
          </cell>
          <cell r="BF240" t="str">
            <v>0008</v>
          </cell>
          <cell r="BG240" t="str">
            <v>2N420</v>
          </cell>
          <cell r="BH240" t="str">
            <v>I5</v>
          </cell>
          <cell r="BI240" t="str">
            <v>860</v>
          </cell>
        </row>
        <row r="241">
          <cell r="T241" t="str">
            <v>5Q</v>
          </cell>
          <cell r="U241" t="str">
            <v>040</v>
          </cell>
          <cell r="V241" t="str">
            <v xml:space="preserve"> 7B 3C</v>
          </cell>
          <cell r="W241" t="str">
            <v>U1300</v>
          </cell>
          <cell r="Y241" t="str">
            <v>U1300E</v>
          </cell>
          <cell r="Z241" t="str">
            <v>AAA</v>
          </cell>
          <cell r="AB241" t="str">
            <v>U</v>
          </cell>
          <cell r="AD241" t="str">
            <v>*</v>
          </cell>
          <cell r="AE241" t="str">
            <v>2J653</v>
          </cell>
          <cell r="AF241" t="str">
            <v>021223</v>
          </cell>
          <cell r="AI241" t="str">
            <v>*</v>
          </cell>
          <cell r="AJ241" t="str">
            <v>T</v>
          </cell>
          <cell r="AT241" t="str">
            <v>A</v>
          </cell>
          <cell r="AU241" t="str">
            <v>0</v>
          </cell>
          <cell r="AV241" t="str">
            <v>3</v>
          </cell>
          <cell r="BF241" t="str">
            <v>0002</v>
          </cell>
          <cell r="BG241" t="str">
            <v>2H403</v>
          </cell>
          <cell r="BH241" t="str">
            <v>C1</v>
          </cell>
          <cell r="BI241" t="str">
            <v>855</v>
          </cell>
        </row>
        <row r="242">
          <cell r="T242" t="str">
            <v>5Q</v>
          </cell>
          <cell r="U242" t="str">
            <v>040</v>
          </cell>
          <cell r="V242" t="str">
            <v>12E</v>
          </cell>
          <cell r="W242" t="str">
            <v>U0530</v>
          </cell>
          <cell r="Y242" t="str">
            <v>U0530E</v>
          </cell>
          <cell r="Z242" t="str">
            <v>AAD</v>
          </cell>
          <cell r="AB242" t="str">
            <v>T</v>
          </cell>
          <cell r="AD242" t="str">
            <v>*</v>
          </cell>
          <cell r="AE242" t="str">
            <v>2J653</v>
          </cell>
          <cell r="AF242" t="str">
            <v>021223</v>
          </cell>
          <cell r="AI242" t="str">
            <v>*</v>
          </cell>
          <cell r="AJ242" t="str">
            <v>T</v>
          </cell>
          <cell r="AT242" t="str">
            <v>A</v>
          </cell>
          <cell r="AU242" t="str">
            <v>0</v>
          </cell>
          <cell r="AV242" t="str">
            <v>3</v>
          </cell>
          <cell r="BE242" t="str">
            <v>ﾙ</v>
          </cell>
          <cell r="BF242" t="str">
            <v>0004</v>
          </cell>
          <cell r="BG242" t="str">
            <v>Z6416</v>
          </cell>
          <cell r="BH242" t="str">
            <v>5P</v>
          </cell>
          <cell r="BI242" t="str">
            <v>020</v>
          </cell>
        </row>
        <row r="243">
          <cell r="T243" t="str">
            <v>5Q</v>
          </cell>
          <cell r="U243" t="str">
            <v>040</v>
          </cell>
          <cell r="V243" t="str">
            <v xml:space="preserve"> 7B 6</v>
          </cell>
          <cell r="W243" t="str">
            <v>U0330</v>
          </cell>
          <cell r="Y243" t="str">
            <v>U0330E</v>
          </cell>
          <cell r="Z243" t="str">
            <v>AAA</v>
          </cell>
          <cell r="AB243" t="str">
            <v>U</v>
          </cell>
          <cell r="AD243" t="str">
            <v>*</v>
          </cell>
          <cell r="AE243" t="str">
            <v>2J653</v>
          </cell>
          <cell r="AF243" t="str">
            <v>021223</v>
          </cell>
          <cell r="AI243" t="str">
            <v>*</v>
          </cell>
          <cell r="AJ243" t="str">
            <v>T</v>
          </cell>
          <cell r="AT243" t="str">
            <v>A</v>
          </cell>
          <cell r="AU243" t="str">
            <v>0</v>
          </cell>
          <cell r="AV243" t="str">
            <v>3</v>
          </cell>
          <cell r="BE243" t="str">
            <v>1</v>
          </cell>
          <cell r="BF243" t="str">
            <v>0002</v>
          </cell>
          <cell r="BG243" t="str">
            <v>TOUGO</v>
          </cell>
        </row>
        <row r="244">
          <cell r="T244" t="str">
            <v>5Q</v>
          </cell>
          <cell r="U244" t="str">
            <v>040</v>
          </cell>
          <cell r="V244" t="str">
            <v xml:space="preserve"> 7B 3A</v>
          </cell>
          <cell r="W244" t="str">
            <v>U1400</v>
          </cell>
          <cell r="Y244" t="str">
            <v>U1400E</v>
          </cell>
          <cell r="Z244" t="str">
            <v>AAA</v>
          </cell>
          <cell r="AB244" t="str">
            <v>U</v>
          </cell>
          <cell r="AD244" t="str">
            <v>*</v>
          </cell>
          <cell r="AE244" t="str">
            <v>2J653</v>
          </cell>
          <cell r="AF244" t="str">
            <v>021223</v>
          </cell>
          <cell r="AI244" t="str">
            <v>*</v>
          </cell>
          <cell r="AJ244" t="str">
            <v>T</v>
          </cell>
          <cell r="AT244" t="str">
            <v>A</v>
          </cell>
          <cell r="AU244" t="str">
            <v>0</v>
          </cell>
          <cell r="AV244" t="str">
            <v>3</v>
          </cell>
          <cell r="BF244" t="str">
            <v>0002</v>
          </cell>
          <cell r="BG244" t="str">
            <v>0456</v>
          </cell>
        </row>
        <row r="245">
          <cell r="T245" t="str">
            <v>5Q</v>
          </cell>
          <cell r="U245" t="str">
            <v>040</v>
          </cell>
          <cell r="V245" t="str">
            <v xml:space="preserve"> 7B 1B1</v>
          </cell>
          <cell r="W245" t="str">
            <v>U1000</v>
          </cell>
          <cell r="Y245" t="str">
            <v>U1000E</v>
          </cell>
          <cell r="Z245" t="str">
            <v>AAA</v>
          </cell>
          <cell r="AB245" t="str">
            <v>T</v>
          </cell>
          <cell r="AD245" t="str">
            <v>*</v>
          </cell>
          <cell r="AE245" t="str">
            <v>2J653</v>
          </cell>
          <cell r="AF245" t="str">
            <v>021223</v>
          </cell>
          <cell r="AI245" t="str">
            <v>*</v>
          </cell>
          <cell r="AJ245" t="str">
            <v>T</v>
          </cell>
          <cell r="AT245" t="str">
            <v>A</v>
          </cell>
          <cell r="AU245" t="str">
            <v>0</v>
          </cell>
          <cell r="AV245" t="str">
            <v>3</v>
          </cell>
          <cell r="BF245" t="str">
            <v>0004</v>
          </cell>
          <cell r="BG245" t="str">
            <v>9J093</v>
          </cell>
          <cell r="BH245" t="str">
            <v>M1</v>
          </cell>
        </row>
      </sheetData>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v Wear &amp; Tear BP Revise"/>
      <sheetName val="MYZK02"/>
      <sheetName val="GRAPH"/>
      <sheetName val="Nov TB"/>
      <sheetName val="Asumption"/>
      <sheetName val="Wear &amp; Tear Each Dept-Sect"/>
      <sheetName val="TB SUMARRY"/>
      <sheetName val="Inventory Turn Over"/>
      <sheetName val="Invesment"/>
      <sheetName val="Packing"/>
      <sheetName val="QTY MAZDA PREMACY"/>
      <sheetName val="OTY FUGA"/>
      <sheetName val="QTY QUEST"/>
      <sheetName val="QTY MAXIMA"/>
      <sheetName val="UMH MAZDA PREMACY"/>
      <sheetName val="UMH FUGA"/>
      <sheetName val="UMH QUEST"/>
      <sheetName val="UMH MAXIMA"/>
      <sheetName val="STF"/>
      <sheetName val="GUIDELINE"/>
      <sheetName val="PL"/>
      <sheetName val="BS"/>
      <sheetName val="Data1"/>
      <sheetName val="ACCOUNT"/>
      <sheetName val="094_APP別"/>
      <sheetName val="A"/>
      <sheetName val="00年9月"/>
      <sheetName val="Inv_Wear_&amp;_Tear_BP_Revise"/>
      <sheetName val="Nov_TB"/>
      <sheetName val="Wear_&amp;_Tear_Each_Dept-Sect"/>
      <sheetName val="TB_SUMARRY"/>
      <sheetName val="Inventory_Turn_Over"/>
      <sheetName val="QTY_MAZDA_PREMACY"/>
      <sheetName val="OTY_FUGA"/>
      <sheetName val="QTY_QUEST"/>
      <sheetName val="QTY_MAXIMA"/>
      <sheetName val="UMH_MAZDA_PREMACY"/>
      <sheetName val="UMH_FUGA"/>
      <sheetName val="UMH_QUEST"/>
      <sheetName val="UMH_MAXIMA"/>
      <sheetName val="M010"/>
      <sheetName val="原単位表"/>
      <sheetName val="S-PLAN"/>
      <sheetName val="M020"/>
      <sheetName val="I060"/>
      <sheetName val="M022"/>
      <sheetName val="M013"/>
      <sheetName val="M031"/>
      <sheetName val="M030"/>
      <sheetName val="Inv_Wear_&amp;_Tear_BP_Revise1"/>
      <sheetName val="Nov_TB1"/>
      <sheetName val="Wear_&amp;_Tear_Each_Dept-Sect1"/>
      <sheetName val="TB_SUMARRY1"/>
      <sheetName val="Inventory_Turn_Over1"/>
      <sheetName val="QTY_MAZDA_PREMACY1"/>
      <sheetName val="OTY_FUGA1"/>
      <sheetName val="QTY_QUEST1"/>
      <sheetName val="QTY_MAXIMA1"/>
      <sheetName val="UMH_MAZDA_PREMACY1"/>
      <sheetName val="UMH_FUGA1"/>
      <sheetName val="UMH_QUEST1"/>
      <sheetName val="UMH_MAXIMA1"/>
      <sheetName val="Inv_Wear_&amp;_Tear_BP_Revise2"/>
      <sheetName val="Nov_TB2"/>
      <sheetName val="Wear_&amp;_Tear_Each_Dept-Sect2"/>
      <sheetName val="TB_SUMARRY2"/>
      <sheetName val="Inventory_Turn_Over2"/>
      <sheetName val="QTY_MAZDA_PREMACY2"/>
      <sheetName val="OTY_FUGA2"/>
      <sheetName val="QTY_QUEST2"/>
      <sheetName val="QTY_MAXIMA2"/>
      <sheetName val="UMH_MAZDA_PREMACY2"/>
      <sheetName val="UMH_FUGA2"/>
      <sheetName val="UMH_QUEST2"/>
      <sheetName val="UMH_MAXIMA2"/>
    </sheetNames>
    <sheetDataSet>
      <sheetData sheetId="0" refreshError="1"/>
      <sheetData sheetId="1" refreshError="1"/>
      <sheetData sheetId="2" refreshError="1">
        <row r="1">
          <cell r="A1" t="str">
            <v>&lt;&lt; Sales &amp; Manufacture Plan &gt;&gt;</v>
          </cell>
        </row>
        <row r="75">
          <cell r="K75">
            <v>82444.691860465115</v>
          </cell>
          <cell r="L75">
            <v>468002.62209302327</v>
          </cell>
          <cell r="M75">
            <v>37943.361223359068</v>
          </cell>
          <cell r="N75">
            <v>37058.170831103533</v>
          </cell>
          <cell r="O75">
            <v>80802.5</v>
          </cell>
          <cell r="P75">
            <v>29902.5</v>
          </cell>
        </row>
        <row r="531">
          <cell r="I531">
            <v>565869.07999999996</v>
          </cell>
          <cell r="J531">
            <v>565869.1</v>
          </cell>
          <cell r="K531">
            <v>760549.3698181021</v>
          </cell>
          <cell r="L531">
            <v>705016.13763368898</v>
          </cell>
          <cell r="M531">
            <v>715161.43433637021</v>
          </cell>
          <cell r="N531">
            <v>958056</v>
          </cell>
          <cell r="O531">
            <v>924768</v>
          </cell>
          <cell r="P531">
            <v>901512</v>
          </cell>
        </row>
        <row r="582">
          <cell r="I582">
            <v>261002.5002999999</v>
          </cell>
          <cell r="J582">
            <v>89590.849199999881</v>
          </cell>
          <cell r="K582">
            <v>117840.64468522303</v>
          </cell>
          <cell r="L582">
            <v>-11401.832424787164</v>
          </cell>
          <cell r="M582">
            <v>23446.142576716404</v>
          </cell>
          <cell r="N582">
            <v>233241.92340523814</v>
          </cell>
          <cell r="O582">
            <v>131589.57221660047</v>
          </cell>
          <cell r="P582">
            <v>97146.725423010823</v>
          </cell>
        </row>
        <row r="595">
          <cell r="I595">
            <v>239702.92029999988</v>
          </cell>
          <cell r="J595">
            <v>72688.549199999878</v>
          </cell>
          <cell r="K595">
            <v>102994.04468522302</v>
          </cell>
          <cell r="L595">
            <v>-28312.432424787166</v>
          </cell>
          <cell r="M595">
            <v>-58067.657423283599</v>
          </cell>
          <cell r="N595">
            <v>221868.42340523814</v>
          </cell>
          <cell r="O595">
            <v>119157.87221660049</v>
          </cell>
          <cell r="P595">
            <v>84611.325423010829</v>
          </cell>
        </row>
        <row r="601">
          <cell r="J601">
            <v>72688.549199999878</v>
          </cell>
          <cell r="K601">
            <v>102994.04468522302</v>
          </cell>
          <cell r="L601">
            <v>-28312.432424787166</v>
          </cell>
          <cell r="M601">
            <v>-58067.657423283599</v>
          </cell>
          <cell r="N601">
            <v>221868.42340523814</v>
          </cell>
          <cell r="O601">
            <v>119157.87221660049</v>
          </cell>
          <cell r="P601">
            <v>84611.325423010829</v>
          </cell>
        </row>
        <row r="809">
          <cell r="I809">
            <v>0</v>
          </cell>
          <cell r="J809">
            <v>0</v>
          </cell>
          <cell r="K809">
            <v>0</v>
          </cell>
          <cell r="L809">
            <v>0</v>
          </cell>
          <cell r="M809">
            <v>0</v>
          </cell>
          <cell r="N809">
            <v>0</v>
          </cell>
          <cell r="O809">
            <v>0</v>
          </cell>
          <cell r="P809">
            <v>0</v>
          </cell>
        </row>
        <row r="811">
          <cell r="I811">
            <v>0</v>
          </cell>
          <cell r="J811">
            <v>4.6800000127404928E-2</v>
          </cell>
          <cell r="K811">
            <v>0</v>
          </cell>
          <cell r="L811">
            <v>0</v>
          </cell>
          <cell r="M811">
            <v>0</v>
          </cell>
          <cell r="N811">
            <v>0</v>
          </cell>
          <cell r="O811">
            <v>2.8372534434311092E-2</v>
          </cell>
          <cell r="P811">
            <v>4.4962211861275136E-2</v>
          </cell>
        </row>
        <row r="812">
          <cell r="I812">
            <v>1690781.3399999999</v>
          </cell>
          <cell r="J812">
            <v>1448582.3223999999</v>
          </cell>
          <cell r="K812">
            <v>1533978.8844818978</v>
          </cell>
          <cell r="L812">
            <v>1491607.4064482087</v>
          </cell>
          <cell r="M812">
            <v>1478820.4402118386</v>
          </cell>
          <cell r="N812">
            <v>1547469.2997118384</v>
          </cell>
          <cell r="O812">
            <v>1509978.8486118382</v>
          </cell>
          <cell r="P812">
            <v>1480252.4741118383</v>
          </cell>
        </row>
        <row r="828">
          <cell r="I828">
            <v>14104574.290000001</v>
          </cell>
          <cell r="J828">
            <v>13961010.290000001</v>
          </cell>
          <cell r="K828">
            <v>13898956.481860468</v>
          </cell>
          <cell r="L828">
            <v>14217549.203953488</v>
          </cell>
          <cell r="M828">
            <v>14105687.465176847</v>
          </cell>
          <cell r="N828">
            <v>13992554.43600795</v>
          </cell>
          <cell r="O828">
            <v>13922324.136007952</v>
          </cell>
          <cell r="P828">
            <v>13800882.336007953</v>
          </cell>
        </row>
        <row r="859">
          <cell r="I859">
            <v>7295277.21</v>
          </cell>
          <cell r="J859">
            <v>8416800.2100000009</v>
          </cell>
          <cell r="K859">
            <v>9103423.5136148669</v>
          </cell>
          <cell r="L859">
            <v>9445838.6430848707</v>
          </cell>
          <cell r="M859">
            <v>9410428.7266945392</v>
          </cell>
          <cell r="N859">
            <v>9501976.2507796306</v>
          </cell>
          <cell r="O859">
            <v>9311670.3100000005</v>
          </cell>
          <cell r="P859">
            <v>9345346.6100000013</v>
          </cell>
        </row>
        <row r="879">
          <cell r="I879">
            <v>0</v>
          </cell>
          <cell r="J879">
            <v>0</v>
          </cell>
          <cell r="K879">
            <v>0</v>
          </cell>
          <cell r="L879">
            <v>0</v>
          </cell>
          <cell r="M879">
            <v>0</v>
          </cell>
          <cell r="N879">
            <v>0</v>
          </cell>
          <cell r="O879">
            <v>0</v>
          </cell>
          <cell r="P879">
            <v>0</v>
          </cell>
        </row>
        <row r="1129">
          <cell r="I1129">
            <v>0.33700000000000002</v>
          </cell>
          <cell r="J1129">
            <v>0.161</v>
          </cell>
          <cell r="K1129">
            <v>0.14199999999999999</v>
          </cell>
          <cell r="L1129">
            <v>-1.7000000000000001E-2</v>
          </cell>
          <cell r="M1129">
            <v>3.3000000000000002E-2</v>
          </cell>
          <cell r="N1129">
            <v>0.223</v>
          </cell>
          <cell r="O1129">
            <v>0.14499999999999999</v>
          </cell>
          <cell r="P1129">
            <v>0.109</v>
          </cell>
        </row>
        <row r="1259">
          <cell r="I1259">
            <v>8.8999999999999996E-2</v>
          </cell>
          <cell r="J1259">
            <v>9.6000000000000002E-2</v>
          </cell>
          <cell r="K1259">
            <v>0.10100000000000001</v>
          </cell>
          <cell r="L1259">
            <v>9.8000000000000004E-2</v>
          </cell>
          <cell r="M1259">
            <v>9.5000000000000001E-2</v>
          </cell>
          <cell r="N1259">
            <v>0.107</v>
          </cell>
          <cell r="O1259">
            <v>0.115</v>
          </cell>
          <cell r="P1259">
            <v>0.121</v>
          </cell>
        </row>
        <row r="1293">
          <cell r="I1293" t="str">
            <v>^04/7~11</v>
          </cell>
          <cell r="J1293" t="str">
            <v>04/12</v>
          </cell>
          <cell r="K1293" t="str">
            <v>05/1</v>
          </cell>
          <cell r="L1293" t="str">
            <v>05/2</v>
          </cell>
          <cell r="M1293" t="str">
            <v>05/3</v>
          </cell>
          <cell r="N1293" t="str">
            <v>/5/4</v>
          </cell>
          <cell r="O1293" t="str">
            <v>05/5</v>
          </cell>
          <cell r="P1293" t="str">
            <v>05/6</v>
          </cell>
        </row>
        <row r="1302">
          <cell r="J1302">
            <v>72688.549199999878</v>
          </cell>
          <cell r="K1302">
            <v>102994.04468522302</v>
          </cell>
          <cell r="L1302">
            <v>-28312.432424787166</v>
          </cell>
          <cell r="M1302">
            <v>5932.3425767164008</v>
          </cell>
          <cell r="N1302">
            <v>221868.42340523814</v>
          </cell>
          <cell r="O1302">
            <v>119157.87221660049</v>
          </cell>
          <cell r="P1302">
            <v>84611.325423010829</v>
          </cell>
        </row>
        <row r="1304">
          <cell r="I1304">
            <v>355804.16000000003</v>
          </cell>
          <cell r="J1304">
            <v>166546.27000000002</v>
          </cell>
          <cell r="K1304">
            <v>180746.17</v>
          </cell>
          <cell r="L1304">
            <v>176695.67</v>
          </cell>
          <cell r="M1304">
            <v>177435.57</v>
          </cell>
          <cell r="N1304">
            <v>195152.27000000002</v>
          </cell>
          <cell r="O1304">
            <v>192724.16999999998</v>
          </cell>
          <cell r="P1304">
            <v>191027.87</v>
          </cell>
        </row>
        <row r="1305">
          <cell r="I1305">
            <v>2437112.08</v>
          </cell>
          <cell r="J1305">
            <v>941862.06000000017</v>
          </cell>
          <cell r="K1305">
            <v>669966.99186046526</v>
          </cell>
          <cell r="L1305">
            <v>619640.77209302329</v>
          </cell>
          <cell r="M1305">
            <v>579762.11122335913</v>
          </cell>
          <cell r="N1305">
            <v>425889.73749777029</v>
          </cell>
          <cell r="O1305">
            <v>323700.88333333342</v>
          </cell>
          <cell r="P1305">
            <v>110783.10000000009</v>
          </cell>
        </row>
        <row r="1306">
          <cell r="I1306">
            <v>5145000</v>
          </cell>
          <cell r="J1306">
            <v>5145000</v>
          </cell>
          <cell r="K1306">
            <v>4730500</v>
          </cell>
          <cell r="L1306">
            <v>4730500</v>
          </cell>
          <cell r="M1306">
            <v>4730500</v>
          </cell>
          <cell r="N1306">
            <v>4730500</v>
          </cell>
          <cell r="O1306">
            <v>4730500</v>
          </cell>
          <cell r="P1306">
            <v>4730500</v>
          </cell>
        </row>
        <row r="1307">
          <cell r="I1307">
            <v>0</v>
          </cell>
          <cell r="J1307">
            <v>0</v>
          </cell>
          <cell r="K1307">
            <v>0</v>
          </cell>
          <cell r="L1307">
            <v>0</v>
          </cell>
          <cell r="M1307">
            <v>0</v>
          </cell>
          <cell r="N1307">
            <v>0</v>
          </cell>
          <cell r="O1307">
            <v>0</v>
          </cell>
          <cell r="P1307">
            <v>0</v>
          </cell>
        </row>
        <row r="1308">
          <cell r="I1308">
            <v>312147.55999999994</v>
          </cell>
          <cell r="J1308">
            <v>179993.99</v>
          </cell>
          <cell r="K1308">
            <v>308994.61698181019</v>
          </cell>
          <cell r="L1308">
            <v>261855.58376336889</v>
          </cell>
          <cell r="M1308">
            <v>281448.31343363703</v>
          </cell>
          <cell r="N1308">
            <v>338031.87</v>
          </cell>
          <cell r="O1308">
            <v>367931.97</v>
          </cell>
          <cell r="P1308">
            <v>286441.67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02"/>
      <sheetName val="ヒストグラム例付T2"/>
      <sheetName val="条件"/>
      <sheetName val="プリモ_S0"/>
      <sheetName val="プリモ_S1"/>
      <sheetName val="プリモ_S2"/>
      <sheetName val="プリモ_S3"/>
      <sheetName val="CAR 488"/>
      <sheetName val="分关要素"/>
      <sheetName val="MGA-05-03"/>
      <sheetName val="EQUIPMENT LOKAL PL"/>
      <sheetName val="ALL MP"/>
      <sheetName val="MVNS设变电明"/>
      <sheetName val="装備比較"/>
      <sheetName val="database1"/>
      <sheetName val="SET PART"/>
      <sheetName val="PHAN XE SUB LHD)"/>
      <sheetName val="PRE"/>
      <sheetName val="Database"/>
      <sheetName val="残存ｶｰﾌﾞ"/>
      <sheetName val="Sheet2 (2)"/>
      <sheetName val="規則"/>
      <sheetName val="Sheet1"/>
      <sheetName val="TCTTKH"/>
      <sheetName val="DATA SHEET"/>
      <sheetName val="checker be+af"/>
      <sheetName val="ตัวเลือก"/>
      <sheetName val="Short Plan "/>
      <sheetName val="????"/>
      <sheetName val="?????"/>
      <sheetName val="CAR_488"/>
      <sheetName val="2TUP"/>
      <sheetName val="unitprice"/>
      <sheetName val="MOTO"/>
      <sheetName val="リスト"/>
      <sheetName val="台数カレンダー元"/>
      <sheetName val="両端回路"/>
      <sheetName val="片端データ"/>
      <sheetName val="表紙(代表者)"/>
      <sheetName val="EQUIPMENT_LOKAL_PL"/>
      <sheetName val="PHAN_XE_SUB_LHD)"/>
      <sheetName val="SET_PART"/>
      <sheetName val="ALL_MP"/>
      <sheetName val="Sheet2_(2)"/>
      <sheetName val="DATA_SHEET"/>
      <sheetName val="checker_be+af"/>
      <sheetName val="Short_Plan_"/>
      <sheetName val="CAR_4881"/>
      <sheetName val="ALL_MP1"/>
      <sheetName val="EQUIPMENT_LOKAL_PL1"/>
      <sheetName val="PHAN_XE_SUB_LHD)1"/>
      <sheetName val="SET_PART1"/>
      <sheetName val="Sheet2_(2)1"/>
      <sheetName val="DATA_SHEET1"/>
      <sheetName val="checker_be+af1"/>
      <sheetName val="Short_Plan_1"/>
      <sheetName val="assy-current"/>
      <sheetName val="CAR_4882"/>
      <sheetName val="CAR_4883"/>
      <sheetName val="SET_PART2"/>
      <sheetName val="EQUIPMENT_LOKAL_PL2"/>
      <sheetName val="Sheet2_(2)2"/>
      <sheetName val="PHAN_XE_SUB_LHD)2"/>
      <sheetName val="ALL_MP2"/>
      <sheetName val="checker_be+af2"/>
      <sheetName val="Short_Plan_2"/>
      <sheetName val="Window"/>
      <sheetName val="____"/>
      <sheetName val="_____"/>
      <sheetName val="PRตัวเลือก"/>
      <sheetName val="WIRE B YU LINK"/>
      <sheetName val="図面台帳"/>
      <sheetName val="設備点検基準書"/>
      <sheetName val="点検前"/>
      <sheetName val="日常点検表(A3)"/>
      <sheetName val="定期点検表(A3)"/>
      <sheetName val="定期点検表(A3) (2)"/>
      <sheetName val="001"/>
      <sheetName val="002"/>
      <sheetName val="003"/>
      <sheetName val="004"/>
      <sheetName val="005"/>
      <sheetName val="006"/>
      <sheetName val="007"/>
      <sheetName val="008"/>
      <sheetName val="009"/>
      <sheetName val="101"/>
      <sheetName val="102"/>
      <sheetName val="103"/>
      <sheetName val="104"/>
      <sheetName val="105 (1)"/>
      <sheetName val="105 (2)"/>
      <sheetName val="106"/>
      <sheetName val="107"/>
      <sheetName val="108"/>
      <sheetName val="109"/>
      <sheetName val="110 (1)"/>
      <sheetName val="110 (2)"/>
      <sheetName val="110 (3)"/>
      <sheetName val="111"/>
      <sheetName val="シリーズ対応表"/>
      <sheetName val="日常点検表"/>
      <sheetName val="定期点検表"/>
      <sheetName val="日1"/>
      <sheetName val="日2"/>
      <sheetName val="日3"/>
      <sheetName val="日4"/>
      <sheetName val="定1"/>
      <sheetName val="定2"/>
      <sheetName val="定3"/>
      <sheetName val="定4"/>
      <sheetName val="定5"/>
      <sheetName val="定6"/>
      <sheetName val="定7"/>
      <sheetName val="定8"/>
      <sheetName val="定9"/>
      <sheetName val="定10"/>
      <sheetName val="定11"/>
      <sheetName val="定12"/>
      <sheetName val="Ramp up cost"/>
      <sheetName val="Tables"/>
      <sheetName val="Packaging"/>
      <sheetName val="YAMA RH NEW (2)"/>
      <sheetName val=" D2"/>
      <sheetName val="SH_CARLINE"/>
      <sheetName val="SH_ENTITY"/>
      <sheetName val="SH_ICP"/>
      <sheetName val="SH_MAKER"/>
      <sheetName val="SH_PRODUCTS"/>
      <sheetName val="SH_PROFILE"/>
      <sheetName val="TBP350A"/>
      <sheetName val="Name"/>
      <sheetName val="DỮ LIỆU"/>
      <sheetName val="DATA_SHEET2"/>
      <sheetName val="EQUIPMENT_LOKAL_PL3"/>
      <sheetName val="PHAN_XE_SUB_LHD)3"/>
      <sheetName val="SET_PART3"/>
      <sheetName val="ALL_MP3"/>
      <sheetName val="Sheet2_(2)3"/>
      <sheetName val="DATA_SHEET3"/>
      <sheetName val="checker_be+af3"/>
      <sheetName val="Short_Plan_3"/>
      <sheetName val="CAR_4884"/>
      <sheetName val="ALL_MP4"/>
      <sheetName val="EQUIPMENT_LOKAL_PL4"/>
      <sheetName val="PHAN_XE_SUB_LHD)4"/>
      <sheetName val="SET_PART4"/>
      <sheetName val="Sheet2_(2)4"/>
      <sheetName val="DATA_SHEET4"/>
      <sheetName val="checker_be+af4"/>
      <sheetName val="Short_Plan_4"/>
      <sheetName val="#REF"/>
      <sheetName val="WIRE_B_YU_LINK"/>
      <sheetName val="定期点検表(A3)_(2)"/>
      <sheetName val="105_(1)"/>
      <sheetName val="105_(2)"/>
      <sheetName val="110_(1)"/>
      <sheetName val="110_(2)"/>
      <sheetName val="110_(3)"/>
      <sheetName val="Monthly"/>
      <sheetName val="List_Data"/>
      <sheetName val="DL"/>
      <sheetName val="gvl"/>
      <sheetName val="590L-F2"/>
      <sheetName val="CH1"/>
      <sheetName val="CH2"/>
      <sheetName val="EX1"/>
      <sheetName val="TE1-2"/>
      <sheetName val="TE3"/>
      <sheetName val="TE4-5"/>
      <sheetName val="CAR_4885"/>
      <sheetName val="EQUIPMENT_LOKAL_PL5"/>
      <sheetName val="SET_PART5"/>
      <sheetName val="Sheet2_(2)5"/>
      <sheetName val="PHAN_XE_SUB_LHD)5"/>
      <sheetName val="ALL_MP5"/>
      <sheetName val="checker_be+af5"/>
      <sheetName val="Short_Plan_5"/>
      <sheetName val="DATA_SHEET5"/>
      <sheetName val="WIRE_B_YU_LINK1"/>
      <sheetName val="定期点検表(A3)_(2)1"/>
      <sheetName val="105_(1)1"/>
      <sheetName val="105_(2)1"/>
      <sheetName val="110_(1)1"/>
      <sheetName val="110_(2)1"/>
      <sheetName val="110_(3)1"/>
      <sheetName val="_D2"/>
      <sheetName val="DỮ_LIỆU"/>
      <sheetName val="YAMA_RH_NEW_(2)"/>
      <sheetName val="CAR_4887"/>
      <sheetName val="EQUIPMENT_LOKAL_PL7"/>
      <sheetName val="SET_PART7"/>
      <sheetName val="Sheet2_(2)7"/>
      <sheetName val="PHAN_XE_SUB_LHD)7"/>
      <sheetName val="ALL_MP7"/>
      <sheetName val="checker_be+af7"/>
      <sheetName val="Short_Plan_7"/>
      <sheetName val="DATA_SHEET7"/>
      <sheetName val="WIRE_B_YU_LINK3"/>
      <sheetName val="定期点検表(A3)_(2)3"/>
      <sheetName val="105_(1)3"/>
      <sheetName val="105_(2)3"/>
      <sheetName val="110_(1)3"/>
      <sheetName val="110_(2)3"/>
      <sheetName val="110_(3)3"/>
      <sheetName val="_D22"/>
      <sheetName val="DỮ_LIỆU2"/>
      <sheetName val="YAMA_RH_NEW_(2)2"/>
      <sheetName val="CAR_4886"/>
      <sheetName val="EQUIPMENT_LOKAL_PL6"/>
      <sheetName val="SET_PART6"/>
      <sheetName val="Sheet2_(2)6"/>
      <sheetName val="PHAN_XE_SUB_LHD)6"/>
      <sheetName val="ALL_MP6"/>
      <sheetName val="checker_be+af6"/>
      <sheetName val="Short_Plan_6"/>
      <sheetName val="DATA_SHEET6"/>
      <sheetName val="WIRE_B_YU_LINK2"/>
      <sheetName val="定期点検表(A3)_(2)2"/>
      <sheetName val="105_(1)2"/>
      <sheetName val="105_(2)2"/>
      <sheetName val="110_(1)2"/>
      <sheetName val="110_(2)2"/>
      <sheetName val="110_(3)2"/>
      <sheetName val="_D21"/>
      <sheetName val="DỮ_LIỆU1"/>
      <sheetName val="YAMA_RH_NEW_(2)1"/>
      <sheetName val="CAR_4888"/>
      <sheetName val="EQUIPMENT_LOKAL_PL8"/>
      <sheetName val="SET_PART8"/>
      <sheetName val="Sheet2_(2)8"/>
      <sheetName val="PHAN_XE_SUB_LHD)8"/>
      <sheetName val="ALL_MP8"/>
      <sheetName val="checker_be+af8"/>
      <sheetName val="Short_Plan_8"/>
      <sheetName val="DATA_SHEET8"/>
      <sheetName val="WIRE_B_YU_LINK4"/>
      <sheetName val="定期点検表(A3)_(2)4"/>
      <sheetName val="105_(1)4"/>
      <sheetName val="105_(2)4"/>
      <sheetName val="110_(1)4"/>
      <sheetName val="110_(2)4"/>
      <sheetName val="110_(3)4"/>
      <sheetName val="_D23"/>
      <sheetName val="DỮ_LIỆU3"/>
      <sheetName val="YAMA_RH_NEW_(2)3"/>
      <sheetName val="05年"/>
      <sheetName val="REQUEST_TABLE"/>
      <sheetName val="CAR_4889"/>
      <sheetName val="EQUIPMENT_LOKAL_PL9"/>
      <sheetName val="PHAN_XE_SUB_LHD)9"/>
      <sheetName val="SET_PART9"/>
      <sheetName val="ALL_MP9"/>
      <sheetName val="Sheet2_(2)9"/>
      <sheetName val="checker_be+af9"/>
      <sheetName val="DATA_SHEET9"/>
      <sheetName val="Short_Plan_9"/>
      <sheetName val="ﾄﾖﾀUNIT"/>
      <sheetName val="CAR_48810"/>
      <sheetName val="EQUIPMENT_LOKAL_PL10"/>
      <sheetName val="PHAN_XE_SUB_LHD)10"/>
      <sheetName val="SET_PART10"/>
      <sheetName val="ALL_MP10"/>
      <sheetName val="Sheet2_(2)10"/>
      <sheetName val="DATA_SHEET10"/>
      <sheetName val="checker_be+af10"/>
      <sheetName val="Short_Plan_10"/>
      <sheetName val="_D24"/>
      <sheetName val="DỮ_LIỆU4"/>
      <sheetName val="Toggle Duplicate Highlighting"/>
      <sheetName val="dongia (2)"/>
      <sheetName val="giathanh1"/>
      <sheetName val="lam-moi"/>
      <sheetName val="THPDMoi  (2)"/>
      <sheetName val="t-h HA THE"/>
      <sheetName val="chitiet"/>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INVOICE"/>
      <sheetName val="工場名"/>
      <sheetName val="通貨"/>
      <sheetName val="CAR_48811"/>
      <sheetName val="EQUIPMENT_LOKAL_PL11"/>
      <sheetName val="PHAN_XE_SUB_LHD)11"/>
      <sheetName val="ALL_MP11"/>
      <sheetName val="SET_PART11"/>
      <sheetName val="Sheet2_(2)11"/>
      <sheetName val="CAR_48812"/>
      <sheetName val="EQUIPMENT_LOKAL_PL12"/>
      <sheetName val="PHAN_XE_SUB_LHD)12"/>
      <sheetName val="ALL_MP12"/>
      <sheetName val="SET_PART12"/>
      <sheetName val="Sheet2_(2)12"/>
      <sheetName val="ab"/>
      <sheetName val="c.ca"/>
      <sheetName val="c.cb"/>
      <sheetName val="d2a"/>
      <sheetName val="E2"/>
      <sheetName val="T1b"/>
      <sheetName val="M1A"/>
      <sheetName val="T1a"/>
      <sheetName val="SPL 4-8-21"/>
      <sheetName val="WIRE_B_YU_LINK5"/>
      <sheetName val="定期点検表(A3)_(2)5"/>
      <sheetName val="105_(1)5"/>
      <sheetName val="105_(2)5"/>
      <sheetName val="110_(1)5"/>
      <sheetName val="110_(2)5"/>
      <sheetName val="110_(3)5"/>
      <sheetName val="YAMA_RH_NEW_(2)4"/>
      <sheetName val="Ramp_up_cost"/>
      <sheetName val="checker_be+af11"/>
      <sheetName val="Short_Plan_11"/>
      <sheetName val="DATA_SHEET11"/>
      <sheetName val="WIRE_B_YU_LINK7"/>
      <sheetName val="定期点検表(A3)_(2)7"/>
      <sheetName val="105_(1)7"/>
      <sheetName val="105_(2)7"/>
      <sheetName val="110_(1)7"/>
      <sheetName val="110_(2)7"/>
      <sheetName val="110_(3)7"/>
      <sheetName val="_D26"/>
      <sheetName val="DỮ_LIỆU6"/>
      <sheetName val="YAMA_RH_NEW_(2)6"/>
      <sheetName val="Ramp_up_cost2"/>
      <sheetName val="WIRE_B_YU_LINK6"/>
      <sheetName val="定期点検表(A3)_(2)6"/>
      <sheetName val="105_(1)6"/>
      <sheetName val="105_(2)6"/>
      <sheetName val="110_(1)6"/>
      <sheetName val="110_(2)6"/>
      <sheetName val="110_(3)6"/>
      <sheetName val="_D25"/>
      <sheetName val="DỮ_LIỆU5"/>
      <sheetName val="YAMA_RH_NEW_(2)5"/>
      <sheetName val="Ramp_up_cost1"/>
      <sheetName val="CAR_48813"/>
      <sheetName val="EQUIPMENT_LOKAL_PL13"/>
      <sheetName val="SET_PART13"/>
      <sheetName val="Sheet2_(2)13"/>
      <sheetName val="PHAN_XE_SUB_LHD)13"/>
      <sheetName val="ALL_MP13"/>
      <sheetName val="SPL_4-8-21"/>
      <sheetName val="CAR_48814"/>
      <sheetName val="EQUIPMENT_LOKAL_PL14"/>
      <sheetName val="PHAN_XE_SUB_LHD)14"/>
      <sheetName val="ALL_MP14"/>
      <sheetName val="SET_PART14"/>
      <sheetName val="Sheet2_(2)14"/>
      <sheetName val="CAR_48819"/>
      <sheetName val="EQUIPMENT_LOKAL_PL19"/>
      <sheetName val="PHAN_XE_SUB_LHD)19"/>
      <sheetName val="ALL_MP19"/>
      <sheetName val="SET_PART19"/>
      <sheetName val="Sheet2_(2)19"/>
      <sheetName val="CAR_48815"/>
      <sheetName val="EQUIPMENT_LOKAL_PL15"/>
      <sheetName val="PHAN_XE_SUB_LHD)15"/>
      <sheetName val="ALL_MP15"/>
      <sheetName val="SET_PART15"/>
      <sheetName val="Sheet2_(2)15"/>
      <sheetName val="CAR_48816"/>
      <sheetName val="EQUIPMENT_LOKAL_PL16"/>
      <sheetName val="PHAN_XE_SUB_LHD)16"/>
      <sheetName val="ALL_MP16"/>
      <sheetName val="SET_PART16"/>
      <sheetName val="Sheet2_(2)16"/>
      <sheetName val="CAR_48817"/>
      <sheetName val="EQUIPMENT_LOKAL_PL17"/>
      <sheetName val="PHAN_XE_SUB_LHD)17"/>
      <sheetName val="ALL_MP17"/>
      <sheetName val="SET_PART17"/>
      <sheetName val="Sheet2_(2)17"/>
      <sheetName val="CAR_48818"/>
      <sheetName val="EQUIPMENT_LOKAL_PL18"/>
      <sheetName val="PHAN_XE_SUB_LHD)18"/>
      <sheetName val="ALL_MP18"/>
      <sheetName val="SET_PART18"/>
      <sheetName val="Sheet2_(2)18"/>
      <sheetName val="CAR_48822"/>
      <sheetName val="EQUIPMENT_LOKAL_PL22"/>
      <sheetName val="PHAN_XE_SUB_LHD)22"/>
      <sheetName val="ALL_MP22"/>
      <sheetName val="SET_PART22"/>
      <sheetName val="Sheet2_(2)22"/>
      <sheetName val="CAR_48820"/>
      <sheetName val="EQUIPMENT_LOKAL_PL20"/>
      <sheetName val="PHAN_XE_SUB_LHD)20"/>
      <sheetName val="ALL_MP20"/>
      <sheetName val="SET_PART20"/>
      <sheetName val="Sheet2_(2)20"/>
      <sheetName val="CAR_48821"/>
      <sheetName val="EQUIPMENT_LOKAL_PL21"/>
      <sheetName val="PHAN_XE_SUB_LHD)21"/>
      <sheetName val="ALL_MP21"/>
      <sheetName val="SET_PART21"/>
      <sheetName val="Sheet2_(2)21"/>
      <sheetName val="CAR_48824"/>
      <sheetName val="EQUIPMENT_LOKAL_PL24"/>
      <sheetName val="PHAN_XE_SUB_LHD)24"/>
      <sheetName val="ALL_MP24"/>
      <sheetName val="SET_PART24"/>
      <sheetName val="Sheet2_(2)24"/>
      <sheetName val="Ramp_up_cost4"/>
      <sheetName val="CAR_48823"/>
      <sheetName val="EQUIPMENT_LOKAL_PL23"/>
      <sheetName val="PHAN_XE_SUB_LHD)23"/>
      <sheetName val="ALL_MP23"/>
      <sheetName val="SET_PART23"/>
      <sheetName val="Sheet2_(2)23"/>
      <sheetName val="Ramp_up_cost3"/>
      <sheetName val="CAR_48825"/>
      <sheetName val="EQUIPMENT_LOKAL_PL25"/>
      <sheetName val="PHAN_XE_SUB_LHD)25"/>
      <sheetName val="ALL_MP25"/>
      <sheetName val="SET_PART25"/>
      <sheetName val="Sheet2_(2)25"/>
      <sheetName val="CAR_48831"/>
      <sheetName val="EQUIPMENT_LOKAL_PL31"/>
      <sheetName val="PHAN_XE_SUB_LHD)31"/>
      <sheetName val="ALL_MP31"/>
      <sheetName val="SET_PART31"/>
      <sheetName val="Sheet2_(2)31"/>
      <sheetName val="DATA_SHEET13"/>
      <sheetName val="checker_be+af14"/>
      <sheetName val="Ramp_up_cost10"/>
      <sheetName val="Short_Plan_13"/>
      <sheetName val="WIRE_B_YU_LINK10"/>
      <sheetName val="CAR_48826"/>
      <sheetName val="EQUIPMENT_LOKAL_PL26"/>
      <sheetName val="PHAN_XE_SUB_LHD)26"/>
      <sheetName val="ALL_MP26"/>
      <sheetName val="SET_PART26"/>
      <sheetName val="Sheet2_(2)26"/>
      <sheetName val="Ramp_up_cost5"/>
      <sheetName val="CAR_48827"/>
      <sheetName val="EQUIPMENT_LOKAL_PL27"/>
      <sheetName val="PHAN_XE_SUB_LHD)27"/>
      <sheetName val="ALL_MP27"/>
      <sheetName val="SET_PART27"/>
      <sheetName val="Sheet2_(2)27"/>
      <sheetName val="Ramp_up_cost6"/>
      <sheetName val="CAR_48828"/>
      <sheetName val="EQUIPMENT_LOKAL_PL28"/>
      <sheetName val="PHAN_XE_SUB_LHD)28"/>
      <sheetName val="ALL_MP28"/>
      <sheetName val="SET_PART28"/>
      <sheetName val="Sheet2_(2)28"/>
      <sheetName val="Ramp_up_cost7"/>
      <sheetName val="CAR_48829"/>
      <sheetName val="EQUIPMENT_LOKAL_PL29"/>
      <sheetName val="PHAN_XE_SUB_LHD)29"/>
      <sheetName val="ALL_MP29"/>
      <sheetName val="SET_PART29"/>
      <sheetName val="Sheet2_(2)29"/>
      <sheetName val="checker_be+af12"/>
      <sheetName val="Ramp_up_cost8"/>
      <sheetName val="WIRE_B_YU_LINK8"/>
      <sheetName val="CAR_48830"/>
      <sheetName val="EQUIPMENT_LOKAL_PL30"/>
      <sheetName val="PHAN_XE_SUB_LHD)30"/>
      <sheetName val="ALL_MP30"/>
      <sheetName val="SET_PART30"/>
      <sheetName val="Sheet2_(2)30"/>
      <sheetName val="DATA_SHEET12"/>
      <sheetName val="checker_be+af13"/>
      <sheetName val="Ramp_up_cost9"/>
      <sheetName val="Short_Plan_12"/>
      <sheetName val="WIRE_B_YU_LINK9"/>
      <sheetName val="CAR_48832"/>
      <sheetName val="EQUIPMENT_LOKAL_PL32"/>
      <sheetName val="PHAN_XE_SUB_LHD)32"/>
      <sheetName val="ALL_MP32"/>
      <sheetName val="SET_PART32"/>
      <sheetName val="Sheet2_(2)32"/>
      <sheetName val="DATA_SHEET14"/>
      <sheetName val="checker_be+af15"/>
      <sheetName val="Ramp_up_cost11"/>
      <sheetName val="Short_Plan_14"/>
      <sheetName val="WIRE_B_YU_LINK11"/>
      <sheetName val="CAR_48833"/>
      <sheetName val="EQUIPMENT_LOKAL_PL33"/>
      <sheetName val="PHAN_XE_SUB_LHD)33"/>
      <sheetName val="ALL_MP33"/>
      <sheetName val="SET_PART33"/>
      <sheetName val="Sheet2_(2)33"/>
      <sheetName val="DATA_SHEET15"/>
      <sheetName val="checker_be+af16"/>
      <sheetName val="Ramp_up_cost12"/>
      <sheetName val="Short_Plan_15"/>
      <sheetName val="WIRE_B_YU_LINK12"/>
      <sheetName val="CAR_48834"/>
      <sheetName val="EQUIPMENT_LOKAL_PL34"/>
      <sheetName val="PHAN_XE_SUB_LHD)34"/>
      <sheetName val="ALL_MP34"/>
      <sheetName val="SET_PART34"/>
      <sheetName val="Sheet2_(2)34"/>
      <sheetName val="DATA_SHEET16"/>
      <sheetName val="checker_be+af17"/>
      <sheetName val="Ramp_up_cost13"/>
      <sheetName val="Short_Plan_16"/>
      <sheetName val="WIRE_B_YU_LINK13"/>
      <sheetName val="CAR_48835"/>
      <sheetName val="EQUIPMENT_LOKAL_PL35"/>
      <sheetName val="PHAN_XE_SUB_LHD)35"/>
      <sheetName val="ALL_MP35"/>
      <sheetName val="SET_PART35"/>
      <sheetName val="Sheet2_(2)35"/>
      <sheetName val="DATA_SHEET17"/>
      <sheetName val="checker_be+af18"/>
      <sheetName val="Ramp_up_cost14"/>
      <sheetName val="Short_Plan_17"/>
      <sheetName val="WIRE_B_YU_LINK14"/>
      <sheetName val="CAR_48836"/>
      <sheetName val="EQUIPMENT_LOKAL_PL36"/>
      <sheetName val="PHAN_XE_SUB_LHD)36"/>
      <sheetName val="ALL_MP36"/>
      <sheetName val="SET_PART36"/>
      <sheetName val="Sheet2_(2)36"/>
      <sheetName val="DATA_SHEET18"/>
      <sheetName val="checker_be+af19"/>
      <sheetName val="Ramp_up_cost15"/>
      <sheetName val="Short_Plan_18"/>
      <sheetName val="WIRE_B_YU_LINK15"/>
      <sheetName val="CAR_48837"/>
      <sheetName val="EQUIPMENT_LOKAL_PL37"/>
      <sheetName val="PHAN_XE_SUB_LHD)37"/>
      <sheetName val="ALL_MP37"/>
      <sheetName val="SET_PART37"/>
      <sheetName val="Sheet2_(2)37"/>
      <sheetName val="DATA_SHEET19"/>
      <sheetName val="checker_be+af20"/>
      <sheetName val="Ramp_up_cost16"/>
      <sheetName val="Short_Plan_19"/>
      <sheetName val="WIRE_B_YU_LINK16"/>
      <sheetName val="CAR_48838"/>
      <sheetName val="EQUIPMENT_LOKAL_PL38"/>
      <sheetName val="PHAN_XE_SUB_LHD)38"/>
      <sheetName val="ALL_MP38"/>
      <sheetName val="SET_PART38"/>
      <sheetName val="Sheet2_(2)38"/>
      <sheetName val="DATA_SHEET20"/>
      <sheetName val="checker_be+af21"/>
      <sheetName val="Ramp_up_cost17"/>
      <sheetName val="Short_Plan_20"/>
      <sheetName val="WIRE_B_YU_LINK17"/>
      <sheetName val="CAR_48839"/>
      <sheetName val="EQUIPMENT_LOKAL_PL39"/>
      <sheetName val="PHAN_XE_SUB_LHD)39"/>
      <sheetName val="ALL_MP39"/>
      <sheetName val="SET_PART39"/>
      <sheetName val="Sheet2_(2)39"/>
      <sheetName val="DATA_SHEET21"/>
      <sheetName val="checker_be+af22"/>
      <sheetName val="Ramp_up_cost18"/>
      <sheetName val="Short_Plan_21"/>
      <sheetName val="WIRE_B_YU_LINK18"/>
      <sheetName val="CAR_48841"/>
      <sheetName val="EQUIPMENT_LOKAL_PL41"/>
      <sheetName val="PHAN_XE_SUB_LHD)41"/>
      <sheetName val="ALL_MP41"/>
      <sheetName val="SET_PART41"/>
      <sheetName val="Sheet2_(2)41"/>
      <sheetName val="DATA_SHEET23"/>
      <sheetName val="checker_be+af24"/>
      <sheetName val="Ramp_up_cost20"/>
      <sheetName val="Short_Plan_23"/>
      <sheetName val="WIRE_B_YU_LINK20"/>
      <sheetName val="CAR_48840"/>
      <sheetName val="EQUIPMENT_LOKAL_PL40"/>
      <sheetName val="PHAN_XE_SUB_LHD)40"/>
      <sheetName val="ALL_MP40"/>
      <sheetName val="SET_PART40"/>
      <sheetName val="Sheet2_(2)40"/>
      <sheetName val="DATA_SHEET22"/>
      <sheetName val="checker_be+af23"/>
      <sheetName val="Ramp_up_cost19"/>
      <sheetName val="Short_Plan_22"/>
      <sheetName val="WIRE_B_YU_LINK19"/>
      <sheetName val="CAR_48843"/>
      <sheetName val="EQUIPMENT_LOKAL_PL43"/>
      <sheetName val="PHAN_XE_SUB_LHD)43"/>
      <sheetName val="ALL_MP43"/>
      <sheetName val="SET_PART43"/>
      <sheetName val="Sheet2_(2)43"/>
      <sheetName val="DATA_SHEET25"/>
      <sheetName val="checker_be+af26"/>
      <sheetName val="Ramp_up_cost22"/>
      <sheetName val="Short_Plan_25"/>
      <sheetName val="WIRE_B_YU_LINK22"/>
      <sheetName val="CAR_48842"/>
      <sheetName val="EQUIPMENT_LOKAL_PL42"/>
      <sheetName val="PHAN_XE_SUB_LHD)42"/>
      <sheetName val="ALL_MP42"/>
      <sheetName val="SET_PART42"/>
      <sheetName val="Sheet2_(2)42"/>
      <sheetName val="DATA_SHEET24"/>
      <sheetName val="checker_be+af25"/>
      <sheetName val="Ramp_up_cost21"/>
      <sheetName val="Short_Plan_24"/>
      <sheetName val="WIRE_B_YU_LINK21"/>
      <sheetName val="CAR_48848"/>
      <sheetName val="EQUIPMENT_LOKAL_PL48"/>
      <sheetName val="PHAN_XE_SUB_LHD)48"/>
      <sheetName val="ALL_MP48"/>
      <sheetName val="SET_PART48"/>
      <sheetName val="Sheet2_(2)48"/>
      <sheetName val="DATA_SHEET30"/>
      <sheetName val="checker_be+af31"/>
      <sheetName val="Ramp_up_cost27"/>
      <sheetName val="Short_Plan_30"/>
      <sheetName val="WIRE_B_YU_LINK27"/>
      <sheetName val="YAMA_RH_NEW_(2)9"/>
      <sheetName val="_D29"/>
      <sheetName val="DỮ_LIỆU9"/>
      <sheetName val="定期点検表(A3)_(2)10"/>
      <sheetName val="105_(1)10"/>
      <sheetName val="105_(2)10"/>
      <sheetName val="110_(1)10"/>
      <sheetName val="110_(2)10"/>
      <sheetName val="110_(3)10"/>
      <sheetName val="CAR_48844"/>
      <sheetName val="EQUIPMENT_LOKAL_PL44"/>
      <sheetName val="PHAN_XE_SUB_LHD)44"/>
      <sheetName val="ALL_MP44"/>
      <sheetName val="SET_PART44"/>
      <sheetName val="Sheet2_(2)44"/>
      <sheetName val="DATA_SHEET26"/>
      <sheetName val="checker_be+af27"/>
      <sheetName val="Ramp_up_cost23"/>
      <sheetName val="Short_Plan_26"/>
      <sheetName val="WIRE_B_YU_LINK23"/>
      <sheetName val="CAR_48845"/>
      <sheetName val="EQUIPMENT_LOKAL_PL45"/>
      <sheetName val="PHAN_XE_SUB_LHD)45"/>
      <sheetName val="ALL_MP45"/>
      <sheetName val="SET_PART45"/>
      <sheetName val="Sheet2_(2)45"/>
      <sheetName val="DATA_SHEET27"/>
      <sheetName val="checker_be+af28"/>
      <sheetName val="Ramp_up_cost24"/>
      <sheetName val="Short_Plan_27"/>
      <sheetName val="WIRE_B_YU_LINK24"/>
      <sheetName val="CAR_48847"/>
      <sheetName val="EQUIPMENT_LOKAL_PL47"/>
      <sheetName val="PHAN_XE_SUB_LHD)47"/>
      <sheetName val="ALL_MP47"/>
      <sheetName val="SET_PART47"/>
      <sheetName val="Sheet2_(2)47"/>
      <sheetName val="DATA_SHEET29"/>
      <sheetName val="checker_be+af30"/>
      <sheetName val="Ramp_up_cost26"/>
      <sheetName val="Short_Plan_29"/>
      <sheetName val="WIRE_B_YU_LINK26"/>
      <sheetName val="YAMA_RH_NEW_(2)8"/>
      <sheetName val="_D28"/>
      <sheetName val="DỮ_LIỆU8"/>
      <sheetName val="定期点検表(A3)_(2)9"/>
      <sheetName val="105_(1)9"/>
      <sheetName val="105_(2)9"/>
      <sheetName val="110_(1)9"/>
      <sheetName val="110_(2)9"/>
      <sheetName val="110_(3)9"/>
      <sheetName val="CAR_48846"/>
      <sheetName val="EQUIPMENT_LOKAL_PL46"/>
      <sheetName val="PHAN_XE_SUB_LHD)46"/>
      <sheetName val="ALL_MP46"/>
      <sheetName val="SET_PART46"/>
      <sheetName val="Sheet2_(2)46"/>
      <sheetName val="DATA_SHEET28"/>
      <sheetName val="checker_be+af29"/>
      <sheetName val="Ramp_up_cost25"/>
      <sheetName val="Short_Plan_28"/>
      <sheetName val="WIRE_B_YU_LINK25"/>
      <sheetName val="YAMA_RH_NEW_(2)7"/>
      <sheetName val="_D27"/>
      <sheetName val="DỮ_LIỆU7"/>
      <sheetName val="定期点検表(A3)_(2)8"/>
      <sheetName val="105_(1)8"/>
      <sheetName val="105_(2)8"/>
      <sheetName val="110_(1)8"/>
      <sheetName val="110_(2)8"/>
      <sheetName val="110_(3)8"/>
      <sheetName val="CAR_48849"/>
      <sheetName val="EQUIPMENT_LOKAL_PL49"/>
      <sheetName val="PHAN_XE_SUB_LHD)49"/>
      <sheetName val="ALL_MP49"/>
      <sheetName val="SET_PART49"/>
      <sheetName val="Sheet2_(2)49"/>
      <sheetName val="DATA_SHEET31"/>
      <sheetName val="checker_be+af32"/>
      <sheetName val="Ramp_up_cost28"/>
      <sheetName val="Short_Plan_31"/>
      <sheetName val="WIRE_B_YU_LINK28"/>
      <sheetName val="YAMA_RH_NEW_(2)10"/>
      <sheetName val="_D210"/>
      <sheetName val="DỮ_LIỆU10"/>
      <sheetName val="定期点検表(A3)_(2)11"/>
      <sheetName val="105_(1)11"/>
      <sheetName val="105_(2)11"/>
      <sheetName val="110_(1)11"/>
      <sheetName val="110_(2)11"/>
      <sheetName val="110_(3)11"/>
      <sheetName val="CAR_48850"/>
      <sheetName val="EQUIPMENT_LOKAL_PL50"/>
      <sheetName val="PHAN_XE_SUB_LHD)50"/>
      <sheetName val="ALL_MP50"/>
      <sheetName val="SET_PART50"/>
      <sheetName val="Sheet2_(2)50"/>
      <sheetName val="DATA_SHEET32"/>
      <sheetName val="checker_be+af33"/>
      <sheetName val="Ramp_up_cost29"/>
      <sheetName val="Short_Plan_32"/>
      <sheetName val="WIRE_B_YU_LINK29"/>
      <sheetName val="YAMA_RH_NEW_(2)11"/>
      <sheetName val="_D211"/>
      <sheetName val="DỮ_LIỆU11"/>
      <sheetName val="定期点検表(A3)_(2)12"/>
      <sheetName val="105_(1)12"/>
      <sheetName val="105_(2)12"/>
      <sheetName val="110_(1)12"/>
      <sheetName val="110_(2)12"/>
      <sheetName val="110_(3)12"/>
      <sheetName val="CAR_48851"/>
      <sheetName val="EQUIPMENT_LOKAL_PL51"/>
      <sheetName val="PHAN_XE_SUB_LHD)51"/>
      <sheetName val="ALL_MP51"/>
      <sheetName val="SET_PART51"/>
      <sheetName val="Sheet2_(2)51"/>
      <sheetName val="DATA_SHEET33"/>
      <sheetName val="checker_be+af34"/>
      <sheetName val="Ramp_up_cost30"/>
      <sheetName val="Short_Plan_33"/>
      <sheetName val="WIRE_B_YU_LINK30"/>
      <sheetName val="YAMA_RH_NEW_(2)12"/>
      <sheetName val="_D212"/>
      <sheetName val="DỮ_LIỆU12"/>
      <sheetName val="定期点検表(A3)_(2)13"/>
      <sheetName val="105_(1)13"/>
      <sheetName val="105_(2)13"/>
      <sheetName val="110_(1)13"/>
      <sheetName val="110_(2)13"/>
      <sheetName val="110_(3)13"/>
      <sheetName val="CAR_48852"/>
      <sheetName val="EQUIPMENT_LOKAL_PL52"/>
      <sheetName val="PHAN_XE_SUB_LHD)52"/>
      <sheetName val="ALL_MP52"/>
      <sheetName val="SET_PART52"/>
      <sheetName val="Sheet2_(2)52"/>
      <sheetName val="DATA_SHEET34"/>
      <sheetName val="checker_be+af35"/>
      <sheetName val="Ramp_up_cost31"/>
      <sheetName val="Short_Plan_34"/>
      <sheetName val="WIRE_B_YU_LINK31"/>
      <sheetName val="YAMA_RH_NEW_(2)13"/>
      <sheetName val="_D213"/>
      <sheetName val="DỮ_LIỆU13"/>
      <sheetName val="定期点検表(A3)_(2)14"/>
      <sheetName val="105_(1)14"/>
      <sheetName val="105_(2)14"/>
      <sheetName val="110_(1)14"/>
      <sheetName val="110_(2)14"/>
      <sheetName val="110_(3)14"/>
      <sheetName val="Toggle_Duplicate_Highlighting"/>
      <sheetName val="dongia_(2)"/>
      <sheetName val="THPDMoi__(2)"/>
      <sheetName val="t-h_HA_THE"/>
      <sheetName val="DON_GIA"/>
      <sheetName val="CHITIET_VL-NC"/>
      <sheetName val="CHITIET_VL-NC-TT_-1p"/>
      <sheetName val="TH_XL"/>
      <sheetName val="CHITIET_VL-NC-TT-3p"/>
      <sheetName val="Bia_TQT"/>
      <sheetName val="TONGKE3p_"/>
      <sheetName val="KPVC-BD_"/>
      <sheetName val="SPL_4-8-211"/>
      <sheetName val="Toggle_Duplicate_Highlighting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SPL_4-8-212"/>
      <sheetName val="Toggle_Duplicate_Highlighting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SPL_4-8-213"/>
      <sheetName val="Toggle_Duplicate_Highlighting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SPL_4-8-214"/>
      <sheetName val="Toggle_Duplicate_Highlighting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INVOICES"/>
      <sheetName val="RAW"/>
      <sheetName val="サンプルフォーマット"/>
      <sheetName val="3DOT THEO DL BARCOD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sheetData sheetId="84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サイズリスト"/>
      <sheetName val="サイズリスト (2)"/>
      <sheetName val="サイズリスト (3)"/>
      <sheetName val="サイズリスト (4)"/>
      <sheetName val="BMW RF"/>
      <sheetName val="負荷容量"/>
      <sheetName val="Sheet1"/>
      <sheetName val="Sheet2"/>
      <sheetName val="Sheet3"/>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Muda List (2)"/>
      <sheetName val="muda input"/>
      <sheetName val="Default"/>
      <sheetName val="Input Info P1"/>
      <sheetName val="ConceptB"/>
      <sheetName val="ConceptC"/>
      <sheetName val="Fixed_Asset"/>
      <sheetName val="Rent"/>
      <sheetName val="Other_Cost"/>
      <sheetName val="Nego"/>
      <sheetName val="Criteria"/>
      <sheetName val="System"/>
      <sheetName val="Words"/>
      <sheetName val="MYZK02"/>
      <sheetName val="instruction"/>
      <sheetName val="SAI"/>
      <sheetName val="Lead"/>
      <sheetName val="MASTER"/>
    </sheetNames>
    <sheetDataSet>
      <sheetData sheetId="0"/>
      <sheetData sheetId="1"/>
      <sheetData sheetId="2"/>
      <sheetData sheetId="3"/>
      <sheetData sheetId="4"/>
      <sheetData sheetId="5"/>
      <sheetData sheetId="6">
        <row r="16">
          <cell r="D16" t="str">
            <v>USD</v>
          </cell>
        </row>
      </sheetData>
      <sheetData sheetId="7"/>
      <sheetData sheetId="8"/>
      <sheetData sheetId="9"/>
      <sheetData sheetId="10"/>
      <sheetData sheetId="11"/>
      <sheetData sheetId="12">
        <row r="2">
          <cell r="A2" t="str">
            <v>xx03</v>
          </cell>
        </row>
        <row r="14">
          <cell r="A14" t="str">
            <v>STEP2(7-12)</v>
          </cell>
          <cell r="E14" t="str">
            <v>STEP2</v>
          </cell>
        </row>
        <row r="15">
          <cell r="A15" t="str">
            <v>STEP2(1-6)</v>
          </cell>
          <cell r="E15" t="str">
            <v>STEP4</v>
          </cell>
        </row>
        <row r="16">
          <cell r="A16" t="str">
            <v>STEP4(7-12)</v>
          </cell>
        </row>
        <row r="17">
          <cell r="A17" t="str">
            <v>STEP4(1-6)</v>
          </cell>
        </row>
        <row r="20">
          <cell r="A20" t="str">
            <v>P1::Production Direct</v>
          </cell>
        </row>
        <row r="21">
          <cell r="A21" t="str">
            <v>P2::Production Common</v>
          </cell>
        </row>
        <row r="22">
          <cell r="A22" t="str">
            <v>P3::Production Support</v>
          </cell>
        </row>
        <row r="23">
          <cell r="A23" t="str">
            <v>A1::General&amp;Administration</v>
          </cell>
        </row>
        <row r="24">
          <cell r="A24" t="str">
            <v>H1::Head Office Production Support</v>
          </cell>
        </row>
        <row r="25">
          <cell r="A25" t="str">
            <v>H2::Head Office General&amp;Administration</v>
          </cell>
        </row>
        <row r="28">
          <cell r="A28" t="str">
            <v>FIX::Fixed</v>
          </cell>
        </row>
        <row r="29">
          <cell r="A29" t="str">
            <v>VAR::Variable</v>
          </cell>
        </row>
        <row r="32">
          <cell r="A32" t="str">
            <v>EQP::Equipment</v>
          </cell>
        </row>
        <row r="33">
          <cell r="A33" t="str">
            <v>BLD::Building</v>
          </cell>
        </row>
        <row r="34">
          <cell r="A34" t="str">
            <v>OTH::Other</v>
          </cell>
        </row>
        <row r="37">
          <cell r="A37">
            <v>7</v>
          </cell>
        </row>
        <row r="38">
          <cell r="A38">
            <v>8</v>
          </cell>
        </row>
        <row r="39">
          <cell r="A39">
            <v>9</v>
          </cell>
        </row>
        <row r="40">
          <cell r="A40">
            <v>10</v>
          </cell>
        </row>
        <row r="41">
          <cell r="A41">
            <v>11</v>
          </cell>
        </row>
        <row r="42">
          <cell r="A42">
            <v>12</v>
          </cell>
          <cell r="C42" t="str">
            <v>English</v>
          </cell>
        </row>
        <row r="43">
          <cell r="A43">
            <v>1</v>
          </cell>
          <cell r="C43" t="str">
            <v>Japanese</v>
          </cell>
        </row>
        <row r="44">
          <cell r="A44">
            <v>2</v>
          </cell>
          <cell r="C44" t="str">
            <v>Chinese</v>
          </cell>
        </row>
        <row r="45">
          <cell r="A45">
            <v>3</v>
          </cell>
        </row>
        <row r="46">
          <cell r="A46">
            <v>4</v>
          </cell>
        </row>
        <row r="47">
          <cell r="A47">
            <v>5</v>
          </cell>
        </row>
        <row r="48">
          <cell r="A48">
            <v>6</v>
          </cell>
        </row>
        <row r="52">
          <cell r="C52" t="str">
            <v>RCR027::Insurance expense</v>
          </cell>
        </row>
        <row r="53">
          <cell r="C53" t="str">
            <v>RCR028::Warehouse expense</v>
          </cell>
        </row>
        <row r="54">
          <cell r="C54" t="str">
            <v>RCR029::Taxes &amp; public dues</v>
          </cell>
        </row>
        <row r="55">
          <cell r="C55" t="str">
            <v>RCR030::Other fixed costs</v>
          </cell>
        </row>
        <row r="56">
          <cell r="C56" t="str">
            <v>RCR035::License fee and others</v>
          </cell>
        </row>
        <row r="57">
          <cell r="C57" t="str">
            <v>RCR037::Research and development expense</v>
          </cell>
        </row>
        <row r="58">
          <cell r="C58" t="str">
            <v>RCR038::Wear and tear cost</v>
          </cell>
        </row>
        <row r="59">
          <cell r="C59" t="str">
            <v>RCR039::Repair and maintenance cost</v>
          </cell>
        </row>
        <row r="60">
          <cell r="C60" t="str">
            <v>RCR040::Freight cost</v>
          </cell>
        </row>
        <row r="61">
          <cell r="C61" t="str">
            <v>RCR041::Utility &amp; power expense</v>
          </cell>
        </row>
        <row r="62">
          <cell r="C62" t="str">
            <v>RCR042::Office supplies</v>
          </cell>
        </row>
        <row r="63">
          <cell r="C63" t="str">
            <v>RCR043::Other production costs</v>
          </cell>
        </row>
        <row r="124">
          <cell r="C124" t="str">
            <v>RPL025::Sales expense &amp; commission</v>
          </cell>
        </row>
        <row r="125">
          <cell r="C125" t="str">
            <v>RPL026::Transportation expense</v>
          </cell>
        </row>
        <row r="126">
          <cell r="C126" t="str">
            <v>RPL027::Packing &amp; warehouse expense</v>
          </cell>
        </row>
        <row r="127">
          <cell r="C127" t="str">
            <v>RPL030::Bad debt &amp; Prov. for doubtful accounts</v>
          </cell>
        </row>
        <row r="128">
          <cell r="C128" t="str">
            <v>RPL031::Claim expense &amp; warranty expense</v>
          </cell>
        </row>
        <row r="129">
          <cell r="C129" t="str">
            <v>RPL051::Other fixed expense</v>
          </cell>
        </row>
        <row r="130">
          <cell r="C130" t="str">
            <v>RPL053::Research and development expense</v>
          </cell>
        </row>
        <row r="131">
          <cell r="C131" t="str">
            <v>RPL058::Other G&amp;A expense</v>
          </cell>
        </row>
        <row r="184">
          <cell r="A184" t="str">
            <v>ALL::全体</v>
          </cell>
        </row>
        <row r="185">
          <cell r="A185" t="str">
            <v>SURPLUS::余剰</v>
          </cell>
        </row>
        <row r="186">
          <cell r="A186" t="str">
            <v>(01).EXP YC M011800::Toyota-Japan</v>
          </cell>
        </row>
        <row r="187">
          <cell r="A187" t="str">
            <v>(02).EXP YC M019900::Toyota:Others</v>
          </cell>
        </row>
        <row r="188">
          <cell r="A188" t="str">
            <v>(03).EXP YC M030200::Daihatsu-Japan</v>
          </cell>
        </row>
        <row r="189">
          <cell r="A189" t="str">
            <v>(04).EXP YC M039900::Daihatsu:Others</v>
          </cell>
        </row>
        <row r="190">
          <cell r="A190" t="str">
            <v>(05).EXP YC M100100::Suzuki-Japan</v>
          </cell>
        </row>
        <row r="191">
          <cell r="A191" t="str">
            <v>(06).EXP YC M999900::Others</v>
          </cell>
        </row>
        <row r="192">
          <cell r="A192" t="str">
            <v>(07).EXP YNA M130800::GMA</v>
          </cell>
        </row>
        <row r="193">
          <cell r="A193" t="str">
            <v>(08).EXP YEL M999900::Others</v>
          </cell>
        </row>
        <row r="194">
          <cell r="A194" t="str">
            <v>(09).EXP PNA M039900::Daihatsu:Others</v>
          </cell>
        </row>
        <row r="195">
          <cell r="A195" t="str">
            <v>(10).EXP TAPBF M010900::TMT: Toyota Motor Thailand Co., Ltd.</v>
          </cell>
        </row>
        <row r="196">
          <cell r="A196" t="str">
            <v>(11).DOM JAI M999900::Others</v>
          </cell>
        </row>
        <row r="197">
          <cell r="A197" t="str">
            <v>(12).DOM PASI M010800::TMMIN:PT. Toyota Motor Manuf. Indonesia</v>
          </cell>
        </row>
        <row r="198">
          <cell r="A198" t="str">
            <v>(13).DOM PASI M019900::Toyota:Others</v>
          </cell>
        </row>
        <row r="199">
          <cell r="A199" t="str">
            <v>(14).DOM PASI M020100::HMMI: PT. Hino Indonesia Manufacturing</v>
          </cell>
        </row>
        <row r="200">
          <cell r="A200" t="str">
            <v>(15).DOM PASI M029900::Hino:Others</v>
          </cell>
        </row>
        <row r="201">
          <cell r="A201" t="str">
            <v>(16).DOM PASI M030100::ADM: PT. Astra Daihatsu Motor</v>
          </cell>
        </row>
        <row r="202">
          <cell r="A202" t="str">
            <v>(17).DOM PASI M050100::IAMI: PT. Isuzu Astra Motor Indonesia</v>
          </cell>
        </row>
        <row r="203">
          <cell r="A203" t="str">
            <v>(18).DOM PASI M050600::MII: PT. Mesin Isuzu Indonesia</v>
          </cell>
        </row>
        <row r="204">
          <cell r="A204" t="str">
            <v>(19).DOM PASI M290100::UD Trucks::AMTI: PT. Astra Multi Trucks Indonesia</v>
          </cell>
        </row>
        <row r="205">
          <cell r="A205" t="str">
            <v>(20).DOM PASI M300500::NMI: PT. Nissan Motor Indonesia</v>
          </cell>
        </row>
        <row r="206">
          <cell r="A206" t="str">
            <v>(21).DOM PASI M999900::Others</v>
          </cell>
        </row>
        <row r="207">
          <cell r="A207" t="str">
            <v>(22).DOM PEMI M039900::Daihatsu:Others</v>
          </cell>
        </row>
        <row r="208">
          <cell r="A208" t="str">
            <v>(23).DOM SAI M999900::Others</v>
          </cell>
        </row>
        <row r="209">
          <cell r="A209" t="str">
            <v>(24).DOM SAMI M999900::Others</v>
          </cell>
        </row>
        <row r="210">
          <cell r="A210" t="str">
            <v>(25).DOM SUAI M010800::TMMIN:PT. Toyota Motor Manuf. Indonesia</v>
          </cell>
        </row>
        <row r="211">
          <cell r="A211" t="str">
            <v>(26).DOM SUAI M020100::HMMI: PT. Hino Indonesia Manufacturing</v>
          </cell>
        </row>
        <row r="212">
          <cell r="A212" t="str">
            <v>(27).DOM SUAI M030100::ADM: PT. Astra Daihatsu Motor</v>
          </cell>
        </row>
        <row r="213">
          <cell r="A213" t="str">
            <v>(28).DOM SUAI M079900::Mitsubishi:Others</v>
          </cell>
        </row>
        <row r="218">
          <cell r="A218" t="str">
            <v>ALL</v>
          </cell>
        </row>
        <row r="219">
          <cell r="A219" t="str">
            <v>STEP1</v>
          </cell>
        </row>
        <row r="220">
          <cell r="A220" t="str">
            <v>STEP2</v>
          </cell>
        </row>
        <row r="221">
          <cell r="A221" t="str">
            <v>STEP3</v>
          </cell>
        </row>
        <row r="222">
          <cell r="A222" t="str">
            <v>STEP4</v>
          </cell>
        </row>
        <row r="223">
          <cell r="A223" t="str">
            <v>(01).EXP YC M011800::Toyota-Japan</v>
          </cell>
        </row>
        <row r="224">
          <cell r="A224" t="str">
            <v>(02).EXP YC M019900::Toyota:Others</v>
          </cell>
        </row>
        <row r="225">
          <cell r="A225" t="str">
            <v>(03).EXP YC M030200::Daihatsu-Japan</v>
          </cell>
        </row>
        <row r="226">
          <cell r="A226" t="str">
            <v>(04).EXP YC M039900::Daihatsu:Others</v>
          </cell>
        </row>
        <row r="227">
          <cell r="A227" t="str">
            <v>(05).EXP YC M100100::Suzuki-Japan</v>
          </cell>
        </row>
        <row r="228">
          <cell r="A228" t="str">
            <v>(06).EXP YC M999900::Others</v>
          </cell>
        </row>
        <row r="229">
          <cell r="A229" t="str">
            <v>(07).EXP YNA M130800::GMA</v>
          </cell>
        </row>
        <row r="230">
          <cell r="A230" t="str">
            <v>(08).EXP YEL M999900::Others</v>
          </cell>
        </row>
        <row r="231">
          <cell r="A231" t="str">
            <v>(09).EXP PNA M039900::Daihatsu:Others</v>
          </cell>
        </row>
        <row r="232">
          <cell r="A232" t="str">
            <v>(10).EXP TAPBF M010900::TMT: Toyota Motor Thailand Co., Ltd.</v>
          </cell>
        </row>
        <row r="233">
          <cell r="A233" t="str">
            <v>(11).DOM JAI M999900::Others</v>
          </cell>
        </row>
        <row r="234">
          <cell r="A234" t="str">
            <v>(12).DOM PASI M010800::TMMIN:PT. Toyota Motor Manuf. Indonesia</v>
          </cell>
        </row>
        <row r="235">
          <cell r="A235" t="str">
            <v>(13).DOM PASI M019900::Toyota:Others</v>
          </cell>
        </row>
        <row r="236">
          <cell r="A236" t="str">
            <v>(14).DOM PASI M020100::HMMI: PT. Hino Indonesia Manufacturing</v>
          </cell>
        </row>
        <row r="237">
          <cell r="A237" t="str">
            <v>(15).DOM PASI M029900::Hino:Others</v>
          </cell>
        </row>
        <row r="238">
          <cell r="A238" t="str">
            <v>(16).DOM PASI M030100::ADM: PT. Astra Daihatsu Motor</v>
          </cell>
        </row>
        <row r="239">
          <cell r="A239" t="str">
            <v>(17).DOM PASI M050100::IAMI: PT. Isuzu Astra Motor Indonesia</v>
          </cell>
        </row>
        <row r="240">
          <cell r="A240" t="str">
            <v>(18).DOM PASI M050600::MII: PT. Mesin Isuzu Indonesia</v>
          </cell>
        </row>
        <row r="241">
          <cell r="A241" t="str">
            <v>(19).DOM PASI M290100::UD Trucks::AMTI: PT. Astra Multi Trucks Indonesia</v>
          </cell>
        </row>
        <row r="242">
          <cell r="A242" t="str">
            <v>(20).DOM PASI M300500::NMI: PT. Nissan Motor Indonesia</v>
          </cell>
        </row>
        <row r="243">
          <cell r="A243" t="str">
            <v>(21).DOM PASI M999900::Others</v>
          </cell>
        </row>
        <row r="244">
          <cell r="A244" t="str">
            <v>(22).DOM PEMI M039900::Daihatsu:Others</v>
          </cell>
        </row>
        <row r="245">
          <cell r="A245" t="str">
            <v>(23).DOM SAI M999900::Others</v>
          </cell>
        </row>
        <row r="246">
          <cell r="A246" t="str">
            <v>(24).DOM SAMI M999900::Others</v>
          </cell>
        </row>
        <row r="247">
          <cell r="A247" t="str">
            <v>(25).DOM SUAI M010800::TMMIN:PT. Toyota Motor Manuf. Indonesia</v>
          </cell>
        </row>
        <row r="248">
          <cell r="A248" t="str">
            <v>(26).DOM SUAI M020100::HMMI: PT. Hino Indonesia Manufacturing</v>
          </cell>
        </row>
        <row r="249">
          <cell r="A249" t="str">
            <v>(27).DOM SUAI M030100::ADM: PT. Astra Daihatsu Motor</v>
          </cell>
        </row>
        <row r="250">
          <cell r="A250" t="str">
            <v>(28).DOM SUAI M079900::Mitsubishi:Others</v>
          </cell>
        </row>
        <row r="251">
          <cell r="A251" t="str">
            <v>EXPDOM</v>
          </cell>
        </row>
        <row r="252">
          <cell r="A252" t="str">
            <v>TOTAL</v>
          </cell>
        </row>
        <row r="255">
          <cell r="A255" t="str">
            <v>B</v>
          </cell>
        </row>
        <row r="256">
          <cell r="A256" t="str">
            <v>C</v>
          </cell>
        </row>
      </sheetData>
      <sheetData sheetId="13">
        <row r="2">
          <cell r="E2" t="str">
            <v>Charge Setting Report</v>
          </cell>
        </row>
        <row r="3">
          <cell r="E3" t="str">
            <v>Display Language</v>
          </cell>
        </row>
        <row r="4">
          <cell r="E4" t="str">
            <v>Affiliate</v>
          </cell>
        </row>
        <row r="5">
          <cell r="E5" t="str">
            <v>Benchmark Period</v>
          </cell>
        </row>
        <row r="6">
          <cell r="E6" t="str">
            <v>Period</v>
          </cell>
        </row>
        <row r="7">
          <cell r="E7" t="str">
            <v>Monthly Currency Cd</v>
          </cell>
        </row>
        <row r="8">
          <cell r="E8" t="str">
            <v>ExchangeRt.(ThisTerm)</v>
          </cell>
        </row>
        <row r="9">
          <cell r="E9" t="str">
            <v>1.Prod.MH(H/Month)</v>
          </cell>
        </row>
        <row r="10">
          <cell r="E10" t="str">
            <v>2.In-CompanyProd.MH(H/Month)</v>
          </cell>
        </row>
        <row r="11">
          <cell r="E11" t="str">
            <v>3.Subcon.PreAssyMH(H/Month)</v>
          </cell>
        </row>
        <row r="12">
          <cell r="E12" t="str">
            <v>4.Subcon.FinAssyMH(H/Month)</v>
          </cell>
        </row>
        <row r="14">
          <cell r="E14" t="str">
            <v>5.Product Numbers(Pieces)</v>
          </cell>
        </row>
        <row r="15">
          <cell r="E15" t="str">
            <v>6.Production Area(Sq.m)</v>
          </cell>
        </row>
        <row r="16">
          <cell r="E16" t="str">
            <v>7.Total Headcount(Person)</v>
          </cell>
        </row>
        <row r="23">
          <cell r="E23" t="str">
            <v xml:space="preserve">FIX </v>
          </cell>
        </row>
        <row r="24">
          <cell r="E24" t="str">
            <v xml:space="preserve">VAR </v>
          </cell>
        </row>
        <row r="27">
          <cell r="E27" t="str">
            <v>Production Amount</v>
          </cell>
        </row>
        <row r="28">
          <cell r="E28" t="str">
            <v>Material Cost</v>
          </cell>
        </row>
        <row r="29">
          <cell r="E29" t="str">
            <v>Regular</v>
          </cell>
        </row>
        <row r="30">
          <cell r="E30" t="str">
            <v>Overtime</v>
          </cell>
        </row>
        <row r="31">
          <cell r="E31" t="str">
            <v>Pre-assembly</v>
          </cell>
        </row>
        <row r="32">
          <cell r="E32" t="str">
            <v>Final-assembly</v>
          </cell>
        </row>
        <row r="33">
          <cell r="E33" t="str">
            <v>Equipment</v>
          </cell>
        </row>
        <row r="34">
          <cell r="E34" t="str">
            <v>Building</v>
          </cell>
        </row>
        <row r="35">
          <cell r="E35" t="str">
            <v>Land</v>
          </cell>
        </row>
        <row r="36">
          <cell r="E36" t="str">
            <v>Other</v>
          </cell>
        </row>
        <row r="37">
          <cell r="E37" t="str">
            <v>P1. Production Direct</v>
          </cell>
        </row>
        <row r="38">
          <cell r="E38" t="str">
            <v>P2. Production Common</v>
          </cell>
        </row>
        <row r="39">
          <cell r="E39" t="str">
            <v>P3. Production Support</v>
          </cell>
        </row>
        <row r="40">
          <cell r="E40" t="str">
            <v>A1. General &amp; Administration</v>
          </cell>
        </row>
        <row r="42">
          <cell r="E42" t="str">
            <v>a. Labor Cost Indirect Worker</v>
          </cell>
        </row>
        <row r="43">
          <cell r="E43" t="str">
            <v>a. Labor Cost Production Support Division</v>
          </cell>
        </row>
        <row r="44">
          <cell r="E44" t="str">
            <v>a. Labor Cost General &amp; Admin Division</v>
          </cell>
        </row>
        <row r="45">
          <cell r="E45" t="str">
            <v>a1. Labor Cost Direct Worker</v>
          </cell>
        </row>
        <row r="46">
          <cell r="E46" t="str">
            <v>a2. Labor Cost Indirect Worker</v>
          </cell>
        </row>
        <row r="47">
          <cell r="E47" t="str">
            <v>b. Subcontract Cost</v>
          </cell>
        </row>
        <row r="48">
          <cell r="E48" t="str">
            <v>c. Depreciation Cost</v>
          </cell>
        </row>
        <row r="49">
          <cell r="E49" t="str">
            <v>d. Rent Expense</v>
          </cell>
        </row>
        <row r="50">
          <cell r="E50" t="str">
            <v>e. Other Cost</v>
          </cell>
        </row>
        <row r="51">
          <cell r="E51" t="str">
            <v>f. Royalty</v>
          </cell>
        </row>
        <row r="52">
          <cell r="E52" t="str">
            <v>COCOS Production Cost total</v>
          </cell>
        </row>
        <row r="53">
          <cell r="E53" t="str">
            <v>COCOS General &amp; Administration Cost total</v>
          </cell>
        </row>
        <row r="54">
          <cell r="E54" t="str">
            <v>COCOS Head Office(TAPO) Cost total</v>
          </cell>
        </row>
        <row r="55">
          <cell r="E55" t="str">
            <v>Total Cost (Without Indirect Materials, Packing Cost and Surplus)</v>
          </cell>
        </row>
        <row r="56">
          <cell r="E56" t="str">
            <v>Total Cost with Head Office(TAPO) Cost</v>
          </cell>
        </row>
        <row r="61">
          <cell r="E61" t="str">
            <v>Direct Productivity</v>
          </cell>
        </row>
        <row r="62">
          <cell r="E62" t="str">
            <v>Total Production Efficiency</v>
          </cell>
        </row>
        <row r="63">
          <cell r="E63" t="str">
            <v>Total Efficiency</v>
          </cell>
        </row>
        <row r="66">
          <cell r="E66" t="str">
            <v>Surplus</v>
          </cell>
        </row>
        <row r="67">
          <cell r="E67" t="str">
            <v>Operating Income (Reference)</v>
          </cell>
        </row>
        <row r="73">
          <cell r="E73" t="str">
            <v>CostPush/Rationalization</v>
          </cell>
        </row>
        <row r="74">
          <cell r="E74" t="str">
            <v>CostPush/MudaElimination</v>
          </cell>
        </row>
        <row r="76">
          <cell r="E76" t="str">
            <v>Result</v>
          </cell>
        </row>
        <row r="77">
          <cell r="E77" t="str">
            <v xml:space="preserve">CostPush(+) </v>
          </cell>
        </row>
        <row r="78">
          <cell r="E78" t="str">
            <v>Rationalization(-)</v>
          </cell>
        </row>
        <row r="79">
          <cell r="E79" t="str">
            <v>MudaElimination(-)</v>
          </cell>
        </row>
        <row r="80">
          <cell r="E80" t="str">
            <v>Cost</v>
          </cell>
        </row>
        <row r="81">
          <cell r="E81" t="str">
            <v>Cost/MH</v>
          </cell>
        </row>
        <row r="82">
          <cell r="E82" t="str">
            <v>Ratio</v>
          </cell>
        </row>
        <row r="83">
          <cell r="E83" t="str">
            <v>Extraordinary Factor</v>
          </cell>
        </row>
        <row r="86">
          <cell r="E86" t="str">
            <v>Direct Efficiency</v>
          </cell>
        </row>
        <row r="87">
          <cell r="E87" t="str">
            <v>Performance Ratio</v>
          </cell>
        </row>
        <row r="88">
          <cell r="E88" t="str">
            <v>Adjustment</v>
          </cell>
        </row>
        <row r="89">
          <cell r="E89" t="str">
            <v>Total Cost with Head Office(TAPO) Cost and Adjustment</v>
          </cell>
        </row>
        <row r="90">
          <cell r="E90" t="str">
            <v>(USD/Month)</v>
          </cell>
        </row>
        <row r="91">
          <cell r="E91" t="str">
            <v>(USD/H)</v>
          </cell>
        </row>
        <row r="94">
          <cell r="E94" t="str">
            <v>ExchangeRt.(NextTerm7-12)</v>
          </cell>
        </row>
        <row r="95">
          <cell r="E95" t="str">
            <v>ExchangeRt.(NextTerm1-6)</v>
          </cell>
        </row>
        <row r="96">
          <cell r="E96" t="str">
            <v>STEP1 Vol. applied</v>
          </cell>
        </row>
        <row r="97">
          <cell r="E97" t="str">
            <v>STEP2(7-12) Vol. applied</v>
          </cell>
        </row>
        <row r="98">
          <cell r="E98" t="str">
            <v>STEP2(1-6) Vol. applied</v>
          </cell>
        </row>
        <row r="99">
          <cell r="E99" t="str">
            <v>Operating Days (Day)</v>
          </cell>
        </row>
        <row r="100">
          <cell r="E100" t="str">
            <v>Operating Hours per day (H/Day)</v>
          </cell>
        </row>
        <row r="101">
          <cell r="E101" t="str">
            <v>Monthly Production Man-Hour (H/Month)</v>
          </cell>
        </row>
        <row r="102">
          <cell r="E102" t="str">
            <v>In-company</v>
          </cell>
        </row>
        <row r="103">
          <cell r="E103" t="str">
            <v>Subcon. Pre-Assembly</v>
          </cell>
        </row>
        <row r="104">
          <cell r="E104" t="str">
            <v>Subcon. Fin-Assembly</v>
          </cell>
        </row>
        <row r="105">
          <cell r="E105" t="str">
            <v>Total</v>
          </cell>
        </row>
        <row r="106">
          <cell r="E106" t="str">
            <v>Subcontractor Charge(USD/H)</v>
          </cell>
        </row>
        <row r="107">
          <cell r="E107" t="str">
            <v>Average Wage(USD/Month)</v>
          </cell>
        </row>
        <row r="108">
          <cell r="E108" t="str">
            <v>Overtime Hourly Rate(USD/H)</v>
          </cell>
        </row>
        <row r="109">
          <cell r="E109" t="str">
            <v>Efficiency(%)</v>
          </cell>
        </row>
        <row r="110">
          <cell r="E110" t="str">
            <v>Regular Headcount(Person)</v>
          </cell>
        </row>
        <row r="111">
          <cell r="E111" t="str">
            <v>Overtime Hours(H/Month)</v>
          </cell>
        </row>
        <row r="112">
          <cell r="E112" t="str">
            <v>Memo</v>
          </cell>
        </row>
        <row r="113">
          <cell r="E113" t="str">
            <v>P1.Prod.Direct a1.DirectWorker</v>
          </cell>
        </row>
        <row r="114">
          <cell r="E114" t="str">
            <v>P1.Prod.Direct a2.IndirectWorker</v>
          </cell>
        </row>
        <row r="115">
          <cell r="E115" t="str">
            <v>P2.Prod.Common</v>
          </cell>
        </row>
        <row r="116">
          <cell r="E116" t="str">
            <v>P3.Prod.Support</v>
          </cell>
        </row>
        <row r="117">
          <cell r="E117" t="str">
            <v>A1.General&amp;Admin.</v>
          </cell>
        </row>
        <row r="119">
          <cell r="E119" t="str">
            <v>Legend:</v>
          </cell>
        </row>
        <row r="121">
          <cell r="E121" t="str">
            <v>Total</v>
          </cell>
        </row>
        <row r="122">
          <cell r="E122" t="str">
            <v>PRODUCTION OVERVIEW</v>
          </cell>
        </row>
        <row r="123">
          <cell r="E123" t="str">
            <v>CHARGE DETAILS</v>
          </cell>
        </row>
        <row r="124">
          <cell r="E124" t="str">
            <v>LABOR INFORMATION</v>
          </cell>
        </row>
        <row r="125">
          <cell r="E125" t="str">
            <v>Attendance Hours/Regular Working Hours (%)</v>
          </cell>
        </row>
        <row r="126">
          <cell r="E126" t="str">
            <v>H1. Head Office(TAPO) Production Support</v>
          </cell>
        </row>
        <row r="127">
          <cell r="E127" t="str">
            <v>H2. Head Office(TAPO) General &amp; Administration</v>
          </cell>
        </row>
        <row r="128">
          <cell r="E128" t="str">
            <v>H1.Head Office(TAPO) Production Support</v>
          </cell>
        </row>
        <row r="129">
          <cell r="E129" t="str">
            <v>H2.Head Office(TAPO) General &amp; Administration</v>
          </cell>
        </row>
        <row r="130">
          <cell r="E130" t="str">
            <v>Other Cost Information</v>
          </cell>
        </row>
        <row r="131">
          <cell r="E131" t="str">
            <v>Fixed Asset Information</v>
          </cell>
        </row>
        <row r="132">
          <cell r="E132" t="str">
            <v>Rent Expense Information</v>
          </cell>
        </row>
        <row r="133">
          <cell r="E133" t="str">
            <v>User Input(Mandatory)</v>
          </cell>
        </row>
        <row r="134">
          <cell r="E134" t="str">
            <v>User Input (Recommended)</v>
          </cell>
        </row>
        <row r="135">
          <cell r="E135" t="str">
            <v>Reference</v>
          </cell>
        </row>
        <row r="136">
          <cell r="E136" t="str">
            <v>Indirect Activities by Directs (H/Month)</v>
          </cell>
        </row>
        <row r="137">
          <cell r="E137" t="str">
            <v>STEP/CARMAKER</v>
          </cell>
        </row>
        <row r="154">
          <cell r="E154" t="str">
            <v>Charge confirmation Sheet</v>
          </cell>
        </row>
        <row r="156">
          <cell r="E156" t="str">
            <v>Cost/Man-Hour[USD/H]</v>
          </cell>
        </row>
        <row r="157">
          <cell r="E157" t="str">
            <v>Regular</v>
          </cell>
        </row>
        <row r="158">
          <cell r="E158" t="str">
            <v>Overtime</v>
          </cell>
        </row>
        <row r="159">
          <cell r="E159" t="str">
            <v>FIX/VAR</v>
          </cell>
        </row>
        <row r="160">
          <cell r="E160" t="str">
            <v>FIX</v>
          </cell>
        </row>
        <row r="161">
          <cell r="E161" t="str">
            <v>VAR</v>
          </cell>
        </row>
        <row r="162">
          <cell r="E162" t="str">
            <v>Labor Cost</v>
          </cell>
        </row>
        <row r="163">
          <cell r="E163" t="str">
            <v>Subcontract Cost</v>
          </cell>
        </row>
        <row r="164">
          <cell r="E164" t="str">
            <v>Depreciation Cost</v>
          </cell>
        </row>
        <row r="165">
          <cell r="E165" t="str">
            <v>Rent Expense</v>
          </cell>
        </row>
        <row r="166">
          <cell r="E166" t="str">
            <v>Other Production Cost</v>
          </cell>
        </row>
        <row r="167">
          <cell r="E167" t="str">
            <v>Other General &amp; Administration Cost</v>
          </cell>
        </row>
        <row r="168">
          <cell r="E168" t="str">
            <v>Royalty</v>
          </cell>
        </row>
        <row r="169">
          <cell r="E169" t="str">
            <v>(*):Without Indirect Materials, Packing Cost and Surplus</v>
          </cell>
        </row>
        <row r="170">
          <cell r="E170" t="str">
            <v>Total Cost(*)</v>
          </cell>
        </row>
        <row r="171">
          <cell r="E171" t="str">
            <v>Production Man-Hour [H]</v>
          </cell>
        </row>
        <row r="172">
          <cell r="E172" t="str">
            <v>Concept to Adopt</v>
          </cell>
        </row>
        <row r="173">
          <cell r="E173" t="str">
            <v>Adjustment</v>
          </cell>
        </row>
        <row r="174">
          <cell r="E174" t="str">
            <v>Total cost after Adjustment</v>
          </cell>
        </row>
        <row r="175">
          <cell r="E175" t="str">
            <v>Other Cost</v>
          </cell>
        </row>
        <row r="176">
          <cell r="E176" t="str">
            <v>Term Average</v>
          </cell>
        </row>
        <row r="177">
          <cell r="E177" t="str">
            <v>Criteria</v>
          </cell>
        </row>
        <row r="178">
          <cell r="E178" t="str">
            <v>Factory</v>
          </cell>
        </row>
        <row r="179">
          <cell r="E179" t="str">
            <v>Year/Month</v>
          </cell>
        </row>
        <row r="180">
          <cell r="E180" t="str">
            <v>Last Uploaded Date</v>
          </cell>
        </row>
      </sheetData>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02"/>
      <sheetName val="ヒストグラム例付T2"/>
      <sheetName val="CH1"/>
      <sheetName val="CH2"/>
      <sheetName val="EX1"/>
      <sheetName val="TE1-2"/>
      <sheetName val="TE3"/>
      <sheetName val="TE4-5"/>
      <sheetName val="Short Plan "/>
      <sheetName val="电明"/>
      <sheetName val="RECALL"/>
      <sheetName val="DATA BASE"/>
      <sheetName val="SN951999"/>
      <sheetName val="INPUT-ATO"/>
      <sheetName val="Master Updated(517)"/>
      <sheetName val="社外ｸﾚｰﾑ報告書（暫定）"/>
      <sheetName val="Max Min"/>
      <sheetName val="共通"/>
      <sheetName val="05年"/>
      <sheetName val="REQUEST_TABLE"/>
      <sheetName val="Europe PU-1"/>
      <sheetName val="表紙(代表者)"/>
      <sheetName val="unitprice"/>
      <sheetName val="社外ｸﾚｰﾑ報告書（案）"/>
      <sheetName val="計算結果"/>
      <sheetName val="Sheet1"/>
      <sheetName val="Entity"/>
      <sheetName val="Scenario"/>
      <sheetName val="Custom2"/>
      <sheetName val="前工程の能率実績(NS)"/>
      <sheetName val="MOTO"/>
      <sheetName val="PROD-TF"/>
      <sheetName val="Drop Downs"/>
      <sheetName val="Affiliate List"/>
      <sheetName val="DAM. CON.  TIGER juni' 07"/>
      <sheetName val="List_Data"/>
      <sheetName val="Short_Plan_"/>
      <sheetName val="DATA_BASE"/>
      <sheetName val="Master_Updated(517)"/>
      <sheetName val="Max_Min"/>
      <sheetName val="Europe_PU-1"/>
      <sheetName val="R"/>
      <sheetName val="CF Quote EUR"/>
      <sheetName val="Overview"/>
      <sheetName val="Prices"/>
      <sheetName val="CA_result_LC"/>
      <sheetName val="Legenda"/>
      <sheetName val="Toggle Duplicate Highlighting"/>
      <sheetName val="Xuat"/>
      <sheetName val="DL"/>
      <sheetName val="Quality Update"/>
      <sheetName val="PASTE DU LIEU"/>
      <sheetName val="Nov.'02"/>
      <sheetName val="Short_Plan_1"/>
      <sheetName val="DATA_BASE1"/>
      <sheetName val="Master_Updated(517)1"/>
      <sheetName val="Max_Min1"/>
      <sheetName val="Europe_PU-11"/>
      <sheetName val="DAM__CON___TIGER_juni'_07"/>
      <sheetName val="Nov_'02"/>
      <sheetName val="Drop_Downs"/>
      <sheetName val="Affiliate_List"/>
      <sheetName val="B2 - V0923 "/>
      <sheetName val="gvl"/>
      <sheetName val="基準ｲﾝﾌﾟｯﾄ"/>
      <sheetName val="Short_Plan_2"/>
      <sheetName val="DATA_BASE2"/>
      <sheetName val="Master_Updated(517)2"/>
      <sheetName val="Max_Min2"/>
      <sheetName val="Europe_PU-12"/>
      <sheetName val="DAM__CON___TIGER_juni'_071"/>
      <sheetName val="Drop_Downs1"/>
      <sheetName val="Affiliate_List1"/>
      <sheetName val="Nov_'021"/>
      <sheetName val="Toggle_Duplicate_Highlighting"/>
      <sheetName val="Quality_Update"/>
      <sheetName val="PASTE_DU_LIEU"/>
      <sheetName val="B2_-_V0923_"/>
      <sheetName val="Short_Plan_3"/>
      <sheetName val="Sub set RHD taraf-SÜRE."/>
      <sheetName val="AB Mx"/>
      <sheetName val="FL Mx"/>
      <sheetName val="ÖM1 Mx"/>
      <sheetName val="ÖM2 Mx"/>
      <sheetName val="ÖM3 Mx"/>
      <sheetName val="ÖM4 Mx"/>
      <sheetName val="ÖM5 Mx"/>
      <sheetName val="Sheet2"/>
      <sheetName val="ÖM7 Mx"/>
      <sheetName val="ÖM8 Mx"/>
      <sheetName val="ÖM9 Mx"/>
      <sheetName val="ÖM10 Mx"/>
      <sheetName val="ÖM11 Mx"/>
      <sheetName val="ÖM12 Mx"/>
      <sheetName val="ÖM13 Mx"/>
      <sheetName val="ÖM14 LH Mtx"/>
      <sheetName val="ÖM15 Mx"/>
      <sheetName val="İlave İstasyon K100 Family"/>
      <sheetName val="İlave İstasyon K100 Family (2)"/>
      <sheetName val="ÖM4 Mx(yarım)"/>
      <sheetName val="ÖM5 Mx(yarım)"/>
      <sheetName val="ÖM12 Mx (2)"/>
      <sheetName val="ÖM13 Mx (2)"/>
      <sheetName val="wasurenbou data"/>
      <sheetName val="限界利益表(半期別)"/>
      <sheetName val="機種マスタ"/>
      <sheetName val="別紙①"/>
      <sheetName val="ctdg"/>
      <sheetName val="c.ca"/>
      <sheetName val="c.cb"/>
      <sheetName val="d2a"/>
      <sheetName val="E2"/>
      <sheetName val="T1b"/>
      <sheetName val="M1A"/>
      <sheetName val="T1a"/>
      <sheetName val="Name"/>
      <sheetName val="CC"/>
      <sheetName val="SALES"/>
      <sheetName val="Data"/>
      <sheetName val="Short_Plan_4"/>
      <sheetName val="MVMS target "/>
      <sheetName val="DATA_BASE3"/>
      <sheetName val="Master_Updated(517)3"/>
      <sheetName val="Max_Min3"/>
      <sheetName val="Europe_PU-13"/>
      <sheetName val="DATA_BASE4"/>
      <sheetName val="Master_Updated(517)4"/>
      <sheetName val="Max_Min4"/>
      <sheetName val="Europe_PU-14"/>
      <sheetName val="detail"/>
      <sheetName val="ORDER PN"/>
      <sheetName val="DAM__CON___TIGER_juni'_072"/>
      <sheetName val="Nov_'022"/>
      <sheetName val="Drop_Downs2"/>
      <sheetName val="Affiliate_List2"/>
      <sheetName val="Toggle_Duplicate_Highlighting1"/>
      <sheetName val="Quality_Update1"/>
      <sheetName val="PASTE_DU_LIEU1"/>
      <sheetName val="B2_-_V0923_1"/>
      <sheetName val="CF_Quote_EUR"/>
      <sheetName val="Sub_set_RHD_taraf-SÜRE_"/>
      <sheetName val="AB_Mx"/>
      <sheetName val="FL_Mx"/>
      <sheetName val="ÖM1_Mx"/>
      <sheetName val="ÖM2_Mx"/>
      <sheetName val="ÖM3_Mx"/>
      <sheetName val="ÖM4_Mx"/>
      <sheetName val="ÖM5_Mx"/>
      <sheetName val="ÖM7_Mx"/>
      <sheetName val="ÖM8_Mx"/>
      <sheetName val="ÖM9_Mx"/>
      <sheetName val="ÖM10_Mx"/>
      <sheetName val="ÖM11_Mx"/>
      <sheetName val="ÖM12_Mx"/>
      <sheetName val="ÖM13_Mx"/>
      <sheetName val="ÖM14_LH_Mtx"/>
      <sheetName val="ÖM15_Mx"/>
      <sheetName val="İlave_İstasyon_K100_Family"/>
      <sheetName val="İlave_İstasyon_K100_Family_(2)"/>
      <sheetName val="ÖM4_Mx(yarım)"/>
      <sheetName val="ÖM5_Mx(yarım)"/>
      <sheetName val="ÖM12_Mx_(2)"/>
      <sheetName val="ÖM13_Mx_(2)"/>
      <sheetName val="wasurenbou_data"/>
      <sheetName val="c_ca"/>
      <sheetName val="c_cb"/>
      <sheetName val="Short_Plan_5"/>
      <sheetName val="DATA_BASE5"/>
      <sheetName val="Master_Updated(517)5"/>
      <sheetName val="Max_Min5"/>
      <sheetName val="Europe_PU-15"/>
      <sheetName val="DAM__CON___TIGER_juni'_073"/>
      <sheetName val="Drop_Downs3"/>
      <sheetName val="Affiliate_List3"/>
      <sheetName val="Nov_'023"/>
      <sheetName val="Toggle_Duplicate_Highlighting2"/>
      <sheetName val="Quality_Update2"/>
      <sheetName val="PASTE_DU_LIEU2"/>
      <sheetName val="B2_-_V0923_2"/>
      <sheetName val="CF_Quote_EUR1"/>
      <sheetName val="Sub_set_RHD_taraf-SÜRE_1"/>
      <sheetName val="AB_Mx1"/>
      <sheetName val="FL_Mx1"/>
      <sheetName val="ÖM1_Mx1"/>
      <sheetName val="ÖM2_Mx1"/>
      <sheetName val="ÖM3_Mx1"/>
      <sheetName val="ÖM4_Mx1"/>
      <sheetName val="ÖM5_Mx1"/>
      <sheetName val="ÖM7_Mx1"/>
      <sheetName val="ÖM8_Mx1"/>
      <sheetName val="ÖM9_Mx1"/>
      <sheetName val="ÖM10_Mx1"/>
      <sheetName val="ÖM11_Mx1"/>
      <sheetName val="ÖM12_Mx1"/>
      <sheetName val="ÖM13_Mx1"/>
      <sheetName val="ÖM14_LH_Mtx1"/>
      <sheetName val="ÖM15_Mx1"/>
      <sheetName val="İlave_İstasyon_K100_Family1"/>
      <sheetName val="İlave_İstasyon_K100_Family_(2)1"/>
      <sheetName val="ÖM4_Mx(yarım)1"/>
      <sheetName val="ÖM5_Mx(yarım)1"/>
      <sheetName val="ÖM12_Mx_(2)1"/>
      <sheetName val="ÖM13_Mx_(2)1"/>
      <sheetName val="wasurenbou_data1"/>
      <sheetName val="c_ca1"/>
      <sheetName val="c_cb1"/>
      <sheetName val="ORDER_PN"/>
      <sheetName val="MVMS_target_"/>
      <sheetName val="Short_Plan_6"/>
      <sheetName val="DATA_BASE6"/>
      <sheetName val="Master_Updated(517)6"/>
      <sheetName val="Max_Min6"/>
      <sheetName val="Europe_PU-16"/>
      <sheetName val="DAM__CON___TIGER_juni'_074"/>
      <sheetName val="Drop_Downs4"/>
      <sheetName val="Affiliate_List4"/>
      <sheetName val="Nov_'024"/>
      <sheetName val="Toggle_Duplicate_Highlighting3"/>
      <sheetName val="Quality_Update3"/>
      <sheetName val="PASTE_DU_LIEU3"/>
      <sheetName val="B2_-_V0923_3"/>
      <sheetName val="CF_Quote_EUR2"/>
      <sheetName val="Sub_set_RHD_taraf-SÜRE_2"/>
      <sheetName val="AB_Mx2"/>
      <sheetName val="FL_Mx2"/>
      <sheetName val="ÖM1_Mx2"/>
      <sheetName val="ÖM2_Mx2"/>
      <sheetName val="ÖM3_Mx2"/>
      <sheetName val="ÖM4_Mx2"/>
      <sheetName val="ÖM5_Mx2"/>
      <sheetName val="ÖM7_Mx2"/>
      <sheetName val="ÖM8_Mx2"/>
      <sheetName val="ÖM9_Mx2"/>
      <sheetName val="ÖM10_Mx2"/>
      <sheetName val="ÖM11_Mx2"/>
      <sheetName val="ÖM12_Mx2"/>
      <sheetName val="ÖM13_Mx2"/>
      <sheetName val="ÖM14_LH_Mtx2"/>
      <sheetName val="ÖM15_Mx2"/>
      <sheetName val="İlave_İstasyon_K100_Family2"/>
      <sheetName val="İlave_İstasyon_K100_Family_(2)2"/>
      <sheetName val="ÖM4_Mx(yarım)2"/>
      <sheetName val="ÖM5_Mx(yarım)2"/>
      <sheetName val="ÖM12_Mx_(2)2"/>
      <sheetName val="ÖM13_Mx_(2)2"/>
      <sheetName val="wasurenbou_data2"/>
      <sheetName val="c_ca2"/>
      <sheetName val="c_cb2"/>
      <sheetName val="ORDER_PN1"/>
      <sheetName val="MVMS_target_1"/>
      <sheetName val="Short_Plan_7"/>
      <sheetName val="DATA_BASE7"/>
      <sheetName val="Master_Updated(517)7"/>
      <sheetName val="Max_Min7"/>
      <sheetName val="Europe_PU-17"/>
      <sheetName val="DAM__CON___TIGER_juni'_075"/>
      <sheetName val="Drop_Downs5"/>
      <sheetName val="Affiliate_List5"/>
      <sheetName val="Nov_'025"/>
      <sheetName val="Toggle_Duplicate_Highlighting4"/>
      <sheetName val="Quality_Update4"/>
      <sheetName val="PASTE_DU_LIEU4"/>
      <sheetName val="B2_-_V0923_4"/>
      <sheetName val="CF_Quote_EUR3"/>
      <sheetName val="Sub_set_RHD_taraf-SÜRE_3"/>
      <sheetName val="AB_Mx3"/>
      <sheetName val="FL_Mx3"/>
      <sheetName val="ÖM1_Mx3"/>
      <sheetName val="ÖM2_Mx3"/>
      <sheetName val="ÖM3_Mx3"/>
      <sheetName val="ÖM4_Mx3"/>
      <sheetName val="ÖM5_Mx3"/>
      <sheetName val="ÖM7_Mx3"/>
      <sheetName val="ÖM8_Mx3"/>
      <sheetName val="ÖM9_Mx3"/>
      <sheetName val="ÖM10_Mx3"/>
      <sheetName val="ÖM11_Mx3"/>
      <sheetName val="ÖM12_Mx3"/>
      <sheetName val="ÖM13_Mx3"/>
      <sheetName val="ÖM14_LH_Mtx3"/>
      <sheetName val="ÖM15_Mx3"/>
      <sheetName val="İlave_İstasyon_K100_Family3"/>
      <sheetName val="İlave_İstasyon_K100_Family_(2)3"/>
      <sheetName val="ÖM4_Mx(yarım)3"/>
      <sheetName val="ÖM5_Mx(yarım)3"/>
      <sheetName val="ÖM12_Mx_(2)3"/>
      <sheetName val="ÖM13_Mx_(2)3"/>
      <sheetName val="wasurenbou_data3"/>
      <sheetName val="c_ca3"/>
      <sheetName val="c_cb3"/>
      <sheetName val="ORDER_PN2"/>
      <sheetName val="MVMS_target_2"/>
      <sheetName val="Short_Plan_8"/>
      <sheetName val="DATA_BASE8"/>
      <sheetName val="Master_Updated(517)8"/>
      <sheetName val="Max_Min8"/>
      <sheetName val="Europe_PU-18"/>
      <sheetName val="DAM__CON___TIGER_juni'_076"/>
      <sheetName val="Nov_'026"/>
      <sheetName val="Drop_Downs6"/>
      <sheetName val="Affiliate_List6"/>
      <sheetName val="Toggle_Duplicate_Highlighting5"/>
      <sheetName val="Quality_Update5"/>
      <sheetName val="PASTE_DU_LIEU5"/>
      <sheetName val="B2_-_V0923_5"/>
      <sheetName val="CF_Quote_EUR4"/>
      <sheetName val="Sub_set_RHD_taraf-SÜRE_4"/>
      <sheetName val="AB_Mx4"/>
      <sheetName val="FL_Mx4"/>
      <sheetName val="ÖM1_Mx4"/>
      <sheetName val="ÖM2_Mx4"/>
      <sheetName val="ÖM3_Mx4"/>
      <sheetName val="ÖM4_Mx4"/>
      <sheetName val="ÖM5_Mx4"/>
      <sheetName val="ÖM7_Mx4"/>
      <sheetName val="ÖM8_Mx4"/>
      <sheetName val="ÖM9_Mx4"/>
      <sheetName val="ÖM10_Mx4"/>
      <sheetName val="ÖM11_Mx4"/>
      <sheetName val="ÖM12_Mx4"/>
      <sheetName val="ÖM13_Mx4"/>
      <sheetName val="ÖM14_LH_Mtx4"/>
      <sheetName val="ÖM15_Mx4"/>
      <sheetName val="İlave_İstasyon_K100_Family4"/>
      <sheetName val="İlave_İstasyon_K100_Family_(2)4"/>
      <sheetName val="ÖM4_Mx(yarım)4"/>
      <sheetName val="ÖM5_Mx(yarım)4"/>
      <sheetName val="ÖM12_Mx_(2)4"/>
      <sheetName val="ÖM13_Mx_(2)4"/>
      <sheetName val="wasurenbou_data4"/>
      <sheetName val="c_ca4"/>
      <sheetName val="c_cb4"/>
      <sheetName val="ORDER_PN3"/>
      <sheetName val="MVMS_target_3"/>
      <sheetName val="Short_Plan_9"/>
      <sheetName val="DATA_BASE9"/>
      <sheetName val="Master_Updated(517)9"/>
      <sheetName val="Max_Min9"/>
      <sheetName val="Europe_PU-19"/>
      <sheetName val="DAM__CON___TIGER_juni'_077"/>
      <sheetName val="Drop_Downs7"/>
      <sheetName val="Affiliate_List7"/>
      <sheetName val="Nov_'027"/>
      <sheetName val="Toggle_Duplicate_Highlighting6"/>
      <sheetName val="Quality_Update6"/>
      <sheetName val="PASTE_DU_LIEU6"/>
      <sheetName val="B2_-_V0923_6"/>
      <sheetName val="CF_Quote_EUR5"/>
      <sheetName val="Sub_set_RHD_taraf-SÜRE_5"/>
      <sheetName val="AB_Mx5"/>
      <sheetName val="FL_Mx5"/>
      <sheetName val="ÖM1_Mx5"/>
      <sheetName val="ÖM2_Mx5"/>
      <sheetName val="ÖM3_Mx5"/>
      <sheetName val="ÖM4_Mx5"/>
      <sheetName val="ÖM5_Mx5"/>
      <sheetName val="ÖM7_Mx5"/>
      <sheetName val="ÖM8_Mx5"/>
      <sheetName val="ÖM9_Mx5"/>
      <sheetName val="ÖM10_Mx5"/>
      <sheetName val="ÖM11_Mx5"/>
      <sheetName val="ÖM12_Mx5"/>
      <sheetName val="ÖM13_Mx5"/>
      <sheetName val="ÖM14_LH_Mtx5"/>
      <sheetName val="ÖM15_Mx5"/>
      <sheetName val="İlave_İstasyon_K100_Family5"/>
      <sheetName val="İlave_İstasyon_K100_Family_(2)5"/>
      <sheetName val="ÖM4_Mx(yarım)5"/>
      <sheetName val="ÖM5_Mx(yarım)5"/>
      <sheetName val="ÖM12_Mx_(2)5"/>
      <sheetName val="ÖM13_Mx_(2)5"/>
      <sheetName val="wasurenbou_data5"/>
      <sheetName val="c_ca5"/>
      <sheetName val="c_cb5"/>
      <sheetName val="ORDER_PN4"/>
      <sheetName val="MVMS_target_4"/>
      <sheetName val="Short_Plan_10"/>
      <sheetName val="DATA_BASE10"/>
      <sheetName val="Master_Updated(517)10"/>
      <sheetName val="Max_Min10"/>
      <sheetName val="Europe_PU-110"/>
      <sheetName val="BUYERS"/>
      <sheetName val="Status"/>
      <sheetName val="COMM VAN SR"/>
      <sheetName val="Du_lieu"/>
      <sheetName val="SYA SR"/>
      <sheetName val="DBシート"/>
      <sheetName val="Exchange Rates"/>
      <sheetName val="QuyUoc"/>
      <sheetName val="797T輸入部品リスト"/>
      <sheetName val="1- CHI TIET NGAY THUONG"/>
      <sheetName val="Short_Plan_11"/>
      <sheetName val="DATA_BASE11"/>
      <sheetName val="Master_Updated(517)11"/>
      <sheetName val="Max_Min11"/>
      <sheetName val="Europe_PU-111"/>
      <sheetName val="DAM__CON___TIGER_juni'_078"/>
      <sheetName val="Drop_Downs8"/>
      <sheetName val="Affiliate_List8"/>
      <sheetName val="Nov_'028"/>
      <sheetName val="Toggle_Duplicate_Highlighting7"/>
      <sheetName val="Quality_Update7"/>
      <sheetName val="PASTE_DU_LIEU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sheetData sheetId="122"/>
      <sheetData sheetId="123"/>
      <sheetData sheetId="124"/>
      <sheetData sheetId="125"/>
      <sheetData sheetId="126"/>
      <sheetData sheetId="127"/>
      <sheetData sheetId="128"/>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sheetData sheetId="394"/>
      <sheetData sheetId="395"/>
      <sheetData sheetId="396"/>
      <sheetData sheetId="397"/>
      <sheetData sheetId="398"/>
      <sheetData sheetId="399"/>
      <sheetData sheetId="400"/>
      <sheetData sheetId="401"/>
      <sheetData sheetId="40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画（概要）"/>
      <sheetName val="計画（総括）"/>
      <sheetName val="計画（明細）"/>
      <sheetName val="間材計算"/>
      <sheetName val="ﾙｰﾌﾞﾗｲﾄ"/>
      <sheetName val="外注計算"/>
      <sheetName val="雑給計算"/>
      <sheetName val="動力費"/>
      <sheetName val="荷造計算"/>
      <sheetName val="運賃計算"/>
      <sheetName val="倉庫基礎"/>
      <sheetName val="倉庫計算"/>
      <sheetName val="車費計算"/>
      <sheetName val="表紙"/>
      <sheetName val="生 産 部 門"/>
      <sheetName val="Summonth-SC"/>
      <sheetName val="Summonth"/>
      <sheetName val="Sheet3"/>
      <sheetName val="instruction"/>
      <sheetName val="L"/>
      <sheetName val="生_産_部_門"/>
      <sheetName val="リスト"/>
    </sheetNames>
    <sheetDataSet>
      <sheetData sheetId="0" refreshError="1"/>
      <sheetData sheetId="1" refreshError="1"/>
      <sheetData sheetId="2" refreshError="1"/>
      <sheetData sheetId="3" refreshError="1"/>
      <sheetData sheetId="4" refreshError="1"/>
      <sheetData sheetId="5" refreshError="1">
        <row r="5">
          <cell r="E5">
            <v>2221.1999999999998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RemoteViewSysMain"/>
      <sheetName val="Sales Report"/>
      <sheetName val="Description"/>
      <sheetName val="Sales_Report"/>
      <sheetName val="Sheet1"/>
    </sheetNames>
    <sheetDataSet>
      <sheetData sheetId="0" refreshError="1">
        <row r="3">
          <cell r="H3" t="str">
            <v>10.0.3</v>
          </cell>
        </row>
      </sheetData>
      <sheetData sheetId="1"/>
      <sheetData sheetId="2" refreshError="1"/>
      <sheetData sheetId="3"/>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ーカー検索"/>
      <sheetName val="送付"/>
      <sheetName val="ECRN2A"/>
      <sheetName val="VF38_北島(改)"/>
      <sheetName val="2.3陣UNIT"/>
      <sheetName val="CS（川崎）"/>
      <sheetName val="ECS管理表A"/>
      <sheetName val="配布先"/>
      <sheetName val="ENG  3陣 4陣"/>
      <sheetName val="プレス確認"/>
      <sheetName val="Fax"/>
      <sheetName val="2陣NEESﾚｽ"/>
      <sheetName val="2陣NEES付き"/>
      <sheetName val="協力企業一覧"/>
      <sheetName val="VF38  3陣 車両　TM"/>
      <sheetName val="VF38  4陣 車両　TM"/>
      <sheetName val="VF38＿豊和"/>
      <sheetName val="055豊和リスト"/>
      <sheetName val="VF38  豊和向ENG"/>
      <sheetName val="VF38  豊和向RrA"/>
      <sheetName val="コンベア5"/>
      <sheetName val="6 JUNI 2016 IN LINE "/>
      <sheetName val="_MIS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自動車部門"/>
      <sheetName val="グラフ"/>
      <sheetName val="Back data"/>
      <sheetName val="LIST"/>
      <sheetName val="為替推移"/>
      <sheetName val="外注計算"/>
      <sheetName val="SH_ENTITY"/>
      <sheetName val="SH_GROUP"/>
      <sheetName val="SH_ICP"/>
      <sheetName val="SH_PROFILE"/>
      <sheetName val="SH_PRODUCTS"/>
      <sheetName val="CVP -Berau"/>
      <sheetName val="CVP -Anggana"/>
      <sheetName val="Notes"/>
      <sheetName val="06上"/>
    </sheetNames>
    <sheetDataSet>
      <sheetData sheetId="0" refreshError="1"/>
      <sheetData sheetId="1" refreshError="1"/>
      <sheetData sheetId="2">
        <row r="47">
          <cell r="F47" t="str">
            <v>1月</v>
          </cell>
        </row>
      </sheetData>
      <sheetData sheetId="3">
        <row r="4">
          <cell r="A4" t="str">
            <v>AAPL</v>
          </cell>
        </row>
        <row r="5">
          <cell r="A5" t="str">
            <v>YTM_Group</v>
          </cell>
        </row>
        <row r="6">
          <cell r="A6" t="str">
            <v>EMI</v>
          </cell>
        </row>
        <row r="7">
          <cell r="A7" t="str">
            <v>TAP</v>
          </cell>
        </row>
        <row r="8">
          <cell r="A8" t="str">
            <v>YCP</v>
          </cell>
        </row>
        <row r="9">
          <cell r="A9" t="str">
            <v>YICAP</v>
          </cell>
        </row>
        <row r="10">
          <cell r="A10" t="str">
            <v>PASI</v>
          </cell>
        </row>
        <row r="11">
          <cell r="A11" t="str">
            <v>PEMI</v>
          </cell>
        </row>
        <row r="12">
          <cell r="A12" t="str">
            <v>SAI</v>
          </cell>
        </row>
        <row r="13">
          <cell r="A13" t="str">
            <v>SAMI</v>
          </cell>
        </row>
        <row r="14">
          <cell r="A14" t="str">
            <v>JAI</v>
          </cell>
        </row>
        <row r="15">
          <cell r="A15" t="str">
            <v>SUAI</v>
          </cell>
        </row>
        <row r="16">
          <cell r="A16" t="str">
            <v>YEV</v>
          </cell>
        </row>
        <row r="17">
          <cell r="A17" t="str">
            <v>YHV</v>
          </cell>
        </row>
        <row r="18">
          <cell r="A18" t="str">
            <v>TYA</v>
          </cell>
        </row>
        <row r="19">
          <cell r="A19" t="str">
            <v>YES</v>
          </cell>
        </row>
        <row r="20">
          <cell r="A20" t="str">
            <v>YTMC</v>
          </cell>
        </row>
        <row r="21">
          <cell r="A21" t="str">
            <v>PET</v>
          </cell>
        </row>
        <row r="22">
          <cell r="A22" t="str">
            <v>TYC</v>
          </cell>
        </row>
        <row r="23">
          <cell r="A23" t="str">
            <v>SYA</v>
          </cell>
        </row>
        <row r="24">
          <cell r="A24" t="str">
            <v>HNY</v>
          </cell>
        </row>
        <row r="25">
          <cell r="A25" t="str">
            <v>ZZY</v>
          </cell>
        </row>
        <row r="26">
          <cell r="A26" t="str">
            <v>TJY</v>
          </cell>
        </row>
        <row r="27">
          <cell r="A27" t="str">
            <v>YYA</v>
          </cell>
        </row>
        <row r="28">
          <cell r="A28" t="str">
            <v>FSY</v>
          </cell>
        </row>
        <row r="29">
          <cell r="A29" t="str">
            <v>HZY</v>
          </cell>
        </row>
        <row r="30">
          <cell r="A30" t="str">
            <v>XGY</v>
          </cell>
        </row>
        <row r="31">
          <cell r="A31" t="str">
            <v>NYH</v>
          </cell>
        </row>
        <row r="32">
          <cell r="A32" t="str">
            <v>CYM</v>
          </cell>
        </row>
        <row r="33">
          <cell r="A33" t="str">
            <v>SHY</v>
          </cell>
        </row>
        <row r="34">
          <cell r="A34" t="str">
            <v>YHK</v>
          </cell>
        </row>
        <row r="35">
          <cell r="A35" t="str">
            <v>YCIC</v>
          </cell>
        </row>
        <row r="36">
          <cell r="A36" t="str">
            <v>TYE</v>
          </cell>
        </row>
        <row r="37">
          <cell r="A37" t="str">
            <v>TMP</v>
          </cell>
        </row>
        <row r="38">
          <cell r="A38" t="str">
            <v>TYL</v>
          </cell>
        </row>
      </sheetData>
      <sheetData sheetId="4">
        <row r="4">
          <cell r="B4" t="str">
            <v>実計</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トピックス"/>
      <sheetName val="E52"/>
      <sheetName val="E46_330_Summer"/>
      <sheetName val="E46_330_AS"/>
      <sheetName val="E46_Thai"/>
      <sheetName val="E53_18_V"/>
      <sheetName val="E65_17_AS"/>
      <sheetName val="E65_18_AS"/>
      <sheetName val="E65_17_ｻﾏｰ"/>
      <sheetName val="E65_18_ｻﾏｰ"/>
      <sheetName val="Ｍ５"/>
      <sheetName val="Ｍ3"/>
      <sheetName val="E46_E_225 HSP"/>
      <sheetName val="E53_18_AS"/>
      <sheetName val="E53 18 AT"/>
      <sheetName val="E53 17 AS"/>
      <sheetName val="E53 17 AT"/>
      <sheetName val="CD132"/>
      <sheetName val="Ford RF"/>
      <sheetName val="Alfa937"/>
      <sheetName val="Skipton"/>
      <sheetName val="Lotus_Monza"/>
      <sheetName val="Opel_RF"/>
      <sheetName val="Opel_ULW"/>
      <sheetName val="GMX245"/>
      <sheetName val="Result"/>
      <sheetName val="LIST"/>
      <sheetName val="商品力向上"/>
      <sheetName val="Master Updated(51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単位表"/>
      <sheetName val="TH&amp;B2e&amp;EGN"/>
      <sheetName val="原単位表C最終報告資"/>
      <sheetName val="県別ﾏﾙﾁ"/>
      <sheetName val="MOTO"/>
      <sheetName val="W_LBOOK"/>
      <sheetName val="Sales"/>
      <sheetName val="094W原紙 "/>
      <sheetName val="[061Wｶｲｼｭ.XLSꁝ덮㐁ཤ表"/>
      <sheetName val="061Wｶｲｼｭ"/>
      <sheetName val="Installation"/>
      <sheetName val="原単位表ﾌﾄﾒ."/>
      <sheetName val="CMF"/>
      <sheetName val="MASTER"/>
      <sheetName val="部署別利用頻度0401"/>
      <sheetName val="フォーム2"/>
      <sheetName val="第１紙原紙"/>
      <sheetName val="第１紙原紙KGC"/>
      <sheetName val="第２紙原紙"/>
      <sheetName val="第３紙原紙"/>
      <sheetName val="第４紙ビット"/>
      <sheetName val="第５紙ビット"/>
      <sheetName val="フォーム1"/>
      <sheetName val="表紙"/>
      <sheetName val="ＣＡＭＹ　ＭⅢ"/>
      <sheetName val="パラメータ"/>
      <sheetName val="#0"/>
      <sheetName val="価格一覧表"/>
      <sheetName val="ＳＱＬ"/>
      <sheetName val="T_ＣＡＤ情報"/>
      <sheetName val="T_ORG"/>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定量化結果"/>
      <sheetName val="一覧１"/>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ﾃﾞｰﾀﾍﾞｰｽ"/>
      <sheetName val="工数集計"/>
      <sheetName val="設計通知書原紙"/>
      <sheetName val="MPL 技連"/>
      <sheetName val="342E BLOCK"/>
      <sheetName val="1"/>
      <sheetName val="Top22(GBP)"/>
      <sheetName val="全品番DETAILS-LOT"/>
      <sheetName val="生産コード一覧"/>
      <sheetName val="HPS Slit Coil (Centralia)"/>
      <sheetName val="内機"/>
      <sheetName val="Table"/>
      <sheetName val="総合B"/>
      <sheetName val="静ﾊﾟﾀﾝ分析"/>
      <sheetName val="段ﾎﾞｰﾙ箱図番･荷姿ｺｰﾄﾞ"/>
      <sheetName val="生涯利益計画ｼｰﾄ"/>
      <sheetName val="Sheet1"/>
      <sheetName val="FRT"/>
      <sheetName val="_061Wｶｲｼｭ.XLSꁝ덮㐁ཤ表"/>
      <sheetName val="HYO"/>
      <sheetName val="各種設定"/>
      <sheetName val="選択項目"/>
      <sheetName val="第２紙"/>
      <sheetName val="list"/>
      <sheetName val="システム記号リスト"/>
      <sheetName val="PL"/>
      <sheetName val="Color"/>
      <sheetName val="FLETES"/>
      <sheetName val="資繰"/>
      <sheetName val="ヘルプ"/>
      <sheetName val="車両ｽﾍﾟｯｸ表"/>
      <sheetName val="元データ"/>
      <sheetName val="原紙"/>
      <sheetName val="labcodes"/>
      <sheetName val="ﾊﾟｲﾌﾟ"/>
      <sheetName val="他材料費"/>
      <sheetName val="熱延鋼板"/>
      <sheetName val="冷延鋼板"/>
      <sheetName val="WIRE"/>
      <sheetName val="MM利益・原価企画方針書ｶｸ１"/>
      <sheetName val="３月ＫＤ"/>
      <sheetName val="工数海外比率"/>
      <sheetName val="差異詳細(インクルード)"/>
      <sheetName val="差異詳細(bm)"/>
      <sheetName val="差異詳細(jb2)"/>
      <sheetName val="差異詳細(jh)"/>
      <sheetName val="差異詳細(ji)"/>
      <sheetName val="差異詳細(jx)"/>
      <sheetName val="0P-1"/>
      <sheetName val="Mth"/>
      <sheetName val="Qtr"/>
      <sheetName val="Ladder Report (2)"/>
      <sheetName val="14. Staff Benefits"/>
      <sheetName val="カメラ"/>
      <sheetName val="设备分析资料表2"/>
      <sheetName val="15A"/>
      <sheetName val="ﾀﾞｲｵｰﾄﾞ変更"/>
      <sheetName val="ŽÔ—¼Ž¿—Êˆê——"/>
      <sheetName val="合格率"/>
      <sheetName val="Referent information"/>
      <sheetName val="①評価項目_メーカー"/>
      <sheetName val="Ka"/>
      <sheetName val="3???????"/>
      <sheetName val="ＭⅢ"/>
      <sheetName val="Req"/>
      <sheetName val="A"/>
      <sheetName val="PRENSAS 1"/>
      <sheetName val="???????"/>
      <sheetName val="SWS投資基準_計算"/>
      <sheetName val="094_APP別"/>
      <sheetName val="74上"/>
      <sheetName val="DATA"/>
      <sheetName val="原単位表ﾌﾄﾒ_"/>
      <sheetName val="金属スライド"/>
      <sheetName val="Summonth MP"/>
      <sheetName val="Summonth SC"/>
      <sheetName val="前提1-综合"/>
      <sheetName val="QC APPROVE SHEET"/>
      <sheetName val="7110"/>
      <sheetName val="Sheet2"/>
      <sheetName val="ATR KMH's"/>
      <sheetName val="ﾀﾘﾌ"/>
      <sheetName val="W_TEXT"/>
      <sheetName val="ヘッダ"/>
      <sheetName val="A-100전제"/>
      <sheetName val="データ"/>
      <sheetName val="[061Wｶｲｼｭ_XLSꁝ덮㐁ཤ表"/>
      <sheetName val="MPL_技連"/>
      <sheetName val="342E_BLOCK"/>
      <sheetName val="売上総益ﾃﾞｰﾀ"/>
      <sheetName val="2001USA Sales"/>
      <sheetName val="Lists"/>
      <sheetName val="SV5 Margins"/>
      <sheetName val="Format"/>
      <sheetName val="T_GetCar_Type_Code"/>
      <sheetName val="T_GetCustomer_Cd"/>
      <sheetName val="T_GetModel_No"/>
      <sheetName val="T_GetPProduct_No"/>
      <sheetName val="T_GetProduct_Line_Cd"/>
      <sheetName val="T_GetProduct_Site_Cd"/>
      <sheetName val="納品書"/>
      <sheetName val="ﾕｰｻﾞｰ設定"/>
      <sheetName val="Tabela"/>
      <sheetName val="部品構成82111"/>
      <sheetName val="DASH用係数"/>
      <sheetName val="800T Follow-up Data"/>
      <sheetName val="3_______"/>
      <sheetName val="_______"/>
      <sheetName val="国"/>
      <sheetName val="海"/>
      <sheetName val="Material Price"/>
      <sheetName val="Price list"/>
      <sheetName val="※ﾌﾟﾙﾀﾞｳﾝ用"/>
      <sheetName val="リスト類"/>
      <sheetName val="?????"/>
      <sheetName val="#REF"/>
      <sheetName val="Optional per Versione"/>
      <sheetName val="Jan26-Feb22PT"/>
      <sheetName val="Cust"/>
      <sheetName val="b`lx@lV"/>
      <sheetName val="Monthly"/>
      <sheetName val="①ﾌﾟﾙﾀﾞｳﾝﾘｽﾄ"/>
      <sheetName val="タブ用"/>
      <sheetName val="Hide-rev-lists"/>
      <sheetName val="CmpLes"/>
      <sheetName val="選択肢"/>
      <sheetName val="内売@設定資料0630"/>
      <sheetName val="3ｹ月機能"/>
      <sheetName val="図面台帳"/>
      <sheetName val="config_03"/>
      <sheetName val="RMB86"/>
      <sheetName val="ｺｽﾄ比較 (総括)"/>
      <sheetName val="MMCCommonFixRate"/>
      <sheetName val="ProductionFixed"/>
      <sheetName val="Read me first"/>
      <sheetName val="ESM ver2"/>
      <sheetName val="_RemoteViewSysMain"/>
      <sheetName val="Description"/>
      <sheetName val="検証確認シート"/>
      <sheetName val="MAT-IN"/>
      <sheetName val="【更新禁止】入力制御"/>
      <sheetName val="【更新禁止】マスタ制御"/>
      <sheetName val="品番情報"/>
      <sheetName val="選択用リスト、承認枠"/>
      <sheetName val="計画アイテム"/>
      <sheetName val="原単位表ﾌﾄﾒ_1"/>
      <sheetName val="HPS_Slit_Coil_(Centralia)"/>
      <sheetName val="_061Wｶｲｼｭ_XLSꁝ덮㐁ཤ表"/>
      <sheetName val="094W原紙_"/>
      <sheetName val="Ladder_Report_(2)"/>
      <sheetName val="14__Staff_Benefits"/>
      <sheetName val="Referent_information"/>
      <sheetName val="QC_APPROVE_SHEET"/>
      <sheetName val="PRENSAS_1"/>
      <sheetName val="不良項目"/>
      <sheetName val="[061Wｶｲｼｭ_XLSꁝ덮㐁ཤ表1"/>
      <sheetName val="MPL_技連1"/>
      <sheetName val="342E_BLOCK1"/>
      <sheetName val="ATR_KMH's"/>
      <sheetName val="SV5_Margins"/>
      <sheetName val="2001USA_Sales"/>
      <sheetName val="800T_Follow-up_Data"/>
      <sheetName val="_____"/>
      <sheetName val="config_00"/>
      <sheetName val="Basic information"/>
      <sheetName val="Price_list"/>
      <sheetName val="frm1"/>
      <sheetName val="T_排他"/>
      <sheetName val="T_事計品番"/>
      <sheetName val="T_事計品番読込"/>
      <sheetName val="Defect Item Master"/>
      <sheetName val="Sheet3"/>
      <sheetName val="ﾘｽﾄ"/>
      <sheetName val="T_GetMas_Hinban"/>
      <sheetName val="N(02a)"/>
      <sheetName val="T_GetOperating_Schedule"/>
      <sheetName val="pki"/>
      <sheetName val="person"/>
      <sheetName val="T_Car_Type_Code"/>
      <sheetName val="T_Haibun_Kbn"/>
      <sheetName val="T_Product_Site_Cd"/>
      <sheetName val="C"/>
      <sheetName val="Summary"/>
      <sheetName val="NWEA1180"/>
      <sheetName val="リスト"/>
      <sheetName val="压探针用治具其他"/>
      <sheetName val="尼龙带"/>
      <sheetName val="枠冶具"/>
      <sheetName val="金日FJK0508"/>
      <sheetName val="金日SDM-S0504"/>
      <sheetName val="出荷実績"/>
      <sheetName val="ﾃﾝﾌﾟﾚｰﾄ"/>
      <sheetName val="組立図板"/>
      <sheetName val="計算DATA"/>
      <sheetName val="集計結果詳細"/>
      <sheetName val="クエリ5"/>
      <sheetName val="５月購入実績"/>
      <sheetName val="BC01_Mpplan2"/>
      <sheetName val="frm2-1"/>
      <sheetName val="frm2-2"/>
      <sheetName val="frm3"/>
      <sheetName val="JUEVES 31"/>
      <sheetName val="MIERCOLES2"/>
      <sheetName val="VIERNES2"/>
      <sheetName val="JUEVES2"/>
      <sheetName val="LUNES2"/>
      <sheetName val="MARTES 29"/>
      <sheetName val="LUNES3"/>
      <sheetName val="MARTES3"/>
      <sheetName val="MIERCOLES3"/>
      <sheetName val="JUEVES3"/>
      <sheetName val="VIERNES3"/>
      <sheetName val="SEMANA"/>
      <sheetName val="MIERCOLES 30"/>
      <sheetName val="LUNES28"/>
      <sheetName val="MARTES2"/>
      <sheetName val="車種別損益表"/>
      <sheetName val="图2~3"/>
      <sheetName val="検証1"/>
      <sheetName val="検証489 "/>
      <sheetName val="ｺｽﾄ比較_(総括)"/>
      <sheetName val="月次概況"/>
      <sheetName val="MYZK02"/>
      <sheetName val="Basic_Information"/>
      <sheetName val="初期03"/>
      <sheetName val="北米3in1"/>
      <sheetName val="北米標準ｺﾝﾋﾞ"/>
      <sheetName val="週示0610"/>
      <sheetName val="Fixed Assets"/>
      <sheetName val="入力イメージ"/>
      <sheetName val="79期 計画（最終△1）"/>
      <sheetName val="管理統制費 "/>
      <sheetName val="矢崎購入"/>
      <sheetName val="内-榛原"/>
      <sheetName val="追加1"/>
      <sheetName val="追加2"/>
      <sheetName val="ｸﾘｱﾗﾝｽ算出(112-107)"/>
      <sheetName val="COVER明細"/>
      <sheetName val="Sheet22"/>
      <sheetName val="400L"/>
      <sheetName val="最新基準単価 "/>
      <sheetName val="金日HZR0505"/>
      <sheetName val="TB"/>
      <sheetName val="値引き効果額品番登録・照会"/>
      <sheetName val="J21KPL"/>
      <sheetName val="スコアカード (2)"/>
      <sheetName val="原単位表ﾌﾄﾒ_2"/>
      <sheetName val="_061Wｶｲｼｭ_XLSꁝ덮㐁ཤ表1"/>
      <sheetName val="HPS_Slit_Coil_(Centralia)1"/>
      <sheetName val="094W原紙_1"/>
      <sheetName val="14__Staff_Benefits1"/>
      <sheetName val="Ladder_Report_(2)1"/>
      <sheetName val="Referent_information1"/>
      <sheetName val="PRENSAS_11"/>
      <sheetName val="QC_APPROVE_SHEET1"/>
      <sheetName val="Material_Price"/>
      <sheetName val="Optional_per_Versione"/>
      <sheetName val="Defect_Item_Master"/>
      <sheetName val="[061Wｶｲｼｭ_XLSꁝ덮㐁ཤ表2"/>
      <sheetName val="MPL_技連2"/>
      <sheetName val="342E_BLOCK2"/>
      <sheetName val="ATR_KMH's1"/>
      <sheetName val="SV5_Margins1"/>
      <sheetName val="2001USA_Sales1"/>
      <sheetName val="800T_Follow-up_Data1"/>
      <sheetName val="説明資料1"/>
      <sheetName val="通常申請ﾌｫｰﾏｯﾄ"/>
      <sheetName val="説明資料3"/>
      <sheetName val="余剰データ"/>
      <sheetName val="Air申請"/>
      <sheetName val="Canada"/>
      <sheetName val="分析"/>
      <sheetName val="TEMPLATE"/>
      <sheetName val="SH_ENTITY"/>
      <sheetName val="SH_GROUP"/>
      <sheetName val="SH_ICP"/>
      <sheetName val="SH_PROFILE"/>
      <sheetName val="SH_PRODUCTS"/>
      <sheetName val=" D2"/>
      <sheetName val="生産日報"/>
      <sheetName val="frm5"/>
      <sheetName val="当月報告書"/>
      <sheetName val="ﾍﾞｰｽﾃﾞｰﾀ"/>
      <sheetName val="累計"/>
      <sheetName val="3発"/>
      <sheetName val="介護 月次報告"/>
      <sheetName val="農業 月次報告"/>
      <sheetName val="まとめ"/>
      <sheetName val="Production PLAN"/>
      <sheetName val="ASSY PLAN-ACTUAL"/>
      <sheetName val="Box-Bag-Opp"/>
      <sheetName val="Check Po"/>
      <sheetName val="sec."/>
      <sheetName val="Urgent plan"/>
      <sheetName val="Adjust CVR"/>
      <sheetName val="Time line"/>
      <sheetName val="CVR_14-May"/>
      <sheetName val="Plan repair part _CVR"/>
      <sheetName val="x Database"/>
      <sheetName val="Unit req list QIP-Dan"/>
      <sheetName val="Price_list1"/>
      <sheetName val="Summonth_MP"/>
      <sheetName val="Summonth_SC"/>
      <sheetName val="アルミ防食コスト試算"/>
      <sheetName val="採否比較金額"/>
      <sheetName val="評価比較件数"/>
      <sheetName val="引継data（内製）"/>
      <sheetName val="1-2.グラフ"/>
      <sheetName val="4-1.グラフ 19まで完成版"/>
      <sheetName val="_061Wｶｲｼｭ_XLSꁝ덮㐁ཤ表2"/>
      <sheetName val="CONTRACT NOTE"/>
      <sheetName val="条件表"/>
      <sheetName val="外観検査員の調査 (金森)"/>
      <sheetName val="AlbPrint"/>
      <sheetName val="検索･参照"/>
      <sheetName val="Production Database 399"/>
      <sheetName val="3.４Ｒ損益"/>
      <sheetName val="MIA2"/>
      <sheetName val="141-1"/>
      <sheetName val="Macro1"/>
      <sheetName val="整合後2021,12,24"/>
      <sheetName val="構想"/>
      <sheetName val="回路　表示用 "/>
      <sheetName val="回路　まとめ"/>
      <sheetName val="回路　750"/>
      <sheetName val="情報"/>
      <sheetName val="人工 "/>
      <sheetName val="設備"/>
      <sheetName val="人・設備能力"/>
      <sheetName val="㎡あたり工数、能率 (2)"/>
      <sheetName val="前工程旧レイアウト "/>
      <sheetName val="前工程新レイアウト"/>
      <sheetName val="134　レイアウト"/>
      <sheetName val="135レイアウト"/>
      <sheetName val="人工"/>
      <sheetName val="積上　10PL（サーミスタ端子挿入）T2"/>
      <sheetName val="積上　10PL（サーミスタ組立）T2 "/>
      <sheetName val="積上　10PL（コンベアー組立）T2 "/>
      <sheetName val="積上　10PL（VS端子挿入）T2 "/>
      <sheetName val="積上　10PL（導通検査）T2"/>
      <sheetName val="積上　10PL（サーミスタブサブ）U2"/>
      <sheetName val="積上　10PL（コンベアー組立導通検査）U2"/>
      <sheetName val="積上　10PL（VS端子挿入）U2 134"/>
      <sheetName val="積上　10PL（ファイナル検査）U2"/>
      <sheetName val="㎡あたり工数、能率"/>
      <sheetName val="生産構想図作り方流れ"/>
      <sheetName val="電線"/>
      <sheetName val="チューブ"/>
      <sheetName val="部品"/>
      <sheetName val="副資材"/>
      <sheetName val="新スケジュール"/>
      <sheetName val="99年度原単位"/>
      <sheetName val="ｺｽﾄ比較_(総括)1"/>
      <sheetName val="Read_me_first"/>
      <sheetName val="ESM_ver2"/>
      <sheetName val="JUEVES_31"/>
      <sheetName val="MARTES_29"/>
      <sheetName val="MIERCOLES_30"/>
      <sheetName val="検証489_"/>
      <sheetName val="Fixed_Assets"/>
      <sheetName val="79期_計画（最終△1）"/>
      <sheetName val="管理統制費_"/>
      <sheetName val="Price range IT"/>
      <sheetName val="2"/>
      <sheetName val="QA"/>
      <sheetName val="main"/>
      <sheetName val="長計対比"/>
      <sheetName val="BPCS Table"/>
      <sheetName val="Current Yr Int Sales"/>
      <sheetName val="1.実行"/>
      <sheetName val="2.原単位"/>
      <sheetName val="3.マスター"/>
      <sheetName val="4.Format"/>
      <sheetName val="5.構成分析シート"/>
      <sheetName val="8211116K00_00000"/>
      <sheetName val="8211116K10_00000"/>
      <sheetName val="8211116K20_00000"/>
      <sheetName val="8211116K30_00000"/>
      <sheetName val="8214116G60_00000"/>
      <sheetName val="8214116G70_00000"/>
      <sheetName val="8214116G80_00000"/>
      <sheetName val="8216116D90_00000"/>
      <sheetName val="8216116E00_00000"/>
      <sheetName val="Links"/>
      <sheetName val="KonSSPL"/>
      <sheetName val="khung ten TD"/>
      <sheetName val="SH_CARLINE"/>
      <sheetName val="SH_MAKER"/>
      <sheetName val="選択リスト"/>
      <sheetName val="ARA37"/>
      <sheetName val="月次データ"/>
      <sheetName val="１．InfoCube (YKCH0010)案１"/>
      <sheetName val="１．InfoCube (YKCH0010) 案２"/>
      <sheetName val="ESTABLISH"/>
      <sheetName val="検索条件メイク"/>
      <sheetName val="141"/>
      <sheetName val="amp_spr"/>
      <sheetName val="集計用"/>
      <sheetName val="094W原紙_2"/>
      <sheetName val="[061Wｶｲｼｭ_XLSꁝ덮㐁ཤ表3"/>
      <sheetName val="原単位表ﾌﾄﾒ_3"/>
      <sheetName val="MPL_技連3"/>
      <sheetName val="342E_BLOCK3"/>
      <sheetName val="HPS_Slit_Coil_(Centralia)2"/>
      <sheetName val="Ladder_Report_(2)2"/>
      <sheetName val="14__Staff_Benefits2"/>
      <sheetName val="Referent_information2"/>
      <sheetName val="PRENSAS_12"/>
      <sheetName val="QC_APPROVE_SHEET2"/>
      <sheetName val="ATR_KMH's2"/>
      <sheetName val="2001USA_Sales2"/>
      <sheetName val="SV5_Margins2"/>
      <sheetName val="800T_Follow-up_Data2"/>
      <sheetName val="Material_Price1"/>
      <sheetName val="Optional_per_Versione1"/>
      <sheetName val="Basic_information1"/>
      <sheetName val="Defect_Item_Master1"/>
      <sheetName val="最新基準単価_"/>
      <sheetName val="スコアカード_(2)"/>
      <sheetName val="介護_月次報告"/>
      <sheetName val="農業_月次報告"/>
      <sheetName val="_D2"/>
      <sheetName val="deta"/>
      <sheetName val="入力(正)"/>
      <sheetName val="q_for_r_04_20_in_source"/>
      <sheetName val="RK1"/>
      <sheetName val="C214 9306#25"/>
      <sheetName val="wms20.03.06"/>
      <sheetName val="StdHrs07.02.06"/>
      <sheetName val="Yaris 316W 23.03.2006"/>
      <sheetName val="301N見積検討"/>
      <sheetName val="従推"/>
      <sheetName val="印刷不要)P3受注量元データ"/>
      <sheetName val="JAN21"/>
      <sheetName val="??????"/>
      <sheetName val="解析まとめ"/>
      <sheetName val="sheet17"/>
      <sheetName val="Sheet 0"/>
      <sheetName val="Dictionary"/>
      <sheetName val="Sheet 4 VTL"/>
      <sheetName val="TBM"/>
      <sheetName val="DBシート"/>
      <sheetName val="_061Wｶｲｼｭ_XLSꁝ덮㐁ཤ表3"/>
      <sheetName val="Price_list2"/>
      <sheetName val="Summonth_MP1"/>
      <sheetName val="Summonth_SC1"/>
      <sheetName val="Unit_req_list_QIP-Dan"/>
      <sheetName val="Production_PLAN"/>
      <sheetName val="ASSY_PLAN-ACTUAL"/>
      <sheetName val="Check_Po"/>
      <sheetName val="sec_"/>
      <sheetName val="Urgent_plan"/>
      <sheetName val="Adjust_CVR"/>
      <sheetName val="Time_line"/>
      <sheetName val="Plan_repair_part__CVR"/>
      <sheetName val="x_Database"/>
      <sheetName val="外観検査員の調査_(金森)"/>
      <sheetName val="1-2_グラフ"/>
      <sheetName val="4-1_グラフ_19まで完成版"/>
      <sheetName val="集計"/>
      <sheetName val="Laendercodes"/>
      <sheetName val="comment"/>
      <sheetName val="45"/>
      <sheetName val="bs is"/>
      <sheetName val="admin exp."/>
      <sheetName val="Ecos(0+12)"/>
      <sheetName val="MC3(main)"/>
      <sheetName val="MC1"/>
      <sheetName val="インプット品番"/>
      <sheetName val="詳細情報"/>
      <sheetName val="JY134J"/>
      <sheetName val="国外所得"/>
      <sheetName val="Royalty-2004"/>
      <sheetName val="AVRV_MSSM"/>
      <sheetName val="590P追加"/>
      <sheetName val="T_銅ベースDrp"/>
      <sheetName val="ロス率"/>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p bul"/>
      <sheetName val="Jan rev"/>
      <sheetName val="Feb rev"/>
      <sheetName val="Mar rev"/>
      <sheetName val="April rev"/>
      <sheetName val="Mei rev"/>
      <sheetName val="Juni rev"/>
      <sheetName val="Juni rev (2)"/>
      <sheetName val="Juli rev"/>
      <sheetName val="Aug"/>
      <sheetName val="Sept'04"/>
      <sheetName val="Monthly OUTPUT&amp;DT"/>
      <sheetName val="Sheet1"/>
      <sheetName val="Mar"/>
      <sheetName val="Grafik"/>
      <sheetName val="1.Control Point"/>
      <sheetName val="MR"/>
      <sheetName val="COMBO_BOX"/>
      <sheetName val="S-PLAN"/>
      <sheetName val="KODE"/>
      <sheetName val="SDD"/>
      <sheetName val="2011"/>
      <sheetName val="Att.9"/>
      <sheetName val="前提"/>
      <sheetName val="010828"/>
      <sheetName val="Sheet3"/>
      <sheetName val="Loss Ratio &amp; Amount ($)"/>
      <sheetName val="Rev.Record"/>
      <sheetName val="Lap_bul"/>
      <sheetName val="Jan_rev"/>
      <sheetName val="Feb_rev"/>
      <sheetName val="Mar_rev"/>
      <sheetName val="April_rev"/>
      <sheetName val="Mei_rev"/>
      <sheetName val="Juni_rev"/>
      <sheetName val="Juni_rev_(2)"/>
      <sheetName val="Juli_rev"/>
      <sheetName val="Monthly_OUTPUT&amp;DT"/>
      <sheetName val="1_Control_Point"/>
      <sheetName val="Att_9"/>
      <sheetName val="Loss_Ratio_&amp;_Amount_($)"/>
      <sheetName val="国"/>
      <sheetName val="SUMMARY DOWNTIME"/>
      <sheetName val="PM-J"/>
      <sheetName val="DB FIELD DEFINITION"/>
      <sheetName val="ISS-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tion list"/>
      <sheetName val="list"/>
      <sheetName val="Data"/>
      <sheetName val="Instruction"/>
      <sheetName val="Analysis"/>
      <sheetName val="数値コピー"/>
      <sheetName val="SUAI 分析ツールA 75th_ver1 3 (3)"/>
      <sheetName val="SH_MAKER"/>
      <sheetName val="SH_ENTITY"/>
      <sheetName val="SH_GROUP"/>
      <sheetName val="SH_ICP"/>
      <sheetName val="SH_PROFILE"/>
      <sheetName val="SH_PRODUCTS"/>
      <sheetName val="GL RAW DATA"/>
      <sheetName val="A"/>
    </sheetNames>
    <sheetDataSet>
      <sheetData sheetId="0"/>
      <sheetData sheetId="1">
        <row r="4">
          <cell r="B4" t="str">
            <v>YNA</v>
          </cell>
          <cell r="F4" t="str">
            <v>July</v>
          </cell>
          <cell r="O4" t="str">
            <v>Affiliate Total</v>
          </cell>
          <cell r="R4" t="str">
            <v>PASI</v>
          </cell>
        </row>
        <row r="5">
          <cell r="B5" t="str">
            <v>YARMEX</v>
          </cell>
          <cell r="F5" t="str">
            <v>August</v>
          </cell>
          <cell r="O5" t="str">
            <v>W/H+B/C</v>
          </cell>
          <cell r="R5" t="str">
            <v>YICAP</v>
          </cell>
        </row>
        <row r="6">
          <cell r="B6" t="str">
            <v>AAMSA</v>
          </cell>
          <cell r="F6" t="str">
            <v>September</v>
          </cell>
          <cell r="O6" t="str">
            <v>Meter+Sensor</v>
          </cell>
          <cell r="R6" t="str">
            <v>YCIC</v>
          </cell>
        </row>
        <row r="7">
          <cell r="B7" t="str">
            <v>BAPSA</v>
          </cell>
          <cell r="F7" t="str">
            <v>October</v>
          </cell>
          <cell r="O7" t="str">
            <v>Comp. Total (incl. Adm.)</v>
          </cell>
        </row>
        <row r="8">
          <cell r="B8" t="str">
            <v>ARC_GROUP</v>
          </cell>
          <cell r="F8" t="str">
            <v>November</v>
          </cell>
          <cell r="O8" t="str">
            <v>Comp. Total</v>
          </cell>
        </row>
        <row r="9">
          <cell r="B9" t="str">
            <v>ARC WH Mexico</v>
          </cell>
          <cell r="F9" t="str">
            <v>December</v>
          </cell>
          <cell r="O9" t="str">
            <v>Electronics</v>
          </cell>
        </row>
        <row r="10">
          <cell r="B10" t="str">
            <v>ARC WH Nicaragua</v>
          </cell>
          <cell r="F10" t="str">
            <v>January</v>
          </cell>
          <cell r="O10" t="str">
            <v>J/B,R/B,F/B,others boxes</v>
          </cell>
        </row>
        <row r="11">
          <cell r="B11" t="str">
            <v>ARC WH El Salvador</v>
          </cell>
          <cell r="F11" t="str">
            <v>February</v>
          </cell>
          <cell r="O11" t="str">
            <v>Projected mold products</v>
          </cell>
        </row>
        <row r="12">
          <cell r="B12" t="str">
            <v>ARC WH TOTAL</v>
          </cell>
          <cell r="F12" t="str">
            <v>March</v>
          </cell>
          <cell r="O12" t="str">
            <v>Rubber products</v>
          </cell>
        </row>
        <row r="13">
          <cell r="B13" t="str">
            <v>ARC CB Mexico</v>
          </cell>
          <cell r="F13" t="str">
            <v>April</v>
          </cell>
          <cell r="O13" t="str">
            <v>Protectors</v>
          </cell>
        </row>
        <row r="14">
          <cell r="B14" t="str">
            <v>ARC CB Nicaragua</v>
          </cell>
          <cell r="F14" t="str">
            <v>May</v>
          </cell>
          <cell r="O14" t="str">
            <v>Tapes, Tubes</v>
          </cell>
        </row>
        <row r="15">
          <cell r="B15" t="str">
            <v>ARC CB TOTAL</v>
          </cell>
          <cell r="F15" t="str">
            <v>June</v>
          </cell>
          <cell r="O15" t="str">
            <v>Terminals</v>
          </cell>
        </row>
        <row r="16">
          <cell r="B16" t="str">
            <v>ARC IN Mexico</v>
          </cell>
          <cell r="O16" t="str">
            <v>Wire/Cable</v>
          </cell>
        </row>
        <row r="17">
          <cell r="B17" t="str">
            <v>YMS</v>
          </cell>
          <cell r="O17" t="str">
            <v>Other Component</v>
          </cell>
        </row>
        <row r="18">
          <cell r="B18" t="str">
            <v>YCSA</v>
          </cell>
          <cell r="O18" t="str">
            <v>計装</v>
          </cell>
        </row>
        <row r="19">
          <cell r="B19" t="str">
            <v>YAS</v>
          </cell>
          <cell r="O19" t="str">
            <v>EV Components</v>
          </cell>
        </row>
        <row r="20">
          <cell r="B20" t="str">
            <v>YUY</v>
          </cell>
          <cell r="O20" t="str">
            <v>D&amp;D（自動車）</v>
          </cell>
        </row>
        <row r="21">
          <cell r="B21" t="str">
            <v>YBL_GROUP</v>
          </cell>
          <cell r="O21" t="str">
            <v>生環部門</v>
          </cell>
        </row>
        <row r="22">
          <cell r="B22" t="str">
            <v>YAP-B</v>
          </cell>
          <cell r="O22" t="str">
            <v>Administration</v>
          </cell>
        </row>
        <row r="23">
          <cell r="B23" t="str">
            <v>CCC</v>
          </cell>
        </row>
        <row r="24">
          <cell r="B24" t="str">
            <v>ELCOM Group</v>
          </cell>
        </row>
        <row r="25">
          <cell r="B25" t="str">
            <v>YEL</v>
          </cell>
        </row>
        <row r="26">
          <cell r="B26" t="str">
            <v>YMO</v>
          </cell>
        </row>
        <row r="27">
          <cell r="B27" t="str">
            <v>YMK</v>
          </cell>
        </row>
        <row r="28">
          <cell r="B28" t="str">
            <v>YMM</v>
          </cell>
        </row>
        <row r="29">
          <cell r="B29" t="str">
            <v>YTU</v>
          </cell>
        </row>
        <row r="30">
          <cell r="B30" t="str">
            <v>YOT</v>
          </cell>
        </row>
        <row r="31">
          <cell r="B31" t="str">
            <v>YRL</v>
          </cell>
        </row>
        <row r="32">
          <cell r="B32" t="str">
            <v>YUL</v>
          </cell>
        </row>
        <row r="33">
          <cell r="B33" t="str">
            <v>YWT</v>
          </cell>
        </row>
        <row r="34">
          <cell r="B34" t="str">
            <v>YSE</v>
          </cell>
        </row>
        <row r="35">
          <cell r="B35" t="str">
            <v>YCT</v>
          </cell>
        </row>
        <row r="36">
          <cell r="B36" t="str">
            <v>YBE</v>
          </cell>
        </row>
        <row r="37">
          <cell r="B37" t="str">
            <v>YELI</v>
          </cell>
        </row>
        <row r="38">
          <cell r="B38" t="str">
            <v>YAP-P</v>
          </cell>
        </row>
        <row r="39">
          <cell r="B39" t="str">
            <v>YAP-T</v>
          </cell>
        </row>
        <row r="40">
          <cell r="B40" t="str">
            <v>AAPL</v>
          </cell>
        </row>
        <row r="41">
          <cell r="B41" t="str">
            <v>YTM_Group</v>
          </cell>
        </row>
        <row r="42">
          <cell r="B42" t="str">
            <v>EMI</v>
          </cell>
        </row>
        <row r="43">
          <cell r="B43" t="str">
            <v>TAP</v>
          </cell>
        </row>
        <row r="44">
          <cell r="B44" t="str">
            <v>YCP</v>
          </cell>
        </row>
        <row r="45">
          <cell r="B45" t="str">
            <v>YICAP</v>
          </cell>
        </row>
        <row r="46">
          <cell r="B46" t="str">
            <v>Indonesia_Group</v>
          </cell>
        </row>
        <row r="47">
          <cell r="B47" t="str">
            <v>PASI</v>
          </cell>
        </row>
        <row r="48">
          <cell r="B48" t="str">
            <v>PEMI</v>
          </cell>
        </row>
        <row r="49">
          <cell r="B49" t="str">
            <v>SAI</v>
          </cell>
        </row>
        <row r="50">
          <cell r="B50" t="str">
            <v>SAMI</v>
          </cell>
        </row>
        <row r="51">
          <cell r="B51" t="str">
            <v>JAI</v>
          </cell>
        </row>
        <row r="52">
          <cell r="B52" t="str">
            <v>SUAI</v>
          </cell>
        </row>
        <row r="53">
          <cell r="B53" t="str">
            <v>YEV</v>
          </cell>
        </row>
        <row r="54">
          <cell r="B54" t="str">
            <v>YHV</v>
          </cell>
        </row>
        <row r="55">
          <cell r="B55" t="str">
            <v>YIPL</v>
          </cell>
        </row>
        <row r="56">
          <cell r="B56" t="str">
            <v>YWTI</v>
          </cell>
        </row>
        <row r="57">
          <cell r="B57" t="str">
            <v>ASIA</v>
          </cell>
        </row>
        <row r="58">
          <cell r="B58" t="str">
            <v>YES</v>
          </cell>
        </row>
        <row r="59">
          <cell r="B59" t="str">
            <v>YTMC</v>
          </cell>
        </row>
        <row r="60">
          <cell r="B60" t="str">
            <v>PET</v>
          </cell>
        </row>
        <row r="61">
          <cell r="B61" t="str">
            <v>TYC</v>
          </cell>
        </row>
        <row r="62">
          <cell r="B62" t="str">
            <v>SYA</v>
          </cell>
        </row>
        <row r="63">
          <cell r="B63" t="str">
            <v>HNY</v>
          </cell>
        </row>
        <row r="64">
          <cell r="B64" t="str">
            <v>ZZY</v>
          </cell>
        </row>
        <row r="65">
          <cell r="B65" t="str">
            <v>TJY</v>
          </cell>
        </row>
        <row r="66">
          <cell r="B66" t="str">
            <v>YYA</v>
          </cell>
        </row>
        <row r="67">
          <cell r="B67" t="str">
            <v>FSY</v>
          </cell>
        </row>
        <row r="68">
          <cell r="B68" t="str">
            <v>XGY</v>
          </cell>
        </row>
        <row r="69">
          <cell r="B69" t="str">
            <v>NYH</v>
          </cell>
        </row>
        <row r="70">
          <cell r="B70" t="str">
            <v>HZY</v>
          </cell>
        </row>
        <row r="71">
          <cell r="B71" t="str">
            <v>CYM</v>
          </cell>
        </row>
        <row r="72">
          <cell r="B72" t="str">
            <v>SHY</v>
          </cell>
        </row>
        <row r="73">
          <cell r="B73" t="str">
            <v>YHK</v>
          </cell>
        </row>
        <row r="74">
          <cell r="B74" t="str">
            <v>YCIC</v>
          </cell>
        </row>
        <row r="75">
          <cell r="B75" t="str">
            <v>TYE</v>
          </cell>
        </row>
        <row r="76">
          <cell r="B76" t="str">
            <v>TMP</v>
          </cell>
        </row>
        <row r="77">
          <cell r="B77" t="str">
            <v>CYES</v>
          </cell>
        </row>
        <row r="78">
          <cell r="B78" t="str">
            <v>TYNS</v>
          </cell>
        </row>
        <row r="79">
          <cell r="B79" t="str">
            <v>YESI</v>
          </cell>
        </row>
        <row r="80">
          <cell r="B80" t="str">
            <v>YTCA</v>
          </cell>
        </row>
        <row r="81">
          <cell r="B81" t="str">
            <v>YII</v>
          </cell>
        </row>
        <row r="82">
          <cell r="B82" t="str">
            <v>YMC</v>
          </cell>
        </row>
        <row r="83">
          <cell r="B83" t="str">
            <v>YIC</v>
          </cell>
        </row>
        <row r="84">
          <cell r="B84" t="str">
            <v>TYL</v>
          </cell>
        </row>
        <row r="85">
          <cell r="B85" t="str">
            <v>YGP (USD)</v>
          </cell>
        </row>
        <row r="86">
          <cell r="B86" t="str">
            <v>---OLD---</v>
          </cell>
        </row>
        <row r="87">
          <cell r="B87" t="str">
            <v>YARMEX (USD)</v>
          </cell>
        </row>
        <row r="88">
          <cell r="B88" t="str">
            <v>YUY (UYU)</v>
          </cell>
        </row>
        <row r="89">
          <cell r="B89" t="str">
            <v>YIB</v>
          </cell>
        </row>
        <row r="90">
          <cell r="B90" t="str">
            <v>YIA</v>
          </cell>
        </row>
        <row r="91">
          <cell r="B91" t="str">
            <v>YSP</v>
          </cell>
        </row>
        <row r="92">
          <cell r="B92" t="str">
            <v>SINCOM</v>
          </cell>
        </row>
        <row r="93">
          <cell r="B93" t="str">
            <v>YICAP【old】</v>
          </cell>
        </row>
        <row r="94">
          <cell r="B94" t="str">
            <v>YCIC【old】</v>
          </cell>
        </row>
        <row r="95">
          <cell r="B95" t="str">
            <v>YGP (SGD)</v>
          </cell>
        </row>
        <row r="96">
          <cell r="B96" t="str">
            <v>Indonesia_Group【old】</v>
          </cell>
        </row>
        <row r="97">
          <cell r="B97" t="str">
            <v>PASI【old】</v>
          </cell>
        </row>
        <row r="98">
          <cell r="B98" t="str">
            <v>PEMI【old】</v>
          </cell>
        </row>
        <row r="99">
          <cell r="B99" t="str">
            <v>SAI【old】</v>
          </cell>
        </row>
        <row r="100">
          <cell r="B100" t="str">
            <v>SAMI【old】</v>
          </cell>
        </row>
        <row r="101">
          <cell r="B101" t="str">
            <v>JAI【old】</v>
          </cell>
        </row>
        <row r="102">
          <cell r="B102" t="str">
            <v>YSK</v>
          </cell>
        </row>
        <row r="103">
          <cell r="B103" t="str">
            <v>SYA-Detail</v>
          </cell>
        </row>
        <row r="104">
          <cell r="B104" t="str">
            <v>ZZY-Detail</v>
          </cell>
        </row>
        <row r="105">
          <cell r="B105" t="str">
            <v>YAP-Z</v>
          </cell>
        </row>
        <row r="106">
          <cell r="B106" t="str">
            <v>YES</v>
          </cell>
        </row>
        <row r="107">
          <cell r="B107" t="str">
            <v>ARC WH Mexico【old】</v>
          </cell>
        </row>
        <row r="108">
          <cell r="B108" t="str">
            <v>ARC WH Nicaragua【old】</v>
          </cell>
        </row>
        <row r="109">
          <cell r="B109" t="str">
            <v>ARC WH El Salvador【old】</v>
          </cell>
        </row>
        <row r="110">
          <cell r="B110" t="str">
            <v>ARC WH TOTAL【old】</v>
          </cell>
        </row>
        <row r="111">
          <cell r="B111" t="str">
            <v>ARC CB Mexico【old】</v>
          </cell>
        </row>
        <row r="112">
          <cell r="B112" t="str">
            <v>ARC CB Nicaragua【old】</v>
          </cell>
        </row>
        <row r="113">
          <cell r="B113" t="str">
            <v>ARC CB TOTAL【old】</v>
          </cell>
        </row>
        <row r="114">
          <cell r="B114" t="str">
            <v>ARC IN Mexico【old】</v>
          </cell>
        </row>
      </sheetData>
      <sheetData sheetId="2">
        <row r="2">
          <cell r="B2">
            <v>115</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CREDITOR"/>
      <sheetName val="DEBTOR"/>
      <sheetName val="TB"/>
      <sheetName val="ENTERTAINMENT"/>
      <sheetName val="STOCK"/>
      <sheetName val="GENERAL"/>
      <sheetName val="TRAVEL"/>
      <sheetName val="DELIVERY"/>
      <sheetName val="DEPOSIT"/>
      <sheetName val="STATEMENT"/>
      <sheetName val="PL"/>
      <sheetName val="MAINT-VEH"/>
      <sheetName val="DIX"/>
      <sheetName val="PROFIT"/>
      <sheetName val="PREPAY"/>
      <sheetName val="BS"/>
      <sheetName val="SI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pBul"/>
      <sheetName val="Jan"/>
      <sheetName val="Feb "/>
      <sheetName val="Mar"/>
      <sheetName val="April"/>
      <sheetName val="Mei"/>
      <sheetName val="Juni"/>
      <sheetName val="Mar rev"/>
      <sheetName val="Grafik"/>
      <sheetName val="5411.4"/>
      <sheetName val="1.Control Point"/>
      <sheetName val="OT"/>
      <sheetName val="CODE"/>
      <sheetName val="Sheet1"/>
      <sheetName val="KODE"/>
      <sheetName val="01 BSJ monthly"/>
      <sheetName val="Sheet3"/>
      <sheetName val="Supp.List"/>
      <sheetName val="Feb_"/>
      <sheetName val="Mar_rev"/>
      <sheetName val="5411_4"/>
      <sheetName val="1_Control_Point"/>
      <sheetName val="01_BSJ_monthly"/>
      <sheetName val="MOM"/>
      <sheetName val="国"/>
      <sheetName val="___(_)"/>
      <sheetName val="DB FIELD DEFINITION"/>
    </sheetNames>
    <sheetDataSet>
      <sheetData sheetId="0">
        <row r="4">
          <cell r="BO4">
            <v>511962.23845055467</v>
          </cell>
        </row>
      </sheetData>
      <sheetData sheetId="1"/>
      <sheetData sheetId="2"/>
      <sheetData sheetId="3" refreshError="1"/>
      <sheetData sheetId="4">
        <row r="4">
          <cell r="BO4">
            <v>511962.23845055467</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サイズリスト"/>
      <sheetName val="サイズリスト (2)"/>
      <sheetName val="サイズリスト (3)"/>
      <sheetName val="サイズリスト (4)"/>
      <sheetName val="Sheet1"/>
      <sheetName val="Sheet2"/>
      <sheetName val="Sheet3"/>
      <sheetName val="BMW RF"/>
      <sheetName val="負荷容量"/>
      <sheetName val="Word"/>
      <sheetName val="SH_MAKER"/>
      <sheetName val="Macro1"/>
      <sheetName val="定義"/>
      <sheetName val="Test of detail"/>
      <sheetName val="XREF"/>
      <sheetName val="集計ﾘｽﾄ"/>
      <sheetName val="配分案"/>
      <sheetName val="クエリ10"/>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報告№②ー１"/>
      <sheetName val="報告№②－２"/>
      <sheetName val="報告№②－３"/>
      <sheetName val="報告№②－４"/>
      <sheetName val="報告№③"/>
      <sheetName val="報告№③－１"/>
      <sheetName val="報告№③－２"/>
      <sheetName val="報告№③－３"/>
      <sheetName val="報告№④"/>
      <sheetName val="報告№⑤"/>
      <sheetName val="報告№⑥－１"/>
      <sheetName val="報告№⑥－２"/>
      <sheetName val="報告№⑥－３"/>
      <sheetName val="報告№⑦"/>
      <sheetName val="報告№⑧"/>
      <sheetName val="設備"/>
      <sheetName val="Policy Target &amp; Result 1"/>
      <sheetName val="总切断数据"/>
      <sheetName val="穿栓"/>
      <sheetName val="497W熔着线"/>
      <sheetName val="447W熔着线"/>
      <sheetName val="ボンダー仕掛けデータ line 1"/>
      <sheetName val="14mmQfup"/>
      <sheetName val="過不足ﾏﾄﾒ"/>
      <sheetName val="ﾊﾞﾙﾌﾞﾘｰｸ"/>
      <sheetName val="89"/>
      <sheetName val="Europe PU-1"/>
      <sheetName val="损益计算成行"/>
      <sheetName val="收益改善分向别"/>
      <sheetName val="日本向经费"/>
      <sheetName val="制造外 收益 费用"/>
      <sheetName val="生产工数"/>
      <sheetName val="出荷工数"/>
      <sheetName val="台湾向经费 "/>
      <sheetName val="国内向经费"/>
      <sheetName val="收益改善 三个向别合计"/>
      <sheetName val="B1．（课长、系长管理）部门别周间管理表"/>
      <sheetName val="sheet17"/>
      <sheetName val="Sheet1"/>
      <sheetName val="後工程分析"/>
      <sheetName val="９月２６日対応"/>
      <sheetName val="SRP FH"/>
      <sheetName val="Profit"/>
      <sheetName val="UK allocations"/>
      <sheetName val="M"/>
      <sheetName val="PRE"/>
      <sheetName val="【Input】見積基礎情報（海外生産分)"/>
      <sheetName val="基準ｲﾝﾌﾟｯﾄ"/>
      <sheetName val="国"/>
      <sheetName val="海"/>
      <sheetName val="班部番別"/>
      <sheetName val="16R構造寸法"/>
      <sheetName val="??????"/>
      <sheetName val="Rev. 2"/>
      <sheetName val="Rev. 4"/>
      <sheetName val="oktober"/>
      <sheetName val="MAT-IN"/>
      <sheetName val="採算"/>
      <sheetName val="投資･工数推移"/>
      <sheetName val="Stock_Nov05"/>
      <sheetName val="PRตัวเลือก"/>
      <sheetName val="リスト"/>
      <sheetName val="リストBOX"/>
      <sheetName val="Policy_Target_&amp;_Result_1"/>
      <sheetName val="ボンダー仕掛けデータ_line_1"/>
      <sheetName val="Europe_PU-1"/>
      <sheetName val="制造外_收益_费用"/>
      <sheetName val="台湾向经费_"/>
      <sheetName val="收益改善_三个向别合计"/>
      <sheetName val="SRP_FH"/>
      <sheetName val="UK_allocations"/>
      <sheetName val="Rev__2"/>
      <sheetName val="Rev__4"/>
      <sheetName val="SCRAP"/>
      <sheetName val="入力イメージ"/>
      <sheetName val="科目一覧"/>
      <sheetName val="科目・車種メーカー一覧"/>
      <sheetName val="Wire color"/>
      <sheetName val="Pre-Assy Productin Flow"/>
      <sheetName val="Final-Assy Production Flow"/>
      <sheetName val="Production Condition"/>
      <sheetName val="Circuit Configuration "/>
      <sheetName val="Pre-Assy MP"/>
      <sheetName val="Final-Assy MP"/>
      <sheetName val="Specification"/>
      <sheetName val="Production transfer "/>
      <sheetName val="Machine"/>
      <sheetName val="Pre-Assy analysis"/>
      <sheetName val="Final-Assy analysis"/>
      <sheetName val="Revision Record 1"/>
      <sheetName val="GUM"/>
      <sheetName val="GUM Allocation"/>
      <sheetName val="821211G480-00000"/>
      <sheetName val="Sheet2"/>
      <sheetName val="報告№②ー１ ྨ_x0000__x0000_@_x0000__x0000__x0000__x0000__x0000__x0000__x0000__x0000_ೖ$_x0000__x0000__x0000__x0000__x0000__x0000__x0000__x0000_"/>
      <sheetName val="ERM TW NEW ANALYSIS  "/>
      <sheetName val="______"/>
      <sheetName val="detail"/>
      <sheetName val="別紙「牧之原」"/>
      <sheetName val="33-11"/>
      <sheetName val="HIB_集計"/>
      <sheetName val="33-10"/>
      <sheetName val="33-09"/>
      <sheetName val="33-08"/>
      <sheetName val="33-07"/>
      <sheetName val="33-06"/>
      <sheetName val="33-05"/>
      <sheetName val="33-04"/>
      <sheetName val="労務費"/>
      <sheetName val="報告№②ー１ ྨ_x005f_x0000__x005f_x0000_@_x005f_x0000__"/>
      <sheetName val="ctdg"/>
      <sheetName val="売上高表(半期別)"/>
      <sheetName val="TBP350A"/>
      <sheetName val="大日程計算"/>
      <sheetName val="計算6"/>
      <sheetName val="KH-Q1,Q2,01"/>
      <sheetName val="報告№②ー１ ྨ"/>
      <sheetName val="ボンダー仕掛けデータ_line_11"/>
      <sheetName val="Europe_PU-11"/>
      <sheetName val="制造外_收益_费用1"/>
      <sheetName val="台湾向经费_1"/>
      <sheetName val="收益改善_三个向别合计1"/>
      <sheetName val="Policy_Target_&amp;_Result_11"/>
      <sheetName val="UK_allocations1"/>
      <sheetName val="Rev__21"/>
      <sheetName val="SRP_FH1"/>
      <sheetName val="Rev__41"/>
      <sheetName val="Wire_color"/>
      <sheetName val="Pre-Assy_Productin_Flow"/>
      <sheetName val="Final-Assy_Production_Flow"/>
      <sheetName val="Production_Condition"/>
      <sheetName val="Circuit_Configuration_"/>
      <sheetName val="Pre-Assy_MP"/>
      <sheetName val="Final-Assy_MP"/>
      <sheetName val="Production_transfer_"/>
      <sheetName val="Pre-Assy_analysis"/>
      <sheetName val="Final-Assy_analysis"/>
      <sheetName val="Revision_Record_1"/>
      <sheetName val="GUM_Allocation"/>
      <sheetName val="報告№②ー１_ྨ@ೖ$"/>
      <sheetName val="DTCT"/>
      <sheetName val="INVOICE"/>
      <sheetName val="工程導入アイテム一覧 (2)"/>
      <sheetName val="接圧確認治具一覧"/>
      <sheetName val="ベンドアップ治具使用一覧"/>
      <sheetName val="組合せLA治具使用一覧"/>
      <sheetName val="アライメントゲージ使用一覧"/>
      <sheetName val="抜き治具一覧"/>
      <sheetName val="シングル圧着組合せ一覧"/>
      <sheetName val="ダブリ圧着組合せ一覧"/>
      <sheetName val="③SSC(T60RH)"/>
      <sheetName val="③SSC（T60LH)"/>
      <sheetName val="③SSC(T50RH)"/>
      <sheetName val="③JIG（T60RH)"/>
      <sheetName val="③JIG（T60LH)"/>
      <sheetName val="③JIG(T50RH)"/>
      <sheetName val="③GROMMET"/>
      <sheetName val="③CLIP（T60RH)"/>
      <sheetName val="③CLIP（T60LH)"/>
      <sheetName val="④CLIP（T50RH）"/>
      <sheetName val="⑤CC1(T60LH)"/>
      <sheetName val="⑤CC1(T60RH)"/>
      <sheetName val="⑤CC1(T50RH)"/>
      <sheetName val="⑥Fin.（T50RH)"/>
      <sheetName val="③FIN(T60RH)"/>
      <sheetName val="③FIN（T60LH)"/>
      <sheetName val="⑦CC2(T50RH) "/>
      <sheetName val="⑤CC2(T60LH)"/>
      <sheetName val="⑤CC2(T60RH)"/>
      <sheetName val="YC-D"/>
      <sheetName val="CB100"/>
      <sheetName val="FU10"/>
      <sheetName val="RA40"/>
      <sheetName val="別紙 HW31"/>
      <sheetName val="別紙 WK13"/>
      <sheetName val="別紙_MK10"/>
      <sheetName val="別紙_MK30"/>
      <sheetName val="別紙_BB50"/>
      <sheetName val="別紙_PF70"/>
      <sheetName val="別紙_GW11 12_WP81 82 WP91 92"/>
      <sheetName val="別紙_UP31"/>
      <sheetName val="別紙_CJ20"/>
      <sheetName val="別紙_CAB1"/>
      <sheetName val="別紙_9-X10C"/>
      <sheetName val="別紙__9-X10J"/>
      <sheetName val="アプリ"/>
      <sheetName val="SINGLE CRIMP  ANALYSIS"/>
      <sheetName val="FINAL ANALYSIS"/>
      <sheetName val="Result"/>
      <sheetName val="TOTAL"/>
      <sheetName val="TOTAL-PRE"/>
      <sheetName val="Khai bao dau vao"/>
      <sheetName val="ｲﾝﾄﾞﾈｼｱ"/>
      <sheetName val="Supp.List"/>
      <sheetName val="設備点検基準書"/>
      <sheetName val="点検前"/>
      <sheetName val="シリーズ対応表"/>
      <sheetName val="日常点検表"/>
      <sheetName val="定期点検表"/>
      <sheetName val="日1"/>
      <sheetName val="日2"/>
      <sheetName val="日3"/>
      <sheetName val="日4"/>
      <sheetName val="定1"/>
      <sheetName val="定2"/>
      <sheetName val="定3"/>
      <sheetName val="定4"/>
      <sheetName val="定5"/>
      <sheetName val="定6"/>
      <sheetName val="定7"/>
      <sheetName val="定8"/>
      <sheetName val="定9"/>
      <sheetName val="定10"/>
      <sheetName val="定11"/>
      <sheetName val="定12"/>
      <sheetName val="表紙(代表者)"/>
      <sheetName val="ﾊﾟｲﾌﾟ"/>
      <sheetName val="他材料費"/>
      <sheetName val="熱延鋼板"/>
      <sheetName val="冷延鋼板"/>
      <sheetName val="週金額資料庫"/>
      <sheetName val="屏蔽线 高速"/>
      <sheetName val="12.経営環境費用"/>
      <sheetName val="List"/>
      <sheetName val="1.81期実績+見通し"/>
      <sheetName val="機能リスト"/>
      <sheetName val="MGA-05-03"/>
      <sheetName val="ﾄﾖﾀUNIT"/>
      <sheetName val="dongia (2)"/>
      <sheetName val="giathanh1"/>
      <sheetName val="CTdongia"/>
      <sheetName val="工数データ"/>
      <sheetName val="3"/>
      <sheetName val=" D2"/>
      <sheetName val="3DOT THEO DL BARCODE"/>
      <sheetName val="Policy_Target_&amp;_Result_12"/>
      <sheetName val="ボンダー仕掛けデータ_line_12"/>
      <sheetName val="Europe_PU-12"/>
      <sheetName val="制造外_收益_费用2"/>
      <sheetName val="台湾向经费_2"/>
      <sheetName val="收益改善_三个向别合计2"/>
      <sheetName val="SRP_FH2"/>
      <sheetName val="UK_allocations2"/>
      <sheetName val="Rev__22"/>
      <sheetName val="Rev__42"/>
      <sheetName val="Wire_color1"/>
      <sheetName val="Pre-Assy_Productin_Flow1"/>
      <sheetName val="Final-Assy_Production_Flow1"/>
      <sheetName val="Production_Condition1"/>
      <sheetName val="Circuit_Configuration_1"/>
      <sheetName val="Pre-Assy_MP1"/>
      <sheetName val="Final-Assy_MP1"/>
      <sheetName val="Production_transfer_1"/>
      <sheetName val="Pre-Assy_analysis1"/>
      <sheetName val="Final-Assy_analysis1"/>
      <sheetName val="Revision_Record_11"/>
      <sheetName val="GUM_Allocation1"/>
      <sheetName val="ERM_TW_NEW_ANALYSIS__"/>
      <sheetName val="報告№②ー１_ྨ_x005f_x0000__x005f_x0000_@_x005f_x0000__"/>
      <sheetName val="SINGLE_CRIMP__ANALYSIS"/>
      <sheetName val="FINAL_ANALYSIS"/>
      <sheetName val="報告№②ー１_ྨ"/>
      <sheetName val="工程導入アイテム一覧_(2)"/>
      <sheetName val="⑥Fin_（T50RH)"/>
      <sheetName val="⑦CC2(T50RH)_"/>
      <sheetName val="別紙_HW31"/>
      <sheetName val="別紙_WK13"/>
      <sheetName val="別紙_GW11_12_WP81_82_WP91_92"/>
      <sheetName val="Khai_bao_dau_vao"/>
      <sheetName val="報告№②ー１ ྨ??@????????ೖ$????????"/>
      <sheetName val="区分"/>
      <sheetName val="pull down"/>
      <sheetName val="工場名"/>
      <sheetName val="通貨"/>
      <sheetName val="両端回路"/>
      <sheetName val="片端データ"/>
      <sheetName val="DAILYPACE"/>
      <sheetName val="D1"/>
      <sheetName val="E2"/>
      <sheetName val="F1"/>
      <sheetName val="#REF"/>
      <sheetName val="lam-moi"/>
      <sheetName val="THPDMoi  (2)"/>
      <sheetName val="t-h HA THE"/>
      <sheetName val="chitiet"/>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Policy_Target_&amp;_Result_13"/>
      <sheetName val="ボンダー仕掛けデータ_line_13"/>
      <sheetName val="Europe_PU-13"/>
      <sheetName val="制造外_收益_费用3"/>
      <sheetName val="台湾向经费_3"/>
      <sheetName val="收益改善_三个向别合计3"/>
      <sheetName val="SRP_FH3"/>
      <sheetName val="UK_allocations3"/>
      <sheetName val="Rev__23"/>
      <sheetName val="Rev__43"/>
      <sheetName val="Wire_color2"/>
      <sheetName val="Pre-Assy_Productin_Flow2"/>
      <sheetName val="Final-Assy_Production_Flow2"/>
      <sheetName val="Production_Condition2"/>
      <sheetName val="Circuit_Configuration_2"/>
      <sheetName val="Pre-Assy_MP2"/>
      <sheetName val="Final-Assy_MP2"/>
      <sheetName val="Production_transfer_2"/>
      <sheetName val="Pre-Assy_analysis2"/>
      <sheetName val="Final-Assy_analysis2"/>
      <sheetName val="Revision_Record_12"/>
      <sheetName val="GUM_Allocation2"/>
      <sheetName val="ERM_TW_NEW_ANALYSIS__1"/>
      <sheetName val="報告№②ー１_ྨ_x005f_x0000__x005f_x0000_@_x005f_x0000_1"/>
      <sheetName val="報告№②ー１_ྨ1"/>
      <sheetName val="工程導入アイテム一覧_(2)1"/>
      <sheetName val="⑥Fin_（T50RH)1"/>
      <sheetName val="⑦CC2(T50RH)_1"/>
      <sheetName val="別紙_HW311"/>
      <sheetName val="別紙_WK131"/>
      <sheetName val="別紙_GW11_12_WP81_82_WP91_921"/>
      <sheetName val="Khai_bao_dau_vao1"/>
      <sheetName val="SINGLE_CRIMP__ANALYSIS1"/>
      <sheetName val="FINAL_ANALYSIS1"/>
      <sheetName val="屏蔽线_高速"/>
      <sheetName val="12_経営環境費用"/>
      <sheetName val="1_81期実績+見通し"/>
      <sheetName val="Supp_List"/>
      <sheetName val="dongia_(2)"/>
      <sheetName val="ANALYSIS batt cable "/>
      <sheetName val="_D2"/>
      <sheetName val="巻量計算"/>
      <sheetName val="巻量計算　編組前と編組後"/>
      <sheetName val="撚り込み率計算"/>
      <sheetName val="内線押出"/>
      <sheetName val="ツイスト"/>
      <sheetName val="編組"/>
      <sheetName val="シース押出"/>
      <sheetName val="条件まとめ"/>
      <sheetName val="製技情報"/>
      <sheetName val="購入計画"/>
      <sheetName val="押出ロス"/>
      <sheetName val="照射ロス"/>
      <sheetName val="内線試算表"/>
      <sheetName val="シールド試算表"/>
      <sheetName val="試算表"/>
      <sheetName val="3P数量推移"/>
      <sheetName val="Formato"/>
      <sheetName val="報告№②ー１ ྨ@ೖ$"/>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4CC6-CDB8-4FA3-9E8D-61AB89BC350D}">
  <sheetPr>
    <tabColor theme="5" tint="0.59999389629810485"/>
  </sheetPr>
  <dimension ref="A1:S22"/>
  <sheetViews>
    <sheetView view="pageBreakPreview" zoomScale="70" zoomScaleNormal="100" zoomScaleSheetLayoutView="70" workbookViewId="0">
      <selection activeCell="R14" sqref="R14"/>
    </sheetView>
  </sheetViews>
  <sheetFormatPr defaultRowHeight="12.75" x14ac:dyDescent="0.2"/>
  <cols>
    <col min="1" max="1" width="0.5703125" style="87" customWidth="1"/>
    <col min="2" max="18" width="8.42578125" style="87" customWidth="1"/>
    <col min="19" max="19" width="0.5703125" style="87" customWidth="1"/>
    <col min="20" max="16384" width="9.140625" style="87"/>
  </cols>
  <sheetData>
    <row r="1" spans="1:19" ht="5.25" customHeight="1" x14ac:dyDescent="0.2">
      <c r="A1" s="84"/>
      <c r="B1" s="85"/>
      <c r="C1" s="85"/>
      <c r="D1" s="85"/>
      <c r="E1" s="85"/>
      <c r="F1" s="85"/>
      <c r="G1" s="85"/>
      <c r="H1" s="85"/>
      <c r="I1" s="85"/>
      <c r="J1" s="85"/>
      <c r="K1" s="85"/>
      <c r="L1" s="85"/>
      <c r="M1" s="85"/>
      <c r="N1" s="85"/>
      <c r="O1" s="85"/>
      <c r="P1" s="85"/>
      <c r="Q1" s="85"/>
      <c r="R1" s="85"/>
      <c r="S1" s="86"/>
    </row>
    <row r="2" spans="1:19" x14ac:dyDescent="0.2">
      <c r="A2" s="88"/>
      <c r="B2" s="89" t="s">
        <v>150</v>
      </c>
      <c r="S2" s="90"/>
    </row>
    <row r="3" spans="1:19" ht="15" x14ac:dyDescent="0.25">
      <c r="A3" s="88"/>
      <c r="B3" s="91" t="s">
        <v>151</v>
      </c>
      <c r="M3" s="105" t="s">
        <v>143</v>
      </c>
      <c r="N3" s="105"/>
      <c r="O3" s="105" t="s">
        <v>37</v>
      </c>
      <c r="P3" s="105"/>
      <c r="Q3" s="105" t="s">
        <v>36</v>
      </c>
      <c r="R3" s="105"/>
      <c r="S3" s="90"/>
    </row>
    <row r="4" spans="1:19" x14ac:dyDescent="0.2">
      <c r="A4" s="88"/>
      <c r="M4" s="105"/>
      <c r="N4" s="105"/>
      <c r="O4" s="105"/>
      <c r="P4" s="105"/>
      <c r="Q4" s="105"/>
      <c r="R4" s="105"/>
      <c r="S4" s="90"/>
    </row>
    <row r="5" spans="1:19" x14ac:dyDescent="0.2">
      <c r="A5" s="88"/>
      <c r="M5" s="105"/>
      <c r="N5" s="105"/>
      <c r="O5" s="105"/>
      <c r="P5" s="105"/>
      <c r="Q5" s="105"/>
      <c r="R5" s="105"/>
      <c r="S5" s="90"/>
    </row>
    <row r="6" spans="1:19" x14ac:dyDescent="0.2">
      <c r="A6" s="88"/>
      <c r="M6" s="105"/>
      <c r="N6" s="105"/>
      <c r="O6" s="105"/>
      <c r="P6" s="105"/>
      <c r="Q6" s="105"/>
      <c r="R6" s="105"/>
      <c r="S6" s="90"/>
    </row>
    <row r="7" spans="1:19" x14ac:dyDescent="0.2">
      <c r="A7" s="88"/>
      <c r="B7" s="87" t="s">
        <v>152</v>
      </c>
      <c r="C7" s="87" t="s">
        <v>178</v>
      </c>
      <c r="M7" s="105" t="s">
        <v>148</v>
      </c>
      <c r="N7" s="105"/>
      <c r="O7" s="105" t="s">
        <v>149</v>
      </c>
      <c r="P7" s="105"/>
      <c r="Q7" s="105" t="s">
        <v>179</v>
      </c>
      <c r="R7" s="105"/>
      <c r="S7" s="90"/>
    </row>
    <row r="8" spans="1:19" x14ac:dyDescent="0.2">
      <c r="A8" s="88"/>
      <c r="B8" s="87" t="s">
        <v>153</v>
      </c>
      <c r="C8" s="87" t="s">
        <v>177</v>
      </c>
      <c r="M8" s="105" t="s">
        <v>154</v>
      </c>
      <c r="N8" s="105"/>
      <c r="O8" s="105" t="s">
        <v>155</v>
      </c>
      <c r="P8" s="105"/>
      <c r="Q8" s="105" t="s">
        <v>166</v>
      </c>
      <c r="R8" s="105"/>
      <c r="S8" s="90"/>
    </row>
    <row r="9" spans="1:19" x14ac:dyDescent="0.2">
      <c r="A9" s="88"/>
      <c r="S9" s="90"/>
    </row>
    <row r="10" spans="1:19" ht="13.5" thickBot="1" x14ac:dyDescent="0.25">
      <c r="A10" s="88"/>
      <c r="B10" s="103" t="s">
        <v>156</v>
      </c>
      <c r="C10" s="103"/>
      <c r="D10" s="103" t="s">
        <v>157</v>
      </c>
      <c r="E10" s="103"/>
      <c r="F10" s="103"/>
      <c r="G10" s="92" t="s">
        <v>158</v>
      </c>
      <c r="H10" s="103" t="s">
        <v>159</v>
      </c>
      <c r="I10" s="103"/>
      <c r="J10" s="103" t="s">
        <v>160</v>
      </c>
      <c r="K10" s="103"/>
      <c r="L10" s="103"/>
      <c r="M10" s="92" t="s">
        <v>158</v>
      </c>
      <c r="N10" s="103" t="s">
        <v>161</v>
      </c>
      <c r="O10" s="103"/>
      <c r="P10" s="103"/>
      <c r="Q10" s="92" t="s">
        <v>158</v>
      </c>
      <c r="R10" s="92" t="s">
        <v>162</v>
      </c>
      <c r="S10" s="90"/>
    </row>
    <row r="11" spans="1:19" ht="332.25" customHeight="1" thickTop="1" x14ac:dyDescent="0.2">
      <c r="A11" s="88"/>
      <c r="B11" s="104" t="s">
        <v>174</v>
      </c>
      <c r="C11" s="104"/>
      <c r="D11" s="104" t="s">
        <v>175</v>
      </c>
      <c r="E11" s="104"/>
      <c r="F11" s="104"/>
      <c r="G11" s="97" t="s">
        <v>176</v>
      </c>
      <c r="H11" s="104" t="s">
        <v>180</v>
      </c>
      <c r="I11" s="104"/>
      <c r="J11" s="104" t="s">
        <v>181</v>
      </c>
      <c r="K11" s="104"/>
      <c r="L11" s="104"/>
      <c r="M11" s="97" t="s">
        <v>176</v>
      </c>
      <c r="N11" s="104" t="s">
        <v>167</v>
      </c>
      <c r="O11" s="104"/>
      <c r="P11" s="104"/>
      <c r="Q11" s="97" t="s">
        <v>176</v>
      </c>
      <c r="R11" s="93" t="s">
        <v>182</v>
      </c>
      <c r="S11" s="90"/>
    </row>
    <row r="12" spans="1:19" x14ac:dyDescent="0.2">
      <c r="A12" s="88"/>
      <c r="S12" s="90"/>
    </row>
    <row r="13" spans="1:19" x14ac:dyDescent="0.2">
      <c r="A13" s="88"/>
      <c r="S13" s="90"/>
    </row>
    <row r="14" spans="1:19" x14ac:dyDescent="0.2">
      <c r="A14" s="88"/>
      <c r="S14" s="90"/>
    </row>
    <row r="15" spans="1:19" x14ac:dyDescent="0.2">
      <c r="A15" s="88"/>
      <c r="S15" s="90"/>
    </row>
    <row r="16" spans="1:19" x14ac:dyDescent="0.2">
      <c r="A16" s="88"/>
      <c r="S16" s="90"/>
    </row>
    <row r="17" spans="1:19" x14ac:dyDescent="0.2">
      <c r="A17" s="88"/>
      <c r="S17" s="90"/>
    </row>
    <row r="18" spans="1:19" x14ac:dyDescent="0.2">
      <c r="A18" s="88"/>
      <c r="B18" s="89" t="s">
        <v>163</v>
      </c>
      <c r="S18" s="90"/>
    </row>
    <row r="19" spans="1:19" x14ac:dyDescent="0.2">
      <c r="A19" s="88"/>
      <c r="B19" s="89" t="s">
        <v>164</v>
      </c>
      <c r="S19" s="90"/>
    </row>
    <row r="20" spans="1:19" x14ac:dyDescent="0.2">
      <c r="A20" s="88"/>
      <c r="B20" s="89" t="s">
        <v>165</v>
      </c>
      <c r="S20" s="90"/>
    </row>
    <row r="21" spans="1:19" x14ac:dyDescent="0.2">
      <c r="A21" s="88"/>
      <c r="S21" s="90"/>
    </row>
    <row r="22" spans="1:19" ht="5.25" customHeight="1" thickBot="1" x14ac:dyDescent="0.25">
      <c r="A22" s="94"/>
      <c r="B22" s="95"/>
      <c r="C22" s="95"/>
      <c r="D22" s="95"/>
      <c r="E22" s="95"/>
      <c r="F22" s="95"/>
      <c r="G22" s="95"/>
      <c r="H22" s="95"/>
      <c r="I22" s="95"/>
      <c r="J22" s="95"/>
      <c r="K22" s="95"/>
      <c r="L22" s="95"/>
      <c r="M22" s="95"/>
      <c r="N22" s="95"/>
      <c r="O22" s="95"/>
      <c r="P22" s="95"/>
      <c r="Q22" s="95"/>
      <c r="R22" s="95"/>
      <c r="S22" s="96"/>
    </row>
  </sheetData>
  <mergeCells count="22">
    <mergeCell ref="M3:N3"/>
    <mergeCell ref="O3:P3"/>
    <mergeCell ref="Q3:R3"/>
    <mergeCell ref="M4:N6"/>
    <mergeCell ref="O4:P6"/>
    <mergeCell ref="Q4:R6"/>
    <mergeCell ref="M7:N7"/>
    <mergeCell ref="O7:P7"/>
    <mergeCell ref="Q7:R7"/>
    <mergeCell ref="M8:N8"/>
    <mergeCell ref="O8:P8"/>
    <mergeCell ref="Q8:R8"/>
    <mergeCell ref="B11:C11"/>
    <mergeCell ref="D11:F11"/>
    <mergeCell ref="H11:I11"/>
    <mergeCell ref="J11:L11"/>
    <mergeCell ref="N11:P11"/>
    <mergeCell ref="B10:C10"/>
    <mergeCell ref="D10:F10"/>
    <mergeCell ref="H10:I10"/>
    <mergeCell ref="J10:L10"/>
    <mergeCell ref="N10:P10"/>
  </mergeCells>
  <pageMargins left="0" right="0" top="0"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DD6B-E63E-4FBA-8B33-8420B857131E}">
  <dimension ref="A1"/>
  <sheetViews>
    <sheetView zoomScale="115" zoomScaleNormal="115" workbookViewId="0">
      <selection activeCell="K15" sqref="K15"/>
    </sheetView>
  </sheetViews>
  <sheetFormatPr defaultRowHeight="15" x14ac:dyDescent="0.25"/>
  <cols>
    <col min="10" max="10" width="5.85546875" customWidth="1"/>
    <col min="20" max="20" width="6" customWidth="1"/>
  </cols>
  <sheetData/>
  <printOptions horizontalCentered="1"/>
  <pageMargins left="0" right="0" top="0" bottom="0" header="0" footer="0"/>
  <pageSetup paperSize="9" scale="12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13E2-C1B7-4D2A-B322-D7CD7FB0007E}">
  <sheetPr>
    <tabColor rgb="FFFFFF00"/>
    <pageSetUpPr fitToPage="1"/>
  </sheetPr>
  <dimension ref="B1:Z89"/>
  <sheetViews>
    <sheetView showGridLines="0" topLeftCell="A10" zoomScale="70" zoomScaleNormal="70" workbookViewId="0">
      <selection activeCell="R47" sqref="R47"/>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102</v>
      </c>
    </row>
    <row r="2" spans="2:26" ht="15" customHeight="1" x14ac:dyDescent="0.25">
      <c r="B2" s="74" t="s">
        <v>0</v>
      </c>
      <c r="C2" s="17"/>
      <c r="D2" s="17"/>
      <c r="E2" s="17"/>
      <c r="F2" s="17"/>
      <c r="G2" s="75"/>
      <c r="H2" s="76" t="s">
        <v>44</v>
      </c>
      <c r="I2" s="65" t="s">
        <v>45</v>
      </c>
      <c r="J2" s="66" t="s">
        <v>140</v>
      </c>
      <c r="K2" s="66"/>
      <c r="L2" s="66"/>
      <c r="M2" s="67"/>
      <c r="N2" s="111" t="s">
        <v>50</v>
      </c>
      <c r="O2" s="112"/>
      <c r="P2" s="111" t="s">
        <v>49</v>
      </c>
      <c r="Q2" s="112"/>
      <c r="R2" s="111" t="s">
        <v>37</v>
      </c>
      <c r="S2" s="112"/>
      <c r="T2" s="111" t="s">
        <v>36</v>
      </c>
      <c r="U2" s="112"/>
    </row>
    <row r="3" spans="2:26" ht="15" customHeight="1" x14ac:dyDescent="0.25">
      <c r="B3" s="113" t="s">
        <v>41</v>
      </c>
      <c r="C3" s="114"/>
      <c r="D3" s="114"/>
      <c r="E3" s="114"/>
      <c r="F3" s="114"/>
      <c r="G3" s="114"/>
      <c r="H3" s="115"/>
      <c r="I3" s="68" t="s">
        <v>46</v>
      </c>
      <c r="J3" s="69" t="s">
        <v>52</v>
      </c>
      <c r="K3" s="69"/>
      <c r="L3" s="69"/>
      <c r="M3" s="70"/>
      <c r="N3" s="122" t="s">
        <v>143</v>
      </c>
      <c r="O3" s="123"/>
      <c r="P3" s="123"/>
      <c r="Q3" s="123"/>
      <c r="R3" s="123"/>
      <c r="S3" s="123"/>
      <c r="T3" s="123"/>
      <c r="U3" s="124"/>
    </row>
    <row r="4" spans="2:26" ht="15" customHeight="1" x14ac:dyDescent="0.25">
      <c r="B4" s="116"/>
      <c r="C4" s="117"/>
      <c r="D4" s="117"/>
      <c r="E4" s="117"/>
      <c r="F4" s="117"/>
      <c r="G4" s="117"/>
      <c r="H4" s="118"/>
      <c r="I4" s="68" t="s">
        <v>5</v>
      </c>
      <c r="J4" s="69" t="s">
        <v>53</v>
      </c>
      <c r="K4" s="69"/>
      <c r="L4" s="69"/>
      <c r="M4" s="70"/>
      <c r="N4" s="125"/>
      <c r="O4" s="126"/>
      <c r="P4" s="126"/>
      <c r="Q4" s="126"/>
      <c r="R4" s="126"/>
      <c r="S4" s="126"/>
      <c r="T4" s="126"/>
      <c r="U4" s="127"/>
    </row>
    <row r="5" spans="2:26" ht="15" customHeight="1" x14ac:dyDescent="0.25">
      <c r="B5" s="116"/>
      <c r="C5" s="117"/>
      <c r="D5" s="117"/>
      <c r="E5" s="117"/>
      <c r="F5" s="117"/>
      <c r="G5" s="117"/>
      <c r="H5" s="118"/>
      <c r="I5" s="68" t="s">
        <v>47</v>
      </c>
      <c r="J5" s="69" t="s">
        <v>54</v>
      </c>
      <c r="K5" s="69"/>
      <c r="L5" s="69"/>
      <c r="M5" s="70"/>
      <c r="N5" s="128"/>
      <c r="O5" s="129"/>
      <c r="P5" s="129"/>
      <c r="Q5" s="129"/>
      <c r="R5" s="129"/>
      <c r="S5" s="129"/>
      <c r="T5" s="129"/>
      <c r="U5" s="130"/>
    </row>
    <row r="6" spans="2:26" ht="15" customHeight="1" x14ac:dyDescent="0.25">
      <c r="B6" s="119"/>
      <c r="C6" s="120"/>
      <c r="D6" s="120"/>
      <c r="E6" s="120"/>
      <c r="F6" s="120"/>
      <c r="G6" s="120"/>
      <c r="H6" s="121"/>
      <c r="I6" s="71" t="s">
        <v>48</v>
      </c>
      <c r="J6" s="72" t="s">
        <v>144</v>
      </c>
      <c r="K6" s="72"/>
      <c r="L6" s="72"/>
      <c r="M6" s="73"/>
      <c r="N6" s="111" t="s">
        <v>51</v>
      </c>
      <c r="O6" s="112"/>
      <c r="P6" s="111" t="s">
        <v>40</v>
      </c>
      <c r="Q6" s="112"/>
      <c r="R6" s="111" t="s">
        <v>39</v>
      </c>
      <c r="S6" s="112"/>
      <c r="T6" s="111" t="s">
        <v>38</v>
      </c>
      <c r="U6" s="112"/>
    </row>
    <row r="7" spans="2:26" ht="15" customHeight="1" x14ac:dyDescent="0.25">
      <c r="B7" s="48"/>
      <c r="U7" s="18"/>
    </row>
    <row r="8" spans="2:26" s="4" customFormat="1" ht="21.95" customHeight="1" x14ac:dyDescent="0.25">
      <c r="B8" s="49" t="s">
        <v>8</v>
      </c>
      <c r="C8" s="42"/>
      <c r="D8" s="42"/>
      <c r="E8" s="42"/>
      <c r="F8" s="42"/>
      <c r="G8" s="285" t="s">
        <v>168</v>
      </c>
      <c r="H8" s="5"/>
      <c r="I8" s="5"/>
      <c r="J8" s="5"/>
      <c r="U8" s="20"/>
    </row>
    <row r="9" spans="2:26" s="4" customFormat="1" ht="21.95" customHeight="1" x14ac:dyDescent="0.25">
      <c r="B9" s="50" t="s">
        <v>9</v>
      </c>
      <c r="C9" s="43"/>
      <c r="D9" s="43"/>
      <c r="E9" s="43"/>
      <c r="F9" s="43"/>
      <c r="G9" s="284" t="s">
        <v>192</v>
      </c>
      <c r="H9" s="6"/>
      <c r="I9" s="6"/>
      <c r="J9" s="6"/>
      <c r="U9" s="20"/>
    </row>
    <row r="10" spans="2:26" s="4" customFormat="1" ht="15" customHeight="1" x14ac:dyDescent="0.25">
      <c r="B10" s="19"/>
      <c r="C10" s="25"/>
      <c r="D10" s="25"/>
      <c r="E10" s="25"/>
      <c r="F10" s="25"/>
      <c r="G10" s="12"/>
      <c r="U10" s="20"/>
    </row>
    <row r="11" spans="2:26" ht="24.95" customHeight="1" x14ac:dyDescent="0.25">
      <c r="B11" s="51" t="s">
        <v>55</v>
      </c>
      <c r="U11" s="18"/>
    </row>
    <row r="12" spans="2:26" s="7" customFormat="1" ht="24.95" customHeight="1" x14ac:dyDescent="0.25">
      <c r="B12" s="39" t="s">
        <v>1</v>
      </c>
      <c r="C12" s="131" t="s">
        <v>5</v>
      </c>
      <c r="D12" s="132"/>
      <c r="E12" s="132"/>
      <c r="F12" s="133"/>
      <c r="G12" s="107" t="s">
        <v>4</v>
      </c>
      <c r="H12" s="108"/>
      <c r="I12" s="107" t="s">
        <v>43</v>
      </c>
      <c r="J12" s="134"/>
      <c r="K12" s="107" t="s">
        <v>2</v>
      </c>
      <c r="L12" s="108"/>
      <c r="M12" s="109" t="s">
        <v>3</v>
      </c>
      <c r="N12" s="109"/>
      <c r="O12" s="109"/>
      <c r="P12" s="109"/>
      <c r="Q12" s="109"/>
      <c r="R12" s="16"/>
      <c r="S12" s="16"/>
      <c r="T12" s="16"/>
      <c r="U12" s="21"/>
      <c r="V12" s="16"/>
      <c r="W12" s="16"/>
      <c r="X12" s="16"/>
      <c r="Y12" s="110"/>
      <c r="Z12" s="110"/>
    </row>
    <row r="13" spans="2:26" ht="24.95" customHeight="1" x14ac:dyDescent="0.25">
      <c r="B13" s="15">
        <v>1</v>
      </c>
      <c r="C13" s="283">
        <v>45411</v>
      </c>
      <c r="D13" s="106" t="s">
        <v>6</v>
      </c>
      <c r="E13" s="106"/>
      <c r="F13" s="282">
        <v>45412</v>
      </c>
      <c r="G13" s="281" t="s">
        <v>147</v>
      </c>
      <c r="H13" s="279"/>
      <c r="I13" s="281" t="s">
        <v>169</v>
      </c>
      <c r="J13" s="279"/>
      <c r="K13" s="280">
        <v>26848</v>
      </c>
      <c r="L13" s="279"/>
      <c r="M13" s="278" t="s">
        <v>191</v>
      </c>
      <c r="N13" s="81"/>
      <c r="O13" s="81"/>
      <c r="P13" s="81"/>
      <c r="Q13" s="82"/>
      <c r="U13" s="18"/>
    </row>
    <row r="14" spans="2:26" ht="24.95" customHeight="1" x14ac:dyDescent="0.25">
      <c r="B14" s="15">
        <v>2</v>
      </c>
      <c r="C14" s="283">
        <f>+C13</f>
        <v>45411</v>
      </c>
      <c r="D14" s="106" t="s">
        <v>6</v>
      </c>
      <c r="E14" s="106"/>
      <c r="F14" s="282">
        <f>+F13</f>
        <v>45412</v>
      </c>
      <c r="G14" s="281" t="s">
        <v>147</v>
      </c>
      <c r="H14" s="279"/>
      <c r="I14" s="281" t="s">
        <v>170</v>
      </c>
      <c r="J14" s="279"/>
      <c r="K14" s="280">
        <v>3640</v>
      </c>
      <c r="L14" s="279"/>
      <c r="M14" s="278" t="s">
        <v>190</v>
      </c>
      <c r="N14" s="81"/>
      <c r="O14" s="81"/>
      <c r="P14" s="81"/>
      <c r="Q14" s="82"/>
      <c r="U14" s="18"/>
    </row>
    <row r="15" spans="2:26" ht="24.95" customHeight="1" x14ac:dyDescent="0.25">
      <c r="B15" s="15">
        <v>3</v>
      </c>
      <c r="C15" s="283">
        <f>+C14</f>
        <v>45411</v>
      </c>
      <c r="D15" s="106" t="s">
        <v>6</v>
      </c>
      <c r="E15" s="106"/>
      <c r="F15" s="282">
        <f>+F14</f>
        <v>45412</v>
      </c>
      <c r="G15" s="281" t="s">
        <v>147</v>
      </c>
      <c r="H15" s="279"/>
      <c r="I15" s="281" t="s">
        <v>146</v>
      </c>
      <c r="J15" s="279"/>
      <c r="K15" s="280">
        <v>7091</v>
      </c>
      <c r="L15" s="279"/>
      <c r="M15" s="278" t="s">
        <v>189</v>
      </c>
      <c r="N15" s="81"/>
      <c r="O15" s="81"/>
      <c r="P15" s="81"/>
      <c r="Q15" s="82"/>
      <c r="U15" s="18"/>
    </row>
    <row r="16" spans="2:26" ht="24.95" customHeight="1" x14ac:dyDescent="0.25">
      <c r="B16" s="15">
        <v>4</v>
      </c>
      <c r="C16" s="283">
        <f>+C15</f>
        <v>45411</v>
      </c>
      <c r="D16" s="106" t="s">
        <v>6</v>
      </c>
      <c r="E16" s="106"/>
      <c r="F16" s="282">
        <f>+F15</f>
        <v>45412</v>
      </c>
      <c r="G16" s="281" t="s">
        <v>147</v>
      </c>
      <c r="H16" s="279"/>
      <c r="I16" s="281" t="s">
        <v>171</v>
      </c>
      <c r="J16" s="279"/>
      <c r="K16" s="280">
        <v>25998</v>
      </c>
      <c r="L16" s="279"/>
      <c r="M16" s="278" t="s">
        <v>188</v>
      </c>
      <c r="N16" s="81"/>
      <c r="O16" s="81"/>
      <c r="P16" s="81"/>
      <c r="Q16" s="82"/>
      <c r="U16" s="18"/>
    </row>
    <row r="17" spans="2:23" ht="15" customHeight="1" x14ac:dyDescent="0.25">
      <c r="B17" s="10"/>
      <c r="U17" s="18"/>
    </row>
    <row r="18" spans="2:23" ht="20.100000000000001" customHeight="1" x14ac:dyDescent="0.25">
      <c r="B18" s="51" t="s">
        <v>89</v>
      </c>
      <c r="U18" s="18"/>
    </row>
    <row r="19" spans="2:23" ht="20.100000000000001" customHeight="1" x14ac:dyDescent="0.25">
      <c r="B19" s="52" t="s">
        <v>59</v>
      </c>
      <c r="K19" s="22" t="s">
        <v>60</v>
      </c>
      <c r="L19" s="22"/>
      <c r="U19" s="18"/>
    </row>
    <row r="20" spans="2:23" s="3" customFormat="1" ht="20.100000000000001" customHeight="1" thickBot="1" x14ac:dyDescent="0.3">
      <c r="B20" s="142" t="s">
        <v>1</v>
      </c>
      <c r="C20" s="140" t="s">
        <v>5</v>
      </c>
      <c r="D20" s="141"/>
      <c r="E20" s="107" t="s">
        <v>136</v>
      </c>
      <c r="F20" s="134"/>
      <c r="G20" s="108"/>
      <c r="H20" s="107" t="s">
        <v>42</v>
      </c>
      <c r="I20" s="108"/>
      <c r="J20" s="4"/>
      <c r="K20" s="146" t="s">
        <v>1</v>
      </c>
      <c r="L20" s="148" t="s">
        <v>5</v>
      </c>
      <c r="M20" s="149"/>
      <c r="N20" s="135" t="s">
        <v>10</v>
      </c>
      <c r="O20" s="136"/>
      <c r="P20" s="136"/>
      <c r="Q20" s="137"/>
      <c r="R20" s="135" t="s">
        <v>42</v>
      </c>
      <c r="S20" s="136"/>
      <c r="T20" s="136"/>
      <c r="U20" s="137"/>
      <c r="V20" s="8"/>
      <c r="W20" s="8"/>
    </row>
    <row r="21" spans="2:23" s="3" customFormat="1" ht="20.100000000000001" customHeight="1" thickTop="1" thickBot="1" x14ac:dyDescent="0.3">
      <c r="B21" s="143"/>
      <c r="C21" s="144"/>
      <c r="D21" s="145"/>
      <c r="E21" s="138" t="s">
        <v>31</v>
      </c>
      <c r="F21" s="139"/>
      <c r="G21" s="41" t="s">
        <v>32</v>
      </c>
      <c r="H21" s="40" t="s">
        <v>31</v>
      </c>
      <c r="I21" s="36" t="s">
        <v>32</v>
      </c>
      <c r="J21" s="4"/>
      <c r="K21" s="147"/>
      <c r="L21" s="150"/>
      <c r="M21" s="151"/>
      <c r="N21" s="140" t="s">
        <v>31</v>
      </c>
      <c r="O21" s="141"/>
      <c r="P21" s="140" t="s">
        <v>32</v>
      </c>
      <c r="Q21" s="141"/>
      <c r="R21" s="140" t="s">
        <v>31</v>
      </c>
      <c r="S21" s="141"/>
      <c r="T21" s="140" t="s">
        <v>32</v>
      </c>
      <c r="U21" s="141"/>
      <c r="V21" s="8"/>
      <c r="W21" s="8"/>
    </row>
    <row r="22" spans="2:23" ht="24.95" customHeight="1" thickTop="1" x14ac:dyDescent="0.25">
      <c r="B22" s="271">
        <v>1</v>
      </c>
      <c r="C22" s="277"/>
      <c r="D22" s="276"/>
      <c r="E22" s="275"/>
      <c r="F22" s="274"/>
      <c r="G22" s="273"/>
      <c r="H22" s="272"/>
      <c r="I22" s="271"/>
      <c r="J22" s="12"/>
      <c r="K22" s="271">
        <v>1</v>
      </c>
      <c r="L22" s="270"/>
      <c r="M22" s="269"/>
      <c r="N22" s="267"/>
      <c r="O22" s="268"/>
      <c r="P22" s="267"/>
      <c r="Q22" s="266"/>
      <c r="R22" s="267"/>
      <c r="S22" s="266"/>
      <c r="T22" s="267"/>
      <c r="U22" s="266"/>
      <c r="V22" s="8"/>
      <c r="W22" s="8"/>
    </row>
    <row r="23" spans="2:23" ht="24.95" customHeight="1" x14ac:dyDescent="0.25">
      <c r="B23" s="15">
        <v>2</v>
      </c>
      <c r="C23" s="265"/>
      <c r="D23" s="264"/>
      <c r="E23" s="213"/>
      <c r="F23" s="257"/>
      <c r="G23" s="262"/>
      <c r="H23" s="263"/>
      <c r="I23" s="262"/>
      <c r="J23" s="12"/>
      <c r="K23" s="15">
        <v>2</v>
      </c>
      <c r="L23" s="261"/>
      <c r="M23" s="260"/>
      <c r="N23" s="259"/>
      <c r="O23" s="258"/>
      <c r="P23" s="213"/>
      <c r="Q23" s="257"/>
      <c r="R23" s="213"/>
      <c r="S23" s="257"/>
      <c r="T23" s="213"/>
      <c r="U23" s="257"/>
    </row>
    <row r="24" spans="2:23" ht="15" customHeight="1" x14ac:dyDescent="0.25">
      <c r="B24" s="10"/>
      <c r="U24" s="18"/>
    </row>
    <row r="25" spans="2:23" ht="20.100000000000001" customHeight="1" x14ac:dyDescent="0.25">
      <c r="B25" s="19" t="s">
        <v>61</v>
      </c>
      <c r="C25" s="13"/>
      <c r="D25" s="13"/>
      <c r="E25" s="13"/>
      <c r="F25" s="13"/>
      <c r="G25" s="12"/>
      <c r="H25" s="12"/>
      <c r="I25" s="12"/>
      <c r="J25" s="12"/>
      <c r="K25" s="12"/>
      <c r="L25" s="12"/>
      <c r="M25" s="12"/>
      <c r="N25" s="12"/>
      <c r="O25" s="12"/>
      <c r="P25" s="12"/>
      <c r="Q25" s="12"/>
      <c r="R25" s="12"/>
      <c r="S25" s="12"/>
      <c r="T25" s="12"/>
      <c r="U25" s="53"/>
    </row>
    <row r="26" spans="2:23" s="3" customFormat="1" ht="20.100000000000001" customHeight="1" x14ac:dyDescent="0.25">
      <c r="B26" s="146" t="s">
        <v>1</v>
      </c>
      <c r="C26" s="148" t="s">
        <v>5</v>
      </c>
      <c r="D26" s="152"/>
      <c r="E26" s="152"/>
      <c r="F26" s="149"/>
      <c r="G26" s="131" t="s">
        <v>11</v>
      </c>
      <c r="H26" s="133"/>
      <c r="I26" s="109" t="s">
        <v>57</v>
      </c>
      <c r="J26" s="107" t="s">
        <v>12</v>
      </c>
      <c r="K26" s="134"/>
      <c r="L26" s="134"/>
      <c r="M26" s="108"/>
      <c r="N26" s="157" t="s">
        <v>56</v>
      </c>
      <c r="O26" s="157"/>
      <c r="P26" s="157"/>
      <c r="Q26" s="157"/>
      <c r="R26" s="157"/>
      <c r="S26" s="157"/>
      <c r="T26" s="157"/>
      <c r="U26" s="157"/>
      <c r="V26" s="8"/>
      <c r="W26" s="8"/>
    </row>
    <row r="27" spans="2:23" s="3" customFormat="1" ht="20.100000000000001" customHeight="1" thickBot="1" x14ac:dyDescent="0.3">
      <c r="B27" s="147"/>
      <c r="C27" s="150"/>
      <c r="D27" s="153"/>
      <c r="E27" s="153"/>
      <c r="F27" s="151"/>
      <c r="G27" s="154"/>
      <c r="H27" s="155"/>
      <c r="I27" s="156"/>
      <c r="J27" s="138" t="s">
        <v>14</v>
      </c>
      <c r="K27" s="139"/>
      <c r="L27" s="138" t="s">
        <v>13</v>
      </c>
      <c r="M27" s="139"/>
      <c r="N27" s="158"/>
      <c r="O27" s="158"/>
      <c r="P27" s="158"/>
      <c r="Q27" s="158"/>
      <c r="R27" s="158"/>
      <c r="S27" s="158"/>
      <c r="T27" s="158"/>
      <c r="U27" s="158"/>
      <c r="V27" s="8"/>
      <c r="W27" s="8"/>
    </row>
    <row r="28" spans="2:23" ht="50.1" customHeight="1" thickTop="1" x14ac:dyDescent="0.25">
      <c r="B28" s="37">
        <v>1</v>
      </c>
      <c r="C28" s="256">
        <f>C13</f>
        <v>45411</v>
      </c>
      <c r="D28" s="255" t="s">
        <v>6</v>
      </c>
      <c r="E28" s="255"/>
      <c r="F28" s="254">
        <f>F13</f>
        <v>45412</v>
      </c>
      <c r="G28" s="253" t="s">
        <v>172</v>
      </c>
      <c r="H28" s="249"/>
      <c r="I28" s="252" t="s">
        <v>187</v>
      </c>
      <c r="J28" s="250" t="s">
        <v>173</v>
      </c>
      <c r="K28" s="251"/>
      <c r="L28" s="250">
        <v>0.3125</v>
      </c>
      <c r="M28" s="249"/>
      <c r="N28" s="248" t="s">
        <v>7</v>
      </c>
      <c r="O28" s="248"/>
      <c r="P28" s="248"/>
      <c r="Q28" s="248"/>
      <c r="R28" s="248"/>
      <c r="S28" s="248"/>
      <c r="T28" s="248"/>
      <c r="U28" s="248"/>
      <c r="V28" s="8"/>
      <c r="W28" s="8"/>
    </row>
    <row r="29" spans="2:23" ht="24.95" customHeight="1" x14ac:dyDescent="0.25">
      <c r="B29" s="54" t="s">
        <v>88</v>
      </c>
      <c r="C29" s="13"/>
      <c r="D29" s="13"/>
      <c r="E29" s="13"/>
      <c r="F29" s="13"/>
      <c r="G29" s="12"/>
      <c r="H29" s="12"/>
      <c r="I29" s="12"/>
      <c r="J29" s="12"/>
      <c r="K29" s="12"/>
      <c r="L29" s="12"/>
      <c r="M29" s="12"/>
      <c r="N29" s="12"/>
      <c r="O29" s="12"/>
      <c r="U29" s="18"/>
    </row>
    <row r="30" spans="2:23" s="9" customFormat="1" ht="20.100000000000001" customHeight="1" x14ac:dyDescent="0.25">
      <c r="B30" s="27" t="s">
        <v>65</v>
      </c>
      <c r="C30" s="164" t="s">
        <v>110</v>
      </c>
      <c r="D30" s="164"/>
      <c r="E30" s="164"/>
      <c r="F30" s="164"/>
      <c r="G30" s="164"/>
      <c r="H30" s="164"/>
      <c r="I30" s="164"/>
      <c r="J30" s="165" t="s">
        <v>66</v>
      </c>
      <c r="K30" s="166"/>
      <c r="L30" s="167"/>
      <c r="M30" s="165" t="s">
        <v>67</v>
      </c>
      <c r="N30" s="166"/>
      <c r="O30" s="167"/>
      <c r="P30" s="164" t="s">
        <v>30</v>
      </c>
      <c r="Q30" s="164"/>
      <c r="R30" s="164"/>
      <c r="U30" s="23"/>
    </row>
    <row r="31" spans="2:23" s="26" customFormat="1" ht="17.100000000000001" customHeight="1" x14ac:dyDescent="0.25">
      <c r="B31" s="38">
        <v>1</v>
      </c>
      <c r="C31" s="159" t="s">
        <v>15</v>
      </c>
      <c r="D31" s="159"/>
      <c r="E31" s="159"/>
      <c r="F31" s="159"/>
      <c r="G31" s="159"/>
      <c r="H31" s="159"/>
      <c r="I31" s="159"/>
      <c r="J31" s="160" t="s">
        <v>27</v>
      </c>
      <c r="K31" s="161"/>
      <c r="L31" s="162"/>
      <c r="M31" s="160" t="s">
        <v>27</v>
      </c>
      <c r="N31" s="161"/>
      <c r="O31" s="162"/>
      <c r="P31" s="163" t="s">
        <v>27</v>
      </c>
      <c r="Q31" s="163"/>
      <c r="R31" s="163"/>
      <c r="U31" s="55"/>
    </row>
    <row r="32" spans="2:23" s="26" customFormat="1" ht="17.100000000000001" customHeight="1" x14ac:dyDescent="0.25">
      <c r="B32" s="38">
        <v>2</v>
      </c>
      <c r="C32" s="159" t="s">
        <v>16</v>
      </c>
      <c r="D32" s="159"/>
      <c r="E32" s="159"/>
      <c r="F32" s="159"/>
      <c r="G32" s="159"/>
      <c r="H32" s="159"/>
      <c r="I32" s="159"/>
      <c r="J32" s="160" t="s">
        <v>27</v>
      </c>
      <c r="K32" s="161"/>
      <c r="L32" s="162"/>
      <c r="M32" s="160" t="s">
        <v>27</v>
      </c>
      <c r="N32" s="161"/>
      <c r="O32" s="162"/>
      <c r="P32" s="163" t="s">
        <v>27</v>
      </c>
      <c r="Q32" s="163"/>
      <c r="R32" s="163"/>
      <c r="U32" s="55"/>
    </row>
    <row r="33" spans="2:21" s="26" customFormat="1" ht="17.100000000000001" customHeight="1" x14ac:dyDescent="0.25">
      <c r="B33" s="38">
        <v>3</v>
      </c>
      <c r="C33" s="168" t="s">
        <v>105</v>
      </c>
      <c r="D33" s="168"/>
      <c r="E33" s="168"/>
      <c r="F33" s="168"/>
      <c r="G33" s="168"/>
      <c r="H33" s="168"/>
      <c r="I33" s="168"/>
      <c r="J33" s="160" t="s">
        <v>27</v>
      </c>
      <c r="K33" s="161"/>
      <c r="L33" s="162"/>
      <c r="M33" s="160" t="s">
        <v>27</v>
      </c>
      <c r="N33" s="161"/>
      <c r="O33" s="162"/>
      <c r="P33" s="163" t="s">
        <v>27</v>
      </c>
      <c r="Q33" s="163"/>
      <c r="R33" s="163"/>
      <c r="U33" s="55"/>
    </row>
    <row r="34" spans="2:21" s="26" customFormat="1" ht="17.100000000000001" customHeight="1" x14ac:dyDescent="0.25">
      <c r="B34" s="38">
        <v>4</v>
      </c>
      <c r="C34" s="159" t="s">
        <v>17</v>
      </c>
      <c r="D34" s="159"/>
      <c r="E34" s="159"/>
      <c r="F34" s="159"/>
      <c r="G34" s="159"/>
      <c r="H34" s="159"/>
      <c r="I34" s="159"/>
      <c r="J34" s="160" t="s">
        <v>27</v>
      </c>
      <c r="K34" s="161"/>
      <c r="L34" s="162"/>
      <c r="M34" s="160" t="s">
        <v>27</v>
      </c>
      <c r="N34" s="161"/>
      <c r="O34" s="162"/>
      <c r="P34" s="163" t="s">
        <v>27</v>
      </c>
      <c r="Q34" s="163"/>
      <c r="R34" s="163"/>
      <c r="U34" s="55"/>
    </row>
    <row r="35" spans="2:21" s="26" customFormat="1" ht="17.100000000000001" customHeight="1" x14ac:dyDescent="0.25">
      <c r="B35" s="38">
        <v>5</v>
      </c>
      <c r="C35" s="159" t="s">
        <v>18</v>
      </c>
      <c r="D35" s="159"/>
      <c r="E35" s="159"/>
      <c r="F35" s="159"/>
      <c r="G35" s="159"/>
      <c r="H35" s="159"/>
      <c r="I35" s="159"/>
      <c r="J35" s="160" t="s">
        <v>27</v>
      </c>
      <c r="K35" s="161"/>
      <c r="L35" s="162"/>
      <c r="M35" s="160" t="s">
        <v>27</v>
      </c>
      <c r="N35" s="161"/>
      <c r="O35" s="162"/>
      <c r="P35" s="163" t="s">
        <v>27</v>
      </c>
      <c r="Q35" s="163"/>
      <c r="R35" s="163"/>
      <c r="U35" s="55"/>
    </row>
    <row r="36" spans="2:21" s="26" customFormat="1" ht="17.100000000000001" customHeight="1" x14ac:dyDescent="0.25">
      <c r="B36" s="38">
        <v>6</v>
      </c>
      <c r="C36" s="168" t="s">
        <v>106</v>
      </c>
      <c r="D36" s="168"/>
      <c r="E36" s="168"/>
      <c r="F36" s="168"/>
      <c r="G36" s="168"/>
      <c r="H36" s="168"/>
      <c r="I36" s="168"/>
      <c r="J36" s="160" t="s">
        <v>27</v>
      </c>
      <c r="K36" s="161"/>
      <c r="L36" s="162"/>
      <c r="M36" s="160" t="s">
        <v>27</v>
      </c>
      <c r="N36" s="161"/>
      <c r="O36" s="162"/>
      <c r="P36" s="163" t="s">
        <v>27</v>
      </c>
      <c r="Q36" s="163"/>
      <c r="R36" s="163"/>
      <c r="U36" s="55"/>
    </row>
    <row r="37" spans="2:21" s="26" customFormat="1" ht="35.1" customHeight="1" x14ac:dyDescent="0.25">
      <c r="B37" s="38">
        <v>7</v>
      </c>
      <c r="C37" s="159" t="s">
        <v>19</v>
      </c>
      <c r="D37" s="159"/>
      <c r="E37" s="159"/>
      <c r="F37" s="159"/>
      <c r="G37" s="159"/>
      <c r="H37" s="159"/>
      <c r="I37" s="159"/>
      <c r="J37" s="173" t="s">
        <v>107</v>
      </c>
      <c r="K37" s="174"/>
      <c r="L37" s="175"/>
      <c r="M37" s="173" t="s">
        <v>108</v>
      </c>
      <c r="N37" s="174"/>
      <c r="O37" s="175"/>
      <c r="P37" s="176" t="s">
        <v>108</v>
      </c>
      <c r="Q37" s="176"/>
      <c r="R37" s="176"/>
      <c r="U37" s="55"/>
    </row>
    <row r="38" spans="2:21" s="26" customFormat="1" ht="35.1" customHeight="1" x14ac:dyDescent="0.25">
      <c r="B38" s="38">
        <v>8</v>
      </c>
      <c r="C38" s="159" t="s">
        <v>20</v>
      </c>
      <c r="D38" s="159"/>
      <c r="E38" s="159"/>
      <c r="F38" s="159"/>
      <c r="G38" s="159"/>
      <c r="H38" s="159"/>
      <c r="I38" s="159"/>
      <c r="J38" s="169" t="s">
        <v>28</v>
      </c>
      <c r="K38" s="170"/>
      <c r="L38" s="171"/>
      <c r="M38" s="173" t="s">
        <v>109</v>
      </c>
      <c r="N38" s="174"/>
      <c r="O38" s="175"/>
      <c r="P38" s="176" t="s">
        <v>109</v>
      </c>
      <c r="Q38" s="176"/>
      <c r="R38" s="176"/>
      <c r="U38" s="55"/>
    </row>
    <row r="39" spans="2:21" s="26" customFormat="1" ht="17.100000000000001" customHeight="1" x14ac:dyDescent="0.25">
      <c r="B39" s="38">
        <v>9</v>
      </c>
      <c r="C39" s="159" t="s">
        <v>21</v>
      </c>
      <c r="D39" s="159"/>
      <c r="E39" s="159"/>
      <c r="F39" s="159"/>
      <c r="G39" s="159"/>
      <c r="H39" s="159"/>
      <c r="I39" s="159"/>
      <c r="J39" s="169" t="s">
        <v>28</v>
      </c>
      <c r="K39" s="170"/>
      <c r="L39" s="171"/>
      <c r="M39" s="169" t="s">
        <v>28</v>
      </c>
      <c r="N39" s="170"/>
      <c r="O39" s="171"/>
      <c r="P39" s="172" t="s">
        <v>28</v>
      </c>
      <c r="Q39" s="172"/>
      <c r="R39" s="172"/>
      <c r="U39" s="55"/>
    </row>
    <row r="40" spans="2:21" s="26" customFormat="1" ht="17.100000000000001" customHeight="1" x14ac:dyDescent="0.25">
      <c r="B40" s="38">
        <v>10</v>
      </c>
      <c r="C40" s="159" t="s">
        <v>22</v>
      </c>
      <c r="D40" s="159"/>
      <c r="E40" s="159"/>
      <c r="F40" s="159"/>
      <c r="G40" s="159"/>
      <c r="H40" s="159"/>
      <c r="I40" s="159"/>
      <c r="J40" s="169" t="s">
        <v>28</v>
      </c>
      <c r="K40" s="170"/>
      <c r="L40" s="171"/>
      <c r="M40" s="169" t="s">
        <v>28</v>
      </c>
      <c r="N40" s="170"/>
      <c r="O40" s="171"/>
      <c r="P40" s="172" t="s">
        <v>28</v>
      </c>
      <c r="Q40" s="172"/>
      <c r="R40" s="172"/>
      <c r="U40" s="55"/>
    </row>
    <row r="41" spans="2:21" s="26" customFormat="1" ht="17.100000000000001" customHeight="1" x14ac:dyDescent="0.25">
      <c r="B41" s="38">
        <v>11</v>
      </c>
      <c r="C41" s="159" t="s">
        <v>23</v>
      </c>
      <c r="D41" s="159"/>
      <c r="E41" s="159"/>
      <c r="F41" s="159"/>
      <c r="G41" s="159"/>
      <c r="H41" s="159"/>
      <c r="I41" s="159"/>
      <c r="J41" s="169" t="s">
        <v>28</v>
      </c>
      <c r="K41" s="170"/>
      <c r="L41" s="171"/>
      <c r="M41" s="169" t="s">
        <v>28</v>
      </c>
      <c r="N41" s="170"/>
      <c r="O41" s="171"/>
      <c r="P41" s="172" t="s">
        <v>28</v>
      </c>
      <c r="Q41" s="172"/>
      <c r="R41" s="172"/>
      <c r="U41" s="55"/>
    </row>
    <row r="42" spans="2:21" s="26" customFormat="1" ht="17.100000000000001" customHeight="1" x14ac:dyDescent="0.25">
      <c r="B42" s="38">
        <v>12</v>
      </c>
      <c r="C42" s="159" t="s">
        <v>24</v>
      </c>
      <c r="D42" s="159"/>
      <c r="E42" s="159"/>
      <c r="F42" s="159"/>
      <c r="G42" s="159"/>
      <c r="H42" s="159"/>
      <c r="I42" s="159"/>
      <c r="J42" s="169" t="s">
        <v>28</v>
      </c>
      <c r="K42" s="170"/>
      <c r="L42" s="171"/>
      <c r="M42" s="169" t="s">
        <v>28</v>
      </c>
      <c r="N42" s="170"/>
      <c r="O42" s="171"/>
      <c r="P42" s="172" t="s">
        <v>28</v>
      </c>
      <c r="Q42" s="172"/>
      <c r="R42" s="172"/>
      <c r="U42" s="55"/>
    </row>
    <row r="43" spans="2:21" s="26" customFormat="1" ht="17.100000000000001" customHeight="1" x14ac:dyDescent="0.25">
      <c r="B43" s="38">
        <v>13</v>
      </c>
      <c r="C43" s="159" t="s">
        <v>25</v>
      </c>
      <c r="D43" s="159"/>
      <c r="E43" s="159"/>
      <c r="F43" s="159"/>
      <c r="G43" s="159"/>
      <c r="H43" s="159"/>
      <c r="I43" s="159"/>
      <c r="J43" s="169" t="s">
        <v>29</v>
      </c>
      <c r="K43" s="170"/>
      <c r="L43" s="171"/>
      <c r="M43" s="169" t="s">
        <v>29</v>
      </c>
      <c r="N43" s="170"/>
      <c r="O43" s="171"/>
      <c r="P43" s="172" t="s">
        <v>29</v>
      </c>
      <c r="Q43" s="172"/>
      <c r="R43" s="172"/>
      <c r="U43" s="55"/>
    </row>
    <row r="44" spans="2:21" s="26" customFormat="1" ht="17.100000000000001" customHeight="1" x14ac:dyDescent="0.25">
      <c r="B44" s="38">
        <v>14</v>
      </c>
      <c r="C44" s="159" t="s">
        <v>26</v>
      </c>
      <c r="D44" s="159"/>
      <c r="E44" s="159"/>
      <c r="F44" s="159"/>
      <c r="G44" s="159"/>
      <c r="H44" s="159"/>
      <c r="I44" s="159"/>
      <c r="J44" s="169" t="s">
        <v>28</v>
      </c>
      <c r="K44" s="170"/>
      <c r="L44" s="171"/>
      <c r="M44" s="169" t="s">
        <v>28</v>
      </c>
      <c r="N44" s="170"/>
      <c r="O44" s="171"/>
      <c r="P44" s="172" t="s">
        <v>28</v>
      </c>
      <c r="Q44" s="172"/>
      <c r="R44" s="172"/>
      <c r="U44" s="55"/>
    </row>
    <row r="45" spans="2:21" ht="24.95" customHeight="1" x14ac:dyDescent="0.25">
      <c r="B45" s="54" t="s">
        <v>137</v>
      </c>
      <c r="C45" s="13"/>
      <c r="D45" s="13"/>
      <c r="E45" s="13"/>
      <c r="F45" s="13"/>
      <c r="G45" s="12"/>
      <c r="H45" s="12"/>
      <c r="I45" s="12"/>
      <c r="J45" s="12"/>
      <c r="K45" s="12"/>
      <c r="L45" s="12"/>
      <c r="M45" s="12"/>
      <c r="N45" s="12"/>
      <c r="O45" s="12"/>
      <c r="U45" s="18"/>
    </row>
    <row r="46" spans="2:21" s="30" customFormat="1" ht="17.100000000000001" customHeight="1" x14ac:dyDescent="0.25">
      <c r="B46" s="164" t="s">
        <v>33</v>
      </c>
      <c r="C46" s="164"/>
      <c r="D46" s="164" t="s">
        <v>80</v>
      </c>
      <c r="E46" s="164"/>
      <c r="F46" s="164"/>
      <c r="G46" s="164"/>
      <c r="H46" s="177" t="s">
        <v>85</v>
      </c>
      <c r="I46" s="177"/>
      <c r="J46" s="177"/>
      <c r="K46" s="177" t="s">
        <v>86</v>
      </c>
      <c r="L46" s="177"/>
      <c r="M46" s="177"/>
      <c r="N46" s="177"/>
      <c r="O46" s="177"/>
      <c r="U46" s="56"/>
    </row>
    <row r="47" spans="2:21" s="11" customFormat="1" ht="17.100000000000001" customHeight="1" x14ac:dyDescent="0.25">
      <c r="B47" s="178" t="s">
        <v>81</v>
      </c>
      <c r="C47" s="178"/>
      <c r="D47" s="178" t="s">
        <v>83</v>
      </c>
      <c r="E47" s="178"/>
      <c r="F47" s="178"/>
      <c r="G47" s="178"/>
      <c r="H47" s="179" t="s">
        <v>83</v>
      </c>
      <c r="I47" s="179"/>
      <c r="J47" s="179"/>
      <c r="K47" s="179" t="s">
        <v>87</v>
      </c>
      <c r="L47" s="179"/>
      <c r="M47" s="179"/>
      <c r="N47" s="179"/>
      <c r="O47" s="179"/>
      <c r="U47" s="57"/>
    </row>
    <row r="48" spans="2:21" s="11" customFormat="1" ht="17.100000000000001" customHeight="1" x14ac:dyDescent="0.25">
      <c r="B48" s="178" t="s">
        <v>82</v>
      </c>
      <c r="C48" s="178"/>
      <c r="D48" s="178" t="s">
        <v>84</v>
      </c>
      <c r="E48" s="178"/>
      <c r="F48" s="178"/>
      <c r="G48" s="178"/>
      <c r="H48" s="179" t="s">
        <v>83</v>
      </c>
      <c r="I48" s="179"/>
      <c r="J48" s="179"/>
      <c r="K48" s="179" t="s">
        <v>83</v>
      </c>
      <c r="L48" s="179"/>
      <c r="M48" s="179"/>
      <c r="N48" s="179"/>
      <c r="O48" s="179"/>
      <c r="U48" s="57"/>
    </row>
    <row r="49" spans="2:21" s="26" customFormat="1" ht="15" customHeight="1" x14ac:dyDescent="0.25">
      <c r="B49" s="35"/>
      <c r="C49" s="29"/>
      <c r="D49" s="29"/>
      <c r="E49" s="29"/>
      <c r="F49" s="29"/>
      <c r="G49" s="29"/>
      <c r="H49" s="29"/>
      <c r="I49" s="29"/>
      <c r="J49" s="28"/>
      <c r="K49" s="28"/>
      <c r="L49" s="28"/>
      <c r="M49" s="28"/>
      <c r="N49" s="28"/>
      <c r="O49" s="28"/>
      <c r="U49" s="55"/>
    </row>
    <row r="50" spans="2:21" ht="20.100000000000001" customHeight="1" x14ac:dyDescent="0.25">
      <c r="B50" s="51" t="s">
        <v>58</v>
      </c>
      <c r="U50" s="18"/>
    </row>
    <row r="51" spans="2:21" s="25" customFormat="1" ht="20.100000000000001" customHeight="1" x14ac:dyDescent="0.25">
      <c r="B51" s="146" t="s">
        <v>1</v>
      </c>
      <c r="C51" s="148" t="s">
        <v>34</v>
      </c>
      <c r="D51" s="152"/>
      <c r="E51" s="152"/>
      <c r="F51" s="149"/>
      <c r="G51" s="148" t="s">
        <v>35</v>
      </c>
      <c r="H51" s="152"/>
      <c r="I51" s="152"/>
      <c r="J51" s="152"/>
      <c r="K51" s="149"/>
      <c r="L51" s="180" t="s">
        <v>104</v>
      </c>
      <c r="M51" s="180"/>
      <c r="N51" s="180"/>
      <c r="O51" s="180"/>
      <c r="P51" s="180"/>
      <c r="Q51" s="180"/>
      <c r="R51" s="180"/>
      <c r="S51" s="180"/>
      <c r="U51" s="58"/>
    </row>
    <row r="52" spans="2:21" s="25" customFormat="1" ht="20.100000000000001" customHeight="1" thickBot="1" x14ac:dyDescent="0.3">
      <c r="B52" s="147"/>
      <c r="C52" s="150"/>
      <c r="D52" s="153"/>
      <c r="E52" s="153"/>
      <c r="F52" s="151"/>
      <c r="G52" s="150"/>
      <c r="H52" s="153"/>
      <c r="I52" s="153"/>
      <c r="J52" s="153"/>
      <c r="K52" s="151"/>
      <c r="L52" s="142" t="s">
        <v>62</v>
      </c>
      <c r="M52" s="142"/>
      <c r="N52" s="142" t="s">
        <v>63</v>
      </c>
      <c r="O52" s="142"/>
      <c r="P52" s="142" t="s">
        <v>64</v>
      </c>
      <c r="Q52" s="142"/>
      <c r="R52" s="142" t="s">
        <v>99</v>
      </c>
      <c r="S52" s="142"/>
      <c r="U52" s="58"/>
    </row>
    <row r="53" spans="2:21" ht="42" customHeight="1" thickTop="1" x14ac:dyDescent="0.25">
      <c r="B53" s="37">
        <v>1</v>
      </c>
      <c r="C53" s="247" t="s">
        <v>186</v>
      </c>
      <c r="D53" s="247"/>
      <c r="E53" s="247"/>
      <c r="F53" s="247"/>
      <c r="G53" s="246" t="s">
        <v>185</v>
      </c>
      <c r="H53" s="246"/>
      <c r="I53" s="246"/>
      <c r="J53" s="246"/>
      <c r="K53" s="246"/>
      <c r="L53" s="245"/>
      <c r="M53" s="245"/>
      <c r="N53" s="245" t="s">
        <v>184</v>
      </c>
      <c r="O53" s="245"/>
      <c r="P53" s="245" t="s">
        <v>183</v>
      </c>
      <c r="Q53" s="245"/>
      <c r="R53" s="245" t="s">
        <v>183</v>
      </c>
      <c r="S53" s="245"/>
      <c r="U53" s="18"/>
    </row>
    <row r="54" spans="2:21" ht="24.95" customHeight="1" x14ac:dyDescent="0.25">
      <c r="B54" s="15">
        <v>2</v>
      </c>
      <c r="C54" s="244"/>
      <c r="D54" s="244"/>
      <c r="E54" s="244"/>
      <c r="F54" s="244"/>
      <c r="G54" s="243"/>
      <c r="H54" s="243"/>
      <c r="I54" s="243"/>
      <c r="J54" s="243"/>
      <c r="K54" s="243"/>
      <c r="L54" s="242"/>
      <c r="M54" s="242"/>
      <c r="N54" s="242"/>
      <c r="O54" s="242"/>
      <c r="P54" s="242"/>
      <c r="Q54" s="242"/>
      <c r="R54" s="242"/>
      <c r="S54" s="242"/>
      <c r="U54" s="18"/>
    </row>
    <row r="55" spans="2:21" ht="24.95" customHeight="1" x14ac:dyDescent="0.25">
      <c r="B55" s="54" t="s">
        <v>138</v>
      </c>
      <c r="U55" s="18"/>
    </row>
    <row r="56" spans="2:21" s="26" customFormat="1" ht="20.100000000000001" customHeight="1" x14ac:dyDescent="0.25">
      <c r="B56" s="165" t="s">
        <v>69</v>
      </c>
      <c r="C56" s="167"/>
      <c r="D56" s="165" t="s">
        <v>68</v>
      </c>
      <c r="E56" s="166"/>
      <c r="F56" s="166"/>
      <c r="G56" s="167"/>
      <c r="H56" s="164" t="s">
        <v>98</v>
      </c>
      <c r="I56" s="164"/>
      <c r="J56" s="164"/>
      <c r="K56" s="164"/>
      <c r="L56" s="28"/>
      <c r="M56" s="28"/>
      <c r="N56" s="28"/>
      <c r="O56" s="28"/>
      <c r="P56" s="28"/>
      <c r="Q56" s="28"/>
      <c r="U56" s="55"/>
    </row>
    <row r="57" spans="2:21" s="26" customFormat="1" ht="17.100000000000001" customHeight="1" x14ac:dyDescent="0.25">
      <c r="B57" s="184" t="s">
        <v>70</v>
      </c>
      <c r="C57" s="185"/>
      <c r="D57" s="186" t="s">
        <v>77</v>
      </c>
      <c r="E57" s="187"/>
      <c r="F57" s="187"/>
      <c r="G57" s="188"/>
      <c r="H57" s="195" t="s">
        <v>103</v>
      </c>
      <c r="I57" s="195"/>
      <c r="J57" s="195"/>
      <c r="K57" s="195"/>
      <c r="L57" s="28"/>
      <c r="M57" s="28"/>
      <c r="N57" s="28"/>
      <c r="O57" s="181" t="s">
        <v>101</v>
      </c>
      <c r="P57" s="182"/>
      <c r="Q57" s="183"/>
      <c r="U57" s="55"/>
    </row>
    <row r="58" spans="2:21" s="26" customFormat="1" ht="17.100000000000001" customHeight="1" x14ac:dyDescent="0.2">
      <c r="B58" s="184" t="s">
        <v>71</v>
      </c>
      <c r="C58" s="185"/>
      <c r="D58" s="186" t="s">
        <v>77</v>
      </c>
      <c r="E58" s="187"/>
      <c r="F58" s="187"/>
      <c r="G58" s="188"/>
      <c r="H58" s="195"/>
      <c r="I58" s="195"/>
      <c r="J58" s="195"/>
      <c r="K58" s="195"/>
      <c r="L58" s="28"/>
      <c r="M58" s="28"/>
      <c r="N58" s="28"/>
      <c r="O58" s="189"/>
      <c r="P58" s="190"/>
      <c r="Q58" s="191"/>
      <c r="U58" s="55"/>
    </row>
    <row r="59" spans="2:21" s="26" customFormat="1" ht="17.100000000000001" customHeight="1" x14ac:dyDescent="0.25">
      <c r="B59" s="184" t="s">
        <v>72</v>
      </c>
      <c r="C59" s="185"/>
      <c r="D59" s="186" t="s">
        <v>77</v>
      </c>
      <c r="E59" s="187"/>
      <c r="F59" s="187"/>
      <c r="G59" s="188"/>
      <c r="H59" s="195"/>
      <c r="I59" s="195"/>
      <c r="J59" s="195"/>
      <c r="K59" s="195"/>
      <c r="L59" s="28"/>
      <c r="M59" s="28"/>
      <c r="N59" s="28"/>
      <c r="O59" s="192"/>
      <c r="P59" s="193"/>
      <c r="Q59" s="194"/>
      <c r="U59" s="55"/>
    </row>
    <row r="60" spans="2:21" s="26" customFormat="1" ht="17.100000000000001" customHeight="1" x14ac:dyDescent="0.2">
      <c r="B60" s="184" t="s">
        <v>73</v>
      </c>
      <c r="C60" s="185"/>
      <c r="D60" s="186" t="s">
        <v>78</v>
      </c>
      <c r="E60" s="187"/>
      <c r="F60" s="187"/>
      <c r="G60" s="188"/>
      <c r="H60" s="195"/>
      <c r="I60" s="195"/>
      <c r="J60" s="195"/>
      <c r="K60" s="195"/>
      <c r="L60" s="28"/>
      <c r="M60" s="28"/>
      <c r="N60" s="28"/>
      <c r="O60" s="207"/>
      <c r="P60" s="208"/>
      <c r="Q60" s="209"/>
      <c r="U60" s="55"/>
    </row>
    <row r="61" spans="2:21" s="26" customFormat="1" ht="17.100000000000001" customHeight="1" x14ac:dyDescent="0.25">
      <c r="B61" s="184" t="s">
        <v>74</v>
      </c>
      <c r="C61" s="185"/>
      <c r="D61" s="186" t="s">
        <v>78</v>
      </c>
      <c r="E61" s="187"/>
      <c r="F61" s="187"/>
      <c r="G61" s="188"/>
      <c r="H61" s="195"/>
      <c r="I61" s="195"/>
      <c r="J61" s="195"/>
      <c r="K61" s="195"/>
      <c r="L61" s="28"/>
      <c r="M61" s="28"/>
      <c r="N61" s="28"/>
      <c r="O61" s="77" t="s">
        <v>100</v>
      </c>
      <c r="P61" s="80" t="s">
        <v>149</v>
      </c>
      <c r="Q61" s="78"/>
      <c r="U61" s="55"/>
    </row>
    <row r="62" spans="2:21" s="26" customFormat="1" ht="17.100000000000001" customHeight="1" x14ac:dyDescent="0.25">
      <c r="B62" s="184" t="s">
        <v>75</v>
      </c>
      <c r="C62" s="185"/>
      <c r="D62" s="186" t="s">
        <v>79</v>
      </c>
      <c r="E62" s="187"/>
      <c r="F62" s="187"/>
      <c r="G62" s="188"/>
      <c r="H62" s="195"/>
      <c r="I62" s="195"/>
      <c r="J62" s="195"/>
      <c r="K62" s="195"/>
      <c r="L62" s="28"/>
      <c r="M62" s="28"/>
      <c r="N62" s="28"/>
      <c r="O62" s="77" t="s">
        <v>141</v>
      </c>
      <c r="P62" s="83">
        <v>45398</v>
      </c>
      <c r="Q62" s="79"/>
      <c r="U62" s="55"/>
    </row>
    <row r="63" spans="2:21" s="26" customFormat="1" ht="17.100000000000001" customHeight="1" x14ac:dyDescent="0.25">
      <c r="B63" s="184" t="s">
        <v>76</v>
      </c>
      <c r="C63" s="185"/>
      <c r="D63" s="186" t="s">
        <v>79</v>
      </c>
      <c r="E63" s="187"/>
      <c r="F63" s="187"/>
      <c r="G63" s="188"/>
      <c r="H63" s="195"/>
      <c r="I63" s="195"/>
      <c r="J63" s="195"/>
      <c r="K63" s="195"/>
      <c r="L63" s="28"/>
      <c r="M63" s="28"/>
      <c r="N63" s="28"/>
      <c r="O63" s="28"/>
      <c r="P63" s="28"/>
      <c r="U63" s="55"/>
    </row>
    <row r="64" spans="2:21" s="26" customFormat="1" ht="9.9499999999999993" customHeight="1" thickBot="1" x14ac:dyDescent="0.3">
      <c r="B64" s="59"/>
      <c r="C64" s="44"/>
      <c r="D64" s="44"/>
      <c r="E64" s="44"/>
      <c r="F64" s="44"/>
      <c r="G64" s="45"/>
      <c r="H64" s="45"/>
      <c r="I64" s="45"/>
      <c r="J64" s="45"/>
      <c r="K64" s="45"/>
      <c r="L64" s="46"/>
      <c r="M64" s="46"/>
      <c r="N64" s="46"/>
      <c r="O64" s="46"/>
      <c r="P64" s="46"/>
      <c r="Q64" s="46"/>
      <c r="R64" s="47"/>
      <c r="S64" s="47"/>
      <c r="T64" s="47"/>
      <c r="U64" s="60"/>
    </row>
    <row r="65" spans="2:21" s="12" customFormat="1" ht="17.100000000000001" customHeight="1" thickTop="1" x14ac:dyDescent="0.25">
      <c r="B65" s="196" t="s">
        <v>123</v>
      </c>
      <c r="C65" s="197"/>
      <c r="D65" s="197"/>
      <c r="E65" s="197"/>
      <c r="F65" s="197"/>
      <c r="G65" s="197"/>
      <c r="H65" s="197"/>
      <c r="I65" s="197"/>
      <c r="J65" s="61"/>
      <c r="K65" s="61"/>
      <c r="L65" s="62"/>
      <c r="M65" s="62"/>
      <c r="N65" s="62"/>
      <c r="O65" s="62"/>
      <c r="P65" s="62"/>
      <c r="Q65" s="62"/>
      <c r="R65" s="200" t="s">
        <v>132</v>
      </c>
      <c r="S65" s="201"/>
      <c r="T65" s="201"/>
      <c r="U65" s="202"/>
    </row>
    <row r="66" spans="2:21" s="12" customFormat="1" ht="17.100000000000001" customHeight="1" x14ac:dyDescent="0.25">
      <c r="B66" s="198"/>
      <c r="C66" s="199"/>
      <c r="D66" s="199"/>
      <c r="E66" s="199"/>
      <c r="F66" s="199"/>
      <c r="G66" s="199"/>
      <c r="H66" s="199"/>
      <c r="I66" s="199"/>
      <c r="J66" s="61"/>
      <c r="K66" s="61"/>
      <c r="L66" s="62"/>
      <c r="M66" s="62"/>
      <c r="N66" s="62"/>
      <c r="O66" s="62"/>
      <c r="P66" s="62"/>
      <c r="Q66" s="62"/>
      <c r="R66" s="203" t="s">
        <v>124</v>
      </c>
      <c r="S66" s="203"/>
      <c r="T66" s="203"/>
      <c r="U66" s="203"/>
    </row>
    <row r="67" spans="2:21" s="25" customFormat="1" ht="17.100000000000001" customHeight="1" x14ac:dyDescent="0.25">
      <c r="B67" s="64" t="s">
        <v>111</v>
      </c>
      <c r="C67" s="204" t="s">
        <v>112</v>
      </c>
      <c r="D67" s="205"/>
      <c r="E67" s="205"/>
      <c r="F67" s="205"/>
      <c r="G67" s="205"/>
      <c r="H67" s="205"/>
      <c r="I67" s="205"/>
      <c r="J67" s="205"/>
      <c r="K67" s="206"/>
      <c r="L67" s="64" t="s">
        <v>119</v>
      </c>
      <c r="M67" s="204" t="s">
        <v>125</v>
      </c>
      <c r="N67" s="205"/>
      <c r="O67" s="205"/>
      <c r="P67" s="205"/>
      <c r="Q67" s="206"/>
      <c r="R67" s="203" t="s">
        <v>134</v>
      </c>
      <c r="S67" s="203"/>
      <c r="T67" s="203" t="s">
        <v>135</v>
      </c>
      <c r="U67" s="203"/>
    </row>
    <row r="68" spans="2:21" s="12" customFormat="1" ht="17.100000000000001" customHeight="1" x14ac:dyDescent="0.25">
      <c r="B68" s="15">
        <v>1</v>
      </c>
      <c r="C68" s="210" t="s">
        <v>113</v>
      </c>
      <c r="D68" s="211"/>
      <c r="E68" s="211"/>
      <c r="F68" s="211"/>
      <c r="G68" s="211"/>
      <c r="H68" s="211"/>
      <c r="I68" s="211"/>
      <c r="J68" s="211"/>
      <c r="K68" s="212"/>
      <c r="L68" s="15" t="s">
        <v>120</v>
      </c>
      <c r="M68" s="213" t="s">
        <v>128</v>
      </c>
      <c r="N68" s="106"/>
      <c r="O68" s="106"/>
      <c r="P68" s="106"/>
      <c r="Q68" s="106"/>
      <c r="R68" s="239">
        <f>+C13-15</f>
        <v>45396</v>
      </c>
      <c r="S68" s="240"/>
      <c r="T68" s="239">
        <v>45398</v>
      </c>
      <c r="U68" s="239"/>
    </row>
    <row r="69" spans="2:21" s="12" customFormat="1" ht="17.100000000000001" customHeight="1" x14ac:dyDescent="0.25">
      <c r="B69" s="15">
        <v>2</v>
      </c>
      <c r="C69" s="210" t="s">
        <v>114</v>
      </c>
      <c r="D69" s="211"/>
      <c r="E69" s="211"/>
      <c r="F69" s="211"/>
      <c r="G69" s="211"/>
      <c r="H69" s="211"/>
      <c r="I69" s="211"/>
      <c r="J69" s="211"/>
      <c r="K69" s="212"/>
      <c r="L69" s="15" t="s">
        <v>121</v>
      </c>
      <c r="M69" s="213" t="s">
        <v>127</v>
      </c>
      <c r="N69" s="106"/>
      <c r="O69" s="106"/>
      <c r="P69" s="106"/>
      <c r="Q69" s="106"/>
      <c r="R69" s="239">
        <f>+C13-13</f>
        <v>45398</v>
      </c>
      <c r="S69" s="240"/>
      <c r="T69" s="239">
        <v>45398</v>
      </c>
      <c r="U69" s="239"/>
    </row>
    <row r="70" spans="2:21" s="12" customFormat="1" ht="17.100000000000001" customHeight="1" x14ac:dyDescent="0.25">
      <c r="B70" s="15">
        <v>3</v>
      </c>
      <c r="C70" s="210" t="s">
        <v>139</v>
      </c>
      <c r="D70" s="211"/>
      <c r="E70" s="211"/>
      <c r="F70" s="211"/>
      <c r="G70" s="211"/>
      <c r="H70" s="211"/>
      <c r="I70" s="211"/>
      <c r="J70" s="211"/>
      <c r="K70" s="212"/>
      <c r="L70" s="15" t="s">
        <v>120</v>
      </c>
      <c r="M70" s="213" t="s">
        <v>126</v>
      </c>
      <c r="N70" s="106"/>
      <c r="O70" s="106"/>
      <c r="P70" s="106"/>
      <c r="Q70" s="106"/>
      <c r="R70" s="239">
        <f>+C13-10</f>
        <v>45401</v>
      </c>
      <c r="S70" s="240"/>
      <c r="T70" s="239"/>
      <c r="U70" s="239"/>
    </row>
    <row r="71" spans="2:21" s="12" customFormat="1" ht="17.100000000000001" customHeight="1" x14ac:dyDescent="0.25">
      <c r="B71" s="15">
        <v>4</v>
      </c>
      <c r="C71" s="210" t="s">
        <v>115</v>
      </c>
      <c r="D71" s="211"/>
      <c r="E71" s="211"/>
      <c r="F71" s="211"/>
      <c r="G71" s="211"/>
      <c r="H71" s="211"/>
      <c r="I71" s="211"/>
      <c r="J71" s="211"/>
      <c r="K71" s="212"/>
      <c r="L71" s="15" t="s">
        <v>121</v>
      </c>
      <c r="M71" s="213" t="s">
        <v>131</v>
      </c>
      <c r="N71" s="106"/>
      <c r="O71" s="106"/>
      <c r="P71" s="106"/>
      <c r="Q71" s="106"/>
      <c r="R71" s="239">
        <f>+C13-8</f>
        <v>45403</v>
      </c>
      <c r="S71" s="240"/>
      <c r="T71" s="239"/>
      <c r="U71" s="239"/>
    </row>
    <row r="72" spans="2:21" s="12" customFormat="1" ht="17.100000000000001" customHeight="1" x14ac:dyDescent="0.25">
      <c r="B72" s="15">
        <v>5</v>
      </c>
      <c r="C72" s="210" t="s">
        <v>116</v>
      </c>
      <c r="D72" s="211"/>
      <c r="E72" s="211"/>
      <c r="F72" s="211"/>
      <c r="G72" s="211"/>
      <c r="H72" s="211"/>
      <c r="I72" s="211"/>
      <c r="J72" s="211"/>
      <c r="K72" s="212"/>
      <c r="L72" s="15" t="s">
        <v>120</v>
      </c>
      <c r="M72" s="213" t="s">
        <v>145</v>
      </c>
      <c r="N72" s="106"/>
      <c r="O72" s="106"/>
      <c r="P72" s="106"/>
      <c r="Q72" s="106"/>
      <c r="R72" s="241">
        <v>45402</v>
      </c>
      <c r="S72" s="241"/>
      <c r="T72" s="239"/>
      <c r="U72" s="239"/>
    </row>
    <row r="73" spans="2:21" s="12" customFormat="1" ht="17.100000000000001" customHeight="1" x14ac:dyDescent="0.25">
      <c r="B73" s="15">
        <v>6</v>
      </c>
      <c r="C73" s="210" t="s">
        <v>117</v>
      </c>
      <c r="D73" s="211"/>
      <c r="E73" s="211"/>
      <c r="F73" s="211"/>
      <c r="G73" s="211"/>
      <c r="H73" s="211"/>
      <c r="I73" s="211"/>
      <c r="J73" s="211"/>
      <c r="K73" s="212"/>
      <c r="L73" s="15" t="s">
        <v>120</v>
      </c>
      <c r="M73" s="213" t="s">
        <v>142</v>
      </c>
      <c r="N73" s="106"/>
      <c r="O73" s="106"/>
      <c r="P73" s="106"/>
      <c r="Q73" s="106"/>
      <c r="R73" s="239">
        <f>+R71+7</f>
        <v>45410</v>
      </c>
      <c r="S73" s="240"/>
      <c r="T73" s="239"/>
      <c r="U73" s="239"/>
    </row>
    <row r="74" spans="2:21" s="12" customFormat="1" ht="17.100000000000001" customHeight="1" x14ac:dyDescent="0.25">
      <c r="B74" s="15">
        <v>7</v>
      </c>
      <c r="C74" s="210" t="s">
        <v>122</v>
      </c>
      <c r="D74" s="211"/>
      <c r="E74" s="211"/>
      <c r="F74" s="211"/>
      <c r="G74" s="211"/>
      <c r="H74" s="211"/>
      <c r="I74" s="211"/>
      <c r="J74" s="211"/>
      <c r="K74" s="212"/>
      <c r="L74" s="15" t="s">
        <v>121</v>
      </c>
      <c r="M74" s="213" t="s">
        <v>130</v>
      </c>
      <c r="N74" s="106"/>
      <c r="O74" s="106"/>
      <c r="P74" s="106"/>
      <c r="Q74" s="106"/>
      <c r="R74" s="239">
        <f>+C13-7</f>
        <v>45404</v>
      </c>
      <c r="S74" s="240"/>
      <c r="T74" s="239"/>
      <c r="U74" s="239"/>
    </row>
    <row r="75" spans="2:21" s="12" customFormat="1" ht="17.100000000000001" customHeight="1" x14ac:dyDescent="0.25">
      <c r="B75" s="15">
        <v>8</v>
      </c>
      <c r="C75" s="210" t="s">
        <v>118</v>
      </c>
      <c r="D75" s="211"/>
      <c r="E75" s="211"/>
      <c r="F75" s="211"/>
      <c r="G75" s="211"/>
      <c r="H75" s="211"/>
      <c r="I75" s="211"/>
      <c r="J75" s="211"/>
      <c r="K75" s="212"/>
      <c r="L75" s="15" t="s">
        <v>121</v>
      </c>
      <c r="M75" s="213" t="s">
        <v>129</v>
      </c>
      <c r="N75" s="106"/>
      <c r="O75" s="106"/>
      <c r="P75" s="106"/>
      <c r="Q75" s="106"/>
      <c r="R75" s="239">
        <f>+C13-1</f>
        <v>45410</v>
      </c>
      <c r="S75" s="240"/>
      <c r="T75" s="239"/>
      <c r="U75" s="239"/>
    </row>
    <row r="76" spans="2:21" s="12" customFormat="1" ht="17.100000000000001" customHeight="1" x14ac:dyDescent="0.25">
      <c r="B76" s="15">
        <v>9</v>
      </c>
      <c r="C76" s="210" t="s">
        <v>133</v>
      </c>
      <c r="D76" s="211"/>
      <c r="E76" s="211"/>
      <c r="F76" s="211"/>
      <c r="G76" s="211"/>
      <c r="H76" s="211"/>
      <c r="I76" s="211"/>
      <c r="J76" s="211"/>
      <c r="K76" s="212"/>
      <c r="L76" s="15" t="s">
        <v>121</v>
      </c>
      <c r="M76" s="213" t="s">
        <v>129</v>
      </c>
      <c r="N76" s="106"/>
      <c r="O76" s="106"/>
      <c r="P76" s="106"/>
      <c r="Q76" s="106"/>
      <c r="R76" s="239">
        <f>+C13-1</f>
        <v>45410</v>
      </c>
      <c r="S76" s="240"/>
      <c r="T76" s="239"/>
      <c r="U76" s="239"/>
    </row>
    <row r="77" spans="2:21" s="12" customFormat="1" ht="17.100000000000001" customHeight="1" x14ac:dyDescent="0.25">
      <c r="B77" s="63"/>
      <c r="C77" s="61"/>
      <c r="D77" s="61"/>
      <c r="E77" s="61"/>
      <c r="F77" s="61"/>
      <c r="G77" s="61"/>
      <c r="H77" s="61"/>
      <c r="I77" s="61"/>
      <c r="J77" s="61"/>
      <c r="K77" s="61"/>
      <c r="L77" s="62"/>
      <c r="M77" s="62"/>
      <c r="N77" s="62"/>
      <c r="O77" s="62"/>
      <c r="P77" s="62"/>
      <c r="Q77" s="62"/>
      <c r="U77" s="53"/>
    </row>
    <row r="78" spans="2:21" s="11" customFormat="1" ht="15" customHeight="1" x14ac:dyDescent="0.25">
      <c r="B78" s="214" t="s">
        <v>96</v>
      </c>
      <c r="C78" s="215"/>
      <c r="D78" s="215"/>
      <c r="E78" s="215"/>
      <c r="F78" s="216"/>
      <c r="G78" s="223"/>
      <c r="H78" s="226" t="s">
        <v>97</v>
      </c>
      <c r="I78" s="227"/>
      <c r="J78" s="24"/>
      <c r="K78" s="232"/>
      <c r="L78" s="233"/>
      <c r="M78" s="233"/>
      <c r="N78" s="234"/>
      <c r="O78" s="232"/>
      <c r="P78" s="234"/>
      <c r="Q78" s="24"/>
      <c r="R78" s="24"/>
      <c r="S78" s="232"/>
      <c r="T78" s="234"/>
      <c r="U78" s="24"/>
    </row>
    <row r="79" spans="2:21" s="11" customFormat="1" ht="15" customHeight="1" x14ac:dyDescent="0.25">
      <c r="B79" s="217"/>
      <c r="C79" s="218"/>
      <c r="D79" s="218"/>
      <c r="E79" s="218"/>
      <c r="F79" s="219"/>
      <c r="G79" s="224"/>
      <c r="H79" s="228"/>
      <c r="I79" s="229"/>
      <c r="J79" s="24"/>
      <c r="K79" s="232"/>
      <c r="L79" s="233"/>
      <c r="M79" s="233"/>
      <c r="N79" s="234"/>
      <c r="O79" s="232"/>
      <c r="P79" s="234"/>
      <c r="Q79" s="24"/>
      <c r="R79" s="24"/>
      <c r="S79" s="232"/>
      <c r="T79" s="234"/>
      <c r="U79" s="24"/>
    </row>
    <row r="80" spans="2:21" s="11" customFormat="1" ht="15" customHeight="1" x14ac:dyDescent="0.25">
      <c r="B80" s="217"/>
      <c r="C80" s="218"/>
      <c r="D80" s="218"/>
      <c r="E80" s="218"/>
      <c r="F80" s="219"/>
      <c r="G80" s="224"/>
      <c r="H80" s="228"/>
      <c r="I80" s="229"/>
      <c r="J80" s="24"/>
      <c r="K80" s="32"/>
      <c r="L80" s="33"/>
      <c r="M80" s="33"/>
      <c r="N80" s="34"/>
      <c r="O80" s="32"/>
      <c r="P80" s="34"/>
      <c r="Q80" s="24"/>
      <c r="R80" s="24"/>
      <c r="S80" s="32"/>
      <c r="T80" s="34"/>
      <c r="U80" s="24"/>
    </row>
    <row r="81" spans="2:21" s="11" customFormat="1" ht="15" customHeight="1" x14ac:dyDescent="0.25">
      <c r="B81" s="217"/>
      <c r="C81" s="218"/>
      <c r="D81" s="218"/>
      <c r="E81" s="218"/>
      <c r="F81" s="219"/>
      <c r="G81" s="224"/>
      <c r="H81" s="228"/>
      <c r="I81" s="229"/>
      <c r="J81" s="24"/>
      <c r="K81" s="232"/>
      <c r="L81" s="233"/>
      <c r="M81" s="233"/>
      <c r="N81" s="234"/>
      <c r="O81" s="232"/>
      <c r="P81" s="234"/>
      <c r="Q81" s="24"/>
      <c r="R81" s="24"/>
      <c r="S81" s="232"/>
      <c r="T81" s="234"/>
      <c r="U81" s="24"/>
    </row>
    <row r="82" spans="2:21" s="11" customFormat="1" ht="15" customHeight="1" x14ac:dyDescent="0.25">
      <c r="B82" s="217"/>
      <c r="C82" s="218"/>
      <c r="D82" s="218"/>
      <c r="E82" s="218"/>
      <c r="F82" s="219"/>
      <c r="G82" s="224"/>
      <c r="H82" s="228"/>
      <c r="I82" s="229"/>
      <c r="J82" s="24">
        <v>0</v>
      </c>
      <c r="K82" s="232" t="s">
        <v>95</v>
      </c>
      <c r="L82" s="233"/>
      <c r="M82" s="233"/>
      <c r="N82" s="234"/>
      <c r="O82" s="235">
        <v>45112</v>
      </c>
      <c r="P82" s="234"/>
      <c r="Q82" s="24" t="s">
        <v>38</v>
      </c>
      <c r="R82" s="24" t="s">
        <v>7</v>
      </c>
      <c r="S82" s="232" t="s">
        <v>7</v>
      </c>
      <c r="T82" s="234"/>
      <c r="U82" s="24" t="s">
        <v>7</v>
      </c>
    </row>
    <row r="83" spans="2:21" s="3" customFormat="1" ht="15" customHeight="1" x14ac:dyDescent="0.25">
      <c r="B83" s="220"/>
      <c r="C83" s="221"/>
      <c r="D83" s="221"/>
      <c r="E83" s="221"/>
      <c r="F83" s="222"/>
      <c r="G83" s="225"/>
      <c r="H83" s="230"/>
      <c r="I83" s="231"/>
      <c r="J83" s="31" t="s">
        <v>94</v>
      </c>
      <c r="K83" s="236" t="s">
        <v>93</v>
      </c>
      <c r="L83" s="237"/>
      <c r="M83" s="237"/>
      <c r="N83" s="238"/>
      <c r="O83" s="236" t="s">
        <v>5</v>
      </c>
      <c r="P83" s="238"/>
      <c r="Q83" s="31" t="s">
        <v>90</v>
      </c>
      <c r="R83" s="31" t="s">
        <v>91</v>
      </c>
      <c r="S83" s="236" t="s">
        <v>92</v>
      </c>
      <c r="T83" s="238"/>
      <c r="U83" s="31" t="s">
        <v>90</v>
      </c>
    </row>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row r="89" spans="2:21" ht="20.100000000000001" customHeight="1" x14ac:dyDescent="0.25"/>
  </sheetData>
  <mergeCells count="247">
    <mergeCell ref="R52:S52"/>
    <mergeCell ref="R53:S53"/>
    <mergeCell ref="R54:S54"/>
    <mergeCell ref="B51:B52"/>
    <mergeCell ref="D59:G59"/>
    <mergeCell ref="G54:K54"/>
    <mergeCell ref="C53:F53"/>
    <mergeCell ref="O58:Q58"/>
    <mergeCell ref="D56:G56"/>
    <mergeCell ref="P52:Q52"/>
    <mergeCell ref="D57:G57"/>
    <mergeCell ref="D58:G58"/>
    <mergeCell ref="B62:C62"/>
    <mergeCell ref="P53:Q53"/>
    <mergeCell ref="P54:Q54"/>
    <mergeCell ref="T73:U73"/>
    <mergeCell ref="T74:U74"/>
    <mergeCell ref="R66:U66"/>
    <mergeCell ref="R65:U65"/>
    <mergeCell ref="C68:K68"/>
    <mergeCell ref="R67:S67"/>
    <mergeCell ref="T67:U67"/>
    <mergeCell ref="R72:S72"/>
    <mergeCell ref="R73:S73"/>
    <mergeCell ref="R74:S74"/>
    <mergeCell ref="R75:S75"/>
    <mergeCell ref="M72:Q72"/>
    <mergeCell ref="T68:U68"/>
    <mergeCell ref="T69:U69"/>
    <mergeCell ref="T70:U70"/>
    <mergeCell ref="T71:U71"/>
    <mergeCell ref="T72:U72"/>
    <mergeCell ref="T75:U75"/>
    <mergeCell ref="M73:Q73"/>
    <mergeCell ref="M74:Q74"/>
    <mergeCell ref="M75:Q75"/>
    <mergeCell ref="R68:S68"/>
    <mergeCell ref="R69:S69"/>
    <mergeCell ref="R70:S70"/>
    <mergeCell ref="R71:S71"/>
    <mergeCell ref="M68:Q68"/>
    <mergeCell ref="M69:Q69"/>
    <mergeCell ref="D46:G46"/>
    <mergeCell ref="D47:G47"/>
    <mergeCell ref="D48:G48"/>
    <mergeCell ref="C43:I43"/>
    <mergeCell ref="K47:O47"/>
    <mergeCell ref="H46:J46"/>
    <mergeCell ref="H47:J47"/>
    <mergeCell ref="H48:J48"/>
    <mergeCell ref="G51:K52"/>
    <mergeCell ref="L52:M52"/>
    <mergeCell ref="N52:O52"/>
    <mergeCell ref="M42:O42"/>
    <mergeCell ref="C41:I41"/>
    <mergeCell ref="J41:L41"/>
    <mergeCell ref="M43:O43"/>
    <mergeCell ref="C44:I44"/>
    <mergeCell ref="B47:C47"/>
    <mergeCell ref="B48:C48"/>
    <mergeCell ref="M39:O39"/>
    <mergeCell ref="M40:O40"/>
    <mergeCell ref="M41:O41"/>
    <mergeCell ref="K46:O46"/>
    <mergeCell ref="J42:L42"/>
    <mergeCell ref="P40:R40"/>
    <mergeCell ref="P41:R41"/>
    <mergeCell ref="P42:R42"/>
    <mergeCell ref="P43:R43"/>
    <mergeCell ref="P44:R44"/>
    <mergeCell ref="C42:I42"/>
    <mergeCell ref="L51:S51"/>
    <mergeCell ref="L53:M53"/>
    <mergeCell ref="L54:M54"/>
    <mergeCell ref="N53:O53"/>
    <mergeCell ref="N54:O54"/>
    <mergeCell ref="C54:F54"/>
    <mergeCell ref="K48:O48"/>
    <mergeCell ref="G53:K53"/>
    <mergeCell ref="C51:F52"/>
    <mergeCell ref="P39:R39"/>
    <mergeCell ref="B61:C61"/>
    <mergeCell ref="B46:C46"/>
    <mergeCell ref="M38:O38"/>
    <mergeCell ref="J39:L39"/>
    <mergeCell ref="J40:L40"/>
    <mergeCell ref="H56:K56"/>
    <mergeCell ref="C39:I39"/>
    <mergeCell ref="C40:I40"/>
    <mergeCell ref="M44:O44"/>
    <mergeCell ref="O57:Q57"/>
    <mergeCell ref="C73:K73"/>
    <mergeCell ref="C74:K74"/>
    <mergeCell ref="C70:K70"/>
    <mergeCell ref="C71:K71"/>
    <mergeCell ref="M67:Q67"/>
    <mergeCell ref="M70:Q70"/>
    <mergeCell ref="M71:Q71"/>
    <mergeCell ref="D61:G61"/>
    <mergeCell ref="D62:G62"/>
    <mergeCell ref="O81:P81"/>
    <mergeCell ref="O82:P82"/>
    <mergeCell ref="O83:P83"/>
    <mergeCell ref="O78:P78"/>
    <mergeCell ref="O59:Q59"/>
    <mergeCell ref="O60:Q60"/>
    <mergeCell ref="B56:C56"/>
    <mergeCell ref="B57:C57"/>
    <mergeCell ref="B58:C58"/>
    <mergeCell ref="B59:C59"/>
    <mergeCell ref="B60:C60"/>
    <mergeCell ref="B78:F83"/>
    <mergeCell ref="B63:C63"/>
    <mergeCell ref="D63:G63"/>
    <mergeCell ref="K81:N81"/>
    <mergeCell ref="K82:N82"/>
    <mergeCell ref="J43:L43"/>
    <mergeCell ref="J44:L44"/>
    <mergeCell ref="C75:K75"/>
    <mergeCell ref="C67:K67"/>
    <mergeCell ref="C72:K72"/>
    <mergeCell ref="D60:G60"/>
    <mergeCell ref="B65:I66"/>
    <mergeCell ref="C69:K69"/>
    <mergeCell ref="S81:T81"/>
    <mergeCell ref="S82:T82"/>
    <mergeCell ref="G78:G83"/>
    <mergeCell ref="C76:K76"/>
    <mergeCell ref="H78:I83"/>
    <mergeCell ref="S83:T83"/>
    <mergeCell ref="T76:U76"/>
    <mergeCell ref="R76:S76"/>
    <mergeCell ref="M76:Q76"/>
    <mergeCell ref="K83:N83"/>
    <mergeCell ref="I26:I27"/>
    <mergeCell ref="J27:K27"/>
    <mergeCell ref="K13:L13"/>
    <mergeCell ref="I16:J16"/>
    <mergeCell ref="S78:T78"/>
    <mergeCell ref="S79:T79"/>
    <mergeCell ref="K78:N78"/>
    <mergeCell ref="K79:N79"/>
    <mergeCell ref="O79:P79"/>
    <mergeCell ref="H57:K63"/>
    <mergeCell ref="J26:M26"/>
    <mergeCell ref="J28:K28"/>
    <mergeCell ref="N23:O23"/>
    <mergeCell ref="M30:O30"/>
    <mergeCell ref="M31:O31"/>
    <mergeCell ref="M32:O32"/>
    <mergeCell ref="P36:R36"/>
    <mergeCell ref="P37:R37"/>
    <mergeCell ref="P23:Q23"/>
    <mergeCell ref="P22:Q22"/>
    <mergeCell ref="I12:J12"/>
    <mergeCell ref="P31:R31"/>
    <mergeCell ref="P32:R32"/>
    <mergeCell ref="P33:R33"/>
    <mergeCell ref="P34:R34"/>
    <mergeCell ref="L22:M22"/>
    <mergeCell ref="J38:L38"/>
    <mergeCell ref="M36:O36"/>
    <mergeCell ref="M37:O37"/>
    <mergeCell ref="C36:I36"/>
    <mergeCell ref="C37:I37"/>
    <mergeCell ref="G28:H28"/>
    <mergeCell ref="M34:O34"/>
    <mergeCell ref="M35:O35"/>
    <mergeCell ref="J30:L30"/>
    <mergeCell ref="M33:O33"/>
    <mergeCell ref="D28:E28"/>
    <mergeCell ref="C38:I38"/>
    <mergeCell ref="J33:L33"/>
    <mergeCell ref="J34:L34"/>
    <mergeCell ref="C30:I30"/>
    <mergeCell ref="C31:I31"/>
    <mergeCell ref="C32:I32"/>
    <mergeCell ref="C33:I33"/>
    <mergeCell ref="J36:L36"/>
    <mergeCell ref="J37:L37"/>
    <mergeCell ref="G26:H27"/>
    <mergeCell ref="R22:S22"/>
    <mergeCell ref="P38:R38"/>
    <mergeCell ref="C34:I34"/>
    <mergeCell ref="C35:I35"/>
    <mergeCell ref="J31:L31"/>
    <mergeCell ref="J32:L32"/>
    <mergeCell ref="P30:R30"/>
    <mergeCell ref="J35:L35"/>
    <mergeCell ref="P35:R35"/>
    <mergeCell ref="G13:H13"/>
    <mergeCell ref="T23:U23"/>
    <mergeCell ref="R23:S23"/>
    <mergeCell ref="K12:L12"/>
    <mergeCell ref="M12:Q12"/>
    <mergeCell ref="I13:J13"/>
    <mergeCell ref="T21:U21"/>
    <mergeCell ref="Y12:Z12"/>
    <mergeCell ref="C23:D23"/>
    <mergeCell ref="E23:F23"/>
    <mergeCell ref="C22:D22"/>
    <mergeCell ref="L28:M28"/>
    <mergeCell ref="N28:U28"/>
    <mergeCell ref="L27:M27"/>
    <mergeCell ref="N26:U27"/>
    <mergeCell ref="L23:M23"/>
    <mergeCell ref="E21:F21"/>
    <mergeCell ref="G16:H16"/>
    <mergeCell ref="K16:L16"/>
    <mergeCell ref="D14:E14"/>
    <mergeCell ref="G14:H14"/>
    <mergeCell ref="I14:J14"/>
    <mergeCell ref="B26:B27"/>
    <mergeCell ref="C26:F27"/>
    <mergeCell ref="B20:B21"/>
    <mergeCell ref="E20:G20"/>
    <mergeCell ref="H20:I20"/>
    <mergeCell ref="N3:U5"/>
    <mergeCell ref="N21:O21"/>
    <mergeCell ref="N20:Q20"/>
    <mergeCell ref="N22:O22"/>
    <mergeCell ref="B3:H6"/>
    <mergeCell ref="G12:H12"/>
    <mergeCell ref="C20:D21"/>
    <mergeCell ref="D13:E13"/>
    <mergeCell ref="C12:F12"/>
    <mergeCell ref="T22:U22"/>
    <mergeCell ref="K14:L14"/>
    <mergeCell ref="E22:F22"/>
    <mergeCell ref="N6:O6"/>
    <mergeCell ref="R21:S21"/>
    <mergeCell ref="R20:U20"/>
    <mergeCell ref="P21:Q21"/>
    <mergeCell ref="L20:M21"/>
    <mergeCell ref="K20:K21"/>
    <mergeCell ref="T6:U6"/>
    <mergeCell ref="D16:E16"/>
    <mergeCell ref="D15:E15"/>
    <mergeCell ref="G15:H15"/>
    <mergeCell ref="I15:J15"/>
    <mergeCell ref="K15:L15"/>
    <mergeCell ref="T2:U2"/>
    <mergeCell ref="R6:S6"/>
    <mergeCell ref="R2:S2"/>
    <mergeCell ref="P6:Q6"/>
    <mergeCell ref="P2:Q2"/>
    <mergeCell ref="N2:O2"/>
  </mergeCells>
  <printOptions horizontalCentered="1" verticalCentered="1"/>
  <pageMargins left="0" right="0" top="0" bottom="0" header="0" footer="0"/>
  <pageSetup paperSize="9" scale="4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AF11-F578-47D5-9268-F854D4CA7C42}">
  <sheetPr>
    <tabColor rgb="FFFFFF00"/>
    <pageSetUpPr fitToPage="1"/>
  </sheetPr>
  <dimension ref="B1:T92"/>
  <sheetViews>
    <sheetView showGridLines="0" view="pageBreakPreview" topLeftCell="A15" zoomScale="85" zoomScaleNormal="85" zoomScaleSheetLayoutView="85" workbookViewId="0">
      <selection activeCell="B47" sqref="B47:P48"/>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499" t="s">
        <v>102</v>
      </c>
    </row>
    <row r="2" spans="2:16" ht="15" customHeight="1" x14ac:dyDescent="0.25">
      <c r="B2" s="498" t="s">
        <v>258</v>
      </c>
      <c r="C2" s="99"/>
      <c r="D2" s="99"/>
      <c r="E2" s="99"/>
      <c r="F2" s="99"/>
      <c r="G2" s="497"/>
      <c r="H2" s="497"/>
      <c r="I2" s="496" t="s">
        <v>44</v>
      </c>
      <c r="J2" s="495" t="s">
        <v>45</v>
      </c>
      <c r="K2" s="495" t="s">
        <v>257</v>
      </c>
      <c r="L2" s="494"/>
      <c r="M2" s="294" t="s">
        <v>50</v>
      </c>
      <c r="N2" s="294" t="s">
        <v>49</v>
      </c>
      <c r="O2" s="294" t="s">
        <v>37</v>
      </c>
      <c r="P2" s="294" t="s">
        <v>36</v>
      </c>
    </row>
    <row r="3" spans="2:16" ht="15" customHeight="1" x14ac:dyDescent="0.25">
      <c r="B3" s="493" t="s">
        <v>256</v>
      </c>
      <c r="C3" s="492"/>
      <c r="D3" s="492"/>
      <c r="E3" s="492"/>
      <c r="F3" s="492"/>
      <c r="G3" s="492"/>
      <c r="H3" s="492"/>
      <c r="I3" s="491"/>
      <c r="J3" s="490" t="s">
        <v>5</v>
      </c>
      <c r="K3" s="490" t="s">
        <v>255</v>
      </c>
      <c r="L3" s="489"/>
      <c r="M3" s="122" t="s">
        <v>143</v>
      </c>
      <c r="N3" s="123"/>
      <c r="O3" s="123"/>
      <c r="P3" s="124"/>
    </row>
    <row r="4" spans="2:16" ht="15" customHeight="1" x14ac:dyDescent="0.25">
      <c r="B4" s="488"/>
      <c r="C4" s="487"/>
      <c r="D4" s="487"/>
      <c r="E4" s="487"/>
      <c r="F4" s="487"/>
      <c r="G4" s="487"/>
      <c r="H4" s="487"/>
      <c r="I4" s="486"/>
      <c r="J4" s="490" t="s">
        <v>46</v>
      </c>
      <c r="K4" s="490" t="s">
        <v>254</v>
      </c>
      <c r="L4" s="489"/>
      <c r="M4" s="125"/>
      <c r="N4" s="126"/>
      <c r="O4" s="126"/>
      <c r="P4" s="127"/>
    </row>
    <row r="5" spans="2:16" ht="15" customHeight="1" x14ac:dyDescent="0.25">
      <c r="B5" s="488"/>
      <c r="C5" s="487"/>
      <c r="D5" s="487"/>
      <c r="E5" s="487"/>
      <c r="F5" s="487"/>
      <c r="G5" s="487"/>
      <c r="H5" s="487"/>
      <c r="I5" s="486"/>
      <c r="J5" s="490" t="s">
        <v>253</v>
      </c>
      <c r="K5" s="490" t="s">
        <v>252</v>
      </c>
      <c r="L5" s="489"/>
      <c r="M5" s="128"/>
      <c r="N5" s="129"/>
      <c r="O5" s="129"/>
      <c r="P5" s="130"/>
    </row>
    <row r="6" spans="2:16" ht="15" customHeight="1" x14ac:dyDescent="0.25">
      <c r="B6" s="488"/>
      <c r="C6" s="487"/>
      <c r="D6" s="487"/>
      <c r="E6" s="487"/>
      <c r="F6" s="487"/>
      <c r="G6" s="487"/>
      <c r="H6" s="487"/>
      <c r="I6" s="486"/>
      <c r="J6" s="485" t="s">
        <v>48</v>
      </c>
      <c r="K6" s="485" t="s">
        <v>251</v>
      </c>
      <c r="L6" s="484"/>
      <c r="M6" s="483" t="s">
        <v>51</v>
      </c>
      <c r="N6" s="483" t="s">
        <v>40</v>
      </c>
      <c r="O6" s="483" t="s">
        <v>39</v>
      </c>
      <c r="P6" s="483" t="s">
        <v>250</v>
      </c>
    </row>
    <row r="7" spans="2:16" ht="9.9499999999999993" customHeight="1" x14ac:dyDescent="0.25">
      <c r="B7" s="482"/>
      <c r="C7" s="17"/>
      <c r="D7" s="17"/>
      <c r="E7" s="17"/>
      <c r="F7" s="17"/>
      <c r="G7" s="75"/>
      <c r="H7" s="75"/>
      <c r="I7" s="75"/>
      <c r="J7" s="75"/>
      <c r="K7" s="75"/>
      <c r="L7" s="75"/>
      <c r="M7" s="75"/>
      <c r="N7" s="75"/>
      <c r="O7" s="75"/>
      <c r="P7" s="481"/>
    </row>
    <row r="8" spans="2:16" ht="24.95" customHeight="1" x14ac:dyDescent="0.25">
      <c r="B8" s="480" t="s">
        <v>249</v>
      </c>
      <c r="F8" s="2" t="str">
        <f>+'TAHAP 1'!G9</f>
        <v>: Benchmark PP Activity dan Obeya</v>
      </c>
      <c r="P8" s="18"/>
    </row>
    <row r="9" spans="2:16" ht="9.9499999999999993" customHeight="1" thickBot="1" x14ac:dyDescent="0.3">
      <c r="B9" s="479"/>
      <c r="C9" s="478"/>
      <c r="D9" s="478"/>
      <c r="E9" s="478"/>
      <c r="F9" s="478"/>
      <c r="G9" s="477"/>
      <c r="H9" s="477"/>
      <c r="I9" s="477"/>
      <c r="J9" s="477"/>
      <c r="K9" s="477"/>
      <c r="L9" s="477"/>
      <c r="M9" s="477"/>
      <c r="N9" s="477"/>
      <c r="O9" s="477"/>
      <c r="P9" s="476"/>
    </row>
    <row r="10" spans="2:16" ht="24.95" customHeight="1" thickTop="1" x14ac:dyDescent="0.25">
      <c r="B10" s="475" t="s">
        <v>248</v>
      </c>
      <c r="C10" s="474"/>
      <c r="D10" s="474"/>
      <c r="M10" s="473"/>
      <c r="N10" s="473"/>
      <c r="O10" s="473"/>
      <c r="P10" s="472"/>
    </row>
    <row r="11" spans="2:16" s="310" customFormat="1" ht="20.100000000000001" customHeight="1" x14ac:dyDescent="0.3">
      <c r="B11" s="471" t="s">
        <v>247</v>
      </c>
      <c r="C11" s="319"/>
      <c r="D11" s="319"/>
      <c r="E11" s="319"/>
      <c r="F11" s="319"/>
      <c r="M11" s="311"/>
      <c r="N11" s="311"/>
      <c r="P11" s="321"/>
    </row>
    <row r="12" spans="2:16" s="310" customFormat="1" ht="15" customHeight="1" x14ac:dyDescent="0.25">
      <c r="B12" s="470" t="s">
        <v>69</v>
      </c>
      <c r="C12" s="469"/>
      <c r="D12" s="469"/>
      <c r="E12" s="468"/>
      <c r="F12" s="466" t="s">
        <v>246</v>
      </c>
      <c r="G12" s="467" t="s">
        <v>63</v>
      </c>
      <c r="H12" s="467" t="s">
        <v>245</v>
      </c>
      <c r="I12" s="466" t="s">
        <v>244</v>
      </c>
      <c r="M12" s="311"/>
      <c r="N12" s="311"/>
      <c r="P12" s="321"/>
    </row>
    <row r="13" spans="2:16" s="310" customFormat="1" ht="15" customHeight="1" x14ac:dyDescent="0.25">
      <c r="B13" s="465" t="s">
        <v>70</v>
      </c>
      <c r="C13" s="464"/>
      <c r="D13" s="464"/>
      <c r="E13" s="463"/>
      <c r="F13" s="461">
        <v>30000</v>
      </c>
      <c r="G13" s="462">
        <v>12500</v>
      </c>
      <c r="H13" s="462">
        <v>20000</v>
      </c>
      <c r="I13" s="461">
        <v>20000</v>
      </c>
      <c r="M13" s="311"/>
      <c r="N13" s="311"/>
      <c r="P13" s="321"/>
    </row>
    <row r="14" spans="2:16" s="310" customFormat="1" ht="15" customHeight="1" x14ac:dyDescent="0.25">
      <c r="B14" s="465" t="s">
        <v>71</v>
      </c>
      <c r="C14" s="464"/>
      <c r="D14" s="464"/>
      <c r="E14" s="463"/>
      <c r="F14" s="461">
        <v>30000</v>
      </c>
      <c r="G14" s="462">
        <v>12500</v>
      </c>
      <c r="H14" s="462">
        <v>20000</v>
      </c>
      <c r="I14" s="461">
        <v>20000</v>
      </c>
      <c r="P14" s="321"/>
    </row>
    <row r="15" spans="2:16" s="310" customFormat="1" ht="15" customHeight="1" x14ac:dyDescent="0.25">
      <c r="B15" s="465" t="s">
        <v>72</v>
      </c>
      <c r="C15" s="464"/>
      <c r="D15" s="464"/>
      <c r="E15" s="463"/>
      <c r="F15" s="461">
        <v>35000</v>
      </c>
      <c r="G15" s="462">
        <v>12500</v>
      </c>
      <c r="H15" s="462">
        <v>20000</v>
      </c>
      <c r="I15" s="461">
        <v>20000</v>
      </c>
      <c r="P15" s="321"/>
    </row>
    <row r="16" spans="2:16" s="310" customFormat="1" ht="15" customHeight="1" x14ac:dyDescent="0.25">
      <c r="B16" s="465" t="s">
        <v>73</v>
      </c>
      <c r="C16" s="464"/>
      <c r="D16" s="464"/>
      <c r="E16" s="463"/>
      <c r="F16" s="461">
        <v>40000</v>
      </c>
      <c r="G16" s="462">
        <v>12500</v>
      </c>
      <c r="H16" s="462">
        <v>27500</v>
      </c>
      <c r="I16" s="461">
        <v>27500</v>
      </c>
      <c r="P16" s="321"/>
    </row>
    <row r="17" spans="2:16" s="310" customFormat="1" ht="15" customHeight="1" x14ac:dyDescent="0.25">
      <c r="B17" s="465" t="s">
        <v>74</v>
      </c>
      <c r="C17" s="464"/>
      <c r="D17" s="464"/>
      <c r="E17" s="463"/>
      <c r="F17" s="461">
        <v>50000</v>
      </c>
      <c r="G17" s="462">
        <v>22500</v>
      </c>
      <c r="H17" s="462">
        <v>30000</v>
      </c>
      <c r="I17" s="461">
        <v>30000</v>
      </c>
      <c r="P17" s="321"/>
    </row>
    <row r="18" spans="2:16" s="310" customFormat="1" ht="15" customHeight="1" x14ac:dyDescent="0.25">
      <c r="B18" s="465" t="s">
        <v>75</v>
      </c>
      <c r="C18" s="464"/>
      <c r="D18" s="464"/>
      <c r="E18" s="463"/>
      <c r="F18" s="461">
        <v>60000</v>
      </c>
      <c r="G18" s="462">
        <v>22500</v>
      </c>
      <c r="H18" s="462">
        <v>50000</v>
      </c>
      <c r="I18" s="461">
        <v>50000</v>
      </c>
      <c r="P18" s="321"/>
    </row>
    <row r="19" spans="2:16" s="310" customFormat="1" ht="15" customHeight="1" x14ac:dyDescent="0.25">
      <c r="B19" s="465" t="s">
        <v>76</v>
      </c>
      <c r="C19" s="464"/>
      <c r="D19" s="464"/>
      <c r="E19" s="463"/>
      <c r="F19" s="461">
        <v>70000</v>
      </c>
      <c r="G19" s="462">
        <v>22500</v>
      </c>
      <c r="H19" s="462">
        <v>60000</v>
      </c>
      <c r="I19" s="461">
        <v>60000</v>
      </c>
      <c r="P19" s="321"/>
    </row>
    <row r="20" spans="2:16" s="310" customFormat="1" ht="19.5" customHeight="1" x14ac:dyDescent="0.25">
      <c r="B20" s="460"/>
      <c r="C20" s="459"/>
      <c r="D20" s="459"/>
      <c r="E20" s="458"/>
      <c r="F20" s="319"/>
      <c r="P20" s="321"/>
    </row>
    <row r="21" spans="2:16" s="310" customFormat="1" ht="20.100000000000001" customHeight="1" x14ac:dyDescent="0.25">
      <c r="B21" s="457"/>
      <c r="C21" s="456" t="s">
        <v>243</v>
      </c>
      <c r="D21" s="455" t="s">
        <v>242</v>
      </c>
      <c r="E21" s="455" t="s">
        <v>70</v>
      </c>
      <c r="F21" s="455"/>
      <c r="G21" s="455"/>
      <c r="H21" s="455"/>
      <c r="I21" s="455"/>
      <c r="J21" s="455"/>
      <c r="P21" s="321"/>
    </row>
    <row r="22" spans="2:16" s="101" customFormat="1" ht="17.100000000000001" customHeight="1" x14ac:dyDescent="0.25">
      <c r="B22" s="401" t="s">
        <v>225</v>
      </c>
      <c r="C22" s="424" t="s">
        <v>5</v>
      </c>
      <c r="D22" s="424"/>
      <c r="E22" s="424"/>
      <c r="F22" s="401" t="str">
        <f>+$F$12</f>
        <v>UANG SAKU</v>
      </c>
      <c r="G22" s="401" t="str">
        <f>+$G$12</f>
        <v>BREAKFAST</v>
      </c>
      <c r="H22" s="401" t="str">
        <f>+$H$12</f>
        <v>LUNCH</v>
      </c>
      <c r="I22" s="401" t="str">
        <f>+$I$12</f>
        <v>DINNER</v>
      </c>
      <c r="J22" s="401" t="s">
        <v>231</v>
      </c>
      <c r="P22" s="102"/>
    </row>
    <row r="23" spans="2:16" s="310" customFormat="1" ht="17.100000000000001" customHeight="1" x14ac:dyDescent="0.25">
      <c r="B23" s="388">
        <v>1</v>
      </c>
      <c r="C23" s="453">
        <f>+'TAHAP 1'!$C$13</f>
        <v>45411</v>
      </c>
      <c r="D23" s="453"/>
      <c r="E23" s="453"/>
      <c r="F23" s="452">
        <v>30000</v>
      </c>
      <c r="G23" s="452" t="s">
        <v>241</v>
      </c>
      <c r="H23" s="452">
        <v>20000</v>
      </c>
      <c r="I23" s="452">
        <v>20000</v>
      </c>
      <c r="J23" s="380">
        <f>SUM(F23:I23)</f>
        <v>70000</v>
      </c>
      <c r="L23" s="454"/>
      <c r="P23" s="321"/>
    </row>
    <row r="24" spans="2:16" s="310" customFormat="1" ht="17.100000000000001" customHeight="1" x14ac:dyDescent="0.25">
      <c r="B24" s="388">
        <v>2</v>
      </c>
      <c r="C24" s="453">
        <f>+C23+1</f>
        <v>45412</v>
      </c>
      <c r="D24" s="453"/>
      <c r="E24" s="453"/>
      <c r="F24" s="452">
        <v>30000</v>
      </c>
      <c r="G24" s="452" t="s">
        <v>240</v>
      </c>
      <c r="H24" s="452" t="s">
        <v>239</v>
      </c>
      <c r="I24" s="452">
        <v>20000</v>
      </c>
      <c r="J24" s="380">
        <f>SUM(F24:I24)</f>
        <v>50000</v>
      </c>
      <c r="P24" s="321"/>
    </row>
    <row r="25" spans="2:16" s="310" customFormat="1" ht="16.5" customHeight="1" x14ac:dyDescent="0.25">
      <c r="B25" s="451" t="s">
        <v>201</v>
      </c>
      <c r="C25" s="451"/>
      <c r="D25" s="451"/>
      <c r="E25" s="451"/>
      <c r="F25" s="450"/>
      <c r="G25" s="449">
        <f>SUM(G23:I24)</f>
        <v>60000</v>
      </c>
      <c r="H25" s="448"/>
      <c r="I25" s="448"/>
      <c r="J25" s="447">
        <f>SUM(J23:J24)</f>
        <v>120000</v>
      </c>
      <c r="P25" s="321"/>
    </row>
    <row r="26" spans="2:16" s="12" customFormat="1" ht="19.5" customHeight="1" x14ac:dyDescent="0.25">
      <c r="B26" s="367"/>
      <c r="C26" s="366"/>
      <c r="D26" s="366"/>
      <c r="E26" s="366"/>
      <c r="F26" s="366"/>
      <c r="G26" s="366"/>
      <c r="H26" s="366"/>
      <c r="I26" s="366"/>
      <c r="J26" s="366"/>
      <c r="K26" s="445"/>
      <c r="L26" s="444"/>
      <c r="M26" s="444"/>
      <c r="N26" s="444"/>
      <c r="O26" s="444"/>
      <c r="P26" s="443"/>
    </row>
    <row r="27" spans="2:16" s="310" customFormat="1" ht="20.100000000000001" customHeight="1" x14ac:dyDescent="0.25">
      <c r="B27" s="457"/>
      <c r="C27" s="456" t="s">
        <v>243</v>
      </c>
      <c r="D27" s="455" t="s">
        <v>242</v>
      </c>
      <c r="E27" s="455" t="s">
        <v>73</v>
      </c>
      <c r="F27" s="455"/>
      <c r="G27" s="455"/>
      <c r="H27" s="455"/>
      <c r="I27" s="455"/>
      <c r="J27" s="455"/>
      <c r="P27" s="321"/>
    </row>
    <row r="28" spans="2:16" s="101" customFormat="1" ht="17.100000000000001" customHeight="1" x14ac:dyDescent="0.25">
      <c r="B28" s="401" t="s">
        <v>225</v>
      </c>
      <c r="C28" s="424" t="s">
        <v>5</v>
      </c>
      <c r="D28" s="424"/>
      <c r="E28" s="424"/>
      <c r="F28" s="401" t="str">
        <f>+$F$12</f>
        <v>UANG SAKU</v>
      </c>
      <c r="G28" s="401" t="str">
        <f>+$G$12</f>
        <v>BREAKFAST</v>
      </c>
      <c r="H28" s="401" t="str">
        <f>+$H$12</f>
        <v>LUNCH</v>
      </c>
      <c r="I28" s="401" t="str">
        <f>+$I$12</f>
        <v>DINNER</v>
      </c>
      <c r="J28" s="401" t="s">
        <v>231</v>
      </c>
      <c r="P28" s="102"/>
    </row>
    <row r="29" spans="2:16" s="310" customFormat="1" ht="17.100000000000001" customHeight="1" x14ac:dyDescent="0.25">
      <c r="B29" s="388">
        <v>1</v>
      </c>
      <c r="C29" s="453">
        <f>+'TAHAP 1'!$C$13</f>
        <v>45411</v>
      </c>
      <c r="D29" s="453"/>
      <c r="E29" s="453"/>
      <c r="F29" s="452">
        <f>VLOOKUP($E$27,B12:$I$19,5,0)</f>
        <v>40000</v>
      </c>
      <c r="G29" s="452" t="s">
        <v>241</v>
      </c>
      <c r="H29" s="452">
        <v>27500</v>
      </c>
      <c r="I29" s="452">
        <f>VLOOKUP($E$27,B12:$I$19,8,0)</f>
        <v>27500</v>
      </c>
      <c r="J29" s="380">
        <f>SUM(F29:I29)</f>
        <v>95000</v>
      </c>
      <c r="L29" s="454"/>
      <c r="P29" s="321"/>
    </row>
    <row r="30" spans="2:16" s="310" customFormat="1" ht="17.100000000000001" customHeight="1" x14ac:dyDescent="0.25">
      <c r="B30" s="388">
        <v>2</v>
      </c>
      <c r="C30" s="453">
        <f>+C29+1</f>
        <v>45412</v>
      </c>
      <c r="D30" s="453"/>
      <c r="E30" s="453"/>
      <c r="F30" s="452">
        <f>VLOOKUP($E$27,B13:$I$19,5,0)</f>
        <v>40000</v>
      </c>
      <c r="G30" s="452" t="s">
        <v>240</v>
      </c>
      <c r="H30" s="452" t="s">
        <v>239</v>
      </c>
      <c r="I30" s="452">
        <f>VLOOKUP($E$27,B13:$I$19,8,0)</f>
        <v>27500</v>
      </c>
      <c r="J30" s="380">
        <f>SUM(F30:I30)</f>
        <v>67500</v>
      </c>
      <c r="P30" s="321"/>
    </row>
    <row r="31" spans="2:16" s="310" customFormat="1" ht="16.5" customHeight="1" x14ac:dyDescent="0.25">
      <c r="B31" s="451" t="s">
        <v>201</v>
      </c>
      <c r="C31" s="451"/>
      <c r="D31" s="451"/>
      <c r="E31" s="451"/>
      <c r="F31" s="450"/>
      <c r="G31" s="449">
        <f>SUM(G29:I30)</f>
        <v>82500</v>
      </c>
      <c r="H31" s="448"/>
      <c r="I31" s="448"/>
      <c r="J31" s="447">
        <f>SUM(J29:J30)</f>
        <v>162500</v>
      </c>
      <c r="P31" s="321"/>
    </row>
    <row r="32" spans="2:16" s="12" customFormat="1" ht="19.5" customHeight="1" x14ac:dyDescent="0.25">
      <c r="B32" s="367"/>
      <c r="C32" s="366"/>
      <c r="D32" s="366"/>
      <c r="E32" s="366"/>
      <c r="F32" s="366"/>
      <c r="G32" s="366"/>
      <c r="H32" s="366"/>
      <c r="I32" s="366"/>
      <c r="J32" s="366"/>
      <c r="K32" s="445"/>
      <c r="L32" s="444"/>
      <c r="M32" s="444"/>
      <c r="N32" s="444"/>
      <c r="O32" s="444"/>
      <c r="P32" s="443"/>
    </row>
    <row r="33" spans="2:16" s="310" customFormat="1" ht="20.100000000000001" customHeight="1" x14ac:dyDescent="0.25">
      <c r="B33" s="457"/>
      <c r="C33" s="456" t="s">
        <v>243</v>
      </c>
      <c r="D33" s="455" t="s">
        <v>242</v>
      </c>
      <c r="E33" s="455" t="s">
        <v>74</v>
      </c>
      <c r="F33" s="455"/>
      <c r="G33" s="455"/>
      <c r="H33" s="455"/>
      <c r="I33" s="455"/>
      <c r="J33" s="455"/>
      <c r="P33" s="321"/>
    </row>
    <row r="34" spans="2:16" s="101" customFormat="1" ht="17.100000000000001" customHeight="1" x14ac:dyDescent="0.25">
      <c r="B34" s="401" t="s">
        <v>225</v>
      </c>
      <c r="C34" s="424" t="s">
        <v>5</v>
      </c>
      <c r="D34" s="424"/>
      <c r="E34" s="424"/>
      <c r="F34" s="401" t="str">
        <f>+$F$12</f>
        <v>UANG SAKU</v>
      </c>
      <c r="G34" s="401" t="str">
        <f>+$G$12</f>
        <v>BREAKFAST</v>
      </c>
      <c r="H34" s="401" t="str">
        <f>+$H$12</f>
        <v>LUNCH</v>
      </c>
      <c r="I34" s="401" t="str">
        <f>+$I$12</f>
        <v>DINNER</v>
      </c>
      <c r="J34" s="401" t="s">
        <v>231</v>
      </c>
      <c r="P34" s="102"/>
    </row>
    <row r="35" spans="2:16" s="310" customFormat="1" ht="17.100000000000001" customHeight="1" x14ac:dyDescent="0.25">
      <c r="B35" s="388">
        <v>1</v>
      </c>
      <c r="C35" s="453">
        <f>+'TAHAP 1'!$C$13</f>
        <v>45411</v>
      </c>
      <c r="D35" s="453"/>
      <c r="E35" s="453"/>
      <c r="F35" s="452">
        <v>50000</v>
      </c>
      <c r="G35" s="452" t="s">
        <v>241</v>
      </c>
      <c r="H35" s="452">
        <v>30000</v>
      </c>
      <c r="I35" s="452">
        <v>30000</v>
      </c>
      <c r="J35" s="380">
        <f>SUM(F35:I35)</f>
        <v>110000</v>
      </c>
      <c r="L35" s="454"/>
      <c r="P35" s="321"/>
    </row>
    <row r="36" spans="2:16" s="310" customFormat="1" ht="17.100000000000001" customHeight="1" x14ac:dyDescent="0.25">
      <c r="B36" s="388">
        <v>2</v>
      </c>
      <c r="C36" s="453">
        <f>+C35+1</f>
        <v>45412</v>
      </c>
      <c r="D36" s="453"/>
      <c r="E36" s="453"/>
      <c r="F36" s="452">
        <v>50000</v>
      </c>
      <c r="G36" s="452" t="s">
        <v>240</v>
      </c>
      <c r="H36" s="452" t="s">
        <v>239</v>
      </c>
      <c r="I36" s="452">
        <v>30000</v>
      </c>
      <c r="J36" s="380">
        <f>SUM(F36:I36)</f>
        <v>80000</v>
      </c>
      <c r="P36" s="321"/>
    </row>
    <row r="37" spans="2:16" s="310" customFormat="1" ht="16.5" customHeight="1" x14ac:dyDescent="0.25">
      <c r="B37" s="451" t="s">
        <v>201</v>
      </c>
      <c r="C37" s="451"/>
      <c r="D37" s="451"/>
      <c r="E37" s="451"/>
      <c r="F37" s="450"/>
      <c r="G37" s="449">
        <f>SUM(G35:I36)</f>
        <v>90000</v>
      </c>
      <c r="H37" s="448"/>
      <c r="I37" s="448"/>
      <c r="J37" s="447">
        <f>SUM(J35:J36)</f>
        <v>190000</v>
      </c>
      <c r="P37" s="321"/>
    </row>
    <row r="38" spans="2:16" s="12" customFormat="1" ht="19.5" customHeight="1" x14ac:dyDescent="0.25">
      <c r="B38" s="367"/>
      <c r="C38" s="366"/>
      <c r="D38" s="366"/>
      <c r="E38" s="366"/>
      <c r="F38" s="366"/>
      <c r="G38" s="366"/>
      <c r="H38" s="366"/>
      <c r="I38" s="366"/>
      <c r="J38" s="366"/>
      <c r="K38" s="445"/>
      <c r="L38" s="444"/>
      <c r="M38" s="444"/>
      <c r="N38" s="444"/>
      <c r="O38" s="444"/>
      <c r="P38" s="443"/>
    </row>
    <row r="39" spans="2:16" s="12" customFormat="1" ht="20.100000000000001" customHeight="1" x14ac:dyDescent="0.25">
      <c r="B39" s="446" t="s">
        <v>237</v>
      </c>
      <c r="C39" s="98"/>
      <c r="D39" s="98"/>
      <c r="E39" s="98"/>
      <c r="F39" s="366"/>
      <c r="G39" s="366"/>
      <c r="H39" s="366"/>
      <c r="I39" s="366"/>
      <c r="J39" s="366"/>
      <c r="K39" s="445"/>
      <c r="L39" s="444"/>
      <c r="M39" s="444"/>
      <c r="N39" s="444"/>
      <c r="O39" s="444"/>
      <c r="P39" s="443"/>
    </row>
    <row r="40" spans="2:16" s="310" customFormat="1" ht="24.95" customHeight="1" x14ac:dyDescent="0.25">
      <c r="B40" s="440" t="s">
        <v>225</v>
      </c>
      <c r="C40" s="442" t="s">
        <v>3</v>
      </c>
      <c r="D40" s="441"/>
      <c r="E40" s="441"/>
      <c r="F40" s="439"/>
      <c r="G40" s="440" t="s">
        <v>238</v>
      </c>
      <c r="H40" s="439" t="s">
        <v>237</v>
      </c>
      <c r="I40" s="366"/>
      <c r="J40" s="366"/>
      <c r="K40" s="365"/>
      <c r="L40" s="101"/>
      <c r="M40" s="101"/>
      <c r="P40" s="102"/>
    </row>
    <row r="41" spans="2:16" s="310" customFormat="1" ht="20.100000000000001" customHeight="1" x14ac:dyDescent="0.25">
      <c r="B41" s="388">
        <v>1</v>
      </c>
      <c r="C41" s="437" t="str">
        <f>+'TAHAP 1'!M13</f>
        <v>SINICHI KISHIMOTO</v>
      </c>
      <c r="D41" s="437"/>
      <c r="E41" s="437"/>
      <c r="F41" s="437"/>
      <c r="G41" s="325" t="s">
        <v>74</v>
      </c>
      <c r="H41" s="438">
        <f>+J37</f>
        <v>190000</v>
      </c>
      <c r="I41" s="366"/>
      <c r="J41" s="366"/>
      <c r="K41" s="435"/>
      <c r="L41" s="101"/>
      <c r="M41" s="101"/>
      <c r="P41" s="102"/>
    </row>
    <row r="42" spans="2:16" s="310" customFormat="1" ht="20.100000000000001" customHeight="1" x14ac:dyDescent="0.25">
      <c r="B42" s="388">
        <v>2</v>
      </c>
      <c r="C42" s="437" t="str">
        <f>+'TAHAP 1'!M14</f>
        <v>AGUS NANANG SETIAWAN</v>
      </c>
      <c r="D42" s="437"/>
      <c r="E42" s="437"/>
      <c r="F42" s="437"/>
      <c r="G42" s="325" t="s">
        <v>73</v>
      </c>
      <c r="H42" s="436">
        <f>+J31</f>
        <v>162500</v>
      </c>
      <c r="I42" s="366"/>
      <c r="J42" s="366"/>
      <c r="K42" s="435"/>
      <c r="L42" s="101"/>
      <c r="M42" s="101"/>
      <c r="P42" s="102"/>
    </row>
    <row r="43" spans="2:16" s="310" customFormat="1" ht="20.100000000000001" customHeight="1" x14ac:dyDescent="0.25">
      <c r="B43" s="388">
        <v>3</v>
      </c>
      <c r="C43" s="437" t="str">
        <f>+'TAHAP 1'!M15</f>
        <v>M. HUSNUL MUBAROK</v>
      </c>
      <c r="D43" s="437"/>
      <c r="E43" s="437"/>
      <c r="F43" s="437"/>
      <c r="G43" s="325" t="s">
        <v>73</v>
      </c>
      <c r="H43" s="436">
        <f>+J31</f>
        <v>162500</v>
      </c>
      <c r="I43" s="366"/>
      <c r="J43" s="366"/>
      <c r="K43" s="435"/>
      <c r="L43" s="101"/>
      <c r="M43" s="101"/>
      <c r="P43" s="102"/>
    </row>
    <row r="44" spans="2:16" s="310" customFormat="1" ht="20.100000000000001" customHeight="1" thickBot="1" x14ac:dyDescent="0.3">
      <c r="B44" s="388">
        <v>4</v>
      </c>
      <c r="C44" s="437" t="str">
        <f>+'TAHAP 1'!M16</f>
        <v>ELFIRA LUTFIA W.</v>
      </c>
      <c r="D44" s="437"/>
      <c r="E44" s="437"/>
      <c r="F44" s="437"/>
      <c r="G44" s="325" t="s">
        <v>70</v>
      </c>
      <c r="H44" s="436">
        <f>+J25</f>
        <v>120000</v>
      </c>
      <c r="I44" s="366"/>
      <c r="J44" s="366"/>
      <c r="K44" s="435"/>
      <c r="L44" s="101"/>
      <c r="M44" s="101"/>
      <c r="P44" s="102"/>
    </row>
    <row r="45" spans="2:16" s="310" customFormat="1" ht="24.95" customHeight="1" thickTop="1" x14ac:dyDescent="0.25">
      <c r="B45" s="434" t="s">
        <v>201</v>
      </c>
      <c r="C45" s="433"/>
      <c r="D45" s="433"/>
      <c r="E45" s="433"/>
      <c r="F45" s="433"/>
      <c r="G45" s="432"/>
      <c r="H45" s="373">
        <f>SUM(H41:H44)</f>
        <v>635000</v>
      </c>
      <c r="I45" s="366"/>
      <c r="J45" s="366"/>
      <c r="K45" s="365"/>
      <c r="L45" s="101"/>
      <c r="M45" s="101"/>
      <c r="P45" s="102"/>
    </row>
    <row r="46" spans="2:16" s="310" customFormat="1" ht="19.5" customHeight="1" thickBot="1" x14ac:dyDescent="0.3">
      <c r="B46" s="100"/>
      <c r="C46" s="101"/>
      <c r="D46" s="101"/>
      <c r="E46" s="101"/>
      <c r="F46" s="101"/>
      <c r="G46" s="101"/>
      <c r="H46" s="371"/>
      <c r="I46" s="366"/>
      <c r="J46" s="366"/>
      <c r="K46" s="365"/>
      <c r="L46" s="101"/>
      <c r="M46" s="101"/>
      <c r="P46" s="102"/>
    </row>
    <row r="47" spans="2:16" s="310" customFormat="1" ht="20.100000000000001" customHeight="1" thickTop="1" x14ac:dyDescent="0.25">
      <c r="B47" s="431" t="s">
        <v>236</v>
      </c>
      <c r="C47" s="430"/>
      <c r="D47" s="430"/>
      <c r="E47" s="430"/>
      <c r="F47" s="430"/>
      <c r="G47" s="430"/>
      <c r="H47" s="430"/>
      <c r="I47" s="430"/>
      <c r="J47" s="430"/>
      <c r="K47" s="430"/>
      <c r="L47" s="430"/>
      <c r="M47" s="430"/>
      <c r="N47" s="430"/>
      <c r="O47" s="430"/>
      <c r="P47" s="429"/>
    </row>
    <row r="48" spans="2:16" s="310" customFormat="1" ht="20.100000000000001" customHeight="1" x14ac:dyDescent="0.25">
      <c r="B48" s="428"/>
      <c r="C48" s="427"/>
      <c r="D48" s="427"/>
      <c r="E48" s="427"/>
      <c r="F48" s="427"/>
      <c r="G48" s="427"/>
      <c r="H48" s="427"/>
      <c r="I48" s="427"/>
      <c r="J48" s="427"/>
      <c r="K48" s="427"/>
      <c r="L48" s="427"/>
      <c r="M48" s="427"/>
      <c r="N48" s="427"/>
      <c r="O48" s="427"/>
      <c r="P48" s="426"/>
    </row>
    <row r="49" spans="2:16" s="310" customFormat="1" ht="24.95" customHeight="1" x14ac:dyDescent="0.25">
      <c r="B49" s="415" t="s">
        <v>235</v>
      </c>
      <c r="C49" s="414" t="s">
        <v>234</v>
      </c>
      <c r="D49" s="414"/>
      <c r="E49" s="319"/>
      <c r="F49" s="319"/>
      <c r="P49" s="321"/>
    </row>
    <row r="50" spans="2:16" s="310" customFormat="1" ht="20.100000000000001" customHeight="1" x14ac:dyDescent="0.25">
      <c r="B50" s="425" t="s">
        <v>225</v>
      </c>
      <c r="C50" s="424" t="s">
        <v>33</v>
      </c>
      <c r="D50" s="424"/>
      <c r="E50" s="424" t="s">
        <v>233</v>
      </c>
      <c r="F50" s="424"/>
      <c r="G50" s="424"/>
      <c r="H50" s="424"/>
      <c r="I50" s="424"/>
      <c r="J50" s="424"/>
      <c r="K50" s="402" t="s">
        <v>202</v>
      </c>
      <c r="L50" s="401" t="s">
        <v>232</v>
      </c>
      <c r="M50" s="401" t="s">
        <v>231</v>
      </c>
      <c r="N50" s="401" t="s">
        <v>201</v>
      </c>
      <c r="P50" s="321"/>
    </row>
    <row r="51" spans="2:16" s="310" customFormat="1" ht="20.100000000000001" customHeight="1" x14ac:dyDescent="0.25">
      <c r="B51" s="421">
        <v>1</v>
      </c>
      <c r="C51" s="420" t="s">
        <v>230</v>
      </c>
      <c r="D51" s="419"/>
      <c r="E51" s="418"/>
      <c r="F51" s="418"/>
      <c r="G51" s="418"/>
      <c r="H51" s="418"/>
      <c r="I51" s="418"/>
      <c r="J51" s="418"/>
      <c r="K51" s="423"/>
      <c r="L51" s="423"/>
      <c r="M51" s="423"/>
      <c r="N51" s="422"/>
      <c r="P51" s="321"/>
    </row>
    <row r="52" spans="2:16" s="310" customFormat="1" ht="20.100000000000001" customHeight="1" x14ac:dyDescent="0.25">
      <c r="B52" s="421">
        <v>2</v>
      </c>
      <c r="C52" s="420" t="s">
        <v>229</v>
      </c>
      <c r="D52" s="419"/>
      <c r="E52" s="418"/>
      <c r="F52" s="418"/>
      <c r="G52" s="418"/>
      <c r="H52" s="418"/>
      <c r="I52" s="418"/>
      <c r="J52" s="418"/>
      <c r="K52" s="417"/>
      <c r="L52" s="417"/>
      <c r="M52" s="417"/>
      <c r="N52" s="416"/>
      <c r="P52" s="321"/>
    </row>
    <row r="53" spans="2:16" s="310" customFormat="1" ht="19.5" customHeight="1" x14ac:dyDescent="0.25">
      <c r="B53" s="367"/>
      <c r="C53" s="366"/>
      <c r="D53" s="366"/>
      <c r="E53" s="366"/>
      <c r="F53" s="366"/>
      <c r="G53" s="366"/>
      <c r="H53" s="22"/>
      <c r="I53" s="371"/>
      <c r="J53" s="366"/>
      <c r="K53" s="365"/>
      <c r="L53" s="101"/>
      <c r="M53" s="101"/>
      <c r="P53" s="321"/>
    </row>
    <row r="54" spans="2:16" s="310" customFormat="1" ht="24.95" customHeight="1" x14ac:dyDescent="0.25">
      <c r="B54" s="415" t="s">
        <v>228</v>
      </c>
      <c r="C54" s="414"/>
      <c r="D54" s="414"/>
      <c r="E54" s="413"/>
      <c r="F54" s="413"/>
      <c r="P54" s="321"/>
    </row>
    <row r="55" spans="2:16" s="310" customFormat="1" ht="24.95" hidden="1" customHeight="1" x14ac:dyDescent="0.25">
      <c r="B55" s="412"/>
      <c r="C55" s="366"/>
      <c r="D55" s="366"/>
      <c r="E55" s="319"/>
      <c r="F55" s="319"/>
      <c r="P55" s="321"/>
    </row>
    <row r="56" spans="2:16" s="310" customFormat="1" ht="20.100000000000001" hidden="1" customHeight="1" x14ac:dyDescent="0.25">
      <c r="B56" s="411"/>
      <c r="C56" s="366"/>
      <c r="D56" s="366"/>
      <c r="E56" s="319"/>
      <c r="F56" s="319"/>
      <c r="P56" s="321"/>
    </row>
    <row r="57" spans="2:16" s="310" customFormat="1" ht="20.100000000000001" hidden="1" customHeight="1" x14ac:dyDescent="0.25">
      <c r="B57" s="411"/>
      <c r="C57" s="366"/>
      <c r="D57" s="366"/>
      <c r="E57" s="319"/>
      <c r="F57" s="319"/>
      <c r="P57" s="321"/>
    </row>
    <row r="58" spans="2:16" s="310" customFormat="1" ht="19.5" customHeight="1" x14ac:dyDescent="0.25">
      <c r="B58" s="367"/>
      <c r="C58" s="319"/>
      <c r="D58" s="319"/>
      <c r="E58" s="319"/>
      <c r="F58" s="319"/>
      <c r="P58" s="321"/>
    </row>
    <row r="59" spans="2:16" s="22" customFormat="1" ht="24.95" customHeight="1" x14ac:dyDescent="0.25">
      <c r="B59" s="401" t="s">
        <v>225</v>
      </c>
      <c r="C59" s="405" t="s">
        <v>224</v>
      </c>
      <c r="D59" s="404"/>
      <c r="E59" s="403"/>
      <c r="F59" s="402" t="s">
        <v>210</v>
      </c>
      <c r="G59" s="401" t="s">
        <v>223</v>
      </c>
      <c r="H59" s="400" t="s">
        <v>222</v>
      </c>
      <c r="I59" s="399"/>
      <c r="P59" s="372"/>
    </row>
    <row r="60" spans="2:16" s="310" customFormat="1" ht="17.100000000000001" customHeight="1" thickBot="1" x14ac:dyDescent="0.3">
      <c r="B60" s="388">
        <v>1</v>
      </c>
      <c r="C60" s="393" t="s">
        <v>227</v>
      </c>
      <c r="D60" s="392"/>
      <c r="E60" s="391"/>
      <c r="F60" s="380">
        <v>750000</v>
      </c>
      <c r="G60" s="390">
        <v>2</v>
      </c>
      <c r="H60" s="398"/>
      <c r="I60" s="410">
        <f>+F60*G60</f>
        <v>1500000</v>
      </c>
      <c r="P60" s="321"/>
    </row>
    <row r="61" spans="2:16" s="310" customFormat="1" ht="24.95" customHeight="1" thickTop="1" x14ac:dyDescent="0.25">
      <c r="B61" s="377" t="s">
        <v>226</v>
      </c>
      <c r="C61" s="376"/>
      <c r="D61" s="376"/>
      <c r="E61" s="376"/>
      <c r="F61" s="376"/>
      <c r="G61" s="375"/>
      <c r="H61" s="374"/>
      <c r="I61" s="373">
        <f>SUM(I54:I60)</f>
        <v>1500000</v>
      </c>
      <c r="O61" s="22"/>
      <c r="P61" s="372"/>
    </row>
    <row r="62" spans="2:16" s="310" customFormat="1" ht="19.5" customHeight="1" x14ac:dyDescent="0.25">
      <c r="B62" s="409"/>
      <c r="C62" s="408"/>
      <c r="D62" s="408"/>
      <c r="E62" s="408"/>
      <c r="F62" s="407"/>
      <c r="G62" s="407"/>
      <c r="H62" s="406"/>
      <c r="I62" s="406"/>
      <c r="P62" s="321"/>
    </row>
    <row r="63" spans="2:16" s="22" customFormat="1" ht="24.95" customHeight="1" x14ac:dyDescent="0.25">
      <c r="B63" s="401" t="s">
        <v>225</v>
      </c>
      <c r="C63" s="405" t="s">
        <v>224</v>
      </c>
      <c r="D63" s="404"/>
      <c r="E63" s="403"/>
      <c r="F63" s="402" t="s">
        <v>210</v>
      </c>
      <c r="G63" s="401" t="s">
        <v>223</v>
      </c>
      <c r="H63" s="400" t="s">
        <v>222</v>
      </c>
      <c r="I63" s="399"/>
      <c r="P63" s="372"/>
    </row>
    <row r="64" spans="2:16" s="310" customFormat="1" ht="17.100000000000001" customHeight="1" x14ac:dyDescent="0.25">
      <c r="B64" s="388">
        <v>1</v>
      </c>
      <c r="C64" s="393" t="s">
        <v>221</v>
      </c>
      <c r="D64" s="392"/>
      <c r="E64" s="391"/>
      <c r="F64" s="380">
        <v>0</v>
      </c>
      <c r="G64" s="390">
        <v>0</v>
      </c>
      <c r="H64" s="398"/>
      <c r="I64" s="397">
        <f>+F64*G64</f>
        <v>0</v>
      </c>
      <c r="P64" s="321"/>
    </row>
    <row r="65" spans="2:17" s="310" customFormat="1" ht="17.100000000000001" customHeight="1" x14ac:dyDescent="0.25">
      <c r="B65" s="388">
        <v>2</v>
      </c>
      <c r="C65" s="396" t="s">
        <v>220</v>
      </c>
      <c r="D65" s="395"/>
      <c r="E65" s="394"/>
      <c r="F65" s="380">
        <v>100000</v>
      </c>
      <c r="G65" s="390">
        <v>2</v>
      </c>
      <c r="H65" s="398"/>
      <c r="I65" s="397">
        <f t="shared" ref="I65:I69" si="0">+F65*G65</f>
        <v>200000</v>
      </c>
      <c r="P65" s="321"/>
    </row>
    <row r="66" spans="2:17" s="310" customFormat="1" ht="17.100000000000001" customHeight="1" x14ac:dyDescent="0.25">
      <c r="B66" s="388">
        <v>3</v>
      </c>
      <c r="C66" s="396" t="s">
        <v>219</v>
      </c>
      <c r="D66" s="395"/>
      <c r="E66" s="394"/>
      <c r="F66" s="380">
        <v>150000</v>
      </c>
      <c r="G66" s="390">
        <v>1</v>
      </c>
      <c r="H66" s="398"/>
      <c r="I66" s="397">
        <f t="shared" si="0"/>
        <v>150000</v>
      </c>
      <c r="P66" s="321"/>
    </row>
    <row r="67" spans="2:17" s="310" customFormat="1" ht="17.100000000000001" customHeight="1" x14ac:dyDescent="0.25">
      <c r="B67" s="388">
        <v>4</v>
      </c>
      <c r="C67" s="396" t="s">
        <v>218</v>
      </c>
      <c r="D67" s="395"/>
      <c r="E67" s="394"/>
      <c r="F67" s="380">
        <v>200000</v>
      </c>
      <c r="G67" s="390">
        <v>2</v>
      </c>
      <c r="H67" s="398"/>
      <c r="I67" s="397">
        <f t="shared" si="0"/>
        <v>400000</v>
      </c>
      <c r="P67" s="321"/>
    </row>
    <row r="68" spans="2:17" s="310" customFormat="1" ht="17.100000000000001" customHeight="1" x14ac:dyDescent="0.25">
      <c r="B68" s="388">
        <v>5</v>
      </c>
      <c r="C68" s="393" t="s">
        <v>217</v>
      </c>
      <c r="D68" s="392"/>
      <c r="E68" s="391"/>
      <c r="F68" s="386">
        <v>500000</v>
      </c>
      <c r="G68" s="390">
        <v>2</v>
      </c>
      <c r="H68" s="389"/>
      <c r="I68" s="397">
        <f t="shared" si="0"/>
        <v>1000000</v>
      </c>
      <c r="P68" s="321"/>
    </row>
    <row r="69" spans="2:17" s="310" customFormat="1" ht="17.100000000000001" customHeight="1" x14ac:dyDescent="0.25">
      <c r="B69" s="388">
        <v>6</v>
      </c>
      <c r="C69" s="393" t="s">
        <v>216</v>
      </c>
      <c r="D69" s="392"/>
      <c r="E69" s="391"/>
      <c r="F69" s="386">
        <v>900000</v>
      </c>
      <c r="G69" s="390">
        <v>2</v>
      </c>
      <c r="H69" s="389"/>
      <c r="I69" s="397">
        <f t="shared" si="0"/>
        <v>1800000</v>
      </c>
      <c r="P69" s="321"/>
    </row>
    <row r="70" spans="2:17" s="310" customFormat="1" ht="17.100000000000001" customHeight="1" x14ac:dyDescent="0.25">
      <c r="B70" s="388">
        <v>7</v>
      </c>
      <c r="C70" s="387" t="s">
        <v>215</v>
      </c>
      <c r="D70" s="387"/>
      <c r="E70" s="387"/>
      <c r="F70" s="386">
        <v>100000</v>
      </c>
      <c r="G70" s="380">
        <v>2</v>
      </c>
      <c r="H70" s="389"/>
      <c r="I70" s="397">
        <f t="shared" ref="I70" si="1">+F70*G70</f>
        <v>200000</v>
      </c>
      <c r="P70" s="321"/>
    </row>
    <row r="71" spans="2:17" s="310" customFormat="1" ht="17.100000000000001" customHeight="1" thickBot="1" x14ac:dyDescent="0.3">
      <c r="B71" s="385">
        <v>8</v>
      </c>
      <c r="C71" s="384" t="s">
        <v>214</v>
      </c>
      <c r="D71" s="383"/>
      <c r="E71" s="382"/>
      <c r="F71" s="381">
        <v>0</v>
      </c>
      <c r="G71" s="380">
        <v>0</v>
      </c>
      <c r="H71" s="379"/>
      <c r="I71" s="378">
        <f>+F71*G71</f>
        <v>0</v>
      </c>
      <c r="P71" s="321"/>
    </row>
    <row r="72" spans="2:17" s="310" customFormat="1" ht="24.95" customHeight="1" thickTop="1" x14ac:dyDescent="0.25">
      <c r="B72" s="377" t="s">
        <v>213</v>
      </c>
      <c r="C72" s="376"/>
      <c r="D72" s="376"/>
      <c r="E72" s="376"/>
      <c r="F72" s="376"/>
      <c r="G72" s="375"/>
      <c r="H72" s="374"/>
      <c r="I72" s="373">
        <f>SUM(H64:I71)</f>
        <v>3750000</v>
      </c>
      <c r="O72" s="22"/>
      <c r="P72" s="372"/>
    </row>
    <row r="73" spans="2:17" s="310" customFormat="1" ht="19.5" customHeight="1" x14ac:dyDescent="0.25">
      <c r="B73" s="367"/>
      <c r="C73" s="366"/>
      <c r="D73" s="366"/>
      <c r="E73" s="366"/>
      <c r="F73" s="366"/>
      <c r="G73" s="366"/>
      <c r="H73" s="22"/>
      <c r="I73" s="371"/>
      <c r="J73" s="366"/>
      <c r="K73" s="365"/>
      <c r="L73" s="101"/>
      <c r="M73" s="101"/>
      <c r="P73" s="321"/>
    </row>
    <row r="74" spans="2:17" s="310" customFormat="1" ht="20.100000000000001" customHeight="1" x14ac:dyDescent="0.25">
      <c r="B74" s="367"/>
      <c r="C74" s="366"/>
      <c r="D74" s="366"/>
      <c r="E74" s="366"/>
      <c r="F74" s="366"/>
      <c r="G74" s="366"/>
      <c r="H74" s="370"/>
      <c r="I74" s="369">
        <f>+I72+I61</f>
        <v>5250000</v>
      </c>
      <c r="J74" s="368"/>
      <c r="K74" s="365"/>
      <c r="L74" s="101"/>
      <c r="M74" s="101"/>
      <c r="P74" s="321"/>
    </row>
    <row r="75" spans="2:17" s="310" customFormat="1" ht="19.5" customHeight="1" x14ac:dyDescent="0.25">
      <c r="B75" s="367"/>
      <c r="C75" s="366"/>
      <c r="D75" s="366"/>
      <c r="E75" s="366"/>
      <c r="F75" s="366"/>
      <c r="G75" s="366"/>
      <c r="J75" s="366"/>
      <c r="K75" s="365"/>
      <c r="L75" s="101"/>
      <c r="M75" s="101"/>
      <c r="O75" s="364"/>
      <c r="P75" s="363"/>
    </row>
    <row r="76" spans="2:17" s="310" customFormat="1" ht="24.95" customHeight="1" x14ac:dyDescent="0.25">
      <c r="B76" s="362" t="s">
        <v>58</v>
      </c>
      <c r="C76" s="361"/>
      <c r="D76" s="361"/>
      <c r="E76" s="360"/>
      <c r="F76" s="360"/>
      <c r="G76" s="360"/>
      <c r="H76" s="360"/>
      <c r="I76" s="360"/>
      <c r="J76" s="360"/>
      <c r="K76" s="359"/>
      <c r="L76" s="359"/>
      <c r="M76" s="358"/>
      <c r="N76" s="358"/>
      <c r="O76" s="358"/>
      <c r="P76" s="357"/>
      <c r="Q76" s="356"/>
    </row>
    <row r="77" spans="2:17" s="348" customFormat="1" ht="20.100000000000001" customHeight="1" x14ac:dyDescent="0.25">
      <c r="B77" s="774" t="s">
        <v>1</v>
      </c>
      <c r="C77" s="355" t="s">
        <v>212</v>
      </c>
      <c r="D77" s="354"/>
      <c r="E77" s="354"/>
      <c r="F77" s="353"/>
      <c r="G77" s="768" t="s">
        <v>34</v>
      </c>
      <c r="H77" s="769"/>
      <c r="I77" s="769"/>
      <c r="J77" s="770"/>
      <c r="K77" s="768" t="s">
        <v>211</v>
      </c>
      <c r="L77" s="770"/>
      <c r="M77" s="768" t="s">
        <v>210</v>
      </c>
      <c r="N77" s="770"/>
      <c r="O77" s="349"/>
      <c r="P77" s="350"/>
      <c r="Q77" s="349"/>
    </row>
    <row r="78" spans="2:17" s="348" customFormat="1" ht="20.100000000000001" customHeight="1" thickBot="1" x14ac:dyDescent="0.3">
      <c r="B78" s="775"/>
      <c r="C78" s="352" t="s">
        <v>209</v>
      </c>
      <c r="D78" s="351"/>
      <c r="E78" s="352" t="s">
        <v>208</v>
      </c>
      <c r="F78" s="351"/>
      <c r="G78" s="771"/>
      <c r="H78" s="772"/>
      <c r="I78" s="772"/>
      <c r="J78" s="773"/>
      <c r="K78" s="771"/>
      <c r="L78" s="773"/>
      <c r="M78" s="771"/>
      <c r="N78" s="773"/>
      <c r="O78" s="349"/>
      <c r="P78" s="350"/>
      <c r="Q78" s="349"/>
    </row>
    <row r="79" spans="2:17" s="319" customFormat="1" ht="99.95" customHeight="1" thickTop="1" x14ac:dyDescent="0.25">
      <c r="B79" s="347">
        <v>1</v>
      </c>
      <c r="C79" s="346">
        <f>+'TAHAP 1'!C13</f>
        <v>45411</v>
      </c>
      <c r="D79" s="345"/>
      <c r="E79" s="346">
        <f>+'TAHAP 1'!F13</f>
        <v>45412</v>
      </c>
      <c r="F79" s="345"/>
      <c r="G79" s="344" t="s">
        <v>207</v>
      </c>
      <c r="H79" s="343"/>
      <c r="I79" s="343"/>
      <c r="J79" s="343"/>
      <c r="K79" s="342" t="s">
        <v>206</v>
      </c>
      <c r="L79" s="342"/>
      <c r="M79" s="341">
        <v>698000</v>
      </c>
      <c r="N79" s="340"/>
      <c r="O79" s="339"/>
      <c r="P79" s="338"/>
      <c r="Q79" s="320"/>
    </row>
    <row r="80" spans="2:17" s="319" customFormat="1" ht="19.5" customHeight="1" x14ac:dyDescent="0.25">
      <c r="B80" s="328"/>
      <c r="C80" s="337"/>
      <c r="D80" s="337"/>
      <c r="E80" s="337"/>
      <c r="F80" s="337"/>
      <c r="G80" s="336" t="str">
        <f>+G79</f>
        <v>HARPER PURWAKARTA BY ASTON
Jl. Raya Bungursari No. 122, Bungursari, Purwakarta, 41181, Indonesia.</v>
      </c>
      <c r="H80" s="323"/>
      <c r="I80" s="323"/>
      <c r="J80" s="323"/>
      <c r="K80" s="323"/>
      <c r="L80" s="323"/>
      <c r="M80" s="323"/>
      <c r="N80" s="322"/>
      <c r="O80" s="322"/>
      <c r="P80" s="335"/>
      <c r="Q80" s="334"/>
    </row>
    <row r="81" spans="2:20" s="319" customFormat="1" ht="21.95" customHeight="1" x14ac:dyDescent="0.25">
      <c r="B81" s="328"/>
      <c r="C81" s="333" t="s">
        <v>3</v>
      </c>
      <c r="D81" s="332"/>
      <c r="E81" s="331" t="s">
        <v>205</v>
      </c>
      <c r="F81" s="331" t="s">
        <v>204</v>
      </c>
      <c r="G81" s="331" t="s">
        <v>203</v>
      </c>
      <c r="H81" s="331" t="s">
        <v>202</v>
      </c>
      <c r="I81" s="331" t="s">
        <v>201</v>
      </c>
      <c r="J81" s="331" t="s">
        <v>63</v>
      </c>
      <c r="K81" s="330" t="s">
        <v>62</v>
      </c>
      <c r="L81" s="329" t="s">
        <v>64</v>
      </c>
      <c r="M81" s="323"/>
      <c r="N81" s="322"/>
      <c r="O81" s="126"/>
      <c r="P81" s="127"/>
      <c r="Q81" s="320"/>
    </row>
    <row r="82" spans="2:20" s="319" customFormat="1" ht="21.95" customHeight="1" x14ac:dyDescent="0.25">
      <c r="B82" s="328"/>
      <c r="C82" s="327" t="str">
        <f>+C41</f>
        <v>SINICHI KISHIMOTO</v>
      </c>
      <c r="D82" s="327"/>
      <c r="E82" s="326" t="str">
        <f>+$K$79</f>
        <v>Superior</v>
      </c>
      <c r="F82" s="325">
        <v>1</v>
      </c>
      <c r="G82" s="325">
        <v>1</v>
      </c>
      <c r="H82" s="324">
        <f>+$M$79</f>
        <v>698000</v>
      </c>
      <c r="I82" s="324">
        <f>+H82*G82*F82</f>
        <v>698000</v>
      </c>
      <c r="J82" s="324" t="s">
        <v>200</v>
      </c>
      <c r="K82" s="324" t="s">
        <v>65</v>
      </c>
      <c r="L82" s="324" t="s">
        <v>65</v>
      </c>
      <c r="M82" s="323"/>
      <c r="N82" s="322"/>
      <c r="O82" s="310"/>
      <c r="P82" s="321"/>
      <c r="Q82" s="320"/>
    </row>
    <row r="83" spans="2:20" s="319" customFormat="1" ht="21.95" customHeight="1" x14ac:dyDescent="0.25">
      <c r="B83" s="328"/>
      <c r="C83" s="327" t="str">
        <f>+C42</f>
        <v>AGUS NANANG SETIAWAN</v>
      </c>
      <c r="D83" s="327"/>
      <c r="E83" s="326" t="str">
        <f>+$K$79</f>
        <v>Superior</v>
      </c>
      <c r="F83" s="325">
        <v>1</v>
      </c>
      <c r="G83" s="325">
        <v>1</v>
      </c>
      <c r="H83" s="324">
        <f>+$M$79</f>
        <v>698000</v>
      </c>
      <c r="I83" s="324">
        <f>+H83*G83*F83</f>
        <v>698000</v>
      </c>
      <c r="J83" s="324" t="s">
        <v>200</v>
      </c>
      <c r="K83" s="324" t="s">
        <v>65</v>
      </c>
      <c r="L83" s="324" t="s">
        <v>65</v>
      </c>
      <c r="M83" s="323"/>
      <c r="N83" s="322"/>
      <c r="O83" s="310"/>
      <c r="P83" s="321"/>
      <c r="Q83" s="320"/>
    </row>
    <row r="84" spans="2:20" s="319" customFormat="1" ht="21.95" customHeight="1" x14ac:dyDescent="0.25">
      <c r="B84" s="328"/>
      <c r="C84" s="327" t="str">
        <f>+C43</f>
        <v>M. HUSNUL MUBAROK</v>
      </c>
      <c r="D84" s="327"/>
      <c r="E84" s="326" t="str">
        <f>+$K$79</f>
        <v>Superior</v>
      </c>
      <c r="F84" s="325">
        <v>1</v>
      </c>
      <c r="G84" s="325">
        <v>1</v>
      </c>
      <c r="H84" s="324">
        <f>+$M$79</f>
        <v>698000</v>
      </c>
      <c r="I84" s="324">
        <f>+H84*G84*F84</f>
        <v>698000</v>
      </c>
      <c r="J84" s="324" t="s">
        <v>200</v>
      </c>
      <c r="K84" s="324" t="s">
        <v>65</v>
      </c>
      <c r="L84" s="324" t="s">
        <v>65</v>
      </c>
      <c r="M84" s="323"/>
      <c r="N84" s="322"/>
      <c r="O84" s="310"/>
      <c r="P84" s="321"/>
      <c r="Q84" s="320"/>
    </row>
    <row r="85" spans="2:20" s="319" customFormat="1" ht="21.95" customHeight="1" x14ac:dyDescent="0.25">
      <c r="B85" s="328"/>
      <c r="C85" s="327" t="str">
        <f>+C44</f>
        <v>ELFIRA LUTFIA W.</v>
      </c>
      <c r="D85" s="327"/>
      <c r="E85" s="326" t="str">
        <f>+$K$79</f>
        <v>Superior</v>
      </c>
      <c r="F85" s="325">
        <v>1</v>
      </c>
      <c r="G85" s="325">
        <v>1</v>
      </c>
      <c r="H85" s="324">
        <f>+$M$79</f>
        <v>698000</v>
      </c>
      <c r="I85" s="324">
        <f>+H85*G85*F85</f>
        <v>698000</v>
      </c>
      <c r="J85" s="324" t="s">
        <v>200</v>
      </c>
      <c r="K85" s="324" t="s">
        <v>65</v>
      </c>
      <c r="L85" s="324" t="s">
        <v>65</v>
      </c>
      <c r="M85" s="323"/>
      <c r="N85" s="322"/>
      <c r="O85" s="310"/>
      <c r="P85" s="321"/>
      <c r="Q85" s="320"/>
    </row>
    <row r="86" spans="2:20" s="310" customFormat="1" ht="19.5" customHeight="1" thickBot="1" x14ac:dyDescent="0.3">
      <c r="B86" s="318"/>
      <c r="C86" s="317"/>
      <c r="D86" s="317"/>
      <c r="E86" s="316"/>
      <c r="F86" s="316"/>
      <c r="G86" s="316"/>
      <c r="H86" s="316"/>
      <c r="I86" s="316"/>
      <c r="J86" s="316"/>
      <c r="K86" s="315"/>
      <c r="L86" s="315"/>
      <c r="M86" s="314"/>
      <c r="N86" s="314"/>
      <c r="O86" s="313"/>
      <c r="P86" s="312"/>
      <c r="S86" s="311"/>
      <c r="T86" s="311"/>
    </row>
    <row r="87" spans="2:20" ht="15" customHeight="1" thickTop="1" x14ac:dyDescent="0.25">
      <c r="B87" s="309" t="s">
        <v>96</v>
      </c>
      <c r="C87" s="302"/>
      <c r="D87" s="302"/>
      <c r="E87" s="302"/>
      <c r="F87" s="301"/>
      <c r="G87" s="300"/>
      <c r="H87" s="308" t="s">
        <v>199</v>
      </c>
      <c r="I87" s="307"/>
      <c r="J87" s="297" t="s">
        <v>198</v>
      </c>
      <c r="K87" s="297"/>
      <c r="L87" s="306">
        <v>45118</v>
      </c>
      <c r="M87" s="304" t="s">
        <v>38</v>
      </c>
      <c r="N87" s="304"/>
      <c r="O87" s="305"/>
      <c r="P87" s="304"/>
    </row>
    <row r="88" spans="2:20" ht="15" customHeight="1" x14ac:dyDescent="0.25">
      <c r="B88" s="303"/>
      <c r="C88" s="302"/>
      <c r="D88" s="302"/>
      <c r="E88" s="302"/>
      <c r="F88" s="301"/>
      <c r="G88" s="300"/>
      <c r="H88" s="299"/>
      <c r="I88" s="298"/>
      <c r="J88" s="297" t="s">
        <v>197</v>
      </c>
      <c r="K88" s="297"/>
      <c r="L88" s="296">
        <v>44702</v>
      </c>
      <c r="M88" s="294" t="s">
        <v>38</v>
      </c>
      <c r="N88" s="294"/>
      <c r="O88" s="295"/>
      <c r="P88" s="294"/>
    </row>
    <row r="89" spans="2:20" ht="15" customHeight="1" x14ac:dyDescent="0.25">
      <c r="B89" s="303"/>
      <c r="C89" s="302"/>
      <c r="D89" s="302"/>
      <c r="E89" s="302"/>
      <c r="F89" s="301"/>
      <c r="G89" s="300"/>
      <c r="H89" s="299"/>
      <c r="I89" s="298"/>
      <c r="J89" s="297" t="s">
        <v>196</v>
      </c>
      <c r="K89" s="297"/>
      <c r="L89" s="296">
        <v>44314</v>
      </c>
      <c r="M89" s="294" t="s">
        <v>38</v>
      </c>
      <c r="N89" s="294">
        <v>3</v>
      </c>
      <c r="O89" s="295">
        <f>+L87</f>
        <v>45118</v>
      </c>
      <c r="P89" s="294" t="s">
        <v>40</v>
      </c>
    </row>
    <row r="90" spans="2:20" ht="15" customHeight="1" x14ac:dyDescent="0.25">
      <c r="B90" s="303"/>
      <c r="C90" s="302"/>
      <c r="D90" s="302"/>
      <c r="E90" s="302"/>
      <c r="F90" s="301"/>
      <c r="G90" s="300"/>
      <c r="H90" s="299"/>
      <c r="I90" s="298"/>
      <c r="J90" s="297" t="s">
        <v>195</v>
      </c>
      <c r="K90" s="297"/>
      <c r="L90" s="296">
        <v>44147</v>
      </c>
      <c r="M90" s="294" t="s">
        <v>38</v>
      </c>
      <c r="N90" s="294">
        <v>2</v>
      </c>
      <c r="O90" s="295">
        <v>44702</v>
      </c>
      <c r="P90" s="294" t="s">
        <v>194</v>
      </c>
    </row>
    <row r="91" spans="2:20" ht="15" customHeight="1" x14ac:dyDescent="0.25">
      <c r="B91" s="303"/>
      <c r="C91" s="302"/>
      <c r="D91" s="302"/>
      <c r="E91" s="302"/>
      <c r="F91" s="301"/>
      <c r="G91" s="300"/>
      <c r="H91" s="299"/>
      <c r="I91" s="298"/>
      <c r="J91" s="297" t="s">
        <v>95</v>
      </c>
      <c r="K91" s="297"/>
      <c r="L91" s="296">
        <v>45113</v>
      </c>
      <c r="M91" s="294" t="s">
        <v>193</v>
      </c>
      <c r="N91" s="294">
        <v>1</v>
      </c>
      <c r="O91" s="295">
        <v>44314</v>
      </c>
      <c r="P91" s="294" t="s">
        <v>40</v>
      </c>
    </row>
    <row r="92" spans="2:20" s="3" customFormat="1" ht="15" customHeight="1" x14ac:dyDescent="0.25">
      <c r="B92" s="293"/>
      <c r="C92" s="292"/>
      <c r="D92" s="292"/>
      <c r="E92" s="292"/>
      <c r="F92" s="291"/>
      <c r="G92" s="290"/>
      <c r="H92" s="289"/>
      <c r="I92" s="288"/>
      <c r="J92" s="287" t="s">
        <v>93</v>
      </c>
      <c r="K92" s="287"/>
      <c r="L92" s="286" t="s">
        <v>5</v>
      </c>
      <c r="M92" s="286" t="s">
        <v>90</v>
      </c>
      <c r="N92" s="286" t="s">
        <v>91</v>
      </c>
      <c r="O92" s="286" t="s">
        <v>92</v>
      </c>
      <c r="P92" s="286" t="s">
        <v>90</v>
      </c>
    </row>
  </sheetData>
  <mergeCells count="80">
    <mergeCell ref="C50:D50"/>
    <mergeCell ref="B45:G45"/>
    <mergeCell ref="B47:P48"/>
    <mergeCell ref="E50:J50"/>
    <mergeCell ref="H59:I59"/>
    <mergeCell ref="B72:G72"/>
    <mergeCell ref="N51:N52"/>
    <mergeCell ref="C51:D51"/>
    <mergeCell ref="C52:D52"/>
    <mergeCell ref="K51:K52"/>
    <mergeCell ref="L51:L52"/>
    <mergeCell ref="M51:M52"/>
    <mergeCell ref="C29:E29"/>
    <mergeCell ref="G37:I37"/>
    <mergeCell ref="C71:E71"/>
    <mergeCell ref="C59:E59"/>
    <mergeCell ref="B61:G61"/>
    <mergeCell ref="C68:E68"/>
    <mergeCell ref="C60:E60"/>
    <mergeCell ref="C44:F44"/>
    <mergeCell ref="E51:J51"/>
    <mergeCell ref="E52:J52"/>
    <mergeCell ref="J91:K91"/>
    <mergeCell ref="C83:D83"/>
    <mergeCell ref="C84:D84"/>
    <mergeCell ref="B3:I6"/>
    <mergeCell ref="M3:P5"/>
    <mergeCell ref="B10:D10"/>
    <mergeCell ref="M10:N10"/>
    <mergeCell ref="O10:P10"/>
    <mergeCell ref="C28:E28"/>
    <mergeCell ref="B31:E31"/>
    <mergeCell ref="C85:D85"/>
    <mergeCell ref="C82:D82"/>
    <mergeCell ref="J92:K92"/>
    <mergeCell ref="B87:F92"/>
    <mergeCell ref="G87:G92"/>
    <mergeCell ref="H87:I92"/>
    <mergeCell ref="J87:K87"/>
    <mergeCell ref="J88:K88"/>
    <mergeCell ref="J89:K89"/>
    <mergeCell ref="J90:K90"/>
    <mergeCell ref="O81:P81"/>
    <mergeCell ref="K79:L79"/>
    <mergeCell ref="G77:J78"/>
    <mergeCell ref="G79:J79"/>
    <mergeCell ref="E78:F78"/>
    <mergeCell ref="C78:D78"/>
    <mergeCell ref="C79:D79"/>
    <mergeCell ref="E79:F79"/>
    <mergeCell ref="C81:D81"/>
    <mergeCell ref="M79:N79"/>
    <mergeCell ref="Q77:Q78"/>
    <mergeCell ref="O77:P78"/>
    <mergeCell ref="K77:L78"/>
    <mergeCell ref="B77:B78"/>
    <mergeCell ref="C77:F77"/>
    <mergeCell ref="M77:N78"/>
    <mergeCell ref="H63:I63"/>
    <mergeCell ref="C70:E70"/>
    <mergeCell ref="C64:E64"/>
    <mergeCell ref="C69:E69"/>
    <mergeCell ref="C63:E63"/>
    <mergeCell ref="C43:F43"/>
    <mergeCell ref="C34:E34"/>
    <mergeCell ref="C35:E35"/>
    <mergeCell ref="C36:E36"/>
    <mergeCell ref="B37:E37"/>
    <mergeCell ref="C40:F40"/>
    <mergeCell ref="C41:F41"/>
    <mergeCell ref="C22:E22"/>
    <mergeCell ref="C23:E23"/>
    <mergeCell ref="C24:E24"/>
    <mergeCell ref="B25:E25"/>
    <mergeCell ref="G25:I25"/>
    <mergeCell ref="C42:F42"/>
    <mergeCell ref="G31:I31"/>
    <mergeCell ref="C30:E30"/>
    <mergeCell ref="H40"/>
    <mergeCell ref="H41"/>
  </mergeCells>
  <printOptions horizontalCentered="1"/>
  <pageMargins left="0" right="0" top="0" bottom="0" header="0" footer="0"/>
  <pageSetup paperSize="9" scale="4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FE63-0802-4672-8F39-5C68A66AB090}">
  <sheetPr>
    <tabColor rgb="FFFFFF00"/>
    <pageSetUpPr fitToPage="1"/>
  </sheetPr>
  <dimension ref="A1:AB70"/>
  <sheetViews>
    <sheetView showGridLines="0" tabSelected="1" view="pageBreakPreview" topLeftCell="A6" zoomScale="70" zoomScaleNormal="80" zoomScaleSheetLayoutView="70" workbookViewId="0">
      <selection activeCell="C22" sqref="C22"/>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499" t="s">
        <v>102</v>
      </c>
    </row>
    <row r="2" spans="2:23" ht="20.100000000000001" customHeight="1" x14ac:dyDescent="0.25">
      <c r="B2" s="498" t="s">
        <v>0</v>
      </c>
      <c r="C2" s="99"/>
      <c r="D2" s="99"/>
      <c r="E2" s="99"/>
      <c r="F2" s="99"/>
      <c r="G2" s="497"/>
      <c r="H2" s="497"/>
      <c r="I2" s="497"/>
      <c r="J2" s="497"/>
      <c r="K2" s="496" t="s">
        <v>44</v>
      </c>
      <c r="L2" s="764" t="s">
        <v>45</v>
      </c>
      <c r="M2" s="495"/>
      <c r="N2" s="495" t="s">
        <v>257</v>
      </c>
      <c r="O2" s="495"/>
      <c r="P2" s="495"/>
      <c r="Q2" s="494"/>
      <c r="R2" s="294" t="s">
        <v>50</v>
      </c>
      <c r="S2" s="294" t="s">
        <v>49</v>
      </c>
      <c r="T2" s="111" t="s">
        <v>37</v>
      </c>
      <c r="U2" s="112"/>
      <c r="V2" s="111" t="s">
        <v>36</v>
      </c>
      <c r="W2" s="112"/>
    </row>
    <row r="3" spans="2:23" ht="20.100000000000001" customHeight="1" x14ac:dyDescent="0.25">
      <c r="B3" s="763" t="s">
        <v>256</v>
      </c>
      <c r="C3" s="762"/>
      <c r="D3" s="762"/>
      <c r="E3" s="762"/>
      <c r="F3" s="762"/>
      <c r="G3" s="762"/>
      <c r="H3" s="762"/>
      <c r="I3" s="762"/>
      <c r="J3" s="762"/>
      <c r="K3" s="761"/>
      <c r="L3" s="757" t="s">
        <v>5</v>
      </c>
      <c r="M3" s="490"/>
      <c r="N3" s="490" t="s">
        <v>255</v>
      </c>
      <c r="O3" s="490"/>
      <c r="P3" s="490"/>
      <c r="Q3" s="489"/>
      <c r="R3" s="122" t="s">
        <v>143</v>
      </c>
      <c r="S3" s="123"/>
      <c r="T3" s="123"/>
      <c r="U3" s="123"/>
      <c r="V3" s="123"/>
      <c r="W3" s="124"/>
    </row>
    <row r="4" spans="2:23" ht="20.100000000000001" customHeight="1" x14ac:dyDescent="0.25">
      <c r="B4" s="760"/>
      <c r="C4" s="759"/>
      <c r="D4" s="759"/>
      <c r="E4" s="759"/>
      <c r="F4" s="759"/>
      <c r="G4" s="759"/>
      <c r="H4" s="759"/>
      <c r="I4" s="759"/>
      <c r="J4" s="759"/>
      <c r="K4" s="758"/>
      <c r="L4" s="757" t="s">
        <v>46</v>
      </c>
      <c r="M4" s="490"/>
      <c r="N4" s="490" t="s">
        <v>254</v>
      </c>
      <c r="O4" s="490"/>
      <c r="P4" s="490"/>
      <c r="Q4" s="489"/>
      <c r="R4" s="125"/>
      <c r="S4" s="126"/>
      <c r="T4" s="126"/>
      <c r="U4" s="126"/>
      <c r="V4" s="126"/>
      <c r="W4" s="127"/>
    </row>
    <row r="5" spans="2:23" ht="20.100000000000001" customHeight="1" x14ac:dyDescent="0.25">
      <c r="B5" s="760"/>
      <c r="C5" s="759"/>
      <c r="D5" s="759"/>
      <c r="E5" s="759"/>
      <c r="F5" s="759"/>
      <c r="G5" s="759"/>
      <c r="H5" s="759"/>
      <c r="I5" s="759"/>
      <c r="J5" s="759"/>
      <c r="K5" s="758"/>
      <c r="L5" s="757" t="s">
        <v>253</v>
      </c>
      <c r="M5" s="490"/>
      <c r="N5" s="490" t="s">
        <v>282</v>
      </c>
      <c r="O5" s="490"/>
      <c r="P5" s="490"/>
      <c r="Q5" s="489"/>
      <c r="R5" s="128"/>
      <c r="S5" s="129"/>
      <c r="T5" s="129"/>
      <c r="U5" s="129"/>
      <c r="V5" s="129"/>
      <c r="W5" s="130"/>
    </row>
    <row r="6" spans="2:23" ht="20.100000000000001" customHeight="1" x14ac:dyDescent="0.25">
      <c r="B6" s="756"/>
      <c r="C6" s="755"/>
      <c r="D6" s="755"/>
      <c r="E6" s="755"/>
      <c r="F6" s="755"/>
      <c r="G6" s="755"/>
      <c r="H6" s="755"/>
      <c r="I6" s="755"/>
      <c r="J6" s="755"/>
      <c r="K6" s="754"/>
      <c r="L6" s="753" t="s">
        <v>48</v>
      </c>
      <c r="M6" s="752"/>
      <c r="N6" s="752" t="s">
        <v>251</v>
      </c>
      <c r="O6" s="752"/>
      <c r="P6" s="752"/>
      <c r="Q6" s="751"/>
      <c r="R6" s="294" t="s">
        <v>51</v>
      </c>
      <c r="S6" s="294" t="s">
        <v>40</v>
      </c>
      <c r="T6" s="111" t="s">
        <v>39</v>
      </c>
      <c r="U6" s="112"/>
      <c r="V6" s="111" t="s">
        <v>38</v>
      </c>
      <c r="W6" s="112"/>
    </row>
    <row r="7" spans="2:23" s="673" customFormat="1" ht="15" customHeight="1" x14ac:dyDescent="0.3">
      <c r="B7" s="749"/>
      <c r="C7" s="748"/>
      <c r="D7" s="748"/>
      <c r="E7" s="748"/>
      <c r="F7" s="750"/>
      <c r="G7" s="750"/>
      <c r="H7" s="750"/>
      <c r="I7" s="750"/>
      <c r="W7" s="747"/>
    </row>
    <row r="8" spans="2:23" s="673" customFormat="1" ht="15" customHeight="1" x14ac:dyDescent="0.3">
      <c r="B8" s="749"/>
      <c r="C8" s="748"/>
      <c r="D8" s="748"/>
      <c r="E8" s="748"/>
      <c r="F8" s="748"/>
      <c r="G8" s="748"/>
      <c r="H8" s="748"/>
      <c r="I8" s="748"/>
      <c r="W8" s="747"/>
    </row>
    <row r="9" spans="2:23" s="739" customFormat="1" ht="39.950000000000003" customHeight="1" x14ac:dyDescent="0.35">
      <c r="B9" s="746" t="s">
        <v>8</v>
      </c>
      <c r="C9" s="745"/>
      <c r="D9" s="745"/>
      <c r="E9" s="745"/>
      <c r="F9" s="745"/>
      <c r="G9" s="745"/>
      <c r="H9" s="745"/>
      <c r="I9" s="743" t="str">
        <f>+'TAHAP 1'!G8</f>
        <v>: SUAI</v>
      </c>
      <c r="J9" s="745"/>
      <c r="K9" s="745"/>
      <c r="L9" s="745"/>
      <c r="M9" s="745"/>
      <c r="N9" s="745"/>
      <c r="O9" s="745"/>
      <c r="P9" s="741"/>
      <c r="Q9" s="741"/>
      <c r="R9" s="741"/>
      <c r="S9" s="741"/>
      <c r="T9" s="741"/>
      <c r="U9" s="741"/>
      <c r="V9" s="741"/>
      <c r="W9" s="740"/>
    </row>
    <row r="10" spans="2:23" s="739" customFormat="1" ht="39.950000000000003" customHeight="1" x14ac:dyDescent="0.35">
      <c r="B10" s="744" t="s">
        <v>9</v>
      </c>
      <c r="C10" s="742"/>
      <c r="D10" s="742"/>
      <c r="E10" s="742"/>
      <c r="F10" s="742"/>
      <c r="G10" s="742"/>
      <c r="H10" s="742"/>
      <c r="I10" s="743" t="str">
        <f>+'TAHAP 1'!G9</f>
        <v>: Benchmark PP Activity dan Obeya</v>
      </c>
      <c r="J10" s="742"/>
      <c r="K10" s="742"/>
      <c r="L10" s="742"/>
      <c r="M10" s="742"/>
      <c r="N10" s="742"/>
      <c r="O10" s="742"/>
      <c r="P10" s="741"/>
      <c r="Q10" s="741"/>
      <c r="R10" s="741"/>
      <c r="S10" s="741"/>
      <c r="T10" s="741"/>
      <c r="U10" s="741"/>
      <c r="V10" s="741"/>
      <c r="W10" s="740"/>
    </row>
    <row r="11" spans="2:23" s="553" customFormat="1" ht="20.100000000000001" customHeight="1" x14ac:dyDescent="0.25">
      <c r="B11" s="571"/>
      <c r="C11" s="570"/>
      <c r="D11" s="570"/>
      <c r="E11" s="570"/>
      <c r="F11" s="570"/>
      <c r="N11" s="526"/>
      <c r="O11" s="526"/>
      <c r="P11" s="526"/>
      <c r="Q11" s="526"/>
      <c r="R11" s="526"/>
      <c r="S11" s="526"/>
      <c r="T11" s="526"/>
      <c r="U11" s="526"/>
      <c r="V11" s="526"/>
      <c r="W11" s="554"/>
    </row>
    <row r="12" spans="2:23" s="553" customFormat="1" ht="20.100000000000001" customHeight="1" x14ac:dyDescent="0.25">
      <c r="B12" s="571"/>
      <c r="C12" s="570"/>
      <c r="D12" s="570"/>
      <c r="E12" s="570"/>
      <c r="F12" s="570"/>
      <c r="N12" s="526"/>
      <c r="O12" s="526"/>
      <c r="P12" s="526"/>
      <c r="Q12" s="526"/>
      <c r="R12" s="526"/>
      <c r="S12" s="526"/>
      <c r="T12" s="526"/>
      <c r="U12" s="526"/>
      <c r="V12" s="526"/>
      <c r="W12" s="554"/>
    </row>
    <row r="13" spans="2:23" s="553" customFormat="1" ht="20.100000000000001" customHeight="1" x14ac:dyDescent="0.25">
      <c r="B13" s="571"/>
      <c r="C13" s="570"/>
      <c r="D13" s="570"/>
      <c r="E13" s="570"/>
      <c r="F13" s="570"/>
      <c r="N13" s="526"/>
      <c r="O13" s="526"/>
      <c r="P13" s="526"/>
      <c r="Q13" s="526"/>
      <c r="R13" s="526"/>
      <c r="S13" s="526"/>
      <c r="T13" s="526"/>
      <c r="U13" s="526"/>
      <c r="V13" s="526"/>
      <c r="W13" s="554"/>
    </row>
    <row r="14" spans="2:23" s="526" customFormat="1" ht="24.95" customHeight="1" x14ac:dyDescent="0.25">
      <c r="B14" s="738" t="s">
        <v>281</v>
      </c>
      <c r="C14" s="535"/>
      <c r="D14" s="535"/>
      <c r="E14" s="535"/>
      <c r="F14" s="535"/>
      <c r="W14" s="552"/>
    </row>
    <row r="15" spans="2:23" s="705" customFormat="1" ht="24.95" customHeight="1" x14ac:dyDescent="0.25">
      <c r="B15" s="737" t="s">
        <v>1</v>
      </c>
      <c r="C15" s="669" t="s">
        <v>5</v>
      </c>
      <c r="D15" s="668"/>
      <c r="E15" s="668"/>
      <c r="F15" s="667"/>
      <c r="G15" s="669" t="s">
        <v>4</v>
      </c>
      <c r="H15" s="667"/>
      <c r="I15" s="662" t="s">
        <v>43</v>
      </c>
      <c r="J15" s="661"/>
      <c r="K15" s="736" t="s">
        <v>2</v>
      </c>
      <c r="L15" s="734"/>
      <c r="M15" s="736" t="s">
        <v>3</v>
      </c>
      <c r="N15" s="735"/>
      <c r="O15" s="734"/>
      <c r="P15" s="733">
        <v>1</v>
      </c>
      <c r="Q15" s="733">
        <v>2</v>
      </c>
      <c r="R15" s="733">
        <v>3</v>
      </c>
      <c r="S15" s="733">
        <v>4</v>
      </c>
      <c r="T15" s="622">
        <v>5</v>
      </c>
      <c r="U15" s="620"/>
      <c r="V15" s="707"/>
      <c r="W15" s="706"/>
    </row>
    <row r="16" spans="2:23" s="705" customFormat="1" ht="16.5" customHeight="1" x14ac:dyDescent="0.25">
      <c r="B16" s="728"/>
      <c r="C16" s="665"/>
      <c r="D16" s="664"/>
      <c r="E16" s="664"/>
      <c r="F16" s="663"/>
      <c r="G16" s="665"/>
      <c r="H16" s="663"/>
      <c r="I16" s="657"/>
      <c r="J16" s="656"/>
      <c r="K16" s="727"/>
      <c r="L16" s="725"/>
      <c r="M16" s="727"/>
      <c r="N16" s="726"/>
      <c r="O16" s="725"/>
      <c r="P16" s="732" t="s">
        <v>280</v>
      </c>
      <c r="Q16" s="731" t="s">
        <v>146</v>
      </c>
      <c r="R16" s="731" t="s">
        <v>279</v>
      </c>
      <c r="S16" s="731" t="s">
        <v>278</v>
      </c>
      <c r="T16" s="730" t="s">
        <v>277</v>
      </c>
      <c r="U16" s="729"/>
      <c r="V16" s="707"/>
      <c r="W16" s="706"/>
    </row>
    <row r="17" spans="2:28" s="705" customFormat="1" ht="16.5" customHeight="1" x14ac:dyDescent="0.25">
      <c r="B17" s="728"/>
      <c r="C17" s="665"/>
      <c r="D17" s="664"/>
      <c r="E17" s="664"/>
      <c r="F17" s="663"/>
      <c r="G17" s="665"/>
      <c r="H17" s="663"/>
      <c r="I17" s="657"/>
      <c r="J17" s="656"/>
      <c r="K17" s="727"/>
      <c r="L17" s="725"/>
      <c r="M17" s="727"/>
      <c r="N17" s="726"/>
      <c r="O17" s="725"/>
      <c r="P17" s="724"/>
      <c r="Q17" s="723"/>
      <c r="R17" s="723"/>
      <c r="S17" s="723"/>
      <c r="T17" s="722"/>
      <c r="U17" s="721"/>
      <c r="V17" s="707"/>
      <c r="W17" s="706"/>
    </row>
    <row r="18" spans="2:28" s="705" customFormat="1" ht="17.100000000000001" customHeight="1" x14ac:dyDescent="0.25">
      <c r="B18" s="720"/>
      <c r="C18" s="718"/>
      <c r="D18" s="719"/>
      <c r="E18" s="719"/>
      <c r="F18" s="717"/>
      <c r="G18" s="718"/>
      <c r="H18" s="717"/>
      <c r="I18" s="716"/>
      <c r="J18" s="715"/>
      <c r="K18" s="714"/>
      <c r="L18" s="712"/>
      <c r="M18" s="714"/>
      <c r="N18" s="713"/>
      <c r="O18" s="712"/>
      <c r="P18" s="711"/>
      <c r="Q18" s="710"/>
      <c r="R18" s="710"/>
      <c r="S18" s="710"/>
      <c r="T18" s="709"/>
      <c r="U18" s="708"/>
      <c r="V18" s="707"/>
      <c r="W18" s="706"/>
    </row>
    <row r="19" spans="2:28" s="670" customFormat="1" ht="99.95" customHeight="1" x14ac:dyDescent="0.25">
      <c r="B19" s="687">
        <v>1</v>
      </c>
      <c r="C19" s="686">
        <f>+'TAHAP 1'!C13</f>
        <v>45411</v>
      </c>
      <c r="D19" s="700" t="s">
        <v>6</v>
      </c>
      <c r="E19" s="700"/>
      <c r="F19" s="699">
        <f>+'TAHAP 1'!F13</f>
        <v>45412</v>
      </c>
      <c r="G19" s="698" t="str">
        <f>+'TAHAP 1'!G13:H13</f>
        <v>PP</v>
      </c>
      <c r="H19" s="697"/>
      <c r="I19" s="698" t="str">
        <f>+'TAHAP 1'!I13:J13</f>
        <v>SM</v>
      </c>
      <c r="J19" s="697"/>
      <c r="K19" s="698">
        <v>25252</v>
      </c>
      <c r="L19" s="697"/>
      <c r="M19" s="696" t="str">
        <f>+'TAHAP 1'!M13</f>
        <v>SINICHI KISHIMOTO</v>
      </c>
      <c r="N19" s="695"/>
      <c r="O19" s="694"/>
      <c r="P19" s="693" t="s">
        <v>148</v>
      </c>
      <c r="Q19" s="704" t="s">
        <v>7</v>
      </c>
      <c r="R19" s="704" t="s">
        <v>7</v>
      </c>
      <c r="S19" s="691" t="s">
        <v>276</v>
      </c>
      <c r="T19" s="703" t="s">
        <v>275</v>
      </c>
      <c r="U19" s="702"/>
      <c r="V19" s="673"/>
      <c r="W19" s="672"/>
      <c r="Y19" s="671" t="str">
        <f>+G19</f>
        <v>PP</v>
      </c>
      <c r="Z19" s="671" t="str">
        <f>+I19</f>
        <v>SM</v>
      </c>
      <c r="AA19" s="671">
        <f>+K19</f>
        <v>25252</v>
      </c>
      <c r="AB19" s="671" t="str">
        <f>+M19</f>
        <v>SINICHI KISHIMOTO</v>
      </c>
    </row>
    <row r="20" spans="2:28" s="670" customFormat="1" ht="99.95" customHeight="1" x14ac:dyDescent="0.25">
      <c r="B20" s="687">
        <v>2</v>
      </c>
      <c r="C20" s="686">
        <f>+'TAHAP 1'!C14</f>
        <v>45411</v>
      </c>
      <c r="D20" s="700" t="s">
        <v>6</v>
      </c>
      <c r="E20" s="700"/>
      <c r="F20" s="699">
        <f>+'TAHAP 1'!F14</f>
        <v>45412</v>
      </c>
      <c r="G20" s="698" t="str">
        <f>+'TAHAP 1'!G14:H14</f>
        <v>PP</v>
      </c>
      <c r="H20" s="697"/>
      <c r="I20" s="698" t="str">
        <f>+'TAHAP 1'!I14:J14</f>
        <v>Ass. MGR</v>
      </c>
      <c r="J20" s="697"/>
      <c r="K20" s="698">
        <v>25252</v>
      </c>
      <c r="L20" s="697"/>
      <c r="M20" s="696" t="str">
        <f>+'TAHAP 1'!M14</f>
        <v>AGUS NANANG SETIAWAN</v>
      </c>
      <c r="N20" s="695"/>
      <c r="O20" s="694"/>
      <c r="P20" s="693" t="s">
        <v>149</v>
      </c>
      <c r="Q20" s="701"/>
      <c r="R20" s="692"/>
      <c r="S20" s="690"/>
      <c r="T20" s="689"/>
      <c r="U20" s="688"/>
      <c r="V20" s="673"/>
      <c r="W20" s="672"/>
      <c r="Y20" s="671"/>
      <c r="Z20" s="671"/>
      <c r="AA20" s="671"/>
      <c r="AB20" s="671"/>
    </row>
    <row r="21" spans="2:28" s="670" customFormat="1" ht="99.95" customHeight="1" x14ac:dyDescent="0.25">
      <c r="B21" s="687">
        <v>3</v>
      </c>
      <c r="C21" s="686">
        <f>+'TAHAP 1'!C15</f>
        <v>45411</v>
      </c>
      <c r="D21" s="700" t="s">
        <v>6</v>
      </c>
      <c r="E21" s="700"/>
      <c r="F21" s="699">
        <f>+'TAHAP 1'!F15</f>
        <v>45412</v>
      </c>
      <c r="G21" s="698" t="str">
        <f>+'TAHAP 1'!G15:H15</f>
        <v>PP</v>
      </c>
      <c r="H21" s="697"/>
      <c r="I21" s="698" t="str">
        <f>+'TAHAP 1'!I15:J15</f>
        <v>SPV</v>
      </c>
      <c r="J21" s="697"/>
      <c r="K21" s="698">
        <v>25252</v>
      </c>
      <c r="L21" s="697"/>
      <c r="M21" s="696" t="str">
        <f>+'TAHAP 1'!M15</f>
        <v>M. HUSNUL MUBAROK</v>
      </c>
      <c r="N21" s="695"/>
      <c r="O21" s="694"/>
      <c r="P21" s="693" t="s">
        <v>274</v>
      </c>
      <c r="Q21" s="692"/>
      <c r="R21" s="691" t="s">
        <v>149</v>
      </c>
      <c r="S21" s="690"/>
      <c r="T21" s="689"/>
      <c r="U21" s="688"/>
      <c r="V21" s="673"/>
      <c r="W21" s="672"/>
      <c r="Y21" s="671"/>
      <c r="Z21" s="671"/>
      <c r="AA21" s="671"/>
      <c r="AB21" s="671"/>
    </row>
    <row r="22" spans="2:28" s="670" customFormat="1" ht="99.95" customHeight="1" x14ac:dyDescent="0.25">
      <c r="B22" s="687">
        <v>4</v>
      </c>
      <c r="C22" s="686">
        <f>+'TAHAP 1'!C16</f>
        <v>45411</v>
      </c>
      <c r="D22" s="685" t="s">
        <v>6</v>
      </c>
      <c r="E22" s="685"/>
      <c r="F22" s="684">
        <f>+'TAHAP 1'!F16</f>
        <v>45412</v>
      </c>
      <c r="G22" s="683" t="str">
        <f>+'TAHAP 1'!G16:H16</f>
        <v>PP</v>
      </c>
      <c r="H22" s="682"/>
      <c r="I22" s="683" t="str">
        <f>+'TAHAP 1'!I16:J16</f>
        <v>OPT</v>
      </c>
      <c r="J22" s="682"/>
      <c r="K22" s="683">
        <v>25252</v>
      </c>
      <c r="L22" s="682"/>
      <c r="M22" s="681" t="str">
        <f>+'TAHAP 1'!M16</f>
        <v>ELFIRA LUTFIA W.</v>
      </c>
      <c r="N22" s="680"/>
      <c r="O22" s="679"/>
      <c r="P22" s="678" t="s">
        <v>273</v>
      </c>
      <c r="Q22" s="677" t="s">
        <v>179</v>
      </c>
      <c r="R22" s="676"/>
      <c r="S22" s="676"/>
      <c r="T22" s="675"/>
      <c r="U22" s="674"/>
      <c r="V22" s="673"/>
      <c r="W22" s="672"/>
      <c r="Y22" s="671" t="str">
        <f>+G22</f>
        <v>PP</v>
      </c>
      <c r="Z22" s="671" t="str">
        <f>+I22</f>
        <v>OPT</v>
      </c>
      <c r="AA22" s="671">
        <f>+K22</f>
        <v>25252</v>
      </c>
      <c r="AB22" s="671" t="str">
        <f>+M22</f>
        <v>ELFIRA LUTFIA W.</v>
      </c>
    </row>
    <row r="23" spans="2:28" s="553" customFormat="1" x14ac:dyDescent="0.25">
      <c r="B23" s="571"/>
      <c r="C23" s="570"/>
      <c r="D23" s="570"/>
      <c r="E23" s="570"/>
      <c r="F23" s="570"/>
      <c r="W23" s="554"/>
    </row>
    <row r="24" spans="2:28" s="553" customFormat="1" x14ac:dyDescent="0.25">
      <c r="B24" s="571"/>
      <c r="C24" s="570"/>
      <c r="D24" s="570"/>
      <c r="E24" s="570"/>
      <c r="F24" s="570"/>
      <c r="W24" s="554"/>
    </row>
    <row r="25" spans="2:28" s="553" customFormat="1" x14ac:dyDescent="0.25">
      <c r="B25" s="571"/>
      <c r="C25" s="570"/>
      <c r="D25" s="570"/>
      <c r="E25" s="570"/>
      <c r="F25" s="570"/>
      <c r="W25" s="554"/>
    </row>
    <row r="26" spans="2:28" s="553" customFormat="1" x14ac:dyDescent="0.25">
      <c r="B26" s="571"/>
      <c r="C26" s="570"/>
      <c r="D26" s="570"/>
      <c r="E26" s="570"/>
      <c r="F26" s="570"/>
      <c r="W26" s="554"/>
    </row>
    <row r="27" spans="2:28" s="553" customFormat="1" x14ac:dyDescent="0.25">
      <c r="B27" s="571"/>
      <c r="C27" s="570"/>
      <c r="D27" s="570"/>
      <c r="E27" s="570"/>
      <c r="F27" s="570"/>
      <c r="W27" s="554"/>
    </row>
    <row r="28" spans="2:28" s="535" customFormat="1" ht="27.95" customHeight="1" x14ac:dyDescent="0.25">
      <c r="B28" s="648" t="s">
        <v>272</v>
      </c>
      <c r="C28" s="647"/>
      <c r="D28" s="647"/>
      <c r="E28" s="647"/>
      <c r="F28" s="647"/>
      <c r="G28" s="647"/>
      <c r="H28" s="647"/>
      <c r="I28" s="647"/>
      <c r="J28" s="647"/>
      <c r="K28" s="646"/>
      <c r="L28" s="669" t="s">
        <v>237</v>
      </c>
      <c r="M28" s="668"/>
      <c r="N28" s="667"/>
      <c r="O28" s="618" t="s">
        <v>271</v>
      </c>
      <c r="P28" s="617"/>
      <c r="Q28" s="617"/>
      <c r="R28" s="616"/>
      <c r="S28" s="666" t="s">
        <v>270</v>
      </c>
      <c r="T28" s="666"/>
      <c r="U28" s="666"/>
      <c r="V28" s="666"/>
      <c r="W28" s="576"/>
    </row>
    <row r="29" spans="2:28" s="535" customFormat="1" ht="30" customHeight="1" x14ac:dyDescent="0.25">
      <c r="B29" s="648"/>
      <c r="C29" s="647"/>
      <c r="D29" s="647"/>
      <c r="E29" s="647"/>
      <c r="F29" s="647"/>
      <c r="G29" s="647"/>
      <c r="H29" s="647"/>
      <c r="I29" s="647"/>
      <c r="J29" s="647"/>
      <c r="K29" s="646"/>
      <c r="L29" s="665"/>
      <c r="M29" s="664"/>
      <c r="N29" s="663"/>
      <c r="O29" s="662" t="s">
        <v>269</v>
      </c>
      <c r="P29" s="661"/>
      <c r="Q29" s="662" t="s">
        <v>268</v>
      </c>
      <c r="R29" s="661"/>
      <c r="S29" s="660" t="str">
        <f>+'TAPAH 2.2 (Rincian)'!G80</f>
        <v>HARPER PURWAKARTA BY ASTON
Jl. Raya Bungursari No. 122, Bungursari, Purwakarta, 41181, Indonesia.</v>
      </c>
      <c r="T29" s="659"/>
      <c r="U29" s="659"/>
      <c r="V29" s="658"/>
      <c r="W29" s="576"/>
    </row>
    <row r="30" spans="2:28" s="535" customFormat="1" ht="50.1" customHeight="1" x14ac:dyDescent="0.25">
      <c r="B30" s="648"/>
      <c r="C30" s="647"/>
      <c r="D30" s="647"/>
      <c r="E30" s="647"/>
      <c r="F30" s="647"/>
      <c r="G30" s="647"/>
      <c r="H30" s="647"/>
      <c r="I30" s="647"/>
      <c r="J30" s="647"/>
      <c r="K30" s="646"/>
      <c r="L30" s="645"/>
      <c r="M30" s="644"/>
      <c r="N30" s="643"/>
      <c r="O30" s="657"/>
      <c r="P30" s="656"/>
      <c r="Q30" s="655"/>
      <c r="R30" s="654"/>
      <c r="S30" s="653"/>
      <c r="T30" s="652"/>
      <c r="U30" s="652"/>
      <c r="V30" s="651"/>
      <c r="W30" s="576"/>
    </row>
    <row r="31" spans="2:28" s="535" customFormat="1" ht="60" hidden="1" customHeight="1" x14ac:dyDescent="0.25">
      <c r="B31" s="648"/>
      <c r="C31" s="647"/>
      <c r="D31" s="647"/>
      <c r="E31" s="647"/>
      <c r="F31" s="647"/>
      <c r="G31" s="647"/>
      <c r="H31" s="647"/>
      <c r="I31" s="647"/>
      <c r="J31" s="647"/>
      <c r="K31" s="646"/>
      <c r="L31" s="645"/>
      <c r="M31" s="644"/>
      <c r="N31" s="643"/>
      <c r="O31" s="650"/>
      <c r="P31" s="649"/>
      <c r="Q31" s="640"/>
      <c r="R31" s="639"/>
      <c r="S31" s="638"/>
      <c r="T31" s="637"/>
      <c r="U31" s="637"/>
      <c r="V31" s="636"/>
      <c r="W31" s="576"/>
    </row>
    <row r="32" spans="2:28" s="535" customFormat="1" ht="27.95" hidden="1" customHeight="1" x14ac:dyDescent="0.25">
      <c r="B32" s="648"/>
      <c r="C32" s="647"/>
      <c r="D32" s="647"/>
      <c r="E32" s="647"/>
      <c r="F32" s="647"/>
      <c r="G32" s="647"/>
      <c r="H32" s="647"/>
      <c r="I32" s="647"/>
      <c r="J32" s="647"/>
      <c r="K32" s="646"/>
      <c r="L32" s="645"/>
      <c r="M32" s="644"/>
      <c r="N32" s="643"/>
      <c r="O32" s="642"/>
      <c r="P32" s="641"/>
      <c r="Q32" s="640"/>
      <c r="R32" s="639"/>
      <c r="S32" s="638"/>
      <c r="T32" s="637"/>
      <c r="U32" s="637"/>
      <c r="V32" s="636"/>
      <c r="W32" s="576"/>
    </row>
    <row r="33" spans="2:23" s="535" customFormat="1" ht="60" hidden="1" customHeight="1" x14ac:dyDescent="0.25">
      <c r="B33" s="635"/>
      <c r="C33" s="634"/>
      <c r="D33" s="634"/>
      <c r="E33" s="634"/>
      <c r="F33" s="634"/>
      <c r="G33" s="634"/>
      <c r="H33" s="634"/>
      <c r="I33" s="634"/>
      <c r="J33" s="634"/>
      <c r="K33" s="633"/>
      <c r="L33" s="632"/>
      <c r="M33" s="631"/>
      <c r="N33" s="630"/>
      <c r="O33" s="629"/>
      <c r="P33" s="628"/>
      <c r="Q33" s="627"/>
      <c r="R33" s="626"/>
      <c r="S33" s="625"/>
      <c r="T33" s="624"/>
      <c r="U33" s="624"/>
      <c r="V33" s="623"/>
      <c r="W33" s="576"/>
    </row>
    <row r="34" spans="2:23" s="535" customFormat="1" ht="50.1" customHeight="1" x14ac:dyDescent="0.25">
      <c r="B34" s="619" t="s">
        <v>1</v>
      </c>
      <c r="C34" s="622" t="s">
        <v>3</v>
      </c>
      <c r="D34" s="621"/>
      <c r="E34" s="621"/>
      <c r="F34" s="620"/>
      <c r="G34" s="619" t="s">
        <v>2</v>
      </c>
      <c r="H34" s="618" t="s">
        <v>267</v>
      </c>
      <c r="I34" s="617"/>
      <c r="J34" s="617"/>
      <c r="K34" s="616"/>
      <c r="L34" s="615" t="s">
        <v>202</v>
      </c>
      <c r="M34" s="614"/>
      <c r="N34" s="613" t="s">
        <v>265</v>
      </c>
      <c r="O34" s="612" t="s">
        <v>266</v>
      </c>
      <c r="P34" s="612" t="s">
        <v>265</v>
      </c>
      <c r="Q34" s="612" t="s">
        <v>266</v>
      </c>
      <c r="R34" s="612" t="s">
        <v>265</v>
      </c>
      <c r="S34" s="612" t="s">
        <v>266</v>
      </c>
      <c r="T34" s="611" t="s">
        <v>265</v>
      </c>
      <c r="U34" s="611"/>
      <c r="V34" s="611"/>
      <c r="W34" s="576" t="s">
        <v>264</v>
      </c>
    </row>
    <row r="35" spans="2:23" s="572" customFormat="1" ht="50.1" customHeight="1" x14ac:dyDescent="0.25">
      <c r="B35" s="601">
        <f>+'TAPAH 2.2 (Rincian)'!B41</f>
        <v>1</v>
      </c>
      <c r="C35" s="604" t="str">
        <f>+'TAPAH 2.2 (Rincian)'!C41:F41</f>
        <v>SINICHI KISHIMOTO</v>
      </c>
      <c r="D35" s="603"/>
      <c r="E35" s="603"/>
      <c r="F35" s="602"/>
      <c r="G35" s="601">
        <f>+'TAHAP 1'!K13</f>
        <v>26848</v>
      </c>
      <c r="H35" s="610"/>
      <c r="I35" s="609"/>
      <c r="J35" s="609"/>
      <c r="K35" s="608"/>
      <c r="L35" s="600">
        <f>+'TAPAH 2.2 (Rincian)'!H41</f>
        <v>190000</v>
      </c>
      <c r="M35" s="599"/>
      <c r="N35" s="607" t="s">
        <v>263</v>
      </c>
      <c r="O35" s="606">
        <f>+'TAPAH 2.2 (Rincian)'!I74</f>
        <v>5250000</v>
      </c>
      <c r="P35" s="605">
        <v>202404</v>
      </c>
      <c r="Q35" s="593">
        <v>0</v>
      </c>
      <c r="R35" s="594" t="s">
        <v>7</v>
      </c>
      <c r="S35" s="593">
        <f>+'TAPAH 2.2 (Rincian)'!I82</f>
        <v>698000</v>
      </c>
      <c r="T35" s="592">
        <v>202404</v>
      </c>
      <c r="U35" s="592"/>
      <c r="V35" s="592"/>
      <c r="W35" s="573"/>
    </row>
    <row r="36" spans="2:23" s="572" customFormat="1" ht="50.1" customHeight="1" x14ac:dyDescent="0.25">
      <c r="B36" s="601">
        <f>+'TAPAH 2.2 (Rincian)'!B42</f>
        <v>2</v>
      </c>
      <c r="C36" s="604" t="str">
        <f>+'TAPAH 2.2 (Rincian)'!C42:F42</f>
        <v>AGUS NANANG SETIAWAN</v>
      </c>
      <c r="D36" s="603"/>
      <c r="E36" s="603"/>
      <c r="F36" s="602"/>
      <c r="G36" s="601">
        <f>+'TAHAP 1'!K14</f>
        <v>3640</v>
      </c>
      <c r="H36" s="610" t="s">
        <v>283</v>
      </c>
      <c r="I36" s="609"/>
      <c r="J36" s="609"/>
      <c r="K36" s="608"/>
      <c r="L36" s="600">
        <f>+'TAPAH 2.2 (Rincian)'!H42</f>
        <v>162500</v>
      </c>
      <c r="M36" s="599"/>
      <c r="N36" s="598" t="s">
        <v>263</v>
      </c>
      <c r="O36" s="597"/>
      <c r="P36" s="596" t="s">
        <v>263</v>
      </c>
      <c r="Q36" s="595">
        <v>0</v>
      </c>
      <c r="R36" s="594" t="s">
        <v>7</v>
      </c>
      <c r="S36" s="593">
        <f>+'TAPAH 2.2 (Rincian)'!I83</f>
        <v>698000</v>
      </c>
      <c r="T36" s="592">
        <v>202404</v>
      </c>
      <c r="U36" s="592"/>
      <c r="V36" s="592"/>
      <c r="W36" s="573"/>
    </row>
    <row r="37" spans="2:23" s="572" customFormat="1" ht="50.1" customHeight="1" x14ac:dyDescent="0.25">
      <c r="B37" s="601">
        <f>+'TAPAH 2.2 (Rincian)'!B43</f>
        <v>3</v>
      </c>
      <c r="C37" s="604" t="str">
        <f>+'TAPAH 2.2 (Rincian)'!C43:F43</f>
        <v>M. HUSNUL MUBAROK</v>
      </c>
      <c r="D37" s="603"/>
      <c r="E37" s="603"/>
      <c r="F37" s="602"/>
      <c r="G37" s="601">
        <f>+'TAHAP 1'!K15</f>
        <v>7091</v>
      </c>
      <c r="H37" s="610" t="s">
        <v>284</v>
      </c>
      <c r="I37" s="609"/>
      <c r="J37" s="609"/>
      <c r="K37" s="608"/>
      <c r="L37" s="600">
        <f>+'TAPAH 2.2 (Rincian)'!H43</f>
        <v>162500</v>
      </c>
      <c r="M37" s="599"/>
      <c r="N37" s="598" t="s">
        <v>263</v>
      </c>
      <c r="O37" s="597"/>
      <c r="P37" s="596" t="s">
        <v>263</v>
      </c>
      <c r="Q37" s="595">
        <v>0</v>
      </c>
      <c r="R37" s="594" t="s">
        <v>7</v>
      </c>
      <c r="S37" s="593">
        <f>+'TAPAH 2.2 (Rincian)'!I84</f>
        <v>698000</v>
      </c>
      <c r="T37" s="592">
        <v>202404</v>
      </c>
      <c r="U37" s="592"/>
      <c r="V37" s="592"/>
      <c r="W37" s="573"/>
    </row>
    <row r="38" spans="2:23" s="572" customFormat="1" ht="50.1" customHeight="1" thickBot="1" x14ac:dyDescent="0.3">
      <c r="B38" s="588">
        <f>+'TAPAH 2.2 (Rincian)'!B44</f>
        <v>4</v>
      </c>
      <c r="C38" s="591" t="str">
        <f>+'TAPAH 2.2 (Rincian)'!C44:F44</f>
        <v>ELFIRA LUTFIA W.</v>
      </c>
      <c r="D38" s="590"/>
      <c r="E38" s="590"/>
      <c r="F38" s="589"/>
      <c r="G38" s="588">
        <f>+'TAHAP 1'!K16</f>
        <v>25998</v>
      </c>
      <c r="H38" s="765"/>
      <c r="I38" s="766"/>
      <c r="J38" s="766"/>
      <c r="K38" s="767"/>
      <c r="L38" s="587">
        <f>+'TAPAH 2.2 (Rincian)'!H44</f>
        <v>120000</v>
      </c>
      <c r="M38" s="586"/>
      <c r="N38" s="584" t="s">
        <v>263</v>
      </c>
      <c r="O38" s="585"/>
      <c r="P38" s="584" t="s">
        <v>263</v>
      </c>
      <c r="Q38" s="582">
        <v>0</v>
      </c>
      <c r="R38" s="583" t="s">
        <v>7</v>
      </c>
      <c r="S38" s="582">
        <f>+'TAPAH 2.2 (Rincian)'!I85</f>
        <v>698000</v>
      </c>
      <c r="T38" s="581">
        <v>202404</v>
      </c>
      <c r="U38" s="580"/>
      <c r="V38" s="579"/>
      <c r="W38" s="573"/>
    </row>
    <row r="39" spans="2:23" s="535" customFormat="1" ht="35.1" customHeight="1" thickTop="1" x14ac:dyDescent="0.25">
      <c r="B39" s="578" t="s">
        <v>262</v>
      </c>
      <c r="C39" s="578"/>
      <c r="D39" s="578"/>
      <c r="E39" s="578"/>
      <c r="F39" s="578"/>
      <c r="G39" s="578"/>
      <c r="H39" s="578"/>
      <c r="I39" s="578"/>
      <c r="J39" s="578"/>
      <c r="K39" s="578"/>
      <c r="L39" s="577">
        <f>SUM(L35:M38)</f>
        <v>635000</v>
      </c>
      <c r="M39" s="577"/>
      <c r="N39" s="577"/>
      <c r="O39" s="577">
        <f>SUM(O35:O38)</f>
        <v>5250000</v>
      </c>
      <c r="P39" s="577"/>
      <c r="Q39" s="577">
        <f>SUM(Q35:Q38)</f>
        <v>0</v>
      </c>
      <c r="R39" s="577"/>
      <c r="S39" s="577">
        <f>SUM(S35:S38)</f>
        <v>2792000</v>
      </c>
      <c r="T39" s="577"/>
      <c r="U39" s="577"/>
      <c r="V39" s="577"/>
      <c r="W39" s="576"/>
    </row>
    <row r="40" spans="2:23" s="572" customFormat="1" ht="45" customHeight="1" x14ac:dyDescent="0.25">
      <c r="B40" s="575" t="s">
        <v>201</v>
      </c>
      <c r="C40" s="575"/>
      <c r="D40" s="575"/>
      <c r="E40" s="575"/>
      <c r="F40" s="575"/>
      <c r="G40" s="575"/>
      <c r="H40" s="575"/>
      <c r="I40" s="575"/>
      <c r="J40" s="575"/>
      <c r="K40" s="575"/>
      <c r="L40" s="574">
        <f>SUM(L39:V39)</f>
        <v>8677000</v>
      </c>
      <c r="M40" s="574"/>
      <c r="N40" s="574"/>
      <c r="O40" s="574"/>
      <c r="P40" s="574"/>
      <c r="Q40" s="574"/>
      <c r="R40" s="574"/>
      <c r="S40" s="574"/>
      <c r="T40" s="574"/>
      <c r="U40" s="574"/>
      <c r="V40" s="574"/>
      <c r="W40" s="573"/>
    </row>
    <row r="41" spans="2:23" s="553" customFormat="1" ht="20.100000000000001" customHeight="1" x14ac:dyDescent="0.25">
      <c r="B41" s="571"/>
      <c r="C41" s="570"/>
      <c r="D41" s="570"/>
      <c r="E41" s="570"/>
      <c r="F41" s="570"/>
      <c r="W41" s="554"/>
    </row>
    <row r="42" spans="2:23" s="553" customFormat="1" ht="20.100000000000001" customHeight="1" x14ac:dyDescent="0.25">
      <c r="B42" s="571"/>
      <c r="C42" s="570"/>
      <c r="D42" s="570"/>
      <c r="E42" s="570"/>
      <c r="F42" s="570"/>
      <c r="W42" s="554"/>
    </row>
    <row r="43" spans="2:23" s="553" customFormat="1" ht="20.100000000000001" customHeight="1" x14ac:dyDescent="0.25">
      <c r="B43" s="569" t="s">
        <v>261</v>
      </c>
      <c r="C43" s="568"/>
      <c r="D43" s="568"/>
      <c r="E43" s="568"/>
      <c r="F43" s="568"/>
      <c r="G43" s="568"/>
      <c r="H43" s="568"/>
      <c r="I43" s="568"/>
      <c r="J43" s="568"/>
      <c r="K43" s="568"/>
      <c r="L43" s="568"/>
      <c r="M43" s="568"/>
      <c r="N43" s="568"/>
      <c r="O43" s="568"/>
      <c r="P43" s="568"/>
      <c r="Q43" s="568"/>
      <c r="R43" s="567"/>
      <c r="S43" s="542"/>
      <c r="T43" s="566" t="s">
        <v>260</v>
      </c>
      <c r="U43" s="565"/>
      <c r="V43" s="564"/>
      <c r="W43" s="554"/>
    </row>
    <row r="44" spans="2:23" s="553" customFormat="1" ht="20.100000000000001" customHeight="1" x14ac:dyDescent="0.25">
      <c r="B44" s="551"/>
      <c r="C44" s="550"/>
      <c r="D44" s="550"/>
      <c r="E44" s="550"/>
      <c r="F44" s="550"/>
      <c r="G44" s="550"/>
      <c r="H44" s="550"/>
      <c r="I44" s="550"/>
      <c r="J44" s="550"/>
      <c r="K44" s="550"/>
      <c r="L44" s="550"/>
      <c r="M44" s="550"/>
      <c r="N44" s="550"/>
      <c r="O44" s="550"/>
      <c r="P44" s="550"/>
      <c r="Q44" s="550"/>
      <c r="R44" s="549"/>
      <c r="S44" s="542"/>
      <c r="T44" s="563"/>
      <c r="U44" s="562"/>
      <c r="V44" s="561"/>
      <c r="W44" s="554"/>
    </row>
    <row r="45" spans="2:23" s="553" customFormat="1" ht="20.100000000000001" customHeight="1" x14ac:dyDescent="0.25">
      <c r="B45" s="551"/>
      <c r="C45" s="550"/>
      <c r="D45" s="550"/>
      <c r="E45" s="550"/>
      <c r="F45" s="550"/>
      <c r="G45" s="550"/>
      <c r="H45" s="550"/>
      <c r="I45" s="550"/>
      <c r="J45" s="550"/>
      <c r="K45" s="550"/>
      <c r="L45" s="550"/>
      <c r="M45" s="550"/>
      <c r="N45" s="550"/>
      <c r="O45" s="550"/>
      <c r="P45" s="550"/>
      <c r="Q45" s="550"/>
      <c r="R45" s="549"/>
      <c r="S45" s="542"/>
      <c r="T45" s="560"/>
      <c r="U45" s="559"/>
      <c r="V45" s="558"/>
      <c r="W45" s="554"/>
    </row>
    <row r="46" spans="2:23" s="553" customFormat="1" ht="20.100000000000001" customHeight="1" x14ac:dyDescent="0.25">
      <c r="B46" s="551"/>
      <c r="C46" s="550"/>
      <c r="D46" s="550"/>
      <c r="E46" s="550"/>
      <c r="F46" s="550"/>
      <c r="G46" s="550"/>
      <c r="H46" s="550"/>
      <c r="I46" s="550"/>
      <c r="J46" s="550"/>
      <c r="K46" s="550"/>
      <c r="L46" s="550"/>
      <c r="M46" s="550"/>
      <c r="N46" s="550"/>
      <c r="O46" s="550"/>
      <c r="P46" s="550"/>
      <c r="Q46" s="550"/>
      <c r="R46" s="549"/>
      <c r="S46" s="542"/>
      <c r="T46" s="557" t="s">
        <v>259</v>
      </c>
      <c r="U46" s="556"/>
      <c r="V46" s="555"/>
      <c r="W46" s="554"/>
    </row>
    <row r="47" spans="2:23" s="526" customFormat="1" ht="20.100000000000001" customHeight="1" x14ac:dyDescent="0.25">
      <c r="B47" s="551"/>
      <c r="C47" s="550"/>
      <c r="D47" s="550"/>
      <c r="E47" s="550"/>
      <c r="F47" s="550"/>
      <c r="G47" s="550"/>
      <c r="H47" s="550"/>
      <c r="I47" s="550"/>
      <c r="J47" s="550"/>
      <c r="K47" s="550"/>
      <c r="L47" s="550"/>
      <c r="M47" s="550"/>
      <c r="N47" s="550"/>
      <c r="O47" s="550"/>
      <c r="P47" s="550"/>
      <c r="Q47" s="550"/>
      <c r="R47" s="549"/>
      <c r="S47" s="542"/>
      <c r="T47" s="548"/>
      <c r="U47" s="547"/>
      <c r="V47" s="546"/>
      <c r="W47" s="552"/>
    </row>
    <row r="48" spans="2:23" s="526" customFormat="1" ht="20.100000000000001" customHeight="1" x14ac:dyDescent="0.25">
      <c r="B48" s="551"/>
      <c r="C48" s="550"/>
      <c r="D48" s="550"/>
      <c r="E48" s="550"/>
      <c r="F48" s="550"/>
      <c r="G48" s="550"/>
      <c r="H48" s="550"/>
      <c r="I48" s="550"/>
      <c r="J48" s="550"/>
      <c r="K48" s="550"/>
      <c r="L48" s="550"/>
      <c r="M48" s="550"/>
      <c r="N48" s="550"/>
      <c r="O48" s="550"/>
      <c r="P48" s="550"/>
      <c r="Q48" s="550"/>
      <c r="R48" s="549"/>
      <c r="S48" s="542"/>
      <c r="T48" s="548"/>
      <c r="U48" s="547"/>
      <c r="V48" s="546"/>
      <c r="W48" s="538"/>
    </row>
    <row r="49" spans="1:24" s="526" customFormat="1" ht="20.100000000000001" customHeight="1" x14ac:dyDescent="0.25">
      <c r="B49" s="545"/>
      <c r="C49" s="544"/>
      <c r="D49" s="544"/>
      <c r="E49" s="544"/>
      <c r="F49" s="544"/>
      <c r="G49" s="544"/>
      <c r="H49" s="544"/>
      <c r="I49" s="544"/>
      <c r="J49" s="544"/>
      <c r="K49" s="544"/>
      <c r="L49" s="544"/>
      <c r="M49" s="544"/>
      <c r="N49" s="544"/>
      <c r="O49" s="544"/>
      <c r="P49" s="544"/>
      <c r="Q49" s="544"/>
      <c r="R49" s="543"/>
      <c r="S49" s="542"/>
      <c r="T49" s="541"/>
      <c r="U49" s="540"/>
      <c r="V49" s="539"/>
      <c r="W49" s="538"/>
    </row>
    <row r="50" spans="1:24" s="526" customFormat="1" ht="15.75" x14ac:dyDescent="0.25">
      <c r="B50" s="537"/>
      <c r="C50" s="536"/>
      <c r="D50" s="536"/>
      <c r="E50" s="536"/>
      <c r="F50" s="536"/>
      <c r="G50" s="536"/>
      <c r="H50" s="536"/>
      <c r="I50" s="536"/>
      <c r="J50" s="536"/>
      <c r="K50" s="536"/>
      <c r="L50" s="536"/>
      <c r="M50" s="536"/>
      <c r="N50" s="536"/>
      <c r="O50" s="536"/>
      <c r="P50" s="536"/>
      <c r="Q50" s="536"/>
      <c r="R50" s="535"/>
      <c r="T50" s="534"/>
      <c r="U50" s="534"/>
      <c r="V50" s="534"/>
      <c r="W50" s="533"/>
    </row>
    <row r="51" spans="1:24" s="526" customFormat="1" ht="15.75" x14ac:dyDescent="0.25">
      <c r="B51" s="537"/>
      <c r="C51" s="536"/>
      <c r="D51" s="536"/>
      <c r="E51" s="536"/>
      <c r="F51" s="536"/>
      <c r="G51" s="536"/>
      <c r="H51" s="536"/>
      <c r="I51" s="536"/>
      <c r="J51" s="536"/>
      <c r="K51" s="536"/>
      <c r="L51" s="536"/>
      <c r="M51" s="536"/>
      <c r="N51" s="536"/>
      <c r="O51" s="536"/>
      <c r="P51" s="536"/>
      <c r="Q51" s="536"/>
      <c r="R51" s="535"/>
      <c r="T51" s="534"/>
      <c r="U51" s="534"/>
      <c r="V51" s="534"/>
      <c r="W51" s="533"/>
    </row>
    <row r="52" spans="1:24" s="526" customFormat="1" ht="15.75" x14ac:dyDescent="0.25">
      <c r="B52" s="537"/>
      <c r="C52" s="536"/>
      <c r="D52" s="536"/>
      <c r="E52" s="536"/>
      <c r="F52" s="536"/>
      <c r="G52" s="536"/>
      <c r="H52" s="536"/>
      <c r="I52" s="536"/>
      <c r="J52" s="536"/>
      <c r="K52" s="536"/>
      <c r="L52" s="536"/>
      <c r="M52" s="536"/>
      <c r="N52" s="536"/>
      <c r="O52" s="536"/>
      <c r="P52" s="536"/>
      <c r="Q52" s="536"/>
      <c r="R52" s="535"/>
      <c r="T52" s="534"/>
      <c r="U52" s="534"/>
      <c r="V52" s="534"/>
      <c r="W52" s="533"/>
    </row>
    <row r="53" spans="1:24" s="526" customFormat="1" ht="15.75" x14ac:dyDescent="0.25">
      <c r="B53" s="537"/>
      <c r="C53" s="536"/>
      <c r="D53" s="536"/>
      <c r="E53" s="536"/>
      <c r="F53" s="536"/>
      <c r="G53" s="536"/>
      <c r="H53" s="536"/>
      <c r="I53" s="536"/>
      <c r="J53" s="536"/>
      <c r="K53" s="536"/>
      <c r="L53" s="536"/>
      <c r="M53" s="536"/>
      <c r="N53" s="536"/>
      <c r="O53" s="536"/>
      <c r="P53" s="536"/>
      <c r="Q53" s="536"/>
      <c r="R53" s="535"/>
      <c r="T53" s="534"/>
      <c r="U53" s="534"/>
      <c r="V53" s="534"/>
      <c r="W53" s="533"/>
    </row>
    <row r="54" spans="1:24" s="526" customFormat="1" ht="16.5" thickBot="1" x14ac:dyDescent="0.3">
      <c r="B54" s="532"/>
      <c r="C54" s="530"/>
      <c r="D54" s="531"/>
      <c r="E54" s="530"/>
      <c r="F54" s="530"/>
      <c r="G54" s="529"/>
      <c r="H54" s="529"/>
      <c r="I54" s="529"/>
      <c r="J54" s="529"/>
      <c r="K54" s="529"/>
      <c r="L54" s="529"/>
      <c r="M54" s="529"/>
      <c r="N54" s="529"/>
      <c r="O54" s="529"/>
      <c r="P54" s="529"/>
      <c r="Q54" s="529"/>
      <c r="R54" s="529"/>
      <c r="S54" s="529"/>
      <c r="T54" s="528"/>
      <c r="U54" s="528"/>
      <c r="V54" s="528"/>
      <c r="W54" s="527"/>
    </row>
    <row r="55" spans="1:24" ht="20.100000000000001" customHeight="1" thickTop="1" x14ac:dyDescent="0.25">
      <c r="B55" s="309" t="s">
        <v>96</v>
      </c>
      <c r="C55" s="302"/>
      <c r="D55" s="302"/>
      <c r="E55" s="302"/>
      <c r="F55" s="301"/>
      <c r="G55" s="300"/>
      <c r="H55" s="519"/>
      <c r="I55" s="299" t="s">
        <v>199</v>
      </c>
      <c r="J55" s="517"/>
      <c r="K55" s="517"/>
      <c r="L55" s="516"/>
      <c r="M55" s="304">
        <v>4</v>
      </c>
      <c r="N55" s="525" t="s">
        <v>198</v>
      </c>
      <c r="O55" s="524"/>
      <c r="P55" s="523"/>
      <c r="Q55" s="306">
        <v>45118</v>
      </c>
      <c r="R55" s="304" t="s">
        <v>38</v>
      </c>
      <c r="S55" s="304"/>
      <c r="T55" s="522"/>
      <c r="U55" s="521"/>
      <c r="V55" s="520"/>
      <c r="W55" s="304"/>
    </row>
    <row r="56" spans="1:24" ht="20.100000000000001" customHeight="1" x14ac:dyDescent="0.25">
      <c r="B56" s="303"/>
      <c r="C56" s="302"/>
      <c r="D56" s="302"/>
      <c r="E56" s="302"/>
      <c r="F56" s="301"/>
      <c r="G56" s="300"/>
      <c r="H56" s="519"/>
      <c r="I56" s="518"/>
      <c r="J56" s="517"/>
      <c r="K56" s="517"/>
      <c r="L56" s="516"/>
      <c r="M56" s="294">
        <v>3</v>
      </c>
      <c r="N56" s="515" t="s">
        <v>197</v>
      </c>
      <c r="O56" s="514"/>
      <c r="P56" s="513"/>
      <c r="Q56" s="296">
        <v>44702</v>
      </c>
      <c r="R56" s="294" t="s">
        <v>38</v>
      </c>
      <c r="S56" s="294"/>
      <c r="T56" s="512"/>
      <c r="U56" s="511"/>
      <c r="V56" s="510"/>
      <c r="W56" s="294"/>
    </row>
    <row r="57" spans="1:24" ht="20.100000000000001" customHeight="1" x14ac:dyDescent="0.25">
      <c r="B57" s="303"/>
      <c r="C57" s="302"/>
      <c r="D57" s="302"/>
      <c r="E57" s="302"/>
      <c r="F57" s="301"/>
      <c r="G57" s="300"/>
      <c r="H57" s="519"/>
      <c r="I57" s="518"/>
      <c r="J57" s="517"/>
      <c r="K57" s="517"/>
      <c r="L57" s="516"/>
      <c r="M57" s="294">
        <v>2</v>
      </c>
      <c r="N57" s="515" t="s">
        <v>196</v>
      </c>
      <c r="O57" s="514"/>
      <c r="P57" s="513"/>
      <c r="Q57" s="296">
        <v>44314</v>
      </c>
      <c r="R57" s="294" t="s">
        <v>38</v>
      </c>
      <c r="S57" s="294">
        <v>3</v>
      </c>
      <c r="T57" s="512">
        <f>+Q55</f>
        <v>45118</v>
      </c>
      <c r="U57" s="511"/>
      <c r="V57" s="510"/>
      <c r="W57" s="294" t="s">
        <v>40</v>
      </c>
    </row>
    <row r="58" spans="1:24" ht="20.100000000000001" customHeight="1" x14ac:dyDescent="0.25">
      <c r="B58" s="303"/>
      <c r="C58" s="302"/>
      <c r="D58" s="302"/>
      <c r="E58" s="302"/>
      <c r="F58" s="301"/>
      <c r="G58" s="300"/>
      <c r="H58" s="519"/>
      <c r="I58" s="518"/>
      <c r="J58" s="517"/>
      <c r="K58" s="517"/>
      <c r="L58" s="516"/>
      <c r="M58" s="294">
        <v>1</v>
      </c>
      <c r="N58" s="515" t="s">
        <v>195</v>
      </c>
      <c r="O58" s="514"/>
      <c r="P58" s="513"/>
      <c r="Q58" s="296">
        <v>44147</v>
      </c>
      <c r="R58" s="294" t="s">
        <v>38</v>
      </c>
      <c r="S58" s="294">
        <v>2</v>
      </c>
      <c r="T58" s="512">
        <v>44702</v>
      </c>
      <c r="U58" s="511"/>
      <c r="V58" s="510"/>
      <c r="W58" s="294" t="s">
        <v>194</v>
      </c>
    </row>
    <row r="59" spans="1:24" ht="20.100000000000001" customHeight="1" x14ac:dyDescent="0.25">
      <c r="B59" s="303"/>
      <c r="C59" s="302"/>
      <c r="D59" s="302"/>
      <c r="E59" s="302"/>
      <c r="F59" s="301"/>
      <c r="G59" s="300"/>
      <c r="H59" s="519"/>
      <c r="I59" s="518"/>
      <c r="J59" s="517"/>
      <c r="K59" s="517"/>
      <c r="L59" s="516"/>
      <c r="M59" s="294">
        <v>0</v>
      </c>
      <c r="N59" s="515" t="s">
        <v>95</v>
      </c>
      <c r="O59" s="514"/>
      <c r="P59" s="513"/>
      <c r="Q59" s="296">
        <v>45113</v>
      </c>
      <c r="R59" s="294" t="s">
        <v>193</v>
      </c>
      <c r="S59" s="294">
        <v>1</v>
      </c>
      <c r="T59" s="512">
        <v>44314</v>
      </c>
      <c r="U59" s="511"/>
      <c r="V59" s="510"/>
      <c r="W59" s="294" t="s">
        <v>40</v>
      </c>
    </row>
    <row r="60" spans="1:24" s="3" customFormat="1" ht="20.100000000000001" customHeight="1" x14ac:dyDescent="0.25">
      <c r="B60" s="293"/>
      <c r="C60" s="292"/>
      <c r="D60" s="292"/>
      <c r="E60" s="292"/>
      <c r="F60" s="291"/>
      <c r="G60" s="290"/>
      <c r="H60" s="509"/>
      <c r="I60" s="508"/>
      <c r="J60" s="507"/>
      <c r="K60" s="507"/>
      <c r="L60" s="506"/>
      <c r="M60" s="286" t="s">
        <v>94</v>
      </c>
      <c r="N60" s="505" t="s">
        <v>93</v>
      </c>
      <c r="O60" s="504"/>
      <c r="P60" s="503"/>
      <c r="Q60" s="502" t="s">
        <v>5</v>
      </c>
      <c r="R60" s="286" t="s">
        <v>90</v>
      </c>
      <c r="S60" s="286" t="s">
        <v>91</v>
      </c>
      <c r="T60" s="181" t="s">
        <v>92</v>
      </c>
      <c r="U60" s="182"/>
      <c r="V60" s="183"/>
      <c r="W60" s="286" t="s">
        <v>90</v>
      </c>
    </row>
    <row r="61" spans="1:24" s="12" customFormat="1" ht="16.5" thickBot="1" x14ac:dyDescent="0.3">
      <c r="A61" s="500"/>
      <c r="B61" s="500"/>
      <c r="C61" s="501"/>
      <c r="D61" s="501"/>
      <c r="E61" s="501"/>
      <c r="F61" s="501"/>
      <c r="G61" s="500"/>
      <c r="H61" s="500"/>
      <c r="I61" s="500"/>
      <c r="J61" s="500"/>
      <c r="K61" s="500"/>
      <c r="L61" s="500"/>
      <c r="M61" s="500"/>
      <c r="N61" s="500"/>
      <c r="O61" s="500"/>
      <c r="P61" s="500"/>
      <c r="Q61" s="500"/>
      <c r="R61" s="500"/>
      <c r="S61" s="500"/>
      <c r="T61" s="500"/>
      <c r="U61" s="500"/>
      <c r="V61" s="500"/>
      <c r="W61" s="500"/>
      <c r="X61" s="500"/>
    </row>
    <row r="62" spans="1:24" ht="15.75" thickTop="1" x14ac:dyDescent="0.25">
      <c r="W62" s="499"/>
    </row>
    <row r="67" spans="6:7" x14ac:dyDescent="0.25">
      <c r="F67" s="2">
        <v>200000</v>
      </c>
    </row>
    <row r="69" spans="6:7" x14ac:dyDescent="0.25">
      <c r="F69" s="2">
        <v>900000</v>
      </c>
    </row>
    <row r="70" spans="6:7" x14ac:dyDescent="0.25">
      <c r="F70" s="2">
        <v>100000</v>
      </c>
      <c r="G70" s="1">
        <v>2</v>
      </c>
    </row>
  </sheetData>
  <mergeCells count="96">
    <mergeCell ref="G15:H18"/>
    <mergeCell ref="I15:J18"/>
    <mergeCell ref="K15:L18"/>
    <mergeCell ref="P16:P18"/>
    <mergeCell ref="S16:S18"/>
    <mergeCell ref="R16:R18"/>
    <mergeCell ref="B3:K6"/>
    <mergeCell ref="R3:W5"/>
    <mergeCell ref="D19:E19"/>
    <mergeCell ref="G19:H19"/>
    <mergeCell ref="I19:J19"/>
    <mergeCell ref="K19:L19"/>
    <mergeCell ref="M19:O19"/>
    <mergeCell ref="M15:O18"/>
    <mergeCell ref="B15:B18"/>
    <mergeCell ref="C15:F18"/>
    <mergeCell ref="V2:W2"/>
    <mergeCell ref="V6:W6"/>
    <mergeCell ref="T6:U6"/>
    <mergeCell ref="T2:U2"/>
    <mergeCell ref="W15:W18"/>
    <mergeCell ref="T15:U15"/>
    <mergeCell ref="T16:U18"/>
    <mergeCell ref="B40:K40"/>
    <mergeCell ref="O29:P30"/>
    <mergeCell ref="O28:R28"/>
    <mergeCell ref="D22:E22"/>
    <mergeCell ref="B39:K39"/>
    <mergeCell ref="L39:N39"/>
    <mergeCell ref="H36:K36"/>
    <mergeCell ref="H37:K37"/>
    <mergeCell ref="H38:K38"/>
    <mergeCell ref="K22:L22"/>
    <mergeCell ref="M22:O22"/>
    <mergeCell ref="B43:R49"/>
    <mergeCell ref="L40:V40"/>
    <mergeCell ref="T43:V45"/>
    <mergeCell ref="T46:V49"/>
    <mergeCell ref="S28:V28"/>
    <mergeCell ref="S29:V30"/>
    <mergeCell ref="Q29:R29"/>
    <mergeCell ref="Q30:R30"/>
    <mergeCell ref="N59:P59"/>
    <mergeCell ref="T55:V55"/>
    <mergeCell ref="T56:V56"/>
    <mergeCell ref="T58:V58"/>
    <mergeCell ref="T59:V59"/>
    <mergeCell ref="T57:V57"/>
    <mergeCell ref="Q16:Q18"/>
    <mergeCell ref="T60:V60"/>
    <mergeCell ref="N60:P60"/>
    <mergeCell ref="B55:F60"/>
    <mergeCell ref="G55:H60"/>
    <mergeCell ref="I55:L60"/>
    <mergeCell ref="N55:P55"/>
    <mergeCell ref="N56:P56"/>
    <mergeCell ref="N57:P57"/>
    <mergeCell ref="N58:P58"/>
    <mergeCell ref="Q39:R39"/>
    <mergeCell ref="H35:K35"/>
    <mergeCell ref="L38:M38"/>
    <mergeCell ref="L35:M35"/>
    <mergeCell ref="L36:M36"/>
    <mergeCell ref="L37:M37"/>
    <mergeCell ref="B28:K33"/>
    <mergeCell ref="C34:F34"/>
    <mergeCell ref="H34:K34"/>
    <mergeCell ref="L34:M34"/>
    <mergeCell ref="L28:N29"/>
    <mergeCell ref="O39:P39"/>
    <mergeCell ref="Q19:Q21"/>
    <mergeCell ref="G22:H22"/>
    <mergeCell ref="I22:J22"/>
    <mergeCell ref="S39:V39"/>
    <mergeCell ref="T35:V35"/>
    <mergeCell ref="T34:V34"/>
    <mergeCell ref="T38:V38"/>
    <mergeCell ref="O31:P31"/>
    <mergeCell ref="O33:P33"/>
    <mergeCell ref="O35:O38"/>
    <mergeCell ref="D20:E20"/>
    <mergeCell ref="G20:H20"/>
    <mergeCell ref="I20:J20"/>
    <mergeCell ref="K20:L20"/>
    <mergeCell ref="M20:O20"/>
    <mergeCell ref="D21:E21"/>
    <mergeCell ref="G21:H21"/>
    <mergeCell ref="I21:J21"/>
    <mergeCell ref="K21:L21"/>
    <mergeCell ref="M21:O21"/>
    <mergeCell ref="R19:R20"/>
    <mergeCell ref="R21:R22"/>
    <mergeCell ref="T36:V36"/>
    <mergeCell ref="T37:V37"/>
    <mergeCell ref="T19:U22"/>
    <mergeCell ref="S19:S22"/>
  </mergeCells>
  <printOptions horizontalCentered="1"/>
  <pageMargins left="0" right="0" top="0" bottom="0" header="0" footer="0"/>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MAR'24 (SUAI DES ke APR)</vt:lpstr>
      <vt:lpstr>Souvenir</vt:lpstr>
      <vt:lpstr>TAHAP 1</vt:lpstr>
      <vt:lpstr>TAPAH 2.2 (Rincian)</vt:lpstr>
      <vt:lpstr>TAHAP 2.1 (SPD)</vt:lpstr>
      <vt:lpstr>'MAR''24 (SUAI DES ke APR)'!Print_Area</vt:lpstr>
      <vt:lpstr>Souvenir!Print_Area</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pp-06</cp:lastModifiedBy>
  <cp:lastPrinted>2024-04-16T09:18:00Z</cp:lastPrinted>
  <dcterms:created xsi:type="dcterms:W3CDTF">2023-06-18T02:33:15Z</dcterms:created>
  <dcterms:modified xsi:type="dcterms:W3CDTF">2024-04-16T09:21:57Z</dcterms:modified>
</cp:coreProperties>
</file>