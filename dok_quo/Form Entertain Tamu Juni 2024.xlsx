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GA\GA-03- MIKI\1. TAMU\TAMU JUNI 2024\"/>
    </mc:Choice>
  </mc:AlternateContent>
  <xr:revisionPtr revIDLastSave="0" documentId="13_ncr:1_{822D872F-661A-4283-92E7-99D7C19A29FE}" xr6:coauthVersionLast="47" xr6:coauthVersionMax="47" xr10:uidLastSave="{00000000-0000-0000-0000-000000000000}"/>
  <bookViews>
    <workbookView xWindow="-120" yWindow="-120" windowWidth="29040" windowHeight="15720" xr2:uid="{2E7B35C9-09CC-4E3D-B347-9E654035D705}"/>
  </bookViews>
  <sheets>
    <sheet name="REV.7" sheetId="1" r:id="rId1"/>
  </sheets>
  <definedNames>
    <definedName name="_xlnm.Print_Area" localSheetId="0">'REV.7'!$A$1:$AB$84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1" i="1" l="1"/>
  <c r="U31" i="1"/>
  <c r="N61" i="1"/>
  <c r="W57" i="1"/>
  <c r="W39" i="1"/>
  <c r="U39" i="1"/>
  <c r="W34" i="1"/>
  <c r="U34" i="1"/>
  <c r="Y34" i="1" s="1"/>
  <c r="U29" i="1"/>
  <c r="Y29" i="1" s="1"/>
  <c r="W55" i="1" s="1"/>
  <c r="W59" i="1" s="1"/>
  <c r="Y39" i="1" l="1"/>
</calcChain>
</file>

<file path=xl/sharedStrings.xml><?xml version="1.0" encoding="utf-8"?>
<sst xmlns="http://schemas.openxmlformats.org/spreadsheetml/2006/main" count="175" uniqueCount="133">
  <si>
    <t>PT. SEMARANG AUTOCOMP MANUFACTURING INDONESIA</t>
  </si>
  <si>
    <t>FORM/CHECKSHEET</t>
  </si>
  <si>
    <t>NO. DOKUMEN</t>
  </si>
  <si>
    <t>: 006/PGA/GA/FORM/FPE</t>
  </si>
  <si>
    <t>APPROVED II</t>
  </si>
  <si>
    <t>APPROVED 1</t>
  </si>
  <si>
    <t>CHECKED</t>
  </si>
  <si>
    <t>PREPARED</t>
  </si>
  <si>
    <t>FORM PENGAJUAN ENTERTAIN TAMU</t>
  </si>
  <si>
    <t>NO. REVISI</t>
  </si>
  <si>
    <t>: 7</t>
  </si>
  <si>
    <t>APPROVED</t>
  </si>
  <si>
    <t>TANGGAL</t>
  </si>
  <si>
    <t>: 05-01-2024</t>
  </si>
  <si>
    <t>HALAMAN</t>
  </si>
  <si>
    <t>: 1</t>
  </si>
  <si>
    <t>MASA BERLAKU</t>
  </si>
  <si>
    <t>: 04-01-2025</t>
  </si>
  <si>
    <t>AWI</t>
  </si>
  <si>
    <t>FYH</t>
  </si>
  <si>
    <t>SMK</t>
  </si>
  <si>
    <t>RENNY</t>
  </si>
  <si>
    <r>
      <t xml:space="preserve"> </t>
    </r>
    <r>
      <rPr>
        <b/>
        <i/>
        <sz val="14"/>
        <color theme="1"/>
        <rFont val="Calibri"/>
        <family val="2"/>
        <scheme val="minor"/>
      </rPr>
      <t xml:space="preserve">  </t>
    </r>
    <r>
      <rPr>
        <b/>
        <i/>
        <u/>
        <sz val="14"/>
        <color theme="1"/>
        <rFont val="Calibri"/>
        <family val="2"/>
        <scheme val="minor"/>
      </rPr>
      <t>PETUNJUK :</t>
    </r>
  </si>
  <si>
    <t>JENIS TAMU</t>
  </si>
  <si>
    <t>KETENTUAN MAKAN MALAM</t>
  </si>
  <si>
    <t xml:space="preserve">CATATAN </t>
  </si>
  <si>
    <t>AFFILIATE</t>
  </si>
  <si>
    <t>KETERANGAN</t>
  </si>
  <si>
    <t>JUMLAH</t>
  </si>
  <si>
    <t>1. Form pengajuan entertain yang sudah approval digunakan untuk lampiran pembuatan PR / purchase requestion</t>
  </si>
  <si>
    <t>AUDITOR</t>
  </si>
  <si>
    <t>CUSTOMER</t>
  </si>
  <si>
    <r>
      <t xml:space="preserve">Tamu jangka pendek </t>
    </r>
    <r>
      <rPr>
        <u/>
        <sz val="14"/>
        <color theme="1"/>
        <rFont val="Calibri"/>
        <family val="2"/>
        <scheme val="minor"/>
      </rPr>
      <t>&lt;</t>
    </r>
    <r>
      <rPr>
        <sz val="14"/>
        <color theme="1"/>
        <rFont val="Calibri"/>
        <family val="2"/>
        <scheme val="minor"/>
      </rPr>
      <t xml:space="preserve"> 5 Hari</t>
    </r>
  </si>
  <si>
    <t>1x</t>
  </si>
  <si>
    <t>2. Form entertain dan PR yang sudah approval di serahkan ke GA H-5 sebelum tanggal kedatangan tamu guna proses PUM / permohonan uang muka</t>
  </si>
  <si>
    <t>GOVERNMENT</t>
  </si>
  <si>
    <t>Tamu longstay &gt; 1 Minggu</t>
  </si>
  <si>
    <t>1x / Minggu</t>
  </si>
  <si>
    <t>3. Jika permohonan entertain tidak sesuai dengan standar maka approval harus sampai ke President Director</t>
  </si>
  <si>
    <t xml:space="preserve">Nama Pemohon </t>
  </si>
  <si>
    <t>Dept. / Sect.</t>
  </si>
  <si>
    <t>Tanggal Kunjungan</t>
  </si>
  <si>
    <t>s/d</t>
  </si>
  <si>
    <t>Tujuan Kunjungan</t>
  </si>
  <si>
    <t>1. ENTERTAIN NORMAL</t>
  </si>
  <si>
    <t>A</t>
  </si>
  <si>
    <t>B</t>
  </si>
  <si>
    <t>C</t>
  </si>
  <si>
    <t>D</t>
  </si>
  <si>
    <t>E</t>
  </si>
  <si>
    <t>F</t>
  </si>
  <si>
    <t>G</t>
  </si>
  <si>
    <t>H</t>
  </si>
  <si>
    <t>NO</t>
  </si>
  <si>
    <t>ASAL NEGARA</t>
  </si>
  <si>
    <t>NAMA INSTANSI</t>
  </si>
  <si>
    <t>NAMA TAMU</t>
  </si>
  <si>
    <t>JUMLAH TAMU</t>
  </si>
  <si>
    <r>
      <rPr>
        <b/>
        <sz val="14"/>
        <color theme="1"/>
        <rFont val="Calibri"/>
        <family val="2"/>
        <scheme val="minor"/>
      </rPr>
      <t>JUMLAH PENDAMPING</t>
    </r>
    <r>
      <rPr>
        <b/>
        <sz val="12"/>
        <color theme="1"/>
        <rFont val="Calibri"/>
        <family val="2"/>
        <scheme val="minor"/>
      </rPr>
      <t xml:space="preserve">
(qty sesuai angka di bawah ini)</t>
    </r>
  </si>
  <si>
    <t>JUMLAH HARI MAKAN SIANG</t>
  </si>
  <si>
    <t>JUMLAH HARI MAKAN MALAM</t>
  </si>
  <si>
    <t>JUMLAH
MAKAN SIANG</t>
  </si>
  <si>
    <t>JUMLAH
MAKAN MALAM</t>
  </si>
  <si>
    <t>TOTAL</t>
  </si>
  <si>
    <t>F = (B+C)xDx50.000</t>
  </si>
  <si>
    <t>G = (B+C)xEx150.000</t>
  </si>
  <si>
    <t>H = F + G</t>
  </si>
  <si>
    <t>dst. (terlampir)</t>
  </si>
  <si>
    <t>2. PENGAJUAN KHUSUS / TAMBAHAN</t>
  </si>
  <si>
    <r>
      <t xml:space="preserve">Note : Pengajuan additional entertain berlaku untuk tamu 1. Customer, 2. Instansi Pemerintah, 3. Affiliate </t>
    </r>
    <r>
      <rPr>
        <i/>
        <sz val="16"/>
        <color theme="1"/>
        <rFont val="Calibri"/>
        <family val="2"/>
        <scheme val="minor"/>
      </rPr>
      <t>(Untuk Pengembangan SAMI)</t>
    </r>
    <r>
      <rPr>
        <b/>
        <i/>
        <sz val="16"/>
        <color theme="1"/>
        <rFont val="Calibri"/>
        <family val="2"/>
        <scheme val="minor"/>
      </rPr>
      <t xml:space="preserve">
dan tetap mengacu pada peraturan yang berlaku.</t>
    </r>
  </si>
  <si>
    <t>* Beri tanda √ (centang) pada kolom di bawah ini</t>
  </si>
  <si>
    <t xml:space="preserve">   Tambahan Jumlah Pendamping</t>
  </si>
  <si>
    <t xml:space="preserve">   Tambahan Biaya (kelipatan dari harga)</t>
  </si>
  <si>
    <t>Reason :</t>
  </si>
  <si>
    <t>KET.</t>
  </si>
  <si>
    <t>MAKAN SIANG</t>
  </si>
  <si>
    <t>MAKAN MALAM</t>
  </si>
  <si>
    <t>JUMLAH NORMAL</t>
  </si>
  <si>
    <t>:</t>
  </si>
  <si>
    <t>JUMLAH TAMBAHAN</t>
  </si>
  <si>
    <t>Orang</t>
  </si>
  <si>
    <t>Hari</t>
  </si>
  <si>
    <t>C = AxBx50.000</t>
  </si>
  <si>
    <t>F = DxEx150.000</t>
  </si>
  <si>
    <t>G = C + F</t>
  </si>
  <si>
    <t>Add Jml Pendamping</t>
  </si>
  <si>
    <t>TOTAL BUDGET</t>
  </si>
  <si>
    <t>Add Biaya</t>
  </si>
  <si>
    <t>Total Tambahan</t>
  </si>
  <si>
    <r>
      <t>4</t>
    </r>
    <r>
      <rPr>
        <b/>
        <sz val="14"/>
        <color theme="1"/>
        <rFont val="Calibri"/>
        <family val="2"/>
        <scheme val="minor"/>
      </rPr>
      <t xml:space="preserve">  (Jika ada Additional)</t>
    </r>
  </si>
  <si>
    <t>Verifikasi</t>
  </si>
  <si>
    <t>Mengetahui</t>
  </si>
  <si>
    <t>Disetujui 3</t>
  </si>
  <si>
    <t>Disetujui 2</t>
  </si>
  <si>
    <t>Disetujui 1</t>
  </si>
  <si>
    <t>Pemohon</t>
  </si>
  <si>
    <t>(Legal Section)</t>
  </si>
  <si>
    <t>(MGR PGA)</t>
  </si>
  <si>
    <t>(PRESDIR / VICE PRESDIR)</t>
  </si>
  <si>
    <t>(FM / DFM)</t>
  </si>
  <si>
    <t>(MGR /SMGR)</t>
  </si>
  <si>
    <t>(Min SPV)</t>
  </si>
  <si>
    <t>Name :</t>
  </si>
  <si>
    <t>Date :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</si>
  <si>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</si>
  <si>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rPr>
        <b/>
        <sz val="11"/>
        <color theme="1"/>
        <rFont val="Calibri"/>
        <family val="2"/>
        <scheme val="minor"/>
      </rPr>
      <t>Referensi Prosedur/WI/OS/IS/ :</t>
    </r>
    <r>
      <rPr>
        <sz val="11"/>
        <color theme="1"/>
        <rFont val="Calibri"/>
        <family val="2"/>
        <scheme val="minor"/>
      </rPr>
      <t xml:space="preserve">
- OS.GA.006 : Pengajuan Entertain Tamu
- LD-RAU-P.03 : Pemberian &amp; Penerimaan Hadiah &amp; Donasi
- SKD/027/SMG/SAMI-PGA/IX/2022 : Pencegahan Praktik Anti Suap</t>
    </r>
  </si>
  <si>
    <t>PERUBAHAN JUDUL, DELETE BAGIAN SOUVENIR DAN ADD KOLOM ADD</t>
  </si>
  <si>
    <t>Renny</t>
  </si>
  <si>
    <t>PERUBAHAN FORMAT, PRICE &amp; JUDUL</t>
  </si>
  <si>
    <t>UPDATE MASA BERLAKU, REV. NO. DOK &amp; KOLOM APPROVAL</t>
  </si>
  <si>
    <t>WIN</t>
  </si>
  <si>
    <t>NEW FORMAT</t>
  </si>
  <si>
    <t>PERUBAHAN APPROVAL</t>
  </si>
  <si>
    <t>NEW RELEASE</t>
  </si>
  <si>
    <t>FAD</t>
  </si>
  <si>
    <t>REV.</t>
  </si>
  <si>
    <t>ISI PERUBAHAN</t>
  </si>
  <si>
    <t>PIC</t>
  </si>
  <si>
    <t>REVIEW</t>
  </si>
  <si>
    <t>TGL</t>
  </si>
  <si>
    <t>: KGO</t>
  </si>
  <si>
    <t>: QA</t>
  </si>
  <si>
    <t>:  3 JUNI 2024</t>
  </si>
  <si>
    <t>7 JUNI 2024</t>
  </si>
  <si>
    <t>: MOTHER FACTORY AUDIT</t>
  </si>
  <si>
    <t>JEPANG</t>
  </si>
  <si>
    <t>TCS</t>
  </si>
  <si>
    <t>MR. KURIHARA HIDEHISA</t>
  </si>
  <si>
    <t>MR. NOZAWA</t>
  </si>
  <si>
    <t>SUBARU</t>
  </si>
  <si>
    <t>MR. SUZUKI</t>
  </si>
  <si>
    <t>MR. OGASAWARA</t>
  </si>
  <si>
    <t>APPROVAL 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</si>
</sst>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Rp&quot;* #,##0_-;\-&quot;Rp&quot;* #,##0_-;_-&quot;Rp&quot;* &quot;-&quot;_-;_-@_-"/>
    <numFmt numFmtId="165" formatCode="_(* #,##0_);_(* \(#,##0\);_(* &quot;-&quot;??_);_(@_)"/>
    <numFmt numFmtId="166" formatCode="[$-409]d\-mmm\-yy;@"/>
    <numFmt numFmtId="167" formatCode="[$-409]dd\-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0CC"/>
      <name val="Comic Sans MS"/>
      <family val="4"/>
    </font>
    <font>
      <b/>
      <sz val="20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4"/>
      <name val="Calibri"/>
      <family val="2"/>
      <scheme val="minor"/>
    </font>
    <font>
      <b/>
      <i/>
      <sz val="18"/>
      <color rgb="FF0000CC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u/>
      <sz val="14"/>
      <color theme="1"/>
      <name val="Calibri"/>
      <family val="2"/>
    </font>
    <font>
      <sz val="12"/>
      <name val="Calibri"/>
      <family val="2"/>
    </font>
    <font>
      <b/>
      <i/>
      <u/>
      <sz val="12"/>
      <color theme="1"/>
      <name val="Calibri"/>
      <family val="2"/>
    </font>
    <font>
      <sz val="14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0" fontId="0" fillId="2" borderId="12" xfId="0" applyFill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5" xfId="0" applyFill="1" applyBorder="1" applyAlignment="1">
      <alignment vertical="center"/>
    </xf>
    <xf numFmtId="0" fontId="16" fillId="2" borderId="15" xfId="0" applyFont="1" applyFill="1" applyBorder="1" applyAlignment="1">
      <alignment vertical="center" wrapText="1"/>
    </xf>
    <xf numFmtId="0" fontId="0" fillId="2" borderId="16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vertical="center"/>
    </xf>
    <xf numFmtId="14" fontId="17" fillId="0" borderId="11" xfId="0" applyNumberFormat="1" applyFont="1" applyBorder="1" applyAlignment="1">
      <alignment vertical="center"/>
    </xf>
    <xf numFmtId="0" fontId="18" fillId="0" borderId="11" xfId="0" applyFont="1" applyBorder="1" applyAlignment="1">
      <alignment horizontal="right" vertical="center"/>
    </xf>
    <xf numFmtId="14" fontId="17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0" fillId="0" borderId="12" xfId="0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2" fillId="0" borderId="12" xfId="0" applyFont="1" applyBorder="1" applyAlignment="1">
      <alignment horizontal="center" vertical="top" wrapText="1"/>
    </xf>
    <xf numFmtId="0" fontId="13" fillId="3" borderId="22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9" xfId="0" applyFont="1" applyFill="1" applyBorder="1" applyAlignment="1">
      <alignment horizontal="center" vertical="top" wrapText="1"/>
    </xf>
    <xf numFmtId="0" fontId="13" fillId="3" borderId="8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0" fontId="20" fillId="3" borderId="9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3" fillId="3" borderId="20" xfId="0" applyFont="1" applyFill="1" applyBorder="1" applyAlignment="1">
      <alignment horizontal="center" vertical="top" wrapText="1"/>
    </xf>
    <xf numFmtId="0" fontId="13" fillId="3" borderId="12" xfId="0" applyFont="1" applyFill="1" applyBorder="1" applyAlignment="1">
      <alignment horizontal="center" vertical="top" wrapText="1"/>
    </xf>
    <xf numFmtId="0" fontId="13" fillId="3" borderId="13" xfId="0" applyFont="1" applyFill="1" applyBorder="1" applyAlignment="1">
      <alignment horizontal="center" vertical="top" wrapText="1"/>
    </xf>
    <xf numFmtId="0" fontId="13" fillId="3" borderId="0" xfId="0" applyFont="1" applyFill="1" applyAlignment="1">
      <alignment horizontal="center" vertical="top" wrapText="1"/>
    </xf>
    <xf numFmtId="0" fontId="20" fillId="3" borderId="12" xfId="0" applyFont="1" applyFill="1" applyBorder="1" applyAlignment="1">
      <alignment horizontal="center" vertical="top" wrapText="1"/>
    </xf>
    <xf numFmtId="0" fontId="20" fillId="3" borderId="13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horizontal="center" vertical="top" wrapText="1"/>
    </xf>
    <xf numFmtId="0" fontId="4" fillId="3" borderId="16" xfId="0" applyFont="1" applyFill="1" applyBorder="1" applyAlignment="1">
      <alignment horizontal="center" vertical="top" wrapText="1"/>
    </xf>
    <xf numFmtId="0" fontId="11" fillId="3" borderId="12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 vertical="top" wrapText="1"/>
    </xf>
    <xf numFmtId="0" fontId="13" fillId="3" borderId="23" xfId="0" applyFont="1" applyFill="1" applyBorder="1" applyAlignment="1">
      <alignment horizontal="center" vertical="top" wrapText="1"/>
    </xf>
    <xf numFmtId="0" fontId="13" fillId="3" borderId="14" xfId="0" applyFont="1" applyFill="1" applyBorder="1" applyAlignment="1">
      <alignment horizontal="center" vertical="top" wrapText="1"/>
    </xf>
    <xf numFmtId="0" fontId="13" fillId="3" borderId="16" xfId="0" applyFont="1" applyFill="1" applyBorder="1" applyAlignment="1">
      <alignment horizontal="center" vertical="top" wrapText="1"/>
    </xf>
    <xf numFmtId="0" fontId="13" fillId="3" borderId="15" xfId="0" applyFont="1" applyFill="1" applyBorder="1" applyAlignment="1">
      <alignment horizontal="center" vertical="top" wrapText="1"/>
    </xf>
    <xf numFmtId="0" fontId="20" fillId="3" borderId="14" xfId="0" applyFont="1" applyFill="1" applyBorder="1" applyAlignment="1">
      <alignment horizontal="center" vertical="top" wrapText="1"/>
    </xf>
    <xf numFmtId="0" fontId="20" fillId="3" borderId="16" xfId="0" applyFont="1" applyFill="1" applyBorder="1" applyAlignment="1">
      <alignment horizontal="center" vertical="top" wrapText="1"/>
    </xf>
    <xf numFmtId="164" fontId="21" fillId="3" borderId="14" xfId="0" applyNumberFormat="1" applyFont="1" applyFill="1" applyBorder="1" applyAlignment="1">
      <alignment horizontal="center" vertical="top" wrapText="1"/>
    </xf>
    <xf numFmtId="164" fontId="21" fillId="3" borderId="16" xfId="0" applyNumberFormat="1" applyFont="1" applyFill="1" applyBorder="1" applyAlignment="1">
      <alignment horizontal="center" vertical="top" wrapText="1"/>
    </xf>
    <xf numFmtId="164" fontId="21" fillId="3" borderId="1" xfId="0" applyNumberFormat="1" applyFont="1" applyFill="1" applyBorder="1" applyAlignment="1">
      <alignment horizontal="center" vertical="top" wrapText="1"/>
    </xf>
    <xf numFmtId="164" fontId="21" fillId="3" borderId="3" xfId="0" applyNumberFormat="1" applyFont="1" applyFill="1" applyBorder="1" applyAlignment="1">
      <alignment horizontal="center" vertical="top" wrapText="1"/>
    </xf>
    <xf numFmtId="164" fontId="20" fillId="3" borderId="14" xfId="0" applyNumberFormat="1" applyFont="1" applyFill="1" applyBorder="1" applyAlignment="1">
      <alignment horizontal="center" vertical="top" wrapText="1"/>
    </xf>
    <xf numFmtId="164" fontId="20" fillId="3" borderId="16" xfId="0" applyNumberFormat="1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4" fontId="24" fillId="0" borderId="7" xfId="0" applyNumberFormat="1" applyFont="1" applyBorder="1" applyAlignment="1">
      <alignment horizontal="center" vertical="center"/>
    </xf>
    <xf numFmtId="164" fontId="24" fillId="0" borderId="9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16" xfId="0" applyNumberFormat="1" applyFont="1" applyBorder="1" applyAlignment="1">
      <alignment horizontal="center" vertical="center"/>
    </xf>
    <xf numFmtId="164" fontId="24" fillId="0" borderId="14" xfId="0" applyNumberFormat="1" applyFont="1" applyBorder="1" applyAlignment="1">
      <alignment horizontal="center" vertical="center"/>
    </xf>
    <xf numFmtId="164" fontId="24" fillId="0" borderId="16" xfId="0" applyNumberFormat="1" applyFont="1" applyBorder="1" applyAlignment="1">
      <alignment horizontal="center" vertical="center"/>
    </xf>
    <xf numFmtId="164" fontId="25" fillId="0" borderId="7" xfId="0" applyNumberFormat="1" applyFont="1" applyBorder="1" applyAlignment="1">
      <alignment horizontal="center" vertical="center"/>
    </xf>
    <xf numFmtId="164" fontId="25" fillId="0" borderId="9" xfId="0" applyNumberFormat="1" applyFont="1" applyBorder="1" applyAlignment="1">
      <alignment horizontal="center" vertical="center"/>
    </xf>
    <xf numFmtId="164" fontId="22" fillId="0" borderId="7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4" fontId="25" fillId="0" borderId="12" xfId="0" applyNumberFormat="1" applyFont="1" applyBorder="1" applyAlignment="1">
      <alignment horizontal="center" vertical="center"/>
    </xf>
    <xf numFmtId="164" fontId="25" fillId="0" borderId="13" xfId="0" applyNumberFormat="1" applyFont="1" applyBorder="1" applyAlignment="1">
      <alignment horizontal="center" vertical="center"/>
    </xf>
    <xf numFmtId="164" fontId="22" fillId="0" borderId="12" xfId="0" applyNumberFormat="1" applyFont="1" applyBorder="1" applyAlignment="1">
      <alignment horizontal="center" vertical="center"/>
    </xf>
    <xf numFmtId="164" fontId="22" fillId="0" borderId="13" xfId="0" applyNumberFormat="1" applyFont="1" applyBorder="1" applyAlignment="1">
      <alignment horizontal="center" vertical="center"/>
    </xf>
    <xf numFmtId="164" fontId="24" fillId="0" borderId="12" xfId="0" applyNumberFormat="1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25" fillId="0" borderId="14" xfId="0" applyNumberFormat="1" applyFont="1" applyBorder="1" applyAlignment="1">
      <alignment horizontal="center" vertical="center"/>
    </xf>
    <xf numFmtId="164" fontId="25" fillId="0" borderId="16" xfId="0" applyNumberFormat="1" applyFont="1" applyBorder="1" applyAlignment="1">
      <alignment horizontal="center" vertical="center"/>
    </xf>
    <xf numFmtId="164" fontId="22" fillId="0" borderId="14" xfId="0" applyNumberFormat="1" applyFont="1" applyBorder="1" applyAlignment="1">
      <alignment horizontal="center" vertical="center"/>
    </xf>
    <xf numFmtId="164" fontId="22" fillId="0" borderId="16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164" fontId="26" fillId="0" borderId="7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164" fontId="27" fillId="0" borderId="9" xfId="0" applyNumberFormat="1" applyFont="1" applyBorder="1" applyAlignment="1">
      <alignment horizontal="center" vertical="center"/>
    </xf>
    <xf numFmtId="164" fontId="28" fillId="0" borderId="7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164" fontId="27" fillId="0" borderId="14" xfId="0" applyNumberFormat="1" applyFont="1" applyBorder="1" applyAlignment="1">
      <alignment horizontal="center" vertical="center"/>
    </xf>
    <xf numFmtId="164" fontId="27" fillId="0" borderId="16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4" borderId="6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0" fillId="0" borderId="24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21" xfId="0" applyFont="1" applyBorder="1" applyAlignment="1">
      <alignment vertical="center"/>
    </xf>
    <xf numFmtId="0" fontId="11" fillId="0" borderId="2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164" fontId="13" fillId="0" borderId="21" xfId="0" applyNumberFormat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164" fontId="13" fillId="0" borderId="25" xfId="0" applyNumberFormat="1" applyFont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top"/>
    </xf>
    <xf numFmtId="0" fontId="11" fillId="3" borderId="14" xfId="0" applyFont="1" applyFill="1" applyBorder="1" applyAlignment="1">
      <alignment horizontal="center" vertical="top"/>
    </xf>
    <xf numFmtId="0" fontId="11" fillId="3" borderId="16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1" fillId="3" borderId="3" xfId="0" applyFont="1" applyFill="1" applyBorder="1" applyAlignment="1">
      <alignment horizontal="center" vertical="top"/>
    </xf>
    <xf numFmtId="0" fontId="11" fillId="3" borderId="15" xfId="0" applyFont="1" applyFill="1" applyBorder="1" applyAlignment="1">
      <alignment horizontal="center" vertical="top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164" fontId="25" fillId="0" borderId="1" xfId="0" applyNumberFormat="1" applyFont="1" applyBorder="1" applyAlignment="1">
      <alignment horizontal="center" vertical="center"/>
    </xf>
    <xf numFmtId="164" fontId="25" fillId="0" borderId="3" xfId="0" applyNumberFormat="1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164" fontId="22" fillId="0" borderId="2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164" fontId="10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164" fontId="22" fillId="0" borderId="27" xfId="0" applyNumberFormat="1" applyFont="1" applyBorder="1" applyAlignment="1">
      <alignment horizontal="center" vertical="center"/>
    </xf>
    <xf numFmtId="164" fontId="22" fillId="0" borderId="28" xfId="0" applyNumberFormat="1" applyFont="1" applyBorder="1" applyAlignment="1">
      <alignment horizontal="center" vertical="center"/>
    </xf>
    <xf numFmtId="164" fontId="22" fillId="0" borderId="29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164" fontId="10" fillId="0" borderId="21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22" fillId="0" borderId="1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34" fillId="0" borderId="9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5" fillId="0" borderId="7" xfId="0" applyFont="1" applyBorder="1" applyAlignment="1">
      <alignment horizontal="left" vertical="top" wrapText="1"/>
    </xf>
    <xf numFmtId="0" fontId="35" fillId="0" borderId="8" xfId="0" applyFont="1" applyBorder="1" applyAlignment="1">
      <alignment horizontal="left" vertical="top"/>
    </xf>
    <xf numFmtId="0" fontId="35" fillId="0" borderId="9" xfId="0" applyFont="1" applyBorder="1" applyAlignment="1">
      <alignment horizontal="left" vertical="top"/>
    </xf>
    <xf numFmtId="0" fontId="36" fillId="0" borderId="7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166" fontId="0" fillId="0" borderId="6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35" fillId="0" borderId="13" xfId="0" applyFont="1" applyBorder="1" applyAlignment="1">
      <alignment horizontal="left" vertical="top"/>
    </xf>
    <xf numFmtId="0" fontId="36" fillId="0" borderId="1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5" fillId="0" borderId="12" xfId="0" applyFont="1" applyBorder="1" applyAlignment="1">
      <alignment horizontal="left" vertical="top"/>
    </xf>
    <xf numFmtId="0" fontId="35" fillId="0" borderId="14" xfId="0" applyFont="1" applyBorder="1" applyAlignment="1">
      <alignment horizontal="left" vertical="top"/>
    </xf>
    <xf numFmtId="0" fontId="35" fillId="0" borderId="15" xfId="0" applyFont="1" applyBorder="1" applyAlignment="1">
      <alignment horizontal="left" vertical="top"/>
    </xf>
    <xf numFmtId="0" fontId="35" fillId="0" borderId="16" xfId="0" applyFont="1" applyBorder="1" applyAlignment="1">
      <alignment horizontal="left" vertical="top"/>
    </xf>
    <xf numFmtId="0" fontId="36" fillId="0" borderId="14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202406</xdr:colOff>
      <xdr:row>74</xdr:row>
      <xdr:rowOff>166688</xdr:rowOff>
    </xdr:from>
    <xdr:ext cx="816082" cy="989619"/>
    <xdr:pic>
      <xdr:nvPicPr>
        <xdr:cNvPr id="2" name="Picture 68">
          <a:extLst>
            <a:ext uri="{FF2B5EF4-FFF2-40B4-BE49-F238E27FC236}">
              <a16:creationId xmlns:a16="http://schemas.microsoft.com/office/drawing/2014/main" id="{A02A21E6-CB43-4782-85F6-0F7FBA8EF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3806" y="21883688"/>
          <a:ext cx="816082" cy="989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503454</xdr:colOff>
      <xdr:row>43</xdr:row>
      <xdr:rowOff>0</xdr:rowOff>
    </xdr:from>
    <xdr:ext cx="7505951" cy="7505840"/>
    <xdr:pic>
      <xdr:nvPicPr>
        <xdr:cNvPr id="3" name="Picture 2">
          <a:extLst>
            <a:ext uri="{FF2B5EF4-FFF2-40B4-BE49-F238E27FC236}">
              <a16:creationId xmlns:a16="http://schemas.microsoft.com/office/drawing/2014/main" id="{084AD0F0-55E1-49E6-80CA-C9517A88FE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822" t="13465" r="28550" b="6463"/>
        <a:stretch/>
      </xdr:blipFill>
      <xdr:spPr>
        <a:xfrm>
          <a:off x="17000754" y="12811125"/>
          <a:ext cx="7505951" cy="75058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AC01-040D-495F-9217-0460FC1E3192}">
  <sheetPr>
    <tabColor rgb="FFFFC000"/>
    <pageSetUpPr fitToPage="1"/>
  </sheetPr>
  <dimension ref="B2:AA83"/>
  <sheetViews>
    <sheetView showGridLines="0" tabSelected="1" view="pageLayout" zoomScale="70" zoomScaleNormal="80" zoomScalePageLayoutView="70" workbookViewId="0">
      <selection activeCell="O11" sqref="O11:Z12"/>
    </sheetView>
  </sheetViews>
  <sheetFormatPr defaultRowHeight="15" x14ac:dyDescent="0.25"/>
  <cols>
    <col min="1" max="2" width="1.7109375" style="68" customWidth="1"/>
    <col min="3" max="3" width="9.28515625" style="196" customWidth="1"/>
    <col min="4" max="26" width="9.28515625" style="68" customWidth="1"/>
    <col min="27" max="28" width="1.7109375" style="68" customWidth="1"/>
    <col min="29" max="16384" width="9.140625" style="68"/>
  </cols>
  <sheetData>
    <row r="2" spans="2:27" s="8" customFormat="1" ht="17.100000000000001" customHeight="1" x14ac:dyDescent="0.25">
      <c r="B2" s="1" t="s">
        <v>0</v>
      </c>
      <c r="C2" s="2"/>
      <c r="D2" s="2"/>
      <c r="E2" s="2"/>
      <c r="F2" s="2"/>
      <c r="G2" s="2"/>
      <c r="H2" s="2"/>
      <c r="I2" s="3"/>
      <c r="J2" s="4" t="s">
        <v>1</v>
      </c>
      <c r="K2" s="5" t="s">
        <v>2</v>
      </c>
      <c r="L2" s="5"/>
      <c r="M2" s="5"/>
      <c r="N2" s="5" t="s">
        <v>3</v>
      </c>
      <c r="O2" s="5"/>
      <c r="P2" s="5"/>
      <c r="Q2" s="5"/>
      <c r="R2" s="6"/>
      <c r="S2" s="7" t="s">
        <v>4</v>
      </c>
      <c r="T2" s="7"/>
      <c r="U2" s="7" t="s">
        <v>5</v>
      </c>
      <c r="V2" s="7"/>
      <c r="W2" s="7" t="s">
        <v>6</v>
      </c>
      <c r="X2" s="7"/>
      <c r="Y2" s="7" t="s">
        <v>7</v>
      </c>
      <c r="Z2" s="7"/>
      <c r="AA2" s="7"/>
    </row>
    <row r="3" spans="2:27" s="8" customFormat="1" ht="17.100000000000001" customHeight="1" x14ac:dyDescent="0.25">
      <c r="B3" s="9" t="s">
        <v>8</v>
      </c>
      <c r="C3" s="10"/>
      <c r="D3" s="10"/>
      <c r="E3" s="10"/>
      <c r="F3" s="10"/>
      <c r="G3" s="10"/>
      <c r="H3" s="10"/>
      <c r="I3" s="10"/>
      <c r="J3" s="11"/>
      <c r="K3" s="12" t="s">
        <v>9</v>
      </c>
      <c r="L3" s="13"/>
      <c r="M3" s="13"/>
      <c r="N3" s="13" t="s">
        <v>10</v>
      </c>
      <c r="O3" s="13"/>
      <c r="P3" s="13"/>
      <c r="Q3" s="13"/>
      <c r="R3" s="13"/>
      <c r="S3" s="14" t="s">
        <v>11</v>
      </c>
      <c r="T3" s="15"/>
      <c r="U3" s="15"/>
      <c r="V3" s="15"/>
      <c r="W3" s="15"/>
      <c r="X3" s="15"/>
      <c r="Y3" s="15"/>
      <c r="Z3" s="15"/>
      <c r="AA3" s="16"/>
    </row>
    <row r="4" spans="2:27" s="8" customFormat="1" ht="17.100000000000001" customHeight="1" x14ac:dyDescent="0.25">
      <c r="B4" s="17"/>
      <c r="C4" s="18"/>
      <c r="D4" s="18"/>
      <c r="E4" s="18"/>
      <c r="F4" s="18"/>
      <c r="G4" s="18"/>
      <c r="H4" s="18"/>
      <c r="I4" s="18"/>
      <c r="J4" s="19"/>
      <c r="K4" s="12" t="s">
        <v>12</v>
      </c>
      <c r="L4" s="13"/>
      <c r="M4" s="13"/>
      <c r="N4" s="13" t="s">
        <v>13</v>
      </c>
      <c r="O4" s="13"/>
      <c r="P4" s="13"/>
      <c r="Q4" s="13"/>
      <c r="R4" s="13"/>
      <c r="S4" s="20"/>
      <c r="T4" s="21"/>
      <c r="U4" s="21"/>
      <c r="V4" s="21"/>
      <c r="W4" s="21"/>
      <c r="X4" s="21"/>
      <c r="Y4" s="21"/>
      <c r="Z4" s="21"/>
      <c r="AA4" s="22"/>
    </row>
    <row r="5" spans="2:27" s="8" customFormat="1" ht="17.100000000000001" customHeight="1" x14ac:dyDescent="0.25">
      <c r="B5" s="17"/>
      <c r="C5" s="18"/>
      <c r="D5" s="18"/>
      <c r="E5" s="18"/>
      <c r="F5" s="18"/>
      <c r="G5" s="18"/>
      <c r="H5" s="18"/>
      <c r="I5" s="18"/>
      <c r="J5" s="19"/>
      <c r="K5" s="12" t="s">
        <v>14</v>
      </c>
      <c r="L5" s="13"/>
      <c r="M5" s="13"/>
      <c r="N5" s="13" t="s">
        <v>15</v>
      </c>
      <c r="O5" s="13"/>
      <c r="P5" s="13"/>
      <c r="Q5" s="13"/>
      <c r="R5" s="13"/>
      <c r="S5" s="23"/>
      <c r="T5" s="24"/>
      <c r="U5" s="24"/>
      <c r="V5" s="24"/>
      <c r="W5" s="24"/>
      <c r="X5" s="24"/>
      <c r="Y5" s="24"/>
      <c r="Z5" s="24"/>
      <c r="AA5" s="25"/>
    </row>
    <row r="6" spans="2:27" s="8" customFormat="1" ht="17.100000000000001" customHeight="1" x14ac:dyDescent="0.25">
      <c r="B6" s="26"/>
      <c r="C6" s="27"/>
      <c r="D6" s="27"/>
      <c r="E6" s="27"/>
      <c r="F6" s="27"/>
      <c r="G6" s="27"/>
      <c r="H6" s="27"/>
      <c r="I6" s="27"/>
      <c r="J6" s="28"/>
      <c r="K6" s="29" t="s">
        <v>16</v>
      </c>
      <c r="L6" s="30"/>
      <c r="M6" s="30"/>
      <c r="N6" s="30" t="s">
        <v>17</v>
      </c>
      <c r="O6" s="30"/>
      <c r="P6" s="30"/>
      <c r="Q6" s="30"/>
      <c r="R6" s="31"/>
      <c r="S6" s="7" t="s">
        <v>18</v>
      </c>
      <c r="T6" s="7"/>
      <c r="U6" s="7" t="s">
        <v>19</v>
      </c>
      <c r="V6" s="7"/>
      <c r="W6" s="7" t="s">
        <v>20</v>
      </c>
      <c r="X6" s="7"/>
      <c r="Y6" s="7" t="s">
        <v>21</v>
      </c>
      <c r="Z6" s="7"/>
      <c r="AA6" s="7"/>
    </row>
    <row r="7" spans="2:27" s="35" customFormat="1" ht="30" customHeight="1" x14ac:dyDescent="0.25">
      <c r="B7" s="32" t="s">
        <v>22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/>
    </row>
    <row r="8" spans="2:27" s="45" customFormat="1" ht="20.100000000000001" customHeight="1" x14ac:dyDescent="0.25">
      <c r="B8" s="36"/>
      <c r="C8" s="37" t="s">
        <v>23</v>
      </c>
      <c r="D8" s="37"/>
      <c r="E8" s="37"/>
      <c r="F8" s="38"/>
      <c r="G8" s="39" t="s">
        <v>24</v>
      </c>
      <c r="H8" s="40"/>
      <c r="I8" s="40"/>
      <c r="J8" s="40"/>
      <c r="K8" s="40"/>
      <c r="L8" s="41"/>
      <c r="M8" s="42"/>
      <c r="N8" s="42"/>
      <c r="O8" s="43" t="s">
        <v>25</v>
      </c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4"/>
    </row>
    <row r="9" spans="2:27" s="45" customFormat="1" ht="20.100000000000001" customHeight="1" x14ac:dyDescent="0.25">
      <c r="B9" s="36"/>
      <c r="C9" s="46" t="s">
        <v>26</v>
      </c>
      <c r="D9" s="46"/>
      <c r="E9" s="46"/>
      <c r="F9" s="47"/>
      <c r="G9" s="48" t="s">
        <v>27</v>
      </c>
      <c r="H9" s="49"/>
      <c r="I9" s="49"/>
      <c r="J9" s="50"/>
      <c r="K9" s="48" t="s">
        <v>28</v>
      </c>
      <c r="L9" s="50"/>
      <c r="M9" s="42"/>
      <c r="N9" s="42"/>
      <c r="O9" s="51" t="s">
        <v>29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44"/>
    </row>
    <row r="10" spans="2:27" s="45" customFormat="1" ht="20.100000000000001" customHeight="1" x14ac:dyDescent="0.25">
      <c r="B10" s="36"/>
      <c r="C10" s="46" t="s">
        <v>30</v>
      </c>
      <c r="D10" s="46"/>
      <c r="E10" s="46"/>
      <c r="F10" s="47"/>
      <c r="G10" s="52"/>
      <c r="H10" s="53"/>
      <c r="I10" s="53"/>
      <c r="J10" s="54"/>
      <c r="K10" s="52"/>
      <c r="L10" s="54"/>
      <c r="M10" s="42"/>
      <c r="N10" s="42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44"/>
    </row>
    <row r="11" spans="2:27" s="45" customFormat="1" ht="20.100000000000001" customHeight="1" x14ac:dyDescent="0.25">
      <c r="B11" s="36"/>
      <c r="C11" s="46" t="s">
        <v>31</v>
      </c>
      <c r="D11" s="46"/>
      <c r="E11" s="46"/>
      <c r="F11" s="47"/>
      <c r="G11" s="55" t="s">
        <v>32</v>
      </c>
      <c r="H11" s="56"/>
      <c r="I11" s="56"/>
      <c r="J11" s="57"/>
      <c r="K11" s="58" t="s">
        <v>33</v>
      </c>
      <c r="L11" s="59"/>
      <c r="M11" s="42"/>
      <c r="N11" s="42"/>
      <c r="O11" s="51" t="s">
        <v>34</v>
      </c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60"/>
    </row>
    <row r="12" spans="2:27" s="45" customFormat="1" ht="20.100000000000001" customHeight="1" x14ac:dyDescent="0.25">
      <c r="B12" s="36"/>
      <c r="C12" s="46" t="s">
        <v>35</v>
      </c>
      <c r="D12" s="46"/>
      <c r="E12" s="46"/>
      <c r="F12" s="47"/>
      <c r="G12" s="55" t="s">
        <v>36</v>
      </c>
      <c r="H12" s="56"/>
      <c r="I12" s="56"/>
      <c r="J12" s="57"/>
      <c r="K12" s="58" t="s">
        <v>37</v>
      </c>
      <c r="L12" s="59"/>
      <c r="M12" s="42"/>
      <c r="N12" s="42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60"/>
    </row>
    <row r="13" spans="2:27" s="45" customFormat="1" ht="20.100000000000001" customHeight="1" x14ac:dyDescent="0.25">
      <c r="B13" s="36"/>
      <c r="C13" s="47"/>
      <c r="D13" s="47"/>
      <c r="E13" s="47"/>
      <c r="F13" s="47"/>
      <c r="G13" s="61"/>
      <c r="H13" s="61"/>
      <c r="I13" s="61"/>
      <c r="J13" s="61"/>
      <c r="K13" s="61"/>
      <c r="L13" s="61"/>
      <c r="M13" s="61"/>
      <c r="N13" s="61"/>
      <c r="O13" s="51" t="s">
        <v>38</v>
      </c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44"/>
    </row>
    <row r="14" spans="2:27" s="45" customFormat="1" ht="20.100000000000001" customHeight="1" x14ac:dyDescent="0.25">
      <c r="B14" s="36"/>
      <c r="C14" s="47"/>
      <c r="D14" s="47"/>
      <c r="E14" s="47"/>
      <c r="F14" s="47"/>
      <c r="G14" s="61"/>
      <c r="H14" s="61"/>
      <c r="I14" s="61"/>
      <c r="J14" s="61"/>
      <c r="K14" s="61"/>
      <c r="L14" s="61"/>
      <c r="M14" s="61"/>
      <c r="N14" s="6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44"/>
    </row>
    <row r="15" spans="2:27" s="45" customFormat="1" ht="20.100000000000001" customHeight="1" x14ac:dyDescent="0.25">
      <c r="B15" s="62"/>
      <c r="C15" s="63"/>
      <c r="D15" s="63"/>
      <c r="E15" s="63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3"/>
      <c r="Q15" s="63"/>
      <c r="R15" s="63"/>
      <c r="S15" s="63"/>
      <c r="T15" s="65"/>
      <c r="U15" s="65"/>
      <c r="V15" s="65"/>
      <c r="W15" s="65"/>
      <c r="X15" s="65"/>
      <c r="Y15" s="65"/>
      <c r="Z15" s="65"/>
      <c r="AA15" s="66"/>
    </row>
    <row r="16" spans="2:27" s="45" customFormat="1" ht="20.100000000000001" customHeight="1" x14ac:dyDescent="0.25">
      <c r="B16" s="67"/>
      <c r="G16" s="68"/>
      <c r="H16" s="68"/>
      <c r="I16" s="68"/>
      <c r="J16" s="68"/>
      <c r="K16" s="68"/>
      <c r="L16" s="68"/>
      <c r="M16" s="68"/>
      <c r="N16" s="68"/>
      <c r="O16" s="68"/>
      <c r="T16" s="69"/>
      <c r="U16" s="69"/>
      <c r="V16" s="69"/>
      <c r="W16" s="69"/>
      <c r="X16" s="69"/>
      <c r="Y16" s="69"/>
      <c r="Z16" s="69"/>
      <c r="AA16" s="70"/>
    </row>
    <row r="17" spans="2:27" s="45" customFormat="1" ht="30" customHeight="1" x14ac:dyDescent="0.25">
      <c r="B17" s="67"/>
      <c r="C17" s="71" t="s">
        <v>39</v>
      </c>
      <c r="D17" s="71"/>
      <c r="E17" s="71"/>
      <c r="F17" s="72" t="s">
        <v>120</v>
      </c>
      <c r="G17" s="72"/>
      <c r="H17" s="72"/>
      <c r="I17" s="72"/>
      <c r="J17" s="72"/>
      <c r="K17" s="72"/>
      <c r="L17" s="72"/>
      <c r="M17" s="72"/>
      <c r="N17" s="72"/>
      <c r="O17" s="72"/>
      <c r="P17" s="73"/>
      <c r="Q17" s="68"/>
      <c r="T17" s="69"/>
      <c r="U17" s="69"/>
      <c r="V17" s="69"/>
      <c r="W17" s="69"/>
      <c r="X17" s="69"/>
      <c r="Y17" s="69"/>
      <c r="Z17" s="69"/>
      <c r="AA17" s="70"/>
    </row>
    <row r="18" spans="2:27" s="45" customFormat="1" ht="30" customHeight="1" x14ac:dyDescent="0.25">
      <c r="B18" s="67"/>
      <c r="C18" s="71" t="s">
        <v>40</v>
      </c>
      <c r="D18" s="71"/>
      <c r="E18" s="71"/>
      <c r="F18" s="72" t="s">
        <v>121</v>
      </c>
      <c r="G18" s="72"/>
      <c r="H18" s="72"/>
      <c r="I18" s="72"/>
      <c r="J18" s="72"/>
      <c r="K18" s="72"/>
      <c r="L18" s="72"/>
      <c r="M18" s="72"/>
      <c r="N18" s="72"/>
      <c r="O18" s="72"/>
      <c r="P18" s="73"/>
      <c r="Q18" s="68"/>
      <c r="T18" s="69"/>
      <c r="U18" s="69"/>
      <c r="V18" s="69"/>
      <c r="W18" s="69"/>
      <c r="X18" s="69"/>
      <c r="Y18" s="69"/>
      <c r="Z18" s="69"/>
      <c r="AA18" s="70"/>
    </row>
    <row r="19" spans="2:27" s="45" customFormat="1" ht="30" customHeight="1" x14ac:dyDescent="0.25">
      <c r="B19" s="67"/>
      <c r="C19" s="74" t="s">
        <v>41</v>
      </c>
      <c r="D19" s="74"/>
      <c r="E19" s="74"/>
      <c r="F19" s="75" t="s">
        <v>122</v>
      </c>
      <c r="G19" s="76"/>
      <c r="H19" s="76"/>
      <c r="I19" s="76"/>
      <c r="J19" s="77" t="s">
        <v>42</v>
      </c>
      <c r="K19" s="78" t="s">
        <v>123</v>
      </c>
      <c r="L19" s="78"/>
      <c r="M19" s="78"/>
      <c r="N19" s="78"/>
      <c r="O19" s="78"/>
      <c r="P19" s="73"/>
      <c r="Q19" s="68"/>
      <c r="T19" s="69"/>
      <c r="U19" s="69"/>
      <c r="V19" s="69"/>
      <c r="W19" s="69"/>
      <c r="X19" s="69"/>
      <c r="Y19" s="69"/>
      <c r="Z19" s="69"/>
      <c r="AA19" s="70"/>
    </row>
    <row r="20" spans="2:27" s="45" customFormat="1" ht="30" customHeight="1" x14ac:dyDescent="0.25">
      <c r="B20" s="67"/>
      <c r="C20" s="74" t="s">
        <v>43</v>
      </c>
      <c r="D20" s="74"/>
      <c r="E20" s="74"/>
      <c r="F20" s="75" t="s">
        <v>124</v>
      </c>
      <c r="G20" s="75"/>
      <c r="H20" s="75"/>
      <c r="I20" s="75"/>
      <c r="J20" s="75"/>
      <c r="K20" s="75"/>
      <c r="L20" s="75"/>
      <c r="M20" s="75"/>
      <c r="N20" s="75"/>
      <c r="O20" s="75"/>
      <c r="P20" s="73"/>
      <c r="Q20" s="68"/>
      <c r="T20" s="69"/>
      <c r="U20" s="69"/>
      <c r="V20" s="69"/>
      <c r="W20" s="69"/>
      <c r="X20" s="69"/>
      <c r="Y20" s="69"/>
      <c r="Z20" s="69"/>
      <c r="AA20" s="70"/>
    </row>
    <row r="21" spans="2:27" s="45" customFormat="1" ht="20.100000000000001" customHeight="1" x14ac:dyDescent="0.25">
      <c r="B21" s="67"/>
      <c r="AA21" s="70"/>
    </row>
    <row r="22" spans="2:27" s="73" customFormat="1" ht="20.100000000000001" customHeight="1" x14ac:dyDescent="0.25">
      <c r="B22" s="79"/>
      <c r="C22" s="80"/>
      <c r="D22" s="80"/>
      <c r="E22" s="80"/>
      <c r="F22" s="80"/>
      <c r="V22" s="81"/>
      <c r="W22" s="81"/>
      <c r="X22" s="81"/>
      <c r="Y22" s="82"/>
      <c r="Z22" s="82"/>
      <c r="AA22" s="83"/>
    </row>
    <row r="23" spans="2:27" s="45" customFormat="1" ht="30" customHeight="1" x14ac:dyDescent="0.25">
      <c r="B23" s="67"/>
      <c r="C23" s="84" t="s">
        <v>44</v>
      </c>
      <c r="AA23" s="70"/>
    </row>
    <row r="24" spans="2:27" ht="20.100000000000001" customHeight="1" x14ac:dyDescent="0.25">
      <c r="B24" s="85"/>
      <c r="C24" s="86" t="s">
        <v>45</v>
      </c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 t="s">
        <v>46</v>
      </c>
      <c r="O24" s="89" t="s">
        <v>47</v>
      </c>
      <c r="P24" s="90"/>
      <c r="Q24" s="89" t="s">
        <v>48</v>
      </c>
      <c r="R24" s="90"/>
      <c r="S24" s="89" t="s">
        <v>49</v>
      </c>
      <c r="T24" s="90"/>
      <c r="U24" s="89" t="s">
        <v>50</v>
      </c>
      <c r="V24" s="90"/>
      <c r="W24" s="89" t="s">
        <v>51</v>
      </c>
      <c r="X24" s="90"/>
      <c r="Y24" s="89" t="s">
        <v>52</v>
      </c>
      <c r="Z24" s="90"/>
      <c r="AA24" s="91"/>
    </row>
    <row r="25" spans="2:27" s="100" customFormat="1" ht="20.100000000000001" customHeight="1" x14ac:dyDescent="0.25">
      <c r="B25" s="92"/>
      <c r="C25" s="93" t="s">
        <v>53</v>
      </c>
      <c r="D25" s="94" t="s">
        <v>23</v>
      </c>
      <c r="E25" s="95"/>
      <c r="F25" s="94" t="s">
        <v>54</v>
      </c>
      <c r="G25" s="95"/>
      <c r="H25" s="94" t="s">
        <v>55</v>
      </c>
      <c r="I25" s="95"/>
      <c r="J25" s="94" t="s">
        <v>56</v>
      </c>
      <c r="K25" s="96"/>
      <c r="L25" s="95"/>
      <c r="M25" s="94" t="s">
        <v>57</v>
      </c>
      <c r="N25" s="95"/>
      <c r="O25" s="97" t="s">
        <v>58</v>
      </c>
      <c r="P25" s="98"/>
      <c r="Q25" s="94" t="s">
        <v>59</v>
      </c>
      <c r="R25" s="95"/>
      <c r="S25" s="94" t="s">
        <v>60</v>
      </c>
      <c r="T25" s="95"/>
      <c r="U25" s="97" t="s">
        <v>61</v>
      </c>
      <c r="V25" s="98"/>
      <c r="W25" s="97" t="s">
        <v>62</v>
      </c>
      <c r="X25" s="98"/>
      <c r="Y25" s="94" t="s">
        <v>63</v>
      </c>
      <c r="Z25" s="95"/>
      <c r="AA25" s="99"/>
    </row>
    <row r="26" spans="2:27" s="100" customFormat="1" ht="20.100000000000001" customHeight="1" x14ac:dyDescent="0.25">
      <c r="B26" s="92"/>
      <c r="C26" s="101"/>
      <c r="D26" s="102"/>
      <c r="E26" s="103"/>
      <c r="F26" s="102"/>
      <c r="G26" s="103"/>
      <c r="H26" s="102"/>
      <c r="I26" s="103"/>
      <c r="J26" s="102"/>
      <c r="K26" s="104"/>
      <c r="L26" s="103"/>
      <c r="M26" s="102"/>
      <c r="N26" s="103"/>
      <c r="O26" s="105"/>
      <c r="P26" s="106"/>
      <c r="Q26" s="102"/>
      <c r="R26" s="103"/>
      <c r="S26" s="102"/>
      <c r="T26" s="103"/>
      <c r="U26" s="105"/>
      <c r="V26" s="106"/>
      <c r="W26" s="105"/>
      <c r="X26" s="106"/>
      <c r="Y26" s="102"/>
      <c r="Z26" s="103"/>
      <c r="AA26" s="99"/>
    </row>
    <row r="27" spans="2:27" s="100" customFormat="1" ht="20.100000000000001" customHeight="1" x14ac:dyDescent="0.25">
      <c r="B27" s="92"/>
      <c r="C27" s="101"/>
      <c r="D27" s="102"/>
      <c r="E27" s="103"/>
      <c r="F27" s="102"/>
      <c r="G27" s="103"/>
      <c r="H27" s="102"/>
      <c r="I27" s="103"/>
      <c r="J27" s="102"/>
      <c r="K27" s="104"/>
      <c r="L27" s="103"/>
      <c r="M27" s="102"/>
      <c r="N27" s="103"/>
      <c r="O27" s="105"/>
      <c r="P27" s="106"/>
      <c r="Q27" s="102"/>
      <c r="R27" s="103"/>
      <c r="S27" s="102"/>
      <c r="T27" s="103"/>
      <c r="U27" s="107" t="s">
        <v>64</v>
      </c>
      <c r="V27" s="108"/>
      <c r="W27" s="107" t="s">
        <v>65</v>
      </c>
      <c r="X27" s="108"/>
      <c r="Y27" s="109" t="s">
        <v>66</v>
      </c>
      <c r="Z27" s="110"/>
      <c r="AA27" s="99"/>
    </row>
    <row r="28" spans="2:27" s="100" customFormat="1" ht="20.100000000000001" customHeight="1" x14ac:dyDescent="0.25">
      <c r="B28" s="92"/>
      <c r="C28" s="111"/>
      <c r="D28" s="112"/>
      <c r="E28" s="113"/>
      <c r="F28" s="112"/>
      <c r="G28" s="113"/>
      <c r="H28" s="112"/>
      <c r="I28" s="113"/>
      <c r="J28" s="112"/>
      <c r="K28" s="114"/>
      <c r="L28" s="113"/>
      <c r="M28" s="112"/>
      <c r="N28" s="113"/>
      <c r="O28" s="115"/>
      <c r="P28" s="116"/>
      <c r="Q28" s="112"/>
      <c r="R28" s="113"/>
      <c r="S28" s="112"/>
      <c r="T28" s="113"/>
      <c r="U28" s="117" t="s">
        <v>132</v>
      </c>
      <c r="V28" s="118"/>
      <c r="W28" s="119">
        <v>150000</v>
      </c>
      <c r="X28" s="120"/>
      <c r="Y28" s="121"/>
      <c r="Z28" s="122"/>
      <c r="AA28" s="99"/>
    </row>
    <row r="29" spans="2:27" ht="30" customHeight="1" x14ac:dyDescent="0.25">
      <c r="B29" s="85"/>
      <c r="C29" s="123">
        <v>1</v>
      </c>
      <c r="D29" s="124" t="s">
        <v>26</v>
      </c>
      <c r="E29" s="125"/>
      <c r="F29" s="124" t="s">
        <v>125</v>
      </c>
      <c r="G29" s="125"/>
      <c r="H29" s="124" t="s">
        <v>126</v>
      </c>
      <c r="I29" s="125"/>
      <c r="J29" s="126" t="s">
        <v>127</v>
      </c>
      <c r="K29" s="127"/>
      <c r="L29" s="128"/>
      <c r="M29" s="129"/>
      <c r="N29" s="130"/>
      <c r="O29" s="131"/>
      <c r="P29" s="132"/>
      <c r="Q29" s="133"/>
      <c r="R29" s="134"/>
      <c r="S29" s="133"/>
      <c r="T29" s="134"/>
      <c r="U29" s="135">
        <f>(M29+O29)*50000</f>
        <v>0</v>
      </c>
      <c r="V29" s="134"/>
      <c r="W29" s="135"/>
      <c r="X29" s="136"/>
      <c r="Y29" s="137">
        <f>+U29</f>
        <v>0</v>
      </c>
      <c r="Z29" s="138"/>
      <c r="AA29" s="91"/>
    </row>
    <row r="30" spans="2:27" ht="30" customHeight="1" x14ac:dyDescent="0.25">
      <c r="B30" s="85"/>
      <c r="C30" s="123">
        <v>2</v>
      </c>
      <c r="D30" s="124" t="s">
        <v>26</v>
      </c>
      <c r="E30" s="125"/>
      <c r="F30" s="124" t="s">
        <v>125</v>
      </c>
      <c r="G30" s="125"/>
      <c r="H30" s="124" t="s">
        <v>126</v>
      </c>
      <c r="I30" s="125"/>
      <c r="J30" s="206" t="s">
        <v>128</v>
      </c>
      <c r="M30" s="139"/>
      <c r="N30" s="140"/>
      <c r="O30" s="141"/>
      <c r="P30" s="142"/>
      <c r="Q30" s="143"/>
      <c r="R30" s="144"/>
      <c r="S30" s="143"/>
      <c r="T30" s="144"/>
      <c r="U30" s="143"/>
      <c r="V30" s="144"/>
      <c r="W30" s="145"/>
      <c r="X30" s="146"/>
      <c r="Y30" s="147"/>
      <c r="Z30" s="148"/>
      <c r="AA30" s="91"/>
    </row>
    <row r="31" spans="2:27" ht="30" customHeight="1" x14ac:dyDescent="0.25">
      <c r="B31" s="85"/>
      <c r="C31" s="123">
        <v>3</v>
      </c>
      <c r="D31" s="124" t="s">
        <v>26</v>
      </c>
      <c r="E31" s="125"/>
      <c r="F31" s="124" t="s">
        <v>125</v>
      </c>
      <c r="G31" s="125"/>
      <c r="H31" s="124" t="s">
        <v>129</v>
      </c>
      <c r="I31" s="125"/>
      <c r="J31" s="126" t="s">
        <v>130</v>
      </c>
      <c r="K31" s="127"/>
      <c r="L31" s="128"/>
      <c r="M31" s="129">
        <v>4</v>
      </c>
      <c r="N31" s="130"/>
      <c r="O31" s="131">
        <v>1</v>
      </c>
      <c r="P31" s="132"/>
      <c r="Q31" s="133">
        <v>1</v>
      </c>
      <c r="R31" s="134"/>
      <c r="S31" s="133"/>
      <c r="T31" s="134"/>
      <c r="U31" s="151">
        <f>1424115/5</f>
        <v>284823</v>
      </c>
      <c r="V31" s="152"/>
      <c r="W31" s="151"/>
      <c r="X31" s="152"/>
      <c r="Y31" s="137">
        <f>+U31*5</f>
        <v>1424115</v>
      </c>
      <c r="Z31" s="138"/>
      <c r="AA31" s="91"/>
    </row>
    <row r="32" spans="2:27" ht="30" customHeight="1" x14ac:dyDescent="0.25">
      <c r="B32" s="85"/>
      <c r="C32" s="123">
        <v>4</v>
      </c>
      <c r="D32" s="124" t="s">
        <v>26</v>
      </c>
      <c r="E32" s="125"/>
      <c r="F32" s="124" t="s">
        <v>125</v>
      </c>
      <c r="G32" s="125"/>
      <c r="H32" s="124" t="s">
        <v>129</v>
      </c>
      <c r="I32" s="125"/>
      <c r="J32" s="126" t="s">
        <v>131</v>
      </c>
      <c r="K32" s="127"/>
      <c r="L32" s="128"/>
      <c r="M32" s="153"/>
      <c r="N32" s="154"/>
      <c r="O32" s="155"/>
      <c r="P32" s="156"/>
      <c r="Q32" s="157"/>
      <c r="R32" s="158"/>
      <c r="S32" s="157"/>
      <c r="T32" s="158"/>
      <c r="U32" s="161"/>
      <c r="V32" s="162"/>
      <c r="W32" s="161"/>
      <c r="X32" s="162"/>
      <c r="Y32" s="163"/>
      <c r="Z32" s="164"/>
      <c r="AA32" s="91"/>
    </row>
    <row r="33" spans="2:27" ht="30" customHeight="1" x14ac:dyDescent="0.25">
      <c r="B33" s="85"/>
      <c r="C33" s="123">
        <v>5</v>
      </c>
      <c r="D33" s="124"/>
      <c r="E33" s="125"/>
      <c r="F33" s="124"/>
      <c r="G33" s="125"/>
      <c r="H33" s="124"/>
      <c r="I33" s="125"/>
      <c r="J33" s="126"/>
      <c r="K33" s="127"/>
      <c r="L33" s="128"/>
      <c r="M33" s="139"/>
      <c r="N33" s="140"/>
      <c r="O33" s="141"/>
      <c r="P33" s="142"/>
      <c r="Q33" s="143"/>
      <c r="R33" s="144"/>
      <c r="S33" s="143"/>
      <c r="T33" s="144"/>
      <c r="U33" s="167"/>
      <c r="V33" s="168"/>
      <c r="W33" s="167"/>
      <c r="X33" s="168"/>
      <c r="Y33" s="147"/>
      <c r="Z33" s="148"/>
      <c r="AA33" s="91"/>
    </row>
    <row r="34" spans="2:27" ht="30" customHeight="1" x14ac:dyDescent="0.25">
      <c r="B34" s="85"/>
      <c r="C34" s="123">
        <v>6</v>
      </c>
      <c r="D34" s="124"/>
      <c r="E34" s="125"/>
      <c r="F34" s="124"/>
      <c r="G34" s="125"/>
      <c r="H34" s="124"/>
      <c r="I34" s="125"/>
      <c r="J34" s="126"/>
      <c r="K34" s="127"/>
      <c r="L34" s="128"/>
      <c r="M34" s="129"/>
      <c r="N34" s="130"/>
      <c r="O34" s="131"/>
      <c r="P34" s="132"/>
      <c r="Q34" s="133"/>
      <c r="R34" s="134"/>
      <c r="S34" s="133"/>
      <c r="T34" s="134"/>
      <c r="U34" s="149" t="e">
        <f>+($M$34+$O$34)*Q34*U28</f>
        <v>#VALUE!</v>
      </c>
      <c r="V34" s="169"/>
      <c r="W34" s="149">
        <f>+(O34+Q34)*S34*W28</f>
        <v>0</v>
      </c>
      <c r="X34" s="150"/>
      <c r="Y34" s="170" t="e">
        <f>+U34+W34</f>
        <v>#VALUE!</v>
      </c>
      <c r="Z34" s="171"/>
      <c r="AA34" s="91"/>
    </row>
    <row r="35" spans="2:27" ht="30" customHeight="1" x14ac:dyDescent="0.25">
      <c r="B35" s="85"/>
      <c r="C35" s="123">
        <v>7</v>
      </c>
      <c r="D35" s="124"/>
      <c r="E35" s="125"/>
      <c r="F35" s="124"/>
      <c r="G35" s="125"/>
      <c r="H35" s="124"/>
      <c r="I35" s="125"/>
      <c r="J35" s="126"/>
      <c r="K35" s="127"/>
      <c r="L35" s="128"/>
      <c r="M35" s="153"/>
      <c r="N35" s="154"/>
      <c r="O35" s="155"/>
      <c r="P35" s="156"/>
      <c r="Q35" s="157"/>
      <c r="R35" s="158"/>
      <c r="S35" s="157"/>
      <c r="T35" s="158"/>
      <c r="U35" s="172"/>
      <c r="V35" s="173"/>
      <c r="W35" s="159"/>
      <c r="X35" s="160"/>
      <c r="Y35" s="174"/>
      <c r="Z35" s="175"/>
      <c r="AA35" s="91"/>
    </row>
    <row r="36" spans="2:27" ht="30" customHeight="1" x14ac:dyDescent="0.25">
      <c r="B36" s="85"/>
      <c r="C36" s="123">
        <v>8</v>
      </c>
      <c r="D36" s="124"/>
      <c r="E36" s="125"/>
      <c r="F36" s="124"/>
      <c r="G36" s="125"/>
      <c r="H36" s="124"/>
      <c r="I36" s="125"/>
      <c r="J36" s="126"/>
      <c r="K36" s="127"/>
      <c r="L36" s="128"/>
      <c r="M36" s="153"/>
      <c r="N36" s="154"/>
      <c r="O36" s="155"/>
      <c r="P36" s="156"/>
      <c r="Q36" s="157"/>
      <c r="R36" s="158"/>
      <c r="S36" s="157"/>
      <c r="T36" s="158"/>
      <c r="U36" s="172"/>
      <c r="V36" s="173"/>
      <c r="W36" s="159"/>
      <c r="X36" s="160"/>
      <c r="Y36" s="174"/>
      <c r="Z36" s="175"/>
      <c r="AA36" s="91"/>
    </row>
    <row r="37" spans="2:27" ht="30" customHeight="1" x14ac:dyDescent="0.25">
      <c r="B37" s="85"/>
      <c r="C37" s="123">
        <v>9</v>
      </c>
      <c r="D37" s="124"/>
      <c r="E37" s="125"/>
      <c r="F37" s="124"/>
      <c r="G37" s="125"/>
      <c r="H37" s="124"/>
      <c r="I37" s="125"/>
      <c r="J37" s="126"/>
      <c r="K37" s="127"/>
      <c r="L37" s="128"/>
      <c r="M37" s="153"/>
      <c r="N37" s="154"/>
      <c r="O37" s="155"/>
      <c r="P37" s="156"/>
      <c r="Q37" s="157"/>
      <c r="R37" s="158"/>
      <c r="S37" s="157"/>
      <c r="T37" s="158"/>
      <c r="U37" s="172"/>
      <c r="V37" s="173"/>
      <c r="W37" s="159"/>
      <c r="X37" s="160"/>
      <c r="Y37" s="174"/>
      <c r="Z37" s="175"/>
      <c r="AA37" s="91"/>
    </row>
    <row r="38" spans="2:27" ht="30" customHeight="1" x14ac:dyDescent="0.25">
      <c r="B38" s="85"/>
      <c r="C38" s="123">
        <v>10</v>
      </c>
      <c r="D38" s="124"/>
      <c r="E38" s="125"/>
      <c r="F38" s="124"/>
      <c r="G38" s="125"/>
      <c r="H38" s="124"/>
      <c r="I38" s="125"/>
      <c r="J38" s="126"/>
      <c r="K38" s="127"/>
      <c r="L38" s="128"/>
      <c r="M38" s="139"/>
      <c r="N38" s="140"/>
      <c r="O38" s="141"/>
      <c r="P38" s="142"/>
      <c r="Q38" s="143"/>
      <c r="R38" s="144"/>
      <c r="S38" s="143"/>
      <c r="T38" s="144"/>
      <c r="U38" s="176"/>
      <c r="V38" s="177"/>
      <c r="W38" s="165"/>
      <c r="X38" s="166"/>
      <c r="Y38" s="178"/>
      <c r="Z38" s="179"/>
      <c r="AA38" s="91"/>
    </row>
    <row r="39" spans="2:27" ht="30" customHeight="1" x14ac:dyDescent="0.25">
      <c r="B39" s="85"/>
      <c r="C39" s="123">
        <v>11</v>
      </c>
      <c r="D39" s="124"/>
      <c r="E39" s="125"/>
      <c r="F39" s="124"/>
      <c r="G39" s="125"/>
      <c r="H39" s="124"/>
      <c r="I39" s="125"/>
      <c r="J39" s="126"/>
      <c r="K39" s="127"/>
      <c r="L39" s="128"/>
      <c r="M39" s="129"/>
      <c r="N39" s="130"/>
      <c r="O39" s="131"/>
      <c r="P39" s="132"/>
      <c r="Q39" s="133"/>
      <c r="R39" s="134"/>
      <c r="S39" s="180"/>
      <c r="T39" s="181"/>
      <c r="U39" s="182" t="e">
        <f>+($M$39+$O$39)*Q39*U28</f>
        <v>#VALUE!</v>
      </c>
      <c r="V39" s="183"/>
      <c r="W39" s="182">
        <f>+(O39+Q39)*S39*W28</f>
        <v>0</v>
      </c>
      <c r="X39" s="184"/>
      <c r="Y39" s="185" t="e">
        <f>+U39+W39</f>
        <v>#VALUE!</v>
      </c>
      <c r="Z39" s="186"/>
      <c r="AA39" s="91"/>
    </row>
    <row r="40" spans="2:27" ht="30" customHeight="1" x14ac:dyDescent="0.25">
      <c r="B40" s="85"/>
      <c r="C40" s="187" t="s">
        <v>67</v>
      </c>
      <c r="D40" s="187"/>
      <c r="E40" s="187"/>
      <c r="F40" s="187"/>
      <c r="G40" s="187"/>
      <c r="H40" s="187"/>
      <c r="I40" s="187"/>
      <c r="J40" s="187"/>
      <c r="K40" s="187"/>
      <c r="L40" s="187"/>
      <c r="M40" s="139"/>
      <c r="N40" s="140"/>
      <c r="O40" s="141"/>
      <c r="P40" s="142"/>
      <c r="Q40" s="143"/>
      <c r="R40" s="144"/>
      <c r="S40" s="188"/>
      <c r="T40" s="189"/>
      <c r="U40" s="190"/>
      <c r="V40" s="191"/>
      <c r="W40" s="192"/>
      <c r="X40" s="193"/>
      <c r="Y40" s="194"/>
      <c r="Z40" s="195"/>
      <c r="AA40" s="91"/>
    </row>
    <row r="41" spans="2:27" ht="20.100000000000001" customHeight="1" x14ac:dyDescent="0.25">
      <c r="B41" s="85"/>
      <c r="AA41" s="91"/>
    </row>
    <row r="42" spans="2:27" ht="30" customHeight="1" x14ac:dyDescent="0.25">
      <c r="B42" s="85"/>
      <c r="C42" s="197" t="s">
        <v>68</v>
      </c>
      <c r="AA42" s="91"/>
    </row>
    <row r="43" spans="2:27" s="73" customFormat="1" ht="9.9499999999999993" customHeight="1" x14ac:dyDescent="0.25">
      <c r="B43" s="79"/>
      <c r="C43" s="80"/>
      <c r="D43" s="80"/>
      <c r="E43" s="80"/>
      <c r="F43" s="80"/>
      <c r="AA43" s="83"/>
    </row>
    <row r="44" spans="2:27" ht="30" customHeight="1" x14ac:dyDescent="0.25">
      <c r="B44" s="85"/>
      <c r="C44" s="198" t="s">
        <v>69</v>
      </c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9"/>
      <c r="AA44" s="91"/>
    </row>
    <row r="45" spans="2:27" ht="30" customHeight="1" x14ac:dyDescent="0.25">
      <c r="B45" s="85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9"/>
      <c r="AA45" s="91"/>
    </row>
    <row r="46" spans="2:27" ht="9.9499999999999993" customHeight="1" x14ac:dyDescent="0.25">
      <c r="B46" s="85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AA46" s="91"/>
    </row>
    <row r="47" spans="2:27" s="73" customFormat="1" ht="20.100000000000001" customHeight="1" x14ac:dyDescent="0.25">
      <c r="B47" s="79"/>
      <c r="C47" s="201" t="s">
        <v>70</v>
      </c>
      <c r="L47" s="202"/>
      <c r="M47" s="202"/>
      <c r="N47" s="202"/>
      <c r="O47" s="203"/>
      <c r="AA47" s="83"/>
    </row>
    <row r="48" spans="2:27" ht="5.0999999999999996" customHeight="1" thickBot="1" x14ac:dyDescent="0.3">
      <c r="B48" s="85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AA48" s="91"/>
    </row>
    <row r="49" spans="2:27" s="73" customFormat="1" ht="20.100000000000001" customHeight="1" thickTop="1" thickBot="1" x14ac:dyDescent="0.3">
      <c r="B49" s="79"/>
      <c r="C49" s="204"/>
      <c r="D49" s="205" t="s">
        <v>71</v>
      </c>
      <c r="L49" s="202"/>
      <c r="M49" s="202"/>
      <c r="N49" s="202"/>
      <c r="O49" s="203"/>
      <c r="AA49" s="83"/>
    </row>
    <row r="50" spans="2:27" s="73" customFormat="1" ht="20.100000000000001" customHeight="1" thickTop="1" thickBot="1" x14ac:dyDescent="0.35">
      <c r="B50" s="79"/>
      <c r="C50" s="204"/>
      <c r="D50" s="206" t="s">
        <v>72</v>
      </c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AA50" s="83"/>
    </row>
    <row r="51" spans="2:27" ht="5.0999999999999996" customHeight="1" thickTop="1" x14ac:dyDescent="0.25">
      <c r="B51" s="85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AA51" s="91"/>
    </row>
    <row r="52" spans="2:27" s="73" customFormat="1" ht="30" customHeight="1" x14ac:dyDescent="0.25">
      <c r="B52" s="79"/>
      <c r="C52" s="206" t="s">
        <v>73</v>
      </c>
      <c r="D52" s="208"/>
      <c r="E52" s="209"/>
      <c r="F52" s="209"/>
      <c r="G52" s="208"/>
      <c r="H52" s="208"/>
      <c r="I52" s="208"/>
      <c r="J52" s="208"/>
      <c r="K52" s="208"/>
      <c r="L52" s="208"/>
      <c r="M52" s="208"/>
      <c r="AA52" s="83"/>
    </row>
    <row r="53" spans="2:27" s="73" customFormat="1" ht="30" customHeight="1" x14ac:dyDescent="0.25">
      <c r="B53" s="79"/>
      <c r="C53" s="210"/>
      <c r="D53" s="210"/>
      <c r="E53" s="210"/>
      <c r="F53" s="210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AA53" s="83"/>
    </row>
    <row r="54" spans="2:27" s="73" customFormat="1" ht="30" customHeight="1" x14ac:dyDescent="0.25">
      <c r="B54" s="79"/>
      <c r="C54" s="212"/>
      <c r="D54" s="212"/>
      <c r="E54" s="212"/>
      <c r="F54" s="212"/>
      <c r="G54" s="206"/>
      <c r="H54" s="206"/>
      <c r="I54" s="206"/>
      <c r="J54" s="206"/>
      <c r="K54" s="206"/>
      <c r="L54" s="206"/>
      <c r="M54" s="206"/>
      <c r="AA54" s="83"/>
    </row>
    <row r="55" spans="2:27" s="73" customFormat="1" ht="30" customHeight="1" x14ac:dyDescent="0.25">
      <c r="B55" s="79"/>
      <c r="C55" s="37" t="s">
        <v>74</v>
      </c>
      <c r="D55" s="37"/>
      <c r="E55" s="37"/>
      <c r="F55" s="213" t="s">
        <v>75</v>
      </c>
      <c r="G55" s="214"/>
      <c r="H55" s="214"/>
      <c r="I55" s="215"/>
      <c r="J55" s="213" t="s">
        <v>76</v>
      </c>
      <c r="K55" s="214"/>
      <c r="L55" s="214"/>
      <c r="M55" s="215"/>
      <c r="N55" s="213" t="s">
        <v>63</v>
      </c>
      <c r="O55" s="214"/>
      <c r="P55" s="215"/>
      <c r="S55" s="216" t="s">
        <v>77</v>
      </c>
      <c r="T55" s="216"/>
      <c r="U55" s="216"/>
      <c r="V55" s="217" t="s">
        <v>78</v>
      </c>
      <c r="W55" s="218">
        <f>Y29</f>
        <v>0</v>
      </c>
      <c r="X55" s="218"/>
      <c r="Y55" s="218"/>
      <c r="AA55" s="83"/>
    </row>
    <row r="56" spans="2:27" s="73" customFormat="1" ht="30" customHeight="1" x14ac:dyDescent="0.25">
      <c r="B56" s="79"/>
      <c r="C56" s="37"/>
      <c r="D56" s="37"/>
      <c r="E56" s="37"/>
      <c r="F56" s="219"/>
      <c r="G56" s="220"/>
      <c r="H56" s="220"/>
      <c r="I56" s="221"/>
      <c r="J56" s="219"/>
      <c r="K56" s="220"/>
      <c r="L56" s="220"/>
      <c r="M56" s="221"/>
      <c r="N56" s="219"/>
      <c r="O56" s="220"/>
      <c r="P56" s="221"/>
      <c r="S56" s="222"/>
      <c r="T56" s="222"/>
      <c r="U56" s="222"/>
      <c r="V56" s="223"/>
      <c r="W56" s="224"/>
      <c r="X56" s="224"/>
      <c r="Y56" s="224"/>
      <c r="AA56" s="83"/>
    </row>
    <row r="57" spans="2:27" s="73" customFormat="1" ht="30" customHeight="1" x14ac:dyDescent="0.25">
      <c r="B57" s="79"/>
      <c r="C57" s="37"/>
      <c r="D57" s="37"/>
      <c r="E57" s="37"/>
      <c r="F57" s="225" t="s">
        <v>45</v>
      </c>
      <c r="G57" s="225" t="s">
        <v>46</v>
      </c>
      <c r="H57" s="89" t="s">
        <v>47</v>
      </c>
      <c r="I57" s="90"/>
      <c r="J57" s="225" t="s">
        <v>48</v>
      </c>
      <c r="K57" s="225" t="s">
        <v>49</v>
      </c>
      <c r="L57" s="89" t="s">
        <v>50</v>
      </c>
      <c r="M57" s="90"/>
      <c r="N57" s="89" t="s">
        <v>51</v>
      </c>
      <c r="O57" s="226"/>
      <c r="P57" s="90"/>
      <c r="S57" s="227" t="s">
        <v>79</v>
      </c>
      <c r="T57" s="227"/>
      <c r="U57" s="227"/>
      <c r="V57" s="228" t="s">
        <v>78</v>
      </c>
      <c r="W57" s="229">
        <f>+N61</f>
        <v>0</v>
      </c>
      <c r="X57" s="229"/>
      <c r="Y57" s="229"/>
      <c r="AA57" s="83"/>
    </row>
    <row r="58" spans="2:27" s="73" customFormat="1" ht="30" customHeight="1" x14ac:dyDescent="0.25">
      <c r="B58" s="79"/>
      <c r="C58" s="37"/>
      <c r="D58" s="37"/>
      <c r="E58" s="37"/>
      <c r="F58" s="230" t="s">
        <v>80</v>
      </c>
      <c r="G58" s="230" t="s">
        <v>81</v>
      </c>
      <c r="H58" s="231" t="s">
        <v>82</v>
      </c>
      <c r="I58" s="232"/>
      <c r="J58" s="230" t="s">
        <v>80</v>
      </c>
      <c r="K58" s="230" t="s">
        <v>81</v>
      </c>
      <c r="L58" s="233" t="s">
        <v>83</v>
      </c>
      <c r="M58" s="234"/>
      <c r="N58" s="231" t="s">
        <v>84</v>
      </c>
      <c r="O58" s="235"/>
      <c r="P58" s="232"/>
      <c r="S58" s="222"/>
      <c r="T58" s="222"/>
      <c r="U58" s="222"/>
      <c r="V58" s="223"/>
      <c r="W58" s="224"/>
      <c r="X58" s="224"/>
      <c r="Y58" s="224"/>
      <c r="AA58" s="83"/>
    </row>
    <row r="59" spans="2:27" s="73" customFormat="1" ht="30" customHeight="1" x14ac:dyDescent="0.25">
      <c r="B59" s="79"/>
      <c r="C59" s="236" t="s">
        <v>85</v>
      </c>
      <c r="D59" s="236"/>
      <c r="E59" s="236"/>
      <c r="F59" s="237"/>
      <c r="G59" s="237"/>
      <c r="H59" s="238"/>
      <c r="I59" s="239"/>
      <c r="J59" s="237"/>
      <c r="K59" s="237"/>
      <c r="L59" s="240"/>
      <c r="M59" s="241"/>
      <c r="N59" s="240"/>
      <c r="O59" s="242"/>
      <c r="P59" s="241"/>
      <c r="S59" s="243" t="s">
        <v>86</v>
      </c>
      <c r="T59" s="243"/>
      <c r="U59" s="243"/>
      <c r="V59" s="243" t="s">
        <v>78</v>
      </c>
      <c r="W59" s="244">
        <f>+W55+W57</f>
        <v>0</v>
      </c>
      <c r="X59" s="244"/>
      <c r="Y59" s="244"/>
      <c r="AA59" s="83"/>
    </row>
    <row r="60" spans="2:27" s="73" customFormat="1" ht="30" customHeight="1" thickBot="1" x14ac:dyDescent="0.3">
      <c r="B60" s="79"/>
      <c r="C60" s="245" t="s">
        <v>87</v>
      </c>
      <c r="D60" s="245"/>
      <c r="E60" s="245"/>
      <c r="F60" s="246"/>
      <c r="G60" s="246"/>
      <c r="H60" s="247"/>
      <c r="I60" s="248"/>
      <c r="J60" s="246"/>
      <c r="K60" s="246"/>
      <c r="L60" s="247"/>
      <c r="M60" s="248"/>
      <c r="N60" s="247"/>
      <c r="O60" s="249"/>
      <c r="P60" s="248"/>
      <c r="R60" s="250"/>
      <c r="S60" s="251"/>
      <c r="T60" s="251"/>
      <c r="U60" s="251"/>
      <c r="V60" s="252"/>
      <c r="W60" s="253"/>
      <c r="X60" s="253"/>
      <c r="Y60" s="253"/>
      <c r="AA60" s="83"/>
    </row>
    <row r="61" spans="2:27" s="73" customFormat="1" ht="30" customHeight="1" thickTop="1" x14ac:dyDescent="0.25">
      <c r="B61" s="79"/>
      <c r="C61" s="143" t="s">
        <v>88</v>
      </c>
      <c r="D61" s="254"/>
      <c r="E61" s="254"/>
      <c r="F61" s="254"/>
      <c r="G61" s="254"/>
      <c r="H61" s="254"/>
      <c r="I61" s="254"/>
      <c r="J61" s="254"/>
      <c r="K61" s="254"/>
      <c r="L61" s="254"/>
      <c r="M61" s="144"/>
      <c r="N61" s="167">
        <f>+N60</f>
        <v>0</v>
      </c>
      <c r="O61" s="255"/>
      <c r="P61" s="168"/>
      <c r="R61" s="250"/>
      <c r="S61" s="256"/>
      <c r="T61" s="256"/>
      <c r="U61" s="256"/>
      <c r="V61" s="256"/>
      <c r="W61" s="257"/>
      <c r="X61" s="257"/>
      <c r="Y61" s="257"/>
      <c r="AA61" s="83"/>
    </row>
    <row r="62" spans="2:27" s="73" customFormat="1" ht="30" customHeight="1" x14ac:dyDescent="0.25">
      <c r="B62" s="79"/>
      <c r="C62" s="212"/>
      <c r="D62" s="80"/>
      <c r="E62" s="80"/>
      <c r="F62" s="80"/>
      <c r="AA62" s="83"/>
    </row>
    <row r="63" spans="2:27" s="73" customFormat="1" ht="20.100000000000001" customHeight="1" x14ac:dyDescent="0.25">
      <c r="B63" s="79"/>
      <c r="C63" s="80"/>
      <c r="D63" s="80"/>
      <c r="E63" s="80"/>
      <c r="F63" s="80"/>
      <c r="V63" s="81"/>
      <c r="W63" s="81"/>
      <c r="X63" s="81"/>
      <c r="Y63" s="82"/>
      <c r="Z63" s="82"/>
      <c r="AA63" s="83"/>
    </row>
    <row r="64" spans="2:27" s="73" customFormat="1" ht="20.100000000000001" customHeight="1" x14ac:dyDescent="0.25">
      <c r="B64" s="79"/>
      <c r="C64" s="80"/>
      <c r="D64" s="80"/>
      <c r="E64" s="80"/>
      <c r="F64" s="80"/>
      <c r="AA64" s="83"/>
    </row>
    <row r="65" spans="2:27" s="73" customFormat="1" ht="20.100000000000001" customHeight="1" x14ac:dyDescent="0.25">
      <c r="B65" s="79"/>
      <c r="C65" s="80"/>
      <c r="D65" s="80"/>
      <c r="E65" s="80"/>
      <c r="F65" s="80"/>
      <c r="AA65" s="83"/>
    </row>
    <row r="66" spans="2:27" s="206" customFormat="1" ht="20.100000000000001" customHeight="1" x14ac:dyDescent="0.25">
      <c r="B66" s="258"/>
      <c r="C66" s="259"/>
      <c r="D66" s="260">
        <v>6</v>
      </c>
      <c r="E66" s="261"/>
      <c r="F66" s="262"/>
      <c r="G66" s="260">
        <v>5</v>
      </c>
      <c r="H66" s="261"/>
      <c r="I66" s="262"/>
      <c r="K66" s="263" t="s">
        <v>89</v>
      </c>
      <c r="L66" s="264"/>
      <c r="M66" s="264"/>
      <c r="N66" s="264"/>
      <c r="O66" s="265"/>
      <c r="Q66" s="260">
        <v>3</v>
      </c>
      <c r="R66" s="261"/>
      <c r="S66" s="262"/>
      <c r="T66" s="260">
        <v>2</v>
      </c>
      <c r="U66" s="261"/>
      <c r="V66" s="262"/>
      <c r="W66" s="260">
        <v>1</v>
      </c>
      <c r="X66" s="261"/>
      <c r="Y66" s="262"/>
      <c r="AA66" s="266"/>
    </row>
    <row r="67" spans="2:27" s="206" customFormat="1" ht="20.100000000000001" customHeight="1" x14ac:dyDescent="0.25">
      <c r="B67" s="258"/>
      <c r="C67" s="259"/>
      <c r="D67" s="267" t="s">
        <v>90</v>
      </c>
      <c r="E67" s="268"/>
      <c r="F67" s="269"/>
      <c r="G67" s="267" t="s">
        <v>91</v>
      </c>
      <c r="H67" s="268"/>
      <c r="I67" s="269"/>
      <c r="K67" s="270" t="s">
        <v>92</v>
      </c>
      <c r="L67" s="271"/>
      <c r="M67" s="271"/>
      <c r="N67" s="271"/>
      <c r="O67" s="272"/>
      <c r="Q67" s="267" t="s">
        <v>93</v>
      </c>
      <c r="R67" s="268"/>
      <c r="S67" s="269"/>
      <c r="T67" s="267" t="s">
        <v>94</v>
      </c>
      <c r="U67" s="268"/>
      <c r="V67" s="269"/>
      <c r="W67" s="267" t="s">
        <v>95</v>
      </c>
      <c r="X67" s="268"/>
      <c r="Y67" s="269"/>
      <c r="AA67" s="266"/>
    </row>
    <row r="68" spans="2:27" s="206" customFormat="1" ht="20.100000000000001" customHeight="1" x14ac:dyDescent="0.25">
      <c r="B68" s="258"/>
      <c r="C68" s="259"/>
      <c r="D68" s="273" t="s">
        <v>96</v>
      </c>
      <c r="E68" s="274"/>
      <c r="F68" s="275"/>
      <c r="G68" s="273" t="s">
        <v>97</v>
      </c>
      <c r="H68" s="274"/>
      <c r="I68" s="275"/>
      <c r="J68" s="73"/>
      <c r="K68" s="273" t="s">
        <v>98</v>
      </c>
      <c r="L68" s="274"/>
      <c r="M68" s="274"/>
      <c r="N68" s="274"/>
      <c r="O68" s="275"/>
      <c r="P68" s="73"/>
      <c r="Q68" s="273" t="s">
        <v>99</v>
      </c>
      <c r="R68" s="274"/>
      <c r="S68" s="275"/>
      <c r="T68" s="273" t="s">
        <v>100</v>
      </c>
      <c r="U68" s="274"/>
      <c r="V68" s="275"/>
      <c r="W68" s="273" t="s">
        <v>101</v>
      </c>
      <c r="X68" s="274"/>
      <c r="Y68" s="275"/>
      <c r="AA68" s="266"/>
    </row>
    <row r="69" spans="2:27" s="206" customFormat="1" ht="20.100000000000001" customHeight="1" x14ac:dyDescent="0.25">
      <c r="B69" s="258"/>
      <c r="C69" s="259"/>
      <c r="D69" s="276"/>
      <c r="E69" s="277"/>
      <c r="F69" s="278"/>
      <c r="G69" s="276"/>
      <c r="H69" s="277"/>
      <c r="I69" s="278"/>
      <c r="J69" s="73"/>
      <c r="K69" s="276"/>
      <c r="L69" s="277"/>
      <c r="M69" s="277"/>
      <c r="N69" s="277"/>
      <c r="O69" s="278"/>
      <c r="P69" s="73"/>
      <c r="Q69" s="276"/>
      <c r="R69" s="277"/>
      <c r="S69" s="278"/>
      <c r="T69" s="276"/>
      <c r="U69" s="277"/>
      <c r="V69" s="278"/>
      <c r="W69" s="276"/>
      <c r="X69" s="277"/>
      <c r="Y69" s="278"/>
      <c r="AA69" s="266"/>
    </row>
    <row r="70" spans="2:27" s="206" customFormat="1" ht="20.100000000000001" customHeight="1" x14ac:dyDescent="0.25">
      <c r="B70" s="258"/>
      <c r="C70" s="259"/>
      <c r="D70" s="279"/>
      <c r="E70" s="280"/>
      <c r="F70" s="281"/>
      <c r="G70" s="279"/>
      <c r="H70" s="280"/>
      <c r="I70" s="281"/>
      <c r="J70" s="73"/>
      <c r="K70" s="279"/>
      <c r="L70" s="280"/>
      <c r="M70" s="280"/>
      <c r="N70" s="280"/>
      <c r="O70" s="281"/>
      <c r="P70" s="73"/>
      <c r="Q70" s="279"/>
      <c r="R70" s="280"/>
      <c r="S70" s="281"/>
      <c r="T70" s="279"/>
      <c r="U70" s="280"/>
      <c r="V70" s="281"/>
      <c r="W70" s="279"/>
      <c r="X70" s="280"/>
      <c r="Y70" s="281"/>
      <c r="AA70" s="266"/>
    </row>
    <row r="71" spans="2:27" s="73" customFormat="1" ht="20.100000000000001" customHeight="1" x14ac:dyDescent="0.25">
      <c r="B71" s="79"/>
      <c r="C71" s="282"/>
      <c r="D71" s="283" t="s">
        <v>102</v>
      </c>
      <c r="E71" s="284"/>
      <c r="F71" s="285"/>
      <c r="G71" s="283" t="s">
        <v>102</v>
      </c>
      <c r="H71" s="284"/>
      <c r="I71" s="285"/>
      <c r="K71" s="283" t="s">
        <v>102</v>
      </c>
      <c r="L71" s="284"/>
      <c r="M71" s="284"/>
      <c r="N71" s="284"/>
      <c r="O71" s="285"/>
      <c r="Q71" s="283" t="s">
        <v>102</v>
      </c>
      <c r="R71" s="284"/>
      <c r="S71" s="285"/>
      <c r="T71" s="283" t="s">
        <v>102</v>
      </c>
      <c r="U71" s="284"/>
      <c r="V71" s="285"/>
      <c r="W71" s="283" t="s">
        <v>102</v>
      </c>
      <c r="X71" s="284"/>
      <c r="Y71" s="285"/>
      <c r="AA71" s="83"/>
    </row>
    <row r="72" spans="2:27" s="73" customFormat="1" ht="20.100000000000001" customHeight="1" x14ac:dyDescent="0.25">
      <c r="B72" s="79"/>
      <c r="C72" s="282"/>
      <c r="D72" s="286" t="s">
        <v>103</v>
      </c>
      <c r="E72" s="287"/>
      <c r="F72" s="288"/>
      <c r="G72" s="286" t="s">
        <v>103</v>
      </c>
      <c r="H72" s="287"/>
      <c r="I72" s="288"/>
      <c r="K72" s="286" t="s">
        <v>103</v>
      </c>
      <c r="L72" s="287"/>
      <c r="M72" s="287"/>
      <c r="N72" s="287"/>
      <c r="O72" s="288"/>
      <c r="Q72" s="286" t="s">
        <v>103</v>
      </c>
      <c r="R72" s="287"/>
      <c r="S72" s="288"/>
      <c r="T72" s="286" t="s">
        <v>103</v>
      </c>
      <c r="U72" s="287"/>
      <c r="V72" s="288"/>
      <c r="W72" s="286" t="s">
        <v>103</v>
      </c>
      <c r="X72" s="287"/>
      <c r="Y72" s="288"/>
      <c r="AA72" s="83"/>
    </row>
    <row r="73" spans="2:27" s="73" customFormat="1" ht="20.100000000000001" customHeight="1" x14ac:dyDescent="0.25">
      <c r="B73" s="79"/>
      <c r="C73" s="282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3"/>
    </row>
    <row r="74" spans="2:27" s="73" customFormat="1" ht="20.100000000000001" customHeight="1" x14ac:dyDescent="0.25">
      <c r="B74" s="79"/>
      <c r="C74" s="80"/>
      <c r="D74" s="80"/>
      <c r="E74" s="80"/>
      <c r="F74" s="80"/>
      <c r="AA74" s="83"/>
    </row>
    <row r="75" spans="2:27" s="303" customFormat="1" ht="18" customHeight="1" x14ac:dyDescent="0.25">
      <c r="B75" s="289" t="s">
        <v>104</v>
      </c>
      <c r="C75" s="290"/>
      <c r="D75" s="290"/>
      <c r="E75" s="290"/>
      <c r="F75" s="290"/>
      <c r="G75" s="291"/>
      <c r="H75" s="292"/>
      <c r="I75" s="293"/>
      <c r="J75" s="294" t="s">
        <v>105</v>
      </c>
      <c r="K75" s="295"/>
      <c r="L75" s="295"/>
      <c r="M75" s="295"/>
      <c r="N75" s="295"/>
      <c r="O75" s="295"/>
      <c r="P75" s="296"/>
      <c r="Q75" s="297">
        <v>7</v>
      </c>
      <c r="R75" s="298" t="s">
        <v>106</v>
      </c>
      <c r="S75" s="299"/>
      <c r="T75" s="299"/>
      <c r="U75" s="300"/>
      <c r="V75" s="301">
        <v>45296</v>
      </c>
      <c r="W75" s="297" t="s">
        <v>107</v>
      </c>
      <c r="X75" s="297"/>
      <c r="Y75" s="302"/>
      <c r="Z75" s="7"/>
      <c r="AA75" s="7"/>
    </row>
    <row r="76" spans="2:27" s="303" customFormat="1" ht="18" customHeight="1" x14ac:dyDescent="0.25">
      <c r="B76" s="304"/>
      <c r="C76" s="305"/>
      <c r="D76" s="305"/>
      <c r="E76" s="305"/>
      <c r="F76" s="305"/>
      <c r="G76" s="306"/>
      <c r="H76" s="307"/>
      <c r="I76" s="308"/>
      <c r="J76" s="309"/>
      <c r="K76" s="310"/>
      <c r="L76" s="310"/>
      <c r="M76" s="310"/>
      <c r="N76" s="310"/>
      <c r="O76" s="310"/>
      <c r="P76" s="311"/>
      <c r="Q76" s="297">
        <v>6</v>
      </c>
      <c r="R76" s="298" t="s">
        <v>108</v>
      </c>
      <c r="S76" s="299"/>
      <c r="T76" s="299"/>
      <c r="U76" s="300"/>
      <c r="V76" s="301">
        <v>45017</v>
      </c>
      <c r="W76" s="297" t="s">
        <v>107</v>
      </c>
      <c r="X76" s="297">
        <v>4</v>
      </c>
      <c r="Y76" s="302">
        <v>45296</v>
      </c>
      <c r="Z76" s="312" t="s">
        <v>19</v>
      </c>
      <c r="AA76" s="313"/>
    </row>
    <row r="77" spans="2:27" s="303" customFormat="1" ht="18" customHeight="1" x14ac:dyDescent="0.25">
      <c r="B77" s="314"/>
      <c r="C77" s="305"/>
      <c r="D77" s="305"/>
      <c r="E77" s="305"/>
      <c r="F77" s="305"/>
      <c r="G77" s="306"/>
      <c r="H77" s="307"/>
      <c r="I77" s="308"/>
      <c r="J77" s="309"/>
      <c r="K77" s="310"/>
      <c r="L77" s="310"/>
      <c r="M77" s="310"/>
      <c r="N77" s="310"/>
      <c r="O77" s="310"/>
      <c r="P77" s="311"/>
      <c r="Q77" s="297">
        <v>5</v>
      </c>
      <c r="R77" s="298" t="s">
        <v>109</v>
      </c>
      <c r="S77" s="299"/>
      <c r="T77" s="299"/>
      <c r="U77" s="300"/>
      <c r="V77" s="301">
        <v>44736</v>
      </c>
      <c r="W77" s="297" t="s">
        <v>110</v>
      </c>
      <c r="X77" s="297">
        <v>3</v>
      </c>
      <c r="Y77" s="302">
        <v>45017</v>
      </c>
      <c r="Z77" s="7" t="s">
        <v>19</v>
      </c>
      <c r="AA77" s="7"/>
    </row>
    <row r="78" spans="2:27" s="303" customFormat="1" ht="18" customHeight="1" x14ac:dyDescent="0.25">
      <c r="B78" s="314"/>
      <c r="C78" s="305"/>
      <c r="D78" s="305"/>
      <c r="E78" s="305"/>
      <c r="F78" s="305"/>
      <c r="G78" s="306"/>
      <c r="H78" s="307"/>
      <c r="I78" s="308"/>
      <c r="J78" s="309"/>
      <c r="K78" s="310"/>
      <c r="L78" s="310"/>
      <c r="M78" s="310"/>
      <c r="N78" s="310"/>
      <c r="O78" s="310"/>
      <c r="P78" s="311"/>
      <c r="Q78" s="297">
        <v>4</v>
      </c>
      <c r="R78" s="298" t="s">
        <v>109</v>
      </c>
      <c r="S78" s="299"/>
      <c r="T78" s="299"/>
      <c r="U78" s="300"/>
      <c r="V78" s="301">
        <v>41695</v>
      </c>
      <c r="W78" s="297" t="s">
        <v>107</v>
      </c>
      <c r="X78" s="297">
        <v>2</v>
      </c>
      <c r="Y78" s="302">
        <v>44736</v>
      </c>
      <c r="Z78" s="7" t="s">
        <v>110</v>
      </c>
      <c r="AA78" s="7"/>
    </row>
    <row r="79" spans="2:27" s="303" customFormat="1" ht="18" hidden="1" customHeight="1" x14ac:dyDescent="0.25">
      <c r="B79" s="314"/>
      <c r="C79" s="305"/>
      <c r="D79" s="305"/>
      <c r="E79" s="305"/>
      <c r="F79" s="305"/>
      <c r="G79" s="306"/>
      <c r="H79" s="307"/>
      <c r="I79" s="308"/>
      <c r="J79" s="309"/>
      <c r="K79" s="310"/>
      <c r="L79" s="310"/>
      <c r="M79" s="310"/>
      <c r="N79" s="310"/>
      <c r="O79" s="310"/>
      <c r="P79" s="311"/>
      <c r="Q79" s="297">
        <v>3</v>
      </c>
      <c r="R79" s="298" t="s">
        <v>111</v>
      </c>
      <c r="S79" s="299"/>
      <c r="T79" s="299"/>
      <c r="U79" s="300"/>
      <c r="V79" s="301">
        <v>41696</v>
      </c>
      <c r="W79" s="297" t="s">
        <v>107</v>
      </c>
      <c r="X79" s="297">
        <v>1</v>
      </c>
      <c r="Y79" s="302">
        <v>44305</v>
      </c>
      <c r="Z79" s="7" t="s">
        <v>19</v>
      </c>
      <c r="AA79" s="7"/>
    </row>
    <row r="80" spans="2:27" s="303" customFormat="1" ht="18" hidden="1" customHeight="1" x14ac:dyDescent="0.25">
      <c r="B80" s="314"/>
      <c r="C80" s="305"/>
      <c r="D80" s="305"/>
      <c r="E80" s="305"/>
      <c r="F80" s="305"/>
      <c r="G80" s="306"/>
      <c r="H80" s="307"/>
      <c r="I80" s="308"/>
      <c r="J80" s="309"/>
      <c r="K80" s="310"/>
      <c r="L80" s="310"/>
      <c r="M80" s="310"/>
      <c r="N80" s="310"/>
      <c r="O80" s="310"/>
      <c r="P80" s="311"/>
      <c r="Q80" s="297">
        <v>2</v>
      </c>
      <c r="R80" s="298" t="s">
        <v>112</v>
      </c>
      <c r="S80" s="299"/>
      <c r="T80" s="299"/>
      <c r="U80" s="300"/>
      <c r="V80" s="301">
        <v>41697</v>
      </c>
      <c r="W80" s="297"/>
      <c r="X80" s="297"/>
      <c r="Y80" s="302"/>
      <c r="Z80" s="7"/>
      <c r="AA80" s="7"/>
    </row>
    <row r="81" spans="2:27" s="303" customFormat="1" ht="18" hidden="1" customHeight="1" x14ac:dyDescent="0.25">
      <c r="B81" s="314"/>
      <c r="C81" s="305"/>
      <c r="D81" s="305"/>
      <c r="E81" s="305"/>
      <c r="F81" s="305"/>
      <c r="G81" s="306"/>
      <c r="H81" s="307"/>
      <c r="I81" s="308"/>
      <c r="J81" s="309"/>
      <c r="K81" s="310"/>
      <c r="L81" s="310"/>
      <c r="M81" s="310"/>
      <c r="N81" s="310"/>
      <c r="O81" s="310"/>
      <c r="P81" s="311"/>
      <c r="Q81" s="297">
        <v>1</v>
      </c>
      <c r="R81" s="298"/>
      <c r="S81" s="299"/>
      <c r="T81" s="299"/>
      <c r="U81" s="300"/>
      <c r="V81" s="301"/>
      <c r="W81" s="297"/>
      <c r="X81" s="297"/>
      <c r="Y81" s="302"/>
      <c r="Z81" s="7"/>
      <c r="AA81" s="7"/>
    </row>
    <row r="82" spans="2:27" s="303" customFormat="1" ht="18" customHeight="1" x14ac:dyDescent="0.25">
      <c r="B82" s="314"/>
      <c r="C82" s="305"/>
      <c r="D82" s="305"/>
      <c r="E82" s="305"/>
      <c r="F82" s="305"/>
      <c r="G82" s="306"/>
      <c r="H82" s="307"/>
      <c r="I82" s="308"/>
      <c r="J82" s="309"/>
      <c r="K82" s="310"/>
      <c r="L82" s="310"/>
      <c r="M82" s="310"/>
      <c r="N82" s="310"/>
      <c r="O82" s="310"/>
      <c r="P82" s="311"/>
      <c r="Q82" s="297">
        <v>0</v>
      </c>
      <c r="R82" s="298" t="s">
        <v>113</v>
      </c>
      <c r="S82" s="299"/>
      <c r="T82" s="299"/>
      <c r="U82" s="300"/>
      <c r="V82" s="301">
        <v>41699</v>
      </c>
      <c r="W82" s="297" t="s">
        <v>114</v>
      </c>
      <c r="X82" s="297"/>
      <c r="Y82" s="302"/>
      <c r="Z82" s="7"/>
      <c r="AA82" s="7"/>
    </row>
    <row r="83" spans="2:27" s="328" customFormat="1" ht="18" customHeight="1" x14ac:dyDescent="0.25">
      <c r="B83" s="315"/>
      <c r="C83" s="316"/>
      <c r="D83" s="316"/>
      <c r="E83" s="316"/>
      <c r="F83" s="316"/>
      <c r="G83" s="317"/>
      <c r="H83" s="318"/>
      <c r="I83" s="319"/>
      <c r="J83" s="320"/>
      <c r="K83" s="321"/>
      <c r="L83" s="321"/>
      <c r="M83" s="321"/>
      <c r="N83" s="321"/>
      <c r="O83" s="321"/>
      <c r="P83" s="322"/>
      <c r="Q83" s="323" t="s">
        <v>115</v>
      </c>
      <c r="R83" s="324" t="s">
        <v>116</v>
      </c>
      <c r="S83" s="325"/>
      <c r="T83" s="325"/>
      <c r="U83" s="326"/>
      <c r="V83" s="323" t="s">
        <v>12</v>
      </c>
      <c r="W83" s="323" t="s">
        <v>117</v>
      </c>
      <c r="X83" s="323" t="s">
        <v>118</v>
      </c>
      <c r="Y83" s="323" t="s">
        <v>119</v>
      </c>
      <c r="Z83" s="327" t="s">
        <v>117</v>
      </c>
      <c r="AA83" s="327"/>
    </row>
  </sheetData>
  <mergeCells count="200">
    <mergeCell ref="R82:U82"/>
    <mergeCell ref="Z82:AA82"/>
    <mergeCell ref="R83:U83"/>
    <mergeCell ref="Z83:AA83"/>
    <mergeCell ref="F29:G29"/>
    <mergeCell ref="F30:G30"/>
    <mergeCell ref="Z78:AA78"/>
    <mergeCell ref="R79:U79"/>
    <mergeCell ref="Z79:AA79"/>
    <mergeCell ref="R80:U80"/>
    <mergeCell ref="Z80:AA80"/>
    <mergeCell ref="R81:U81"/>
    <mergeCell ref="Z81:AA81"/>
    <mergeCell ref="B75:G83"/>
    <mergeCell ref="H75:I83"/>
    <mergeCell ref="J75:P83"/>
    <mergeCell ref="R75:U75"/>
    <mergeCell ref="Z75:AA75"/>
    <mergeCell ref="R76:U76"/>
    <mergeCell ref="Z76:AA76"/>
    <mergeCell ref="R77:U77"/>
    <mergeCell ref="Z77:AA77"/>
    <mergeCell ref="R78:U78"/>
    <mergeCell ref="D72:F72"/>
    <mergeCell ref="G72:I72"/>
    <mergeCell ref="K72:O72"/>
    <mergeCell ref="Q72:S72"/>
    <mergeCell ref="T72:V72"/>
    <mergeCell ref="W72:Y72"/>
    <mergeCell ref="D68:F70"/>
    <mergeCell ref="G68:I70"/>
    <mergeCell ref="K68:O70"/>
    <mergeCell ref="Q68:S70"/>
    <mergeCell ref="T68:V70"/>
    <mergeCell ref="W68:Y70"/>
    <mergeCell ref="D67:F67"/>
    <mergeCell ref="G67:I67"/>
    <mergeCell ref="K67:O67"/>
    <mergeCell ref="Q67:S67"/>
    <mergeCell ref="T67:V67"/>
    <mergeCell ref="W67:Y67"/>
    <mergeCell ref="D66:F66"/>
    <mergeCell ref="G66:I66"/>
    <mergeCell ref="K66:O66"/>
    <mergeCell ref="Q66:S66"/>
    <mergeCell ref="T66:V66"/>
    <mergeCell ref="W66:Y66"/>
    <mergeCell ref="W59:Y60"/>
    <mergeCell ref="C60:E60"/>
    <mergeCell ref="H60:I60"/>
    <mergeCell ref="L60:M60"/>
    <mergeCell ref="N60:P60"/>
    <mergeCell ref="C61:M61"/>
    <mergeCell ref="N61:P61"/>
    <mergeCell ref="C59:E59"/>
    <mergeCell ref="H59:I59"/>
    <mergeCell ref="L59:M59"/>
    <mergeCell ref="N59:P59"/>
    <mergeCell ref="S59:U60"/>
    <mergeCell ref="V59:V60"/>
    <mergeCell ref="N57:P57"/>
    <mergeCell ref="S57:U58"/>
    <mergeCell ref="V57:V58"/>
    <mergeCell ref="W57:Y58"/>
    <mergeCell ref="H58:I58"/>
    <mergeCell ref="L58:M58"/>
    <mergeCell ref="N58:P58"/>
    <mergeCell ref="C44:X45"/>
    <mergeCell ref="C55:E58"/>
    <mergeCell ref="F55:I56"/>
    <mergeCell ref="J55:M56"/>
    <mergeCell ref="N55:P56"/>
    <mergeCell ref="S55:U56"/>
    <mergeCell ref="V55:V56"/>
    <mergeCell ref="W55:Y56"/>
    <mergeCell ref="H57:I57"/>
    <mergeCell ref="L57:M57"/>
    <mergeCell ref="Q39:R40"/>
    <mergeCell ref="S39:T40"/>
    <mergeCell ref="U39:V40"/>
    <mergeCell ref="W39:X40"/>
    <mergeCell ref="Y39:Z40"/>
    <mergeCell ref="C40:L40"/>
    <mergeCell ref="D39:E39"/>
    <mergeCell ref="F39:G39"/>
    <mergeCell ref="H39:I39"/>
    <mergeCell ref="J39:L39"/>
    <mergeCell ref="M39:N40"/>
    <mergeCell ref="O39:P40"/>
    <mergeCell ref="F37:G37"/>
    <mergeCell ref="H37:I37"/>
    <mergeCell ref="J37:L37"/>
    <mergeCell ref="D38:E38"/>
    <mergeCell ref="F38:G38"/>
    <mergeCell ref="H38:I38"/>
    <mergeCell ref="J38:L38"/>
    <mergeCell ref="Y34:Z38"/>
    <mergeCell ref="D35:E35"/>
    <mergeCell ref="F35:G35"/>
    <mergeCell ref="H35:I35"/>
    <mergeCell ref="J35:L35"/>
    <mergeCell ref="D36:E36"/>
    <mergeCell ref="F36:G36"/>
    <mergeCell ref="H36:I36"/>
    <mergeCell ref="J36:L36"/>
    <mergeCell ref="D37:E37"/>
    <mergeCell ref="M34:N38"/>
    <mergeCell ref="O34:P38"/>
    <mergeCell ref="Q34:R38"/>
    <mergeCell ref="S34:T38"/>
    <mergeCell ref="U34:V38"/>
    <mergeCell ref="W34:X38"/>
    <mergeCell ref="F33:G33"/>
    <mergeCell ref="H33:I33"/>
    <mergeCell ref="J33:L33"/>
    <mergeCell ref="D34:E34"/>
    <mergeCell ref="F34:G34"/>
    <mergeCell ref="H34:I34"/>
    <mergeCell ref="J34:L34"/>
    <mergeCell ref="Q31:R33"/>
    <mergeCell ref="S31:T33"/>
    <mergeCell ref="U31:V33"/>
    <mergeCell ref="W31:X33"/>
    <mergeCell ref="Y31:Z33"/>
    <mergeCell ref="D32:E32"/>
    <mergeCell ref="F32:G32"/>
    <mergeCell ref="H32:I32"/>
    <mergeCell ref="J32:L32"/>
    <mergeCell ref="D33:E33"/>
    <mergeCell ref="W29:X30"/>
    <mergeCell ref="Y29:Z30"/>
    <mergeCell ref="D30:E30"/>
    <mergeCell ref="H30:I30"/>
    <mergeCell ref="D31:E31"/>
    <mergeCell ref="F31:G31"/>
    <mergeCell ref="H31:I31"/>
    <mergeCell ref="J31:L31"/>
    <mergeCell ref="M31:N33"/>
    <mergeCell ref="O31:P33"/>
    <mergeCell ref="W28:X28"/>
    <mergeCell ref="Y28:Z28"/>
    <mergeCell ref="D29:E29"/>
    <mergeCell ref="H29:I29"/>
    <mergeCell ref="J29:L29"/>
    <mergeCell ref="M29:N30"/>
    <mergeCell ref="O29:P30"/>
    <mergeCell ref="Q29:R30"/>
    <mergeCell ref="S29:T30"/>
    <mergeCell ref="U29:V30"/>
    <mergeCell ref="O25:P28"/>
    <mergeCell ref="Q25:R28"/>
    <mergeCell ref="S25:T28"/>
    <mergeCell ref="U25:V26"/>
    <mergeCell ref="W25:X26"/>
    <mergeCell ref="Y25:Z26"/>
    <mergeCell ref="U27:V27"/>
    <mergeCell ref="W27:X27"/>
    <mergeCell ref="Y27:Z27"/>
    <mergeCell ref="U28:V28"/>
    <mergeCell ref="C25:C28"/>
    <mergeCell ref="D25:E28"/>
    <mergeCell ref="F25:G28"/>
    <mergeCell ref="H25:I28"/>
    <mergeCell ref="J25:L28"/>
    <mergeCell ref="M25:N28"/>
    <mergeCell ref="O13:Z14"/>
    <mergeCell ref="K19:O19"/>
    <mergeCell ref="C24:L24"/>
    <mergeCell ref="O24:P24"/>
    <mergeCell ref="Q24:R24"/>
    <mergeCell ref="S24:T24"/>
    <mergeCell ref="U24:V24"/>
    <mergeCell ref="W24:X24"/>
    <mergeCell ref="Y24:Z24"/>
    <mergeCell ref="C11:E11"/>
    <mergeCell ref="G11:J11"/>
    <mergeCell ref="K11:L11"/>
    <mergeCell ref="O11:Z12"/>
    <mergeCell ref="C12:E12"/>
    <mergeCell ref="G12:J12"/>
    <mergeCell ref="K12:L12"/>
    <mergeCell ref="B7:AA7"/>
    <mergeCell ref="C8:E8"/>
    <mergeCell ref="G8:L8"/>
    <mergeCell ref="O8:Z8"/>
    <mergeCell ref="C9:E9"/>
    <mergeCell ref="G9:J10"/>
    <mergeCell ref="K9:L10"/>
    <mergeCell ref="O9:Z10"/>
    <mergeCell ref="C10:E10"/>
    <mergeCell ref="S2:T2"/>
    <mergeCell ref="U2:V2"/>
    <mergeCell ref="W2:X2"/>
    <mergeCell ref="Y2:AA2"/>
    <mergeCell ref="B3:J6"/>
    <mergeCell ref="S3:AA5"/>
    <mergeCell ref="S6:T6"/>
    <mergeCell ref="U6:V6"/>
    <mergeCell ref="W6:X6"/>
    <mergeCell ref="Y6:AA6"/>
  </mergeCells>
  <printOptions horizontalCentered="1" verticalCentered="1"/>
  <pageMargins left="0" right="0" top="0" bottom="0" header="0" footer="0"/>
  <pageSetup paperSize="9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REV.7</vt:lpstr>
      <vt:lpstr>REV.7!Print_Area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GA-03@sami.co.id</dc:creator>
  <cp:lastModifiedBy>GA-03@sami.co.id</cp:lastModifiedBy>
  <cp:lastPrinted>2024-06-18T06:00:35Z</cp:lastPrinted>
  <dcterms:created xsi:type="dcterms:W3CDTF">2024-06-18T05:55:00Z</dcterms:created>
  <dcterms:modified xsi:type="dcterms:W3CDTF">2024-06-18T06:22:49Z</dcterms:modified>
</cp:coreProperties>
</file>