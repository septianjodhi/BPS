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22995" windowHeight="9525"/>
  </bookViews>
  <sheets>
    <sheet name="ABT" sheetId="1" r:id="rId1"/>
    <sheet name="IMB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32" i="1" l="1"/>
  <c r="J31" i="1"/>
  <c r="J30" i="1"/>
  <c r="J29" i="1"/>
  <c r="J28" i="1"/>
  <c r="J27" i="1"/>
  <c r="J26" i="1"/>
  <c r="J13" i="1"/>
  <c r="J19" i="1" s="1"/>
  <c r="L12" i="1" s="1"/>
  <c r="L20" i="1" s="1"/>
  <c r="L21" i="1" s="1"/>
  <c r="J14" i="1"/>
  <c r="J15" i="1"/>
  <c r="J16" i="1"/>
  <c r="J17" i="1"/>
  <c r="J18" i="1"/>
  <c r="J12" i="1"/>
  <c r="C24" i="1"/>
  <c r="B24" i="1"/>
  <c r="J33" i="1" l="1"/>
  <c r="L26" i="1" s="1"/>
  <c r="L34" i="1"/>
  <c r="L35" i="1" s="1"/>
</calcChain>
</file>

<file path=xl/sharedStrings.xml><?xml version="1.0" encoding="utf-8"?>
<sst xmlns="http://schemas.openxmlformats.org/spreadsheetml/2006/main" count="63" uniqueCount="35">
  <si>
    <t>Rata-rata</t>
  </si>
  <si>
    <t>0 - 100</t>
  </si>
  <si>
    <t>101 - 500</t>
  </si>
  <si>
    <t>501 - 1000</t>
  </si>
  <si>
    <t>1001 - 2500</t>
  </si>
  <si>
    <t>2501 - 5000</t>
  </si>
  <si>
    <t>5001 - 10000</t>
  </si>
  <si>
    <t>&gt; 10000</t>
  </si>
  <si>
    <t>:</t>
  </si>
  <si>
    <t xml:space="preserve">pengurangan : </t>
  </si>
  <si>
    <t>Jumlah Pajak</t>
  </si>
  <si>
    <t>tarif
4</t>
  </si>
  <si>
    <t>nilai perolehan
3 = 1x2</t>
  </si>
  <si>
    <t>harga dasar
2</t>
  </si>
  <si>
    <t>voume
1</t>
  </si>
  <si>
    <t>pajak terutang
5 = 3x4</t>
  </si>
  <si>
    <t>peraturan kepala bapenda</t>
  </si>
  <si>
    <t>545.2/1264 tahun 2019</t>
  </si>
  <si>
    <t>545.2/405 tahun 2020</t>
  </si>
  <si>
    <t>industri besar</t>
  </si>
  <si>
    <t>kec. Tugu</t>
  </si>
  <si>
    <t>SIMULASI PENGHITUNGAN PAJAK AIR TANAH 2020</t>
  </si>
  <si>
    <t>bulan</t>
  </si>
  <si>
    <t>NAMA BANGUNAN</t>
  </si>
  <si>
    <t>RETRIBUSI</t>
  </si>
  <si>
    <t>METRO 1</t>
  </si>
  <si>
    <t>KELAS A</t>
  </si>
  <si>
    <t>POS SECURITY</t>
  </si>
  <si>
    <r>
      <t>LUAS
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</si>
  <si>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sumur 1
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</si>
  <si>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sumur 2
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</si>
  <si>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sumur 1 = 366 m</t>
    </r>
    <r>
      <rPr>
        <b/>
        <vertAlign val="superscript"/>
        <sz val="12"/>
        <color theme="1"/>
        <rFont val="Calibri"/>
        <family val="2"/>
        <scheme val="minor"/>
      </rPr>
      <t>3</t>
    </r>
  </si>
  <si>
    <r>
      <t>sumur 2 = 630 m</t>
    </r>
    <r>
      <rPr>
        <b/>
        <vertAlign val="superscript"/>
        <sz val="12"/>
        <color theme="1"/>
        <rFont val="Calibri"/>
        <family val="2"/>
        <scheme val="minor"/>
      </rPr>
      <t>3</t>
    </r>
  </si>
  <si>
    <t>RETRIBUSI IMB</t>
  </si>
  <si>
    <t>Dgn di tetapkannya Perka Bapenda 545.2/405 thn 2020 tanggal 3 Feb 2020 maka Perka 545.2/1264 tahun 2019 dicabut dan dinyatakan tidak berlaku.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</si>
</sst>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41" fontId="0" fillId="0" borderId="0" xfId="0" applyNumberFormat="1"/>
    <xf numFmtId="0" fontId="4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/>
    </xf>
    <xf numFmtId="0" fontId="5" fillId="0" borderId="0" xfId="0" applyFont="1"/>
    <xf numFmtId="41" fontId="0" fillId="0" borderId="1" xfId="1" applyFont="1" applyBorder="1"/>
    <xf numFmtId="41" fontId="3" fillId="0" borderId="1" xfId="1" applyFont="1" applyBorder="1"/>
    <xf numFmtId="41" fontId="3" fillId="0" borderId="1" xfId="0" applyNumberFormat="1" applyFont="1" applyBorder="1"/>
    <xf numFmtId="0" fontId="2" fillId="0" borderId="1" xfId="0" applyFont="1" applyBorder="1"/>
    <xf numFmtId="41" fontId="4" fillId="0" borderId="1" xfId="0" applyNumberFormat="1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1" fontId="0" fillId="0" borderId="13" xfId="1" applyFont="1" applyBorder="1"/>
    <xf numFmtId="41" fontId="0" fillId="0" borderId="14" xfId="1" applyFont="1" applyBorder="1"/>
    <xf numFmtId="41" fontId="0" fillId="0" borderId="15" xfId="1" applyFont="1" applyBorder="1"/>
    <xf numFmtId="41" fontId="0" fillId="0" borderId="16" xfId="1" applyFont="1" applyBorder="1"/>
    <xf numFmtId="17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" fontId="4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2" fillId="0" borderId="17" xfId="0" applyFont="1" applyBorder="1"/>
    <xf numFmtId="0" fontId="0" fillId="0" borderId="19" xfId="0" applyBorder="1"/>
    <xf numFmtId="9" fontId="0" fillId="0" borderId="18" xfId="0" applyNumberFormat="1" applyBorder="1" applyAlignment="1">
      <alignment horizontal="left"/>
    </xf>
    <xf numFmtId="0" fontId="8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35"/>
  <sheetViews>
    <sheetView tabSelected="1" workbookViewId="0">
      <selection activeCell="H3" sqref="H3"/>
    </sheetView>
  </sheetViews>
  <sheetFormatPr defaultRowHeight="15" x14ac:dyDescent="0.25"/>
  <cols>
    <col min="1" max="1" width="13.28515625" bestFit="1" customWidth="1"/>
    <col min="2" max="3" width="13.140625" customWidth="1"/>
    <col min="6" max="6" width="11.5703125" bestFit="1" customWidth="1"/>
    <col min="7" max="7" width="2" customWidth="1"/>
    <col min="9" max="9" width="11" bestFit="1" customWidth="1"/>
    <col min="10" max="10" width="14.5703125" bestFit="1" customWidth="1"/>
    <col min="12" max="12" width="13.85546875" bestFit="1" customWidth="1"/>
  </cols>
  <sheetData>
    <row r="2" spans="1:12" ht="21" customHeight="1" x14ac:dyDescent="0.25">
      <c r="B2" s="38" t="s">
        <v>16</v>
      </c>
      <c r="C2" s="38"/>
    </row>
    <row r="3" spans="1:12" ht="30" x14ac:dyDescent="0.25">
      <c r="B3" s="5" t="s">
        <v>17</v>
      </c>
      <c r="C3" s="5" t="s">
        <v>18</v>
      </c>
    </row>
    <row r="4" spans="1:12" ht="20.25" customHeight="1" x14ac:dyDescent="0.25">
      <c r="B4" s="5" t="s">
        <v>20</v>
      </c>
      <c r="C4" s="5" t="s">
        <v>20</v>
      </c>
    </row>
    <row r="5" spans="1:12" ht="21" customHeight="1" x14ac:dyDescent="0.25">
      <c r="A5" s="4" t="s">
        <v>19</v>
      </c>
      <c r="B5" s="6">
        <v>0.15</v>
      </c>
      <c r="C5" s="6">
        <v>0.1</v>
      </c>
    </row>
    <row r="7" spans="1:12" ht="15.75" x14ac:dyDescent="0.25">
      <c r="A7" s="7" t="s">
        <v>34</v>
      </c>
    </row>
    <row r="9" spans="1:12" x14ac:dyDescent="0.25">
      <c r="F9" s="1" t="s">
        <v>21</v>
      </c>
    </row>
    <row r="10" spans="1:12" ht="18" x14ac:dyDescent="0.25">
      <c r="F10" s="3" t="s">
        <v>31</v>
      </c>
    </row>
    <row r="11" spans="1:12" ht="32.25" x14ac:dyDescent="0.25">
      <c r="A11" s="28" t="s">
        <v>22</v>
      </c>
      <c r="B11" s="30" t="s">
        <v>29</v>
      </c>
      <c r="C11" s="30" t="s">
        <v>30</v>
      </c>
      <c r="F11" s="39" t="s">
        <v>14</v>
      </c>
      <c r="G11" s="40"/>
      <c r="H11" s="40"/>
      <c r="I11" s="30" t="s">
        <v>13</v>
      </c>
      <c r="J11" s="30" t="s">
        <v>12</v>
      </c>
      <c r="K11" s="30" t="s">
        <v>11</v>
      </c>
      <c r="L11" s="30" t="s">
        <v>15</v>
      </c>
    </row>
    <row r="12" spans="1:12" x14ac:dyDescent="0.25">
      <c r="A12" s="27">
        <v>43466</v>
      </c>
      <c r="B12" s="4">
        <v>302</v>
      </c>
      <c r="C12" s="4">
        <v>681</v>
      </c>
      <c r="F12" s="14" t="s">
        <v>1</v>
      </c>
      <c r="G12" s="15" t="s">
        <v>8</v>
      </c>
      <c r="H12" s="16">
        <v>100</v>
      </c>
      <c r="I12" s="23">
        <v>12800</v>
      </c>
      <c r="J12" s="23">
        <f>+H12*I12</f>
        <v>1280000</v>
      </c>
      <c r="K12" s="41">
        <v>0.2</v>
      </c>
      <c r="L12" s="43">
        <f>+K12*J19</f>
        <v>942280</v>
      </c>
    </row>
    <row r="13" spans="1:12" x14ac:dyDescent="0.25">
      <c r="A13" s="27">
        <v>43497</v>
      </c>
      <c r="B13" s="4">
        <v>562</v>
      </c>
      <c r="C13" s="4">
        <v>556</v>
      </c>
      <c r="F13" s="17" t="s">
        <v>2</v>
      </c>
      <c r="G13" s="18" t="s">
        <v>8</v>
      </c>
      <c r="H13" s="19">
        <v>266</v>
      </c>
      <c r="I13" s="24">
        <v>12900</v>
      </c>
      <c r="J13" s="24">
        <f t="shared" ref="J13:J18" si="0">+H13*I13</f>
        <v>3431400</v>
      </c>
      <c r="K13" s="41"/>
      <c r="L13" s="38"/>
    </row>
    <row r="14" spans="1:12" x14ac:dyDescent="0.25">
      <c r="A14" s="27">
        <v>43525</v>
      </c>
      <c r="B14" s="4">
        <v>361</v>
      </c>
      <c r="C14" s="4">
        <v>619</v>
      </c>
      <c r="F14" s="17" t="s">
        <v>3</v>
      </c>
      <c r="G14" s="18" t="s">
        <v>8</v>
      </c>
      <c r="H14" s="19"/>
      <c r="I14" s="24">
        <v>13000</v>
      </c>
      <c r="J14" s="24">
        <f t="shared" si="0"/>
        <v>0</v>
      </c>
      <c r="K14" s="41"/>
      <c r="L14" s="38"/>
    </row>
    <row r="15" spans="1:12" x14ac:dyDescent="0.25">
      <c r="A15" s="27">
        <v>43556</v>
      </c>
      <c r="B15" s="4">
        <v>728</v>
      </c>
      <c r="C15" s="4">
        <v>624</v>
      </c>
      <c r="F15" s="17" t="s">
        <v>4</v>
      </c>
      <c r="G15" s="18" t="s">
        <v>8</v>
      </c>
      <c r="H15" s="19"/>
      <c r="I15" s="24">
        <v>13100</v>
      </c>
      <c r="J15" s="24">
        <f t="shared" si="0"/>
        <v>0</v>
      </c>
      <c r="K15" s="41"/>
      <c r="L15" s="38"/>
    </row>
    <row r="16" spans="1:12" x14ac:dyDescent="0.25">
      <c r="A16" s="27">
        <v>43586</v>
      </c>
      <c r="B16" s="4">
        <v>712</v>
      </c>
      <c r="C16" s="4">
        <v>614</v>
      </c>
      <c r="F16" s="17" t="s">
        <v>5</v>
      </c>
      <c r="G16" s="18" t="s">
        <v>8</v>
      </c>
      <c r="H16" s="19"/>
      <c r="I16" s="24">
        <v>13200</v>
      </c>
      <c r="J16" s="24">
        <f t="shared" si="0"/>
        <v>0</v>
      </c>
      <c r="K16" s="41"/>
      <c r="L16" s="38"/>
    </row>
    <row r="17" spans="1:12" x14ac:dyDescent="0.25">
      <c r="A17" s="27">
        <v>43617</v>
      </c>
      <c r="B17" s="4">
        <v>470</v>
      </c>
      <c r="C17" s="4">
        <v>960</v>
      </c>
      <c r="F17" s="17" t="s">
        <v>6</v>
      </c>
      <c r="G17" s="18" t="s">
        <v>8</v>
      </c>
      <c r="H17" s="19"/>
      <c r="I17" s="24">
        <v>13300</v>
      </c>
      <c r="J17" s="24">
        <f t="shared" si="0"/>
        <v>0</v>
      </c>
      <c r="K17" s="41"/>
      <c r="L17" s="38"/>
    </row>
    <row r="18" spans="1:12" x14ac:dyDescent="0.25">
      <c r="A18" s="27">
        <v>43647</v>
      </c>
      <c r="B18" s="4">
        <v>284</v>
      </c>
      <c r="C18" s="4">
        <v>838</v>
      </c>
      <c r="F18" s="17" t="s">
        <v>7</v>
      </c>
      <c r="G18" s="18" t="s">
        <v>8</v>
      </c>
      <c r="H18" s="19"/>
      <c r="I18" s="24">
        <v>13400</v>
      </c>
      <c r="J18" s="26">
        <f t="shared" si="0"/>
        <v>0</v>
      </c>
      <c r="K18" s="42"/>
      <c r="L18" s="44"/>
    </row>
    <row r="19" spans="1:12" x14ac:dyDescent="0.25">
      <c r="A19" s="27">
        <v>43678</v>
      </c>
      <c r="B19" s="4">
        <v>18</v>
      </c>
      <c r="C19" s="4">
        <v>644</v>
      </c>
      <c r="F19" s="20"/>
      <c r="G19" s="21"/>
      <c r="H19" s="22"/>
      <c r="I19" s="25"/>
      <c r="J19" s="9">
        <f>SUM(J12:J18)</f>
        <v>4711400</v>
      </c>
      <c r="K19" s="13"/>
      <c r="L19" s="13"/>
    </row>
    <row r="20" spans="1:12" x14ac:dyDescent="0.25">
      <c r="A20" s="27">
        <v>43709</v>
      </c>
      <c r="B20" s="4">
        <v>493</v>
      </c>
      <c r="C20" s="4">
        <v>638</v>
      </c>
      <c r="F20" s="31" t="s">
        <v>9</v>
      </c>
      <c r="G20" s="32"/>
      <c r="H20" s="35">
        <v>0.1</v>
      </c>
      <c r="I20" s="32"/>
      <c r="J20" s="32"/>
      <c r="K20" s="34"/>
      <c r="L20" s="10">
        <f>+H20*L12</f>
        <v>94228</v>
      </c>
    </row>
    <row r="21" spans="1:12" ht="15.75" x14ac:dyDescent="0.25">
      <c r="A21" s="27">
        <v>43739</v>
      </c>
      <c r="B21" s="4">
        <v>434</v>
      </c>
      <c r="C21" s="4">
        <v>614</v>
      </c>
      <c r="F21" s="33" t="s">
        <v>10</v>
      </c>
      <c r="G21" s="32"/>
      <c r="H21" s="32"/>
      <c r="I21" s="32"/>
      <c r="J21" s="32"/>
      <c r="K21" s="34"/>
      <c r="L21" s="12">
        <f>+L12-L20</f>
        <v>848052</v>
      </c>
    </row>
    <row r="22" spans="1:12" x14ac:dyDescent="0.25">
      <c r="A22" s="27">
        <v>43770</v>
      </c>
      <c r="B22" s="4">
        <v>28</v>
      </c>
      <c r="C22" s="4">
        <v>376</v>
      </c>
    </row>
    <row r="23" spans="1:12" x14ac:dyDescent="0.25">
      <c r="A23" s="27">
        <v>43800</v>
      </c>
      <c r="B23" s="4">
        <v>0</v>
      </c>
      <c r="C23" s="4">
        <v>394</v>
      </c>
    </row>
    <row r="24" spans="1:12" ht="18" x14ac:dyDescent="0.25">
      <c r="A24" s="11" t="s">
        <v>0</v>
      </c>
      <c r="B24" s="29">
        <f>AVERAGE(B12:B23)</f>
        <v>366</v>
      </c>
      <c r="C24" s="29">
        <f>AVERAGE(C12:C23)</f>
        <v>629.83333333333337</v>
      </c>
      <c r="F24" s="3" t="s">
        <v>32</v>
      </c>
    </row>
    <row r="25" spans="1:12" ht="29.25" customHeight="1" x14ac:dyDescent="0.25">
      <c r="F25" s="39" t="s">
        <v>14</v>
      </c>
      <c r="G25" s="40"/>
      <c r="H25" s="40"/>
      <c r="I25" s="30" t="s">
        <v>13</v>
      </c>
      <c r="J25" s="30" t="s">
        <v>12</v>
      </c>
      <c r="K25" s="30" t="s">
        <v>11</v>
      </c>
      <c r="L25" s="30" t="s">
        <v>15</v>
      </c>
    </row>
    <row r="26" spans="1:12" x14ac:dyDescent="0.25">
      <c r="F26" s="14" t="s">
        <v>1</v>
      </c>
      <c r="G26" s="15" t="s">
        <v>8</v>
      </c>
      <c r="H26" s="16">
        <v>100</v>
      </c>
      <c r="I26" s="23">
        <v>12800</v>
      </c>
      <c r="J26" s="23">
        <f>+H26*I26</f>
        <v>1280000</v>
      </c>
      <c r="K26" s="41">
        <v>0.2</v>
      </c>
      <c r="L26" s="43">
        <f>+K26*J33</f>
        <v>1626000</v>
      </c>
    </row>
    <row r="27" spans="1:12" x14ac:dyDescent="0.25">
      <c r="F27" s="17" t="s">
        <v>2</v>
      </c>
      <c r="G27" s="18" t="s">
        <v>8</v>
      </c>
      <c r="H27" s="19">
        <v>400</v>
      </c>
      <c r="I27" s="24">
        <v>12900</v>
      </c>
      <c r="J27" s="24">
        <f t="shared" ref="J27:J32" si="1">+H27*I27</f>
        <v>5160000</v>
      </c>
      <c r="K27" s="41"/>
      <c r="L27" s="38"/>
    </row>
    <row r="28" spans="1:12" x14ac:dyDescent="0.25">
      <c r="F28" s="17" t="s">
        <v>3</v>
      </c>
      <c r="G28" s="18" t="s">
        <v>8</v>
      </c>
      <c r="H28" s="19">
        <v>130</v>
      </c>
      <c r="I28" s="24">
        <v>13000</v>
      </c>
      <c r="J28" s="24">
        <f t="shared" si="1"/>
        <v>1690000</v>
      </c>
      <c r="K28" s="41"/>
      <c r="L28" s="38"/>
    </row>
    <row r="29" spans="1:12" x14ac:dyDescent="0.25">
      <c r="F29" s="17" t="s">
        <v>4</v>
      </c>
      <c r="G29" s="18" t="s">
        <v>8</v>
      </c>
      <c r="H29" s="19"/>
      <c r="I29" s="24">
        <v>13100</v>
      </c>
      <c r="J29" s="24">
        <f t="shared" si="1"/>
        <v>0</v>
      </c>
      <c r="K29" s="41"/>
      <c r="L29" s="38"/>
    </row>
    <row r="30" spans="1:12" x14ac:dyDescent="0.25">
      <c r="F30" s="17" t="s">
        <v>5</v>
      </c>
      <c r="G30" s="18" t="s">
        <v>8</v>
      </c>
      <c r="H30" s="19"/>
      <c r="I30" s="24">
        <v>13200</v>
      </c>
      <c r="J30" s="24">
        <f t="shared" si="1"/>
        <v>0</v>
      </c>
      <c r="K30" s="41"/>
      <c r="L30" s="38"/>
    </row>
    <row r="31" spans="1:12" x14ac:dyDescent="0.25">
      <c r="F31" s="17" t="s">
        <v>6</v>
      </c>
      <c r="G31" s="18" t="s">
        <v>8</v>
      </c>
      <c r="H31" s="19"/>
      <c r="I31" s="24">
        <v>13300</v>
      </c>
      <c r="J31" s="24">
        <f t="shared" si="1"/>
        <v>0</v>
      </c>
      <c r="K31" s="41"/>
      <c r="L31" s="38"/>
    </row>
    <row r="32" spans="1:12" x14ac:dyDescent="0.25">
      <c r="F32" s="17" t="s">
        <v>7</v>
      </c>
      <c r="G32" s="18" t="s">
        <v>8</v>
      </c>
      <c r="H32" s="19"/>
      <c r="I32" s="24">
        <v>13400</v>
      </c>
      <c r="J32" s="26">
        <f t="shared" si="1"/>
        <v>0</v>
      </c>
      <c r="K32" s="42"/>
      <c r="L32" s="44"/>
    </row>
    <row r="33" spans="6:12" x14ac:dyDescent="0.25">
      <c r="F33" s="20"/>
      <c r="G33" s="21"/>
      <c r="H33" s="22"/>
      <c r="I33" s="25"/>
      <c r="J33" s="9">
        <f>SUM(J26:J32)</f>
        <v>8130000</v>
      </c>
      <c r="K33" s="13"/>
      <c r="L33" s="13"/>
    </row>
    <row r="34" spans="6:12" x14ac:dyDescent="0.25">
      <c r="F34" s="31" t="s">
        <v>9</v>
      </c>
      <c r="G34" s="32"/>
      <c r="H34" s="35">
        <v>0.1</v>
      </c>
      <c r="I34" s="32"/>
      <c r="J34" s="32"/>
      <c r="K34" s="34"/>
      <c r="L34" s="10">
        <f>+H34*L26</f>
        <v>162600</v>
      </c>
    </row>
    <row r="35" spans="6:12" ht="15.75" x14ac:dyDescent="0.25">
      <c r="F35" s="33" t="s">
        <v>10</v>
      </c>
      <c r="G35" s="32"/>
      <c r="H35" s="32"/>
      <c r="I35" s="32"/>
      <c r="J35" s="32"/>
      <c r="K35" s="34"/>
      <c r="L35" s="12">
        <f>+L26-L34</f>
        <v>1463400</v>
      </c>
    </row>
  </sheetData>
  <mergeCells count="7">
    <mergeCell ref="K26:K32"/>
    <mergeCell ref="L26:L32"/>
    <mergeCell ref="B2:C2"/>
    <mergeCell ref="F11:H11"/>
    <mergeCell ref="K12:K18"/>
    <mergeCell ref="L12:L18"/>
    <mergeCell ref="F25:H25"/>
  </mergeCells>
  <pageMargins left="0.7" right="0.7" top="0.75" bottom="0.75" header="0.3" footer="0.3"/>
  <pageSetup scale="6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10"/>
  <sheetViews>
    <sheetView workbookViewId="0">
      <selection activeCell="H16" sqref="H16"/>
    </sheetView>
  </sheetViews>
  <sheetFormatPr defaultRowHeight="15" x14ac:dyDescent="0.25"/>
  <cols>
    <col min="1" max="1" width="18" bestFit="1" customWidth="1"/>
    <col min="3" max="3" width="11.140625" customWidth="1"/>
  </cols>
  <sheetData>
    <row r="4" spans="1:3" ht="18.75" x14ac:dyDescent="0.3">
      <c r="A4" s="36" t="s">
        <v>33</v>
      </c>
    </row>
    <row r="6" spans="1:3" ht="32.25" x14ac:dyDescent="0.25">
      <c r="A6" s="28" t="s">
        <v>23</v>
      </c>
      <c r="B6" s="30" t="s">
        <v>28</v>
      </c>
      <c r="C6" s="28" t="s">
        <v>24</v>
      </c>
    </row>
    <row r="7" spans="1:3" x14ac:dyDescent="0.25">
      <c r="A7" s="4" t="s">
        <v>25</v>
      </c>
      <c r="B7" s="37">
        <v>33</v>
      </c>
      <c r="C7" s="8">
        <v>1172800</v>
      </c>
    </row>
    <row r="8" spans="1:3" x14ac:dyDescent="0.25">
      <c r="A8" s="4" t="s">
        <v>26</v>
      </c>
      <c r="B8" s="37">
        <v>90</v>
      </c>
      <c r="C8" s="8">
        <v>3019900</v>
      </c>
    </row>
    <row r="9" spans="1:3" x14ac:dyDescent="0.25">
      <c r="A9" s="4" t="s">
        <v>27</v>
      </c>
      <c r="B9" s="37">
        <v>42</v>
      </c>
      <c r="C9" s="8">
        <v>1913000</v>
      </c>
    </row>
    <row r="10" spans="1:3" x14ac:dyDescent="0.25">
      <c r="C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ABT</vt:lpstr>
      <vt:lpstr>IMB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GA-08</dc:creator>
  <cp:lastModifiedBy>GA-06</cp:lastModifiedBy>
  <cp:lastPrinted>2020-02-25T09:12:31Z</cp:lastPrinted>
  <dcterms:created xsi:type="dcterms:W3CDTF">2020-02-25T05:24:35Z</dcterms:created>
  <dcterms:modified xsi:type="dcterms:W3CDTF">2020-02-25T09:12:46Z</dcterms:modified>
</cp:coreProperties>
</file>