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-06\Documents\"/>
    </mc:Choice>
  </mc:AlternateContent>
  <xr:revisionPtr revIDLastSave="0" documentId="13_ncr:1_{A66FC2E0-8BFF-4F11-B1B5-C32823F49500}" xr6:coauthVersionLast="47" xr6:coauthVersionMax="47" xr10:uidLastSave="{00000000-0000-0000-0000-000000000000}"/>
  <bookViews>
    <workbookView xWindow="-120" yWindow="-120" windowWidth="29040" windowHeight="15840" xr2:uid="{396F0934-E735-4695-85E1-0500DF7A64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1" l="1"/>
  <c r="D40" i="1"/>
  <c r="D38" i="1"/>
  <c r="D39" i="1"/>
  <c r="D37" i="1"/>
  <c r="D34" i="1"/>
  <c r="D32" i="1"/>
  <c r="D33" i="1"/>
  <c r="D31" i="1"/>
  <c r="D28" i="1"/>
  <c r="D26" i="1"/>
  <c r="D27" i="1"/>
  <c r="D25" i="1"/>
  <c r="K8" i="1"/>
  <c r="E13" i="1"/>
  <c r="C18" i="1"/>
  <c r="K9" i="1"/>
  <c r="M14" i="1"/>
  <c r="M16" i="1" s="1"/>
  <c r="M11" i="1"/>
  <c r="M9" i="1"/>
  <c r="M6" i="1"/>
  <c r="M7" i="1" s="1"/>
  <c r="I22" i="1"/>
  <c r="I18" i="1"/>
  <c r="I19" i="1" s="1"/>
  <c r="I14" i="1"/>
  <c r="I13" i="1"/>
  <c r="I8" i="1"/>
  <c r="D8" i="1"/>
  <c r="D6" i="1"/>
  <c r="M18" i="1" s="1"/>
  <c r="C9" i="1"/>
  <c r="F6" i="1" l="1"/>
  <c r="I11" i="1"/>
</calcChain>
</file>

<file path=xl/sharedStrings.xml><?xml version="1.0" encoding="utf-8"?>
<sst xmlns="http://schemas.openxmlformats.org/spreadsheetml/2006/main" count="12" uniqueCount="3">
  <si>
    <t>APR</t>
  </si>
  <si>
    <t>MBM</t>
  </si>
  <si>
    <t>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</si>
</sst>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555555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 vertical="center"/>
    </xf>
    <xf numFmtId="4" fontId="2" fillId="0" borderId="0" xfId="0" applyNumberFormat="1" applyFont="1"/>
    <xf numFmtId="43" fontId="0" fillId="2" borderId="0" xfId="1" applyFont="1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842D-4CF3-41FB-BCC3-E9E5C53E4BE0}">
  <dimension ref="A6:M42"/>
  <sheetViews>
    <sheetView tabSelected="1" topLeftCell="A13" workbookViewId="0">
      <selection activeCell="D43" sqref="D43"/>
    </sheetView>
  </sheetViews>
  <sheetFormatPr defaultRowHeight="15" x14ac:dyDescent="0.25"/>
  <cols>
    <col min="1" max="1" width="9.140625" style="1"/>
    <col min="2" max="3" width="13.28515625" style="1" bestFit="1" customWidth="1"/>
    <col min="4" max="4" width="14.28515625" style="1" bestFit="1" customWidth="1"/>
    <col min="5" max="5" width="14.7109375" style="1" customWidth="1"/>
    <col min="6" max="7" width="15" style="1" customWidth="1"/>
    <col min="8" max="8" width="9.140625" style="1"/>
    <col min="9" max="9" width="11.5703125" style="1" bestFit="1" customWidth="1"/>
    <col min="10" max="10" width="9.140625" style="1"/>
    <col min="11" max="11" width="11.5703125" style="1" bestFit="1" customWidth="1"/>
    <col min="12" max="12" width="9.140625" style="1"/>
    <col min="13" max="13" width="11.5703125" style="1" bestFit="1" customWidth="1"/>
    <col min="14" max="16384" width="9.140625" style="1"/>
  </cols>
  <sheetData>
    <row r="6" spans="2:13" x14ac:dyDescent="0.25">
      <c r="B6" s="1" t="s">
        <v>0</v>
      </c>
      <c r="C6" s="1">
        <v>202500</v>
      </c>
      <c r="D6" s="2">
        <f>SUM(C6:C7)</f>
        <v>405000</v>
      </c>
      <c r="E6" s="3">
        <v>270000</v>
      </c>
      <c r="F6" s="1">
        <f>D6-E6</f>
        <v>135000</v>
      </c>
      <c r="I6" s="1">
        <v>27500</v>
      </c>
      <c r="M6" s="1">
        <f>67500*4</f>
        <v>270000</v>
      </c>
    </row>
    <row r="7" spans="2:13" x14ac:dyDescent="0.25">
      <c r="B7" s="1" t="s">
        <v>1</v>
      </c>
      <c r="C7" s="1">
        <v>202500</v>
      </c>
      <c r="D7" s="2"/>
      <c r="I7" s="1">
        <v>40000</v>
      </c>
      <c r="M7" s="1">
        <f>M6+E6</f>
        <v>540000</v>
      </c>
    </row>
    <row r="8" spans="2:13" x14ac:dyDescent="0.25">
      <c r="B8" s="1" t="s">
        <v>2</v>
      </c>
      <c r="C8" s="1">
        <v>330000</v>
      </c>
      <c r="D8" s="1">
        <f>C8</f>
        <v>330000</v>
      </c>
      <c r="E8" s="3">
        <v>110000</v>
      </c>
      <c r="F8" s="1">
        <v>220000</v>
      </c>
      <c r="I8" s="1">
        <f>+I6+I7</f>
        <v>67500</v>
      </c>
      <c r="J8" s="1">
        <v>4</v>
      </c>
      <c r="K8" s="1">
        <f>I8*J8</f>
        <v>270000</v>
      </c>
    </row>
    <row r="9" spans="2:13" x14ac:dyDescent="0.25">
      <c r="C9" s="1">
        <f>SUM(C6:C8)</f>
        <v>735000</v>
      </c>
      <c r="K9" s="1">
        <f>K8+E6</f>
        <v>540000</v>
      </c>
      <c r="M9" s="1">
        <f>202500+202500</f>
        <v>405000</v>
      </c>
    </row>
    <row r="11" spans="2:13" x14ac:dyDescent="0.25">
      <c r="I11" s="1">
        <f>I8*3</f>
        <v>202500</v>
      </c>
      <c r="M11" s="1">
        <f>67500*4</f>
        <v>270000</v>
      </c>
    </row>
    <row r="13" spans="2:13" x14ac:dyDescent="0.25">
      <c r="E13" s="1">
        <f>270000+E6</f>
        <v>540000</v>
      </c>
      <c r="I13" s="1">
        <f>27000*3</f>
        <v>81000</v>
      </c>
    </row>
    <row r="14" spans="2:13" x14ac:dyDescent="0.25">
      <c r="I14" s="1">
        <f>82500+120000</f>
        <v>202500</v>
      </c>
      <c r="M14" s="1">
        <f>202500</f>
        <v>202500</v>
      </c>
    </row>
    <row r="15" spans="2:13" x14ac:dyDescent="0.25">
      <c r="M15" s="1">
        <v>202500</v>
      </c>
    </row>
    <row r="16" spans="2:13" x14ac:dyDescent="0.25">
      <c r="C16" s="1">
        <v>27500</v>
      </c>
      <c r="I16" s="1">
        <v>3</v>
      </c>
      <c r="M16" s="1">
        <f>SUM(M14:M15)</f>
        <v>405000</v>
      </c>
    </row>
    <row r="17" spans="1:13" x14ac:dyDescent="0.25">
      <c r="C17" s="1">
        <v>40000</v>
      </c>
      <c r="I17" s="1">
        <v>2</v>
      </c>
    </row>
    <row r="18" spans="1:13" x14ac:dyDescent="0.25">
      <c r="B18" s="1">
        <v>135000</v>
      </c>
      <c r="C18" s="1">
        <f>SUM(C16:C17)</f>
        <v>67500</v>
      </c>
      <c r="I18" s="1">
        <f>+I16*I17</f>
        <v>6</v>
      </c>
      <c r="M18" s="1">
        <f>D6-E6</f>
        <v>135000</v>
      </c>
    </row>
    <row r="19" spans="1:13" x14ac:dyDescent="0.25">
      <c r="I19" s="1">
        <f>I18*67000</f>
        <v>402000</v>
      </c>
    </row>
    <row r="22" spans="1:13" x14ac:dyDescent="0.25">
      <c r="I22" s="1">
        <f>27500*3</f>
        <v>82500</v>
      </c>
    </row>
    <row r="25" spans="1:13" x14ac:dyDescent="0.25">
      <c r="A25" s="1" t="s">
        <v>2</v>
      </c>
      <c r="B25" s="1">
        <v>719230</v>
      </c>
      <c r="C25" s="1">
        <v>1145720</v>
      </c>
      <c r="D25" s="4">
        <f>SUM(B25:C25)</f>
        <v>1864950</v>
      </c>
    </row>
    <row r="26" spans="1:13" x14ac:dyDescent="0.25">
      <c r="A26" s="1" t="s">
        <v>1</v>
      </c>
      <c r="B26" s="1">
        <v>719230</v>
      </c>
      <c r="C26" s="1">
        <v>1145720</v>
      </c>
      <c r="D26" s="1">
        <f t="shared" ref="D26:D27" si="0">SUM(B26:C26)</f>
        <v>1864950</v>
      </c>
    </row>
    <row r="27" spans="1:13" x14ac:dyDescent="0.25">
      <c r="A27" s="1" t="s">
        <v>0</v>
      </c>
      <c r="B27" s="1">
        <v>719230</v>
      </c>
      <c r="C27" s="1">
        <v>1145720</v>
      </c>
      <c r="D27" s="1">
        <f t="shared" si="0"/>
        <v>1864950</v>
      </c>
    </row>
    <row r="28" spans="1:13" x14ac:dyDescent="0.25">
      <c r="D28" s="5">
        <f>SUM(D25:D27)</f>
        <v>5594850</v>
      </c>
    </row>
    <row r="31" spans="1:13" x14ac:dyDescent="0.25">
      <c r="A31" s="1" t="s">
        <v>2</v>
      </c>
      <c r="B31" s="4">
        <v>756000</v>
      </c>
      <c r="C31" s="1">
        <v>2</v>
      </c>
      <c r="D31" s="1">
        <f>B31*C31</f>
        <v>1512000</v>
      </c>
    </row>
    <row r="32" spans="1:13" x14ac:dyDescent="0.25">
      <c r="A32" s="1" t="s">
        <v>1</v>
      </c>
      <c r="B32" s="1">
        <v>756000</v>
      </c>
      <c r="C32" s="1">
        <v>2</v>
      </c>
      <c r="D32" s="1">
        <f t="shared" ref="D32:D33" si="1">B32*C32</f>
        <v>1512000</v>
      </c>
    </row>
    <row r="33" spans="1:4" x14ac:dyDescent="0.25">
      <c r="A33" s="1" t="s">
        <v>0</v>
      </c>
      <c r="B33" s="1">
        <v>756000</v>
      </c>
      <c r="C33" s="1">
        <v>2</v>
      </c>
      <c r="D33" s="1">
        <f t="shared" si="1"/>
        <v>1512000</v>
      </c>
    </row>
    <row r="34" spans="1:4" x14ac:dyDescent="0.25">
      <c r="D34" s="5">
        <f>SUM(D31:D33)</f>
        <v>4536000</v>
      </c>
    </row>
    <row r="37" spans="1:4" x14ac:dyDescent="0.25">
      <c r="A37" s="1" t="s">
        <v>2</v>
      </c>
      <c r="B37" s="1">
        <v>330000</v>
      </c>
      <c r="C37" s="1">
        <v>1</v>
      </c>
      <c r="D37" s="1">
        <f>B37*C37</f>
        <v>330000</v>
      </c>
    </row>
    <row r="38" spans="1:4" x14ac:dyDescent="0.25">
      <c r="A38" s="1" t="s">
        <v>1</v>
      </c>
      <c r="B38" s="1">
        <v>202500</v>
      </c>
      <c r="C38" s="1">
        <v>1</v>
      </c>
      <c r="D38" s="1">
        <f t="shared" ref="D38:D39" si="2">B38*C38</f>
        <v>202500</v>
      </c>
    </row>
    <row r="39" spans="1:4" x14ac:dyDescent="0.25">
      <c r="A39" s="1" t="s">
        <v>0</v>
      </c>
      <c r="B39" s="1">
        <v>202500</v>
      </c>
      <c r="C39" s="1">
        <v>1</v>
      </c>
      <c r="D39" s="1">
        <f t="shared" si="2"/>
        <v>202500</v>
      </c>
    </row>
    <row r="40" spans="1:4" x14ac:dyDescent="0.25">
      <c r="D40" s="5">
        <f>SUM(D37:D39)</f>
        <v>735000</v>
      </c>
    </row>
    <row r="42" spans="1:4" x14ac:dyDescent="0.25">
      <c r="D42" s="1">
        <f>D28+D34+D40</f>
        <v>10865850</v>
      </c>
    </row>
  </sheetData>
  <mergeCells count="1">
    <mergeCell ref="D6:D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2023-01-10T07:12:12Z</dcterms:created>
  <dcterms:modified xsi:type="dcterms:W3CDTF">2023-01-10T09:24:48Z</dcterms:modified>
</cp:coreProperties>
</file>