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:\WIN\GA - GS\APAATO\SUMMARY PERBANDINGAN\"/>
    </mc:Choice>
  </mc:AlternateContent>
  <xr:revisionPtr revIDLastSave="0" documentId="13_ncr:1_{66B3F3F8-E46F-4C13-8641-3C0BA07A184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v. 5" sheetId="1" r:id="rId1"/>
  </sheets>
  <definedNames>
    <definedName name="_xlnm.Print_Area" localSheetId="0">'Rev. 5'!$B$1:$R$88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7" i="1" l="1"/>
  <c r="I49" i="1" s="1"/>
</calcChain>
</file>

<file path=xl/sharedStrings.xml><?xml version="1.0" encoding="utf-8"?>
<sst xmlns="http://schemas.openxmlformats.org/spreadsheetml/2006/main" count="171" uniqueCount="124">
  <si>
    <t>PT.SEMARANG AUTOCOMP MANUFACTURING INDONESIA</t>
  </si>
  <si>
    <t>CHECKSHEET/FORM</t>
  </si>
  <si>
    <t>NO. DOKUMEN</t>
  </si>
  <si>
    <t>: 019/PGA/GA/FORM/SPS/REV.5/XI/2021</t>
  </si>
  <si>
    <t>APPROVED</t>
  </si>
  <si>
    <t>CHECKED</t>
  </si>
  <si>
    <t>PREPARED</t>
  </si>
  <si>
    <t>FORM SUMMARY PERBANDINGAN HARGA SUPPLIER</t>
  </si>
  <si>
    <t>REVISI</t>
  </si>
  <si>
    <t>: 5</t>
  </si>
  <si>
    <t>TANGGAL</t>
  </si>
  <si>
    <t>: 25 November 2021</t>
  </si>
  <si>
    <t>HALAMAN</t>
  </si>
  <si>
    <t>: 1</t>
  </si>
  <si>
    <t>MASA BERLAKU</t>
  </si>
  <si>
    <t>: 24 November 2022</t>
  </si>
  <si>
    <t>AWI</t>
  </si>
  <si>
    <t>FYH</t>
  </si>
  <si>
    <t>BPI</t>
  </si>
  <si>
    <t>Wais</t>
  </si>
  <si>
    <t xml:space="preserve">Permintaan User </t>
  </si>
  <si>
    <t>: Wening Indriyati</t>
  </si>
  <si>
    <t>Tujuan Permintaan</t>
  </si>
  <si>
    <t>KATEGORI (Silahkan pilih dengan cara (v)</t>
  </si>
  <si>
    <t xml:space="preserve">Tempat </t>
  </si>
  <si>
    <t>: Semarang</t>
  </si>
  <si>
    <t>Barang</t>
  </si>
  <si>
    <t>Jasa</t>
  </si>
  <si>
    <t>Tanggal</t>
  </si>
  <si>
    <t>V</t>
  </si>
  <si>
    <t>NO.</t>
  </si>
  <si>
    <t>ITEM</t>
  </si>
  <si>
    <t>VENDOR I</t>
  </si>
  <si>
    <t>VENDOR II</t>
  </si>
  <si>
    <t>VENDOR III</t>
  </si>
  <si>
    <t>DATA PERUSAHAAN</t>
  </si>
  <si>
    <t>Nama Perusahaan/Vendor</t>
  </si>
  <si>
    <t>Alamat Perusahaan</t>
  </si>
  <si>
    <t>Contact Person</t>
  </si>
  <si>
    <t>Nama Pic</t>
  </si>
  <si>
    <t>GJ Iwan Hardjasudarma</t>
  </si>
  <si>
    <t>Email</t>
  </si>
  <si>
    <t>iwanhardjasudarma@gmail.com</t>
  </si>
  <si>
    <t>No. Tlp/Hp</t>
  </si>
  <si>
    <t>+62 816 666 608</t>
  </si>
  <si>
    <t>STATUS REGISTER SUPPLIER</t>
  </si>
  <si>
    <t>Ada</t>
  </si>
  <si>
    <t>LEGALITAS</t>
  </si>
  <si>
    <t>a. Akta Pendirian Perusahaan</t>
  </si>
  <si>
    <t>b. SK Pengesahan Kemenkumham</t>
  </si>
  <si>
    <t>c. NPWP Badan</t>
  </si>
  <si>
    <t>✓</t>
  </si>
  <si>
    <t>d. NIB (Nomor Induk Berusaha)</t>
  </si>
  <si>
    <t>e. SIUP (Surat Izin Usaha Perdagangan)/IUI (Izin Usaha Industri)</t>
  </si>
  <si>
    <t>f. Surat Keterangan Domisili</t>
  </si>
  <si>
    <t>g. KTP Penanggung Jawab</t>
  </si>
  <si>
    <t>h. SKA (Sertifikat Keahlian)</t>
  </si>
  <si>
    <t>i. IPTB (Izin Pelaku Teknis Bangunan)</t>
  </si>
  <si>
    <t>SPESIFIKASI YANG DIMINTA USER :</t>
  </si>
  <si>
    <t>MENGETAHUI USER</t>
  </si>
  <si>
    <t>Nama :</t>
  </si>
  <si>
    <t xml:space="preserve">Tanggal : </t>
  </si>
  <si>
    <t>HARGA</t>
  </si>
  <si>
    <t>A. Barang</t>
  </si>
  <si>
    <t>JENIS,QTY &amp; HARGA</t>
  </si>
  <si>
    <t>JENIS</t>
  </si>
  <si>
    <t>QTY</t>
  </si>
  <si>
    <t>TOTAL</t>
  </si>
  <si>
    <t>Total</t>
  </si>
  <si>
    <t>Net Harga</t>
  </si>
  <si>
    <t>B. Jasa</t>
  </si>
  <si>
    <t>Harga Nego 1</t>
  </si>
  <si>
    <t>Harga Nego 2</t>
  </si>
  <si>
    <t>TAHAP PEMBAYARAN ( √ )</t>
  </si>
  <si>
    <t>a. Tahap pertama(DP)</t>
  </si>
  <si>
    <t>✓ (Dibayar penuh di awal sewa)</t>
  </si>
  <si>
    <t>b. Tahap kedua</t>
  </si>
  <si>
    <t>c. Tahap ketiga</t>
  </si>
  <si>
    <t>d. Tempo 30 Hari</t>
  </si>
  <si>
    <t>DELIVERY/JANGKA WAKTU PROSES</t>
  </si>
  <si>
    <t>RUANG LINGKUP PEKERJAAN</t>
  </si>
  <si>
    <t>a. Lama sewa</t>
  </si>
  <si>
    <t>b. Periode sewa</t>
  </si>
  <si>
    <t>c.</t>
  </si>
  <si>
    <t>d.</t>
  </si>
  <si>
    <t>GARANSI</t>
  </si>
  <si>
    <t>Unit Barang</t>
  </si>
  <si>
    <t>Jasa Pekerjaan</t>
  </si>
  <si>
    <t>STATUS BARANG</t>
  </si>
  <si>
    <t>KATEGORI KERJASAMA (✓)</t>
  </si>
  <si>
    <t>Dengan kontrak</t>
  </si>
  <si>
    <t>Tanpa kontrak</t>
  </si>
  <si>
    <t>CHECK LIST INTERVIEW</t>
  </si>
  <si>
    <t>Ya / Tidak (Keterangan)</t>
  </si>
  <si>
    <t>a. Apakah Anda Karyawan PT. SAMI ?</t>
  </si>
  <si>
    <t>Tidak</t>
  </si>
  <si>
    <t>b. Apakah Ada Hubungan Keluarga dengan Purchasing?</t>
  </si>
  <si>
    <t>c. Apakah Ada Hubungan Keluarga dengan Pejabat Setempat?</t>
  </si>
  <si>
    <t>d. Apakah Perusahaan anda saat ini bermasalah dengan Hukum?</t>
  </si>
  <si>
    <t>e. Jawaban yang anda Berikan ini Jujur?</t>
  </si>
  <si>
    <t>Ya</t>
  </si>
  <si>
    <t xml:space="preserve">APPROVED
</t>
  </si>
  <si>
    <t>SPV LP</t>
  </si>
  <si>
    <t>MGR</t>
  </si>
  <si>
    <t>NB : Approve untuk Supplier yang dipilih</t>
  </si>
  <si>
    <t>PD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</si>
  <si>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</si>
  <si>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t xml:space="preserve">Referensi Prosedur/WI/OS/IS/ : 
</t>
    </r>
    <r>
      <rPr>
        <sz val="11"/>
        <color theme="1"/>
        <rFont val="Calibri"/>
        <family val="2"/>
        <scheme val="minor"/>
      </rPr>
      <t>- OP-SMN-P.02 : Prosedur Pengadaan Barang &amp; Jasa</t>
    </r>
  </si>
  <si>
    <t>Penambahan kategori kerjasama</t>
  </si>
  <si>
    <t>WIN</t>
  </si>
  <si>
    <t>Penambahan history negosiasi</t>
  </si>
  <si>
    <t>New Format</t>
  </si>
  <si>
    <t>Renny</t>
  </si>
  <si>
    <t>Perubahan isi</t>
  </si>
  <si>
    <t>New Release</t>
  </si>
  <si>
    <t>REV.</t>
  </si>
  <si>
    <t>ISI PERUBAHAN</t>
  </si>
  <si>
    <t>PIC</t>
  </si>
  <si>
    <t>REVIEW</t>
  </si>
  <si>
    <t>: Untuk perpanjangan apartemen AD MTC (Kato san)</t>
  </si>
  <si>
    <t>: 14 September 2022</t>
  </si>
  <si>
    <t>Bromo Residence (Unit C)</t>
  </si>
  <si>
    <t>12 bulan</t>
  </si>
  <si>
    <t>1 Nov 2022 - 31 Okt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</si>
</sst>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??_);_(@_)"/>
    <numFmt numFmtId="166" formatCode="[$-409]d\-mmm\-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00CC"/>
      <name val="Comic Sans MS"/>
      <family val="4"/>
    </font>
    <font>
      <sz val="14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rgb="FFF1C232"/>
      <name val="Calibri"/>
      <family val="2"/>
      <scheme val="minor"/>
    </font>
    <font>
      <sz val="14"/>
      <color rgb="FF0B5394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295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8" fillId="0" borderId="0" xfId="0" applyFont="1"/>
    <xf numFmtId="0" fontId="8" fillId="0" borderId="14" xfId="0" applyFont="1" applyBorder="1"/>
    <xf numFmtId="0" fontId="11" fillId="0" borderId="25" xfId="0" applyFont="1" applyBorder="1" applyAlignment="1">
      <alignment horizontal="left"/>
    </xf>
    <xf numFmtId="0" fontId="12" fillId="0" borderId="25" xfId="0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8" xfId="0" applyBorder="1"/>
    <xf numFmtId="0" fontId="11" fillId="0" borderId="0" xfId="0" applyFont="1"/>
    <xf numFmtId="0" fontId="12" fillId="0" borderId="0" xfId="0" applyFont="1"/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0" fillId="0" borderId="14" xfId="0" applyBorder="1"/>
    <xf numFmtId="0" fontId="11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vertical="center"/>
    </xf>
    <xf numFmtId="0" fontId="8" fillId="0" borderId="2" xfId="0" applyFont="1" applyBorder="1"/>
    <xf numFmtId="0" fontId="16" fillId="0" borderId="2" xfId="0" applyFont="1" applyBorder="1" applyAlignment="1">
      <alignment vertical="top"/>
    </xf>
    <xf numFmtId="0" fontId="8" fillId="0" borderId="3" xfId="0" applyFont="1" applyBorder="1"/>
    <xf numFmtId="0" fontId="16" fillId="0" borderId="18" xfId="0" applyFont="1" applyBorder="1" applyAlignment="1">
      <alignment vertical="top"/>
    </xf>
    <xf numFmtId="0" fontId="16" fillId="0" borderId="0" xfId="0" applyFont="1" applyAlignment="1">
      <alignment vertical="top"/>
    </xf>
    <xf numFmtId="0" fontId="8" fillId="0" borderId="20" xfId="0" applyFont="1" applyBorder="1" applyAlignment="1">
      <alignment horizontal="left" vertical="top"/>
    </xf>
    <xf numFmtId="0" fontId="15" fillId="0" borderId="20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8" fillId="0" borderId="22" xfId="0" applyFont="1" applyBorder="1"/>
    <xf numFmtId="0" fontId="18" fillId="0" borderId="22" xfId="0" applyFont="1" applyBorder="1" applyAlignment="1">
      <alignment horizontal="left" vertical="top"/>
    </xf>
    <xf numFmtId="0" fontId="8" fillId="0" borderId="21" xfId="0" applyFont="1" applyBorder="1"/>
    <xf numFmtId="0" fontId="18" fillId="0" borderId="18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20" fillId="0" borderId="1" xfId="3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1" fillId="0" borderId="1" xfId="3" applyFont="1" applyBorder="1" applyAlignment="1">
      <alignment horizontal="left" vertical="center"/>
    </xf>
    <xf numFmtId="0" fontId="21" fillId="0" borderId="0" xfId="3" applyFont="1" applyBorder="1" applyAlignment="1">
      <alignment horizontal="left" vertical="top"/>
    </xf>
    <xf numFmtId="0" fontId="18" fillId="0" borderId="0" xfId="0" applyFont="1" applyAlignment="1">
      <alignment horizontal="center" vertical="center"/>
    </xf>
    <xf numFmtId="0" fontId="8" fillId="0" borderId="18" xfId="0" applyFont="1" applyBorder="1"/>
    <xf numFmtId="0" fontId="22" fillId="0" borderId="0" xfId="0" applyFont="1" applyAlignment="1">
      <alignment vertical="center"/>
    </xf>
    <xf numFmtId="0" fontId="17" fillId="0" borderId="1" xfId="0" quotePrefix="1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top"/>
    </xf>
    <xf numFmtId="0" fontId="23" fillId="0" borderId="0" xfId="0" applyFont="1" applyAlignment="1">
      <alignment vertical="center"/>
    </xf>
    <xf numFmtId="0" fontId="20" fillId="0" borderId="20" xfId="3" quotePrefix="1" applyFont="1" applyBorder="1" applyAlignment="1">
      <alignment horizontal="left" vertical="center"/>
    </xf>
    <xf numFmtId="0" fontId="18" fillId="0" borderId="22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0" xfId="0" quotePrefix="1" applyFont="1" applyBorder="1" applyAlignment="1">
      <alignment horizontal="left"/>
    </xf>
    <xf numFmtId="0" fontId="18" fillId="0" borderId="22" xfId="0" quotePrefix="1" applyFont="1" applyBorder="1" applyAlignment="1">
      <alignment horizontal="left"/>
    </xf>
    <xf numFmtId="0" fontId="18" fillId="0" borderId="18" xfId="0" applyFont="1" applyBorder="1" applyAlignment="1">
      <alignment horizontal="center"/>
    </xf>
    <xf numFmtId="0" fontId="24" fillId="0" borderId="1" xfId="0" quotePrefix="1" applyFont="1" applyBorder="1"/>
    <xf numFmtId="0" fontId="12" fillId="0" borderId="5" xfId="0" applyFont="1" applyBorder="1" applyAlignment="1">
      <alignment horizontal="center" vertical="top"/>
    </xf>
    <xf numFmtId="0" fontId="12" fillId="0" borderId="12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0" fontId="24" fillId="0" borderId="6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5" fillId="0" borderId="2" xfId="0" applyFont="1" applyBorder="1" applyAlignment="1">
      <alignment horizontal="left" vertical="top"/>
    </xf>
    <xf numFmtId="0" fontId="2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5" fillId="0" borderId="21" xfId="0" applyFont="1" applyBorder="1" applyAlignment="1">
      <alignment horizontal="left" vertical="top"/>
    </xf>
    <xf numFmtId="0" fontId="24" fillId="0" borderId="1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8" xfId="0" applyFont="1" applyBorder="1" applyAlignment="1">
      <alignment horizontal="center"/>
    </xf>
    <xf numFmtId="0" fontId="15" fillId="0" borderId="3" xfId="0" applyFont="1" applyBorder="1" applyAlignment="1">
      <alignment horizontal="left" vertical="top"/>
    </xf>
    <xf numFmtId="14" fontId="18" fillId="0" borderId="6" xfId="0" applyNumberFormat="1" applyFont="1" applyBorder="1" applyAlignment="1">
      <alignment vertical="center"/>
    </xf>
    <xf numFmtId="14" fontId="18" fillId="0" borderId="4" xfId="0" applyNumberFormat="1" applyFont="1" applyBorder="1" applyAlignment="1">
      <alignment vertical="center"/>
    </xf>
    <xf numFmtId="14" fontId="25" fillId="0" borderId="4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14" fontId="8" fillId="0" borderId="13" xfId="0" applyNumberFormat="1" applyFont="1" applyBorder="1" applyAlignment="1">
      <alignment horizontal="center"/>
    </xf>
    <xf numFmtId="0" fontId="13" fillId="0" borderId="26" xfId="0" applyFont="1" applyBorder="1" applyAlignment="1">
      <alignment vertical="top"/>
    </xf>
    <xf numFmtId="0" fontId="25" fillId="0" borderId="25" xfId="0" applyFont="1" applyBorder="1" applyAlignment="1">
      <alignment horizontal="center"/>
    </xf>
    <xf numFmtId="0" fontId="8" fillId="0" borderId="25" xfId="0" applyFont="1" applyBorder="1"/>
    <xf numFmtId="0" fontId="13" fillId="0" borderId="9" xfId="0" applyFont="1" applyBorder="1" applyAlignment="1">
      <alignment vertical="top"/>
    </xf>
    <xf numFmtId="0" fontId="12" fillId="0" borderId="10" xfId="0" applyFont="1" applyBorder="1"/>
    <xf numFmtId="0" fontId="25" fillId="0" borderId="10" xfId="0" applyFont="1" applyBorder="1" applyAlignment="1">
      <alignment horizontal="center"/>
    </xf>
    <xf numFmtId="0" fontId="8" fillId="0" borderId="10" xfId="0" applyFont="1" applyBorder="1"/>
    <xf numFmtId="0" fontId="8" fillId="0" borderId="22" xfId="0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3" fillId="0" borderId="14" xfId="0" applyFont="1" applyBorder="1" applyAlignment="1">
      <alignment vertical="top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165" fontId="12" fillId="0" borderId="2" xfId="1" applyNumberFormat="1" applyFont="1" applyBorder="1" applyAlignment="1"/>
    <xf numFmtId="3" fontId="12" fillId="0" borderId="2" xfId="0" applyNumberFormat="1" applyFont="1" applyBorder="1"/>
    <xf numFmtId="3" fontId="12" fillId="0" borderId="3" xfId="0" applyNumberFormat="1" applyFont="1" applyBorder="1"/>
    <xf numFmtId="0" fontId="26" fillId="0" borderId="1" xfId="0" applyFont="1" applyBorder="1" applyAlignment="1">
      <alignment horizontal="left" vertical="center"/>
    </xf>
    <xf numFmtId="165" fontId="12" fillId="0" borderId="17" xfId="1" applyNumberFormat="1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165" fontId="8" fillId="0" borderId="5" xfId="1" applyNumberFormat="1" applyFont="1" applyBorder="1" applyAlignment="1"/>
    <xf numFmtId="3" fontId="8" fillId="0" borderId="5" xfId="0" applyNumberFormat="1" applyFont="1" applyBorder="1" applyAlignment="1">
      <alignment horizontal="center"/>
    </xf>
    <xf numFmtId="165" fontId="8" fillId="0" borderId="3" xfId="1" applyNumberFormat="1" applyFont="1" applyBorder="1" applyAlignment="1"/>
    <xf numFmtId="0" fontId="8" fillId="0" borderId="5" xfId="0" applyFont="1" applyBorder="1" applyAlignment="1">
      <alignment horizontal="left"/>
    </xf>
    <xf numFmtId="0" fontId="8" fillId="0" borderId="5" xfId="0" applyFont="1" applyBorder="1"/>
    <xf numFmtId="165" fontId="8" fillId="0" borderId="5" xfId="1" applyNumberFormat="1" applyFont="1" applyBorder="1"/>
    <xf numFmtId="0" fontId="28" fillId="0" borderId="1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165" fontId="8" fillId="0" borderId="27" xfId="1" applyNumberFormat="1" applyFont="1" applyBorder="1"/>
    <xf numFmtId="0" fontId="28" fillId="0" borderId="2" xfId="0" applyFont="1" applyBorder="1" applyAlignment="1">
      <alignment horizontal="left" vertical="center"/>
    </xf>
    <xf numFmtId="165" fontId="12" fillId="0" borderId="2" xfId="1" applyNumberFormat="1" applyFont="1" applyBorder="1" applyAlignment="1">
      <alignment horizontal="center"/>
    </xf>
    <xf numFmtId="3" fontId="12" fillId="0" borderId="2" xfId="0" applyNumberFormat="1" applyFont="1" applyBorder="1" applyAlignment="1">
      <alignment horizontal="center"/>
    </xf>
    <xf numFmtId="3" fontId="12" fillId="0" borderId="21" xfId="0" applyNumberFormat="1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5" fontId="12" fillId="0" borderId="19" xfId="1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165" fontId="24" fillId="0" borderId="5" xfId="1" applyNumberFormat="1" applyFont="1" applyBorder="1" applyAlignment="1"/>
    <xf numFmtId="3" fontId="24" fillId="0" borderId="5" xfId="0" applyNumberFormat="1" applyFont="1" applyBorder="1" applyAlignment="1">
      <alignment horizontal="center"/>
    </xf>
    <xf numFmtId="42" fontId="24" fillId="0" borderId="5" xfId="0" applyNumberFormat="1" applyFont="1" applyBorder="1" applyAlignment="1">
      <alignment horizontal="center"/>
    </xf>
    <xf numFmtId="0" fontId="24" fillId="0" borderId="5" xfId="0" applyFont="1" applyBorder="1" applyAlignment="1">
      <alignment horizontal="left"/>
    </xf>
    <xf numFmtId="0" fontId="24" fillId="0" borderId="5" xfId="0" applyFont="1" applyBorder="1"/>
    <xf numFmtId="165" fontId="24" fillId="0" borderId="5" xfId="1" applyNumberFormat="1" applyFont="1" applyBorder="1"/>
    <xf numFmtId="42" fontId="24" fillId="0" borderId="5" xfId="1" applyNumberFormat="1" applyFont="1" applyBorder="1"/>
    <xf numFmtId="42" fontId="24" fillId="0" borderId="5" xfId="1" applyNumberFormat="1" applyFont="1" applyBorder="1" applyAlignment="1">
      <alignment horizontal="center" vertical="center"/>
    </xf>
    <xf numFmtId="42" fontId="8" fillId="0" borderId="12" xfId="1" applyNumberFormat="1" applyFont="1" applyBorder="1" applyAlignment="1">
      <alignment horizontal="center" vertical="center"/>
    </xf>
    <xf numFmtId="165" fontId="8" fillId="0" borderId="12" xfId="1" applyNumberFormat="1" applyFont="1" applyBorder="1"/>
    <xf numFmtId="42" fontId="8" fillId="0" borderId="27" xfId="1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5" fontId="8" fillId="0" borderId="22" xfId="1" applyNumberFormat="1" applyFont="1" applyBorder="1"/>
    <xf numFmtId="165" fontId="8" fillId="0" borderId="28" xfId="1" applyNumberFormat="1" applyFont="1" applyBorder="1"/>
    <xf numFmtId="0" fontId="12" fillId="0" borderId="5" xfId="0" applyFont="1" applyBorder="1" applyAlignment="1">
      <alignment horizontal="center"/>
    </xf>
    <xf numFmtId="0" fontId="27" fillId="0" borderId="20" xfId="0" applyFont="1" applyBorder="1"/>
    <xf numFmtId="0" fontId="27" fillId="0" borderId="14" xfId="0" applyFont="1" applyBorder="1"/>
    <xf numFmtId="0" fontId="27" fillId="0" borderId="6" xfId="0" applyFont="1" applyBorder="1"/>
    <xf numFmtId="0" fontId="8" fillId="0" borderId="4" xfId="0" applyFont="1" applyBorder="1"/>
    <xf numFmtId="0" fontId="12" fillId="0" borderId="6" xfId="0" applyFont="1" applyBorder="1" applyAlignment="1">
      <alignment horizontal="center"/>
    </xf>
    <xf numFmtId="0" fontId="12" fillId="0" borderId="12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9" fillId="0" borderId="20" xfId="0" applyFont="1" applyBorder="1" applyAlignment="1">
      <alignment vertical="center"/>
    </xf>
    <xf numFmtId="0" fontId="28" fillId="0" borderId="21" xfId="0" applyFont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7" fillId="0" borderId="5" xfId="0" applyFont="1" applyBorder="1"/>
    <xf numFmtId="0" fontId="12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27" fillId="0" borderId="2" xfId="0" applyFont="1" applyBorder="1"/>
    <xf numFmtId="0" fontId="27" fillId="0" borderId="1" xfId="0" applyFont="1" applyBorder="1" applyAlignment="1">
      <alignment horizontal="left" vertical="center"/>
    </xf>
    <xf numFmtId="0" fontId="27" fillId="0" borderId="3" xfId="0" applyFont="1" applyBorder="1"/>
    <xf numFmtId="0" fontId="12" fillId="3" borderId="13" xfId="0" applyFont="1" applyFill="1" applyBorder="1" applyAlignment="1">
      <alignment vertical="top"/>
    </xf>
    <xf numFmtId="0" fontId="12" fillId="3" borderId="14" xfId="0" applyFont="1" applyFill="1" applyBorder="1" applyAlignment="1">
      <alignment vertical="top"/>
    </xf>
    <xf numFmtId="0" fontId="12" fillId="3" borderId="0" xfId="0" applyFont="1" applyFill="1" applyAlignment="1">
      <alignment vertical="top"/>
    </xf>
    <xf numFmtId="0" fontId="12" fillId="3" borderId="18" xfId="0" applyFont="1" applyFill="1" applyBorder="1" applyAlignment="1">
      <alignment vertical="top"/>
    </xf>
    <xf numFmtId="0" fontId="8" fillId="0" borderId="20" xfId="0" applyFont="1" applyBorder="1"/>
    <xf numFmtId="0" fontId="0" fillId="0" borderId="5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0" fontId="2" fillId="2" borderId="6" xfId="2" applyFont="1" applyFill="1" applyBorder="1" applyAlignment="1">
      <alignment horizontal="left" vertical="center" wrapText="1"/>
    </xf>
    <xf numFmtId="0" fontId="2" fillId="2" borderId="4" xfId="2" applyFont="1" applyFill="1" applyBorder="1" applyAlignment="1">
      <alignment horizontal="left" vertical="center" wrapText="1"/>
    </xf>
    <xf numFmtId="0" fontId="2" fillId="2" borderId="13" xfId="2" applyFont="1" applyFill="1" applyBorder="1" applyAlignment="1">
      <alignment horizontal="left" vertical="center" wrapText="1"/>
    </xf>
    <xf numFmtId="0" fontId="2" fillId="2" borderId="14" xfId="2" applyFont="1" applyFill="1" applyBorder="1" applyAlignment="1">
      <alignment horizontal="left" vertical="center" wrapText="1"/>
    </xf>
    <xf numFmtId="0" fontId="2" fillId="2" borderId="0" xfId="2" applyFont="1" applyFill="1" applyAlignment="1">
      <alignment horizontal="left" vertical="center" wrapText="1"/>
    </xf>
    <xf numFmtId="0" fontId="2" fillId="2" borderId="18" xfId="2" applyFont="1" applyFill="1" applyBorder="1" applyAlignment="1">
      <alignment horizontal="left" vertical="center" wrapText="1"/>
    </xf>
    <xf numFmtId="0" fontId="2" fillId="2" borderId="20" xfId="2" applyFont="1" applyFill="1" applyBorder="1" applyAlignment="1">
      <alignment horizontal="left" vertical="center" wrapText="1"/>
    </xf>
    <xf numFmtId="0" fontId="2" fillId="2" borderId="22" xfId="2" applyFont="1" applyFill="1" applyBorder="1" applyAlignment="1">
      <alignment horizontal="left" vertical="center" wrapText="1"/>
    </xf>
    <xf numFmtId="0" fontId="2" fillId="2" borderId="21" xfId="2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3" borderId="6" xfId="0" applyFont="1" applyFill="1" applyBorder="1" applyAlignment="1">
      <alignment horizontal="left" vertical="top" wrapText="1"/>
    </xf>
    <xf numFmtId="0" fontId="12" fillId="3" borderId="4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24" fillId="0" borderId="2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26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7" fillId="0" borderId="20" xfId="0" applyFont="1" applyBorder="1" applyAlignment="1">
      <alignment horizontal="left"/>
    </xf>
    <xf numFmtId="0" fontId="27" fillId="0" borderId="21" xfId="0" applyFont="1" applyBorder="1" applyAlignment="1">
      <alignment horizontal="left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2" borderId="20" xfId="2" applyFont="1" applyFill="1" applyBorder="1" applyAlignment="1">
      <alignment horizontal="center" vertical="center" wrapText="1"/>
    </xf>
    <xf numFmtId="0" fontId="9" fillId="2" borderId="22" xfId="2" applyFont="1" applyFill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0" fillId="0" borderId="18" xfId="0" quotePrefix="1" applyFont="1" applyBorder="1" applyAlignment="1">
      <alignment horizontal="center" vertical="center"/>
    </xf>
    <xf numFmtId="0" fontId="10" fillId="0" borderId="20" xfId="0" quotePrefix="1" applyFont="1" applyBorder="1" applyAlignment="1">
      <alignment horizontal="center" vertical="center"/>
    </xf>
    <xf numFmtId="0" fontId="10" fillId="0" borderId="21" xfId="0" quotePrefix="1" applyFont="1" applyBorder="1" applyAlignment="1">
      <alignment horizontal="center" vertical="center"/>
    </xf>
    <xf numFmtId="0" fontId="10" fillId="0" borderId="12" xfId="0" quotePrefix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0" fillId="0" borderId="19" xfId="0" quotePrefix="1" applyFont="1" applyBorder="1" applyAlignment="1">
      <alignment horizontal="center" vertical="center"/>
    </xf>
    <xf numFmtId="0" fontId="13" fillId="3" borderId="14" xfId="0" applyFont="1" applyFill="1" applyBorder="1" applyAlignment="1">
      <alignment vertical="top"/>
    </xf>
    <xf numFmtId="0" fontId="12" fillId="3" borderId="0" xfId="0" applyFont="1" applyFill="1" applyBorder="1" applyAlignment="1">
      <alignment vertical="top"/>
    </xf>
    <xf numFmtId="0" fontId="12" fillId="3" borderId="20" xfId="0" applyFont="1" applyFill="1" applyBorder="1" applyAlignment="1">
      <alignment vertical="top"/>
    </xf>
    <xf numFmtId="0" fontId="8" fillId="3" borderId="22" xfId="0" applyFont="1" applyFill="1" applyBorder="1"/>
    <xf numFmtId="0" fontId="8" fillId="3" borderId="21" xfId="0" applyFont="1" applyFill="1" applyBorder="1"/>
  </cellXfs>
  <cellStyles count="4">
    <cellStyle name="Comma" xfId="1" builtinId="3"/>
    <cellStyle name="Hyperlink" xfId="3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666750</xdr:colOff>
      <xdr:row>2</xdr:row>
      <xdr:rowOff>123604</xdr:rowOff>
    </xdr:from>
    <xdr:to>
      <xdr:col>7</xdr:col>
      <xdr:colOff>1360714</xdr:colOff>
      <xdr:row>5</xdr:row>
      <xdr:rowOff>141515</xdr:rowOff>
    </xdr:to>
    <xdr:pic>
      <xdr:nvPicPr>
        <xdr:cNvPr id="2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5" t="31770" r="39063" b="36458"/>
        <a:stretch>
          <a:fillRect/>
        </a:stretch>
      </xdr:blipFill>
      <xdr:spPr bwMode="auto">
        <a:xfrm>
          <a:off x="10001250" y="523654"/>
          <a:ext cx="693964" cy="646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503465</xdr:colOff>
      <xdr:row>81</xdr:row>
      <xdr:rowOff>136072</xdr:rowOff>
    </xdr:from>
    <xdr:to>
      <xdr:col>6</xdr:col>
      <xdr:colOff>427697</xdr:colOff>
      <xdr:row>86</xdr:row>
      <xdr:rowOff>122464</xdr:rowOff>
    </xdr:to>
    <xdr:pic>
      <xdr:nvPicPr>
        <xdr:cNvPr id="3" name="Picture 6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5815" y="20471947"/>
          <a:ext cx="905307" cy="1034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13605</xdr:colOff>
      <xdr:row>0</xdr:row>
      <xdr:rowOff>149679</xdr:rowOff>
    </xdr:from>
    <xdr:to>
      <xdr:col>18</xdr:col>
      <xdr:colOff>95249</xdr:colOff>
      <xdr:row>7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7823" t="19051" r="23602" b="71900"/>
        <a:stretch/>
      </xdr:blipFill>
      <xdr:spPr>
        <a:xfrm>
          <a:off x="17053830" y="149679"/>
          <a:ext cx="7834994" cy="1579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wanhardjasud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8"/>
  <sheetViews>
    <sheetView showGridLines="0" tabSelected="1" zoomScale="70" zoomScaleNormal="70" workbookViewId="0">
      <selection activeCell="H10" sqref="H10"/>
    </sheetView>
  </sheetViews>
  <sheetFormatPr defaultRowHeight="15" x14ac:dyDescent="0.25"/>
  <cols>
    <col min="1" max="1" width="1.7109375" customWidth="1"/>
    <col min="2" max="2" width="6.7109375" customWidth="1"/>
    <col min="3" max="3" width="15.7109375" customWidth="1"/>
    <col min="4" max="4" width="25.7109375" customWidth="1"/>
    <col min="5" max="5" width="60.7109375" customWidth="1"/>
    <col min="6" max="7" width="14.7109375" customWidth="1"/>
    <col min="8" max="9" width="28.7109375" customWidth="1"/>
    <col min="10" max="11" width="14.7109375" customWidth="1"/>
    <col min="12" max="13" width="28.7109375" customWidth="1"/>
    <col min="14" max="15" width="14.7109375" customWidth="1"/>
    <col min="16" max="16" width="28.7109375" customWidth="1"/>
    <col min="17" max="17" width="22.7109375" customWidth="1"/>
    <col min="18" max="18" width="6.7109375" customWidth="1"/>
    <col min="19" max="19" width="1.7109375" customWidth="1"/>
  </cols>
  <sheetData>
    <row r="1" spans="1:19" x14ac:dyDescent="0.25">
      <c r="C1" s="1"/>
      <c r="D1" s="1"/>
    </row>
    <row r="2" spans="1:19" s="2" customFormat="1" ht="17.100000000000001" customHeight="1" x14ac:dyDescent="0.25">
      <c r="B2" s="3" t="s">
        <v>0</v>
      </c>
      <c r="C2" s="4"/>
      <c r="D2" s="4"/>
      <c r="E2" s="4"/>
      <c r="F2" s="4"/>
      <c r="G2" s="4"/>
      <c r="H2" s="5" t="s">
        <v>1</v>
      </c>
      <c r="I2" s="6" t="s">
        <v>2</v>
      </c>
      <c r="J2" s="6" t="s">
        <v>3</v>
      </c>
      <c r="K2" s="6"/>
      <c r="L2" s="6"/>
      <c r="M2" s="7" t="s">
        <v>4</v>
      </c>
      <c r="N2" s="265" t="s">
        <v>4</v>
      </c>
      <c r="O2" s="265"/>
      <c r="P2" s="7" t="s">
        <v>5</v>
      </c>
      <c r="Q2" s="265" t="s">
        <v>6</v>
      </c>
      <c r="R2" s="265"/>
    </row>
    <row r="3" spans="1:19" s="2" customFormat="1" ht="17.100000000000001" customHeight="1" x14ac:dyDescent="0.25">
      <c r="B3" s="266" t="s">
        <v>7</v>
      </c>
      <c r="C3" s="267"/>
      <c r="D3" s="267"/>
      <c r="E3" s="267"/>
      <c r="F3" s="267"/>
      <c r="G3" s="268"/>
      <c r="H3" s="275"/>
      <c r="I3" s="8" t="s">
        <v>8</v>
      </c>
      <c r="J3" s="9" t="s">
        <v>9</v>
      </c>
      <c r="K3" s="9"/>
      <c r="L3" s="10"/>
      <c r="M3" s="278"/>
      <c r="N3" s="281"/>
      <c r="O3" s="282"/>
      <c r="P3" s="287"/>
      <c r="Q3" s="281"/>
      <c r="R3" s="282"/>
    </row>
    <row r="4" spans="1:19" s="2" customFormat="1" ht="17.100000000000001" customHeight="1" x14ac:dyDescent="0.25">
      <c r="B4" s="269"/>
      <c r="C4" s="270"/>
      <c r="D4" s="270"/>
      <c r="E4" s="270"/>
      <c r="F4" s="270"/>
      <c r="G4" s="271"/>
      <c r="H4" s="276"/>
      <c r="I4" s="8" t="s">
        <v>10</v>
      </c>
      <c r="J4" s="9" t="s">
        <v>11</v>
      </c>
      <c r="K4" s="9"/>
      <c r="L4" s="10"/>
      <c r="M4" s="279"/>
      <c r="N4" s="283"/>
      <c r="O4" s="284"/>
      <c r="P4" s="288"/>
      <c r="Q4" s="283"/>
      <c r="R4" s="284"/>
    </row>
    <row r="5" spans="1:19" s="2" customFormat="1" ht="17.100000000000001" customHeight="1" x14ac:dyDescent="0.25">
      <c r="B5" s="269"/>
      <c r="C5" s="270"/>
      <c r="D5" s="270"/>
      <c r="E5" s="270"/>
      <c r="F5" s="270"/>
      <c r="G5" s="271"/>
      <c r="H5" s="276"/>
      <c r="I5" s="8" t="s">
        <v>12</v>
      </c>
      <c r="J5" s="9" t="s">
        <v>13</v>
      </c>
      <c r="K5" s="9"/>
      <c r="L5" s="10"/>
      <c r="M5" s="280"/>
      <c r="N5" s="285"/>
      <c r="O5" s="286"/>
      <c r="P5" s="289"/>
      <c r="Q5" s="285"/>
      <c r="R5" s="286"/>
    </row>
    <row r="6" spans="1:19" s="2" customFormat="1" ht="17.100000000000001" customHeight="1" x14ac:dyDescent="0.25">
      <c r="B6" s="272"/>
      <c r="C6" s="273"/>
      <c r="D6" s="273"/>
      <c r="E6" s="273"/>
      <c r="F6" s="273"/>
      <c r="G6" s="274"/>
      <c r="H6" s="277"/>
      <c r="I6" s="11" t="s">
        <v>14</v>
      </c>
      <c r="J6" s="12" t="s">
        <v>15</v>
      </c>
      <c r="K6" s="13"/>
      <c r="L6" s="13"/>
      <c r="M6" s="7" t="s">
        <v>16</v>
      </c>
      <c r="N6" s="265" t="s">
        <v>17</v>
      </c>
      <c r="O6" s="265"/>
      <c r="P6" s="7" t="s">
        <v>18</v>
      </c>
      <c r="Q6" s="265" t="s">
        <v>19</v>
      </c>
      <c r="R6" s="265"/>
    </row>
    <row r="7" spans="1:19" ht="24.95" customHeight="1" x14ac:dyDescent="0.35">
      <c r="A7" s="14"/>
      <c r="B7" s="15"/>
      <c r="C7" s="16" t="s">
        <v>20</v>
      </c>
      <c r="D7" s="16"/>
      <c r="E7" s="17" t="s">
        <v>21</v>
      </c>
      <c r="F7" s="17"/>
      <c r="G7" s="18"/>
      <c r="H7" s="19"/>
      <c r="I7" s="20"/>
      <c r="J7" s="20"/>
      <c r="K7" s="20"/>
      <c r="N7" s="14"/>
      <c r="R7" s="21"/>
    </row>
    <row r="8" spans="1:19" ht="24.95" customHeight="1" x14ac:dyDescent="0.35">
      <c r="A8" s="14"/>
      <c r="B8" s="15"/>
      <c r="C8" s="16" t="s">
        <v>22</v>
      </c>
      <c r="D8" s="16"/>
      <c r="E8" s="17" t="s">
        <v>119</v>
      </c>
      <c r="F8" s="17"/>
      <c r="G8" s="18"/>
      <c r="H8" s="19"/>
      <c r="I8" s="260" t="s">
        <v>23</v>
      </c>
      <c r="J8" s="260"/>
      <c r="K8" s="260"/>
      <c r="L8" s="260"/>
      <c r="M8" s="22"/>
      <c r="N8" s="22"/>
      <c r="R8" s="21"/>
    </row>
    <row r="9" spans="1:19" ht="24.95" customHeight="1" x14ac:dyDescent="0.35">
      <c r="A9" s="14"/>
      <c r="B9" s="15"/>
      <c r="C9" s="16" t="s">
        <v>24</v>
      </c>
      <c r="D9" s="16"/>
      <c r="E9" s="17" t="s">
        <v>25</v>
      </c>
      <c r="F9" s="17"/>
      <c r="G9" s="23"/>
      <c r="H9" s="20"/>
      <c r="I9" s="250" t="s">
        <v>26</v>
      </c>
      <c r="J9" s="252"/>
      <c r="K9" s="250" t="s">
        <v>27</v>
      </c>
      <c r="L9" s="252"/>
      <c r="M9" s="261"/>
      <c r="N9" s="262"/>
      <c r="R9" s="21"/>
    </row>
    <row r="10" spans="1:19" ht="24.95" customHeight="1" x14ac:dyDescent="0.35">
      <c r="A10" s="14"/>
      <c r="B10" s="15"/>
      <c r="C10" s="16" t="s">
        <v>28</v>
      </c>
      <c r="D10" s="16"/>
      <c r="E10" s="17" t="s">
        <v>120</v>
      </c>
      <c r="F10" s="17"/>
      <c r="G10" s="23"/>
      <c r="H10" s="20"/>
      <c r="I10" s="208"/>
      <c r="J10" s="210"/>
      <c r="K10" s="208" t="s">
        <v>29</v>
      </c>
      <c r="L10" s="210"/>
      <c r="M10" s="263"/>
      <c r="N10" s="264"/>
      <c r="R10" s="21"/>
    </row>
    <row r="11" spans="1:19" ht="9.9499999999999993" customHeight="1" x14ac:dyDescent="0.35">
      <c r="A11" s="14"/>
      <c r="B11" s="15"/>
      <c r="C11" s="26"/>
      <c r="D11" s="26"/>
      <c r="E11" s="18"/>
      <c r="F11" s="23"/>
      <c r="G11" s="23"/>
      <c r="H11" s="20"/>
      <c r="I11" s="20"/>
      <c r="J11" s="20"/>
      <c r="K11" s="20"/>
      <c r="L11" s="14"/>
      <c r="M11" s="14"/>
      <c r="N11" s="14"/>
      <c r="R11" s="21"/>
    </row>
    <row r="12" spans="1:19" ht="9.9499999999999993" customHeight="1" x14ac:dyDescent="0.35">
      <c r="A12" s="14"/>
      <c r="B12" s="15"/>
      <c r="C12" s="26"/>
      <c r="D12" s="26"/>
      <c r="E12" s="18"/>
      <c r="F12" s="23"/>
      <c r="G12" s="23"/>
      <c r="H12" s="20"/>
      <c r="I12" s="20"/>
      <c r="J12" s="20"/>
      <c r="K12" s="20"/>
      <c r="L12" s="14"/>
      <c r="M12" s="14"/>
      <c r="N12" s="14"/>
      <c r="R12" s="21"/>
    </row>
    <row r="13" spans="1:19" ht="30" customHeight="1" x14ac:dyDescent="0.25">
      <c r="B13" s="27"/>
      <c r="C13" s="28" t="s">
        <v>30</v>
      </c>
      <c r="D13" s="256" t="s">
        <v>31</v>
      </c>
      <c r="E13" s="257"/>
      <c r="F13" s="258" t="s">
        <v>32</v>
      </c>
      <c r="G13" s="258"/>
      <c r="H13" s="258"/>
      <c r="I13" s="258"/>
      <c r="J13" s="258" t="s">
        <v>33</v>
      </c>
      <c r="K13" s="258"/>
      <c r="L13" s="258"/>
      <c r="M13" s="258"/>
      <c r="N13" s="257" t="s">
        <v>34</v>
      </c>
      <c r="O13" s="258"/>
      <c r="P13" s="258"/>
      <c r="Q13" s="258"/>
      <c r="R13" s="21"/>
    </row>
    <row r="14" spans="1:19" s="14" customFormat="1" ht="20.100000000000001" customHeight="1" x14ac:dyDescent="0.3">
      <c r="B14" s="15"/>
      <c r="C14" s="238">
        <v>1</v>
      </c>
      <c r="D14" s="29" t="s">
        <v>35</v>
      </c>
      <c r="E14" s="30"/>
      <c r="F14" s="31"/>
      <c r="G14" s="31"/>
      <c r="H14" s="31"/>
      <c r="I14" s="31"/>
      <c r="J14" s="31"/>
      <c r="K14" s="32"/>
      <c r="L14" s="32"/>
      <c r="M14" s="31"/>
      <c r="N14" s="33"/>
      <c r="O14" s="31"/>
      <c r="P14" s="31"/>
      <c r="Q14" s="34"/>
      <c r="R14" s="35"/>
      <c r="S14" s="36"/>
    </row>
    <row r="15" spans="1:19" s="14" customFormat="1" ht="20.100000000000001" customHeight="1" x14ac:dyDescent="0.3">
      <c r="B15" s="15"/>
      <c r="C15" s="217"/>
      <c r="D15" s="37" t="s">
        <v>36</v>
      </c>
      <c r="E15" s="38"/>
      <c r="F15" s="39" t="s">
        <v>121</v>
      </c>
      <c r="G15" s="40"/>
      <c r="H15" s="40"/>
      <c r="I15" s="41"/>
      <c r="J15" s="42"/>
      <c r="K15" s="43"/>
      <c r="L15" s="43"/>
      <c r="M15" s="41"/>
      <c r="N15" s="44"/>
      <c r="O15" s="40"/>
      <c r="P15" s="40"/>
      <c r="Q15" s="45"/>
      <c r="R15" s="46"/>
      <c r="S15" s="47"/>
    </row>
    <row r="16" spans="1:19" s="14" customFormat="1" ht="20.100000000000001" customHeight="1" x14ac:dyDescent="0.3">
      <c r="B16" s="15"/>
      <c r="C16" s="217"/>
      <c r="D16" s="48" t="s">
        <v>37</v>
      </c>
      <c r="E16" s="49"/>
      <c r="F16" s="50"/>
      <c r="G16" s="51"/>
      <c r="H16" s="51"/>
      <c r="I16" s="52"/>
      <c r="J16" s="53"/>
      <c r="K16" s="32"/>
      <c r="L16" s="32"/>
      <c r="M16" s="52"/>
      <c r="N16" s="54"/>
      <c r="O16" s="55"/>
      <c r="P16" s="55"/>
      <c r="Q16" s="56"/>
      <c r="R16" s="56"/>
      <c r="S16" s="57"/>
    </row>
    <row r="17" spans="2:19" s="14" customFormat="1" ht="20.100000000000001" customHeight="1" x14ac:dyDescent="0.3">
      <c r="B17" s="15"/>
      <c r="C17" s="217"/>
      <c r="D17" s="48" t="s">
        <v>38</v>
      </c>
      <c r="E17" s="49" t="s">
        <v>39</v>
      </c>
      <c r="F17" s="58" t="s">
        <v>40</v>
      </c>
      <c r="G17" s="51"/>
      <c r="H17" s="51"/>
      <c r="I17" s="59"/>
      <c r="J17" s="60"/>
      <c r="K17" s="32"/>
      <c r="L17" s="32"/>
      <c r="M17" s="52"/>
      <c r="N17" s="61"/>
      <c r="O17" s="51"/>
      <c r="P17" s="51"/>
      <c r="Q17" s="34"/>
      <c r="R17" s="46"/>
      <c r="S17" s="62"/>
    </row>
    <row r="18" spans="2:19" s="14" customFormat="1" ht="20.100000000000001" customHeight="1" x14ac:dyDescent="0.3">
      <c r="B18" s="15"/>
      <c r="C18" s="217"/>
      <c r="D18" s="48"/>
      <c r="E18" s="49" t="s">
        <v>41</v>
      </c>
      <c r="F18" s="63" t="s">
        <v>42</v>
      </c>
      <c r="G18" s="64"/>
      <c r="H18" s="64"/>
      <c r="I18" s="65"/>
      <c r="J18" s="66"/>
      <c r="K18" s="43"/>
      <c r="L18" s="43"/>
      <c r="M18" s="65"/>
      <c r="N18" s="67"/>
      <c r="O18" s="64"/>
      <c r="P18" s="64"/>
      <c r="Q18" s="45"/>
      <c r="R18" s="68"/>
      <c r="S18" s="62"/>
    </row>
    <row r="19" spans="2:19" s="14" customFormat="1" ht="20.100000000000001" customHeight="1" x14ac:dyDescent="0.35">
      <c r="B19" s="15"/>
      <c r="C19" s="218"/>
      <c r="D19" s="48"/>
      <c r="E19" s="49" t="s">
        <v>43</v>
      </c>
      <c r="F19" s="69" t="s">
        <v>44</v>
      </c>
      <c r="G19" s="32"/>
      <c r="H19" s="32"/>
      <c r="I19" s="34"/>
      <c r="J19" s="32"/>
      <c r="K19" s="32"/>
      <c r="L19" s="32"/>
      <c r="M19" s="34"/>
      <c r="N19" s="43"/>
      <c r="O19" s="43"/>
      <c r="P19" s="43"/>
      <c r="Q19" s="45"/>
      <c r="R19" s="56"/>
      <c r="S19" s="62"/>
    </row>
    <row r="20" spans="2:19" s="14" customFormat="1" ht="20.100000000000001" customHeight="1" x14ac:dyDescent="0.35">
      <c r="B20" s="15"/>
      <c r="C20" s="70">
        <v>2</v>
      </c>
      <c r="D20" s="71" t="s">
        <v>45</v>
      </c>
      <c r="E20" s="72"/>
      <c r="F20" s="259" t="s">
        <v>46</v>
      </c>
      <c r="G20" s="206"/>
      <c r="H20" s="206"/>
      <c r="I20" s="206"/>
      <c r="J20" s="230"/>
      <c r="K20" s="231"/>
      <c r="L20" s="231"/>
      <c r="M20" s="232"/>
      <c r="N20" s="231"/>
      <c r="O20" s="231"/>
      <c r="P20" s="231"/>
      <c r="Q20" s="232"/>
      <c r="R20" s="56"/>
      <c r="S20" s="62"/>
    </row>
    <row r="21" spans="2:19" s="14" customFormat="1" ht="20.100000000000001" customHeight="1" x14ac:dyDescent="0.35">
      <c r="B21" s="15"/>
      <c r="C21" s="238">
        <v>3</v>
      </c>
      <c r="D21" s="29" t="s">
        <v>47</v>
      </c>
      <c r="E21" s="78"/>
      <c r="F21" s="205"/>
      <c r="G21" s="205"/>
      <c r="H21" s="205"/>
      <c r="I21" s="205"/>
      <c r="J21" s="209"/>
      <c r="K21" s="209"/>
      <c r="L21" s="209"/>
      <c r="M21" s="209"/>
      <c r="N21" s="209"/>
      <c r="O21" s="209"/>
      <c r="P21" s="209"/>
      <c r="Q21" s="210"/>
      <c r="R21" s="56"/>
    </row>
    <row r="22" spans="2:19" s="14" customFormat="1" ht="20.100000000000001" customHeight="1" x14ac:dyDescent="0.35">
      <c r="B22" s="15"/>
      <c r="C22" s="217"/>
      <c r="D22" s="37" t="s">
        <v>48</v>
      </c>
      <c r="E22" s="81"/>
      <c r="F22" s="82"/>
      <c r="G22" s="83"/>
      <c r="H22" s="83"/>
      <c r="I22" s="83"/>
      <c r="J22" s="84"/>
      <c r="K22" s="85"/>
      <c r="L22" s="85"/>
      <c r="M22" s="86"/>
      <c r="N22" s="85"/>
      <c r="O22" s="85"/>
      <c r="P22" s="85"/>
      <c r="Q22" s="86"/>
      <c r="R22" s="56"/>
    </row>
    <row r="23" spans="2:19" s="14" customFormat="1" ht="20.100000000000001" customHeight="1" x14ac:dyDescent="0.35">
      <c r="B23" s="15"/>
      <c r="C23" s="217"/>
      <c r="D23" s="48" t="s">
        <v>49</v>
      </c>
      <c r="E23" s="87"/>
      <c r="F23" s="73"/>
      <c r="G23" s="74"/>
      <c r="H23" s="74"/>
      <c r="I23" s="74"/>
      <c r="J23" s="75"/>
      <c r="K23" s="76"/>
      <c r="L23" s="76"/>
      <c r="M23" s="77"/>
      <c r="N23" s="76"/>
      <c r="O23" s="76"/>
      <c r="P23" s="76"/>
      <c r="Q23" s="77"/>
      <c r="R23" s="56"/>
    </row>
    <row r="24" spans="2:19" s="14" customFormat="1" ht="20.100000000000001" customHeight="1" x14ac:dyDescent="0.35">
      <c r="B24" s="15"/>
      <c r="C24" s="217"/>
      <c r="D24" s="48" t="s">
        <v>50</v>
      </c>
      <c r="E24" s="87"/>
      <c r="F24" s="73"/>
      <c r="G24" s="74"/>
      <c r="H24" s="74" t="s">
        <v>51</v>
      </c>
      <c r="I24" s="74"/>
      <c r="J24" s="75"/>
      <c r="K24" s="76"/>
      <c r="L24" s="76"/>
      <c r="M24" s="77"/>
      <c r="N24" s="76"/>
      <c r="O24" s="76"/>
      <c r="P24" s="76"/>
      <c r="Q24" s="77"/>
      <c r="R24" s="56"/>
    </row>
    <row r="25" spans="2:19" s="14" customFormat="1" ht="20.100000000000001" customHeight="1" x14ac:dyDescent="0.35">
      <c r="B25" s="15"/>
      <c r="C25" s="217"/>
      <c r="D25" s="48" t="s">
        <v>52</v>
      </c>
      <c r="E25" s="87"/>
      <c r="F25" s="73"/>
      <c r="G25" s="74"/>
      <c r="H25" s="74"/>
      <c r="I25" s="74"/>
      <c r="J25" s="75"/>
      <c r="K25" s="76"/>
      <c r="L25" s="76"/>
      <c r="M25" s="77"/>
      <c r="N25" s="76"/>
      <c r="O25" s="76"/>
      <c r="P25" s="76"/>
      <c r="Q25" s="77"/>
      <c r="R25" s="56"/>
    </row>
    <row r="26" spans="2:19" s="14" customFormat="1" ht="20.100000000000001" customHeight="1" x14ac:dyDescent="0.35">
      <c r="B26" s="15"/>
      <c r="C26" s="217"/>
      <c r="D26" s="48" t="s">
        <v>53</v>
      </c>
      <c r="E26" s="87"/>
      <c r="F26" s="73"/>
      <c r="G26" s="74"/>
      <c r="H26" s="74"/>
      <c r="I26" s="74"/>
      <c r="J26" s="75"/>
      <c r="K26" s="76"/>
      <c r="L26" s="76"/>
      <c r="M26" s="77"/>
      <c r="N26" s="76"/>
      <c r="O26" s="76"/>
      <c r="P26" s="76"/>
      <c r="Q26" s="77"/>
      <c r="R26" s="56"/>
    </row>
    <row r="27" spans="2:19" s="14" customFormat="1" ht="20.100000000000001" customHeight="1" x14ac:dyDescent="0.35">
      <c r="B27" s="15"/>
      <c r="C27" s="217"/>
      <c r="D27" s="48" t="s">
        <v>54</v>
      </c>
      <c r="E27" s="87"/>
      <c r="F27" s="73"/>
      <c r="G27" s="74"/>
      <c r="H27" s="74"/>
      <c r="I27" s="74"/>
      <c r="J27" s="75"/>
      <c r="K27" s="76"/>
      <c r="L27" s="76"/>
      <c r="M27" s="77"/>
      <c r="N27" s="76"/>
      <c r="O27" s="76"/>
      <c r="P27" s="76"/>
      <c r="Q27" s="77"/>
      <c r="R27" s="56"/>
    </row>
    <row r="28" spans="2:19" s="14" customFormat="1" ht="20.100000000000001" customHeight="1" x14ac:dyDescent="0.35">
      <c r="B28" s="15"/>
      <c r="C28" s="217"/>
      <c r="D28" s="48" t="s">
        <v>55</v>
      </c>
      <c r="E28" s="87"/>
      <c r="F28" s="73"/>
      <c r="G28" s="74"/>
      <c r="H28" s="79" t="s">
        <v>51</v>
      </c>
      <c r="I28" s="74"/>
      <c r="J28" s="75"/>
      <c r="K28" s="76"/>
      <c r="L28" s="76"/>
      <c r="M28" s="77"/>
      <c r="N28" s="76"/>
      <c r="O28" s="76"/>
      <c r="P28" s="76"/>
      <c r="Q28" s="77"/>
      <c r="R28" s="56"/>
    </row>
    <row r="29" spans="2:19" s="14" customFormat="1" ht="20.100000000000001" customHeight="1" x14ac:dyDescent="0.35">
      <c r="B29" s="15"/>
      <c r="C29" s="217"/>
      <c r="D29" s="48" t="s">
        <v>56</v>
      </c>
      <c r="E29" s="87"/>
      <c r="F29" s="73"/>
      <c r="G29" s="74"/>
      <c r="H29" s="74"/>
      <c r="I29" s="74"/>
      <c r="J29" s="75"/>
      <c r="K29" s="76"/>
      <c r="L29" s="76"/>
      <c r="M29" s="77"/>
      <c r="N29" s="76"/>
      <c r="O29" s="76"/>
      <c r="P29" s="76"/>
      <c r="Q29" s="77"/>
      <c r="R29" s="56"/>
    </row>
    <row r="30" spans="2:19" s="14" customFormat="1" ht="20.100000000000001" customHeight="1" x14ac:dyDescent="0.35">
      <c r="B30" s="15"/>
      <c r="C30" s="218"/>
      <c r="D30" s="48" t="s">
        <v>57</v>
      </c>
      <c r="E30" s="87"/>
      <c r="F30" s="73"/>
      <c r="G30" s="74"/>
      <c r="H30" s="74"/>
      <c r="I30" s="74"/>
      <c r="J30" s="24"/>
      <c r="K30" s="80"/>
      <c r="L30" s="80"/>
      <c r="M30" s="25"/>
      <c r="N30" s="76"/>
      <c r="O30" s="76"/>
      <c r="P30" s="76"/>
      <c r="Q30" s="77"/>
      <c r="R30" s="56"/>
    </row>
    <row r="31" spans="2:19" s="14" customFormat="1" ht="20.100000000000001" customHeight="1" x14ac:dyDescent="0.3">
      <c r="B31" s="15"/>
      <c r="C31" s="249">
        <v>4</v>
      </c>
      <c r="D31" s="88" t="s">
        <v>58</v>
      </c>
      <c r="E31" s="89"/>
      <c r="F31" s="90"/>
      <c r="G31" s="90"/>
      <c r="H31" s="90"/>
      <c r="I31" s="90"/>
      <c r="J31" s="90"/>
      <c r="K31" s="90"/>
      <c r="L31" s="91"/>
      <c r="M31" s="91"/>
      <c r="N31" s="91"/>
      <c r="O31" s="91"/>
      <c r="P31" s="91"/>
      <c r="Q31" s="92"/>
      <c r="R31" s="56"/>
    </row>
    <row r="32" spans="2:19" s="14" customFormat="1" ht="20.100000000000001" customHeight="1" x14ac:dyDescent="0.3">
      <c r="B32" s="15"/>
      <c r="C32" s="217"/>
      <c r="D32" s="93"/>
      <c r="E32" s="17"/>
      <c r="F32" s="94"/>
      <c r="G32" s="94"/>
      <c r="H32" s="95"/>
      <c r="I32" s="95"/>
      <c r="J32" s="95"/>
      <c r="K32" s="95"/>
      <c r="M32" s="250" t="s">
        <v>59</v>
      </c>
      <c r="N32" s="251"/>
      <c r="O32" s="252"/>
      <c r="P32" s="85"/>
      <c r="Q32" s="86"/>
      <c r="R32" s="56"/>
    </row>
    <row r="33" spans="2:18" s="14" customFormat="1" ht="20.100000000000001" customHeight="1" x14ac:dyDescent="0.3">
      <c r="B33" s="15"/>
      <c r="C33" s="217"/>
      <c r="D33" s="96"/>
      <c r="E33" s="97"/>
      <c r="F33" s="98"/>
      <c r="G33" s="98"/>
      <c r="H33" s="99"/>
      <c r="I33" s="99"/>
      <c r="J33" s="99"/>
      <c r="K33" s="99"/>
      <c r="M33" s="230"/>
      <c r="N33" s="231"/>
      <c r="O33" s="232"/>
      <c r="P33" s="85"/>
      <c r="Q33" s="86"/>
      <c r="R33" s="56"/>
    </row>
    <row r="34" spans="2:18" s="14" customFormat="1" ht="20.100000000000001" customHeight="1" x14ac:dyDescent="0.3">
      <c r="B34" s="15"/>
      <c r="C34" s="217"/>
      <c r="D34" s="96"/>
      <c r="E34" s="99"/>
      <c r="F34" s="98"/>
      <c r="G34" s="98"/>
      <c r="H34" s="99"/>
      <c r="I34" s="99"/>
      <c r="J34" s="99"/>
      <c r="K34" s="99"/>
      <c r="M34" s="227"/>
      <c r="N34" s="228"/>
      <c r="O34" s="229"/>
      <c r="P34" s="85"/>
      <c r="Q34" s="86"/>
      <c r="R34" s="56"/>
    </row>
    <row r="35" spans="2:18" s="14" customFormat="1" ht="20.100000000000001" customHeight="1" x14ac:dyDescent="0.3">
      <c r="B35" s="15"/>
      <c r="C35" s="217"/>
      <c r="D35" s="96"/>
      <c r="E35" s="99"/>
      <c r="F35" s="98"/>
      <c r="G35" s="98"/>
      <c r="H35" s="99"/>
      <c r="I35" s="99"/>
      <c r="J35" s="99"/>
      <c r="K35" s="99"/>
      <c r="M35" s="253" t="s">
        <v>60</v>
      </c>
      <c r="N35" s="254"/>
      <c r="O35" s="255"/>
      <c r="P35" s="85"/>
      <c r="Q35" s="86"/>
      <c r="R35" s="56"/>
    </row>
    <row r="36" spans="2:18" s="14" customFormat="1" ht="20.100000000000001" customHeight="1" x14ac:dyDescent="0.3">
      <c r="B36" s="15"/>
      <c r="C36" s="217"/>
      <c r="D36" s="96"/>
      <c r="E36" s="99"/>
      <c r="F36" s="98"/>
      <c r="G36" s="98"/>
      <c r="H36" s="99"/>
      <c r="I36" s="99"/>
      <c r="J36" s="99"/>
      <c r="K36" s="99"/>
      <c r="M36" s="253" t="s">
        <v>61</v>
      </c>
      <c r="N36" s="254"/>
      <c r="O36" s="255"/>
      <c r="P36" s="85"/>
      <c r="Q36" s="86"/>
      <c r="R36" s="56"/>
    </row>
    <row r="37" spans="2:18" s="14" customFormat="1" ht="20.100000000000001" customHeight="1" x14ac:dyDescent="0.3">
      <c r="B37" s="15"/>
      <c r="C37" s="218"/>
      <c r="D37" s="102"/>
      <c r="E37" s="103"/>
      <c r="F37" s="104"/>
      <c r="G37" s="104"/>
      <c r="H37" s="104"/>
      <c r="I37" s="104"/>
      <c r="J37" s="104"/>
      <c r="K37" s="104"/>
      <c r="L37" s="85"/>
      <c r="M37" s="85"/>
      <c r="N37" s="85"/>
      <c r="O37" s="85"/>
      <c r="P37" s="85"/>
      <c r="Q37" s="86"/>
      <c r="R37" s="56"/>
    </row>
    <row r="38" spans="2:18" s="14" customFormat="1" ht="20.100000000000001" customHeight="1" x14ac:dyDescent="0.3">
      <c r="B38" s="15"/>
      <c r="C38" s="238">
        <v>5</v>
      </c>
      <c r="D38" s="240" t="s">
        <v>62</v>
      </c>
      <c r="E38" s="241"/>
      <c r="F38" s="105"/>
      <c r="G38" s="105"/>
      <c r="H38" s="106"/>
      <c r="I38" s="106"/>
      <c r="J38" s="105"/>
      <c r="K38" s="105"/>
      <c r="L38" s="106"/>
      <c r="M38" s="106"/>
      <c r="N38" s="105"/>
      <c r="O38" s="105"/>
      <c r="P38" s="106"/>
      <c r="Q38" s="107"/>
      <c r="R38" s="56"/>
    </row>
    <row r="39" spans="2:18" s="14" customFormat="1" ht="20.100000000000001" customHeight="1" x14ac:dyDescent="0.3">
      <c r="B39" s="15"/>
      <c r="C39" s="239"/>
      <c r="D39" s="242" t="s">
        <v>63</v>
      </c>
      <c r="E39" s="243"/>
      <c r="F39" s="105"/>
      <c r="G39" s="105"/>
      <c r="H39" s="106"/>
      <c r="I39" s="106"/>
      <c r="J39" s="105"/>
      <c r="K39" s="105"/>
      <c r="L39" s="106"/>
      <c r="M39" s="106"/>
      <c r="N39" s="105"/>
      <c r="O39" s="105"/>
      <c r="P39" s="106"/>
      <c r="Q39" s="107"/>
      <c r="R39" s="56"/>
    </row>
    <row r="40" spans="2:18" s="14" customFormat="1" ht="20.100000000000001" customHeight="1" x14ac:dyDescent="0.3">
      <c r="B40" s="15"/>
      <c r="C40" s="217"/>
      <c r="D40" s="244" t="s">
        <v>64</v>
      </c>
      <c r="E40" s="245"/>
      <c r="F40" s="109" t="s">
        <v>65</v>
      </c>
      <c r="G40" s="109" t="s">
        <v>66</v>
      </c>
      <c r="H40" s="110" t="s">
        <v>62</v>
      </c>
      <c r="I40" s="110" t="s">
        <v>67</v>
      </c>
      <c r="J40" s="109" t="s">
        <v>65</v>
      </c>
      <c r="K40" s="109" t="s">
        <v>66</v>
      </c>
      <c r="L40" s="110" t="s">
        <v>62</v>
      </c>
      <c r="M40" s="110" t="s">
        <v>67</v>
      </c>
      <c r="N40" s="109" t="s">
        <v>65</v>
      </c>
      <c r="O40" s="109" t="s">
        <v>66</v>
      </c>
      <c r="P40" s="110" t="s">
        <v>62</v>
      </c>
      <c r="Q40" s="110" t="s">
        <v>67</v>
      </c>
      <c r="R40" s="56"/>
    </row>
    <row r="41" spans="2:18" s="14" customFormat="1" ht="20.100000000000001" customHeight="1" x14ac:dyDescent="0.3">
      <c r="B41" s="15"/>
      <c r="C41" s="217"/>
      <c r="D41" s="246"/>
      <c r="E41" s="222"/>
      <c r="F41" s="111"/>
      <c r="G41" s="111"/>
      <c r="H41" s="112"/>
      <c r="I41" s="112"/>
      <c r="J41" s="111"/>
      <c r="K41" s="111"/>
      <c r="L41" s="112"/>
      <c r="M41" s="112"/>
      <c r="N41" s="113"/>
      <c r="O41" s="111"/>
      <c r="P41" s="112"/>
      <c r="Q41" s="112"/>
      <c r="R41" s="56"/>
    </row>
    <row r="42" spans="2:18" s="14" customFormat="1" ht="20.100000000000001" customHeight="1" x14ac:dyDescent="0.3">
      <c r="B42" s="15"/>
      <c r="C42" s="217"/>
      <c r="D42" s="247"/>
      <c r="E42" s="248"/>
      <c r="F42" s="114"/>
      <c r="G42" s="115"/>
      <c r="H42" s="116"/>
      <c r="I42" s="116"/>
      <c r="J42" s="114"/>
      <c r="K42" s="115"/>
      <c r="L42" s="111"/>
      <c r="M42" s="116"/>
      <c r="N42" s="114"/>
      <c r="O42" s="115"/>
      <c r="P42" s="111"/>
      <c r="Q42" s="116"/>
      <c r="R42" s="56"/>
    </row>
    <row r="43" spans="2:18" s="14" customFormat="1" ht="20.100000000000001" customHeight="1" x14ac:dyDescent="0.3">
      <c r="B43" s="15"/>
      <c r="C43" s="217"/>
      <c r="D43" s="234" t="s">
        <v>68</v>
      </c>
      <c r="E43" s="235"/>
      <c r="F43" s="208"/>
      <c r="G43" s="209"/>
      <c r="H43" s="210"/>
      <c r="I43" s="116"/>
      <c r="J43" s="208"/>
      <c r="K43" s="209"/>
      <c r="L43" s="210"/>
      <c r="M43" s="116"/>
      <c r="N43" s="208"/>
      <c r="O43" s="209"/>
      <c r="P43" s="210"/>
      <c r="Q43" s="116"/>
      <c r="R43" s="56"/>
    </row>
    <row r="44" spans="2:18" s="14" customFormat="1" ht="20.100000000000001" customHeight="1" thickBot="1" x14ac:dyDescent="0.35">
      <c r="B44" s="15"/>
      <c r="C44" s="217"/>
      <c r="D44" s="236" t="s">
        <v>69</v>
      </c>
      <c r="E44" s="237"/>
      <c r="F44" s="230"/>
      <c r="G44" s="231"/>
      <c r="H44" s="232"/>
      <c r="I44" s="119"/>
      <c r="J44" s="230"/>
      <c r="K44" s="231"/>
      <c r="L44" s="232"/>
      <c r="M44" s="119"/>
      <c r="N44" s="230"/>
      <c r="O44" s="231"/>
      <c r="P44" s="232"/>
      <c r="Q44" s="119"/>
      <c r="R44" s="56"/>
    </row>
    <row r="45" spans="2:18" s="14" customFormat="1" ht="20.100000000000001" customHeight="1" thickTop="1" x14ac:dyDescent="0.3">
      <c r="B45" s="15"/>
      <c r="C45" s="239"/>
      <c r="D45" s="108" t="s">
        <v>70</v>
      </c>
      <c r="E45" s="120"/>
      <c r="F45" s="121"/>
      <c r="G45" s="121"/>
      <c r="H45" s="122"/>
      <c r="I45" s="123"/>
      <c r="J45" s="121"/>
      <c r="K45" s="121"/>
      <c r="L45" s="122"/>
      <c r="M45" s="122"/>
      <c r="N45" s="121"/>
      <c r="O45" s="121"/>
      <c r="P45" s="122"/>
      <c r="Q45" s="124"/>
      <c r="R45" s="56"/>
    </row>
    <row r="46" spans="2:18" s="14" customFormat="1" ht="20.100000000000001" customHeight="1" x14ac:dyDescent="0.3">
      <c r="B46" s="15"/>
      <c r="C46" s="217"/>
      <c r="D46" s="244" t="s">
        <v>64</v>
      </c>
      <c r="E46" s="245"/>
      <c r="F46" s="125" t="s">
        <v>65</v>
      </c>
      <c r="G46" s="125" t="s">
        <v>66</v>
      </c>
      <c r="H46" s="126" t="s">
        <v>62</v>
      </c>
      <c r="I46" s="126" t="s">
        <v>67</v>
      </c>
      <c r="J46" s="125" t="s">
        <v>65</v>
      </c>
      <c r="K46" s="125" t="s">
        <v>66</v>
      </c>
      <c r="L46" s="126" t="s">
        <v>62</v>
      </c>
      <c r="M46" s="126" t="s">
        <v>67</v>
      </c>
      <c r="N46" s="125" t="s">
        <v>65</v>
      </c>
      <c r="O46" s="125" t="s">
        <v>66</v>
      </c>
      <c r="P46" s="126" t="s">
        <v>62</v>
      </c>
      <c r="Q46" s="126" t="s">
        <v>67</v>
      </c>
      <c r="R46" s="56"/>
    </row>
    <row r="47" spans="2:18" s="14" customFormat="1" ht="20.100000000000001" customHeight="1" x14ac:dyDescent="0.35">
      <c r="B47" s="15"/>
      <c r="C47" s="217"/>
      <c r="D47" s="246"/>
      <c r="E47" s="222"/>
      <c r="F47" s="127"/>
      <c r="G47" s="127">
        <v>1</v>
      </c>
      <c r="H47" s="128">
        <v>265000000</v>
      </c>
      <c r="I47" s="129">
        <f>G47*H47</f>
        <v>265000000</v>
      </c>
      <c r="J47" s="111"/>
      <c r="K47" s="111"/>
      <c r="L47" s="112"/>
      <c r="M47" s="112"/>
      <c r="N47" s="113"/>
      <c r="O47" s="111"/>
      <c r="P47" s="112"/>
      <c r="Q47" s="112"/>
      <c r="R47" s="56"/>
    </row>
    <row r="48" spans="2:18" s="14" customFormat="1" ht="20.100000000000001" customHeight="1" x14ac:dyDescent="0.35">
      <c r="B48" s="15"/>
      <c r="C48" s="217"/>
      <c r="D48" s="247"/>
      <c r="E48" s="248"/>
      <c r="F48" s="130"/>
      <c r="G48" s="131"/>
      <c r="H48" s="132"/>
      <c r="I48" s="133"/>
      <c r="J48" s="114"/>
      <c r="K48" s="115"/>
      <c r="L48" s="111"/>
      <c r="M48" s="116"/>
      <c r="N48" s="114"/>
      <c r="O48" s="115"/>
      <c r="P48" s="111"/>
      <c r="Q48" s="116"/>
      <c r="R48" s="56"/>
    </row>
    <row r="49" spans="2:18" s="14" customFormat="1" ht="20.100000000000001" customHeight="1" x14ac:dyDescent="0.35">
      <c r="B49" s="15"/>
      <c r="C49" s="217"/>
      <c r="D49" s="234" t="s">
        <v>68</v>
      </c>
      <c r="E49" s="235"/>
      <c r="F49" s="233"/>
      <c r="G49" s="205"/>
      <c r="H49" s="215"/>
      <c r="I49" s="134">
        <f>I47</f>
        <v>265000000</v>
      </c>
      <c r="J49" s="208"/>
      <c r="K49" s="209"/>
      <c r="L49" s="210"/>
      <c r="M49" s="116"/>
      <c r="N49" s="208"/>
      <c r="O49" s="209"/>
      <c r="P49" s="210"/>
      <c r="Q49" s="116"/>
      <c r="R49" s="56"/>
    </row>
    <row r="50" spans="2:18" s="14" customFormat="1" ht="20.100000000000001" customHeight="1" x14ac:dyDescent="0.3">
      <c r="B50" s="15"/>
      <c r="C50" s="217"/>
      <c r="D50" s="117" t="s">
        <v>71</v>
      </c>
      <c r="E50" s="118"/>
      <c r="F50" s="24"/>
      <c r="G50" s="80"/>
      <c r="H50" s="25"/>
      <c r="I50" s="135"/>
      <c r="J50" s="24"/>
      <c r="K50" s="80"/>
      <c r="L50" s="25"/>
      <c r="M50" s="136"/>
      <c r="N50" s="24"/>
      <c r="O50" s="80"/>
      <c r="P50" s="25"/>
      <c r="Q50" s="136"/>
      <c r="R50" s="56"/>
    </row>
    <row r="51" spans="2:18" s="14" customFormat="1" ht="20.100000000000001" customHeight="1" x14ac:dyDescent="0.3">
      <c r="B51" s="15"/>
      <c r="C51" s="217"/>
      <c r="D51" s="117" t="s">
        <v>72</v>
      </c>
      <c r="E51" s="118"/>
      <c r="F51" s="24"/>
      <c r="G51" s="80"/>
      <c r="H51" s="25"/>
      <c r="I51" s="135"/>
      <c r="J51" s="24"/>
      <c r="K51" s="80"/>
      <c r="L51" s="25"/>
      <c r="M51" s="136"/>
      <c r="N51" s="24"/>
      <c r="O51" s="80"/>
      <c r="P51" s="25"/>
      <c r="Q51" s="136"/>
      <c r="R51" s="56"/>
    </row>
    <row r="52" spans="2:18" s="14" customFormat="1" ht="20.100000000000001" customHeight="1" thickBot="1" x14ac:dyDescent="0.35">
      <c r="B52" s="15"/>
      <c r="C52" s="218"/>
      <c r="D52" s="234" t="s">
        <v>69</v>
      </c>
      <c r="E52" s="235"/>
      <c r="F52" s="208"/>
      <c r="G52" s="209"/>
      <c r="H52" s="210"/>
      <c r="I52" s="137"/>
      <c r="J52" s="208"/>
      <c r="K52" s="209"/>
      <c r="L52" s="210"/>
      <c r="M52" s="119"/>
      <c r="N52" s="208"/>
      <c r="O52" s="209"/>
      <c r="P52" s="210"/>
      <c r="Q52" s="119"/>
      <c r="R52" s="56"/>
    </row>
    <row r="53" spans="2:18" s="14" customFormat="1" ht="20.100000000000001" customHeight="1" thickTop="1" x14ac:dyDescent="0.3">
      <c r="B53" s="15"/>
      <c r="C53" s="138">
        <v>6</v>
      </c>
      <c r="D53" s="101" t="s">
        <v>73</v>
      </c>
      <c r="E53" s="43"/>
      <c r="F53" s="100"/>
      <c r="G53" s="100"/>
      <c r="H53" s="100"/>
      <c r="I53" s="139"/>
      <c r="J53" s="100"/>
      <c r="K53" s="100"/>
      <c r="L53" s="100"/>
      <c r="M53" s="139"/>
      <c r="N53" s="100"/>
      <c r="O53" s="100"/>
      <c r="P53" s="100"/>
      <c r="Q53" s="140"/>
      <c r="R53" s="56"/>
    </row>
    <row r="54" spans="2:18" s="14" customFormat="1" ht="20.100000000000001" customHeight="1" x14ac:dyDescent="0.35">
      <c r="B54" s="15"/>
      <c r="C54" s="141"/>
      <c r="D54" s="142" t="s">
        <v>74</v>
      </c>
      <c r="E54" s="43"/>
      <c r="F54" s="233" t="s">
        <v>75</v>
      </c>
      <c r="G54" s="205"/>
      <c r="H54" s="205"/>
      <c r="I54" s="215"/>
      <c r="J54" s="208"/>
      <c r="K54" s="209"/>
      <c r="L54" s="209"/>
      <c r="M54" s="210"/>
      <c r="N54" s="208"/>
      <c r="O54" s="209"/>
      <c r="P54" s="209"/>
      <c r="Q54" s="210"/>
      <c r="R54" s="56"/>
    </row>
    <row r="55" spans="2:18" s="14" customFormat="1" ht="20.100000000000001" customHeight="1" x14ac:dyDescent="0.3">
      <c r="B55" s="15"/>
      <c r="C55" s="141"/>
      <c r="D55" s="143" t="s">
        <v>76</v>
      </c>
      <c r="F55" s="208"/>
      <c r="G55" s="209"/>
      <c r="H55" s="209"/>
      <c r="I55" s="210"/>
      <c r="J55" s="208"/>
      <c r="K55" s="209"/>
      <c r="L55" s="209"/>
      <c r="M55" s="210"/>
      <c r="N55" s="208"/>
      <c r="O55" s="209"/>
      <c r="P55" s="209"/>
      <c r="Q55" s="210"/>
      <c r="R55" s="56"/>
    </row>
    <row r="56" spans="2:18" s="14" customFormat="1" ht="20.100000000000001" customHeight="1" x14ac:dyDescent="0.3">
      <c r="B56" s="15"/>
      <c r="C56" s="141"/>
      <c r="D56" s="144" t="s">
        <v>77</v>
      </c>
      <c r="E56" s="145"/>
      <c r="F56" s="208"/>
      <c r="G56" s="209"/>
      <c r="H56" s="209"/>
      <c r="I56" s="210"/>
      <c r="J56" s="208"/>
      <c r="K56" s="209"/>
      <c r="L56" s="209"/>
      <c r="M56" s="210"/>
      <c r="N56" s="208"/>
      <c r="O56" s="209"/>
      <c r="P56" s="209"/>
      <c r="Q56" s="210"/>
      <c r="R56" s="56"/>
    </row>
    <row r="57" spans="2:18" s="14" customFormat="1" ht="20.100000000000001" customHeight="1" x14ac:dyDescent="0.3">
      <c r="B57" s="15"/>
      <c r="C57" s="146"/>
      <c r="D57" s="144" t="s">
        <v>78</v>
      </c>
      <c r="E57" s="145"/>
      <c r="F57" s="230"/>
      <c r="G57" s="231"/>
      <c r="H57" s="231"/>
      <c r="I57" s="232"/>
      <c r="J57" s="230"/>
      <c r="K57" s="231"/>
      <c r="L57" s="231"/>
      <c r="M57" s="232"/>
      <c r="N57" s="230"/>
      <c r="O57" s="231"/>
      <c r="P57" s="231"/>
      <c r="Q57" s="232"/>
      <c r="R57" s="56"/>
    </row>
    <row r="58" spans="2:18" s="14" customFormat="1" ht="20.100000000000001" customHeight="1" x14ac:dyDescent="0.3">
      <c r="B58" s="15"/>
      <c r="C58" s="138">
        <v>7</v>
      </c>
      <c r="D58" s="147" t="s">
        <v>79</v>
      </c>
      <c r="E58" s="148"/>
      <c r="F58" s="230"/>
      <c r="G58" s="231"/>
      <c r="H58" s="231"/>
      <c r="I58" s="232"/>
      <c r="J58" s="230"/>
      <c r="K58" s="231"/>
      <c r="L58" s="231"/>
      <c r="M58" s="232"/>
      <c r="N58" s="230"/>
      <c r="O58" s="231"/>
      <c r="P58" s="231"/>
      <c r="Q58" s="232"/>
      <c r="R58" s="56"/>
    </row>
    <row r="59" spans="2:18" s="14" customFormat="1" ht="20.100000000000001" customHeight="1" x14ac:dyDescent="0.3">
      <c r="B59" s="15"/>
      <c r="C59" s="149">
        <v>8</v>
      </c>
      <c r="D59" s="150" t="s">
        <v>80</v>
      </c>
      <c r="E59" s="120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10"/>
      <c r="R59" s="56"/>
    </row>
    <row r="60" spans="2:18" s="14" customFormat="1" ht="20.100000000000001" customHeight="1" x14ac:dyDescent="0.35">
      <c r="B60" s="15"/>
      <c r="C60" s="149"/>
      <c r="D60" s="151" t="s">
        <v>81</v>
      </c>
      <c r="E60" s="152"/>
      <c r="F60" s="225" t="s">
        <v>122</v>
      </c>
      <c r="G60" s="225"/>
      <c r="H60" s="225"/>
      <c r="I60" s="226"/>
      <c r="J60" s="227"/>
      <c r="K60" s="228"/>
      <c r="L60" s="228"/>
      <c r="M60" s="229"/>
      <c r="N60" s="227"/>
      <c r="O60" s="228"/>
      <c r="P60" s="228"/>
      <c r="Q60" s="229"/>
      <c r="R60" s="56"/>
    </row>
    <row r="61" spans="2:18" s="14" customFormat="1" ht="20.100000000000001" customHeight="1" x14ac:dyDescent="0.35">
      <c r="B61" s="15"/>
      <c r="C61" s="149"/>
      <c r="D61" s="153" t="s">
        <v>82</v>
      </c>
      <c r="E61" s="118"/>
      <c r="F61" s="205" t="s">
        <v>123</v>
      </c>
      <c r="G61" s="205"/>
      <c r="H61" s="205"/>
      <c r="I61" s="215"/>
      <c r="J61" s="208"/>
      <c r="K61" s="209"/>
      <c r="L61" s="209"/>
      <c r="M61" s="210"/>
      <c r="N61" s="208"/>
      <c r="O61" s="209"/>
      <c r="P61" s="209"/>
      <c r="Q61" s="210"/>
      <c r="R61" s="56"/>
    </row>
    <row r="62" spans="2:18" s="14" customFormat="1" ht="20.100000000000001" customHeight="1" x14ac:dyDescent="0.3">
      <c r="B62" s="15"/>
      <c r="C62" s="149"/>
      <c r="D62" s="154" t="s">
        <v>83</v>
      </c>
      <c r="E62" s="118"/>
      <c r="F62" s="209"/>
      <c r="G62" s="209"/>
      <c r="H62" s="209"/>
      <c r="I62" s="210"/>
      <c r="J62" s="208"/>
      <c r="K62" s="209"/>
      <c r="L62" s="209"/>
      <c r="M62" s="210"/>
      <c r="N62" s="208"/>
      <c r="O62" s="209"/>
      <c r="P62" s="209"/>
      <c r="Q62" s="210"/>
      <c r="R62" s="56"/>
    </row>
    <row r="63" spans="2:18" s="14" customFormat="1" ht="20.100000000000001" customHeight="1" x14ac:dyDescent="0.3">
      <c r="B63" s="15"/>
      <c r="C63" s="149"/>
      <c r="D63" s="154" t="s">
        <v>84</v>
      </c>
      <c r="E63" s="118"/>
      <c r="F63" s="209"/>
      <c r="G63" s="209"/>
      <c r="H63" s="209"/>
      <c r="I63" s="210"/>
      <c r="J63" s="208"/>
      <c r="K63" s="209"/>
      <c r="L63" s="209"/>
      <c r="M63" s="210"/>
      <c r="N63" s="208"/>
      <c r="O63" s="209"/>
      <c r="P63" s="209"/>
      <c r="Q63" s="210"/>
      <c r="R63" s="56"/>
    </row>
    <row r="64" spans="2:18" s="14" customFormat="1" ht="20.100000000000001" customHeight="1" x14ac:dyDescent="0.3">
      <c r="B64" s="15"/>
      <c r="C64" s="223">
        <v>9</v>
      </c>
      <c r="D64" s="224" t="s">
        <v>85</v>
      </c>
      <c r="E64" s="155" t="s">
        <v>86</v>
      </c>
      <c r="F64" s="209"/>
      <c r="G64" s="209"/>
      <c r="H64" s="209"/>
      <c r="I64" s="210"/>
      <c r="J64" s="208"/>
      <c r="K64" s="209"/>
      <c r="L64" s="209"/>
      <c r="M64" s="210"/>
      <c r="N64" s="208"/>
      <c r="O64" s="209"/>
      <c r="P64" s="209"/>
      <c r="Q64" s="210"/>
      <c r="R64" s="56"/>
    </row>
    <row r="65" spans="2:18" s="14" customFormat="1" ht="20.100000000000001" customHeight="1" x14ac:dyDescent="0.3">
      <c r="B65" s="15"/>
      <c r="C65" s="223"/>
      <c r="D65" s="224"/>
      <c r="E65" s="155" t="s">
        <v>87</v>
      </c>
      <c r="F65" s="209"/>
      <c r="G65" s="209"/>
      <c r="H65" s="209"/>
      <c r="I65" s="210"/>
      <c r="J65" s="208"/>
      <c r="K65" s="209"/>
      <c r="L65" s="209"/>
      <c r="M65" s="210"/>
      <c r="N65" s="208"/>
      <c r="O65" s="209"/>
      <c r="P65" s="209"/>
      <c r="Q65" s="210"/>
      <c r="R65" s="56"/>
    </row>
    <row r="66" spans="2:18" s="14" customFormat="1" ht="20.100000000000001" customHeight="1" x14ac:dyDescent="0.3">
      <c r="B66" s="15"/>
      <c r="C66" s="156">
        <v>10</v>
      </c>
      <c r="D66" s="157" t="s">
        <v>88</v>
      </c>
      <c r="E66" s="158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25"/>
      <c r="R66" s="56"/>
    </row>
    <row r="67" spans="2:18" s="14" customFormat="1" ht="20.100000000000001" customHeight="1" x14ac:dyDescent="0.3">
      <c r="B67" s="15"/>
      <c r="C67" s="202">
        <v>11</v>
      </c>
      <c r="D67" s="157" t="s">
        <v>89</v>
      </c>
      <c r="E67" s="158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25"/>
      <c r="R67" s="56"/>
    </row>
    <row r="68" spans="2:18" s="14" customFormat="1" ht="20.100000000000001" customHeight="1" x14ac:dyDescent="0.3">
      <c r="B68" s="15"/>
      <c r="C68" s="216"/>
      <c r="D68" s="159" t="s">
        <v>90</v>
      </c>
      <c r="E68" s="160"/>
      <c r="F68" s="80"/>
      <c r="G68" s="80"/>
      <c r="H68" s="80" t="s">
        <v>29</v>
      </c>
      <c r="I68" s="25"/>
      <c r="J68" s="80"/>
      <c r="K68" s="80"/>
      <c r="L68" s="80"/>
      <c r="M68" s="25"/>
      <c r="N68" s="80"/>
      <c r="O68" s="80"/>
      <c r="P68" s="80"/>
      <c r="Q68" s="25"/>
      <c r="R68" s="56"/>
    </row>
    <row r="69" spans="2:18" s="14" customFormat="1" ht="20.100000000000001" customHeight="1" x14ac:dyDescent="0.3">
      <c r="B69" s="15"/>
      <c r="C69" s="203"/>
      <c r="D69" s="159" t="s">
        <v>91</v>
      </c>
      <c r="E69" s="160"/>
      <c r="F69" s="80"/>
      <c r="G69" s="80"/>
      <c r="H69" s="80"/>
      <c r="I69" s="25"/>
      <c r="J69" s="80"/>
      <c r="K69" s="80"/>
      <c r="L69" s="80"/>
      <c r="M69" s="25"/>
      <c r="N69" s="80"/>
      <c r="O69" s="80"/>
      <c r="P69" s="80"/>
      <c r="Q69" s="25"/>
      <c r="R69" s="56"/>
    </row>
    <row r="70" spans="2:18" s="14" customFormat="1" ht="20.100000000000001" customHeight="1" x14ac:dyDescent="0.35">
      <c r="B70" s="15"/>
      <c r="C70" s="217">
        <v>12</v>
      </c>
      <c r="D70" s="157" t="s">
        <v>92</v>
      </c>
      <c r="E70" s="118"/>
      <c r="F70" s="219" t="s">
        <v>93</v>
      </c>
      <c r="G70" s="219"/>
      <c r="H70" s="219"/>
      <c r="I70" s="220"/>
      <c r="J70" s="221" t="s">
        <v>93</v>
      </c>
      <c r="K70" s="221"/>
      <c r="L70" s="221"/>
      <c r="M70" s="222"/>
      <c r="N70" s="221" t="s">
        <v>93</v>
      </c>
      <c r="O70" s="221"/>
      <c r="P70" s="221"/>
      <c r="Q70" s="222"/>
      <c r="R70" s="56"/>
    </row>
    <row r="71" spans="2:18" s="14" customFormat="1" ht="20.100000000000001" customHeight="1" x14ac:dyDescent="0.35">
      <c r="B71" s="15"/>
      <c r="C71" s="217"/>
      <c r="D71" s="157" t="s">
        <v>94</v>
      </c>
      <c r="E71" s="118"/>
      <c r="F71" s="205" t="s">
        <v>95</v>
      </c>
      <c r="G71" s="205"/>
      <c r="H71" s="205"/>
      <c r="I71" s="215"/>
      <c r="J71" s="208"/>
      <c r="K71" s="209"/>
      <c r="L71" s="209"/>
      <c r="M71" s="210"/>
      <c r="N71" s="208"/>
      <c r="O71" s="209"/>
      <c r="P71" s="209"/>
      <c r="Q71" s="210"/>
      <c r="R71" s="56"/>
    </row>
    <row r="72" spans="2:18" s="14" customFormat="1" ht="20.100000000000001" customHeight="1" x14ac:dyDescent="0.35">
      <c r="B72" s="15"/>
      <c r="C72" s="217"/>
      <c r="D72" s="157" t="s">
        <v>96</v>
      </c>
      <c r="E72" s="118"/>
      <c r="F72" s="205" t="s">
        <v>95</v>
      </c>
      <c r="G72" s="205"/>
      <c r="H72" s="205"/>
      <c r="I72" s="215"/>
      <c r="J72" s="208"/>
      <c r="K72" s="209"/>
      <c r="L72" s="209"/>
      <c r="M72" s="210"/>
      <c r="N72" s="208"/>
      <c r="O72" s="209"/>
      <c r="P72" s="209"/>
      <c r="Q72" s="210"/>
      <c r="R72" s="56"/>
    </row>
    <row r="73" spans="2:18" s="14" customFormat="1" ht="20.100000000000001" customHeight="1" x14ac:dyDescent="0.35">
      <c r="B73" s="15"/>
      <c r="C73" s="217"/>
      <c r="D73" s="157" t="s">
        <v>97</v>
      </c>
      <c r="E73" s="118"/>
      <c r="F73" s="205" t="s">
        <v>95</v>
      </c>
      <c r="G73" s="205"/>
      <c r="H73" s="205"/>
      <c r="I73" s="215"/>
      <c r="J73" s="208"/>
      <c r="K73" s="209"/>
      <c r="L73" s="209"/>
      <c r="M73" s="210"/>
      <c r="N73" s="208"/>
      <c r="O73" s="209"/>
      <c r="P73" s="209"/>
      <c r="Q73" s="210"/>
      <c r="R73" s="56"/>
    </row>
    <row r="74" spans="2:18" s="14" customFormat="1" ht="20.100000000000001" customHeight="1" x14ac:dyDescent="0.35">
      <c r="B74" s="15"/>
      <c r="C74" s="217"/>
      <c r="D74" s="157" t="s">
        <v>98</v>
      </c>
      <c r="E74" s="118"/>
      <c r="F74" s="205" t="s">
        <v>95</v>
      </c>
      <c r="G74" s="205"/>
      <c r="H74" s="205"/>
      <c r="I74" s="215"/>
      <c r="J74" s="208"/>
      <c r="K74" s="209"/>
      <c r="L74" s="209"/>
      <c r="M74" s="210"/>
      <c r="N74" s="208"/>
      <c r="O74" s="209"/>
      <c r="P74" s="209"/>
      <c r="Q74" s="210"/>
      <c r="R74" s="56"/>
    </row>
    <row r="75" spans="2:18" s="14" customFormat="1" ht="20.100000000000001" customHeight="1" x14ac:dyDescent="0.35">
      <c r="B75" s="15"/>
      <c r="C75" s="218"/>
      <c r="D75" s="157" t="s">
        <v>99</v>
      </c>
      <c r="E75" s="118"/>
      <c r="F75" s="205" t="s">
        <v>100</v>
      </c>
      <c r="G75" s="206"/>
      <c r="H75" s="206"/>
      <c r="I75" s="207"/>
      <c r="J75" s="208"/>
      <c r="K75" s="209"/>
      <c r="L75" s="209"/>
      <c r="M75" s="210"/>
      <c r="N75" s="208"/>
      <c r="O75" s="209"/>
      <c r="P75" s="209"/>
      <c r="Q75" s="210"/>
      <c r="R75" s="56"/>
    </row>
    <row r="76" spans="2:18" s="14" customFormat="1" ht="20.100000000000001" customHeight="1" x14ac:dyDescent="0.3">
      <c r="B76" s="15"/>
      <c r="C76" s="211" t="s">
        <v>101</v>
      </c>
      <c r="D76" s="212"/>
      <c r="E76" s="161"/>
      <c r="F76" s="213" t="s">
        <v>102</v>
      </c>
      <c r="G76" s="204"/>
      <c r="H76" s="204"/>
      <c r="I76" s="204"/>
      <c r="J76" s="213" t="s">
        <v>102</v>
      </c>
      <c r="K76" s="204"/>
      <c r="L76" s="204"/>
      <c r="M76" s="204"/>
      <c r="N76" s="213" t="s">
        <v>102</v>
      </c>
      <c r="O76" s="204"/>
      <c r="P76" s="204"/>
      <c r="Q76" s="204"/>
      <c r="R76" s="56"/>
    </row>
    <row r="77" spans="2:18" s="14" customFormat="1" ht="20.100000000000001" customHeight="1" x14ac:dyDescent="0.3">
      <c r="B77" s="15"/>
      <c r="C77" s="162"/>
      <c r="D77" s="163"/>
      <c r="E77" s="164"/>
      <c r="F77" s="214"/>
      <c r="G77" s="204"/>
      <c r="H77" s="204"/>
      <c r="I77" s="204"/>
      <c r="J77" s="214"/>
      <c r="K77" s="204"/>
      <c r="L77" s="204"/>
      <c r="M77" s="204"/>
      <c r="N77" s="214"/>
      <c r="O77" s="204"/>
      <c r="P77" s="204"/>
      <c r="Q77" s="204"/>
      <c r="R77" s="56"/>
    </row>
    <row r="78" spans="2:18" s="14" customFormat="1" ht="20.100000000000001" customHeight="1" x14ac:dyDescent="0.3">
      <c r="B78" s="15"/>
      <c r="C78" s="162"/>
      <c r="D78" s="163"/>
      <c r="E78" s="164"/>
      <c r="F78" s="202" t="s">
        <v>103</v>
      </c>
      <c r="G78" s="204"/>
      <c r="H78" s="204"/>
      <c r="I78" s="204"/>
      <c r="J78" s="202" t="s">
        <v>103</v>
      </c>
      <c r="K78" s="204"/>
      <c r="L78" s="204"/>
      <c r="M78" s="204"/>
      <c r="N78" s="202" t="s">
        <v>103</v>
      </c>
      <c r="O78" s="204"/>
      <c r="P78" s="204"/>
      <c r="Q78" s="204"/>
      <c r="R78" s="56"/>
    </row>
    <row r="79" spans="2:18" s="14" customFormat="1" ht="20.100000000000001" customHeight="1" x14ac:dyDescent="0.3">
      <c r="B79" s="15"/>
      <c r="C79" s="290" t="s">
        <v>104</v>
      </c>
      <c r="D79" s="291"/>
      <c r="E79" s="164"/>
      <c r="F79" s="203"/>
      <c r="G79" s="204"/>
      <c r="H79" s="204"/>
      <c r="I79" s="204"/>
      <c r="J79" s="203"/>
      <c r="K79" s="204"/>
      <c r="L79" s="204"/>
      <c r="M79" s="204"/>
      <c r="N79" s="203"/>
      <c r="O79" s="204"/>
      <c r="P79" s="204"/>
      <c r="Q79" s="204"/>
      <c r="R79" s="56"/>
    </row>
    <row r="80" spans="2:18" s="14" customFormat="1" ht="50.1" customHeight="1" x14ac:dyDescent="0.3">
      <c r="B80" s="15"/>
      <c r="C80" s="292"/>
      <c r="D80" s="293"/>
      <c r="E80" s="294"/>
      <c r="F80" s="138" t="s">
        <v>105</v>
      </c>
      <c r="G80" s="32"/>
      <c r="H80" s="32"/>
      <c r="I80" s="34"/>
      <c r="J80" s="138" t="s">
        <v>105</v>
      </c>
      <c r="K80" s="32"/>
      <c r="L80" s="32"/>
      <c r="M80" s="34"/>
      <c r="N80" s="138" t="s">
        <v>105</v>
      </c>
      <c r="O80" s="32"/>
      <c r="P80" s="32"/>
      <c r="Q80" s="34"/>
      <c r="R80" s="56"/>
    </row>
    <row r="81" spans="2:18" s="14" customFormat="1" ht="18.75" x14ac:dyDescent="0.3">
      <c r="B81" s="165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5"/>
    </row>
    <row r="82" spans="2:18" s="169" customFormat="1" ht="17.100000000000001" customHeight="1" x14ac:dyDescent="0.25">
      <c r="B82" s="174" t="s">
        <v>106</v>
      </c>
      <c r="C82" s="175"/>
      <c r="D82" s="175"/>
      <c r="E82" s="176"/>
      <c r="F82" s="183"/>
      <c r="G82" s="184"/>
      <c r="H82" s="189" t="s">
        <v>107</v>
      </c>
      <c r="I82" s="190"/>
      <c r="J82" s="191"/>
      <c r="K82" s="166">
        <v>5</v>
      </c>
      <c r="L82" s="198" t="s">
        <v>108</v>
      </c>
      <c r="M82" s="199"/>
      <c r="N82" s="167">
        <v>44525</v>
      </c>
      <c r="O82" s="168" t="s">
        <v>109</v>
      </c>
      <c r="P82" s="166"/>
      <c r="Q82" s="167"/>
      <c r="R82" s="166"/>
    </row>
    <row r="83" spans="2:18" s="169" customFormat="1" ht="17.100000000000001" customHeight="1" x14ac:dyDescent="0.25">
      <c r="B83" s="177"/>
      <c r="C83" s="178"/>
      <c r="D83" s="178"/>
      <c r="E83" s="179"/>
      <c r="F83" s="185"/>
      <c r="G83" s="186"/>
      <c r="H83" s="192"/>
      <c r="I83" s="193"/>
      <c r="J83" s="194"/>
      <c r="K83" s="166">
        <v>4</v>
      </c>
      <c r="L83" s="198" t="s">
        <v>110</v>
      </c>
      <c r="M83" s="199"/>
      <c r="N83" s="167">
        <v>44460</v>
      </c>
      <c r="O83" s="166" t="s">
        <v>17</v>
      </c>
      <c r="P83" s="166"/>
      <c r="Q83" s="167"/>
      <c r="R83" s="166"/>
    </row>
    <row r="84" spans="2:18" s="169" customFormat="1" ht="17.100000000000001" customHeight="1" x14ac:dyDescent="0.25">
      <c r="B84" s="177"/>
      <c r="C84" s="178"/>
      <c r="D84" s="178"/>
      <c r="E84" s="179"/>
      <c r="F84" s="185"/>
      <c r="G84" s="186"/>
      <c r="H84" s="192"/>
      <c r="I84" s="193"/>
      <c r="J84" s="194"/>
      <c r="K84" s="166">
        <v>3</v>
      </c>
      <c r="L84" s="198" t="s">
        <v>111</v>
      </c>
      <c r="M84" s="199"/>
      <c r="N84" s="167">
        <v>44326</v>
      </c>
      <c r="O84" s="166" t="s">
        <v>112</v>
      </c>
      <c r="P84" s="166">
        <v>3</v>
      </c>
      <c r="Q84" s="167">
        <v>44525</v>
      </c>
      <c r="R84" s="166" t="s">
        <v>17</v>
      </c>
    </row>
    <row r="85" spans="2:18" s="169" customFormat="1" ht="17.100000000000001" customHeight="1" x14ac:dyDescent="0.25">
      <c r="B85" s="177"/>
      <c r="C85" s="178"/>
      <c r="D85" s="178"/>
      <c r="E85" s="179"/>
      <c r="F85" s="185"/>
      <c r="G85" s="186"/>
      <c r="H85" s="192"/>
      <c r="I85" s="193"/>
      <c r="J85" s="194"/>
      <c r="K85" s="166">
        <v>2</v>
      </c>
      <c r="L85" s="198" t="s">
        <v>113</v>
      </c>
      <c r="M85" s="199"/>
      <c r="N85" s="167">
        <v>44273</v>
      </c>
      <c r="O85" s="166" t="s">
        <v>18</v>
      </c>
      <c r="P85" s="166">
        <v>2</v>
      </c>
      <c r="Q85" s="167">
        <v>44460</v>
      </c>
      <c r="R85" s="166" t="s">
        <v>17</v>
      </c>
    </row>
    <row r="86" spans="2:18" s="169" customFormat="1" ht="17.100000000000001" customHeight="1" x14ac:dyDescent="0.25">
      <c r="B86" s="177"/>
      <c r="C86" s="178"/>
      <c r="D86" s="178"/>
      <c r="E86" s="179"/>
      <c r="F86" s="185"/>
      <c r="G86" s="186"/>
      <c r="H86" s="192"/>
      <c r="I86" s="193"/>
      <c r="J86" s="194"/>
      <c r="K86" s="166">
        <v>0</v>
      </c>
      <c r="L86" s="198" t="s">
        <v>114</v>
      </c>
      <c r="M86" s="199"/>
      <c r="N86" s="167">
        <v>44165</v>
      </c>
      <c r="O86" s="166" t="s">
        <v>18</v>
      </c>
      <c r="P86" s="166">
        <v>1</v>
      </c>
      <c r="Q86" s="167">
        <v>44326</v>
      </c>
      <c r="R86" s="166" t="s">
        <v>17</v>
      </c>
    </row>
    <row r="87" spans="2:18" s="171" customFormat="1" ht="17.100000000000001" customHeight="1" x14ac:dyDescent="0.25">
      <c r="B87" s="180"/>
      <c r="C87" s="181"/>
      <c r="D87" s="181"/>
      <c r="E87" s="182"/>
      <c r="F87" s="187"/>
      <c r="G87" s="188"/>
      <c r="H87" s="195"/>
      <c r="I87" s="196"/>
      <c r="J87" s="197"/>
      <c r="K87" s="170" t="s">
        <v>115</v>
      </c>
      <c r="L87" s="200" t="s">
        <v>116</v>
      </c>
      <c r="M87" s="201"/>
      <c r="N87" s="170" t="s">
        <v>10</v>
      </c>
      <c r="O87" s="170" t="s">
        <v>117</v>
      </c>
      <c r="P87" s="170" t="s">
        <v>118</v>
      </c>
      <c r="Q87" s="170" t="s">
        <v>10</v>
      </c>
      <c r="R87" s="170" t="s">
        <v>117</v>
      </c>
    </row>
    <row r="96" spans="2:18" x14ac:dyDescent="0.25">
      <c r="P96" s="172"/>
    </row>
    <row r="97" spans="16:16" x14ac:dyDescent="0.25">
      <c r="P97" s="172"/>
    </row>
    <row r="98" spans="16:16" x14ac:dyDescent="0.25">
      <c r="P98" s="173"/>
    </row>
  </sheetData>
  <mergeCells count="139">
    <mergeCell ref="N2:O2"/>
    <mergeCell ref="Q2:R2"/>
    <mergeCell ref="B3:G6"/>
    <mergeCell ref="H3:H6"/>
    <mergeCell ref="M3:M5"/>
    <mergeCell ref="N3:O5"/>
    <mergeCell ref="P3:P5"/>
    <mergeCell ref="Q3:R5"/>
    <mergeCell ref="N6:O6"/>
    <mergeCell ref="Q6:R6"/>
    <mergeCell ref="D13:E13"/>
    <mergeCell ref="F13:I13"/>
    <mergeCell ref="J13:M13"/>
    <mergeCell ref="N13:Q13"/>
    <mergeCell ref="C14:C19"/>
    <mergeCell ref="F20:I20"/>
    <mergeCell ref="J20:M20"/>
    <mergeCell ref="N20:Q20"/>
    <mergeCell ref="I8:L8"/>
    <mergeCell ref="I9:J9"/>
    <mergeCell ref="K9:L9"/>
    <mergeCell ref="M9:N9"/>
    <mergeCell ref="I10:J10"/>
    <mergeCell ref="K10:L10"/>
    <mergeCell ref="M10:N10"/>
    <mergeCell ref="C21:C30"/>
    <mergeCell ref="F21:I21"/>
    <mergeCell ref="J21:M21"/>
    <mergeCell ref="N21:Q21"/>
    <mergeCell ref="C31:C37"/>
    <mergeCell ref="M32:O32"/>
    <mergeCell ref="M33:O34"/>
    <mergeCell ref="M35:O35"/>
    <mergeCell ref="M36:O36"/>
    <mergeCell ref="C38:C52"/>
    <mergeCell ref="D38:E38"/>
    <mergeCell ref="D39:E39"/>
    <mergeCell ref="D40:E40"/>
    <mergeCell ref="D41:E41"/>
    <mergeCell ref="D42:E42"/>
    <mergeCell ref="D43:E43"/>
    <mergeCell ref="D46:E46"/>
    <mergeCell ref="D47:E47"/>
    <mergeCell ref="D48:E48"/>
    <mergeCell ref="D49:E49"/>
    <mergeCell ref="F49:H49"/>
    <mergeCell ref="J49:L49"/>
    <mergeCell ref="N49:P49"/>
    <mergeCell ref="D52:E52"/>
    <mergeCell ref="F52:H52"/>
    <mergeCell ref="J52:L52"/>
    <mergeCell ref="N52:P52"/>
    <mergeCell ref="F43:H43"/>
    <mergeCell ref="J43:L43"/>
    <mergeCell ref="N43:P43"/>
    <mergeCell ref="D44:E44"/>
    <mergeCell ref="F44:H44"/>
    <mergeCell ref="J44:L44"/>
    <mergeCell ref="N44:P44"/>
    <mergeCell ref="F56:I56"/>
    <mergeCell ref="J56:M56"/>
    <mergeCell ref="N56:Q56"/>
    <mergeCell ref="F57:I57"/>
    <mergeCell ref="J57:M57"/>
    <mergeCell ref="N57:Q57"/>
    <mergeCell ref="F54:I54"/>
    <mergeCell ref="J54:M54"/>
    <mergeCell ref="N54:Q54"/>
    <mergeCell ref="F55:I55"/>
    <mergeCell ref="J55:M55"/>
    <mergeCell ref="N55:Q55"/>
    <mergeCell ref="F60:I60"/>
    <mergeCell ref="J60:M60"/>
    <mergeCell ref="N60:Q60"/>
    <mergeCell ref="F61:I61"/>
    <mergeCell ref="J61:M61"/>
    <mergeCell ref="N61:Q61"/>
    <mergeCell ref="F58:I58"/>
    <mergeCell ref="J58:M58"/>
    <mergeCell ref="N58:Q58"/>
    <mergeCell ref="F59:I59"/>
    <mergeCell ref="J59:M59"/>
    <mergeCell ref="N59:Q59"/>
    <mergeCell ref="C64:C65"/>
    <mergeCell ref="D64:D65"/>
    <mergeCell ref="F64:I64"/>
    <mergeCell ref="J64:M64"/>
    <mergeCell ref="N64:Q64"/>
    <mergeCell ref="F65:I65"/>
    <mergeCell ref="J65:M65"/>
    <mergeCell ref="N65:Q65"/>
    <mergeCell ref="F62:I62"/>
    <mergeCell ref="J62:M62"/>
    <mergeCell ref="N62:Q62"/>
    <mergeCell ref="F63:I63"/>
    <mergeCell ref="J63:M63"/>
    <mergeCell ref="N63:Q63"/>
    <mergeCell ref="C67:C69"/>
    <mergeCell ref="C70:C75"/>
    <mergeCell ref="F70:I70"/>
    <mergeCell ref="J70:M70"/>
    <mergeCell ref="N70:Q70"/>
    <mergeCell ref="F71:I71"/>
    <mergeCell ref="J71:M71"/>
    <mergeCell ref="N71:Q71"/>
    <mergeCell ref="F72:I72"/>
    <mergeCell ref="J72:M72"/>
    <mergeCell ref="C76:D76"/>
    <mergeCell ref="F76:F77"/>
    <mergeCell ref="G76:I77"/>
    <mergeCell ref="J76:J77"/>
    <mergeCell ref="K76:M77"/>
    <mergeCell ref="N76:N77"/>
    <mergeCell ref="O76:Q77"/>
    <mergeCell ref="N72:Q72"/>
    <mergeCell ref="F73:I73"/>
    <mergeCell ref="J73:M73"/>
    <mergeCell ref="N73:Q73"/>
    <mergeCell ref="F74:I74"/>
    <mergeCell ref="J74:M74"/>
    <mergeCell ref="N74:Q74"/>
    <mergeCell ref="F78:F79"/>
    <mergeCell ref="G78:I79"/>
    <mergeCell ref="J78:J79"/>
    <mergeCell ref="K78:M79"/>
    <mergeCell ref="N78:N79"/>
    <mergeCell ref="O78:Q79"/>
    <mergeCell ref="F75:I75"/>
    <mergeCell ref="J75:M75"/>
    <mergeCell ref="N75:Q75"/>
    <mergeCell ref="B82:E87"/>
    <mergeCell ref="F82:G87"/>
    <mergeCell ref="H82:J87"/>
    <mergeCell ref="L82:M82"/>
    <mergeCell ref="L83:M83"/>
    <mergeCell ref="L84:M84"/>
    <mergeCell ref="L85:M85"/>
    <mergeCell ref="L86:M86"/>
    <mergeCell ref="L87:M87"/>
  </mergeCells>
  <hyperlinks>
    <hyperlink ref="F18" r:id="rId1" xr:uid="{00000000-0004-0000-0000-000000000000}"/>
  </hyperlinks>
  <printOptions horizontalCentered="1" verticalCentered="1"/>
  <pageMargins left="0" right="0" top="0" bottom="0" header="0.31496062992125984" footer="0"/>
  <pageSetup paperSize="9" scale="33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Rev. 5</vt:lpstr>
      <vt:lpstr>'Rev.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spv-ga-02</dc:creator>
  <cp:lastModifiedBy>spv-ga-02</cp:lastModifiedBy>
  <cp:lastPrinted>2022-09-14T01:22:42Z</cp:lastPrinted>
  <dcterms:created xsi:type="dcterms:W3CDTF">2022-04-08T05:52:13Z</dcterms:created>
  <dcterms:modified xsi:type="dcterms:W3CDTF">2022-09-14T01:22:43Z</dcterms:modified>
</cp:coreProperties>
</file>